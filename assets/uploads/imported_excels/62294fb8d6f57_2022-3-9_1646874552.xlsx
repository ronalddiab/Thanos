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9" l="1"/>
  <c r="E8" i="9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F12" i="2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H12" i="2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P11" i="2" l="1"/>
  <c r="P12" i="2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T12" i="2" l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N12" i="2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2" i="2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7" i="2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E31" i="8"/>
  <c r="F31" i="8"/>
  <c r="G31" i="8"/>
  <c r="H31" i="8"/>
  <c r="I31" i="8"/>
  <c r="Y31" i="8" s="1"/>
  <c r="J31" i="8"/>
  <c r="K31" i="8"/>
  <c r="L31" i="8"/>
  <c r="M31" i="8"/>
  <c r="N31" i="8"/>
  <c r="O31" i="8"/>
  <c r="E31" i="9" s="1"/>
  <c r="P31" i="8"/>
  <c r="Q31" i="8"/>
  <c r="R31" i="8"/>
  <c r="S31" i="8"/>
  <c r="T31" i="8"/>
  <c r="U31" i="8"/>
  <c r="V31" i="8"/>
  <c r="W31" i="8"/>
  <c r="X31" i="8"/>
  <c r="Z31" i="8"/>
  <c r="AA31" i="8"/>
  <c r="AB31" i="8"/>
  <c r="AC31" i="8"/>
  <c r="E32" i="8"/>
  <c r="AD32" i="8" s="1"/>
  <c r="F32" i="8"/>
  <c r="G32" i="8"/>
  <c r="H32" i="8"/>
  <c r="I32" i="8"/>
  <c r="Y32" i="8" s="1"/>
  <c r="E32" i="9" s="1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Z32" i="8"/>
  <c r="AA32" i="8"/>
  <c r="AB32" i="8"/>
  <c r="AC32" i="8"/>
  <c r="B30" i="9"/>
  <c r="B31" i="9" s="1"/>
  <c r="B32" i="9" s="1"/>
  <c r="G31" i="9"/>
  <c r="K31" i="9"/>
  <c r="G32" i="9"/>
  <c r="K32" i="9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I32" i="9" l="1"/>
  <c r="AD31" i="8"/>
  <c r="AE32" i="8"/>
  <c r="Y2" i="4"/>
  <c r="O71" i="10"/>
  <c r="AE31" i="8" l="1"/>
  <c r="I31" i="9" s="1"/>
  <c r="AG31" i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D17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K30" i="9" l="1"/>
  <c r="X30" i="8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U30" i="8" s="1"/>
  <c r="M5" i="1"/>
  <c r="L31" i="1"/>
  <c r="V30" i="8" s="1"/>
  <c r="J5" i="1"/>
  <c r="J31" i="1" s="1"/>
  <c r="I31" i="1"/>
  <c r="T30" i="8" s="1"/>
  <c r="G5" i="1"/>
  <c r="F31" i="1"/>
  <c r="S30" i="8" s="1"/>
  <c r="D5" i="1"/>
  <c r="C31" i="1"/>
  <c r="R30" i="8" s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AA30" i="8" s="1"/>
  <c r="AC30" i="8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0" i="8" s="1"/>
  <c r="W31" i="4"/>
  <c r="P30" i="8" s="1"/>
  <c r="Y7" i="4"/>
  <c r="G31" i="3"/>
  <c r="G30" i="8" s="1"/>
  <c r="M31" i="4"/>
  <c r="L30" i="8" s="1"/>
  <c r="Y3" i="8"/>
  <c r="E3" i="9" s="1"/>
  <c r="Q31" i="4"/>
  <c r="N30" i="8" s="1"/>
  <c r="E31" i="3"/>
  <c r="F30" i="8" s="1"/>
  <c r="O31" i="2"/>
  <c r="AB30" i="8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I31" i="2"/>
  <c r="K31" i="4"/>
  <c r="K30" i="8" s="1"/>
  <c r="S31" i="1"/>
  <c r="O31" i="4"/>
  <c r="M30" i="8" s="1"/>
  <c r="S31" i="4"/>
  <c r="O30" i="8" s="1"/>
  <c r="Z10" i="8"/>
  <c r="I17" i="4"/>
  <c r="Y17" i="4" s="1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0" i="8" s="1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30" i="8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30" i="8" s="1"/>
  <c r="Y30" i="8" s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Q30" i="8" s="1"/>
  <c r="E30" i="9" s="1"/>
  <c r="K26" i="11"/>
  <c r="C7" i="11" l="1"/>
  <c r="D7" i="11" s="1"/>
  <c r="C5" i="11"/>
  <c r="D5" i="11" s="1"/>
  <c r="C6" i="11"/>
  <c r="D6" i="11" s="1"/>
  <c r="I31" i="3"/>
  <c r="H30" i="8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E30" i="8" s="1"/>
  <c r="AE29" i="8"/>
  <c r="I29" i="9" s="1"/>
  <c r="AD30" i="8" l="1"/>
  <c r="AE30" i="8" s="1"/>
  <c r="J31" i="3"/>
  <c r="I30" i="9" l="1"/>
  <c r="K31" i="3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G29" i="9" l="1"/>
  <c r="C31" i="5"/>
  <c r="G30" i="9" s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<sst xmlns="http://schemas.openxmlformats.org/spreadsheetml/2006/main" count="442" uniqueCount="149">
  <si>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</si>
  <si>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</si>
  <si>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</si>
  <si>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</si>
  <si>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</si>
  <si>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</si>
  <si>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</si>
  <si>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</si>
  <si>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</si>
  <si>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</si>
  <si>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</si>
  <si>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</si>
  <si>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</si>
  <si>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</si>
  <si>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</si>
  <si>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</si>
  <si>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</si>
  <si>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</si>
  <si>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</si>
  <si>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</si>
  <si>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</si>
  <si>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</si>
  <si>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</si>
  <si>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</si>
  <si>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</si>
  <si>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</si>
  <si>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</si>
  <si>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</si>
  <si>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</si>
  <si>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</si>
  <si>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</si>
  <si>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</si>
  <si>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</si>
  <si>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</si>
  <si>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</si>
  <si>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</si>
  <si>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</si>
  <si>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</si>
  <si>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</si>
  <si>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</si>
  <si>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</si>
  <si>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</si>
  <si>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</si>
  <si>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</si>
  <si>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</si>
  <si>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</si>
  <si>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</si>
  <si>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</si>
  <si>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</si>
  <si>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</si>
  <si>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</si>
  <si>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</si>
  <si>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</si>
  <si>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</si>
  <si>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</si>
  <si>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</si>
  <si>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</si>
  <si>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</si>
  <si>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</si>
  <si>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</si>
  <si>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</si>
  <si>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</si>
  <si>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</si>
  <si>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</si>
  <si>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</si>
  <si>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</si>
  <si>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</si>
  <si>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</si>
  <si>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</si>
  <si>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</si>
  <si>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</si>
  <si>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</si>
  <si>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</si>
  <si>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</si>
  <si>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</si>
  <si>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</si>
  <si>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</si>
  <si>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</si>
  <si>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</si>
  <si>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</si>
  <si>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</si>
  <si>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</si>
  <si>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</si>
  <si>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</si>
  <si>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</si>
  <si>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</si>
  <si>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</si>
  <si>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</si>
  <si>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</si>
  <si>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</si>
  <si>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</si>
  <si>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</si>
  <si>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</si>
  <si>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</si>
  <si>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</si>
  <si>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</si>
  <si>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</si>
  <si>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</si>
  <si>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</si>
  <si>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</si>
  <si>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</si>
  <si>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</si>
  <si>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</si>
  <si>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</si>
  <si>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</si>
  <si>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</si>
  <si>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</si>
  <si>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</si>
  <si>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</si>
  <si>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</si>
  <si>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</si>
  <si>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</si>
  <si>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</si>
  <si>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</si>
  <si>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</si>
  <si>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</si>
  <si>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</si>
  <si>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</si>
  <si>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</si>
  <si>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</si>
  <si>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</si>
  <si>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</si>
  <si>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</si>
  <si>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</si>
  <si>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</si>
  <si>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</si>
  <si>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</si>
  <si>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</si>
  <si>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</si>
  <si>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</si>
  <si>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</si>
  <si>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</si>
  <si>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</si>
  <si>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</si>
  <si>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</si>
  <si>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</si>
  <si>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</si>
  <si>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</si>
  <si>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</si>
  <si>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</si>
  <si>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</si>
  <si>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</si>
  <si>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</si>
  <si>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</si>
  <si>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</si>
  <si>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December 2021</t>
  </si>
  <si>
    <t>Acutal till Jan 2022</t>
  </si>
  <si>
    <t>Acutal till Feb. 2022</t>
  </si>
  <si>
    <t>Energy Monthly Statement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</si>
</sst>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E10" sqref="E10:K10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52542.761912000002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-101043.01776799999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42605.097876</v>
      </c>
      <c r="F8" s="140">
        <v>1.27</v>
      </c>
      <c r="G8" s="38">
        <f>Gas!C9*0.9147</f>
        <v>2378.2199999999998</v>
      </c>
      <c r="H8" s="141">
        <v>3.65</v>
      </c>
      <c r="I8" s="143">
        <f>Submetering!H8+Submetering!AD8+Submetering!AE8</f>
        <v>776</v>
      </c>
      <c r="J8" s="143">
        <v>10.029999999999999</v>
      </c>
      <c r="K8" s="38">
        <f>ELECT.!B9</f>
        <v>155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56041.623683999998</v>
      </c>
      <c r="F9" s="140">
        <v>1.27</v>
      </c>
      <c r="G9" s="38">
        <f>Gas!C10*0.9147</f>
        <v>2190.7064999999998</v>
      </c>
      <c r="H9" s="141">
        <v>3.65</v>
      </c>
      <c r="I9" s="143">
        <f>Submetering!H9+Submetering!AD9+Submetering!AE9</f>
        <v>846</v>
      </c>
      <c r="J9" s="143">
        <v>10.029999999999999</v>
      </c>
      <c r="K9" s="38">
        <f>ELECT.!B10</f>
        <v>313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41273.625295999998</v>
      </c>
      <c r="F10" s="140">
        <v>1.27</v>
      </c>
      <c r="G10" s="38">
        <f>Gas!C11*0.9147</f>
        <v>3076.1360999999997</v>
      </c>
      <c r="H10" s="141">
        <v>3.65</v>
      </c>
      <c r="I10" s="143">
        <f>Submetering!H10+Submetering!AD10+Submetering!AE10</f>
        <v>836</v>
      </c>
      <c r="J10" s="143">
        <v>10.029999999999999</v>
      </c>
      <c r="K10" s="38">
        <f>ELECT.!B11</f>
        <v>163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0">
        <v>1.27</v>
      </c>
      <c r="G11" s="38">
        <f>Gas!C12*0.9147</f>
        <v>0</v>
      </c>
      <c r="H11" s="141">
        <v>3.65</v>
      </c>
      <c r="I11" s="143">
        <f>Submetering!H11+Submetering!AD11+Submetering!AE11</f>
        <v>-194</v>
      </c>
      <c r="J11" s="143">
        <v>10.029999999999999</v>
      </c>
      <c r="K11" s="38">
        <f>ELECT.!B12</f>
        <v>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0">
        <v>1.27</v>
      </c>
      <c r="G12" s="38">
        <f>Gas!C13*0.9147</f>
        <v>0</v>
      </c>
      <c r="H12" s="141">
        <v>3.65</v>
      </c>
      <c r="I12" s="143">
        <f>Submetering!H12+Submetering!AD12+Submetering!AE12</f>
        <v>-194</v>
      </c>
      <c r="J12" s="143">
        <v>10.029999999999999</v>
      </c>
      <c r="K12" s="38">
        <f>ELECT.!B13</f>
        <v>0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0">
        <v>1.27</v>
      </c>
      <c r="G13" s="38">
        <f>Gas!C14*0.9147</f>
        <v>0</v>
      </c>
      <c r="H13" s="141">
        <v>3.65</v>
      </c>
      <c r="I13" s="143">
        <f>Submetering!H13+Submetering!AD13+Submetering!AE13</f>
        <v>-194</v>
      </c>
      <c r="J13" s="143">
        <v>10.029999999999999</v>
      </c>
      <c r="K13" s="38">
        <f>ELECT.!B14</f>
        <v>0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0">
        <v>1.27</v>
      </c>
      <c r="G14" s="38">
        <f>Gas!C15*0.9147</f>
        <v>0</v>
      </c>
      <c r="H14" s="141">
        <v>3.65</v>
      </c>
      <c r="I14" s="143">
        <f>Submetering!H14+Submetering!AD14+Submetering!AE14</f>
        <v>-194</v>
      </c>
      <c r="J14" s="143">
        <v>10.029999999999999</v>
      </c>
      <c r="K14" s="38">
        <f>ELECT.!B15</f>
        <v>0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0">
        <v>1.27</v>
      </c>
      <c r="G15" s="38">
        <f>Gas!C16*0.9147</f>
        <v>0</v>
      </c>
      <c r="H15" s="141">
        <v>3.65</v>
      </c>
      <c r="I15" s="143">
        <f>Submetering!H15+Submetering!AD15+Submetering!AE15</f>
        <v>-194</v>
      </c>
      <c r="J15" s="143">
        <v>10.029999999999999</v>
      </c>
      <c r="K15" s="38">
        <f>ELECT.!B16</f>
        <v>0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0">
        <v>1.27</v>
      </c>
      <c r="G16" s="38">
        <f>Gas!C17*0.9147</f>
        <v>0</v>
      </c>
      <c r="H16" s="141">
        <v>3.65</v>
      </c>
      <c r="I16" s="143">
        <f>Submetering!H16+Submetering!AD16+Submetering!AE16</f>
        <v>-194</v>
      </c>
      <c r="J16" s="143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0">
        <v>1.27</v>
      </c>
      <c r="G17" s="38">
        <f>Gas!C18*0.9147</f>
        <v>0</v>
      </c>
      <c r="H17" s="141">
        <v>3.65</v>
      </c>
      <c r="I17" s="143">
        <f>Submetering!H17+Submetering!AD17+Submetering!AE17</f>
        <v>-194</v>
      </c>
      <c r="J17" s="143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0">
        <v>1.27</v>
      </c>
      <c r="G18" s="38">
        <f>Gas!C19*0.9147</f>
        <v>0</v>
      </c>
      <c r="H18" s="141">
        <v>3.65</v>
      </c>
      <c r="I18" s="143">
        <f>Submetering!H18+Submetering!AD18+Submetering!AE18</f>
        <v>-194</v>
      </c>
      <c r="J18" s="143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0">
        <v>1.27</v>
      </c>
      <c r="G19" s="38">
        <f>Gas!C20*0.9147</f>
        <v>0</v>
      </c>
      <c r="H19" s="141">
        <v>3.65</v>
      </c>
      <c r="I19" s="143">
        <f>Submetering!H19+Submetering!AD19+Submetering!AE19</f>
        <v>-194</v>
      </c>
      <c r="J19" s="143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0">
        <v>1.27</v>
      </c>
      <c r="G20" s="38">
        <f>Gas!C21*0.9147</f>
        <v>0</v>
      </c>
      <c r="H20" s="141">
        <v>3.65</v>
      </c>
      <c r="I20" s="143">
        <f>Submetering!H20+Submetering!AD20+Submetering!AE20</f>
        <v>-194</v>
      </c>
      <c r="J20" s="143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0">
        <v>1.27</v>
      </c>
      <c r="G21" s="38">
        <f>Gas!C22*0.9147</f>
        <v>0</v>
      </c>
      <c r="H21" s="141">
        <v>3.65</v>
      </c>
      <c r="I21" s="143">
        <f>Submetering!H21+Submetering!AD21+Submetering!AE21</f>
        <v>-194</v>
      </c>
      <c r="J21" s="143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0">
        <v>1.27</v>
      </c>
      <c r="G22" s="38">
        <f>Gas!C23*0.9147</f>
        <v>0</v>
      </c>
      <c r="H22" s="141">
        <v>3.65</v>
      </c>
      <c r="I22" s="143">
        <f>Submetering!H22+Submetering!AD22+Submetering!AE22</f>
        <v>-194</v>
      </c>
      <c r="J22" s="143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0">
        <v>1.27</v>
      </c>
      <c r="G23" s="38">
        <f>Gas!C24*0.9147</f>
        <v>0</v>
      </c>
      <c r="H23" s="141">
        <v>3.65</v>
      </c>
      <c r="I23" s="143">
        <f>Submetering!H23+Submetering!AD23+Submetering!AE23</f>
        <v>-194</v>
      </c>
      <c r="J23" s="143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0">
        <v>1.27</v>
      </c>
      <c r="G24" s="38">
        <f>Gas!C25*0.9147</f>
        <v>0</v>
      </c>
      <c r="H24" s="141">
        <v>3.65</v>
      </c>
      <c r="I24" s="143">
        <f>Submetering!H24+Submetering!AD24+Submetering!AE24</f>
        <v>-194</v>
      </c>
      <c r="J24" s="143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8">
        <f>Gas!C30*0.9147</f>
        <v>0</v>
      </c>
      <c r="H29" s="141">
        <v>3.65</v>
      </c>
      <c r="I29" s="143">
        <f>Submetering!H29+Submetering!AD29+Submetering!AE29</f>
        <v>-194</v>
      </c>
      <c r="J29" s="143">
        <v>10.029999999999999</v>
      </c>
      <c r="K29" s="38">
        <f>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435683.88475599996</v>
      </c>
      <c r="F30" s="141">
        <v>2.27</v>
      </c>
      <c r="G30" s="38">
        <f>Gas!C31*0.9147</f>
        <v>19271.814299999998</v>
      </c>
      <c r="H30" s="141">
        <v>4.6500000000000004</v>
      </c>
      <c r="I30" s="143">
        <f>Submetering!H30+Submetering!AD30+Submetering!AE30</f>
        <v>7356.0000000000009</v>
      </c>
      <c r="J30" s="143">
        <v>11.03</v>
      </c>
      <c r="K30" s="38">
        <f>ELECT.!B31</f>
        <v>2363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1">
        <v>3.27</v>
      </c>
      <c r="G31" s="38">
        <f>Gas!C32*0.9147</f>
        <v>0</v>
      </c>
      <c r="H31" s="141">
        <v>5.65</v>
      </c>
      <c r="I31" s="143">
        <f>Submetering!H31+Submetering!AD31+Submetering!AE31</f>
        <v>-194</v>
      </c>
      <c r="J31" s="143">
        <v>12.03</v>
      </c>
      <c r="K31" s="38">
        <f>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1">
        <v>4.2699999999999996</v>
      </c>
      <c r="G32" s="38">
        <f>Gas!C33*0.9147</f>
        <v>0</v>
      </c>
      <c r="H32" s="141">
        <v>6.65</v>
      </c>
      <c r="I32" s="143">
        <f>Submetering!H32+Submetering!AD32+Submetering!AE32</f>
        <v>-194</v>
      </c>
      <c r="J32" s="143">
        <v>13.03</v>
      </c>
      <c r="K32" s="38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10" sqref="E10:O11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124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29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29" si="1">(E3-H3-194)*0.1318</f>
        <v>98.964665999999994</v>
      </c>
      <c r="AE3" s="36">
        <f t="shared" ref="AE3:AE29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143493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970</v>
      </c>
      <c r="F8" s="38">
        <f>Water!E9</f>
        <v>500</v>
      </c>
      <c r="G8" s="38">
        <f>Water!G9</f>
        <v>332.1</v>
      </c>
      <c r="H8" s="38">
        <f>Water!I9</f>
        <v>3.375</v>
      </c>
      <c r="I8" s="38">
        <f>ELECT.!F9</f>
        <v>10983</v>
      </c>
      <c r="J8" s="38">
        <f>ELECT.!H9</f>
        <v>33719</v>
      </c>
      <c r="K8" s="38">
        <f>ELECT.!K9</f>
        <v>7918</v>
      </c>
      <c r="L8" s="38">
        <f>ELECT.!M9</f>
        <v>4815</v>
      </c>
      <c r="M8" s="38">
        <f>ELECT.!O9</f>
        <v>1976</v>
      </c>
      <c r="N8" s="38">
        <f>ELECT.!Q9</f>
        <v>2397</v>
      </c>
      <c r="O8" s="38">
        <f>ELECT.!S9</f>
        <v>8721</v>
      </c>
      <c r="P8" s="38">
        <f>ELECT.!W9*2</f>
        <v>17718</v>
      </c>
      <c r="Q8" s="38">
        <f>ELECT.!D9</f>
        <v>480</v>
      </c>
      <c r="R8" s="39">
        <f>BTU!C9</f>
        <v>4.1650000000008731</v>
      </c>
      <c r="S8" s="39">
        <f>BTU!F9</f>
        <v>1.0900000000001455</v>
      </c>
      <c r="T8" s="39">
        <f>BTU!I9</f>
        <v>5</v>
      </c>
      <c r="U8" s="39">
        <f>BTU!O9</f>
        <v>1.2049999999999272</v>
      </c>
      <c r="V8" s="39">
        <f>BTU!L9</f>
        <v>0</v>
      </c>
      <c r="W8" s="39">
        <f>BTU!R9</f>
        <v>0.53999999999996362</v>
      </c>
      <c r="X8" s="36">
        <f>ELECT.!B9</f>
        <v>155</v>
      </c>
      <c r="Y8" s="36">
        <f t="shared" si="0"/>
        <v>1157</v>
      </c>
      <c r="Z8">
        <f>'Mall, Citadel, Rotana'!C9+'Mall, Citadel, Rotana'!E9+'Mall, Citadel, Rotana'!G9+'Mall, Citadel, Rotana'!I9</f>
        <v>1193</v>
      </c>
      <c r="AA8">
        <f>'Mall, Citadel, Rotana'!K9+'Mall, Citadel, Rotana'!M9</f>
        <v>480</v>
      </c>
      <c r="AB8">
        <f>'Mall, Citadel, Rotana'!O9</f>
        <v>7</v>
      </c>
      <c r="AC8">
        <f>'Mall, Citadel, Rotana'!Q9+'Mall, Citadel, Rotana'!S9</f>
        <v>69</v>
      </c>
      <c r="AD8" s="36">
        <f t="shared" si="1"/>
        <v>101.831975</v>
      </c>
      <c r="AE8" s="36">
        <f t="shared" si="2"/>
        <v>670.79302499999994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1040</v>
      </c>
      <c r="F9" s="38">
        <f>Water!E10</f>
        <v>490</v>
      </c>
      <c r="G9" s="38">
        <f>Water!G10</f>
        <v>391.5</v>
      </c>
      <c r="H9" s="38">
        <f>Water!I10</f>
        <v>3.8340000000000001</v>
      </c>
      <c r="I9" s="38">
        <f>ELECT.!F10</f>
        <v>13851</v>
      </c>
      <c r="J9" s="38">
        <f>ELECT.!H10</f>
        <v>44703</v>
      </c>
      <c r="K9" s="38">
        <f>ELECT.!K10</f>
        <v>9992</v>
      </c>
      <c r="L9" s="38">
        <f>ELECT.!M10</f>
        <v>5945</v>
      </c>
      <c r="M9" s="38">
        <f>ELECT.!O10</f>
        <v>11786</v>
      </c>
      <c r="N9" s="38">
        <f>ELECT.!Q10</f>
        <v>3151</v>
      </c>
      <c r="O9" s="38">
        <f>ELECT.!S10</f>
        <v>11521</v>
      </c>
      <c r="P9" s="38">
        <f>ELECT.!W10*2</f>
        <v>23930</v>
      </c>
      <c r="Q9" s="38">
        <f>ELECT.!D10</f>
        <v>320</v>
      </c>
      <c r="R9" s="39">
        <f>BTU!C10</f>
        <v>3.9849999999969441</v>
      </c>
      <c r="S9" s="39">
        <f>BTU!F10</f>
        <v>1.0480000000006839</v>
      </c>
      <c r="T9" s="39">
        <f>BTU!I10</f>
        <v>6</v>
      </c>
      <c r="U9" s="39">
        <f>BTU!O10</f>
        <v>1.1390000000001237</v>
      </c>
      <c r="V9" s="39">
        <f>BTU!L10</f>
        <v>0</v>
      </c>
      <c r="W9" s="39">
        <f>BTU!R10</f>
        <v>0.3999999999996362</v>
      </c>
      <c r="X9" s="36">
        <f>ELECT.!B10</f>
        <v>313</v>
      </c>
      <c r="Y9" s="36">
        <f t="shared" si="0"/>
        <v>-7771</v>
      </c>
      <c r="Z9">
        <f>'Mall, Citadel, Rotana'!C10+'Mall, Citadel, Rotana'!E10+'Mall, Citadel, Rotana'!G10+'Mall, Citadel, Rotana'!I10</f>
        <v>1374</v>
      </c>
      <c r="AA9">
        <f>'Mall, Citadel, Rotana'!K10+'Mall, Citadel, Rotana'!M10</f>
        <v>480</v>
      </c>
      <c r="AB9">
        <f>'Mall, Citadel, Rotana'!O10</f>
        <v>3</v>
      </c>
      <c r="AC9">
        <f>'Mall, Citadel, Rotana'!Q10+'Mall, Citadel, Rotana'!S10</f>
        <v>149</v>
      </c>
      <c r="AD9" s="36">
        <f t="shared" si="1"/>
        <v>110.9974788</v>
      </c>
      <c r="AE9" s="36">
        <f t="shared" si="2"/>
        <v>731.16852119999999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1030</v>
      </c>
      <c r="F10" s="38">
        <f>Water!E11</f>
        <v>520</v>
      </c>
      <c r="G10" s="38">
        <f>Water!G11</f>
        <v>369.9</v>
      </c>
      <c r="H10" s="38">
        <f>Water!I11</f>
        <v>3.8879999999999999</v>
      </c>
      <c r="I10" s="38">
        <f>ELECT.!F11</f>
        <v>10734</v>
      </c>
      <c r="J10" s="38">
        <f>ELECT.!H11</f>
        <v>32707</v>
      </c>
      <c r="K10" s="38">
        <f>ELECT.!K11</f>
        <v>7374</v>
      </c>
      <c r="L10" s="38">
        <f>ELECT.!M11</f>
        <v>4988</v>
      </c>
      <c r="M10" s="38">
        <f>ELECT.!O11</f>
        <v>5604</v>
      </c>
      <c r="N10" s="38">
        <f>ELECT.!Q11</f>
        <v>12254</v>
      </c>
      <c r="O10" s="38">
        <f>ELECT.!S11</f>
        <v>8296</v>
      </c>
      <c r="P10" s="38">
        <f>ELECT.!W11*2</f>
        <v>17648</v>
      </c>
      <c r="Q10" s="38">
        <f>ELECT.!D11</f>
        <v>480</v>
      </c>
      <c r="R10" s="39">
        <f>BTU!C11</f>
        <v>4.0420000000012806</v>
      </c>
      <c r="S10" s="39">
        <f>BTU!F11</f>
        <v>1.602999999999156</v>
      </c>
      <c r="T10" s="39">
        <f>BTU!I11</f>
        <v>6</v>
      </c>
      <c r="U10" s="39">
        <f>BTU!O11</f>
        <v>1.4039999999999964</v>
      </c>
      <c r="V10" s="39">
        <f>BTU!L11</f>
        <v>0</v>
      </c>
      <c r="W10" s="39">
        <f>BTU!R11</f>
        <v>0.6000000000003638</v>
      </c>
      <c r="X10" s="36">
        <f>ELECT.!B11</f>
        <v>163</v>
      </c>
      <c r="Y10" s="36">
        <f t="shared" si="0"/>
        <v>-12723</v>
      </c>
      <c r="Z10">
        <f>'Mall, Citadel, Rotana'!C11+'Mall, Citadel, Rotana'!E11+'Mall, Citadel, Rotana'!G11+'Mall, Citadel, Rotana'!I11</f>
        <v>1354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0</v>
      </c>
      <c r="AD10" s="36">
        <f t="shared" si="1"/>
        <v>109.67236160000002</v>
      </c>
      <c r="AE10" s="36">
        <f t="shared" si="2"/>
        <v>722.43963840000004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0</v>
      </c>
      <c r="F11" s="38">
        <f>Water!E12</f>
        <v>0</v>
      </c>
      <c r="G11" s="38">
        <f>Water!G12</f>
        <v>0</v>
      </c>
      <c r="H11" s="38">
        <f>Water!I12</f>
        <v>0</v>
      </c>
      <c r="I11" s="38" t="str">
        <f>ELECT.!F12</f>
        <v>0</v>
      </c>
      <c r="J11" s="38" t="str">
        <f>ELECT.!H12</f>
        <v>0</v>
      </c>
      <c r="K11" s="38">
        <f>ELECT.!K12</f>
        <v>0</v>
      </c>
      <c r="L11" s="38" t="str">
        <f>ELECT.!M12</f>
        <v>0</v>
      </c>
      <c r="M11" s="38">
        <f>ELECT.!O12</f>
        <v>0</v>
      </c>
      <c r="N11" s="38" t="str">
        <f>ELECT.!Q12</f>
        <v>0</v>
      </c>
      <c r="O11" s="38" t="str">
        <f>ELECT.!S12</f>
        <v>0</v>
      </c>
      <c r="P11" s="38">
        <f>ELECT.!W12*2</f>
        <v>0</v>
      </c>
      <c r="Q11" s="38">
        <f>ELECT.!D12</f>
        <v>0</v>
      </c>
      <c r="R11" s="39" t="str">
        <f>BTU!C12</f>
        <v>0</v>
      </c>
      <c r="S11" s="39" t="str">
        <f>BTU!F12</f>
        <v>0</v>
      </c>
      <c r="T11" s="39" t="str">
        <f>BTU!I12</f>
        <v>0</v>
      </c>
      <c r="U11" s="39" t="str">
        <f>BTU!O12</f>
        <v>0</v>
      </c>
      <c r="V11" s="39" t="str">
        <f>BTU!L12</f>
        <v>0</v>
      </c>
      <c r="W11" s="39" t="str">
        <f>BTU!R12</f>
        <v>0</v>
      </c>
      <c r="X11" s="36">
        <f>ELECT.!B12</f>
        <v>0</v>
      </c>
      <c r="Y11" s="36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-25.569199999999999</v>
      </c>
      <c r="AE11" s="36">
        <f t="shared" si="2"/>
        <v>-168.4308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0</v>
      </c>
      <c r="F12" s="38">
        <f>Water!E13</f>
        <v>0</v>
      </c>
      <c r="G12" s="38">
        <f>Water!G13</f>
        <v>0</v>
      </c>
      <c r="H12" s="38">
        <f>Water!I13</f>
        <v>0</v>
      </c>
      <c r="I12" s="38">
        <f>ELECT.!F13</f>
        <v>0</v>
      </c>
      <c r="J12" s="38">
        <f>ELECT.!H13</f>
        <v>0</v>
      </c>
      <c r="K12" s="38">
        <f>ELECT.!K13</f>
        <v>0</v>
      </c>
      <c r="L12" s="38">
        <f>ELECT.!M13</f>
        <v>0</v>
      </c>
      <c r="M12" s="38">
        <f>ELECT.!O13</f>
        <v>0</v>
      </c>
      <c r="N12" s="38">
        <f>ELECT.!Q13</f>
        <v>0</v>
      </c>
      <c r="O12" s="38">
        <f>ELECT.!S13</f>
        <v>0</v>
      </c>
      <c r="P12" s="38">
        <f>ELECT.!W13*2</f>
        <v>0</v>
      </c>
      <c r="Q12" s="38">
        <f>ELECT.!D13</f>
        <v>0</v>
      </c>
      <c r="R12" s="39">
        <f>BTU!C13</f>
        <v>0</v>
      </c>
      <c r="S12" s="39">
        <f>BTU!F13</f>
        <v>0</v>
      </c>
      <c r="T12" s="39">
        <f>BTU!I13</f>
        <v>0</v>
      </c>
      <c r="U12" s="39">
        <f>BTU!O13</f>
        <v>0</v>
      </c>
      <c r="V12" s="39">
        <f>BTU!L13</f>
        <v>0</v>
      </c>
      <c r="W12" s="39">
        <f>BTU!R13</f>
        <v>0</v>
      </c>
      <c r="X12" s="36">
        <f>ELECT.!B13</f>
        <v>0</v>
      </c>
      <c r="Y12" s="36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6">
        <f t="shared" si="1"/>
        <v>-25.569199999999999</v>
      </c>
      <c r="AE12" s="36">
        <f t="shared" si="2"/>
        <v>-168.4308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0</v>
      </c>
      <c r="J13" s="38">
        <f>ELECT.!H14</f>
        <v>0</v>
      </c>
      <c r="K13" s="38">
        <f>ELECT.!K14</f>
        <v>0</v>
      </c>
      <c r="L13" s="38">
        <f>ELECT.!M14</f>
        <v>0</v>
      </c>
      <c r="M13" s="38">
        <f>ELECT.!O14</f>
        <v>0</v>
      </c>
      <c r="N13" s="38">
        <f>ELECT.!Q14</f>
        <v>0</v>
      </c>
      <c r="O13" s="38">
        <f>ELECT.!S14</f>
        <v>0</v>
      </c>
      <c r="P13" s="38">
        <f>ELECT.!W14*2</f>
        <v>0</v>
      </c>
      <c r="Q13" s="38">
        <f>ELECT.!D14</f>
        <v>0</v>
      </c>
      <c r="R13" s="39">
        <f>BTU!C14</f>
        <v>0</v>
      </c>
      <c r="S13" s="39">
        <f>BTU!F14</f>
        <v>0</v>
      </c>
      <c r="T13" s="39">
        <f>BTU!I14</f>
        <v>0</v>
      </c>
      <c r="U13" s="39">
        <f>BTU!O14</f>
        <v>0</v>
      </c>
      <c r="V13" s="39">
        <f>BTU!L14</f>
        <v>0</v>
      </c>
      <c r="W13" s="39">
        <f>BTU!R14</f>
        <v>0</v>
      </c>
      <c r="X13" s="36">
        <f>ELECT.!B14</f>
        <v>0</v>
      </c>
      <c r="Y13" s="36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6">
        <f t="shared" si="1"/>
        <v>-25.569199999999999</v>
      </c>
      <c r="AE13" s="36">
        <f t="shared" si="2"/>
        <v>-168.4308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0</v>
      </c>
      <c r="F14" s="38">
        <f>Water!E15</f>
        <v>0</v>
      </c>
      <c r="G14" s="38">
        <f>Water!G15</f>
        <v>0</v>
      </c>
      <c r="H14" s="38">
        <f>Water!I15</f>
        <v>0</v>
      </c>
      <c r="I14" s="38">
        <f>ELECT.!F15</f>
        <v>0</v>
      </c>
      <c r="J14" s="38">
        <f>ELECT.!H15</f>
        <v>0</v>
      </c>
      <c r="K14" s="38">
        <f>ELECT.!K15</f>
        <v>0</v>
      </c>
      <c r="L14" s="38">
        <f>ELECT.!M15</f>
        <v>0</v>
      </c>
      <c r="M14" s="38">
        <f>ELECT.!O15</f>
        <v>0</v>
      </c>
      <c r="N14" s="38">
        <f>ELECT.!Q15</f>
        <v>0</v>
      </c>
      <c r="O14" s="38">
        <f>ELECT.!S15</f>
        <v>0</v>
      </c>
      <c r="P14" s="38">
        <f>ELECT.!W15*2</f>
        <v>0</v>
      </c>
      <c r="Q14" s="38">
        <f>ELECT.!D15</f>
        <v>0</v>
      </c>
      <c r="R14" s="39">
        <f>BTU!C15</f>
        <v>0</v>
      </c>
      <c r="S14" s="39">
        <f>BTU!F15</f>
        <v>0</v>
      </c>
      <c r="T14" s="39">
        <f>BTU!I15</f>
        <v>0</v>
      </c>
      <c r="U14" s="39">
        <f>BTU!O15</f>
        <v>0</v>
      </c>
      <c r="V14" s="39">
        <f>BTU!L15</f>
        <v>0</v>
      </c>
      <c r="W14" s="39">
        <f>BTU!R15</f>
        <v>0</v>
      </c>
      <c r="X14" s="36">
        <f>ELECT.!B15</f>
        <v>0</v>
      </c>
      <c r="Y14" s="36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6">
        <f t="shared" si="1"/>
        <v>-25.569199999999999</v>
      </c>
      <c r="AE14" s="36">
        <f t="shared" si="2"/>
        <v>-168.4308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0</v>
      </c>
      <c r="F15" s="38">
        <f>Water!E16</f>
        <v>0</v>
      </c>
      <c r="G15" s="38">
        <f>Water!G16</f>
        <v>0</v>
      </c>
      <c r="H15" s="38">
        <f>Water!I16</f>
        <v>0</v>
      </c>
      <c r="I15" s="38">
        <f>ELECT.!F16</f>
        <v>0</v>
      </c>
      <c r="J15" s="38">
        <f>ELECT.!H16</f>
        <v>0</v>
      </c>
      <c r="K15" s="38">
        <f>ELECT.!K16</f>
        <v>0</v>
      </c>
      <c r="L15" s="38">
        <f>ELECT.!M16</f>
        <v>0</v>
      </c>
      <c r="M15" s="38">
        <f>ELECT.!O16</f>
        <v>0</v>
      </c>
      <c r="N15" s="38">
        <f>ELECT.!Q16</f>
        <v>0</v>
      </c>
      <c r="O15" s="38">
        <f>ELECT.!S16</f>
        <v>0</v>
      </c>
      <c r="P15" s="38">
        <f>ELECT.!W16*2</f>
        <v>0</v>
      </c>
      <c r="Q15" s="38">
        <f>ELECT.!D16</f>
        <v>0</v>
      </c>
      <c r="R15" s="39">
        <f>BTU!C16</f>
        <v>0</v>
      </c>
      <c r="S15" s="39">
        <f>BTU!F16</f>
        <v>0</v>
      </c>
      <c r="T15" s="39">
        <f>BTU!I16</f>
        <v>0</v>
      </c>
      <c r="U15" s="39">
        <f>BTU!O16</f>
        <v>0</v>
      </c>
      <c r="V15" s="39">
        <f>BTU!L16</f>
        <v>0</v>
      </c>
      <c r="W15" s="39">
        <f>BTU!R16</f>
        <v>0</v>
      </c>
      <c r="X15" s="36">
        <f>ELECT.!B16</f>
        <v>0</v>
      </c>
      <c r="Y15" s="36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6">
        <f t="shared" si="1"/>
        <v>-25.569199999999999</v>
      </c>
      <c r="AE15" s="36">
        <f t="shared" si="2"/>
        <v>-168.4308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>
        <f>ELECT.!F17</f>
        <v>0</v>
      </c>
      <c r="J16" s="38">
        <f>ELECT.!H17</f>
        <v>0</v>
      </c>
      <c r="K16" s="38">
        <f>ELECT.!K17</f>
        <v>0</v>
      </c>
      <c r="L16" s="38">
        <f>ELECT.!M17</f>
        <v>0</v>
      </c>
      <c r="M16" s="38">
        <f>ELECT.!O17</f>
        <v>0</v>
      </c>
      <c r="N16" s="38">
        <f>ELECT.!Q17</f>
        <v>0</v>
      </c>
      <c r="O16" s="38">
        <f>ELECT.!S17</f>
        <v>0</v>
      </c>
      <c r="P16" s="38">
        <f>ELECT.!W17*2</f>
        <v>0</v>
      </c>
      <c r="Q16" s="38">
        <f>ELECT.!D17</f>
        <v>0</v>
      </c>
      <c r="R16" s="39">
        <f>BTU!C17</f>
        <v>0</v>
      </c>
      <c r="S16" s="39">
        <f>BTU!F17</f>
        <v>0</v>
      </c>
      <c r="T16" s="39">
        <f>BTU!I17</f>
        <v>0</v>
      </c>
      <c r="U16" s="39">
        <f>BTU!O17</f>
        <v>0</v>
      </c>
      <c r="V16" s="39">
        <f>BTU!L17</f>
        <v>0</v>
      </c>
      <c r="W16" s="39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Water!C31</f>
        <v>7550</v>
      </c>
      <c r="F30" s="38">
        <f>Water!E31</f>
        <v>3800</v>
      </c>
      <c r="G30" s="38">
        <f>Water!G31</f>
        <v>2907.9</v>
      </c>
      <c r="H30" s="38">
        <f>Water!I31</f>
        <v>31.239000000000004</v>
      </c>
      <c r="I30" s="38">
        <f>ELECT.!F31</f>
        <v>112994</v>
      </c>
      <c r="J30" s="38">
        <f>ELECT.!H31</f>
        <v>341910</v>
      </c>
      <c r="K30" s="38">
        <f>ELECT.!K31</f>
        <v>76630</v>
      </c>
      <c r="L30" s="38">
        <f>ELECT.!M31</f>
        <v>51253</v>
      </c>
      <c r="M30" s="38">
        <f>ELECT.!O31</f>
        <v>60390</v>
      </c>
      <c r="N30" s="38">
        <f>ELECT.!Q31</f>
        <v>31847</v>
      </c>
      <c r="O30" s="38">
        <f>ELECT.!S31</f>
        <v>86023</v>
      </c>
      <c r="P30" s="38">
        <f>ELECT.!W31*2</f>
        <v>184336</v>
      </c>
      <c r="Q30" s="38">
        <f>ELECT.!D31</f>
        <v>3680</v>
      </c>
      <c r="R30" s="143">
        <f>BTU!C31</f>
        <v>32.567999999999302</v>
      </c>
      <c r="S30" s="143">
        <f>BTU!F31</f>
        <v>8.8559999999997672</v>
      </c>
      <c r="T30" s="143">
        <f>BTU!I31</f>
        <v>48</v>
      </c>
      <c r="U30" s="143">
        <f>BTU!O31</f>
        <v>10.860000000000127</v>
      </c>
      <c r="V30" s="143">
        <f>BTU!L31</f>
        <v>0</v>
      </c>
      <c r="W30" s="143">
        <f>BTU!R31</f>
        <v>2.2700000000004366</v>
      </c>
      <c r="X30" s="36">
        <f>ELECT.!B31</f>
        <v>2363</v>
      </c>
      <c r="Y30" s="36">
        <f t="shared" ref="Y30:Y32" si="4">I30+J30-(K30+L30+M30+N30+O30+P30)</f>
        <v>-35575</v>
      </c>
      <c r="Z30">
        <f>'Mall, Citadel, Rotana'!C31+'Mall, Citadel, Rotana'!E31+'Mall, Citadel, Rotana'!G31+'Mall, Citadel, Rotana'!I31</f>
        <v>10778</v>
      </c>
      <c r="AA30">
        <f>'Mall, Citadel, Rotana'!K31+'Mall, Citadel, Rotana'!M31</f>
        <v>4160</v>
      </c>
      <c r="AB30">
        <f>'Mall, Citadel, Rotana'!O31</f>
        <v>538</v>
      </c>
      <c r="AC30">
        <f>'Mall, Citadel, Rotana'!Q31+'Mall, Citadel, Rotana'!S31</f>
        <v>0</v>
      </c>
      <c r="AD30" s="36">
        <f t="shared" ref="AD30:AD32" si="5">(E30-H30-194)*0.1318</f>
        <v>965.40349980000008</v>
      </c>
      <c r="AE30" s="36">
        <f t="shared" ref="AE30:AE32" si="6">E30-H30-AD30-194</f>
        <v>6359.3575002000007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Water!C32</f>
        <v>0</v>
      </c>
      <c r="F31" s="38">
        <f>Water!E32</f>
        <v>0</v>
      </c>
      <c r="G31" s="38">
        <f>Water!G32</f>
        <v>0</v>
      </c>
      <c r="H31" s="38">
        <f>Water!I32</f>
        <v>0</v>
      </c>
      <c r="I31" s="38">
        <f>ELECT.!F32</f>
        <v>0</v>
      </c>
      <c r="J31" s="38">
        <f>ELECT.!H32</f>
        <v>0</v>
      </c>
      <c r="K31" s="38">
        <f>ELECT.!K32</f>
        <v>0</v>
      </c>
      <c r="L31" s="38">
        <f>ELECT.!M32</f>
        <v>0</v>
      </c>
      <c r="M31" s="38">
        <f>ELECT.!O32</f>
        <v>0</v>
      </c>
      <c r="N31" s="38">
        <f>ELECT.!Q32</f>
        <v>0</v>
      </c>
      <c r="O31" s="38">
        <f>ELECT.!S32</f>
        <v>0</v>
      </c>
      <c r="P31" s="38">
        <f>ELECT.!W32*2</f>
        <v>0</v>
      </c>
      <c r="Q31" s="38">
        <f>ELECT.!D32</f>
        <v>0</v>
      </c>
      <c r="R31" s="143">
        <f>BTU!C32</f>
        <v>0</v>
      </c>
      <c r="S31" s="143">
        <f>BTU!F32</f>
        <v>0</v>
      </c>
      <c r="T31" s="143">
        <f>BTU!I32</f>
        <v>0</v>
      </c>
      <c r="U31" s="143">
        <f>BTU!O32</f>
        <v>0</v>
      </c>
      <c r="V31" s="143">
        <f>BTU!L32</f>
        <v>0</v>
      </c>
      <c r="W31" s="143">
        <f>BTU!R32</f>
        <v>0</v>
      </c>
      <c r="X31" s="36">
        <f>ELECT.!B32</f>
        <v>0</v>
      </c>
      <c r="Y31" s="36">
        <f t="shared" si="4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6">
        <f t="shared" si="5"/>
        <v>-25.569199999999999</v>
      </c>
      <c r="AE31" s="36">
        <f t="shared" si="6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Water!C33</f>
        <v>0</v>
      </c>
      <c r="F32" s="38">
        <f>Water!E33</f>
        <v>0</v>
      </c>
      <c r="G32" s="38">
        <f>Water!G33</f>
        <v>0</v>
      </c>
      <c r="H32" s="38">
        <f>Water!I33</f>
        <v>0</v>
      </c>
      <c r="I32" s="38">
        <f>ELECT.!F33</f>
        <v>0</v>
      </c>
      <c r="J32" s="38">
        <f>ELECT.!H33</f>
        <v>0</v>
      </c>
      <c r="K32" s="38">
        <f>ELECT.!K33</f>
        <v>0</v>
      </c>
      <c r="L32" s="38">
        <f>ELECT.!M33</f>
        <v>0</v>
      </c>
      <c r="M32" s="38">
        <f>ELECT.!O33</f>
        <v>0</v>
      </c>
      <c r="N32" s="38">
        <f>ELECT.!Q33</f>
        <v>0</v>
      </c>
      <c r="O32" s="38">
        <f>ELECT.!S33</f>
        <v>0</v>
      </c>
      <c r="P32" s="38">
        <f>ELECT.!W33*2</f>
        <v>0</v>
      </c>
      <c r="Q32" s="38">
        <f>ELECT.!D33</f>
        <v>0</v>
      </c>
      <c r="R32" s="143">
        <f>BTU!C33</f>
        <v>0</v>
      </c>
      <c r="S32" s="143">
        <f>BTU!F33</f>
        <v>0</v>
      </c>
      <c r="T32" s="143">
        <f>BTU!I33</f>
        <v>0</v>
      </c>
      <c r="U32" s="143">
        <f>BTU!O33</f>
        <v>0</v>
      </c>
      <c r="V32" s="143">
        <f>BTU!L33</f>
        <v>0</v>
      </c>
      <c r="W32" s="143">
        <f>BTU!R33</f>
        <v>0</v>
      </c>
      <c r="X32" s="36">
        <f>ELECT.!B33</f>
        <v>0</v>
      </c>
      <c r="Y32" s="36">
        <f t="shared" si="4"/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6">
        <f t="shared" si="5"/>
        <v>-25.569199999999999</v>
      </c>
      <c r="AE32" s="36">
        <f t="shared" si="6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U11" sqref="U11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/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/>
      <c r="Q3" s="15">
        <v>124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0" si="0">(B4-B3)*800/5</f>
        <v>800</v>
      </c>
      <c r="D4" s="33">
        <v>40351</v>
      </c>
      <c r="E4" s="15">
        <f t="shared" ref="E4:E30" si="1">(D4-D3)*800/5</f>
        <v>640</v>
      </c>
      <c r="F4" s="33">
        <v>21383</v>
      </c>
      <c r="G4" s="15">
        <f t="shared" ref="G4:G30" si="2">(F4-F3)*100/5</f>
        <v>100</v>
      </c>
      <c r="H4" s="33">
        <v>254013</v>
      </c>
      <c r="I4" s="15">
        <f t="shared" ref="I4:I30" si="3">(H4-H3)</f>
        <v>14</v>
      </c>
      <c r="J4" s="33">
        <v>303517</v>
      </c>
      <c r="K4" s="15">
        <v>0</v>
      </c>
      <c r="L4" s="33">
        <v>25905</v>
      </c>
      <c r="M4" s="15">
        <f t="shared" ref="M4:M30" si="4">(L4-L3)*800/5</f>
        <v>960</v>
      </c>
      <c r="N4" s="33">
        <v>225367</v>
      </c>
      <c r="O4" s="15">
        <f t="shared" ref="O4:O30" si="5">N4-N3</f>
        <v>136</v>
      </c>
      <c r="P4" s="33"/>
      <c r="Q4" s="15">
        <f t="shared" ref="Q4:Q29" si="6">P4-P3</f>
        <v>0</v>
      </c>
      <c r="R4" s="1">
        <v>55047</v>
      </c>
      <c r="S4" s="15">
        <f t="shared" ref="S4:S30" si="7">R4-R3</f>
        <v>0</v>
      </c>
      <c r="T4" s="33">
        <v>3942</v>
      </c>
      <c r="U4" s="15">
        <f t="shared" ref="U4:U30" si="8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0"/>
        <v>800</v>
      </c>
      <c r="D5" s="33">
        <v>40355</v>
      </c>
      <c r="E5" s="15">
        <f t="shared" si="1"/>
        <v>640</v>
      </c>
      <c r="F5" s="33">
        <v>21388</v>
      </c>
      <c r="G5" s="15">
        <f t="shared" si="2"/>
        <v>100</v>
      </c>
      <c r="H5" s="33">
        <v>254025</v>
      </c>
      <c r="I5" s="15">
        <f t="shared" si="3"/>
        <v>12</v>
      </c>
      <c r="J5" s="33">
        <v>303517</v>
      </c>
      <c r="K5" s="15">
        <v>0</v>
      </c>
      <c r="L5" s="33">
        <v>25908</v>
      </c>
      <c r="M5" s="15">
        <f t="shared" si="4"/>
        <v>480</v>
      </c>
      <c r="N5" s="33">
        <v>225498</v>
      </c>
      <c r="O5" s="15">
        <f t="shared" si="5"/>
        <v>131</v>
      </c>
      <c r="P5" s="33"/>
      <c r="Q5" s="15">
        <f t="shared" si="6"/>
        <v>0</v>
      </c>
      <c r="R5" s="1">
        <v>55047</v>
      </c>
      <c r="S5" s="15">
        <f t="shared" si="7"/>
        <v>0</v>
      </c>
      <c r="T5" s="33">
        <v>3943</v>
      </c>
      <c r="U5" s="15">
        <f t="shared" si="8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0"/>
        <v>640</v>
      </c>
      <c r="D6" s="33">
        <v>40357</v>
      </c>
      <c r="E6" s="15">
        <f t="shared" si="1"/>
        <v>320</v>
      </c>
      <c r="F6" s="33">
        <v>21390</v>
      </c>
      <c r="G6" s="15">
        <f t="shared" si="2"/>
        <v>40</v>
      </c>
      <c r="H6" s="33">
        <v>254044</v>
      </c>
      <c r="I6" s="15">
        <f t="shared" si="3"/>
        <v>19</v>
      </c>
      <c r="J6" s="33">
        <v>303517</v>
      </c>
      <c r="K6" s="15">
        <v>0</v>
      </c>
      <c r="L6" s="33">
        <v>25910</v>
      </c>
      <c r="M6" s="15">
        <f t="shared" si="4"/>
        <v>320</v>
      </c>
      <c r="N6" s="33">
        <v>225553</v>
      </c>
      <c r="O6" s="15">
        <f t="shared" si="5"/>
        <v>55</v>
      </c>
      <c r="P6" s="33"/>
      <c r="Q6" s="15">
        <f t="shared" si="6"/>
        <v>0</v>
      </c>
      <c r="R6" s="1">
        <v>55047</v>
      </c>
      <c r="S6" s="15">
        <v>0</v>
      </c>
      <c r="T6" s="33">
        <v>3944</v>
      </c>
      <c r="U6" s="15">
        <f t="shared" si="8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0"/>
        <v>640</v>
      </c>
      <c r="D7" s="33">
        <v>40361</v>
      </c>
      <c r="E7" s="15">
        <f t="shared" si="1"/>
        <v>640</v>
      </c>
      <c r="F7" s="33">
        <v>21391</v>
      </c>
      <c r="G7" s="15">
        <f t="shared" si="2"/>
        <v>20</v>
      </c>
      <c r="H7" s="33">
        <f>H6</f>
        <v>254044</v>
      </c>
      <c r="I7" s="15">
        <f t="shared" si="3"/>
        <v>0</v>
      </c>
      <c r="J7" s="33">
        <v>303517</v>
      </c>
      <c r="K7" s="15">
        <v>0</v>
      </c>
      <c r="L7" s="33">
        <v>25912</v>
      </c>
      <c r="M7" s="15">
        <f t="shared" si="4"/>
        <v>320</v>
      </c>
      <c r="N7" s="33">
        <v>225644</v>
      </c>
      <c r="O7" s="15">
        <f t="shared" si="5"/>
        <v>91</v>
      </c>
      <c r="P7" s="33"/>
      <c r="Q7" s="15">
        <v>0</v>
      </c>
      <c r="R7" s="1">
        <v>55047</v>
      </c>
      <c r="S7" s="15">
        <v>0</v>
      </c>
      <c r="T7" s="33">
        <v>3945</v>
      </c>
      <c r="U7" s="15">
        <f t="shared" si="8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0"/>
        <v>800</v>
      </c>
      <c r="D8" s="33">
        <v>40364</v>
      </c>
      <c r="E8" s="15">
        <f t="shared" si="1"/>
        <v>480</v>
      </c>
      <c r="F8" s="33">
        <v>21397</v>
      </c>
      <c r="G8" s="15">
        <f t="shared" si="2"/>
        <v>120</v>
      </c>
      <c r="H8" s="33">
        <v>254076</v>
      </c>
      <c r="I8" s="15">
        <f t="shared" si="3"/>
        <v>32</v>
      </c>
      <c r="J8" s="33">
        <v>303517</v>
      </c>
      <c r="K8" s="15">
        <v>0</v>
      </c>
      <c r="L8" s="33">
        <v>25916</v>
      </c>
      <c r="M8" s="15">
        <f t="shared" si="4"/>
        <v>640</v>
      </c>
      <c r="N8" s="33">
        <v>225756</v>
      </c>
      <c r="O8" s="15">
        <f t="shared" si="5"/>
        <v>112</v>
      </c>
      <c r="P8" s="33">
        <v>143493</v>
      </c>
      <c r="Q8" s="15">
        <f t="shared" si="6"/>
        <v>143493</v>
      </c>
      <c r="R8" s="1">
        <v>55047</v>
      </c>
      <c r="S8" s="15">
        <f>R8-R7</f>
        <v>0</v>
      </c>
      <c r="T8" s="33">
        <v>3952</v>
      </c>
      <c r="U8" s="15">
        <f t="shared" si="8"/>
        <v>1120</v>
      </c>
    </row>
    <row r="9" spans="1:24" ht="13.5" thickBot="1" x14ac:dyDescent="0.25">
      <c r="A9" s="9">
        <v>44627</v>
      </c>
      <c r="B9" s="33">
        <v>46728</v>
      </c>
      <c r="C9" s="15">
        <f t="shared" si="0"/>
        <v>640</v>
      </c>
      <c r="D9" s="33">
        <v>40367</v>
      </c>
      <c r="E9" s="15">
        <f t="shared" si="1"/>
        <v>480</v>
      </c>
      <c r="F9" s="33">
        <v>21400</v>
      </c>
      <c r="G9" s="15">
        <f t="shared" si="2"/>
        <v>60</v>
      </c>
      <c r="H9" s="33">
        <v>254089</v>
      </c>
      <c r="I9" s="15">
        <f t="shared" si="3"/>
        <v>13</v>
      </c>
      <c r="J9" s="33">
        <v>303677</v>
      </c>
      <c r="K9" s="15">
        <v>0</v>
      </c>
      <c r="L9" s="33">
        <v>25919</v>
      </c>
      <c r="M9" s="15">
        <f t="shared" si="4"/>
        <v>480</v>
      </c>
      <c r="N9" s="33">
        <v>225763</v>
      </c>
      <c r="O9" s="15">
        <f t="shared" si="5"/>
        <v>7</v>
      </c>
      <c r="P9" s="33">
        <v>143562</v>
      </c>
      <c r="Q9" s="15">
        <f>P9-P8</f>
        <v>69</v>
      </c>
      <c r="R9" s="1">
        <v>55047</v>
      </c>
      <c r="S9" s="15">
        <f>R9-R8</f>
        <v>0</v>
      </c>
      <c r="T9" s="33">
        <v>3953</v>
      </c>
      <c r="U9" s="15">
        <f t="shared" si="8"/>
        <v>160</v>
      </c>
    </row>
    <row r="10" spans="1:24" ht="13.5" thickBot="1" x14ac:dyDescent="0.25">
      <c r="A10" s="9">
        <v>44628</v>
      </c>
      <c r="B10" s="33">
        <v>46733</v>
      </c>
      <c r="C10" s="15">
        <f t="shared" si="0"/>
        <v>800</v>
      </c>
      <c r="D10" s="33">
        <v>40370</v>
      </c>
      <c r="E10" s="15">
        <f t="shared" si="1"/>
        <v>480</v>
      </c>
      <c r="F10" s="33">
        <v>21404</v>
      </c>
      <c r="G10" s="15">
        <f t="shared" si="2"/>
        <v>80</v>
      </c>
      <c r="H10" s="33">
        <v>254103</v>
      </c>
      <c r="I10" s="15">
        <f t="shared" si="3"/>
        <v>14</v>
      </c>
      <c r="J10" s="33">
        <v>303848</v>
      </c>
      <c r="K10" s="15">
        <v>0</v>
      </c>
      <c r="L10" s="33">
        <v>25922</v>
      </c>
      <c r="M10" s="15">
        <f t="shared" si="4"/>
        <v>480</v>
      </c>
      <c r="N10" s="33">
        <v>225766</v>
      </c>
      <c r="O10" s="15">
        <f t="shared" si="5"/>
        <v>3</v>
      </c>
      <c r="P10" s="33">
        <v>143711</v>
      </c>
      <c r="Q10" s="15">
        <f>P10-P9</f>
        <v>149</v>
      </c>
      <c r="R10" s="1">
        <v>55047</v>
      </c>
      <c r="S10" s="15">
        <f>R10-R9</f>
        <v>0</v>
      </c>
      <c r="T10" s="33">
        <v>3954</v>
      </c>
      <c r="U10" s="15">
        <f t="shared" si="8"/>
        <v>160</v>
      </c>
    </row>
    <row r="11" spans="1:24" ht="13.5" thickBot="1" x14ac:dyDescent="0.25">
      <c r="A11" s="9">
        <v>44629</v>
      </c>
      <c r="B11" s="33">
        <v>46738</v>
      </c>
      <c r="C11" s="15">
        <f t="shared" si="0"/>
        <v>800</v>
      </c>
      <c r="D11" s="33">
        <v>40373</v>
      </c>
      <c r="E11" s="15">
        <f t="shared" si="1"/>
        <v>480</v>
      </c>
      <c r="F11" s="33">
        <v>21407</v>
      </c>
      <c r="G11" s="15">
        <f t="shared" si="2"/>
        <v>60</v>
      </c>
      <c r="H11" s="33">
        <v>254117</v>
      </c>
      <c r="I11" s="15">
        <f t="shared" si="3"/>
        <v>14</v>
      </c>
      <c r="J11" s="33">
        <v>304017</v>
      </c>
      <c r="K11" s="15">
        <v>0</v>
      </c>
      <c r="L11" s="33">
        <v>25925</v>
      </c>
      <c r="M11" s="15">
        <f t="shared" si="4"/>
        <v>480</v>
      </c>
      <c r="N11" s="33">
        <v>225769</v>
      </c>
      <c r="O11" s="15">
        <f t="shared" si="5"/>
        <v>3</v>
      </c>
      <c r="P11" s="33">
        <f t="shared" ref="P11:P30" si="9">P10</f>
        <v>143711</v>
      </c>
      <c r="Q11" s="15">
        <f t="shared" si="6"/>
        <v>0</v>
      </c>
      <c r="R11" s="1">
        <v>55047</v>
      </c>
      <c r="S11" s="15">
        <f t="shared" si="7"/>
        <v>0</v>
      </c>
      <c r="T11" s="33">
        <v>3954</v>
      </c>
      <c r="U11" s="15">
        <f t="shared" si="8"/>
        <v>0</v>
      </c>
    </row>
    <row r="12" spans="1:24" ht="13.5" thickBot="1" x14ac:dyDescent="0.25">
      <c r="A12" s="9">
        <v>44630</v>
      </c>
      <c r="B12" s="33">
        <f t="shared" ref="B11:B30" si="10">B11</f>
        <v>46738</v>
      </c>
      <c r="C12" s="15">
        <f t="shared" si="0"/>
        <v>0</v>
      </c>
      <c r="D12" s="33">
        <f t="shared" ref="D11:D30" si="11">D11</f>
        <v>40373</v>
      </c>
      <c r="E12" s="15">
        <f t="shared" si="1"/>
        <v>0</v>
      </c>
      <c r="F12" s="33">
        <f t="shared" ref="F11:F30" si="12">F11</f>
        <v>21407</v>
      </c>
      <c r="G12" s="15">
        <f t="shared" si="2"/>
        <v>0</v>
      </c>
      <c r="H12" s="33">
        <f t="shared" ref="H11:H30" si="13">H11</f>
        <v>254117</v>
      </c>
      <c r="I12" s="15">
        <f t="shared" si="3"/>
        <v>0</v>
      </c>
      <c r="J12" s="33">
        <v>303517</v>
      </c>
      <c r="K12" s="15">
        <v>0</v>
      </c>
      <c r="L12" s="33">
        <f t="shared" ref="L11:L30" si="14">L11</f>
        <v>25925</v>
      </c>
      <c r="M12" s="15">
        <f t="shared" si="4"/>
        <v>0</v>
      </c>
      <c r="N12" s="33">
        <f t="shared" ref="N11:N30" si="15">N11</f>
        <v>225769</v>
      </c>
      <c r="O12" s="15">
        <f t="shared" si="5"/>
        <v>0</v>
      </c>
      <c r="P12" s="33">
        <f t="shared" si="9"/>
        <v>143711</v>
      </c>
      <c r="Q12" s="15">
        <f t="shared" si="6"/>
        <v>0</v>
      </c>
      <c r="R12" s="1">
        <v>55047</v>
      </c>
      <c r="S12" s="15">
        <f t="shared" si="7"/>
        <v>0</v>
      </c>
      <c r="T12" s="33">
        <f t="shared" ref="T11:T30" si="16">T11</f>
        <v>3954</v>
      </c>
      <c r="U12" s="15">
        <f t="shared" si="8"/>
        <v>0</v>
      </c>
    </row>
    <row r="13" spans="1:24" ht="13.5" thickBot="1" x14ac:dyDescent="0.25">
      <c r="A13" s="9">
        <v>44631</v>
      </c>
      <c r="B13" s="33">
        <f t="shared" si="10"/>
        <v>46738</v>
      </c>
      <c r="C13" s="15">
        <f t="shared" si="0"/>
        <v>0</v>
      </c>
      <c r="D13" s="33">
        <f t="shared" si="11"/>
        <v>40373</v>
      </c>
      <c r="E13" s="15">
        <f t="shared" si="1"/>
        <v>0</v>
      </c>
      <c r="F13" s="33">
        <f t="shared" si="12"/>
        <v>21407</v>
      </c>
      <c r="G13" s="15">
        <f t="shared" si="2"/>
        <v>0</v>
      </c>
      <c r="H13" s="33">
        <f t="shared" si="13"/>
        <v>254117</v>
      </c>
      <c r="I13" s="15">
        <f t="shared" si="3"/>
        <v>0</v>
      </c>
      <c r="J13" s="33">
        <v>303517</v>
      </c>
      <c r="K13" s="15">
        <v>0</v>
      </c>
      <c r="L13" s="33">
        <f t="shared" si="14"/>
        <v>25925</v>
      </c>
      <c r="M13" s="15">
        <f t="shared" si="4"/>
        <v>0</v>
      </c>
      <c r="N13" s="33">
        <f t="shared" si="15"/>
        <v>225769</v>
      </c>
      <c r="O13" s="15">
        <f t="shared" si="5"/>
        <v>0</v>
      </c>
      <c r="P13" s="33">
        <f t="shared" si="9"/>
        <v>143711</v>
      </c>
      <c r="Q13" s="15">
        <f t="shared" si="6"/>
        <v>0</v>
      </c>
      <c r="R13" s="1">
        <v>55047</v>
      </c>
      <c r="S13" s="15">
        <f t="shared" si="7"/>
        <v>0</v>
      </c>
      <c r="T13" s="33">
        <f t="shared" si="16"/>
        <v>3954</v>
      </c>
      <c r="U13" s="15">
        <f t="shared" si="8"/>
        <v>0</v>
      </c>
    </row>
    <row r="14" spans="1:24" ht="13.5" thickBot="1" x14ac:dyDescent="0.25">
      <c r="A14" s="9">
        <v>44632</v>
      </c>
      <c r="B14" s="33">
        <f t="shared" si="10"/>
        <v>46738</v>
      </c>
      <c r="C14" s="15">
        <f t="shared" si="0"/>
        <v>0</v>
      </c>
      <c r="D14" s="33">
        <f t="shared" si="11"/>
        <v>40373</v>
      </c>
      <c r="E14" s="15">
        <f t="shared" si="1"/>
        <v>0</v>
      </c>
      <c r="F14" s="33">
        <f t="shared" si="12"/>
        <v>21407</v>
      </c>
      <c r="G14" s="15">
        <f t="shared" si="2"/>
        <v>0</v>
      </c>
      <c r="H14" s="33">
        <f t="shared" si="13"/>
        <v>254117</v>
      </c>
      <c r="I14" s="15">
        <f t="shared" si="3"/>
        <v>0</v>
      </c>
      <c r="J14" s="33">
        <v>303517</v>
      </c>
      <c r="K14" s="15">
        <v>0</v>
      </c>
      <c r="L14" s="33">
        <f t="shared" si="14"/>
        <v>25925</v>
      </c>
      <c r="M14" s="15">
        <f t="shared" si="4"/>
        <v>0</v>
      </c>
      <c r="N14" s="33">
        <f t="shared" si="15"/>
        <v>225769</v>
      </c>
      <c r="O14" s="15">
        <f t="shared" si="5"/>
        <v>0</v>
      </c>
      <c r="P14" s="33">
        <f t="shared" si="9"/>
        <v>143711</v>
      </c>
      <c r="Q14" s="15">
        <f t="shared" si="6"/>
        <v>0</v>
      </c>
      <c r="R14" s="1">
        <v>55047</v>
      </c>
      <c r="S14" s="15">
        <v>0</v>
      </c>
      <c r="T14" s="33">
        <f t="shared" si="16"/>
        <v>3954</v>
      </c>
      <c r="U14" s="15">
        <f t="shared" si="8"/>
        <v>0</v>
      </c>
    </row>
    <row r="15" spans="1:24" ht="13.5" thickBot="1" x14ac:dyDescent="0.25">
      <c r="A15" s="9">
        <v>44633</v>
      </c>
      <c r="B15" s="33">
        <f t="shared" si="10"/>
        <v>46738</v>
      </c>
      <c r="C15" s="15">
        <f t="shared" si="0"/>
        <v>0</v>
      </c>
      <c r="D15" s="33">
        <f t="shared" si="11"/>
        <v>40373</v>
      </c>
      <c r="E15" s="15">
        <f t="shared" si="1"/>
        <v>0</v>
      </c>
      <c r="F15" s="33">
        <f t="shared" si="12"/>
        <v>21407</v>
      </c>
      <c r="G15" s="15">
        <f t="shared" ref="G15" si="17">(F15-F14)*100/5</f>
        <v>0</v>
      </c>
      <c r="H15" s="33">
        <f t="shared" si="13"/>
        <v>254117</v>
      </c>
      <c r="I15" s="15">
        <f t="shared" ref="I15" si="18">(H15-H14)</f>
        <v>0</v>
      </c>
      <c r="J15" s="33">
        <v>303517</v>
      </c>
      <c r="K15" s="15">
        <v>0</v>
      </c>
      <c r="L15" s="33">
        <f t="shared" si="14"/>
        <v>25925</v>
      </c>
      <c r="M15" s="15">
        <f t="shared" ref="M15" si="19">(L15-L14)*800/5</f>
        <v>0</v>
      </c>
      <c r="N15" s="33">
        <f t="shared" si="15"/>
        <v>225769</v>
      </c>
      <c r="O15" s="15">
        <f t="shared" ref="O15" si="20">N15-N14</f>
        <v>0</v>
      </c>
      <c r="P15" s="33">
        <f t="shared" si="9"/>
        <v>143711</v>
      </c>
      <c r="Q15" s="15">
        <f t="shared" ref="Q15" si="21">P15-P14</f>
        <v>0</v>
      </c>
      <c r="R15" s="1">
        <v>55047</v>
      </c>
      <c r="S15" s="15">
        <v>0</v>
      </c>
      <c r="T15" s="33">
        <f t="shared" si="16"/>
        <v>3954</v>
      </c>
      <c r="U15" s="15">
        <f t="shared" ref="U15" si="22">(T15-T14)*800/5</f>
        <v>0</v>
      </c>
      <c r="X15" t="s">
        <v>12</v>
      </c>
    </row>
    <row r="16" spans="1:24" ht="13.5" thickBot="1" x14ac:dyDescent="0.25">
      <c r="A16" s="9">
        <v>44634</v>
      </c>
      <c r="B16" s="33">
        <f t="shared" si="10"/>
        <v>46738</v>
      </c>
      <c r="C16" s="15">
        <f t="shared" si="0"/>
        <v>0</v>
      </c>
      <c r="D16" s="33">
        <f t="shared" si="11"/>
        <v>40373</v>
      </c>
      <c r="E16" s="15">
        <f t="shared" si="1"/>
        <v>0</v>
      </c>
      <c r="F16" s="33">
        <f t="shared" si="12"/>
        <v>21407</v>
      </c>
      <c r="G16" s="15">
        <f t="shared" si="2"/>
        <v>0</v>
      </c>
      <c r="H16" s="33">
        <f t="shared" si="13"/>
        <v>254117</v>
      </c>
      <c r="I16" s="15">
        <f t="shared" si="3"/>
        <v>0</v>
      </c>
      <c r="J16" s="33">
        <v>303517</v>
      </c>
      <c r="K16" s="15">
        <v>0</v>
      </c>
      <c r="L16" s="33">
        <f t="shared" si="14"/>
        <v>25925</v>
      </c>
      <c r="M16" s="15">
        <f t="shared" si="4"/>
        <v>0</v>
      </c>
      <c r="N16" s="33">
        <f t="shared" si="15"/>
        <v>225769</v>
      </c>
      <c r="O16" s="15">
        <f t="shared" si="5"/>
        <v>0</v>
      </c>
      <c r="P16" s="33">
        <f t="shared" si="9"/>
        <v>143711</v>
      </c>
      <c r="Q16" s="15">
        <f t="shared" si="6"/>
        <v>0</v>
      </c>
      <c r="R16" s="1">
        <v>55047</v>
      </c>
      <c r="S16" s="15">
        <f t="shared" si="7"/>
        <v>0</v>
      </c>
      <c r="T16" s="33">
        <f t="shared" si="16"/>
        <v>3954</v>
      </c>
      <c r="U16" s="15">
        <f t="shared" si="8"/>
        <v>0</v>
      </c>
      <c r="W16" t="s">
        <v>12</v>
      </c>
    </row>
    <row r="17" spans="1:23" ht="13.5" thickBot="1" x14ac:dyDescent="0.25">
      <c r="A17" s="9">
        <v>44635</v>
      </c>
      <c r="B17" s="33">
        <f t="shared" si="10"/>
        <v>46738</v>
      </c>
      <c r="C17" s="15">
        <f t="shared" si="0"/>
        <v>0</v>
      </c>
      <c r="D17" s="33">
        <f t="shared" si="11"/>
        <v>40373</v>
      </c>
      <c r="E17" s="15">
        <f t="shared" si="1"/>
        <v>0</v>
      </c>
      <c r="F17" s="33">
        <f t="shared" si="12"/>
        <v>21407</v>
      </c>
      <c r="G17" s="15">
        <f t="shared" si="2"/>
        <v>0</v>
      </c>
      <c r="H17" s="33">
        <f t="shared" si="13"/>
        <v>254117</v>
      </c>
      <c r="I17" s="15">
        <f t="shared" si="3"/>
        <v>0</v>
      </c>
      <c r="J17" s="33">
        <v>303517</v>
      </c>
      <c r="K17" s="15">
        <v>0</v>
      </c>
      <c r="L17" s="33">
        <f t="shared" si="14"/>
        <v>25925</v>
      </c>
      <c r="M17" s="15">
        <f t="shared" si="4"/>
        <v>0</v>
      </c>
      <c r="N17" s="33">
        <f t="shared" si="15"/>
        <v>225769</v>
      </c>
      <c r="O17" s="15">
        <f t="shared" si="5"/>
        <v>0</v>
      </c>
      <c r="P17" s="33">
        <f t="shared" si="9"/>
        <v>143711</v>
      </c>
      <c r="Q17" s="15">
        <f t="shared" si="6"/>
        <v>0</v>
      </c>
      <c r="R17" s="1">
        <v>55047</v>
      </c>
      <c r="S17" s="15">
        <f>S16</f>
        <v>0</v>
      </c>
      <c r="T17" s="33">
        <f t="shared" si="16"/>
        <v>3954</v>
      </c>
      <c r="U17" s="15">
        <f t="shared" si="8"/>
        <v>0</v>
      </c>
    </row>
    <row r="18" spans="1:23" ht="13.5" thickBot="1" x14ac:dyDescent="0.25">
      <c r="A18" s="9">
        <v>44636</v>
      </c>
      <c r="B18" s="33">
        <f t="shared" si="10"/>
        <v>46738</v>
      </c>
      <c r="C18" s="15">
        <f t="shared" si="0"/>
        <v>0</v>
      </c>
      <c r="D18" s="33">
        <f t="shared" si="11"/>
        <v>40373</v>
      </c>
      <c r="E18" s="15">
        <f t="shared" si="1"/>
        <v>0</v>
      </c>
      <c r="F18" s="33">
        <f t="shared" si="12"/>
        <v>21407</v>
      </c>
      <c r="G18" s="15">
        <f t="shared" si="2"/>
        <v>0</v>
      </c>
      <c r="H18" s="33">
        <f t="shared" si="13"/>
        <v>254117</v>
      </c>
      <c r="I18" s="15">
        <f t="shared" si="3"/>
        <v>0</v>
      </c>
      <c r="J18" s="33">
        <v>303517</v>
      </c>
      <c r="K18" s="15">
        <v>0</v>
      </c>
      <c r="L18" s="33">
        <f t="shared" si="14"/>
        <v>25925</v>
      </c>
      <c r="M18" s="15">
        <f t="shared" si="4"/>
        <v>0</v>
      </c>
      <c r="N18" s="33">
        <f t="shared" si="15"/>
        <v>225769</v>
      </c>
      <c r="O18" s="15">
        <f t="shared" si="5"/>
        <v>0</v>
      </c>
      <c r="P18" s="33">
        <f t="shared" si="9"/>
        <v>143711</v>
      </c>
      <c r="Q18" s="15">
        <f t="shared" si="6"/>
        <v>0</v>
      </c>
      <c r="R18" s="1">
        <v>55047</v>
      </c>
      <c r="S18" s="15">
        <f t="shared" si="7"/>
        <v>0</v>
      </c>
      <c r="T18" s="33">
        <f t="shared" si="16"/>
        <v>3954</v>
      </c>
      <c r="U18" s="15">
        <f t="shared" si="8"/>
        <v>0</v>
      </c>
    </row>
    <row r="19" spans="1:23" ht="13.5" thickBot="1" x14ac:dyDescent="0.25">
      <c r="A19" s="9">
        <v>44637</v>
      </c>
      <c r="B19" s="33">
        <f t="shared" si="10"/>
        <v>46738</v>
      </c>
      <c r="C19" s="15">
        <f t="shared" si="0"/>
        <v>0</v>
      </c>
      <c r="D19" s="33">
        <f t="shared" si="11"/>
        <v>40373</v>
      </c>
      <c r="E19" s="15">
        <f t="shared" si="1"/>
        <v>0</v>
      </c>
      <c r="F19" s="33">
        <f t="shared" si="12"/>
        <v>21407</v>
      </c>
      <c r="G19" s="15">
        <f t="shared" si="2"/>
        <v>0</v>
      </c>
      <c r="H19" s="33">
        <f t="shared" si="13"/>
        <v>254117</v>
      </c>
      <c r="I19" s="15">
        <f t="shared" si="3"/>
        <v>0</v>
      </c>
      <c r="J19" s="33">
        <v>303517</v>
      </c>
      <c r="K19" s="15">
        <v>0</v>
      </c>
      <c r="L19" s="33">
        <f t="shared" si="14"/>
        <v>25925</v>
      </c>
      <c r="M19" s="15">
        <f t="shared" si="4"/>
        <v>0</v>
      </c>
      <c r="N19" s="33">
        <f t="shared" si="15"/>
        <v>225769</v>
      </c>
      <c r="O19" s="15">
        <f t="shared" si="5"/>
        <v>0</v>
      </c>
      <c r="P19" s="33">
        <f t="shared" si="9"/>
        <v>143711</v>
      </c>
      <c r="Q19" s="15">
        <f t="shared" si="6"/>
        <v>0</v>
      </c>
      <c r="R19" s="1">
        <v>55047</v>
      </c>
      <c r="S19" s="15">
        <f t="shared" si="7"/>
        <v>0</v>
      </c>
      <c r="T19" s="33">
        <f t="shared" si="16"/>
        <v>3954</v>
      </c>
      <c r="U19" s="15">
        <f t="shared" si="8"/>
        <v>0</v>
      </c>
      <c r="W19" t="s">
        <v>12</v>
      </c>
    </row>
    <row r="20" spans="1:23" ht="13.5" thickBot="1" x14ac:dyDescent="0.25">
      <c r="A20" s="9">
        <v>44638</v>
      </c>
      <c r="B20" s="33">
        <f t="shared" si="10"/>
        <v>46738</v>
      </c>
      <c r="C20" s="15">
        <f t="shared" si="0"/>
        <v>0</v>
      </c>
      <c r="D20" s="33">
        <f t="shared" si="11"/>
        <v>40373</v>
      </c>
      <c r="E20" s="15">
        <f t="shared" si="1"/>
        <v>0</v>
      </c>
      <c r="F20" s="33">
        <f t="shared" si="12"/>
        <v>21407</v>
      </c>
      <c r="G20" s="15">
        <f t="shared" si="2"/>
        <v>0</v>
      </c>
      <c r="H20" s="33">
        <f t="shared" si="13"/>
        <v>254117</v>
      </c>
      <c r="I20" s="15">
        <f t="shared" si="3"/>
        <v>0</v>
      </c>
      <c r="J20" s="33">
        <v>303517</v>
      </c>
      <c r="K20" s="15">
        <v>0</v>
      </c>
      <c r="L20" s="33">
        <f t="shared" si="14"/>
        <v>25925</v>
      </c>
      <c r="M20" s="15">
        <f t="shared" si="4"/>
        <v>0</v>
      </c>
      <c r="N20" s="33">
        <f t="shared" si="15"/>
        <v>225769</v>
      </c>
      <c r="O20" s="15">
        <f t="shared" si="5"/>
        <v>0</v>
      </c>
      <c r="P20" s="33">
        <f t="shared" si="9"/>
        <v>143711</v>
      </c>
      <c r="Q20" s="15">
        <f>P20-P19</f>
        <v>0</v>
      </c>
      <c r="R20" s="1">
        <v>55047</v>
      </c>
      <c r="S20" s="15">
        <f t="shared" si="7"/>
        <v>0</v>
      </c>
      <c r="T20" s="33">
        <f t="shared" si="16"/>
        <v>3954</v>
      </c>
      <c r="U20" s="15">
        <f t="shared" si="8"/>
        <v>0</v>
      </c>
    </row>
    <row r="21" spans="1:23" ht="13.5" thickBot="1" x14ac:dyDescent="0.25">
      <c r="A21" s="9">
        <v>44639</v>
      </c>
      <c r="B21" s="33">
        <f t="shared" si="10"/>
        <v>46738</v>
      </c>
      <c r="C21" s="15">
        <f t="shared" si="0"/>
        <v>0</v>
      </c>
      <c r="D21" s="33">
        <f t="shared" si="11"/>
        <v>40373</v>
      </c>
      <c r="E21" s="15">
        <f t="shared" si="1"/>
        <v>0</v>
      </c>
      <c r="F21" s="33">
        <f t="shared" si="12"/>
        <v>21407</v>
      </c>
      <c r="G21" s="15">
        <f t="shared" si="2"/>
        <v>0</v>
      </c>
      <c r="H21" s="33">
        <f t="shared" si="13"/>
        <v>254117</v>
      </c>
      <c r="I21" s="15">
        <f t="shared" si="3"/>
        <v>0</v>
      </c>
      <c r="J21" s="33">
        <v>303517</v>
      </c>
      <c r="K21" s="15">
        <v>0</v>
      </c>
      <c r="L21" s="33">
        <f t="shared" si="14"/>
        <v>25925</v>
      </c>
      <c r="M21" s="15">
        <f t="shared" si="4"/>
        <v>0</v>
      </c>
      <c r="N21" s="33">
        <f t="shared" si="15"/>
        <v>225769</v>
      </c>
      <c r="O21" s="15">
        <f t="shared" si="5"/>
        <v>0</v>
      </c>
      <c r="P21" s="33">
        <f t="shared" si="9"/>
        <v>143711</v>
      </c>
      <c r="Q21" s="15">
        <f t="shared" si="6"/>
        <v>0</v>
      </c>
      <c r="R21" s="1">
        <v>55047</v>
      </c>
      <c r="S21" s="15">
        <f t="shared" si="7"/>
        <v>0</v>
      </c>
      <c r="T21" s="33">
        <f t="shared" si="16"/>
        <v>3954</v>
      </c>
      <c r="U21" s="15">
        <f t="shared" si="8"/>
        <v>0</v>
      </c>
    </row>
    <row r="22" spans="1:23" ht="13.5" thickBot="1" x14ac:dyDescent="0.25">
      <c r="A22" s="9">
        <v>44640</v>
      </c>
      <c r="B22" s="33">
        <f t="shared" si="10"/>
        <v>46738</v>
      </c>
      <c r="C22" s="15">
        <f t="shared" si="0"/>
        <v>0</v>
      </c>
      <c r="D22" s="33">
        <f t="shared" si="11"/>
        <v>40373</v>
      </c>
      <c r="E22" s="15">
        <f t="shared" si="1"/>
        <v>0</v>
      </c>
      <c r="F22" s="33">
        <f t="shared" si="12"/>
        <v>21407</v>
      </c>
      <c r="G22" s="15">
        <f t="shared" si="2"/>
        <v>0</v>
      </c>
      <c r="H22" s="33">
        <f t="shared" si="13"/>
        <v>254117</v>
      </c>
      <c r="I22" s="15">
        <f t="shared" si="3"/>
        <v>0</v>
      </c>
      <c r="J22" s="33">
        <v>303517</v>
      </c>
      <c r="K22" s="15">
        <v>0</v>
      </c>
      <c r="L22" s="33">
        <f t="shared" si="14"/>
        <v>25925</v>
      </c>
      <c r="M22" s="15">
        <f t="shared" si="4"/>
        <v>0</v>
      </c>
      <c r="N22" s="33">
        <f t="shared" si="15"/>
        <v>225769</v>
      </c>
      <c r="O22" s="15">
        <f t="shared" si="5"/>
        <v>0</v>
      </c>
      <c r="P22" s="33">
        <f t="shared" si="9"/>
        <v>143711</v>
      </c>
      <c r="Q22" s="15">
        <f>P22-P21</f>
        <v>0</v>
      </c>
      <c r="R22" s="1">
        <v>55047</v>
      </c>
      <c r="S22" s="15">
        <f t="shared" si="7"/>
        <v>0</v>
      </c>
      <c r="T22" s="33">
        <f t="shared" si="16"/>
        <v>3954</v>
      </c>
      <c r="U22" s="15">
        <f t="shared" si="8"/>
        <v>0</v>
      </c>
    </row>
    <row r="23" spans="1:23" ht="13.5" thickBot="1" x14ac:dyDescent="0.25">
      <c r="A23" s="9">
        <v>44641</v>
      </c>
      <c r="B23" s="33">
        <f t="shared" si="10"/>
        <v>46738</v>
      </c>
      <c r="C23" s="15">
        <f t="shared" si="0"/>
        <v>0</v>
      </c>
      <c r="D23" s="33">
        <f t="shared" si="11"/>
        <v>40373</v>
      </c>
      <c r="E23" s="15">
        <f t="shared" si="1"/>
        <v>0</v>
      </c>
      <c r="F23" s="33">
        <f t="shared" si="12"/>
        <v>21407</v>
      </c>
      <c r="G23" s="15">
        <f t="shared" si="2"/>
        <v>0</v>
      </c>
      <c r="H23" s="33">
        <f t="shared" si="13"/>
        <v>254117</v>
      </c>
      <c r="I23" s="15">
        <f t="shared" si="3"/>
        <v>0</v>
      </c>
      <c r="J23" s="33">
        <v>303517</v>
      </c>
      <c r="K23" s="15">
        <v>0</v>
      </c>
      <c r="L23" s="33">
        <f t="shared" si="14"/>
        <v>25925</v>
      </c>
      <c r="M23" s="15">
        <f t="shared" si="4"/>
        <v>0</v>
      </c>
      <c r="N23" s="33">
        <f t="shared" si="15"/>
        <v>225769</v>
      </c>
      <c r="O23" s="15">
        <f t="shared" si="5"/>
        <v>0</v>
      </c>
      <c r="P23" s="33">
        <f t="shared" si="9"/>
        <v>143711</v>
      </c>
      <c r="Q23" s="15">
        <f t="shared" si="6"/>
        <v>0</v>
      </c>
      <c r="R23" s="1">
        <v>55047</v>
      </c>
      <c r="S23" s="15">
        <f t="shared" si="7"/>
        <v>0</v>
      </c>
      <c r="T23" s="33">
        <f t="shared" si="16"/>
        <v>3954</v>
      </c>
      <c r="U23" s="15">
        <f t="shared" si="8"/>
        <v>0</v>
      </c>
    </row>
    <row r="24" spans="1:23" s="133" customFormat="1" ht="13.5" thickBot="1" x14ac:dyDescent="0.25">
      <c r="A24" s="9">
        <v>44642</v>
      </c>
      <c r="B24" s="33">
        <f t="shared" si="10"/>
        <v>46738</v>
      </c>
      <c r="C24" s="15">
        <f t="shared" si="0"/>
        <v>0</v>
      </c>
      <c r="D24" s="33">
        <f t="shared" si="11"/>
        <v>40373</v>
      </c>
      <c r="E24" s="15">
        <f t="shared" si="1"/>
        <v>0</v>
      </c>
      <c r="F24" s="33">
        <f t="shared" si="12"/>
        <v>21407</v>
      </c>
      <c r="G24" s="15">
        <f t="shared" si="2"/>
        <v>0</v>
      </c>
      <c r="H24" s="33">
        <f t="shared" si="13"/>
        <v>254117</v>
      </c>
      <c r="I24" s="15">
        <f t="shared" si="3"/>
        <v>0</v>
      </c>
      <c r="J24" s="33">
        <v>303517</v>
      </c>
      <c r="K24" s="15">
        <v>0</v>
      </c>
      <c r="L24" s="33">
        <f t="shared" si="14"/>
        <v>25925</v>
      </c>
      <c r="M24" s="15">
        <f t="shared" si="4"/>
        <v>0</v>
      </c>
      <c r="N24" s="33">
        <f t="shared" si="15"/>
        <v>225769</v>
      </c>
      <c r="O24" s="15">
        <f t="shared" si="5"/>
        <v>0</v>
      </c>
      <c r="P24" s="33">
        <f t="shared" si="9"/>
        <v>143711</v>
      </c>
      <c r="Q24" s="15">
        <f t="shared" si="6"/>
        <v>0</v>
      </c>
      <c r="R24" s="1">
        <v>55047</v>
      </c>
      <c r="S24" s="15">
        <f t="shared" si="7"/>
        <v>0</v>
      </c>
      <c r="T24" s="33">
        <f t="shared" si="16"/>
        <v>3954</v>
      </c>
      <c r="U24" s="15">
        <f t="shared" si="8"/>
        <v>0</v>
      </c>
    </row>
    <row r="25" spans="1:23" ht="13.5" thickBot="1" x14ac:dyDescent="0.25">
      <c r="A25" s="9">
        <v>44643</v>
      </c>
      <c r="B25" s="33">
        <f t="shared" si="10"/>
        <v>46738</v>
      </c>
      <c r="C25" s="15">
        <f t="shared" si="0"/>
        <v>0</v>
      </c>
      <c r="D25" s="33">
        <f t="shared" si="11"/>
        <v>40373</v>
      </c>
      <c r="E25" s="15">
        <f t="shared" si="1"/>
        <v>0</v>
      </c>
      <c r="F25" s="33">
        <f t="shared" si="12"/>
        <v>21407</v>
      </c>
      <c r="G25" s="15">
        <f t="shared" si="2"/>
        <v>0</v>
      </c>
      <c r="H25" s="33">
        <f t="shared" si="13"/>
        <v>254117</v>
      </c>
      <c r="I25" s="15">
        <f t="shared" si="3"/>
        <v>0</v>
      </c>
      <c r="J25" s="33">
        <v>303517</v>
      </c>
      <c r="K25" s="15">
        <v>0</v>
      </c>
      <c r="L25" s="33">
        <f t="shared" si="14"/>
        <v>25925</v>
      </c>
      <c r="M25" s="15">
        <f t="shared" si="4"/>
        <v>0</v>
      </c>
      <c r="N25" s="33">
        <f t="shared" si="15"/>
        <v>225769</v>
      </c>
      <c r="O25" s="15">
        <f t="shared" si="5"/>
        <v>0</v>
      </c>
      <c r="P25" s="33">
        <f t="shared" si="9"/>
        <v>143711</v>
      </c>
      <c r="Q25" s="15">
        <f t="shared" si="6"/>
        <v>0</v>
      </c>
      <c r="R25" s="1">
        <v>55047</v>
      </c>
      <c r="S25" s="15">
        <f t="shared" si="7"/>
        <v>0</v>
      </c>
      <c r="T25" s="33">
        <f t="shared" si="16"/>
        <v>3954</v>
      </c>
      <c r="U25" s="15">
        <f t="shared" si="8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f t="shared" si="10"/>
        <v>46738</v>
      </c>
      <c r="C26" s="15">
        <f t="shared" si="0"/>
        <v>0</v>
      </c>
      <c r="D26" s="33">
        <f t="shared" si="11"/>
        <v>40373</v>
      </c>
      <c r="E26" s="15">
        <f t="shared" si="1"/>
        <v>0</v>
      </c>
      <c r="F26" s="33">
        <f t="shared" si="12"/>
        <v>21407</v>
      </c>
      <c r="G26" s="15">
        <f t="shared" si="2"/>
        <v>0</v>
      </c>
      <c r="H26" s="33">
        <f t="shared" si="13"/>
        <v>254117</v>
      </c>
      <c r="I26" s="15">
        <f t="shared" si="3"/>
        <v>0</v>
      </c>
      <c r="J26" s="33">
        <v>303517</v>
      </c>
      <c r="K26" s="15">
        <v>0</v>
      </c>
      <c r="L26" s="33">
        <f t="shared" si="14"/>
        <v>25925</v>
      </c>
      <c r="M26" s="15">
        <f t="shared" si="4"/>
        <v>0</v>
      </c>
      <c r="N26" s="33">
        <f t="shared" si="15"/>
        <v>225769</v>
      </c>
      <c r="O26" s="15">
        <f t="shared" si="5"/>
        <v>0</v>
      </c>
      <c r="P26" s="33">
        <f t="shared" si="9"/>
        <v>143711</v>
      </c>
      <c r="Q26" s="15">
        <f t="shared" si="6"/>
        <v>0</v>
      </c>
      <c r="R26" s="1">
        <v>55047</v>
      </c>
      <c r="S26" s="15">
        <f t="shared" si="7"/>
        <v>0</v>
      </c>
      <c r="T26" s="33">
        <f t="shared" si="16"/>
        <v>3954</v>
      </c>
      <c r="U26" s="15">
        <f t="shared" si="8"/>
        <v>0</v>
      </c>
      <c r="W26" t="s">
        <v>12</v>
      </c>
    </row>
    <row r="27" spans="1:23" ht="13.5" thickBot="1" x14ac:dyDescent="0.25">
      <c r="A27" s="9">
        <v>44645</v>
      </c>
      <c r="B27" s="33">
        <f t="shared" si="10"/>
        <v>46738</v>
      </c>
      <c r="C27" s="15">
        <f t="shared" si="0"/>
        <v>0</v>
      </c>
      <c r="D27" s="33">
        <f t="shared" si="11"/>
        <v>40373</v>
      </c>
      <c r="E27" s="15">
        <f t="shared" si="1"/>
        <v>0</v>
      </c>
      <c r="F27" s="33">
        <f t="shared" si="12"/>
        <v>21407</v>
      </c>
      <c r="G27" s="15">
        <f t="shared" si="2"/>
        <v>0</v>
      </c>
      <c r="H27" s="33">
        <f t="shared" si="13"/>
        <v>254117</v>
      </c>
      <c r="I27" s="15">
        <f t="shared" si="3"/>
        <v>0</v>
      </c>
      <c r="J27" s="33">
        <v>303517</v>
      </c>
      <c r="K27" s="15">
        <v>0</v>
      </c>
      <c r="L27" s="33">
        <f t="shared" si="14"/>
        <v>25925</v>
      </c>
      <c r="M27" s="15">
        <f t="shared" si="4"/>
        <v>0</v>
      </c>
      <c r="N27" s="33">
        <f t="shared" si="15"/>
        <v>225769</v>
      </c>
      <c r="O27" s="15">
        <f t="shared" si="5"/>
        <v>0</v>
      </c>
      <c r="P27" s="33">
        <f t="shared" si="9"/>
        <v>143711</v>
      </c>
      <c r="Q27" s="15">
        <f t="shared" si="6"/>
        <v>0</v>
      </c>
      <c r="R27" s="1">
        <v>55047</v>
      </c>
      <c r="S27" s="15">
        <f t="shared" si="7"/>
        <v>0</v>
      </c>
      <c r="T27" s="33">
        <f t="shared" si="16"/>
        <v>3954</v>
      </c>
      <c r="U27" s="15">
        <f t="shared" si="8"/>
        <v>0</v>
      </c>
    </row>
    <row r="28" spans="1:23" ht="13.5" thickBot="1" x14ac:dyDescent="0.25">
      <c r="A28" s="9">
        <v>44646</v>
      </c>
      <c r="B28" s="33">
        <f t="shared" si="10"/>
        <v>46738</v>
      </c>
      <c r="C28" s="15">
        <f t="shared" si="0"/>
        <v>0</v>
      </c>
      <c r="D28" s="33">
        <f t="shared" si="11"/>
        <v>40373</v>
      </c>
      <c r="E28" s="15">
        <f t="shared" si="1"/>
        <v>0</v>
      </c>
      <c r="F28" s="33">
        <f t="shared" si="12"/>
        <v>21407</v>
      </c>
      <c r="G28" s="15">
        <f t="shared" si="2"/>
        <v>0</v>
      </c>
      <c r="H28" s="33">
        <f t="shared" si="13"/>
        <v>254117</v>
      </c>
      <c r="I28" s="15">
        <f t="shared" si="3"/>
        <v>0</v>
      </c>
      <c r="J28" s="33">
        <v>303517</v>
      </c>
      <c r="K28" s="15">
        <v>0</v>
      </c>
      <c r="L28" s="33">
        <f t="shared" si="14"/>
        <v>25925</v>
      </c>
      <c r="M28" s="15">
        <f t="shared" si="4"/>
        <v>0</v>
      </c>
      <c r="N28" s="33">
        <f t="shared" si="15"/>
        <v>225769</v>
      </c>
      <c r="O28" s="15">
        <f t="shared" si="5"/>
        <v>0</v>
      </c>
      <c r="P28" s="33">
        <f t="shared" si="9"/>
        <v>143711</v>
      </c>
      <c r="Q28" s="16">
        <f t="shared" si="6"/>
        <v>0</v>
      </c>
      <c r="R28" s="1">
        <v>55047</v>
      </c>
      <c r="S28" s="16">
        <f t="shared" si="7"/>
        <v>0</v>
      </c>
      <c r="T28" s="33">
        <f t="shared" si="16"/>
        <v>3954</v>
      </c>
      <c r="U28" s="15">
        <f t="shared" si="8"/>
        <v>0</v>
      </c>
    </row>
    <row r="29" spans="1:23" ht="13.5" thickBot="1" x14ac:dyDescent="0.25">
      <c r="A29" s="9">
        <v>44647</v>
      </c>
      <c r="B29" s="33">
        <f t="shared" si="10"/>
        <v>46738</v>
      </c>
      <c r="C29" s="15">
        <f t="shared" si="0"/>
        <v>0</v>
      </c>
      <c r="D29" s="33">
        <f t="shared" si="11"/>
        <v>40373</v>
      </c>
      <c r="E29" s="15">
        <f t="shared" si="1"/>
        <v>0</v>
      </c>
      <c r="F29" s="33">
        <f t="shared" si="12"/>
        <v>21407</v>
      </c>
      <c r="G29" s="15">
        <f t="shared" si="2"/>
        <v>0</v>
      </c>
      <c r="H29" s="33">
        <f t="shared" si="13"/>
        <v>254117</v>
      </c>
      <c r="I29" s="15">
        <f t="shared" si="3"/>
        <v>0</v>
      </c>
      <c r="J29" s="33">
        <v>303517</v>
      </c>
      <c r="K29" s="15">
        <v>0</v>
      </c>
      <c r="L29" s="33">
        <f t="shared" si="14"/>
        <v>25925</v>
      </c>
      <c r="M29" s="15">
        <f t="shared" si="4"/>
        <v>0</v>
      </c>
      <c r="N29" s="33">
        <f t="shared" si="15"/>
        <v>225769</v>
      </c>
      <c r="O29" s="15">
        <f t="shared" si="5"/>
        <v>0</v>
      </c>
      <c r="P29" s="33">
        <f t="shared" si="9"/>
        <v>143711</v>
      </c>
      <c r="Q29" s="15">
        <f t="shared" si="6"/>
        <v>0</v>
      </c>
      <c r="R29" s="1">
        <v>55047</v>
      </c>
      <c r="S29" s="15">
        <f t="shared" si="7"/>
        <v>0</v>
      </c>
      <c r="T29" s="33">
        <f t="shared" si="16"/>
        <v>3954</v>
      </c>
      <c r="U29" s="15">
        <f t="shared" si="8"/>
        <v>0</v>
      </c>
    </row>
    <row r="30" spans="1:23" ht="13.5" thickBot="1" x14ac:dyDescent="0.25">
      <c r="A30" s="9">
        <v>44648</v>
      </c>
      <c r="B30" s="33">
        <f t="shared" si="10"/>
        <v>46738</v>
      </c>
      <c r="C30" s="15">
        <f t="shared" si="0"/>
        <v>0</v>
      </c>
      <c r="D30" s="33">
        <f t="shared" si="11"/>
        <v>40373</v>
      </c>
      <c r="E30" s="15">
        <f t="shared" si="1"/>
        <v>0</v>
      </c>
      <c r="F30" s="33">
        <f t="shared" si="12"/>
        <v>21407</v>
      </c>
      <c r="G30" s="15">
        <f t="shared" si="2"/>
        <v>0</v>
      </c>
      <c r="H30" s="33">
        <f t="shared" si="13"/>
        <v>254117</v>
      </c>
      <c r="I30" s="15">
        <f t="shared" si="3"/>
        <v>0</v>
      </c>
      <c r="J30" s="33">
        <v>303517</v>
      </c>
      <c r="K30" s="15">
        <v>0</v>
      </c>
      <c r="L30" s="33">
        <f t="shared" si="14"/>
        <v>25925</v>
      </c>
      <c r="M30" s="15">
        <f t="shared" si="4"/>
        <v>0</v>
      </c>
      <c r="N30" s="33">
        <f t="shared" si="15"/>
        <v>225769</v>
      </c>
      <c r="O30" s="15">
        <f t="shared" si="5"/>
        <v>0</v>
      </c>
      <c r="P30" s="33">
        <f t="shared" si="9"/>
        <v>143711</v>
      </c>
      <c r="Q30" s="15">
        <v>0</v>
      </c>
      <c r="R30" s="1">
        <v>55047</v>
      </c>
      <c r="S30" s="15">
        <f t="shared" si="7"/>
        <v>0</v>
      </c>
      <c r="T30" s="33">
        <f t="shared" si="16"/>
        <v>3954</v>
      </c>
      <c r="U30" s="15">
        <f t="shared" si="8"/>
        <v>0</v>
      </c>
    </row>
    <row r="31" spans="1:23" ht="16.5" thickBot="1" x14ac:dyDescent="0.3">
      <c r="A31" s="15" t="s">
        <v>23</v>
      </c>
      <c r="B31" s="1"/>
      <c r="C31" s="10">
        <f>SUM(C4:C30)</f>
        <v>5920</v>
      </c>
      <c r="D31" s="12"/>
      <c r="E31" s="10">
        <f>SUM(E4:E30)</f>
        <v>4160</v>
      </c>
      <c r="F31" s="12"/>
      <c r="G31" s="10">
        <f>SUM(G4:G30)</f>
        <v>580</v>
      </c>
      <c r="H31" s="12"/>
      <c r="I31" s="10">
        <f>SUM(I4:I30)</f>
        <v>118</v>
      </c>
      <c r="J31" s="12"/>
      <c r="K31" s="10">
        <f>SUM(K4:K30)</f>
        <v>0</v>
      </c>
      <c r="L31" s="12"/>
      <c r="M31" s="10">
        <f>SUM(M4:M30)</f>
        <v>4160</v>
      </c>
      <c r="N31" s="34"/>
      <c r="O31" s="10">
        <f>SUM(O4:O30)</f>
        <v>538</v>
      </c>
      <c r="P31" s="33"/>
      <c r="Q31" s="15">
        <v>0</v>
      </c>
      <c r="R31" s="1"/>
      <c r="S31" s="10">
        <f>SUM(S4:S30)</f>
        <v>0</v>
      </c>
      <c r="T31" s="1"/>
      <c r="U31" s="10">
        <f>SUM(U4:U30)</f>
        <v>2080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zoomScale="110" zoomScaleNormal="110" zoomScaleSheetLayoutView="110" workbookViewId="0">
      <pane ySplit="1" topLeftCell="A2" activePane="bottomLeft" state="frozen"/>
      <selection pane="bottomLeft" activeCell="B11" sqref="B11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30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>
        <v>155</v>
      </c>
      <c r="C9" s="146">
        <v>19382</v>
      </c>
      <c r="D9" s="40">
        <f t="shared" si="4"/>
        <v>480</v>
      </c>
      <c r="E9" s="147">
        <v>30043303</v>
      </c>
      <c r="F9" s="40">
        <f t="shared" si="5"/>
        <v>10983</v>
      </c>
      <c r="G9" s="148">
        <v>95889599</v>
      </c>
      <c r="H9" s="40">
        <f t="shared" si="6"/>
        <v>33719</v>
      </c>
      <c r="I9" s="149">
        <f t="shared" si="7"/>
        <v>44702</v>
      </c>
      <c r="J9" s="147">
        <v>9538056</v>
      </c>
      <c r="K9" s="40">
        <f t="shared" si="15"/>
        <v>7918</v>
      </c>
      <c r="L9" s="150">
        <v>9576861</v>
      </c>
      <c r="M9" s="40">
        <f t="shared" si="8"/>
        <v>4815</v>
      </c>
      <c r="N9" s="147">
        <v>6383494</v>
      </c>
      <c r="O9" s="40">
        <f t="shared" si="16"/>
        <v>1976</v>
      </c>
      <c r="P9" s="150">
        <v>5950359</v>
      </c>
      <c r="Q9" s="40">
        <f t="shared" si="9"/>
        <v>2397</v>
      </c>
      <c r="R9" s="147">
        <v>20379059</v>
      </c>
      <c r="S9" s="40">
        <f t="shared" si="10"/>
        <v>8721</v>
      </c>
      <c r="T9" s="147">
        <v>0</v>
      </c>
      <c r="U9" s="151"/>
      <c r="V9" s="147">
        <v>8283494</v>
      </c>
      <c r="W9" s="40">
        <f t="shared" si="11"/>
        <v>8859</v>
      </c>
      <c r="X9" s="20">
        <f t="shared" si="12"/>
        <v>34686</v>
      </c>
      <c r="Y9" s="152">
        <f t="shared" si="13"/>
        <v>10016</v>
      </c>
      <c r="Z9" s="3">
        <f t="shared" si="14"/>
        <v>4900.0036800000007</v>
      </c>
      <c r="AA9" s="3">
        <f t="shared" si="17"/>
        <v>23510.539686399999</v>
      </c>
    </row>
    <row r="10" spans="1:27" ht="16.5" thickBot="1" x14ac:dyDescent="0.3">
      <c r="A10" s="9">
        <v>44628</v>
      </c>
      <c r="B10" s="40">
        <v>313</v>
      </c>
      <c r="C10" s="146">
        <v>19384</v>
      </c>
      <c r="D10" s="40">
        <f t="shared" si="4"/>
        <v>320</v>
      </c>
      <c r="E10" s="147">
        <v>30057154</v>
      </c>
      <c r="F10" s="40">
        <f t="shared" si="5"/>
        <v>13851</v>
      </c>
      <c r="G10" s="148">
        <v>95934302</v>
      </c>
      <c r="H10" s="40">
        <f t="shared" si="6"/>
        <v>44703</v>
      </c>
      <c r="I10" s="149">
        <f t="shared" si="7"/>
        <v>58554</v>
      </c>
      <c r="J10" s="147">
        <v>9543052</v>
      </c>
      <c r="K10" s="40">
        <f t="shared" si="15"/>
        <v>9992</v>
      </c>
      <c r="L10" s="150">
        <v>9582806</v>
      </c>
      <c r="M10" s="40">
        <f t="shared" si="8"/>
        <v>5945</v>
      </c>
      <c r="N10" s="147">
        <v>6389387</v>
      </c>
      <c r="O10" s="40">
        <f t="shared" si="16"/>
        <v>11786</v>
      </c>
      <c r="P10" s="150">
        <v>5953510</v>
      </c>
      <c r="Q10" s="40">
        <f t="shared" si="9"/>
        <v>3151</v>
      </c>
      <c r="R10" s="147">
        <v>20390580</v>
      </c>
      <c r="S10" s="40">
        <f t="shared" si="10"/>
        <v>11521</v>
      </c>
      <c r="T10" s="147">
        <v>0</v>
      </c>
      <c r="U10" s="151"/>
      <c r="V10" s="147">
        <v>8295459</v>
      </c>
      <c r="W10" s="40">
        <f t="shared" si="11"/>
        <v>11965</v>
      </c>
      <c r="X10" s="20">
        <f t="shared" si="12"/>
        <v>54360</v>
      </c>
      <c r="Y10" s="152">
        <f t="shared" si="13"/>
        <v>4194</v>
      </c>
      <c r="Z10" s="3">
        <f t="shared" si="14"/>
        <v>7862.8088032000005</v>
      </c>
      <c r="AA10" s="3">
        <f t="shared" si="17"/>
        <v>24936.703251200004</v>
      </c>
    </row>
    <row r="11" spans="1:27" ht="15.75" customHeight="1" thickBot="1" x14ac:dyDescent="0.3">
      <c r="A11" s="9">
        <v>44629</v>
      </c>
      <c r="B11" s="40">
        <v>163</v>
      </c>
      <c r="C11" s="146">
        <v>19387</v>
      </c>
      <c r="D11" s="40">
        <f t="shared" si="4"/>
        <v>480</v>
      </c>
      <c r="E11" s="147">
        <v>30067888</v>
      </c>
      <c r="F11" s="40">
        <f t="shared" si="5"/>
        <v>10734</v>
      </c>
      <c r="G11" s="148">
        <v>95967009</v>
      </c>
      <c r="H11" s="40">
        <f t="shared" si="6"/>
        <v>32707</v>
      </c>
      <c r="I11" s="149">
        <f t="shared" si="7"/>
        <v>43441</v>
      </c>
      <c r="J11" s="147">
        <v>9546739</v>
      </c>
      <c r="K11" s="40">
        <f t="shared" si="15"/>
        <v>7374</v>
      </c>
      <c r="L11" s="150">
        <v>9587794</v>
      </c>
      <c r="M11" s="40">
        <f t="shared" si="8"/>
        <v>4988</v>
      </c>
      <c r="N11" s="147">
        <v>6392189</v>
      </c>
      <c r="O11" s="40">
        <f t="shared" si="16"/>
        <v>5604</v>
      </c>
      <c r="P11" s="150">
        <v>5965764</v>
      </c>
      <c r="Q11" s="40">
        <f t="shared" si="9"/>
        <v>12254</v>
      </c>
      <c r="R11" s="147">
        <v>20398876</v>
      </c>
      <c r="S11" s="40">
        <f t="shared" si="10"/>
        <v>8296</v>
      </c>
      <c r="T11" s="147">
        <v>0</v>
      </c>
      <c r="U11" s="151"/>
      <c r="V11" s="147">
        <v>8304283</v>
      </c>
      <c r="W11" s="40">
        <f t="shared" si="11"/>
        <v>8824</v>
      </c>
      <c r="X11" s="20">
        <f t="shared" si="12"/>
        <v>47340</v>
      </c>
      <c r="Y11" s="152">
        <f t="shared" si="13"/>
        <v>-3899</v>
      </c>
      <c r="Z11" s="3">
        <f t="shared" si="14"/>
        <v>6740.551168</v>
      </c>
      <c r="AA11" s="3">
        <f t="shared" si="17"/>
        <v>24959.124153600002</v>
      </c>
    </row>
    <row r="12" spans="1:27" ht="16.5" thickBot="1" x14ac:dyDescent="0.3">
      <c r="A12" s="9">
        <v>44630</v>
      </c>
      <c r="B12" s="40"/>
      <c r="C12" s="146"/>
      <c r="D12" s="40">
        <f t="shared" si="4"/>
        <v>0</v>
      </c>
      <c r="E12" s="147"/>
      <c r="F12" s="40" t="str">
        <f t="shared" si="5"/>
        <v>0</v>
      </c>
      <c r="G12" s="148"/>
      <c r="H12" s="40" t="str">
        <f t="shared" si="6"/>
        <v>0</v>
      </c>
      <c r="I12" s="149">
        <f t="shared" si="7"/>
        <v>0</v>
      </c>
      <c r="J12" s="147"/>
      <c r="K12" s="40">
        <f t="shared" si="15"/>
        <v>0</v>
      </c>
      <c r="L12" s="150"/>
      <c r="M12" s="40" t="str">
        <f t="shared" si="8"/>
        <v>0</v>
      </c>
      <c r="N12" s="147"/>
      <c r="O12" s="40">
        <f t="shared" si="16"/>
        <v>0</v>
      </c>
      <c r="P12" s="150"/>
      <c r="Q12" s="40" t="str">
        <f t="shared" si="9"/>
        <v>0</v>
      </c>
      <c r="R12" s="147"/>
      <c r="S12" s="40" t="str">
        <f t="shared" si="10"/>
        <v>0</v>
      </c>
      <c r="T12" s="147">
        <v>0</v>
      </c>
      <c r="U12" s="151"/>
      <c r="V12" s="147"/>
      <c r="W12" s="40" t="str">
        <f t="shared" si="11"/>
        <v>0</v>
      </c>
      <c r="X12" s="20">
        <f t="shared" si="12"/>
        <v>0</v>
      </c>
      <c r="Y12" s="152">
        <f t="shared" si="13"/>
        <v>0</v>
      </c>
      <c r="Z12" s="3">
        <f t="shared" si="14"/>
        <v>0</v>
      </c>
      <c r="AA12" s="3">
        <f t="shared" si="17"/>
        <v>19503.363651200001</v>
      </c>
    </row>
    <row r="13" spans="1:27" ht="16.5" thickBot="1" x14ac:dyDescent="0.3">
      <c r="A13" s="9">
        <v>44631</v>
      </c>
      <c r="B13" s="40"/>
      <c r="C13" s="146"/>
      <c r="D13" s="40">
        <f t="shared" ref="D13" si="18">IF((C13-C12)&lt;0,"0",(C13-C12))*160</f>
        <v>0</v>
      </c>
      <c r="E13" s="147"/>
      <c r="F13" s="40">
        <f t="shared" ref="F13" si="19">IF((E13-E12)&lt;0,"0",(E13-E12))</f>
        <v>0</v>
      </c>
      <c r="G13" s="148"/>
      <c r="H13" s="40">
        <f t="shared" ref="H13" si="20">IF((G13-G12)&lt;0,"0",(G13-G12))</f>
        <v>0</v>
      </c>
      <c r="I13" s="149">
        <f t="shared" ref="I13" si="21">F13+H13</f>
        <v>0</v>
      </c>
      <c r="J13" s="147"/>
      <c r="K13" s="40">
        <f t="shared" ref="K13" si="22">(IF((J13-J12)&lt;0,"0",(J13-J12)))*2</f>
        <v>0</v>
      </c>
      <c r="L13" s="150"/>
      <c r="M13" s="40">
        <f t="shared" ref="M13" si="23">IF((L13-L12)&lt;0,"0",(L13-L12))</f>
        <v>0</v>
      </c>
      <c r="N13" s="147"/>
      <c r="O13" s="40">
        <f t="shared" ref="O13" si="24">(IF((N13-N12)&lt;0,"0",(N13-N12)))*2</f>
        <v>0</v>
      </c>
      <c r="P13" s="150"/>
      <c r="Q13" s="40">
        <f t="shared" ref="Q13" si="25">IF((P13-P12)&lt;0,"0",(P13-P12))</f>
        <v>0</v>
      </c>
      <c r="R13" s="147"/>
      <c r="S13" s="40">
        <f t="shared" ref="S13" si="26">IF((R13-R12)&lt;0,"0",(R13-R12))</f>
        <v>0</v>
      </c>
      <c r="T13" s="147">
        <v>0</v>
      </c>
      <c r="U13" s="151"/>
      <c r="V13" s="147"/>
      <c r="W13" s="40">
        <f t="shared" ref="W13" si="27">IF((V13-V12)&lt;0,"0",(V13-V12))</f>
        <v>0</v>
      </c>
      <c r="X13" s="20">
        <f t="shared" ref="X13" si="28">K13+M13+O13+Q13+S13+U13+W13</f>
        <v>0</v>
      </c>
      <c r="Y13" s="152">
        <f t="shared" ref="Y13" si="29">I13-X13</f>
        <v>0</v>
      </c>
      <c r="Z13" s="3">
        <f t="shared" ref="Z13" si="30">(0.93352*(W13+S13)+0.5568*(Q13+O13))*0.26</f>
        <v>0</v>
      </c>
      <c r="AA13" s="3">
        <f t="shared" si="17"/>
        <v>14603.3599712</v>
      </c>
    </row>
    <row r="14" spans="1:27" ht="16.5" thickBot="1" x14ac:dyDescent="0.3">
      <c r="A14" s="9">
        <v>44632</v>
      </c>
      <c r="B14" s="40"/>
      <c r="C14" s="146"/>
      <c r="D14" s="40">
        <f t="shared" si="4"/>
        <v>0</v>
      </c>
      <c r="E14" s="147"/>
      <c r="F14" s="40">
        <f t="shared" si="5"/>
        <v>0</v>
      </c>
      <c r="G14" s="148"/>
      <c r="H14" s="40">
        <f t="shared" si="6"/>
        <v>0</v>
      </c>
      <c r="I14" s="149">
        <f t="shared" si="7"/>
        <v>0</v>
      </c>
      <c r="J14" s="147"/>
      <c r="K14" s="40">
        <f t="shared" si="15"/>
        <v>0</v>
      </c>
      <c r="L14" s="150"/>
      <c r="M14" s="40">
        <f t="shared" si="8"/>
        <v>0</v>
      </c>
      <c r="N14" s="147"/>
      <c r="O14" s="40">
        <f t="shared" si="16"/>
        <v>0</v>
      </c>
      <c r="P14" s="150"/>
      <c r="Q14" s="40">
        <f t="shared" si="9"/>
        <v>0</v>
      </c>
      <c r="R14" s="147"/>
      <c r="S14" s="40">
        <f>IF((R14-R13)&lt;0,"0",(R14-R13))</f>
        <v>0</v>
      </c>
      <c r="T14" s="147">
        <v>0</v>
      </c>
      <c r="U14" s="151"/>
      <c r="V14" s="147"/>
      <c r="W14" s="40">
        <f t="shared" si="11"/>
        <v>0</v>
      </c>
      <c r="X14" s="20">
        <f t="shared" si="12"/>
        <v>0</v>
      </c>
      <c r="Y14" s="152">
        <f t="shared" si="13"/>
        <v>0</v>
      </c>
      <c r="Z14" s="3">
        <f t="shared" si="14"/>
        <v>0</v>
      </c>
      <c r="AA14" s="3">
        <f t="shared" si="17"/>
        <v>6740.551168</v>
      </c>
    </row>
    <row r="15" spans="1:27" ht="16.5" thickBot="1" x14ac:dyDescent="0.3">
      <c r="A15" s="9">
        <v>44633</v>
      </c>
      <c r="B15" s="40"/>
      <c r="C15" s="146"/>
      <c r="D15" s="40">
        <f t="shared" si="4"/>
        <v>0</v>
      </c>
      <c r="E15" s="147"/>
      <c r="F15" s="40">
        <f t="shared" si="5"/>
        <v>0</v>
      </c>
      <c r="G15" s="148"/>
      <c r="H15" s="40">
        <f t="shared" si="6"/>
        <v>0</v>
      </c>
      <c r="I15" s="149">
        <f t="shared" si="7"/>
        <v>0</v>
      </c>
      <c r="J15" s="147"/>
      <c r="K15" s="40">
        <f t="shared" si="15"/>
        <v>0</v>
      </c>
      <c r="L15" s="150"/>
      <c r="M15" s="40">
        <f t="shared" si="8"/>
        <v>0</v>
      </c>
      <c r="N15" s="147"/>
      <c r="O15" s="40">
        <f t="shared" si="16"/>
        <v>0</v>
      </c>
      <c r="P15" s="150"/>
      <c r="Q15" s="40">
        <f t="shared" si="9"/>
        <v>0</v>
      </c>
      <c r="R15" s="147"/>
      <c r="S15" s="40">
        <f>IF((R15-R14)&lt;0,"0",(R15-R14))</f>
        <v>0</v>
      </c>
      <c r="T15" s="147">
        <v>0</v>
      </c>
      <c r="U15" s="151"/>
      <c r="V15" s="147"/>
      <c r="W15" s="40">
        <f t="shared" si="11"/>
        <v>0</v>
      </c>
      <c r="X15" s="20">
        <f t="shared" si="12"/>
        <v>0</v>
      </c>
      <c r="Y15" s="152">
        <f t="shared" si="13"/>
        <v>0</v>
      </c>
      <c r="Z15" s="3">
        <f t="shared" si="14"/>
        <v>0</v>
      </c>
      <c r="AA15" s="3">
        <f t="shared" si="17"/>
        <v>0</v>
      </c>
    </row>
    <row r="16" spans="1:27" ht="16.5" thickBot="1" x14ac:dyDescent="0.3">
      <c r="A16" s="9">
        <v>44634</v>
      </c>
      <c r="B16" s="40"/>
      <c r="C16" s="146"/>
      <c r="D16" s="40">
        <f t="shared" si="4"/>
        <v>0</v>
      </c>
      <c r="E16" s="147"/>
      <c r="F16" s="40">
        <f t="shared" si="5"/>
        <v>0</v>
      </c>
      <c r="G16" s="148"/>
      <c r="H16" s="40">
        <f t="shared" si="6"/>
        <v>0</v>
      </c>
      <c r="I16" s="149">
        <f t="shared" si="7"/>
        <v>0</v>
      </c>
      <c r="J16" s="147"/>
      <c r="K16" s="40">
        <f t="shared" si="15"/>
        <v>0</v>
      </c>
      <c r="L16" s="150"/>
      <c r="M16" s="40">
        <f t="shared" si="8"/>
        <v>0</v>
      </c>
      <c r="N16" s="147"/>
      <c r="O16" s="40">
        <f t="shared" si="16"/>
        <v>0</v>
      </c>
      <c r="P16" s="150"/>
      <c r="Q16" s="40">
        <f t="shared" si="9"/>
        <v>0</v>
      </c>
      <c r="R16" s="147"/>
      <c r="S16" s="40">
        <f t="shared" si="10"/>
        <v>0</v>
      </c>
      <c r="T16" s="147">
        <v>0</v>
      </c>
      <c r="U16" s="151"/>
      <c r="V16" s="147"/>
      <c r="W16" s="40">
        <f t="shared" si="11"/>
        <v>0</v>
      </c>
      <c r="X16" s="20">
        <f t="shared" si="12"/>
        <v>0</v>
      </c>
      <c r="Y16" s="152">
        <f t="shared" si="13"/>
        <v>0</v>
      </c>
      <c r="Z16" s="3">
        <f t="shared" si="14"/>
        <v>0</v>
      </c>
      <c r="AA16" s="3">
        <f t="shared" si="17"/>
        <v>0</v>
      </c>
    </row>
    <row r="17" spans="1:27" s="132" customFormat="1" ht="16.5" thickBot="1" x14ac:dyDescent="0.3">
      <c r="A17" s="9">
        <v>44635</v>
      </c>
      <c r="B17" s="40"/>
      <c r="C17" s="146"/>
      <c r="D17" s="40">
        <f t="shared" si="4"/>
        <v>0</v>
      </c>
      <c r="E17" s="147"/>
      <c r="F17" s="40">
        <f t="shared" si="5"/>
        <v>0</v>
      </c>
      <c r="G17" s="148"/>
      <c r="H17" s="40">
        <f t="shared" si="6"/>
        <v>0</v>
      </c>
      <c r="I17" s="153">
        <f t="shared" si="7"/>
        <v>0</v>
      </c>
      <c r="J17" s="147"/>
      <c r="K17" s="131">
        <f t="shared" si="15"/>
        <v>0</v>
      </c>
      <c r="L17" s="150"/>
      <c r="M17" s="131">
        <f t="shared" si="8"/>
        <v>0</v>
      </c>
      <c r="N17" s="147"/>
      <c r="O17" s="131">
        <f t="shared" si="16"/>
        <v>0</v>
      </c>
      <c r="P17" s="150"/>
      <c r="Q17" s="131">
        <f t="shared" si="9"/>
        <v>0</v>
      </c>
      <c r="R17" s="147"/>
      <c r="S17" s="131">
        <f t="shared" si="10"/>
        <v>0</v>
      </c>
      <c r="T17" s="154">
        <v>0</v>
      </c>
      <c r="U17" s="151"/>
      <c r="V17" s="147"/>
      <c r="W17" s="131">
        <f t="shared" si="11"/>
        <v>0</v>
      </c>
      <c r="X17" s="20">
        <f t="shared" si="12"/>
        <v>0</v>
      </c>
      <c r="Y17" s="155">
        <f t="shared" si="13"/>
        <v>0</v>
      </c>
      <c r="Z17" s="156">
        <f t="shared" si="14"/>
        <v>0</v>
      </c>
      <c r="AA17" s="3">
        <f t="shared" si="17"/>
        <v>0</v>
      </c>
    </row>
    <row r="18" spans="1:27" s="132" customFormat="1" ht="16.5" thickBot="1" x14ac:dyDescent="0.3">
      <c r="A18" s="9">
        <v>44636</v>
      </c>
      <c r="B18" s="40"/>
      <c r="C18" s="146"/>
      <c r="D18" s="40">
        <f t="shared" si="4"/>
        <v>0</v>
      </c>
      <c r="E18" s="147"/>
      <c r="F18" s="40">
        <f t="shared" si="5"/>
        <v>0</v>
      </c>
      <c r="G18" s="148"/>
      <c r="H18" s="40">
        <f t="shared" si="6"/>
        <v>0</v>
      </c>
      <c r="I18" s="153">
        <f t="shared" si="7"/>
        <v>0</v>
      </c>
      <c r="J18" s="147"/>
      <c r="K18" s="131">
        <f t="shared" si="15"/>
        <v>0</v>
      </c>
      <c r="L18" s="150"/>
      <c r="M18" s="131">
        <f t="shared" si="8"/>
        <v>0</v>
      </c>
      <c r="N18" s="147"/>
      <c r="O18" s="131">
        <f t="shared" si="16"/>
        <v>0</v>
      </c>
      <c r="P18" s="150"/>
      <c r="Q18" s="131">
        <f t="shared" si="9"/>
        <v>0</v>
      </c>
      <c r="R18" s="147"/>
      <c r="S18" s="131">
        <f t="shared" si="10"/>
        <v>0</v>
      </c>
      <c r="T18" s="154">
        <v>0</v>
      </c>
      <c r="U18" s="151"/>
      <c r="V18" s="147"/>
      <c r="W18" s="131">
        <f t="shared" si="11"/>
        <v>0</v>
      </c>
      <c r="X18" s="20">
        <f t="shared" si="12"/>
        <v>0</v>
      </c>
      <c r="Y18" s="155">
        <f t="shared" si="13"/>
        <v>0</v>
      </c>
      <c r="Z18" s="156">
        <f t="shared" si="14"/>
        <v>0</v>
      </c>
      <c r="AA18" s="3">
        <f t="shared" si="17"/>
        <v>0</v>
      </c>
    </row>
    <row r="19" spans="1:27" s="132" customFormat="1" ht="16.5" thickBot="1" x14ac:dyDescent="0.3">
      <c r="A19" s="9">
        <v>44637</v>
      </c>
      <c r="B19" s="40"/>
      <c r="C19" s="146"/>
      <c r="D19" s="40">
        <f t="shared" si="4"/>
        <v>0</v>
      </c>
      <c r="E19" s="147"/>
      <c r="F19" s="40">
        <f t="shared" si="5"/>
        <v>0</v>
      </c>
      <c r="G19" s="148"/>
      <c r="H19" s="40">
        <f t="shared" si="6"/>
        <v>0</v>
      </c>
      <c r="I19" s="153">
        <f t="shared" si="7"/>
        <v>0</v>
      </c>
      <c r="J19" s="147"/>
      <c r="K19" s="131">
        <f t="shared" si="15"/>
        <v>0</v>
      </c>
      <c r="L19" s="150"/>
      <c r="M19" s="131">
        <f t="shared" si="8"/>
        <v>0</v>
      </c>
      <c r="N19" s="147"/>
      <c r="O19" s="131">
        <f t="shared" si="16"/>
        <v>0</v>
      </c>
      <c r="P19" s="150"/>
      <c r="Q19" s="131">
        <f t="shared" si="9"/>
        <v>0</v>
      </c>
      <c r="R19" s="147"/>
      <c r="S19" s="131">
        <f t="shared" si="10"/>
        <v>0</v>
      </c>
      <c r="T19" s="154">
        <v>0</v>
      </c>
      <c r="U19" s="151"/>
      <c r="V19" s="147"/>
      <c r="W19" s="131">
        <f t="shared" si="11"/>
        <v>0</v>
      </c>
      <c r="X19" s="20">
        <f t="shared" si="12"/>
        <v>0</v>
      </c>
      <c r="Y19" s="155">
        <f t="shared" si="13"/>
        <v>0</v>
      </c>
      <c r="Z19" s="156">
        <f t="shared" si="14"/>
        <v>0</v>
      </c>
      <c r="AA19" s="3">
        <f t="shared" si="17"/>
        <v>0</v>
      </c>
    </row>
    <row r="20" spans="1:27" s="132" customFormat="1" ht="16.5" thickBot="1" x14ac:dyDescent="0.3">
      <c r="A20" s="9">
        <v>44638</v>
      </c>
      <c r="B20" s="40"/>
      <c r="C20" s="146"/>
      <c r="D20" s="40">
        <f t="shared" si="4"/>
        <v>0</v>
      </c>
      <c r="E20" s="147"/>
      <c r="F20" s="40">
        <f t="shared" si="5"/>
        <v>0</v>
      </c>
      <c r="G20" s="148"/>
      <c r="H20" s="40">
        <f t="shared" si="6"/>
        <v>0</v>
      </c>
      <c r="I20" s="153">
        <f t="shared" si="7"/>
        <v>0</v>
      </c>
      <c r="J20" s="147"/>
      <c r="K20" s="131">
        <f t="shared" si="15"/>
        <v>0</v>
      </c>
      <c r="L20" s="150"/>
      <c r="M20" s="131">
        <f t="shared" si="8"/>
        <v>0</v>
      </c>
      <c r="N20" s="147"/>
      <c r="O20" s="131">
        <f t="shared" si="16"/>
        <v>0</v>
      </c>
      <c r="P20" s="150"/>
      <c r="Q20" s="131">
        <f t="shared" si="9"/>
        <v>0</v>
      </c>
      <c r="R20" s="147"/>
      <c r="S20" s="131">
        <f t="shared" si="10"/>
        <v>0</v>
      </c>
      <c r="T20" s="154">
        <v>0</v>
      </c>
      <c r="U20" s="151"/>
      <c r="V20" s="147"/>
      <c r="W20" s="131">
        <f t="shared" si="11"/>
        <v>0</v>
      </c>
      <c r="X20" s="20">
        <f t="shared" si="12"/>
        <v>0</v>
      </c>
      <c r="Y20" s="155">
        <f t="shared" si="13"/>
        <v>0</v>
      </c>
      <c r="Z20" s="156">
        <f t="shared" si="14"/>
        <v>0</v>
      </c>
      <c r="AA20" s="3">
        <f t="shared" si="17"/>
        <v>0</v>
      </c>
    </row>
    <row r="21" spans="1:27" s="132" customFormat="1" ht="16.5" thickBot="1" x14ac:dyDescent="0.3">
      <c r="A21" s="9">
        <v>44639</v>
      </c>
      <c r="B21" s="40"/>
      <c r="C21" s="146"/>
      <c r="D21" s="40">
        <f t="shared" si="4"/>
        <v>0</v>
      </c>
      <c r="E21" s="147"/>
      <c r="F21" s="40">
        <f t="shared" si="5"/>
        <v>0</v>
      </c>
      <c r="G21" s="148"/>
      <c r="H21" s="40">
        <f t="shared" si="6"/>
        <v>0</v>
      </c>
      <c r="I21" s="153">
        <f t="shared" si="7"/>
        <v>0</v>
      </c>
      <c r="J21" s="147"/>
      <c r="K21" s="131">
        <f t="shared" si="15"/>
        <v>0</v>
      </c>
      <c r="L21" s="150"/>
      <c r="M21" s="131">
        <f t="shared" si="8"/>
        <v>0</v>
      </c>
      <c r="N21" s="147"/>
      <c r="O21" s="131">
        <f t="shared" si="16"/>
        <v>0</v>
      </c>
      <c r="P21" s="150"/>
      <c r="Q21" s="131">
        <f t="shared" si="9"/>
        <v>0</v>
      </c>
      <c r="R21" s="147"/>
      <c r="S21" s="131">
        <f t="shared" si="10"/>
        <v>0</v>
      </c>
      <c r="T21" s="154">
        <v>0</v>
      </c>
      <c r="U21" s="151"/>
      <c r="V21" s="147"/>
      <c r="W21" s="131">
        <f t="shared" si="11"/>
        <v>0</v>
      </c>
      <c r="X21" s="20">
        <f t="shared" si="12"/>
        <v>0</v>
      </c>
      <c r="Y21" s="155">
        <f t="shared" si="13"/>
        <v>0</v>
      </c>
      <c r="Z21" s="156">
        <f t="shared" si="14"/>
        <v>0</v>
      </c>
      <c r="AA21" s="3">
        <f t="shared" si="17"/>
        <v>0</v>
      </c>
    </row>
    <row r="22" spans="1:27" ht="16.5" thickBot="1" x14ac:dyDescent="0.3">
      <c r="A22" s="9">
        <v>44640</v>
      </c>
      <c r="B22" s="40"/>
      <c r="C22" s="146"/>
      <c r="D22" s="40">
        <f t="shared" si="4"/>
        <v>0</v>
      </c>
      <c r="E22" s="147"/>
      <c r="F22" s="40">
        <f t="shared" si="5"/>
        <v>0</v>
      </c>
      <c r="G22" s="148"/>
      <c r="H22" s="40">
        <f t="shared" si="6"/>
        <v>0</v>
      </c>
      <c r="I22" s="149">
        <f t="shared" si="7"/>
        <v>0</v>
      </c>
      <c r="J22" s="147"/>
      <c r="K22" s="40">
        <f t="shared" si="15"/>
        <v>0</v>
      </c>
      <c r="L22" s="150"/>
      <c r="M22" s="40">
        <f t="shared" si="8"/>
        <v>0</v>
      </c>
      <c r="N22" s="147"/>
      <c r="O22" s="40">
        <f t="shared" si="16"/>
        <v>0</v>
      </c>
      <c r="P22" s="150"/>
      <c r="Q22" s="40">
        <f t="shared" si="9"/>
        <v>0</v>
      </c>
      <c r="R22" s="147"/>
      <c r="S22" s="40">
        <f t="shared" si="10"/>
        <v>0</v>
      </c>
      <c r="T22" s="147">
        <v>0</v>
      </c>
      <c r="U22" s="151"/>
      <c r="V22" s="147"/>
      <c r="W22" s="40">
        <f t="shared" si="11"/>
        <v>0</v>
      </c>
      <c r="X22" s="20">
        <f t="shared" si="12"/>
        <v>0</v>
      </c>
      <c r="Y22" s="152">
        <f t="shared" si="13"/>
        <v>0</v>
      </c>
      <c r="Z22" s="3">
        <f t="shared" si="14"/>
        <v>0</v>
      </c>
      <c r="AA22" s="3">
        <f t="shared" si="17"/>
        <v>0</v>
      </c>
    </row>
    <row r="23" spans="1:27" ht="16.5" thickBot="1" x14ac:dyDescent="0.3">
      <c r="A23" s="9">
        <v>44641</v>
      </c>
      <c r="B23" s="40"/>
      <c r="C23" s="146"/>
      <c r="D23" s="40">
        <f t="shared" si="4"/>
        <v>0</v>
      </c>
      <c r="E23" s="147"/>
      <c r="F23" s="40">
        <f t="shared" si="5"/>
        <v>0</v>
      </c>
      <c r="G23" s="148"/>
      <c r="H23" s="40">
        <f t="shared" si="6"/>
        <v>0</v>
      </c>
      <c r="I23" s="149">
        <f t="shared" si="7"/>
        <v>0</v>
      </c>
      <c r="J23" s="147"/>
      <c r="K23" s="40">
        <f t="shared" si="15"/>
        <v>0</v>
      </c>
      <c r="L23" s="150"/>
      <c r="M23" s="40">
        <f t="shared" si="8"/>
        <v>0</v>
      </c>
      <c r="N23" s="147"/>
      <c r="O23" s="40">
        <f t="shared" si="16"/>
        <v>0</v>
      </c>
      <c r="P23" s="150"/>
      <c r="Q23" s="40">
        <f t="shared" si="9"/>
        <v>0</v>
      </c>
      <c r="R23" s="147"/>
      <c r="S23" s="40">
        <f t="shared" si="10"/>
        <v>0</v>
      </c>
      <c r="T23" s="147">
        <v>0</v>
      </c>
      <c r="U23" s="151"/>
      <c r="V23" s="147"/>
      <c r="W23" s="40">
        <f t="shared" si="11"/>
        <v>0</v>
      </c>
      <c r="X23" s="20">
        <f t="shared" si="12"/>
        <v>0</v>
      </c>
      <c r="Y23" s="152">
        <f t="shared" si="13"/>
        <v>0</v>
      </c>
      <c r="Z23" s="3">
        <f t="shared" si="14"/>
        <v>0</v>
      </c>
      <c r="AA23" s="3">
        <f t="shared" si="17"/>
        <v>0</v>
      </c>
    </row>
    <row r="24" spans="1:27" ht="16.5" thickBot="1" x14ac:dyDescent="0.3">
      <c r="A24" s="9">
        <v>44642</v>
      </c>
      <c r="B24" s="40"/>
      <c r="C24" s="146"/>
      <c r="D24" s="40">
        <f t="shared" si="4"/>
        <v>0</v>
      </c>
      <c r="E24" s="147"/>
      <c r="F24" s="40">
        <f t="shared" si="5"/>
        <v>0</v>
      </c>
      <c r="G24" s="148"/>
      <c r="H24" s="40">
        <f t="shared" si="6"/>
        <v>0</v>
      </c>
      <c r="I24" s="149">
        <f t="shared" si="7"/>
        <v>0</v>
      </c>
      <c r="J24" s="147"/>
      <c r="K24" s="40">
        <f t="shared" si="15"/>
        <v>0</v>
      </c>
      <c r="L24" s="150"/>
      <c r="M24" s="40">
        <f t="shared" si="8"/>
        <v>0</v>
      </c>
      <c r="N24" s="147"/>
      <c r="O24" s="40">
        <f t="shared" si="16"/>
        <v>0</v>
      </c>
      <c r="P24" s="150"/>
      <c r="Q24" s="40">
        <f t="shared" si="9"/>
        <v>0</v>
      </c>
      <c r="R24" s="147"/>
      <c r="S24" s="40">
        <f t="shared" si="10"/>
        <v>0</v>
      </c>
      <c r="T24" s="147">
        <v>0</v>
      </c>
      <c r="U24" s="151"/>
      <c r="V24" s="147"/>
      <c r="W24" s="40">
        <f t="shared" si="11"/>
        <v>0</v>
      </c>
      <c r="X24" s="20">
        <f t="shared" si="12"/>
        <v>0</v>
      </c>
      <c r="Y24" s="152">
        <f t="shared" si="13"/>
        <v>0</v>
      </c>
      <c r="Z24" s="3">
        <f t="shared" si="14"/>
        <v>0</v>
      </c>
      <c r="AA24" s="3">
        <f t="shared" si="17"/>
        <v>0</v>
      </c>
    </row>
    <row r="25" spans="1:27" ht="16.5" thickBot="1" x14ac:dyDescent="0.3">
      <c r="A25" s="9">
        <v>44643</v>
      </c>
      <c r="B25" s="40"/>
      <c r="C25" s="146"/>
      <c r="D25" s="40">
        <f t="shared" si="4"/>
        <v>0</v>
      </c>
      <c r="E25" s="147"/>
      <c r="F25" s="40">
        <f t="shared" si="5"/>
        <v>0</v>
      </c>
      <c r="G25" s="148"/>
      <c r="H25" s="40">
        <f t="shared" si="6"/>
        <v>0</v>
      </c>
      <c r="I25" s="149">
        <f t="shared" si="7"/>
        <v>0</v>
      </c>
      <c r="J25" s="147"/>
      <c r="K25" s="40">
        <f t="shared" si="15"/>
        <v>0</v>
      </c>
      <c r="L25" s="150"/>
      <c r="M25" s="40">
        <f t="shared" si="8"/>
        <v>0</v>
      </c>
      <c r="N25" s="147"/>
      <c r="O25" s="40">
        <f t="shared" si="16"/>
        <v>0</v>
      </c>
      <c r="P25" s="150"/>
      <c r="Q25" s="40">
        <f t="shared" si="9"/>
        <v>0</v>
      </c>
      <c r="R25" s="147"/>
      <c r="S25" s="40">
        <f t="shared" si="10"/>
        <v>0</v>
      </c>
      <c r="T25" s="147">
        <v>0</v>
      </c>
      <c r="U25" s="151"/>
      <c r="V25" s="147"/>
      <c r="W25" s="40">
        <f t="shared" si="11"/>
        <v>0</v>
      </c>
      <c r="X25" s="20">
        <f t="shared" si="12"/>
        <v>0</v>
      </c>
      <c r="Y25" s="152">
        <f t="shared" si="13"/>
        <v>0</v>
      </c>
      <c r="Z25" s="3">
        <f t="shared" si="14"/>
        <v>0</v>
      </c>
      <c r="AA25" s="3">
        <f t="shared" si="17"/>
        <v>0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>
        <f t="shared" si="5"/>
        <v>0</v>
      </c>
      <c r="G26" s="148"/>
      <c r="H26" s="40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>
        <f t="shared" si="8"/>
        <v>0</v>
      </c>
      <c r="N26" s="147"/>
      <c r="O26" s="40">
        <f t="shared" si="16"/>
        <v>0</v>
      </c>
      <c r="P26" s="150"/>
      <c r="Q26" s="40">
        <f t="shared" si="9"/>
        <v>0</v>
      </c>
      <c r="R26" s="147"/>
      <c r="S26" s="40">
        <f t="shared" si="10"/>
        <v>0</v>
      </c>
      <c r="T26" s="147">
        <v>0</v>
      </c>
      <c r="U26" s="151"/>
      <c r="V26" s="147"/>
      <c r="W26" s="40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0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0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0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2363</v>
      </c>
      <c r="C31" s="138"/>
      <c r="D31" s="138">
        <f>SUM(D3:D30)</f>
        <v>3680</v>
      </c>
      <c r="E31" s="57">
        <v>0</v>
      </c>
      <c r="F31" s="57">
        <f>SUM(F3:F30)</f>
        <v>112994</v>
      </c>
      <c r="G31" s="57">
        <v>0</v>
      </c>
      <c r="H31" s="57">
        <f>SUM(H3:H30)</f>
        <v>341910</v>
      </c>
      <c r="I31" s="57">
        <f>SUM(I6:I30)</f>
        <v>299869</v>
      </c>
      <c r="J31" s="57">
        <v>0</v>
      </c>
      <c r="K31" s="57">
        <f>SUM(K3:K30)</f>
        <v>76630</v>
      </c>
      <c r="L31" s="57">
        <v>0</v>
      </c>
      <c r="M31" s="57">
        <f>SUM(M3:M30)</f>
        <v>51253</v>
      </c>
      <c r="N31" s="57">
        <v>0</v>
      </c>
      <c r="O31" s="57">
        <f>SUM(O3:O30)</f>
        <v>60390</v>
      </c>
      <c r="P31" s="57">
        <v>0</v>
      </c>
      <c r="Q31" s="57">
        <f>SUM(Q3:Q30)</f>
        <v>31847</v>
      </c>
      <c r="R31" s="57">
        <v>0</v>
      </c>
      <c r="S31" s="57">
        <f>SUM(S3:S30)</f>
        <v>86023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92168</v>
      </c>
      <c r="X31" s="57">
        <f>SUM(X6:X30)</f>
        <v>265875</v>
      </c>
      <c r="Y31" s="57">
        <f>SUM(Y3:Y30)</f>
        <v>56593</v>
      </c>
      <c r="Z31" s="57">
        <f>SUM(Z3:Z30)</f>
        <v>56602.630219200008</v>
      </c>
      <c r="AA31" s="57">
        <f>SUM(AA3:AA30)</f>
        <v>219964.29081119999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I11" sqref="I11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>
        <v>441375</v>
      </c>
      <c r="C9" s="40">
        <f t="shared" ref="C9:C30" si="5">(IF((B9-B8)&lt;0,"0",(B9-B8)))*10</f>
        <v>970</v>
      </c>
      <c r="D9" s="3">
        <v>4462</v>
      </c>
      <c r="E9" s="40">
        <f t="shared" si="0"/>
        <v>500</v>
      </c>
      <c r="F9" s="3">
        <v>8047500</v>
      </c>
      <c r="G9" s="40">
        <f t="shared" si="3"/>
        <v>332.1</v>
      </c>
      <c r="H9" s="3">
        <v>778302</v>
      </c>
      <c r="I9" s="45">
        <f t="shared" si="4"/>
        <v>3.375</v>
      </c>
      <c r="J9" s="20">
        <f t="shared" si="1"/>
        <v>1805.4749999999999</v>
      </c>
      <c r="K9" s="21">
        <f t="shared" si="2"/>
        <v>10580.083500000001</v>
      </c>
    </row>
    <row r="10" spans="1:14" ht="16.5" thickBot="1" x14ac:dyDescent="0.3">
      <c r="A10" s="9">
        <v>44628</v>
      </c>
      <c r="B10" s="3">
        <v>441479</v>
      </c>
      <c r="C10" s="40">
        <f>(IF((B10-B9)&lt;0,"0",(B10-B9)))*10</f>
        <v>1040</v>
      </c>
      <c r="D10" s="3">
        <v>4511</v>
      </c>
      <c r="E10" s="40">
        <f t="shared" si="0"/>
        <v>490</v>
      </c>
      <c r="F10" s="3">
        <v>8062000</v>
      </c>
      <c r="G10" s="40">
        <f t="shared" si="3"/>
        <v>391.5</v>
      </c>
      <c r="H10" s="3">
        <v>778444</v>
      </c>
      <c r="I10" s="45">
        <f t="shared" si="4"/>
        <v>3.8340000000000001</v>
      </c>
      <c r="J10" s="20">
        <f t="shared" si="1"/>
        <v>1925.3340000000001</v>
      </c>
      <c r="K10" s="21">
        <f t="shared" si="2"/>
        <v>11282.457240000002</v>
      </c>
    </row>
    <row r="11" spans="1:14" ht="16.5" thickBot="1" x14ac:dyDescent="0.3">
      <c r="A11" s="9">
        <v>44629</v>
      </c>
      <c r="B11" s="3">
        <v>441582</v>
      </c>
      <c r="C11" s="40">
        <f t="shared" si="5"/>
        <v>1030</v>
      </c>
      <c r="D11" s="3">
        <v>4563</v>
      </c>
      <c r="E11" s="40">
        <f t="shared" si="0"/>
        <v>520</v>
      </c>
      <c r="F11" s="3">
        <v>8075700</v>
      </c>
      <c r="G11" s="40">
        <f t="shared" si="3"/>
        <v>369.9</v>
      </c>
      <c r="H11" s="3">
        <v>778588</v>
      </c>
      <c r="I11" s="45">
        <f t="shared" si="4"/>
        <v>3.8879999999999999</v>
      </c>
      <c r="J11" s="20">
        <f t="shared" si="1"/>
        <v>1923.788</v>
      </c>
      <c r="K11" s="21">
        <f t="shared" si="2"/>
        <v>11273.39768</v>
      </c>
      <c r="N11" t="s">
        <v>12</v>
      </c>
    </row>
    <row r="12" spans="1:14" ht="16.5" thickBot="1" x14ac:dyDescent="0.3">
      <c r="A12" s="9">
        <v>44630</v>
      </c>
      <c r="B12" s="3"/>
      <c r="C12" s="40">
        <f t="shared" si="5"/>
        <v>0</v>
      </c>
      <c r="D12" s="3"/>
      <c r="E12" s="40">
        <f t="shared" si="0"/>
        <v>0</v>
      </c>
      <c r="F12" s="3"/>
      <c r="G12" s="40">
        <f t="shared" si="3"/>
        <v>0</v>
      </c>
      <c r="H12" s="3"/>
      <c r="I12" s="45">
        <f t="shared" si="4"/>
        <v>0</v>
      </c>
      <c r="J12" s="20">
        <f t="shared" si="1"/>
        <v>0</v>
      </c>
      <c r="K12" s="21">
        <f t="shared" si="2"/>
        <v>0</v>
      </c>
    </row>
    <row r="13" spans="1:14" ht="16.5" thickBot="1" x14ac:dyDescent="0.3">
      <c r="A13" s="9">
        <v>44631</v>
      </c>
      <c r="B13" s="3"/>
      <c r="C13" s="40">
        <f t="shared" si="5"/>
        <v>0</v>
      </c>
      <c r="D13" s="3"/>
      <c r="E13" s="40">
        <f t="shared" si="0"/>
        <v>0</v>
      </c>
      <c r="F13" s="3"/>
      <c r="G13" s="40">
        <f t="shared" si="3"/>
        <v>0</v>
      </c>
      <c r="H13" s="3"/>
      <c r="I13" s="45">
        <f t="shared" si="4"/>
        <v>0</v>
      </c>
      <c r="J13" s="20">
        <f t="shared" si="1"/>
        <v>0</v>
      </c>
      <c r="K13" s="21">
        <f t="shared" si="2"/>
        <v>0</v>
      </c>
    </row>
    <row r="14" spans="1:14" ht="16.5" thickBot="1" x14ac:dyDescent="0.3">
      <c r="A14" s="9">
        <v>44632</v>
      </c>
      <c r="B14" s="3"/>
      <c r="C14" s="40">
        <f t="shared" si="5"/>
        <v>0</v>
      </c>
      <c r="D14" s="3"/>
      <c r="E14" s="40">
        <f t="shared" si="0"/>
        <v>0</v>
      </c>
      <c r="F14" s="3"/>
      <c r="G14" s="40">
        <f t="shared" si="3"/>
        <v>0</v>
      </c>
      <c r="H14" s="3"/>
      <c r="I14" s="45">
        <f t="shared" si="4"/>
        <v>0</v>
      </c>
      <c r="J14" s="20">
        <f t="shared" si="1"/>
        <v>0</v>
      </c>
      <c r="K14" s="21">
        <f t="shared" si="2"/>
        <v>0</v>
      </c>
    </row>
    <row r="15" spans="1:14" ht="16.5" thickBot="1" x14ac:dyDescent="0.3">
      <c r="A15" s="9">
        <v>44633</v>
      </c>
      <c r="B15" s="3"/>
      <c r="C15" s="40">
        <f t="shared" si="5"/>
        <v>0</v>
      </c>
      <c r="D15" s="3"/>
      <c r="E15" s="40">
        <f t="shared" si="0"/>
        <v>0</v>
      </c>
      <c r="F15" s="3"/>
      <c r="G15" s="40">
        <f t="shared" si="3"/>
        <v>0</v>
      </c>
      <c r="H15" s="3"/>
      <c r="I15" s="45">
        <f t="shared" si="4"/>
        <v>0</v>
      </c>
      <c r="J15" s="20">
        <f t="shared" si="1"/>
        <v>0</v>
      </c>
      <c r="K15" s="21">
        <f t="shared" si="2"/>
        <v>0</v>
      </c>
    </row>
    <row r="16" spans="1:14" ht="16.5" thickBot="1" x14ac:dyDescent="0.3">
      <c r="A16" s="9">
        <v>44634</v>
      </c>
      <c r="B16" s="3"/>
      <c r="C16" s="40">
        <f t="shared" si="5"/>
        <v>0</v>
      </c>
      <c r="D16" s="3"/>
      <c r="E16" s="40">
        <f t="shared" si="0"/>
        <v>0</v>
      </c>
      <c r="F16" s="3"/>
      <c r="G16" s="40">
        <f t="shared" si="3"/>
        <v>0</v>
      </c>
      <c r="H16" s="3"/>
      <c r="I16" s="45">
        <f t="shared" si="4"/>
        <v>0</v>
      </c>
      <c r="J16" s="20">
        <f t="shared" si="1"/>
        <v>0</v>
      </c>
      <c r="K16" s="21">
        <f t="shared" si="2"/>
        <v>0</v>
      </c>
    </row>
    <row r="17" spans="1:25" ht="16.5" thickBot="1" x14ac:dyDescent="0.3">
      <c r="A17" s="9">
        <v>44635</v>
      </c>
      <c r="B17" s="3"/>
      <c r="C17" s="40">
        <f t="shared" si="5"/>
        <v>0</v>
      </c>
      <c r="D17" s="3"/>
      <c r="E17" s="40">
        <f t="shared" si="0"/>
        <v>0</v>
      </c>
      <c r="F17" s="3"/>
      <c r="G17" s="40">
        <f t="shared" si="3"/>
        <v>0</v>
      </c>
      <c r="H17" s="3"/>
      <c r="I17" s="45">
        <f t="shared" si="4"/>
        <v>0</v>
      </c>
      <c r="J17" s="20">
        <f t="shared" si="1"/>
        <v>0</v>
      </c>
      <c r="K17" s="21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/>
      <c r="C18" s="40">
        <f t="shared" si="5"/>
        <v>0</v>
      </c>
      <c r="D18" s="3"/>
      <c r="E18" s="40">
        <f t="shared" si="0"/>
        <v>0</v>
      </c>
      <c r="F18" s="3"/>
      <c r="G18" s="40">
        <f t="shared" si="3"/>
        <v>0</v>
      </c>
      <c r="H18" s="3"/>
      <c r="I18" s="45">
        <f t="shared" si="4"/>
        <v>0</v>
      </c>
      <c r="J18" s="20">
        <f t="shared" si="1"/>
        <v>0</v>
      </c>
      <c r="K18" s="21">
        <f t="shared" si="2"/>
        <v>0</v>
      </c>
      <c r="Q18" t="s">
        <v>43</v>
      </c>
    </row>
    <row r="19" spans="1:25" ht="16.5" thickBot="1" x14ac:dyDescent="0.3">
      <c r="A19" s="9">
        <v>44637</v>
      </c>
      <c r="B19" s="3"/>
      <c r="C19" s="40">
        <f t="shared" si="5"/>
        <v>0</v>
      </c>
      <c r="D19" s="3"/>
      <c r="E19" s="40">
        <f t="shared" ref="E19:E30" si="6">(IF((D19-D18)&lt;0,"0",(D19-D18)))*10</f>
        <v>0</v>
      </c>
      <c r="F19" s="3"/>
      <c r="G19" s="40">
        <f t="shared" si="3"/>
        <v>0</v>
      </c>
      <c r="H19" s="3"/>
      <c r="I19" s="45">
        <f t="shared" si="4"/>
        <v>0</v>
      </c>
      <c r="J19" s="20">
        <f t="shared" si="1"/>
        <v>0</v>
      </c>
      <c r="K19" s="21">
        <f t="shared" si="2"/>
        <v>0</v>
      </c>
      <c r="Q19" t="s">
        <v>12</v>
      </c>
    </row>
    <row r="20" spans="1:25" ht="16.5" thickBot="1" x14ac:dyDescent="0.3">
      <c r="A20" s="9">
        <v>44638</v>
      </c>
      <c r="B20" s="3"/>
      <c r="C20" s="40">
        <f t="shared" si="5"/>
        <v>0</v>
      </c>
      <c r="D20" s="3"/>
      <c r="E20" s="40">
        <f t="shared" si="6"/>
        <v>0</v>
      </c>
      <c r="F20" s="3"/>
      <c r="G20" s="40">
        <f t="shared" si="3"/>
        <v>0</v>
      </c>
      <c r="H20" s="3"/>
      <c r="I20" s="45">
        <f t="shared" si="4"/>
        <v>0</v>
      </c>
      <c r="J20" s="20">
        <f t="shared" si="1"/>
        <v>0</v>
      </c>
      <c r="K20" s="21">
        <f t="shared" si="2"/>
        <v>0</v>
      </c>
    </row>
    <row r="21" spans="1:25" ht="16.5" thickBot="1" x14ac:dyDescent="0.3">
      <c r="A21" s="9">
        <v>44639</v>
      </c>
      <c r="B21" s="3"/>
      <c r="C21" s="40">
        <f t="shared" si="5"/>
        <v>0</v>
      </c>
      <c r="D21" s="3"/>
      <c r="E21" s="40">
        <f t="shared" si="6"/>
        <v>0</v>
      </c>
      <c r="F21" s="3"/>
      <c r="G21" s="40">
        <f t="shared" si="3"/>
        <v>0</v>
      </c>
      <c r="H21" s="3"/>
      <c r="I21" s="45">
        <f t="shared" si="4"/>
        <v>0</v>
      </c>
      <c r="J21" s="20">
        <f t="shared" si="1"/>
        <v>0</v>
      </c>
      <c r="K21" s="21">
        <f t="shared" si="2"/>
        <v>0</v>
      </c>
    </row>
    <row r="22" spans="1:25" ht="16.5" thickBot="1" x14ac:dyDescent="0.3">
      <c r="A22" s="9">
        <v>44640</v>
      </c>
      <c r="B22" s="3"/>
      <c r="C22" s="40">
        <f t="shared" si="5"/>
        <v>0</v>
      </c>
      <c r="D22" s="3"/>
      <c r="E22" s="40">
        <f t="shared" si="6"/>
        <v>0</v>
      </c>
      <c r="F22" s="3"/>
      <c r="G22" s="40">
        <f t="shared" si="3"/>
        <v>0</v>
      </c>
      <c r="H22" s="3"/>
      <c r="I22" s="45">
        <f t="shared" si="4"/>
        <v>0</v>
      </c>
      <c r="J22" s="20">
        <f t="shared" si="1"/>
        <v>0</v>
      </c>
      <c r="K22" s="21">
        <f t="shared" si="2"/>
        <v>0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/>
      <c r="C23" s="40">
        <f t="shared" si="5"/>
        <v>0</v>
      </c>
      <c r="D23" s="3"/>
      <c r="E23" s="40">
        <f t="shared" si="6"/>
        <v>0</v>
      </c>
      <c r="F23" s="3"/>
      <c r="G23" s="40">
        <f t="shared" si="3"/>
        <v>0</v>
      </c>
      <c r="H23" s="3"/>
      <c r="I23" s="45">
        <f t="shared" si="4"/>
        <v>0</v>
      </c>
      <c r="J23" s="20">
        <f t="shared" si="1"/>
        <v>0</v>
      </c>
      <c r="K23" s="21">
        <f t="shared" si="2"/>
        <v>0</v>
      </c>
      <c r="Q23" t="s">
        <v>12</v>
      </c>
    </row>
    <row r="24" spans="1:25" ht="16.5" thickBot="1" x14ac:dyDescent="0.3">
      <c r="A24" s="9">
        <v>44642</v>
      </c>
      <c r="B24" s="3"/>
      <c r="C24" s="40">
        <f t="shared" si="5"/>
        <v>0</v>
      </c>
      <c r="D24" s="3"/>
      <c r="E24" s="40">
        <f t="shared" si="6"/>
        <v>0</v>
      </c>
      <c r="F24" s="3"/>
      <c r="G24" s="40">
        <f t="shared" si="3"/>
        <v>0</v>
      </c>
      <c r="H24" s="3"/>
      <c r="I24" s="45">
        <f t="shared" si="4"/>
        <v>0</v>
      </c>
      <c r="J24" s="20">
        <f t="shared" si="1"/>
        <v>0</v>
      </c>
      <c r="K24" s="21">
        <f t="shared" si="2"/>
        <v>0</v>
      </c>
    </row>
    <row r="25" spans="1:25" ht="17.25" customHeight="1" thickBot="1" x14ac:dyDescent="0.4">
      <c r="A25" s="9">
        <v>44643</v>
      </c>
      <c r="B25" s="3"/>
      <c r="C25" s="40">
        <f t="shared" si="5"/>
        <v>0</v>
      </c>
      <c r="D25" s="3"/>
      <c r="E25" s="40">
        <f t="shared" si="6"/>
        <v>0</v>
      </c>
      <c r="F25" s="3"/>
      <c r="G25" s="40">
        <f t="shared" si="3"/>
        <v>0</v>
      </c>
      <c r="H25" s="3"/>
      <c r="I25" s="45">
        <f t="shared" si="4"/>
        <v>0</v>
      </c>
      <c r="J25" s="20">
        <f t="shared" si="1"/>
        <v>0</v>
      </c>
      <c r="K25" s="21">
        <f t="shared" si="2"/>
        <v>0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7550</v>
      </c>
      <c r="D31" s="3"/>
      <c r="E31" s="57">
        <f>SUM(E4:E30)</f>
        <v>3800</v>
      </c>
      <c r="F31" s="3"/>
      <c r="G31" s="57">
        <f>SUM(G4:G30)</f>
        <v>2907.9</v>
      </c>
      <c r="H31" s="3"/>
      <c r="I31" s="57">
        <f>SUM(I4:I30)</f>
        <v>31.239000000000004</v>
      </c>
      <c r="J31" s="57">
        <f>SUM(J4:J30)</f>
        <v>14289.139000000001</v>
      </c>
      <c r="K31" s="57">
        <f>SUM(K4:K30)</f>
        <v>83734.35454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B11" sqref="B11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>
        <v>18077451</v>
      </c>
      <c r="C9" s="46">
        <f>IF((B9-B8)&lt;0,"0",(B9-B8))</f>
        <v>2600</v>
      </c>
    </row>
    <row r="10" spans="1:9" ht="24" thickBot="1" x14ac:dyDescent="0.4">
      <c r="A10" s="9">
        <v>44628</v>
      </c>
      <c r="B10" s="134">
        <v>18079846</v>
      </c>
      <c r="C10" s="46">
        <f t="shared" si="0"/>
        <v>2395</v>
      </c>
    </row>
    <row r="11" spans="1:9" ht="24" thickBot="1" x14ac:dyDescent="0.4">
      <c r="A11" s="9">
        <v>44629</v>
      </c>
      <c r="B11" s="134">
        <v>18083209</v>
      </c>
      <c r="C11" s="46">
        <f>IF((B11-B10)&lt;0,"0",(B11-B10))</f>
        <v>3363</v>
      </c>
    </row>
    <row r="12" spans="1:9" ht="24" thickBot="1" x14ac:dyDescent="0.4">
      <c r="A12" s="9">
        <v>44630</v>
      </c>
      <c r="B12" s="134"/>
      <c r="C12" s="46" t="str">
        <f t="shared" si="0"/>
        <v>0</v>
      </c>
    </row>
    <row r="13" spans="1:9" ht="24" thickBot="1" x14ac:dyDescent="0.4">
      <c r="A13" s="9">
        <v>44631</v>
      </c>
      <c r="B13" s="134"/>
      <c r="C13" s="46">
        <f t="shared" si="0"/>
        <v>0</v>
      </c>
    </row>
    <row r="14" spans="1:9" ht="24" thickBot="1" x14ac:dyDescent="0.4">
      <c r="A14" s="9">
        <v>44632</v>
      </c>
      <c r="B14" s="134"/>
      <c r="C14" s="46">
        <f t="shared" si="0"/>
        <v>0</v>
      </c>
    </row>
    <row r="15" spans="1:9" ht="24" thickBot="1" x14ac:dyDescent="0.4">
      <c r="A15" s="9">
        <v>44633</v>
      </c>
      <c r="B15" s="134"/>
      <c r="C15" s="46">
        <f t="shared" si="0"/>
        <v>0</v>
      </c>
      <c r="I15" t="s">
        <v>12</v>
      </c>
    </row>
    <row r="16" spans="1:9" ht="26.25" customHeight="1" thickBot="1" x14ac:dyDescent="0.4">
      <c r="A16" s="9">
        <v>44634</v>
      </c>
      <c r="B16" s="134"/>
      <c r="C16" s="46">
        <f t="shared" si="0"/>
        <v>0</v>
      </c>
      <c r="F16" s="157"/>
    </row>
    <row r="17" spans="1:9" ht="25.5" customHeight="1" thickBot="1" x14ac:dyDescent="0.4">
      <c r="A17" s="9">
        <v>44635</v>
      </c>
      <c r="B17" s="134"/>
      <c r="C17" s="46">
        <f t="shared" si="0"/>
        <v>0</v>
      </c>
    </row>
    <row r="18" spans="1:9" ht="24" thickBot="1" x14ac:dyDescent="0.4">
      <c r="A18" s="9">
        <v>44636</v>
      </c>
      <c r="B18" s="134"/>
      <c r="C18" s="46">
        <f t="shared" si="0"/>
        <v>0</v>
      </c>
      <c r="I18" s="36"/>
    </row>
    <row r="19" spans="1:9" ht="24" thickBot="1" x14ac:dyDescent="0.4">
      <c r="A19" s="9">
        <v>44637</v>
      </c>
      <c r="B19" s="134"/>
      <c r="C19" s="46">
        <f t="shared" si="0"/>
        <v>0</v>
      </c>
    </row>
    <row r="20" spans="1:9" ht="24" thickBot="1" x14ac:dyDescent="0.4">
      <c r="A20" s="9">
        <v>44638</v>
      </c>
      <c r="B20" s="134"/>
      <c r="C20" s="46">
        <f t="shared" si="0"/>
        <v>0</v>
      </c>
    </row>
    <row r="21" spans="1:9" ht="24" thickBot="1" x14ac:dyDescent="0.4">
      <c r="A21" s="9">
        <v>44639</v>
      </c>
      <c r="B21" s="134"/>
      <c r="C21" s="46">
        <f t="shared" si="0"/>
        <v>0</v>
      </c>
    </row>
    <row r="22" spans="1:9" ht="24" thickBot="1" x14ac:dyDescent="0.4">
      <c r="A22" s="9">
        <v>44640</v>
      </c>
      <c r="B22" s="134"/>
      <c r="C22" s="46">
        <f t="shared" si="0"/>
        <v>0</v>
      </c>
    </row>
    <row r="23" spans="1:9" ht="24" thickBot="1" x14ac:dyDescent="0.4">
      <c r="A23" s="9">
        <v>44641</v>
      </c>
      <c r="B23" s="134"/>
      <c r="C23" s="46">
        <f t="shared" si="0"/>
        <v>0</v>
      </c>
      <c r="F23" t="s">
        <v>12</v>
      </c>
    </row>
    <row r="24" spans="1:9" ht="24" thickBot="1" x14ac:dyDescent="0.4">
      <c r="A24" s="9">
        <v>44642</v>
      </c>
      <c r="B24" s="134"/>
      <c r="C24" s="46">
        <f t="shared" si="0"/>
        <v>0</v>
      </c>
      <c r="E24" t="s">
        <v>12</v>
      </c>
    </row>
    <row r="25" spans="1:9" ht="24" thickBot="1" x14ac:dyDescent="0.4">
      <c r="A25" s="9">
        <v>44643</v>
      </c>
      <c r="B25" s="134"/>
      <c r="C25" s="46">
        <f t="shared" si="0"/>
        <v>0</v>
      </c>
    </row>
    <row r="26" spans="1:9" ht="24" thickBot="1" x14ac:dyDescent="0.4">
      <c r="A26" s="9">
        <v>44644</v>
      </c>
      <c r="B26" s="134"/>
      <c r="C26" s="46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21069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opLeftCell="M1" zoomScaleNormal="100" workbookViewId="0">
      <pane ySplit="1" topLeftCell="A2" activePane="bottomLeft" state="frozen"/>
      <selection pane="bottomLeft" activeCell="X14" sqref="X14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5837</v>
      </c>
      <c r="AG7" s="164">
        <f t="shared" si="20"/>
        <v>5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5846</v>
      </c>
      <c r="AG8" s="164">
        <f t="shared" si="20"/>
        <v>9</v>
      </c>
    </row>
    <row r="9" spans="1:33" ht="16.5" thickBot="1" x14ac:dyDescent="0.25">
      <c r="A9" s="9">
        <v>44627</v>
      </c>
      <c r="B9" s="161">
        <v>22935.685000000001</v>
      </c>
      <c r="C9" s="45">
        <f t="shared" si="21"/>
        <v>4.1650000000008731</v>
      </c>
      <c r="D9" s="29">
        <f t="shared" si="22"/>
        <v>7913.500000001658</v>
      </c>
      <c r="E9" s="1">
        <v>4121.9449999999997</v>
      </c>
      <c r="F9" s="45">
        <f t="shared" si="23"/>
        <v>1.0900000000001455</v>
      </c>
      <c r="G9" s="29">
        <f t="shared" si="24"/>
        <v>2071.0000000002765</v>
      </c>
      <c r="H9" s="1">
        <v>4855</v>
      </c>
      <c r="I9" s="45">
        <f t="shared" si="25"/>
        <v>5</v>
      </c>
      <c r="J9" s="29">
        <f t="shared" si="26"/>
        <v>9500</v>
      </c>
      <c r="K9" s="7">
        <v>13889.7</v>
      </c>
      <c r="L9" s="45">
        <f t="shared" si="27"/>
        <v>0</v>
      </c>
      <c r="M9" s="29">
        <f t="shared" si="28"/>
        <v>0</v>
      </c>
      <c r="N9" s="7">
        <v>3440.6759999999999</v>
      </c>
      <c r="O9" s="45">
        <f t="shared" si="29"/>
        <v>1.2049999999999272</v>
      </c>
      <c r="P9" s="29">
        <f t="shared" si="30"/>
        <v>2289.4999999998618</v>
      </c>
      <c r="Q9" s="7">
        <v>5292.64</v>
      </c>
      <c r="R9" s="45">
        <f t="shared" si="31"/>
        <v>0.53999999999996362</v>
      </c>
      <c r="S9" s="29">
        <f t="shared" si="32"/>
        <v>1025.9999999999307</v>
      </c>
      <c r="T9" s="8">
        <f t="shared" si="34"/>
        <v>12.000000000000909</v>
      </c>
      <c r="U9" s="31">
        <f t="shared" si="33"/>
        <v>22800.000000001728</v>
      </c>
      <c r="W9" s="158">
        <v>44627</v>
      </c>
      <c r="X9" s="159">
        <v>165408</v>
      </c>
      <c r="Y9" s="164">
        <f t="shared" si="20"/>
        <v>96</v>
      </c>
      <c r="Z9" s="159">
        <v>8593</v>
      </c>
      <c r="AA9" s="164">
        <f t="shared" si="20"/>
        <v>13</v>
      </c>
      <c r="AB9" s="159">
        <v>22.9</v>
      </c>
      <c r="AC9" s="164">
        <f t="shared" si="20"/>
        <v>0.19999999999999929</v>
      </c>
      <c r="AD9" s="159">
        <v>278</v>
      </c>
      <c r="AE9" s="164">
        <f t="shared" si="20"/>
        <v>4</v>
      </c>
      <c r="AF9" s="159">
        <v>5858</v>
      </c>
      <c r="AG9" s="164">
        <f t="shared" si="20"/>
        <v>12</v>
      </c>
    </row>
    <row r="10" spans="1:33" ht="16.5" thickBot="1" x14ac:dyDescent="0.25">
      <c r="A10" s="9">
        <v>44628</v>
      </c>
      <c r="B10" s="161">
        <v>22939.67</v>
      </c>
      <c r="C10" s="45">
        <f t="shared" si="21"/>
        <v>3.9849999999969441</v>
      </c>
      <c r="D10" s="29">
        <f t="shared" si="22"/>
        <v>7571.4999999941938</v>
      </c>
      <c r="E10" s="1">
        <v>4122.9930000000004</v>
      </c>
      <c r="F10" s="45">
        <f t="shared" si="23"/>
        <v>1.0480000000006839</v>
      </c>
      <c r="G10" s="29">
        <f t="shared" si="24"/>
        <v>1991.2000000012995</v>
      </c>
      <c r="H10" s="1">
        <v>4861</v>
      </c>
      <c r="I10" s="45">
        <f t="shared" si="25"/>
        <v>6</v>
      </c>
      <c r="J10" s="29">
        <f t="shared" si="26"/>
        <v>11399.999999999998</v>
      </c>
      <c r="K10" s="7">
        <v>13889.7</v>
      </c>
      <c r="L10" s="45">
        <f t="shared" si="27"/>
        <v>0</v>
      </c>
      <c r="M10" s="29">
        <f t="shared" si="28"/>
        <v>0</v>
      </c>
      <c r="N10" s="7">
        <v>3441.8150000000001</v>
      </c>
      <c r="O10" s="45">
        <f>IF((N10-N9)&lt;0,"0",(N10-N9))</f>
        <v>1.1390000000001237</v>
      </c>
      <c r="P10" s="29">
        <f t="shared" si="30"/>
        <v>2164.100000000235</v>
      </c>
      <c r="Q10" s="7">
        <v>5293.04</v>
      </c>
      <c r="R10" s="45">
        <f t="shared" si="31"/>
        <v>0.3999999999996362</v>
      </c>
      <c r="S10" s="29">
        <f t="shared" si="32"/>
        <v>759.99999999930878</v>
      </c>
      <c r="T10" s="8">
        <f t="shared" si="34"/>
        <v>12.571999999997388</v>
      </c>
      <c r="U10" s="31">
        <f t="shared" si="33"/>
        <v>23886.799999995033</v>
      </c>
      <c r="W10" s="158">
        <v>44628</v>
      </c>
      <c r="X10" s="159">
        <v>165515</v>
      </c>
      <c r="Y10" s="164">
        <f t="shared" si="20"/>
        <v>107</v>
      </c>
      <c r="Z10" s="159">
        <v>8609</v>
      </c>
      <c r="AA10" s="164">
        <f t="shared" si="20"/>
        <v>16</v>
      </c>
      <c r="AB10" s="159">
        <v>23</v>
      </c>
      <c r="AC10" s="164">
        <f t="shared" si="20"/>
        <v>0.10000000000000142</v>
      </c>
      <c r="AD10" s="159">
        <v>280</v>
      </c>
      <c r="AE10" s="164">
        <f t="shared" si="20"/>
        <v>2</v>
      </c>
      <c r="AF10" s="159">
        <v>5877</v>
      </c>
      <c r="AG10" s="164">
        <f t="shared" si="20"/>
        <v>19</v>
      </c>
    </row>
    <row r="11" spans="1:33" ht="16.5" thickBot="1" x14ac:dyDescent="0.25">
      <c r="A11" s="9">
        <v>44629</v>
      </c>
      <c r="B11" s="161">
        <v>22943.712</v>
      </c>
      <c r="C11" s="45">
        <f t="shared" si="21"/>
        <v>4.0420000000012806</v>
      </c>
      <c r="D11" s="29">
        <f t="shared" si="22"/>
        <v>7679.8000000024331</v>
      </c>
      <c r="E11" s="1">
        <v>4124.5959999999995</v>
      </c>
      <c r="F11" s="45">
        <f t="shared" si="23"/>
        <v>1.602999999999156</v>
      </c>
      <c r="G11" s="29">
        <f t="shared" si="24"/>
        <v>3045.6999999983959</v>
      </c>
      <c r="H11" s="1">
        <v>4867</v>
      </c>
      <c r="I11" s="45">
        <f t="shared" si="25"/>
        <v>6</v>
      </c>
      <c r="J11" s="29">
        <f t="shared" si="26"/>
        <v>11399.999999999998</v>
      </c>
      <c r="K11" s="7">
        <v>13889.7</v>
      </c>
      <c r="L11" s="45">
        <f t="shared" si="27"/>
        <v>0</v>
      </c>
      <c r="M11" s="29">
        <f t="shared" si="28"/>
        <v>0</v>
      </c>
      <c r="N11" s="7">
        <v>3443.2190000000001</v>
      </c>
      <c r="O11" s="45">
        <f t="shared" si="29"/>
        <v>1.4039999999999964</v>
      </c>
      <c r="P11" s="29">
        <f t="shared" si="30"/>
        <v>2667.5999999999931</v>
      </c>
      <c r="Q11" s="7">
        <v>5293.64</v>
      </c>
      <c r="R11" s="45">
        <f t="shared" si="31"/>
        <v>0.6000000000003638</v>
      </c>
      <c r="S11" s="29">
        <f t="shared" si="32"/>
        <v>1140.0000000006912</v>
      </c>
      <c r="T11" s="8">
        <f t="shared" si="34"/>
        <v>13.649000000000797</v>
      </c>
      <c r="U11" s="31">
        <f t="shared" si="33"/>
        <v>25933.100000001512</v>
      </c>
      <c r="W11" s="158">
        <v>44629</v>
      </c>
      <c r="X11" s="159">
        <v>165612</v>
      </c>
      <c r="Y11" s="164">
        <f t="shared" si="20"/>
        <v>97</v>
      </c>
      <c r="Z11" s="159">
        <v>8622</v>
      </c>
      <c r="AA11" s="164">
        <f t="shared" si="20"/>
        <v>13</v>
      </c>
      <c r="AB11" s="159">
        <v>23</v>
      </c>
      <c r="AC11" s="164">
        <f t="shared" si="20"/>
        <v>0</v>
      </c>
      <c r="AD11" s="159">
        <v>284</v>
      </c>
      <c r="AE11" s="164">
        <f t="shared" si="20"/>
        <v>4</v>
      </c>
      <c r="AF11" s="159">
        <v>5896</v>
      </c>
      <c r="AG11" s="164">
        <f t="shared" si="20"/>
        <v>19</v>
      </c>
    </row>
    <row r="12" spans="1:33" ht="16.5" thickBot="1" x14ac:dyDescent="0.25">
      <c r="A12" s="9">
        <v>44630</v>
      </c>
      <c r="B12" s="161"/>
      <c r="C12" s="45" t="str">
        <f t="shared" si="21"/>
        <v>0</v>
      </c>
      <c r="D12" s="29">
        <f t="shared" si="22"/>
        <v>0</v>
      </c>
      <c r="E12" s="1"/>
      <c r="F12" s="45" t="str">
        <f t="shared" si="23"/>
        <v>0</v>
      </c>
      <c r="G12" s="29">
        <f t="shared" si="24"/>
        <v>0</v>
      </c>
      <c r="H12" s="1"/>
      <c r="I12" s="45" t="str">
        <f t="shared" si="25"/>
        <v>0</v>
      </c>
      <c r="J12" s="29">
        <f t="shared" si="26"/>
        <v>0</v>
      </c>
      <c r="K12" s="7"/>
      <c r="L12" s="45" t="str">
        <f t="shared" si="27"/>
        <v>0</v>
      </c>
      <c r="M12" s="29">
        <f t="shared" si="28"/>
        <v>0</v>
      </c>
      <c r="N12" s="7"/>
      <c r="O12" s="45" t="str">
        <f t="shared" si="29"/>
        <v>0</v>
      </c>
      <c r="P12" s="29">
        <f t="shared" si="30"/>
        <v>0</v>
      </c>
      <c r="Q12" s="7"/>
      <c r="R12" s="45" t="str">
        <f t="shared" si="31"/>
        <v>0</v>
      </c>
      <c r="S12" s="29">
        <f t="shared" si="32"/>
        <v>0</v>
      </c>
      <c r="T12" s="8">
        <f t="shared" si="34"/>
        <v>0</v>
      </c>
      <c r="U12" s="31">
        <f t="shared" si="33"/>
        <v>0</v>
      </c>
      <c r="W12" s="158">
        <v>44630</v>
      </c>
      <c r="X12" s="159"/>
      <c r="Y12" s="164" t="str">
        <f t="shared" si="20"/>
        <v>0</v>
      </c>
      <c r="Z12" s="159"/>
      <c r="AA12" s="164" t="str">
        <f t="shared" si="20"/>
        <v>0</v>
      </c>
      <c r="AB12" s="159"/>
      <c r="AC12" s="164" t="str">
        <f t="shared" si="20"/>
        <v>0</v>
      </c>
      <c r="AD12" s="159"/>
      <c r="AE12" s="164" t="str">
        <f t="shared" si="20"/>
        <v>0</v>
      </c>
      <c r="AF12" s="159"/>
      <c r="AG12" s="164" t="str">
        <f t="shared" si="20"/>
        <v>0</v>
      </c>
    </row>
    <row r="13" spans="1:33" ht="16.5" thickBot="1" x14ac:dyDescent="0.25">
      <c r="A13" s="9">
        <v>44631</v>
      </c>
      <c r="B13" s="161"/>
      <c r="C13" s="45">
        <f t="shared" si="21"/>
        <v>0</v>
      </c>
      <c r="D13" s="29">
        <f t="shared" si="22"/>
        <v>0</v>
      </c>
      <c r="E13" s="1"/>
      <c r="F13" s="45">
        <f t="shared" si="23"/>
        <v>0</v>
      </c>
      <c r="G13" s="29">
        <f t="shared" si="24"/>
        <v>0</v>
      </c>
      <c r="H13" s="1"/>
      <c r="I13" s="45">
        <f t="shared" si="25"/>
        <v>0</v>
      </c>
      <c r="J13" s="29">
        <f t="shared" si="26"/>
        <v>0</v>
      </c>
      <c r="K13" s="7"/>
      <c r="L13" s="45">
        <f t="shared" si="27"/>
        <v>0</v>
      </c>
      <c r="M13" s="29">
        <f t="shared" si="28"/>
        <v>0</v>
      </c>
      <c r="N13" s="7"/>
      <c r="O13" s="45">
        <f t="shared" si="29"/>
        <v>0</v>
      </c>
      <c r="P13" s="29">
        <f t="shared" si="30"/>
        <v>0</v>
      </c>
      <c r="Q13" s="7"/>
      <c r="R13" s="45">
        <f t="shared" si="31"/>
        <v>0</v>
      </c>
      <c r="S13" s="29">
        <f t="shared" si="32"/>
        <v>0</v>
      </c>
      <c r="T13" s="8">
        <f t="shared" si="34"/>
        <v>0</v>
      </c>
      <c r="U13" s="31">
        <f t="shared" si="33"/>
        <v>0</v>
      </c>
      <c r="W13" s="158">
        <v>44631</v>
      </c>
      <c r="X13" s="159"/>
      <c r="Y13" s="164">
        <f t="shared" si="20"/>
        <v>0</v>
      </c>
      <c r="Z13" s="159"/>
      <c r="AA13" s="164">
        <f t="shared" si="20"/>
        <v>0</v>
      </c>
      <c r="AB13" s="159"/>
      <c r="AC13" s="164">
        <f t="shared" si="20"/>
        <v>0</v>
      </c>
      <c r="AD13" s="159"/>
      <c r="AE13" s="164">
        <f t="shared" si="20"/>
        <v>0</v>
      </c>
      <c r="AF13" s="159"/>
      <c r="AG13" s="164">
        <f t="shared" si="20"/>
        <v>0</v>
      </c>
    </row>
    <row r="14" spans="1:33" ht="16.5" thickBot="1" x14ac:dyDescent="0.25">
      <c r="A14" s="9">
        <v>44632</v>
      </c>
      <c r="B14" s="161"/>
      <c r="C14" s="45">
        <f t="shared" si="21"/>
        <v>0</v>
      </c>
      <c r="D14" s="29">
        <f t="shared" si="22"/>
        <v>0</v>
      </c>
      <c r="E14" s="1"/>
      <c r="F14" s="45">
        <f t="shared" si="23"/>
        <v>0</v>
      </c>
      <c r="G14" s="29">
        <f t="shared" si="24"/>
        <v>0</v>
      </c>
      <c r="H14" s="1"/>
      <c r="I14" s="45">
        <f t="shared" si="25"/>
        <v>0</v>
      </c>
      <c r="J14" s="29">
        <f t="shared" si="26"/>
        <v>0</v>
      </c>
      <c r="K14" s="7"/>
      <c r="L14" s="45">
        <f t="shared" si="27"/>
        <v>0</v>
      </c>
      <c r="M14" s="29">
        <f t="shared" si="28"/>
        <v>0</v>
      </c>
      <c r="N14" s="7"/>
      <c r="O14" s="45">
        <f>IF((N14-N13)&lt;0,"0",(N14-N13))</f>
        <v>0</v>
      </c>
      <c r="P14" s="29">
        <f t="shared" si="30"/>
        <v>0</v>
      </c>
      <c r="Q14" s="7"/>
      <c r="R14" s="45">
        <f t="shared" si="31"/>
        <v>0</v>
      </c>
      <c r="S14" s="29">
        <f t="shared" si="32"/>
        <v>0</v>
      </c>
      <c r="T14" s="8">
        <f t="shared" si="34"/>
        <v>0</v>
      </c>
      <c r="U14" s="31">
        <f t="shared" si="33"/>
        <v>0</v>
      </c>
      <c r="W14" s="158">
        <v>44632</v>
      </c>
      <c r="X14" s="159"/>
      <c r="Y14" s="164">
        <f t="shared" si="20"/>
        <v>0</v>
      </c>
      <c r="Z14" s="159"/>
      <c r="AA14" s="164">
        <f t="shared" si="20"/>
        <v>0</v>
      </c>
      <c r="AB14" s="159"/>
      <c r="AC14" s="164">
        <f t="shared" si="20"/>
        <v>0</v>
      </c>
      <c r="AD14" s="159"/>
      <c r="AE14" s="164">
        <f t="shared" si="20"/>
        <v>0</v>
      </c>
      <c r="AF14" s="159"/>
      <c r="AG14" s="164">
        <f t="shared" si="20"/>
        <v>0</v>
      </c>
    </row>
    <row r="15" spans="1:33" ht="16.5" thickBot="1" x14ac:dyDescent="0.25">
      <c r="A15" s="9">
        <v>44633</v>
      </c>
      <c r="B15" s="161"/>
      <c r="C15" s="45">
        <f t="shared" ref="C15" si="35">IF((B15-B14)&lt;0,"0",(B15-B14))</f>
        <v>0</v>
      </c>
      <c r="D15" s="29">
        <f t="shared" ref="D15" si="36">C15*1.9*1000</f>
        <v>0</v>
      </c>
      <c r="E15" s="1"/>
      <c r="F15" s="45">
        <f t="shared" ref="F15" si="37">IF((E15-E14)&lt;0,"0",(E15-E14))</f>
        <v>0</v>
      </c>
      <c r="G15" s="29">
        <f t="shared" ref="G15" si="38">F15*1.9*1000</f>
        <v>0</v>
      </c>
      <c r="H15" s="1"/>
      <c r="I15" s="45">
        <f t="shared" ref="I15" si="39">IF((H15-H14)&lt;0,"0",(H15-H14))</f>
        <v>0</v>
      </c>
      <c r="J15" s="29">
        <f t="shared" ref="J15" si="40">I15*1.9*1000</f>
        <v>0</v>
      </c>
      <c r="K15" s="7"/>
      <c r="L15" s="45">
        <f t="shared" ref="L15" si="41">IF((K15-K14)&lt;0,"0",(K15-K14))</f>
        <v>0</v>
      </c>
      <c r="M15" s="29">
        <f t="shared" ref="M15" si="42">L15*1.9*1000</f>
        <v>0</v>
      </c>
      <c r="N15" s="7"/>
      <c r="O15" s="45">
        <f>IF((N15-N14)&lt;0,"0",(N15-N14))</f>
        <v>0</v>
      </c>
      <c r="P15" s="29">
        <f t="shared" ref="P15" si="43">O15*1.9*1000</f>
        <v>0</v>
      </c>
      <c r="Q15" s="7"/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0</v>
      </c>
      <c r="U15" s="31">
        <f t="shared" ref="U15" si="47">T15*1.9*1000</f>
        <v>0</v>
      </c>
      <c r="W15" s="158">
        <v>44633</v>
      </c>
      <c r="X15" s="159"/>
      <c r="Y15" s="164">
        <f t="shared" si="20"/>
        <v>0</v>
      </c>
      <c r="Z15" s="159"/>
      <c r="AA15" s="164">
        <f t="shared" si="20"/>
        <v>0</v>
      </c>
      <c r="AB15" s="159"/>
      <c r="AC15" s="164">
        <f t="shared" si="20"/>
        <v>0</v>
      </c>
      <c r="AD15" s="159"/>
      <c r="AE15" s="164">
        <f t="shared" si="20"/>
        <v>0</v>
      </c>
      <c r="AF15" s="159"/>
      <c r="AG15" s="164">
        <f t="shared" si="20"/>
        <v>0</v>
      </c>
    </row>
    <row r="16" spans="1:33" ht="16.5" thickBot="1" x14ac:dyDescent="0.25">
      <c r="A16" s="9">
        <v>44634</v>
      </c>
      <c r="B16" s="161"/>
      <c r="C16" s="45">
        <f t="shared" si="21"/>
        <v>0</v>
      </c>
      <c r="D16" s="29">
        <f t="shared" si="22"/>
        <v>0</v>
      </c>
      <c r="E16" s="1"/>
      <c r="F16" s="45">
        <f t="shared" si="23"/>
        <v>0</v>
      </c>
      <c r="G16" s="29">
        <f t="shared" si="24"/>
        <v>0</v>
      </c>
      <c r="H16" s="1"/>
      <c r="I16" s="45">
        <f t="shared" si="25"/>
        <v>0</v>
      </c>
      <c r="J16" s="29">
        <f t="shared" si="26"/>
        <v>0</v>
      </c>
      <c r="K16" s="7"/>
      <c r="L16" s="45">
        <f t="shared" si="27"/>
        <v>0</v>
      </c>
      <c r="M16" s="29">
        <f t="shared" si="28"/>
        <v>0</v>
      </c>
      <c r="N16" s="7"/>
      <c r="O16" s="45">
        <f t="shared" si="29"/>
        <v>0</v>
      </c>
      <c r="P16" s="29">
        <f t="shared" si="30"/>
        <v>0</v>
      </c>
      <c r="Q16" s="7"/>
      <c r="R16" s="45">
        <f t="shared" si="31"/>
        <v>0</v>
      </c>
      <c r="S16" s="29">
        <f t="shared" si="32"/>
        <v>0</v>
      </c>
      <c r="T16" s="8">
        <f t="shared" si="34"/>
        <v>0</v>
      </c>
      <c r="U16" s="31">
        <f t="shared" si="33"/>
        <v>0</v>
      </c>
      <c r="W16" s="158">
        <v>44634</v>
      </c>
      <c r="X16" s="159"/>
      <c r="Y16" s="164">
        <f t="shared" si="20"/>
        <v>0</v>
      </c>
      <c r="Z16" s="159"/>
      <c r="AA16" s="164">
        <f t="shared" si="20"/>
        <v>0</v>
      </c>
      <c r="AB16" s="159"/>
      <c r="AC16" s="164">
        <f t="shared" si="20"/>
        <v>0</v>
      </c>
      <c r="AD16" s="159"/>
      <c r="AE16" s="164">
        <f t="shared" si="20"/>
        <v>0</v>
      </c>
      <c r="AF16" s="159"/>
      <c r="AG16" s="164">
        <f t="shared" si="20"/>
        <v>0</v>
      </c>
    </row>
    <row r="17" spans="1:33" ht="16.5" thickBot="1" x14ac:dyDescent="0.25">
      <c r="A17" s="9">
        <v>44635</v>
      </c>
      <c r="B17" s="161"/>
      <c r="C17" s="45">
        <f t="shared" si="21"/>
        <v>0</v>
      </c>
      <c r="D17" s="29">
        <f t="shared" si="22"/>
        <v>0</v>
      </c>
      <c r="E17" s="1"/>
      <c r="F17" s="45">
        <f t="shared" si="23"/>
        <v>0</v>
      </c>
      <c r="G17" s="29">
        <f t="shared" si="24"/>
        <v>0</v>
      </c>
      <c r="H17" s="1"/>
      <c r="I17" s="45">
        <f t="shared" si="25"/>
        <v>0</v>
      </c>
      <c r="J17" s="29">
        <f t="shared" si="26"/>
        <v>0</v>
      </c>
      <c r="K17" s="7"/>
      <c r="L17" s="45">
        <f t="shared" si="27"/>
        <v>0</v>
      </c>
      <c r="M17" s="29">
        <f t="shared" si="28"/>
        <v>0</v>
      </c>
      <c r="N17" s="7"/>
      <c r="O17" s="45">
        <f t="shared" si="29"/>
        <v>0</v>
      </c>
      <c r="P17" s="29">
        <f t="shared" si="30"/>
        <v>0</v>
      </c>
      <c r="Q17" s="7"/>
      <c r="R17" s="45">
        <f t="shared" si="31"/>
        <v>0</v>
      </c>
      <c r="S17" s="29">
        <f t="shared" si="32"/>
        <v>0</v>
      </c>
      <c r="T17" s="8">
        <f t="shared" si="34"/>
        <v>0</v>
      </c>
      <c r="U17" s="31">
        <f t="shared" si="33"/>
        <v>0</v>
      </c>
      <c r="W17" s="158">
        <v>44635</v>
      </c>
      <c r="X17" s="159"/>
      <c r="Y17" s="164">
        <f t="shared" si="20"/>
        <v>0</v>
      </c>
      <c r="Z17" s="159"/>
      <c r="AA17" s="164">
        <f t="shared" si="20"/>
        <v>0</v>
      </c>
      <c r="AB17" s="159"/>
      <c r="AC17" s="164">
        <f t="shared" si="20"/>
        <v>0</v>
      </c>
      <c r="AD17" s="159"/>
      <c r="AE17" s="164">
        <f t="shared" si="20"/>
        <v>0</v>
      </c>
      <c r="AF17" s="159"/>
      <c r="AG17" s="164">
        <f t="shared" si="20"/>
        <v>0</v>
      </c>
    </row>
    <row r="18" spans="1:33" ht="16.5" thickBot="1" x14ac:dyDescent="0.25">
      <c r="A18" s="9">
        <v>44636</v>
      </c>
      <c r="B18" s="161"/>
      <c r="C18" s="45">
        <f t="shared" si="21"/>
        <v>0</v>
      </c>
      <c r="D18" s="29">
        <f t="shared" si="22"/>
        <v>0</v>
      </c>
      <c r="E18" s="1"/>
      <c r="F18" s="45">
        <f t="shared" si="23"/>
        <v>0</v>
      </c>
      <c r="G18" s="29">
        <f t="shared" si="24"/>
        <v>0</v>
      </c>
      <c r="H18" s="1"/>
      <c r="I18" s="45">
        <f t="shared" si="25"/>
        <v>0</v>
      </c>
      <c r="J18" s="29">
        <f t="shared" si="26"/>
        <v>0</v>
      </c>
      <c r="K18" s="7"/>
      <c r="L18" s="45">
        <f t="shared" si="27"/>
        <v>0</v>
      </c>
      <c r="M18" s="29">
        <f t="shared" si="28"/>
        <v>0</v>
      </c>
      <c r="N18" s="7"/>
      <c r="O18" s="45">
        <f t="shared" si="29"/>
        <v>0</v>
      </c>
      <c r="P18" s="29">
        <f t="shared" si="30"/>
        <v>0</v>
      </c>
      <c r="Q18" s="7"/>
      <c r="R18" s="45">
        <f t="shared" si="31"/>
        <v>0</v>
      </c>
      <c r="S18" s="29">
        <f t="shared" si="32"/>
        <v>0</v>
      </c>
      <c r="T18" s="8">
        <f t="shared" si="34"/>
        <v>0</v>
      </c>
      <c r="U18" s="31">
        <f t="shared" si="33"/>
        <v>0</v>
      </c>
      <c r="W18" s="158">
        <v>44636</v>
      </c>
      <c r="X18" s="159"/>
      <c r="Y18" s="164">
        <f t="shared" si="20"/>
        <v>0</v>
      </c>
      <c r="Z18" s="159"/>
      <c r="AA18" s="164">
        <f t="shared" si="20"/>
        <v>0</v>
      </c>
      <c r="AB18" s="159"/>
      <c r="AC18" s="164">
        <f t="shared" si="20"/>
        <v>0</v>
      </c>
      <c r="AD18" s="159"/>
      <c r="AE18" s="164">
        <f t="shared" si="20"/>
        <v>0</v>
      </c>
      <c r="AF18" s="159"/>
      <c r="AG18" s="164">
        <f t="shared" si="20"/>
        <v>0</v>
      </c>
    </row>
    <row r="19" spans="1:33" ht="16.5" thickBot="1" x14ac:dyDescent="0.25">
      <c r="A19" s="9">
        <v>44637</v>
      </c>
      <c r="B19" s="161"/>
      <c r="C19" s="45">
        <f t="shared" si="21"/>
        <v>0</v>
      </c>
      <c r="D19" s="29">
        <f t="shared" si="22"/>
        <v>0</v>
      </c>
      <c r="E19" s="1"/>
      <c r="F19" s="45">
        <f t="shared" si="23"/>
        <v>0</v>
      </c>
      <c r="G19" s="29">
        <f t="shared" si="24"/>
        <v>0</v>
      </c>
      <c r="H19" s="1"/>
      <c r="I19" s="45">
        <f t="shared" si="25"/>
        <v>0</v>
      </c>
      <c r="J19" s="29">
        <f t="shared" si="26"/>
        <v>0</v>
      </c>
      <c r="K19" s="7"/>
      <c r="L19" s="45">
        <f t="shared" si="27"/>
        <v>0</v>
      </c>
      <c r="M19" s="29">
        <f t="shared" si="28"/>
        <v>0</v>
      </c>
      <c r="N19" s="7"/>
      <c r="O19" s="45">
        <f t="shared" si="29"/>
        <v>0</v>
      </c>
      <c r="P19" s="29">
        <f t="shared" si="30"/>
        <v>0</v>
      </c>
      <c r="Q19" s="7"/>
      <c r="R19" s="45">
        <f t="shared" si="31"/>
        <v>0</v>
      </c>
      <c r="S19" s="29">
        <f t="shared" si="32"/>
        <v>0</v>
      </c>
      <c r="T19" s="8">
        <f t="shared" si="34"/>
        <v>0</v>
      </c>
      <c r="U19" s="31">
        <f t="shared" si="33"/>
        <v>0</v>
      </c>
      <c r="W19" s="158">
        <v>44637</v>
      </c>
      <c r="X19" s="159"/>
      <c r="Y19" s="164">
        <f t="shared" si="20"/>
        <v>0</v>
      </c>
      <c r="Z19" s="159"/>
      <c r="AA19" s="164">
        <f t="shared" si="20"/>
        <v>0</v>
      </c>
      <c r="AB19" s="159"/>
      <c r="AC19" s="164">
        <f t="shared" si="20"/>
        <v>0</v>
      </c>
      <c r="AD19" s="159"/>
      <c r="AE19" s="164">
        <f t="shared" si="20"/>
        <v>0</v>
      </c>
      <c r="AF19" s="159"/>
      <c r="AG19" s="164">
        <f t="shared" si="20"/>
        <v>0</v>
      </c>
    </row>
    <row r="20" spans="1:33" ht="16.5" thickBot="1" x14ac:dyDescent="0.25">
      <c r="A20" s="9">
        <v>44638</v>
      </c>
      <c r="B20" s="161"/>
      <c r="C20" s="45">
        <f t="shared" si="21"/>
        <v>0</v>
      </c>
      <c r="D20" s="29">
        <f t="shared" si="22"/>
        <v>0</v>
      </c>
      <c r="E20" s="1"/>
      <c r="F20" s="45">
        <f t="shared" si="23"/>
        <v>0</v>
      </c>
      <c r="G20" s="29">
        <f t="shared" si="24"/>
        <v>0</v>
      </c>
      <c r="H20" s="1"/>
      <c r="I20" s="45">
        <f t="shared" si="25"/>
        <v>0</v>
      </c>
      <c r="J20" s="29">
        <f t="shared" si="26"/>
        <v>0</v>
      </c>
      <c r="K20" s="7"/>
      <c r="L20" s="45">
        <f t="shared" si="27"/>
        <v>0</v>
      </c>
      <c r="M20" s="29">
        <f t="shared" si="28"/>
        <v>0</v>
      </c>
      <c r="N20" s="7"/>
      <c r="O20" s="45">
        <f t="shared" si="29"/>
        <v>0</v>
      </c>
      <c r="P20" s="29">
        <f t="shared" si="30"/>
        <v>0</v>
      </c>
      <c r="Q20" s="7"/>
      <c r="R20" s="45">
        <f t="shared" si="31"/>
        <v>0</v>
      </c>
      <c r="S20" s="29">
        <f t="shared" si="32"/>
        <v>0</v>
      </c>
      <c r="T20" s="8">
        <f t="shared" si="34"/>
        <v>0</v>
      </c>
      <c r="U20" s="31">
        <f t="shared" si="33"/>
        <v>0</v>
      </c>
      <c r="W20" s="158">
        <v>44638</v>
      </c>
      <c r="X20" s="159"/>
      <c r="Y20" s="164">
        <f t="shared" si="20"/>
        <v>0</v>
      </c>
      <c r="Z20" s="159"/>
      <c r="AA20" s="164">
        <f t="shared" si="20"/>
        <v>0</v>
      </c>
      <c r="AB20" s="159"/>
      <c r="AC20" s="164">
        <f t="shared" si="20"/>
        <v>0</v>
      </c>
      <c r="AD20" s="159"/>
      <c r="AE20" s="164">
        <f t="shared" si="20"/>
        <v>0</v>
      </c>
      <c r="AF20" s="159"/>
      <c r="AG20" s="164">
        <f t="shared" si="20"/>
        <v>0</v>
      </c>
    </row>
    <row r="21" spans="1:33" ht="16.5" thickBot="1" x14ac:dyDescent="0.25">
      <c r="A21" s="9">
        <v>44639</v>
      </c>
      <c r="B21" s="161"/>
      <c r="C21" s="45">
        <f t="shared" si="21"/>
        <v>0</v>
      </c>
      <c r="D21" s="29">
        <f t="shared" si="22"/>
        <v>0</v>
      </c>
      <c r="E21" s="1"/>
      <c r="F21" s="45">
        <f t="shared" si="23"/>
        <v>0</v>
      </c>
      <c r="G21" s="29">
        <f t="shared" si="24"/>
        <v>0</v>
      </c>
      <c r="H21" s="1"/>
      <c r="I21" s="45">
        <f t="shared" si="25"/>
        <v>0</v>
      </c>
      <c r="J21" s="29">
        <f t="shared" si="26"/>
        <v>0</v>
      </c>
      <c r="K21" s="7"/>
      <c r="L21" s="45">
        <f t="shared" si="27"/>
        <v>0</v>
      </c>
      <c r="M21" s="29">
        <f t="shared" si="28"/>
        <v>0</v>
      </c>
      <c r="N21" s="7"/>
      <c r="O21" s="45">
        <f t="shared" si="29"/>
        <v>0</v>
      </c>
      <c r="P21" s="29">
        <f t="shared" si="30"/>
        <v>0</v>
      </c>
      <c r="Q21" s="7"/>
      <c r="R21" s="45">
        <f t="shared" si="31"/>
        <v>0</v>
      </c>
      <c r="S21" s="29">
        <f t="shared" si="32"/>
        <v>0</v>
      </c>
      <c r="T21" s="8">
        <f t="shared" si="34"/>
        <v>0</v>
      </c>
      <c r="U21" s="31">
        <f t="shared" si="33"/>
        <v>0</v>
      </c>
      <c r="W21" s="158">
        <v>44639</v>
      </c>
      <c r="X21" s="159"/>
      <c r="Y21" s="164">
        <f t="shared" si="20"/>
        <v>0</v>
      </c>
      <c r="Z21" s="159"/>
      <c r="AA21" s="164">
        <f t="shared" si="20"/>
        <v>0</v>
      </c>
      <c r="AB21" s="159"/>
      <c r="AC21" s="164">
        <f t="shared" si="20"/>
        <v>0</v>
      </c>
      <c r="AD21" s="159"/>
      <c r="AE21" s="164">
        <f t="shared" si="20"/>
        <v>0</v>
      </c>
      <c r="AF21" s="159"/>
      <c r="AG21" s="164">
        <f t="shared" si="20"/>
        <v>0</v>
      </c>
    </row>
    <row r="22" spans="1:33" ht="16.5" thickBot="1" x14ac:dyDescent="0.25">
      <c r="A22" s="9">
        <v>44640</v>
      </c>
      <c r="B22" s="161"/>
      <c r="C22" s="45">
        <f t="shared" si="21"/>
        <v>0</v>
      </c>
      <c r="D22" s="29">
        <f t="shared" si="22"/>
        <v>0</v>
      </c>
      <c r="E22" s="1"/>
      <c r="F22" s="45">
        <f t="shared" si="23"/>
        <v>0</v>
      </c>
      <c r="G22" s="29">
        <f t="shared" si="24"/>
        <v>0</v>
      </c>
      <c r="H22" s="1"/>
      <c r="I22" s="45">
        <f t="shared" si="25"/>
        <v>0</v>
      </c>
      <c r="J22" s="29">
        <f t="shared" si="26"/>
        <v>0</v>
      </c>
      <c r="K22" s="7"/>
      <c r="L22" s="45">
        <f t="shared" si="27"/>
        <v>0</v>
      </c>
      <c r="M22" s="29">
        <f t="shared" si="28"/>
        <v>0</v>
      </c>
      <c r="N22" s="7"/>
      <c r="O22" s="45">
        <f t="shared" si="29"/>
        <v>0</v>
      </c>
      <c r="P22" s="29">
        <f t="shared" si="30"/>
        <v>0</v>
      </c>
      <c r="Q22" s="7"/>
      <c r="R22" s="45">
        <f t="shared" si="31"/>
        <v>0</v>
      </c>
      <c r="S22" s="29">
        <f t="shared" si="32"/>
        <v>0</v>
      </c>
      <c r="T22" s="8">
        <f t="shared" si="34"/>
        <v>0</v>
      </c>
      <c r="U22" s="31">
        <f t="shared" si="33"/>
        <v>0</v>
      </c>
      <c r="W22" s="158">
        <v>44640</v>
      </c>
      <c r="X22" s="159"/>
      <c r="Y22" s="164">
        <f t="shared" si="20"/>
        <v>0</v>
      </c>
      <c r="Z22" s="159"/>
      <c r="AA22" s="164">
        <f t="shared" si="20"/>
        <v>0</v>
      </c>
      <c r="AB22" s="159"/>
      <c r="AC22" s="164">
        <f t="shared" si="20"/>
        <v>0</v>
      </c>
      <c r="AD22" s="159"/>
      <c r="AE22" s="164">
        <f t="shared" si="20"/>
        <v>0</v>
      </c>
      <c r="AF22" s="159"/>
      <c r="AG22" s="164">
        <f t="shared" si="20"/>
        <v>0</v>
      </c>
    </row>
    <row r="23" spans="1:33" ht="16.5" thickBot="1" x14ac:dyDescent="0.25">
      <c r="A23" s="9">
        <v>44641</v>
      </c>
      <c r="B23" s="161"/>
      <c r="C23" s="45">
        <f t="shared" si="21"/>
        <v>0</v>
      </c>
      <c r="D23" s="29">
        <f t="shared" si="22"/>
        <v>0</v>
      </c>
      <c r="E23" s="1"/>
      <c r="F23" s="45">
        <f t="shared" si="23"/>
        <v>0</v>
      </c>
      <c r="G23" s="29">
        <f t="shared" si="24"/>
        <v>0</v>
      </c>
      <c r="H23" s="1"/>
      <c r="I23" s="45">
        <f t="shared" si="25"/>
        <v>0</v>
      </c>
      <c r="J23" s="29">
        <f t="shared" si="26"/>
        <v>0</v>
      </c>
      <c r="K23" s="7"/>
      <c r="L23" s="45">
        <f t="shared" si="27"/>
        <v>0</v>
      </c>
      <c r="M23" s="29">
        <f t="shared" si="28"/>
        <v>0</v>
      </c>
      <c r="N23" s="7"/>
      <c r="O23" s="45">
        <f t="shared" si="29"/>
        <v>0</v>
      </c>
      <c r="P23" s="29">
        <f t="shared" si="30"/>
        <v>0</v>
      </c>
      <c r="Q23" s="7"/>
      <c r="R23" s="45">
        <f t="shared" si="31"/>
        <v>0</v>
      </c>
      <c r="S23" s="29">
        <f t="shared" si="32"/>
        <v>0</v>
      </c>
      <c r="T23" s="8">
        <f t="shared" si="34"/>
        <v>0</v>
      </c>
      <c r="U23" s="31">
        <f t="shared" si="33"/>
        <v>0</v>
      </c>
      <c r="W23" s="158">
        <v>44641</v>
      </c>
      <c r="X23" s="159"/>
      <c r="Y23" s="164">
        <f t="shared" si="20"/>
        <v>0</v>
      </c>
      <c r="Z23" s="159"/>
      <c r="AA23" s="164">
        <f t="shared" si="20"/>
        <v>0</v>
      </c>
      <c r="AB23" s="159"/>
      <c r="AC23" s="164">
        <f t="shared" si="20"/>
        <v>0</v>
      </c>
      <c r="AD23" s="159"/>
      <c r="AE23" s="164">
        <f t="shared" si="20"/>
        <v>0</v>
      </c>
      <c r="AF23" s="159"/>
      <c r="AG23" s="164">
        <f t="shared" si="20"/>
        <v>0</v>
      </c>
    </row>
    <row r="24" spans="1:33" ht="16.5" thickBot="1" x14ac:dyDescent="0.25">
      <c r="A24" s="9">
        <v>44642</v>
      </c>
      <c r="B24" s="161"/>
      <c r="C24" s="45">
        <f t="shared" si="21"/>
        <v>0</v>
      </c>
      <c r="D24" s="29">
        <f t="shared" si="22"/>
        <v>0</v>
      </c>
      <c r="E24" s="1"/>
      <c r="F24" s="45">
        <f t="shared" si="23"/>
        <v>0</v>
      </c>
      <c r="G24" s="29">
        <f t="shared" si="24"/>
        <v>0</v>
      </c>
      <c r="H24" s="1"/>
      <c r="I24" s="45">
        <f t="shared" si="25"/>
        <v>0</v>
      </c>
      <c r="J24" s="29">
        <f t="shared" si="26"/>
        <v>0</v>
      </c>
      <c r="K24" s="7"/>
      <c r="L24" s="45">
        <f t="shared" si="27"/>
        <v>0</v>
      </c>
      <c r="M24" s="29">
        <f t="shared" si="28"/>
        <v>0</v>
      </c>
      <c r="N24" s="7"/>
      <c r="O24" s="45">
        <f t="shared" si="29"/>
        <v>0</v>
      </c>
      <c r="P24" s="29">
        <f t="shared" si="30"/>
        <v>0</v>
      </c>
      <c r="Q24" s="7"/>
      <c r="R24" s="45">
        <f t="shared" si="31"/>
        <v>0</v>
      </c>
      <c r="S24" s="29">
        <f t="shared" si="32"/>
        <v>0</v>
      </c>
      <c r="T24" s="8">
        <f t="shared" si="34"/>
        <v>0</v>
      </c>
      <c r="U24" s="31">
        <f t="shared" si="33"/>
        <v>0</v>
      </c>
      <c r="W24" s="158">
        <v>44642</v>
      </c>
      <c r="X24" s="159"/>
      <c r="Y24" s="164">
        <f t="shared" si="20"/>
        <v>0</v>
      </c>
      <c r="Z24" s="159"/>
      <c r="AA24" s="164">
        <f t="shared" si="20"/>
        <v>0</v>
      </c>
      <c r="AB24" s="159"/>
      <c r="AC24" s="164">
        <f t="shared" si="20"/>
        <v>0</v>
      </c>
      <c r="AD24" s="159"/>
      <c r="AE24" s="164">
        <f t="shared" si="20"/>
        <v>0</v>
      </c>
      <c r="AF24" s="159"/>
      <c r="AG24" s="164">
        <f t="shared" si="20"/>
        <v>0</v>
      </c>
    </row>
    <row r="25" spans="1:33" ht="16.5" thickBot="1" x14ac:dyDescent="0.25">
      <c r="A25" s="9">
        <v>44643</v>
      </c>
      <c r="B25" s="161"/>
      <c r="C25" s="45">
        <f t="shared" si="21"/>
        <v>0</v>
      </c>
      <c r="D25" s="29">
        <f t="shared" si="22"/>
        <v>0</v>
      </c>
      <c r="E25" s="1"/>
      <c r="F25" s="45">
        <f t="shared" si="23"/>
        <v>0</v>
      </c>
      <c r="G25" s="29">
        <f t="shared" si="24"/>
        <v>0</v>
      </c>
      <c r="H25" s="1"/>
      <c r="I25" s="45">
        <f t="shared" si="25"/>
        <v>0</v>
      </c>
      <c r="J25" s="29">
        <f t="shared" si="26"/>
        <v>0</v>
      </c>
      <c r="K25" s="7"/>
      <c r="L25" s="45">
        <f t="shared" si="27"/>
        <v>0</v>
      </c>
      <c r="M25" s="29">
        <f t="shared" si="28"/>
        <v>0</v>
      </c>
      <c r="N25" s="7"/>
      <c r="O25" s="45">
        <f t="shared" si="29"/>
        <v>0</v>
      </c>
      <c r="P25" s="29">
        <f t="shared" si="30"/>
        <v>0</v>
      </c>
      <c r="Q25" s="7"/>
      <c r="R25" s="45">
        <f t="shared" si="31"/>
        <v>0</v>
      </c>
      <c r="S25" s="29">
        <f t="shared" si="32"/>
        <v>0</v>
      </c>
      <c r="T25" s="8">
        <f t="shared" si="34"/>
        <v>0</v>
      </c>
      <c r="U25" s="31">
        <f t="shared" si="33"/>
        <v>0</v>
      </c>
      <c r="W25" s="158">
        <v>44643</v>
      </c>
      <c r="X25" s="159"/>
      <c r="Y25" s="164">
        <f t="shared" si="20"/>
        <v>0</v>
      </c>
      <c r="Z25" s="159"/>
      <c r="AA25" s="164">
        <f t="shared" si="20"/>
        <v>0</v>
      </c>
      <c r="AB25" s="159"/>
      <c r="AC25" s="164">
        <f t="shared" si="20"/>
        <v>0</v>
      </c>
      <c r="AD25" s="159"/>
      <c r="AE25" s="164">
        <f t="shared" si="20"/>
        <v>0</v>
      </c>
      <c r="AF25" s="159"/>
      <c r="AG25" s="164">
        <f t="shared" si="20"/>
        <v>0</v>
      </c>
    </row>
    <row r="26" spans="1:33" ht="16.5" thickBot="1" x14ac:dyDescent="0.25">
      <c r="A26" s="9">
        <v>44644</v>
      </c>
      <c r="B26" s="161"/>
      <c r="C26" s="45">
        <f t="shared" si="21"/>
        <v>0</v>
      </c>
      <c r="D26" s="29">
        <f t="shared" si="22"/>
        <v>0</v>
      </c>
      <c r="E26" s="1"/>
      <c r="F26" s="45">
        <f t="shared" si="23"/>
        <v>0</v>
      </c>
      <c r="G26" s="29">
        <f t="shared" si="24"/>
        <v>0</v>
      </c>
      <c r="H26" s="1"/>
      <c r="I26" s="45">
        <f t="shared" si="25"/>
        <v>0</v>
      </c>
      <c r="J26" s="29">
        <f t="shared" si="26"/>
        <v>0</v>
      </c>
      <c r="K26" s="7"/>
      <c r="L26" s="45">
        <f>IF((K26-K25)&lt;0,"0",(K26-K25))</f>
        <v>0</v>
      </c>
      <c r="M26" s="29">
        <f t="shared" si="28"/>
        <v>0</v>
      </c>
      <c r="N26" s="7"/>
      <c r="O26" s="45">
        <f t="shared" si="29"/>
        <v>0</v>
      </c>
      <c r="P26" s="29">
        <f t="shared" si="30"/>
        <v>0</v>
      </c>
      <c r="Q26" s="7"/>
      <c r="R26" s="45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>
        <f t="shared" si="20"/>
        <v>0</v>
      </c>
      <c r="Z26" s="159"/>
      <c r="AA26" s="164">
        <f t="shared" si="20"/>
        <v>0</v>
      </c>
      <c r="AB26" s="159"/>
      <c r="AC26" s="164">
        <f t="shared" si="20"/>
        <v>0</v>
      </c>
      <c r="AD26" s="159"/>
      <c r="AE26" s="164">
        <f t="shared" si="20"/>
        <v>0</v>
      </c>
      <c r="AF26" s="159"/>
      <c r="AG26" s="164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32.567999999999302</v>
      </c>
      <c r="D31" s="138">
        <f>SUM(D3:D30)</f>
        <v>61879.199999998673</v>
      </c>
      <c r="E31" s="138"/>
      <c r="F31" s="45">
        <f>SUM(F2:F30)</f>
        <v>8.8559999999997672</v>
      </c>
      <c r="G31" s="138">
        <f>SUM(G3:G30)</f>
        <v>16826.399999999558</v>
      </c>
      <c r="H31" s="138"/>
      <c r="I31" s="45">
        <f>SUM(I2:I30)</f>
        <v>48</v>
      </c>
      <c r="J31" s="138">
        <f>SUM(J3:J30)</f>
        <v>91200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10.860000000000127</v>
      </c>
      <c r="P31" s="138">
        <f>SUM(P3:P30)</f>
        <v>20634.00000000024</v>
      </c>
      <c r="Q31" s="138"/>
      <c r="R31" s="45">
        <f>SUM(R3:R30)</f>
        <v>2.2700000000004366</v>
      </c>
      <c r="S31" s="138">
        <f>SUM(S3:S30)</f>
        <v>4313.0000000008295</v>
      </c>
      <c r="T31" s="138">
        <f>SUM(T3:T30)</f>
        <v>102.55399999999963</v>
      </c>
      <c r="U31" s="138">
        <f>SUM(U3:U30)</f>
        <v>194852.59999999931</v>
      </c>
      <c r="V31"/>
      <c r="W31" s="138" t="s">
        <v>141</v>
      </c>
      <c r="X31" s="138"/>
      <c r="Y31" s="138">
        <f>SUM(Y2:Y30)</f>
        <v>165612</v>
      </c>
      <c r="Z31" s="138"/>
      <c r="AA31" s="138">
        <f>SUM(AA2:AA30)</f>
        <v>8622</v>
      </c>
      <c r="AB31" s="138"/>
      <c r="AC31" s="138">
        <f>SUM(AC2:AC30)</f>
        <v>3</v>
      </c>
      <c r="AD31" s="138"/>
      <c r="AE31" s="138">
        <f>SUM(AE2:AE30)</f>
        <v>30</v>
      </c>
      <c r="AF31" s="138">
        <v>0</v>
      </c>
      <c r="AG31" s="138">
        <f>SUM(AG2:AG30)</f>
        <v>114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3" t="s">
        <v>148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>
        <f>(K6+K7)-(C8+C9+C10+C11+K26)</f>
        <v>-16108089</v>
      </c>
      <c r="D7" s="106">
        <f t="shared" si="0"/>
        <v>-20457273.030000001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10450</v>
      </c>
      <c r="D8" s="106">
        <f t="shared" si="0"/>
        <v>13271.5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2883</v>
      </c>
      <c r="D9" s="106">
        <f t="shared" si="0"/>
        <v>3661.41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4320</v>
      </c>
      <c r="D10" s="106">
        <f t="shared" si="0"/>
        <v>5486.4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>
        <f>K19+K20</f>
        <v>143711</v>
      </c>
      <c r="D11" s="106">
        <f t="shared" si="0"/>
        <v>182512.97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3954</v>
      </c>
      <c r="K16" s="95">
        <f>(J16-I16)*160</f>
        <v>2240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303517</v>
      </c>
      <c r="K17" s="95">
        <f>(J17-I17)*160</f>
        <v>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25925</v>
      </c>
      <c r="K18" s="95">
        <f>(J18-I18)*160</f>
        <v>4320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>
        <f>'Mall, Citadel, Rotana'!P2</f>
        <v>0</v>
      </c>
      <c r="J19" s="118">
        <f>'Mall, Citadel, Rotana'!P30</f>
        <v>143711</v>
      </c>
      <c r="K19" s="95">
        <f>J19-I19</f>
        <v>143711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46738</v>
      </c>
      <c r="K21" s="95">
        <f>(J21-I21)*120</f>
        <v>5040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40373</v>
      </c>
      <c r="K22" s="95">
        <f>(J22-I22)*160</f>
        <v>4640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21407</v>
      </c>
      <c r="K23" s="95">
        <f>(J23-I23)*20</f>
        <v>640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254117</v>
      </c>
      <c r="K24" s="95">
        <f>J24-I24</f>
        <v>130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225769</v>
      </c>
      <c r="K25" s="95">
        <f>J25-I25</f>
        <v>643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146</v>
      </c>
      <c r="M1" s="60" t="s">
        <v>147</v>
      </c>
      <c r="N1" s="60" t="s">
        <v>91</v>
      </c>
      <c r="O1" s="61" t="s">
        <v>79</v>
      </c>
    </row>
    <row r="2" spans="2:15" ht="15" x14ac:dyDescent="0.2">
      <c r="B2" s="58"/>
      <c r="C2" s="176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76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78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78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77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77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76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76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78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78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77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77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76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76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78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78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77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77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76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76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78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78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77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77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76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76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78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78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77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77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76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76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78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78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77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77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76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76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78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78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77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77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76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76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78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78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77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77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76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76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78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78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77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77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76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76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78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78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77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77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76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76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78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78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77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77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76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76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78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78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77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77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76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76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78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78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77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77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6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76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78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78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77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77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6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76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78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78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76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76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78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78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76">
        <v>23</v>
      </c>
      <c r="D49" s="62" t="s">
        <v>83</v>
      </c>
      <c r="E49" s="63"/>
      <c r="F49" s="63"/>
      <c r="G49" s="64">
        <f t="shared" si="2"/>
        <v>0</v>
      </c>
      <c r="H49" s="65"/>
      <c r="J49" s="176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78"/>
      <c r="D50" s="62" t="s">
        <v>82</v>
      </c>
      <c r="E50" s="63"/>
      <c r="F50" s="63"/>
      <c r="G50" s="64">
        <f t="shared" si="2"/>
        <v>0</v>
      </c>
      <c r="H50" s="65"/>
      <c r="J50" s="178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79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79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80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80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81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81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76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76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77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77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6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76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77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77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76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76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77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77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6">
        <v>28</v>
      </c>
      <c r="D62" s="185" t="s">
        <v>86</v>
      </c>
      <c r="E62" s="63"/>
      <c r="F62" s="63"/>
      <c r="G62" s="64"/>
      <c r="H62" s="187" t="s">
        <v>87</v>
      </c>
      <c r="I62" s="68"/>
      <c r="J62" s="176">
        <v>28</v>
      </c>
      <c r="K62" s="185" t="s">
        <v>86</v>
      </c>
      <c r="L62" s="63"/>
      <c r="M62" s="63"/>
      <c r="N62" s="64"/>
      <c r="O62" s="187" t="s">
        <v>87</v>
      </c>
    </row>
    <row r="63" spans="1:15" ht="15" x14ac:dyDescent="0.2">
      <c r="A63" s="68"/>
      <c r="B63" s="58"/>
      <c r="C63" s="177"/>
      <c r="D63" s="186"/>
      <c r="E63" s="63"/>
      <c r="F63" s="63"/>
      <c r="G63" s="64"/>
      <c r="H63" s="188"/>
      <c r="I63" s="68"/>
      <c r="J63" s="177"/>
      <c r="K63" s="186"/>
      <c r="L63" s="63"/>
      <c r="M63" s="63"/>
      <c r="N63" s="64"/>
      <c r="O63" s="188"/>
    </row>
    <row r="64" spans="1:15" x14ac:dyDescent="0.2">
      <c r="A64" s="68"/>
      <c r="B64" s="58"/>
      <c r="C64" s="189" t="s">
        <v>88</v>
      </c>
      <c r="D64" s="189"/>
      <c r="E64" s="189"/>
      <c r="F64" s="189"/>
      <c r="G64" s="82">
        <f>SUM(G2:G63)</f>
        <v>43022</v>
      </c>
      <c r="H64" s="83"/>
      <c r="I64" s="68"/>
      <c r="J64" s="189" t="s">
        <v>88</v>
      </c>
      <c r="K64" s="189"/>
      <c r="L64" s="189"/>
      <c r="M64" s="189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0">
        <v>44562</v>
      </c>
      <c r="C69" s="191"/>
      <c r="D69" s="191"/>
      <c r="E69" s="192"/>
      <c r="F69" s="86"/>
      <c r="G69" s="193">
        <v>44593</v>
      </c>
      <c r="H69" s="194"/>
      <c r="I69" s="194"/>
      <c r="J69" s="195"/>
      <c r="K69" s="86"/>
      <c r="L69" s="182" t="s">
        <v>25</v>
      </c>
      <c r="M69" s="183"/>
      <c r="N69" s="183"/>
      <c r="O69" s="184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2022-03-10T01:07:57Z</dcterms:modified>
</cp:coreProperties>
</file>