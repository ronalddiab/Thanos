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19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9" l="1"/>
  <c r="D3" i="9"/>
  <c r="C4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D2" i="9"/>
  <c r="C2" i="9"/>
  <c r="AX7" i="7"/>
  <c r="AY7" i="7" s="1"/>
  <c r="AX8" i="7"/>
  <c r="AX9" i="7"/>
  <c r="AY9" i="7" s="1"/>
  <c r="AX10" i="7"/>
  <c r="AY10" i="7" s="1"/>
  <c r="AX11" i="7"/>
  <c r="AY11" i="7" s="1"/>
  <c r="AX12" i="7"/>
  <c r="AX13" i="7"/>
  <c r="AY13" i="7" s="1"/>
  <c r="AX14" i="7"/>
  <c r="AY14" i="7" s="1"/>
  <c r="AX15" i="7"/>
  <c r="AY15" i="7" s="1"/>
  <c r="AX16" i="7"/>
  <c r="AX17" i="7"/>
  <c r="AY17" i="7" s="1"/>
  <c r="AX18" i="7"/>
  <c r="AY18" i="7" s="1"/>
  <c r="AX19" i="7"/>
  <c r="AY19" i="7" s="1"/>
  <c r="AX20" i="7"/>
  <c r="AY8" i="7"/>
  <c r="AY12" i="7"/>
  <c r="AY16" i="7"/>
  <c r="AY20" i="7"/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X38" i="7"/>
  <c r="AX39" i="7"/>
  <c r="AU8" i="7" l="1"/>
  <c r="AU9" i="7"/>
  <c r="AU10" i="7"/>
  <c r="AU11" i="7"/>
  <c r="AU12" i="7"/>
  <c r="AU13" i="7"/>
  <c r="AU14" i="7"/>
  <c r="AU7" i="7"/>
  <c r="AY37" i="7" l="1"/>
  <c r="AY38" i="7"/>
  <c r="AY21" i="7"/>
  <c r="AY22" i="7"/>
  <c r="AY23" i="7"/>
  <c r="AY24" i="7"/>
  <c r="AY25" i="7"/>
  <c r="AY26" i="7"/>
  <c r="AY27" i="7"/>
  <c r="AY28" i="7"/>
  <c r="AY29" i="7"/>
  <c r="AY30" i="7"/>
  <c r="AY31" i="7"/>
  <c r="AY32" i="7"/>
  <c r="AY33" i="7"/>
  <c r="AY34" i="7"/>
  <c r="AY35" i="7"/>
  <c r="AY36" i="7"/>
  <c r="AY39" i="7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BA47" i="7" l="1"/>
  <c r="BA46" i="7"/>
  <c r="BB39" i="7"/>
  <c r="BA8" i="7"/>
  <c r="BB8" i="7" s="1"/>
  <c r="BA9" i="7"/>
  <c r="BB9" i="7" s="1"/>
  <c r="BA10" i="7"/>
  <c r="BB10" i="7" s="1"/>
  <c r="BA11" i="7"/>
  <c r="BB11" i="7" s="1"/>
  <c r="BA12" i="7"/>
  <c r="BB12" i="7" s="1"/>
  <c r="BA13" i="7"/>
  <c r="BB13" i="7" s="1"/>
  <c r="BA14" i="7"/>
  <c r="BB14" i="7" s="1"/>
  <c r="BA15" i="7"/>
  <c r="BB15" i="7" s="1"/>
  <c r="BA16" i="7"/>
  <c r="BB16" i="7" s="1"/>
  <c r="BA17" i="7"/>
  <c r="BB17" i="7" s="1"/>
  <c r="S12" i="9" s="1"/>
  <c r="BA18" i="7"/>
  <c r="BB18" i="7" s="1"/>
  <c r="S13" i="9" s="1"/>
  <c r="BA19" i="7"/>
  <c r="BB19" i="7" s="1"/>
  <c r="BA20" i="7"/>
  <c r="BB20" i="7" s="1"/>
  <c r="BA21" i="7"/>
  <c r="BB21" i="7" s="1"/>
  <c r="S16" i="9" s="1"/>
  <c r="BA22" i="7"/>
  <c r="BB22" i="7" s="1"/>
  <c r="S17" i="9" s="1"/>
  <c r="BA23" i="7"/>
  <c r="BB23" i="7" s="1"/>
  <c r="BA24" i="7"/>
  <c r="BB24" i="7" s="1"/>
  <c r="BA25" i="7"/>
  <c r="BB25" i="7" s="1"/>
  <c r="S20" i="9" s="1"/>
  <c r="BA26" i="7"/>
  <c r="BB26" i="7" s="1"/>
  <c r="S21" i="9" s="1"/>
  <c r="BA27" i="7"/>
  <c r="BB27" i="7" s="1"/>
  <c r="BA28" i="7"/>
  <c r="BB28" i="7" s="1"/>
  <c r="BA29" i="7"/>
  <c r="BB29" i="7" s="1"/>
  <c r="S24" i="9" s="1"/>
  <c r="BA30" i="7"/>
  <c r="BB30" i="7" s="1"/>
  <c r="S25" i="9" s="1"/>
  <c r="BA31" i="7"/>
  <c r="BB31" i="7" s="1"/>
  <c r="BA32" i="7"/>
  <c r="BB32" i="7" s="1"/>
  <c r="BA33" i="7"/>
  <c r="BB33" i="7" s="1"/>
  <c r="S28" i="9" s="1"/>
  <c r="BA34" i="7"/>
  <c r="BB34" i="7" s="1"/>
  <c r="S29" i="9" s="1"/>
  <c r="BA35" i="7"/>
  <c r="BB35" i="7" s="1"/>
  <c r="BA36" i="7"/>
  <c r="BB36" i="7" s="1"/>
  <c r="BA37" i="7"/>
  <c r="BB37" i="7" s="1"/>
  <c r="S32" i="9" s="1"/>
  <c r="BA38" i="7"/>
  <c r="BA7" i="7"/>
  <c r="BB7" i="7" s="1"/>
  <c r="S23" i="9" l="1"/>
  <c r="BC28" i="7"/>
  <c r="S31" i="9"/>
  <c r="BC36" i="7"/>
  <c r="S27" i="9"/>
  <c r="BC32" i="7"/>
  <c r="S19" i="9"/>
  <c r="BC24" i="7"/>
  <c r="S15" i="9"/>
  <c r="BC20" i="7"/>
  <c r="S11" i="9"/>
  <c r="BC16" i="7"/>
  <c r="S9" i="9"/>
  <c r="BC14" i="7"/>
  <c r="S30" i="9"/>
  <c r="BC35" i="7"/>
  <c r="S26" i="9"/>
  <c r="BC31" i="7"/>
  <c r="S22" i="9"/>
  <c r="BC27" i="7"/>
  <c r="S18" i="9"/>
  <c r="BC23" i="7"/>
  <c r="S14" i="9"/>
  <c r="BC19" i="7"/>
  <c r="S10" i="9"/>
  <c r="BC15" i="7"/>
  <c r="BC34" i="7"/>
  <c r="BC30" i="7"/>
  <c r="BC26" i="7"/>
  <c r="BC22" i="7"/>
  <c r="BC18" i="7"/>
  <c r="BC37" i="7"/>
  <c r="BC33" i="7"/>
  <c r="BC29" i="7"/>
  <c r="BC25" i="7"/>
  <c r="BC21" i="7"/>
  <c r="BC17" i="7"/>
  <c r="S3" i="9"/>
  <c r="BC8" i="7"/>
  <c r="S5" i="9"/>
  <c r="BC10" i="7"/>
  <c r="S7" i="9"/>
  <c r="BC12" i="7"/>
  <c r="S2" i="9"/>
  <c r="BB38" i="7"/>
  <c r="BC38" i="7" s="1"/>
  <c r="BC7" i="7"/>
  <c r="S6" i="9"/>
  <c r="BC11" i="7"/>
  <c r="S8" i="9"/>
  <c r="BC13" i="7"/>
  <c r="S4" i="9"/>
  <c r="BC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<sst xmlns="http://schemas.openxmlformats.org/spreadsheetml/2006/main" count="139" uniqueCount="59">
  <si>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</si>
  <si>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</si>
  <si>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</si>
  <si>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</si>
  <si>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</si>
  <si>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</si>
  <si>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</si>
  <si>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</si>
  <si>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</si>
  <si>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</si>
  <si>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</si>
  <si>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</si>
  <si>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</si>
  <si>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</si>
  <si>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</si>
  <si>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</si>
  <si>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</si>
  <si>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</si>
  <si>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</si>
  <si>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</si>
  <si>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</si>
  <si>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</si>
  <si>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</si>
  <si>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</si>
  <si>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</si>
  <si>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</si>
  <si>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</si>
  <si>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</si>
  <si>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</si>
  <si>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</si>
  <si>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</si>
  <si>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</si>
  <si>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</si>
  <si>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</si>
  <si>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</si>
  <si>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</si>
  <si>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</si>
  <si>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</si>
  <si>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</si>
  <si>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</si>
  <si>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</si>
  <si>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</si>
  <si>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</si>
  <si>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</si>
  <si>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</si>
  <si>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</si>
  <si>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</si>
  <si>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</si>
  <si>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</si>
  <si>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</si>
  <si>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</si>
  <si>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</si>
  <si>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</si>
  <si>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</si>
  <si>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</si>
  <si>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</si>
  <si>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</si>
  <si>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>Fuel Consumption (%)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</si>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</sst>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5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1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78300</v>
      </c>
      <c r="F2" s="11">
        <v>5.0000000000000001E-3</v>
      </c>
      <c r="G2" s="12">
        <f>Submetering!S2</f>
        <v>485.94000000000005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199</v>
      </c>
    </row>
    <row r="3" spans="1:11" s="15" customFormat="1" x14ac:dyDescent="0.25">
      <c r="A3" s="21" t="s">
        <v>31</v>
      </c>
      <c r="B3" s="14">
        <f>B2+1</f>
        <v>2</v>
      </c>
      <c r="C3" s="3">
        <v>1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58510</v>
      </c>
      <c r="F3" s="11">
        <v>5.0000000000000001E-3</v>
      </c>
      <c r="G3" s="12">
        <f>Submetering!S3</f>
        <v>493.58399999999995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217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74660</v>
      </c>
      <c r="F4" s="11">
        <v>5.0000000000000001E-3</v>
      </c>
      <c r="G4" s="12">
        <f>Submetering!S4</f>
        <v>366.36599999999999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256</v>
      </c>
    </row>
    <row r="5" spans="1:11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69660</v>
      </c>
      <c r="F5" s="11">
        <v>5.0000000000000001E-3</v>
      </c>
      <c r="G5" s="12">
        <f>Submetering!S5</f>
        <v>447.17400000000004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207</v>
      </c>
    </row>
    <row r="6" spans="1:11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67800</v>
      </c>
      <c r="F6" s="11">
        <v>5.0000000000000001E-3</v>
      </c>
      <c r="G6" s="12">
        <f>Submetering!S6</f>
        <v>601.41899999999998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117</v>
      </c>
    </row>
    <row r="7" spans="1:11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64690</v>
      </c>
      <c r="F7" s="11">
        <v>5.0000000000000001E-3</v>
      </c>
      <c r="G7" s="12">
        <f>Submetering!S7</f>
        <v>493.03800000000001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92</v>
      </c>
    </row>
    <row r="8" spans="1:11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65360</v>
      </c>
      <c r="F8" s="11">
        <v>5.0000000000000001E-3</v>
      </c>
      <c r="G8" s="12">
        <f>Submetering!S8</f>
        <v>421.78500000000003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105</v>
      </c>
    </row>
    <row r="9" spans="1:11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65040</v>
      </c>
      <c r="F9" s="11">
        <v>5.0000000000000001E-3</v>
      </c>
      <c r="G9" s="12">
        <f>Submetering!S9</f>
        <v>502.59300000000002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144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67610</v>
      </c>
      <c r="F10" s="11">
        <v>5.0000000000000001E-3</v>
      </c>
      <c r="G10" s="12">
        <f>Submetering!S10</f>
        <v>667.48500000000001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137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68500</v>
      </c>
      <c r="F11" s="11">
        <v>5.0000000000000001E-3</v>
      </c>
      <c r="G11" s="12">
        <f>Submetering!S11</f>
        <v>179.08799999999999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171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58710</v>
      </c>
      <c r="F12" s="11">
        <v>5.0000000000000001E-3</v>
      </c>
      <c r="G12" s="12">
        <f>Submetering!S12</f>
        <v>424.78800000000001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151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80360</v>
      </c>
      <c r="F13" s="11">
        <v>5.0000000000000001E-3</v>
      </c>
      <c r="G13" s="12">
        <f>Submetering!S13</f>
        <v>504.50400000000002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109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68140</v>
      </c>
      <c r="F14" s="11">
        <v>5.0000000000000001E-3</v>
      </c>
      <c r="G14" s="12">
        <f>Submetering!S14</f>
        <v>474.47400000000005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127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70320</v>
      </c>
      <c r="F15" s="11">
        <v>5.0000000000000001E-3</v>
      </c>
      <c r="G15" s="12">
        <f>Submetering!S15</f>
        <v>876.60300000000007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148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66440</v>
      </c>
      <c r="F16" s="11">
        <v>5.0000000000000001E-3</v>
      </c>
      <c r="G16" s="12">
        <f>Submetering!S16</f>
        <v>592.68299999999999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126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64120</v>
      </c>
      <c r="F17" s="11">
        <v>5.0000000000000001E-3</v>
      </c>
      <c r="G17" s="12">
        <f>Submetering!S17</f>
        <v>552.00599999999997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108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64740</v>
      </c>
      <c r="F18" s="11">
        <v>5.0000000000000001E-3</v>
      </c>
      <c r="G18" s="12">
        <f>Submetering!S18</f>
        <v>963.96299999999997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135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61760</v>
      </c>
      <c r="F19" s="11">
        <v>5.0000000000000001E-3</v>
      </c>
      <c r="G19" s="12">
        <f>Submetering!S19</f>
        <v>428.33699999999999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141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65900</v>
      </c>
      <c r="F20" s="11">
        <v>5.0000000000000001E-3</v>
      </c>
      <c r="G20" s="12">
        <f>Submetering!S20</f>
        <v>515.697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94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67610</v>
      </c>
      <c r="F21" s="11">
        <v>5.0000000000000001E-3</v>
      </c>
      <c r="G21" s="12">
        <f>Submetering!S21</f>
        <v>429.70200000000006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117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68020</v>
      </c>
      <c r="F22" s="11">
        <v>5.0000000000000001E-3</v>
      </c>
      <c r="G22" s="12">
        <f>Submetering!S22</f>
        <v>427.245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112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69760</v>
      </c>
      <c r="F23" s="11">
        <v>5.0000000000000001E-3</v>
      </c>
      <c r="G23" s="12">
        <f>Submetering!S23</f>
        <v>468.74099999999999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131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74850</v>
      </c>
      <c r="F24" s="11">
        <v>5.0000000000000001E-3</v>
      </c>
      <c r="G24" s="12">
        <f>Submetering!S24</f>
        <v>485.12100000000004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141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65800</v>
      </c>
      <c r="F25" s="11">
        <v>5.0000000000000001E-3</v>
      </c>
      <c r="G25" s="12">
        <f>Submetering!S25</f>
        <v>426.97199999999998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198</v>
      </c>
    </row>
    <row r="26" spans="1:11" s="15" customFormat="1" x14ac:dyDescent="0.25">
      <c r="A26" s="21" t="s">
        <v>31</v>
      </c>
      <c r="B26" s="14">
        <f>B25+1</f>
        <v>25</v>
      </c>
      <c r="C26" s="3">
        <v>1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68480</v>
      </c>
      <c r="F26" s="11">
        <v>5.0000000000000001E-3</v>
      </c>
      <c r="G26" s="12">
        <f>Submetering!S26</f>
        <v>773.13600000000008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198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68680</v>
      </c>
      <c r="F27" s="11">
        <v>5.0000000000000001E-3</v>
      </c>
      <c r="G27" s="12">
        <f>Submetering!S27</f>
        <v>130.221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92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65030</v>
      </c>
      <c r="F28" s="11">
        <v>5.0000000000000001E-3</v>
      </c>
      <c r="G28" s="12">
        <f>Submetering!S28</f>
        <v>456.72899999999998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91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67060</v>
      </c>
      <c r="F29" s="11">
        <v>5.0000000000000001E-3</v>
      </c>
      <c r="G29" s="12">
        <f>Submetering!S29</f>
        <v>388.47899999999998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144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66840</v>
      </c>
      <c r="F30" s="11">
        <v>5.0000000000000001E-3</v>
      </c>
      <c r="G30" s="12">
        <f>Submetering!S30</f>
        <v>508.59900000000005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173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71870</v>
      </c>
      <c r="F31" s="11">
        <v>5.0000000000000001E-3</v>
      </c>
      <c r="G31" s="12">
        <f>Submetering!S31</f>
        <v>487.851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230</v>
      </c>
    </row>
    <row r="32" spans="1:11" x14ac:dyDescent="0.25">
      <c r="A32" s="21" t="s">
        <v>31</v>
      </c>
      <c r="B32" s="14">
        <f t="shared" si="0"/>
        <v>31</v>
      </c>
      <c r="C32" s="3">
        <v>1</v>
      </c>
      <c r="D32" s="11">
        <v>2019</v>
      </c>
      <c r="E32" s="12">
        <f>Submetering!E32+Submetering!F32+Submetering!G32+Submetering!H32+Submetering!I32+Submetering!J32+Submetering!K32+Submetering!L32+Submetering!M32+Submetering!N32+Submetering!O32+Submetering!P32+Submetering!Q32</f>
        <v>76170</v>
      </c>
      <c r="F32" s="11">
        <v>5.0000000000000001E-3</v>
      </c>
      <c r="G32" s="12">
        <f>Submetering!S32</f>
        <v>557.19299999999998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topLeftCell="A4"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f>TOTAL!C2</f>
        <v>1</v>
      </c>
      <c r="D2" s="11">
        <f>TOTAL!D2</f>
        <v>2019</v>
      </c>
      <c r="E2" s="4">
        <f>Hotel!Q7</f>
        <v>640</v>
      </c>
      <c r="F2" s="4">
        <f>Hotel!R7</f>
        <v>11230</v>
      </c>
      <c r="G2" s="4">
        <f>Hotel!S7</f>
        <v>0</v>
      </c>
      <c r="H2" s="4">
        <f>Hotel!T7</f>
        <v>1660</v>
      </c>
      <c r="I2" s="4">
        <f>Hotel!U7</f>
        <v>7680</v>
      </c>
      <c r="J2" s="4">
        <f>Hotel!V7</f>
        <v>5450</v>
      </c>
      <c r="K2" s="4">
        <f>Hotel!W7</f>
        <v>3550</v>
      </c>
      <c r="L2" s="4">
        <f>Hotel!X7</f>
        <v>6260</v>
      </c>
      <c r="M2" s="4">
        <f>Hotel!Y7</f>
        <v>8510</v>
      </c>
      <c r="N2" s="4">
        <f>Hotel!Z7</f>
        <v>3510</v>
      </c>
      <c r="O2" s="4">
        <f>Hotel!AA7</f>
        <v>4210</v>
      </c>
      <c r="P2" s="4">
        <f>Hotel!AB7</f>
        <v>9270</v>
      </c>
      <c r="Q2" s="4">
        <f>Hotel!AC7</f>
        <v>16330</v>
      </c>
      <c r="R2" s="4">
        <f>Hotel!AU7</f>
        <v>0</v>
      </c>
      <c r="S2" s="4">
        <f>Hotel!BB7</f>
        <v>485.94000000000005</v>
      </c>
      <c r="T2" s="4">
        <f>Hotel!AY7</f>
        <v>0</v>
      </c>
      <c r="U2" s="4">
        <f>Hotel!B7</f>
        <v>199</v>
      </c>
    </row>
    <row r="3" spans="1:21" x14ac:dyDescent="0.25">
      <c r="A3" s="21" t="s">
        <v>31</v>
      </c>
      <c r="B3" s="2">
        <f>B2+1</f>
        <v>2</v>
      </c>
      <c r="C3" s="3">
        <f>TOTAL!C3</f>
        <v>1</v>
      </c>
      <c r="D3" s="11">
        <f>TOTAL!D3</f>
        <v>2019</v>
      </c>
      <c r="E3" s="4">
        <f>Hotel!Q8</f>
        <v>460</v>
      </c>
      <c r="F3" s="4">
        <f>Hotel!R8</f>
        <v>9120</v>
      </c>
      <c r="G3" s="4">
        <f>Hotel!S8</f>
        <v>0</v>
      </c>
      <c r="H3" s="4">
        <f>Hotel!T8</f>
        <v>1210</v>
      </c>
      <c r="I3" s="4">
        <f>Hotel!U8</f>
        <v>4870</v>
      </c>
      <c r="J3" s="4">
        <f>Hotel!V8</f>
        <v>4040</v>
      </c>
      <c r="K3" s="4">
        <f>Hotel!W8</f>
        <v>2890</v>
      </c>
      <c r="L3" s="4">
        <f>Hotel!X8</f>
        <v>4410</v>
      </c>
      <c r="M3" s="4">
        <f>Hotel!Y8</f>
        <v>5690</v>
      </c>
      <c r="N3" s="4">
        <f>Hotel!Z8</f>
        <v>2560</v>
      </c>
      <c r="O3" s="4">
        <f>Hotel!AA8</f>
        <v>3400</v>
      </c>
      <c r="P3" s="4">
        <f>Hotel!AB8</f>
        <v>6780</v>
      </c>
      <c r="Q3" s="4">
        <f>Hotel!AC8</f>
        <v>13080</v>
      </c>
      <c r="R3" s="4">
        <f>Hotel!AU8</f>
        <v>0</v>
      </c>
      <c r="S3" s="4">
        <f>Hotel!BB8</f>
        <v>493.58399999999995</v>
      </c>
      <c r="T3" s="4">
        <f>Hotel!AY8</f>
        <v>0</v>
      </c>
      <c r="U3" s="4">
        <f>Hotel!B8</f>
        <v>217</v>
      </c>
    </row>
    <row r="4" spans="1:21" x14ac:dyDescent="0.25">
      <c r="A4" s="21" t="s">
        <v>31</v>
      </c>
      <c r="B4" s="2">
        <f t="shared" ref="B4:B29" si="0">B3+1</f>
        <v>3</v>
      </c>
      <c r="C4" s="3">
        <f>TOTAL!C4</f>
        <v>1</v>
      </c>
      <c r="D4" s="11">
        <f>TOTAL!D4</f>
        <v>2019</v>
      </c>
      <c r="E4" s="4">
        <f>Hotel!Q9</f>
        <v>540</v>
      </c>
      <c r="F4" s="4">
        <f>Hotel!R9</f>
        <v>11230</v>
      </c>
      <c r="G4" s="4">
        <f>Hotel!S9</f>
        <v>0</v>
      </c>
      <c r="H4" s="4">
        <f>Hotel!T9</f>
        <v>1430</v>
      </c>
      <c r="I4" s="4">
        <f>Hotel!U9</f>
        <v>8010</v>
      </c>
      <c r="J4" s="4">
        <f>Hotel!V9</f>
        <v>4760</v>
      </c>
      <c r="K4" s="4">
        <f>Hotel!W9</f>
        <v>2990</v>
      </c>
      <c r="L4" s="4">
        <f>Hotel!X9</f>
        <v>5250</v>
      </c>
      <c r="M4" s="4">
        <f>Hotel!Y9</f>
        <v>6980</v>
      </c>
      <c r="N4" s="4">
        <f>Hotel!Z9</f>
        <v>3010</v>
      </c>
      <c r="O4" s="4">
        <f>Hotel!AA9</f>
        <v>3730</v>
      </c>
      <c r="P4" s="4">
        <f>Hotel!AB9</f>
        <v>8250</v>
      </c>
      <c r="Q4" s="4">
        <f>Hotel!AC9</f>
        <v>18480</v>
      </c>
      <c r="R4" s="4">
        <f>Hotel!AU9</f>
        <v>0</v>
      </c>
      <c r="S4" s="4">
        <f>Hotel!BB9</f>
        <v>366.36599999999999</v>
      </c>
      <c r="T4" s="4">
        <f>Hotel!AY9</f>
        <v>0</v>
      </c>
      <c r="U4" s="4">
        <f>Hotel!B9</f>
        <v>256</v>
      </c>
    </row>
    <row r="5" spans="1:21" x14ac:dyDescent="0.25">
      <c r="A5" s="21" t="s">
        <v>31</v>
      </c>
      <c r="B5" s="2">
        <f t="shared" si="0"/>
        <v>4</v>
      </c>
      <c r="C5" s="3">
        <f>TOTAL!C5</f>
        <v>1</v>
      </c>
      <c r="D5" s="11">
        <f>TOTAL!D5</f>
        <v>2019</v>
      </c>
      <c r="E5" s="4">
        <f>Hotel!Q10</f>
        <v>540</v>
      </c>
      <c r="F5" s="4">
        <f>Hotel!R10</f>
        <v>10210</v>
      </c>
      <c r="G5" s="4">
        <f>Hotel!S10</f>
        <v>0</v>
      </c>
      <c r="H5" s="4">
        <f>Hotel!T10</f>
        <v>1410</v>
      </c>
      <c r="I5" s="4">
        <f>Hotel!U10</f>
        <v>6780</v>
      </c>
      <c r="J5" s="4">
        <f>Hotel!V10</f>
        <v>4710</v>
      </c>
      <c r="K5" s="4">
        <f>Hotel!W10</f>
        <v>2940</v>
      </c>
      <c r="L5" s="4">
        <f>Hotel!X10</f>
        <v>5150</v>
      </c>
      <c r="M5" s="4">
        <f>Hotel!Y10</f>
        <v>7060</v>
      </c>
      <c r="N5" s="4">
        <f>Hotel!Z10</f>
        <v>2940</v>
      </c>
      <c r="O5" s="4">
        <f>Hotel!AA10</f>
        <v>3860</v>
      </c>
      <c r="P5" s="4">
        <f>Hotel!AB10</f>
        <v>8210</v>
      </c>
      <c r="Q5" s="4">
        <f>Hotel!AC10</f>
        <v>15850</v>
      </c>
      <c r="R5" s="4">
        <f>Hotel!AU10</f>
        <v>0</v>
      </c>
      <c r="S5" s="4">
        <f>Hotel!BB10</f>
        <v>447.17400000000004</v>
      </c>
      <c r="T5" s="4">
        <f>Hotel!AY10</f>
        <v>0</v>
      </c>
      <c r="U5" s="4">
        <f>Hotel!B10</f>
        <v>207</v>
      </c>
    </row>
    <row r="6" spans="1:21" x14ac:dyDescent="0.25">
      <c r="A6" s="21" t="s">
        <v>31</v>
      </c>
      <c r="B6" s="2">
        <f t="shared" si="0"/>
        <v>5</v>
      </c>
      <c r="C6" s="3">
        <f>TOTAL!C6</f>
        <v>1</v>
      </c>
      <c r="D6" s="11">
        <f>TOTAL!D6</f>
        <v>2019</v>
      </c>
      <c r="E6" s="4">
        <f>Hotel!Q11</f>
        <v>550</v>
      </c>
      <c r="F6" s="4">
        <f>Hotel!R11</f>
        <v>9900</v>
      </c>
      <c r="G6" s="4">
        <f>Hotel!S11</f>
        <v>0</v>
      </c>
      <c r="H6" s="4">
        <f>Hotel!T11</f>
        <v>1390</v>
      </c>
      <c r="I6" s="4">
        <f>Hotel!U11</f>
        <v>6300</v>
      </c>
      <c r="J6" s="4">
        <f>Hotel!V11</f>
        <v>4580</v>
      </c>
      <c r="K6" s="4">
        <f>Hotel!W11</f>
        <v>3020</v>
      </c>
      <c r="L6" s="4">
        <f>Hotel!X11</f>
        <v>4960</v>
      </c>
      <c r="M6" s="4">
        <f>Hotel!Y11</f>
        <v>6690</v>
      </c>
      <c r="N6" s="4">
        <f>Hotel!Z11</f>
        <v>2770</v>
      </c>
      <c r="O6" s="4">
        <f>Hotel!AA11</f>
        <v>4270</v>
      </c>
      <c r="P6" s="4">
        <f>Hotel!AB11</f>
        <v>8150</v>
      </c>
      <c r="Q6" s="4">
        <f>Hotel!AC11</f>
        <v>15220</v>
      </c>
      <c r="R6" s="4">
        <f>Hotel!AU11</f>
        <v>0</v>
      </c>
      <c r="S6" s="4">
        <f>Hotel!BB11</f>
        <v>601.41899999999998</v>
      </c>
      <c r="T6" s="4">
        <f>Hotel!AY11</f>
        <v>0</v>
      </c>
      <c r="U6" s="4">
        <f>Hotel!B11</f>
        <v>117</v>
      </c>
    </row>
    <row r="7" spans="1:21" x14ac:dyDescent="0.25">
      <c r="A7" s="21" t="s">
        <v>31</v>
      </c>
      <c r="B7" s="2">
        <f t="shared" si="0"/>
        <v>6</v>
      </c>
      <c r="C7" s="3">
        <f>TOTAL!C7</f>
        <v>1</v>
      </c>
      <c r="D7" s="11">
        <f>TOTAL!D7</f>
        <v>2019</v>
      </c>
      <c r="E7" s="4">
        <f>Hotel!Q12</f>
        <v>540</v>
      </c>
      <c r="F7" s="4">
        <f>Hotel!R12</f>
        <v>9670</v>
      </c>
      <c r="G7" s="4">
        <f>Hotel!S12</f>
        <v>0</v>
      </c>
      <c r="H7" s="4">
        <f>Hotel!T12</f>
        <v>1390</v>
      </c>
      <c r="I7" s="4">
        <f>Hotel!U12</f>
        <v>5940</v>
      </c>
      <c r="J7" s="4">
        <f>Hotel!V12</f>
        <v>3900</v>
      </c>
      <c r="K7" s="4">
        <f>Hotel!W12</f>
        <v>2850</v>
      </c>
      <c r="L7" s="4">
        <f>Hotel!X12</f>
        <v>5050</v>
      </c>
      <c r="M7" s="4">
        <f>Hotel!Y12</f>
        <v>6280</v>
      </c>
      <c r="N7" s="4">
        <f>Hotel!Z12</f>
        <v>2680</v>
      </c>
      <c r="O7" s="4">
        <f>Hotel!AA12</f>
        <v>2830</v>
      </c>
      <c r="P7" s="4">
        <f>Hotel!AB12</f>
        <v>7800</v>
      </c>
      <c r="Q7" s="4">
        <f>Hotel!AC12</f>
        <v>15760</v>
      </c>
      <c r="R7" s="4">
        <f>Hotel!AU12</f>
        <v>0</v>
      </c>
      <c r="S7" s="4">
        <f>Hotel!BB12</f>
        <v>493.03800000000001</v>
      </c>
      <c r="T7" s="4">
        <f>Hotel!AY12</f>
        <v>0</v>
      </c>
      <c r="U7" s="4">
        <f>Hotel!B12</f>
        <v>92</v>
      </c>
    </row>
    <row r="8" spans="1:21" x14ac:dyDescent="0.25">
      <c r="A8" s="21" t="s">
        <v>31</v>
      </c>
      <c r="B8" s="2">
        <f t="shared" si="0"/>
        <v>7</v>
      </c>
      <c r="C8" s="3">
        <f>TOTAL!C8</f>
        <v>1</v>
      </c>
      <c r="D8" s="11">
        <f>TOTAL!D8</f>
        <v>2019</v>
      </c>
      <c r="E8" s="4">
        <f>Hotel!Q13</f>
        <v>550</v>
      </c>
      <c r="F8" s="4">
        <f>Hotel!R13</f>
        <v>9110</v>
      </c>
      <c r="G8" s="4">
        <f>Hotel!S13</f>
        <v>0</v>
      </c>
      <c r="H8" s="4">
        <f>Hotel!T13</f>
        <v>1380</v>
      </c>
      <c r="I8" s="4">
        <f>Hotel!U13</f>
        <v>6090</v>
      </c>
      <c r="J8" s="4">
        <f>Hotel!V13</f>
        <v>4050</v>
      </c>
      <c r="K8" s="4">
        <f>Hotel!W13</f>
        <v>2750</v>
      </c>
      <c r="L8" s="4">
        <f>Hotel!X13</f>
        <v>4970</v>
      </c>
      <c r="M8" s="4">
        <f>Hotel!Y13</f>
        <v>6140</v>
      </c>
      <c r="N8" s="4">
        <f>Hotel!Z13</f>
        <v>2620</v>
      </c>
      <c r="O8" s="4">
        <f>Hotel!AA13</f>
        <v>3320</v>
      </c>
      <c r="P8" s="4">
        <f>Hotel!AB13</f>
        <v>7900</v>
      </c>
      <c r="Q8" s="4">
        <f>Hotel!AC13</f>
        <v>16480</v>
      </c>
      <c r="R8" s="4">
        <f>Hotel!AU13</f>
        <v>0</v>
      </c>
      <c r="S8" s="4">
        <f>Hotel!BB13</f>
        <v>421.78500000000003</v>
      </c>
      <c r="T8" s="4">
        <f>Hotel!AY13</f>
        <v>0</v>
      </c>
      <c r="U8" s="4">
        <f>Hotel!B13</f>
        <v>105</v>
      </c>
    </row>
    <row r="9" spans="1:21" x14ac:dyDescent="0.25">
      <c r="A9" s="21" t="s">
        <v>31</v>
      </c>
      <c r="B9" s="2">
        <f t="shared" si="0"/>
        <v>8</v>
      </c>
      <c r="C9" s="3">
        <f>TOTAL!C9</f>
        <v>1</v>
      </c>
      <c r="D9" s="11">
        <f>TOTAL!D9</f>
        <v>2019</v>
      </c>
      <c r="E9" s="4">
        <f>Hotel!Q14</f>
        <v>540</v>
      </c>
      <c r="F9" s="4">
        <f>Hotel!R14</f>
        <v>8580</v>
      </c>
      <c r="G9" s="4">
        <f>Hotel!S14</f>
        <v>0</v>
      </c>
      <c r="H9" s="4">
        <f>Hotel!T14</f>
        <v>1360</v>
      </c>
      <c r="I9" s="4">
        <f>Hotel!U14</f>
        <v>6160</v>
      </c>
      <c r="J9" s="4">
        <f>Hotel!V14</f>
        <v>4440</v>
      </c>
      <c r="K9" s="4">
        <f>Hotel!W14</f>
        <v>2890</v>
      </c>
      <c r="L9" s="4">
        <f>Hotel!X14</f>
        <v>4980</v>
      </c>
      <c r="M9" s="4">
        <f>Hotel!Y14</f>
        <v>6270</v>
      </c>
      <c r="N9" s="4">
        <f>Hotel!Z14</f>
        <v>2640</v>
      </c>
      <c r="O9" s="4">
        <f>Hotel!AA14</f>
        <v>3520</v>
      </c>
      <c r="P9" s="4">
        <f>Hotel!AB14</f>
        <v>7820</v>
      </c>
      <c r="Q9" s="4">
        <f>Hotel!AC14</f>
        <v>15840</v>
      </c>
      <c r="R9" s="4">
        <f>Hotel!AU14</f>
        <v>0</v>
      </c>
      <c r="S9" s="4">
        <f>Hotel!BB14</f>
        <v>502.59300000000002</v>
      </c>
      <c r="T9" s="4">
        <f>Hotel!AY14</f>
        <v>0</v>
      </c>
      <c r="U9" s="4">
        <f>Hotel!B14</f>
        <v>144</v>
      </c>
    </row>
    <row r="10" spans="1:21" x14ac:dyDescent="0.25">
      <c r="A10" s="21" t="s">
        <v>31</v>
      </c>
      <c r="B10" s="2">
        <f t="shared" si="0"/>
        <v>9</v>
      </c>
      <c r="C10" s="3">
        <f>TOTAL!C10</f>
        <v>1</v>
      </c>
      <c r="D10" s="11">
        <f>TOTAL!D10</f>
        <v>2019</v>
      </c>
      <c r="E10" s="4">
        <f>Hotel!Q15</f>
        <v>560</v>
      </c>
      <c r="F10" s="4">
        <f>Hotel!R15</f>
        <v>9740</v>
      </c>
      <c r="G10" s="4">
        <f>Hotel!S15</f>
        <v>0</v>
      </c>
      <c r="H10" s="4">
        <f>Hotel!T15</f>
        <v>1460</v>
      </c>
      <c r="I10" s="4">
        <f>Hotel!U15</f>
        <v>6470</v>
      </c>
      <c r="J10" s="4">
        <f>Hotel!V15</f>
        <v>4530</v>
      </c>
      <c r="K10" s="4">
        <f>Hotel!W15</f>
        <v>3000</v>
      </c>
      <c r="L10" s="4">
        <f>Hotel!X15</f>
        <v>5250</v>
      </c>
      <c r="M10" s="4">
        <f>Hotel!Y15</f>
        <v>6530</v>
      </c>
      <c r="N10" s="4">
        <f>Hotel!Z15</f>
        <v>2800</v>
      </c>
      <c r="O10" s="4">
        <f>Hotel!AA15</f>
        <v>3530</v>
      </c>
      <c r="P10" s="4">
        <f>Hotel!AB15</f>
        <v>8330</v>
      </c>
      <c r="Q10" s="4">
        <f>Hotel!AC15</f>
        <v>15410</v>
      </c>
      <c r="R10" s="4">
        <f>Hotel!AU15</f>
        <v>0</v>
      </c>
      <c r="S10" s="4">
        <f>Hotel!BB15</f>
        <v>667.48500000000001</v>
      </c>
      <c r="T10" s="4">
        <f>Hotel!AY15</f>
        <v>0</v>
      </c>
      <c r="U10" s="4">
        <f>Hotel!B15</f>
        <v>137</v>
      </c>
    </row>
    <row r="11" spans="1:21" x14ac:dyDescent="0.25">
      <c r="A11" s="21" t="s">
        <v>31</v>
      </c>
      <c r="B11" s="2">
        <f t="shared" si="0"/>
        <v>10</v>
      </c>
      <c r="C11" s="3">
        <f>TOTAL!C11</f>
        <v>1</v>
      </c>
      <c r="D11" s="11">
        <f>TOTAL!D11</f>
        <v>2019</v>
      </c>
      <c r="E11" s="4">
        <f>Hotel!Q16</f>
        <v>540</v>
      </c>
      <c r="F11" s="4">
        <f>Hotel!R16</f>
        <v>8560</v>
      </c>
      <c r="G11" s="4">
        <f>Hotel!S16</f>
        <v>0</v>
      </c>
      <c r="H11" s="4">
        <f>Hotel!T16</f>
        <v>1420</v>
      </c>
      <c r="I11" s="4">
        <f>Hotel!U16</f>
        <v>6390</v>
      </c>
      <c r="J11" s="4">
        <f>Hotel!V16</f>
        <v>4450</v>
      </c>
      <c r="K11" s="4">
        <f>Hotel!W16</f>
        <v>2960</v>
      </c>
      <c r="L11" s="4">
        <f>Hotel!X16</f>
        <v>5060</v>
      </c>
      <c r="M11" s="4">
        <f>Hotel!Y16</f>
        <v>6490</v>
      </c>
      <c r="N11" s="4">
        <f>Hotel!Z16</f>
        <v>2810</v>
      </c>
      <c r="O11" s="4">
        <f>Hotel!AA16</f>
        <v>3530</v>
      </c>
      <c r="P11" s="4">
        <f>Hotel!AB16</f>
        <v>8360</v>
      </c>
      <c r="Q11" s="4">
        <f>Hotel!AC16</f>
        <v>17930</v>
      </c>
      <c r="R11" s="4">
        <f>Hotel!AU16</f>
        <v>0</v>
      </c>
      <c r="S11" s="4">
        <f>Hotel!BB16</f>
        <v>179.08799999999999</v>
      </c>
      <c r="T11" s="4">
        <f>Hotel!AY16</f>
        <v>0</v>
      </c>
      <c r="U11" s="4">
        <f>Hotel!B16</f>
        <v>171</v>
      </c>
    </row>
    <row r="12" spans="1:21" x14ac:dyDescent="0.25">
      <c r="A12" s="21" t="s">
        <v>31</v>
      </c>
      <c r="B12" s="2">
        <f t="shared" si="0"/>
        <v>11</v>
      </c>
      <c r="C12" s="3">
        <f>TOTAL!C12</f>
        <v>1</v>
      </c>
      <c r="D12" s="11">
        <f>TOTAL!D12</f>
        <v>2019</v>
      </c>
      <c r="E12" s="4">
        <f>Hotel!Q17</f>
        <v>390</v>
      </c>
      <c r="F12" s="4">
        <f>Hotel!R17</f>
        <v>3960</v>
      </c>
      <c r="G12" s="4">
        <f>Hotel!S17</f>
        <v>0</v>
      </c>
      <c r="H12" s="4">
        <f>Hotel!T17</f>
        <v>2000</v>
      </c>
      <c r="I12" s="4">
        <f>Hotel!U17</f>
        <v>6000</v>
      </c>
      <c r="J12" s="4">
        <f>Hotel!V17</f>
        <v>3950</v>
      </c>
      <c r="K12" s="4">
        <f>Hotel!W17</f>
        <v>4000</v>
      </c>
      <c r="L12" s="4">
        <f>Hotel!X17</f>
        <v>4080</v>
      </c>
      <c r="M12" s="4">
        <f>Hotel!Y17</f>
        <v>8000</v>
      </c>
      <c r="N12" s="4">
        <f>Hotel!Z17</f>
        <v>3170</v>
      </c>
      <c r="O12" s="4">
        <f>Hotel!AA17</f>
        <v>2090</v>
      </c>
      <c r="P12" s="4">
        <f>Hotel!AB17</f>
        <v>9960</v>
      </c>
      <c r="Q12" s="4">
        <f>Hotel!AC17</f>
        <v>11110</v>
      </c>
      <c r="R12" s="4">
        <f>Hotel!AU17</f>
        <v>0</v>
      </c>
      <c r="S12" s="4">
        <f>Hotel!BB17</f>
        <v>424.78800000000001</v>
      </c>
      <c r="T12" s="4">
        <f>Hotel!AY17</f>
        <v>0</v>
      </c>
      <c r="U12" s="4">
        <f>Hotel!B17</f>
        <v>151</v>
      </c>
    </row>
    <row r="13" spans="1:21" x14ac:dyDescent="0.25">
      <c r="A13" s="21" t="s">
        <v>31</v>
      </c>
      <c r="B13" s="2">
        <f t="shared" si="0"/>
        <v>12</v>
      </c>
      <c r="C13" s="3">
        <f>TOTAL!C13</f>
        <v>1</v>
      </c>
      <c r="D13" s="11">
        <f>TOTAL!D13</f>
        <v>2019</v>
      </c>
      <c r="E13" s="4">
        <f>Hotel!Q18</f>
        <v>710</v>
      </c>
      <c r="F13" s="4">
        <f>Hotel!R18</f>
        <v>13250</v>
      </c>
      <c r="G13" s="4">
        <f>Hotel!S18</f>
        <v>0</v>
      </c>
      <c r="H13" s="4">
        <f>Hotel!T18</f>
        <v>800</v>
      </c>
      <c r="I13" s="4">
        <f>Hotel!U18</f>
        <v>6630</v>
      </c>
      <c r="J13" s="4">
        <f>Hotel!V18</f>
        <v>4890</v>
      </c>
      <c r="K13" s="4">
        <f>Hotel!W18</f>
        <v>1820</v>
      </c>
      <c r="L13" s="4">
        <f>Hotel!X18</f>
        <v>6300</v>
      </c>
      <c r="M13" s="4">
        <f>Hotel!Y18</f>
        <v>5220</v>
      </c>
      <c r="N13" s="4">
        <f>Hotel!Z18</f>
        <v>2230</v>
      </c>
      <c r="O13" s="4">
        <f>Hotel!AA18</f>
        <v>5310</v>
      </c>
      <c r="P13" s="4">
        <f>Hotel!AB18</f>
        <v>7780</v>
      </c>
      <c r="Q13" s="4">
        <f>Hotel!AC18</f>
        <v>25420</v>
      </c>
      <c r="R13" s="4">
        <f>Hotel!AU18</f>
        <v>0</v>
      </c>
      <c r="S13" s="4">
        <f>Hotel!BB18</f>
        <v>504.50400000000002</v>
      </c>
      <c r="T13" s="4">
        <f>Hotel!AY18</f>
        <v>0</v>
      </c>
      <c r="U13" s="4">
        <f>Hotel!B18</f>
        <v>109</v>
      </c>
    </row>
    <row r="14" spans="1:21" x14ac:dyDescent="0.25">
      <c r="A14" s="21" t="s">
        <v>31</v>
      </c>
      <c r="B14" s="2">
        <f t="shared" si="0"/>
        <v>13</v>
      </c>
      <c r="C14" s="3">
        <f>TOTAL!C14</f>
        <v>1</v>
      </c>
      <c r="D14" s="11">
        <f>TOTAL!D14</f>
        <v>2019</v>
      </c>
      <c r="E14" s="4">
        <f>Hotel!Q19</f>
        <v>540</v>
      </c>
      <c r="F14" s="4">
        <f>Hotel!R19</f>
        <v>8830</v>
      </c>
      <c r="G14" s="4">
        <f>Hotel!S19</f>
        <v>0</v>
      </c>
      <c r="H14" s="4">
        <f>Hotel!T19</f>
        <v>1370</v>
      </c>
      <c r="I14" s="4">
        <f>Hotel!U19</f>
        <v>6190</v>
      </c>
      <c r="J14" s="4">
        <f>Hotel!V19</f>
        <v>4360</v>
      </c>
      <c r="K14" s="4">
        <f>Hotel!W19</f>
        <v>3180</v>
      </c>
      <c r="L14" s="4">
        <f>Hotel!X19</f>
        <v>4810</v>
      </c>
      <c r="M14" s="4">
        <f>Hotel!Y19</f>
        <v>6390</v>
      </c>
      <c r="N14" s="4">
        <f>Hotel!Z19</f>
        <v>2720</v>
      </c>
      <c r="O14" s="4">
        <f>Hotel!AA19</f>
        <v>3590</v>
      </c>
      <c r="P14" s="4">
        <f>Hotel!AB19</f>
        <v>8750</v>
      </c>
      <c r="Q14" s="4">
        <f>Hotel!AC19</f>
        <v>17410</v>
      </c>
      <c r="R14" s="4">
        <f>Hotel!AU19</f>
        <v>0</v>
      </c>
      <c r="S14" s="4">
        <f>Hotel!BB19</f>
        <v>474.47400000000005</v>
      </c>
      <c r="T14" s="4">
        <f>Hotel!AY19</f>
        <v>0</v>
      </c>
      <c r="U14" s="4">
        <f>Hotel!B19</f>
        <v>127</v>
      </c>
    </row>
    <row r="15" spans="1:21" x14ac:dyDescent="0.25">
      <c r="A15" s="21" t="s">
        <v>31</v>
      </c>
      <c r="B15" s="2">
        <f t="shared" si="0"/>
        <v>14</v>
      </c>
      <c r="C15" s="3">
        <f>TOTAL!C15</f>
        <v>1</v>
      </c>
      <c r="D15" s="11">
        <f>TOTAL!D15</f>
        <v>2019</v>
      </c>
      <c r="E15" s="4">
        <f>Hotel!Q20</f>
        <v>560</v>
      </c>
      <c r="F15" s="4">
        <f>Hotel!R20</f>
        <v>9510</v>
      </c>
      <c r="G15" s="4">
        <f>Hotel!S20</f>
        <v>0</v>
      </c>
      <c r="H15" s="4">
        <f>Hotel!T20</f>
        <v>1410</v>
      </c>
      <c r="I15" s="4">
        <f>Hotel!U20</f>
        <v>6510</v>
      </c>
      <c r="J15" s="4">
        <f>Hotel!V20</f>
        <v>4580</v>
      </c>
      <c r="K15" s="4">
        <f>Hotel!W20</f>
        <v>3860</v>
      </c>
      <c r="L15" s="4">
        <f>Hotel!X20</f>
        <v>4940</v>
      </c>
      <c r="M15" s="4">
        <f>Hotel!Y20</f>
        <v>6780</v>
      </c>
      <c r="N15" s="4">
        <f>Hotel!Z20</f>
        <v>2740</v>
      </c>
      <c r="O15" s="4">
        <f>Hotel!AA20</f>
        <v>3530</v>
      </c>
      <c r="P15" s="4">
        <f>Hotel!AB20</f>
        <v>8180</v>
      </c>
      <c r="Q15" s="4">
        <f>Hotel!AC20</f>
        <v>17720</v>
      </c>
      <c r="R15" s="4">
        <f>Hotel!AU20</f>
        <v>0</v>
      </c>
      <c r="S15" s="4">
        <f>Hotel!BB20</f>
        <v>876.60300000000007</v>
      </c>
      <c r="T15" s="4">
        <f>Hotel!AY20</f>
        <v>0</v>
      </c>
      <c r="U15" s="4">
        <f>Hotel!B20</f>
        <v>148</v>
      </c>
    </row>
    <row r="16" spans="1:21" x14ac:dyDescent="0.25">
      <c r="A16" s="21" t="s">
        <v>31</v>
      </c>
      <c r="B16" s="2">
        <f t="shared" si="0"/>
        <v>15</v>
      </c>
      <c r="C16" s="3">
        <f>TOTAL!C16</f>
        <v>1</v>
      </c>
      <c r="D16" s="11">
        <f>TOTAL!D16</f>
        <v>2019</v>
      </c>
      <c r="E16" s="4">
        <f>Hotel!Q21</f>
        <v>540</v>
      </c>
      <c r="F16" s="4">
        <f>Hotel!R21</f>
        <v>8960</v>
      </c>
      <c r="G16" s="4">
        <f>Hotel!S21</f>
        <v>0</v>
      </c>
      <c r="H16" s="4">
        <f>Hotel!T21</f>
        <v>1380</v>
      </c>
      <c r="I16" s="4">
        <f>Hotel!U21</f>
        <v>6550</v>
      </c>
      <c r="J16" s="4">
        <f>Hotel!V21</f>
        <v>4590</v>
      </c>
      <c r="K16" s="4">
        <f>Hotel!W21</f>
        <v>3330</v>
      </c>
      <c r="L16" s="4">
        <f>Hotel!X21</f>
        <v>4730</v>
      </c>
      <c r="M16" s="4">
        <f>Hotel!Y21</f>
        <v>6460</v>
      </c>
      <c r="N16" s="4">
        <f>Hotel!Z21</f>
        <v>2700</v>
      </c>
      <c r="O16" s="4">
        <f>Hotel!AA21</f>
        <v>3250</v>
      </c>
      <c r="P16" s="4">
        <f>Hotel!AB21</f>
        <v>7740</v>
      </c>
      <c r="Q16" s="4">
        <f>Hotel!AC21</f>
        <v>16210</v>
      </c>
      <c r="R16" s="4">
        <f>Hotel!AU21</f>
        <v>0</v>
      </c>
      <c r="S16" s="4">
        <f>Hotel!BB21</f>
        <v>592.68299999999999</v>
      </c>
      <c r="T16" s="4">
        <f>Hotel!AY21</f>
        <v>0</v>
      </c>
      <c r="U16" s="4">
        <f>Hotel!B21</f>
        <v>126</v>
      </c>
    </row>
    <row r="17" spans="1:21" x14ac:dyDescent="0.25">
      <c r="A17" s="21" t="s">
        <v>31</v>
      </c>
      <c r="B17" s="2">
        <f t="shared" si="0"/>
        <v>16</v>
      </c>
      <c r="C17" s="3">
        <f>TOTAL!C17</f>
        <v>1</v>
      </c>
      <c r="D17" s="11">
        <f>TOTAL!D17</f>
        <v>2019</v>
      </c>
      <c r="E17" s="4">
        <f>Hotel!Q22</f>
        <v>540</v>
      </c>
      <c r="F17" s="4">
        <f>Hotel!R22</f>
        <v>9920</v>
      </c>
      <c r="G17" s="4">
        <f>Hotel!S22</f>
        <v>0</v>
      </c>
      <c r="H17" s="4">
        <f>Hotel!T22</f>
        <v>1390</v>
      </c>
      <c r="I17" s="4">
        <f>Hotel!U22</f>
        <v>6020</v>
      </c>
      <c r="J17" s="4">
        <f>Hotel!V22</f>
        <v>4560</v>
      </c>
      <c r="K17" s="4">
        <f>Hotel!W22</f>
        <v>2770</v>
      </c>
      <c r="L17" s="4">
        <f>Hotel!X22</f>
        <v>4670</v>
      </c>
      <c r="M17" s="4">
        <f>Hotel!Y22</f>
        <v>6540</v>
      </c>
      <c r="N17" s="4">
        <f>Hotel!Z22</f>
        <v>2660</v>
      </c>
      <c r="O17" s="4">
        <f>Hotel!AA22</f>
        <v>3130</v>
      </c>
      <c r="P17" s="4">
        <f>Hotel!AB22</f>
        <v>7830</v>
      </c>
      <c r="Q17" s="4">
        <f>Hotel!AC22</f>
        <v>14090</v>
      </c>
      <c r="R17" s="4">
        <f>Hotel!AU22</f>
        <v>0</v>
      </c>
      <c r="S17" s="4">
        <f>Hotel!BB22</f>
        <v>552.00599999999997</v>
      </c>
      <c r="T17" s="4">
        <f>Hotel!AY22</f>
        <v>0</v>
      </c>
      <c r="U17" s="4">
        <f>Hotel!B22</f>
        <v>108</v>
      </c>
    </row>
    <row r="18" spans="1:21" x14ac:dyDescent="0.25">
      <c r="A18" s="21" t="s">
        <v>31</v>
      </c>
      <c r="B18" s="2">
        <f t="shared" si="0"/>
        <v>17</v>
      </c>
      <c r="C18" s="3">
        <f>TOTAL!C18</f>
        <v>1</v>
      </c>
      <c r="D18" s="11">
        <f>TOTAL!D18</f>
        <v>2019</v>
      </c>
      <c r="E18" s="4">
        <f>Hotel!Q23</f>
        <v>550</v>
      </c>
      <c r="F18" s="4">
        <f>Hotel!R23</f>
        <v>9230</v>
      </c>
      <c r="G18" s="4">
        <f>Hotel!S23</f>
        <v>10</v>
      </c>
      <c r="H18" s="4">
        <f>Hotel!T23</f>
        <v>1400</v>
      </c>
      <c r="I18" s="4">
        <f>Hotel!U23</f>
        <v>6070</v>
      </c>
      <c r="J18" s="4">
        <f>Hotel!V23</f>
        <v>4390</v>
      </c>
      <c r="K18" s="4">
        <f>Hotel!W23</f>
        <v>2950</v>
      </c>
      <c r="L18" s="4">
        <f>Hotel!X23</f>
        <v>4860</v>
      </c>
      <c r="M18" s="4">
        <f>Hotel!Y23</f>
        <v>5600</v>
      </c>
      <c r="N18" s="4">
        <f>Hotel!Z23</f>
        <v>2810</v>
      </c>
      <c r="O18" s="4">
        <f>Hotel!AA23</f>
        <v>3370</v>
      </c>
      <c r="P18" s="4">
        <f>Hotel!AB23</f>
        <v>7370</v>
      </c>
      <c r="Q18" s="4">
        <f>Hotel!AC23</f>
        <v>16130</v>
      </c>
      <c r="R18" s="4">
        <f>Hotel!AU23</f>
        <v>0</v>
      </c>
      <c r="S18" s="4">
        <f>Hotel!BB23</f>
        <v>963.96299999999997</v>
      </c>
      <c r="T18" s="4">
        <f>Hotel!AY23</f>
        <v>0</v>
      </c>
      <c r="U18" s="4">
        <f>Hotel!B23</f>
        <v>135</v>
      </c>
    </row>
    <row r="19" spans="1:21" x14ac:dyDescent="0.25">
      <c r="A19" s="21" t="s">
        <v>31</v>
      </c>
      <c r="B19" s="2">
        <f t="shared" si="0"/>
        <v>18</v>
      </c>
      <c r="C19" s="3">
        <f>TOTAL!C19</f>
        <v>1</v>
      </c>
      <c r="D19" s="11">
        <f>TOTAL!D19</f>
        <v>2019</v>
      </c>
      <c r="E19" s="4">
        <f>Hotel!Q24</f>
        <v>550</v>
      </c>
      <c r="F19" s="4">
        <f>Hotel!R24</f>
        <v>8370</v>
      </c>
      <c r="G19" s="4">
        <f>Hotel!S24</f>
        <v>10</v>
      </c>
      <c r="H19" s="4">
        <f>Hotel!T24</f>
        <v>1380</v>
      </c>
      <c r="I19" s="4">
        <f>Hotel!U24</f>
        <v>5970</v>
      </c>
      <c r="J19" s="4">
        <f>Hotel!V24</f>
        <v>4620</v>
      </c>
      <c r="K19" s="4">
        <f>Hotel!W24</f>
        <v>2690</v>
      </c>
      <c r="L19" s="4">
        <f>Hotel!X24</f>
        <v>5010</v>
      </c>
      <c r="M19" s="4">
        <f>Hotel!Y24</f>
        <v>5330</v>
      </c>
      <c r="N19" s="4">
        <f>Hotel!Z24</f>
        <v>2610</v>
      </c>
      <c r="O19" s="4">
        <f>Hotel!AA24</f>
        <v>3250</v>
      </c>
      <c r="P19" s="4">
        <f>Hotel!AB24</f>
        <v>7300</v>
      </c>
      <c r="Q19" s="4">
        <f>Hotel!AC24</f>
        <v>14670</v>
      </c>
      <c r="R19" s="4">
        <f>Hotel!AU24</f>
        <v>0</v>
      </c>
      <c r="S19" s="4">
        <f>Hotel!BB24</f>
        <v>428.33699999999999</v>
      </c>
      <c r="T19" s="4">
        <f>Hotel!AY24</f>
        <v>0</v>
      </c>
      <c r="U19" s="4">
        <f>Hotel!B24</f>
        <v>141</v>
      </c>
    </row>
    <row r="20" spans="1:21" x14ac:dyDescent="0.25">
      <c r="A20" s="21" t="s">
        <v>31</v>
      </c>
      <c r="B20" s="2">
        <f t="shared" si="0"/>
        <v>19</v>
      </c>
      <c r="C20" s="3">
        <f>TOTAL!C20</f>
        <v>1</v>
      </c>
      <c r="D20" s="11">
        <f>TOTAL!D20</f>
        <v>2019</v>
      </c>
      <c r="E20" s="4">
        <f>Hotel!Q25</f>
        <v>560</v>
      </c>
      <c r="F20" s="4">
        <f>Hotel!R25</f>
        <v>8890</v>
      </c>
      <c r="G20" s="4">
        <f>Hotel!S25</f>
        <v>0</v>
      </c>
      <c r="H20" s="4">
        <f>Hotel!T25</f>
        <v>1420</v>
      </c>
      <c r="I20" s="4">
        <f>Hotel!U25</f>
        <v>6200</v>
      </c>
      <c r="J20" s="4">
        <f>Hotel!V25</f>
        <v>4830</v>
      </c>
      <c r="K20" s="4">
        <f>Hotel!W25</f>
        <v>2750</v>
      </c>
      <c r="L20" s="4">
        <f>Hotel!X25</f>
        <v>5160</v>
      </c>
      <c r="M20" s="4">
        <f>Hotel!Y25</f>
        <v>5750</v>
      </c>
      <c r="N20" s="4">
        <f>Hotel!Z25</f>
        <v>2580</v>
      </c>
      <c r="O20" s="4">
        <f>Hotel!AA25</f>
        <v>3440</v>
      </c>
      <c r="P20" s="4">
        <f>Hotel!AB25</f>
        <v>8120</v>
      </c>
      <c r="Q20" s="4">
        <f>Hotel!AC25</f>
        <v>16200</v>
      </c>
      <c r="R20" s="4">
        <f>Hotel!AU25</f>
        <v>0</v>
      </c>
      <c r="S20" s="4">
        <f>Hotel!BB25</f>
        <v>515.697</v>
      </c>
      <c r="T20" s="4">
        <f>Hotel!AY25</f>
        <v>0</v>
      </c>
      <c r="U20" s="4">
        <f>Hotel!B25</f>
        <v>94</v>
      </c>
    </row>
    <row r="21" spans="1:21" x14ac:dyDescent="0.25">
      <c r="A21" s="21" t="s">
        <v>31</v>
      </c>
      <c r="B21" s="2">
        <f t="shared" si="0"/>
        <v>20</v>
      </c>
      <c r="C21" s="3">
        <f>TOTAL!C21</f>
        <v>1</v>
      </c>
      <c r="D21" s="11">
        <f>TOTAL!D21</f>
        <v>2019</v>
      </c>
      <c r="E21" s="4">
        <f>Hotel!Q26</f>
        <v>530</v>
      </c>
      <c r="F21" s="4">
        <f>Hotel!R26</f>
        <v>8500</v>
      </c>
      <c r="G21" s="4">
        <f>Hotel!S26</f>
        <v>1820</v>
      </c>
      <c r="H21" s="4">
        <f>Hotel!T26</f>
        <v>1400</v>
      </c>
      <c r="I21" s="4">
        <f>Hotel!U26</f>
        <v>5860</v>
      </c>
      <c r="J21" s="4">
        <f>Hotel!V26</f>
        <v>4730</v>
      </c>
      <c r="K21" s="4">
        <f>Hotel!W26</f>
        <v>3180</v>
      </c>
      <c r="L21" s="4">
        <f>Hotel!X26</f>
        <v>5300</v>
      </c>
      <c r="M21" s="4">
        <f>Hotel!Y26</f>
        <v>5650</v>
      </c>
      <c r="N21" s="4">
        <f>Hotel!Z26</f>
        <v>2530</v>
      </c>
      <c r="O21" s="4">
        <f>Hotel!AA26</f>
        <v>3350</v>
      </c>
      <c r="P21" s="4">
        <f>Hotel!AB26</f>
        <v>7640</v>
      </c>
      <c r="Q21" s="4">
        <f>Hotel!AC26</f>
        <v>17120</v>
      </c>
      <c r="R21" s="4">
        <f>Hotel!AU26</f>
        <v>0</v>
      </c>
      <c r="S21" s="4">
        <f>Hotel!BB26</f>
        <v>429.70200000000006</v>
      </c>
      <c r="T21" s="4">
        <f>Hotel!AY26</f>
        <v>0</v>
      </c>
      <c r="U21" s="4">
        <f>Hotel!B26</f>
        <v>117</v>
      </c>
    </row>
    <row r="22" spans="1:21" x14ac:dyDescent="0.25">
      <c r="A22" s="21" t="s">
        <v>31</v>
      </c>
      <c r="B22" s="2">
        <f t="shared" si="0"/>
        <v>21</v>
      </c>
      <c r="C22" s="3">
        <f>TOTAL!C22</f>
        <v>1</v>
      </c>
      <c r="D22" s="11">
        <f>TOTAL!D22</f>
        <v>2019</v>
      </c>
      <c r="E22" s="4">
        <f>Hotel!Q27</f>
        <v>530</v>
      </c>
      <c r="F22" s="4">
        <f>Hotel!R27</f>
        <v>8530</v>
      </c>
      <c r="G22" s="4">
        <f>Hotel!S27</f>
        <v>1070</v>
      </c>
      <c r="H22" s="4">
        <f>Hotel!T27</f>
        <v>1420</v>
      </c>
      <c r="I22" s="4">
        <f>Hotel!U27</f>
        <v>6570</v>
      </c>
      <c r="J22" s="4">
        <f>Hotel!V27</f>
        <v>4820</v>
      </c>
      <c r="K22" s="4">
        <f>Hotel!W27</f>
        <v>3730</v>
      </c>
      <c r="L22" s="4">
        <f>Hotel!X27</f>
        <v>5110</v>
      </c>
      <c r="M22" s="4">
        <f>Hotel!Y27</f>
        <v>5690</v>
      </c>
      <c r="N22" s="4">
        <f>Hotel!Z27</f>
        <v>2660</v>
      </c>
      <c r="O22" s="4">
        <f>Hotel!AA27</f>
        <v>3490</v>
      </c>
      <c r="P22" s="4">
        <f>Hotel!AB27</f>
        <v>7960</v>
      </c>
      <c r="Q22" s="4">
        <f>Hotel!AC27</f>
        <v>16440</v>
      </c>
      <c r="R22" s="4">
        <f>Hotel!AU27</f>
        <v>0</v>
      </c>
      <c r="S22" s="4">
        <f>Hotel!BB27</f>
        <v>427.245</v>
      </c>
      <c r="T22" s="4">
        <f>Hotel!AY27</f>
        <v>0</v>
      </c>
      <c r="U22" s="4">
        <f>Hotel!B27</f>
        <v>112</v>
      </c>
    </row>
    <row r="23" spans="1:21" x14ac:dyDescent="0.25">
      <c r="A23" s="21" t="s">
        <v>31</v>
      </c>
      <c r="B23" s="2">
        <f t="shared" si="0"/>
        <v>22</v>
      </c>
      <c r="C23" s="3">
        <f>TOTAL!C23</f>
        <v>1</v>
      </c>
      <c r="D23" s="11">
        <f>TOTAL!D23</f>
        <v>2019</v>
      </c>
      <c r="E23" s="4">
        <f>Hotel!Q28</f>
        <v>530</v>
      </c>
      <c r="F23" s="4">
        <f>Hotel!R28</f>
        <v>8050</v>
      </c>
      <c r="G23" s="4">
        <f>Hotel!S28</f>
        <v>2750</v>
      </c>
      <c r="H23" s="4">
        <f>Hotel!T28</f>
        <v>1360</v>
      </c>
      <c r="I23" s="4">
        <f>Hotel!U28</f>
        <v>6570</v>
      </c>
      <c r="J23" s="4">
        <f>Hotel!V28</f>
        <v>4720</v>
      </c>
      <c r="K23" s="4">
        <f>Hotel!W28</f>
        <v>4050</v>
      </c>
      <c r="L23" s="4">
        <f>Hotel!X28</f>
        <v>5330</v>
      </c>
      <c r="M23" s="4">
        <f>Hotel!Y28</f>
        <v>5990</v>
      </c>
      <c r="N23" s="4">
        <f>Hotel!Z28</f>
        <v>2610</v>
      </c>
      <c r="O23" s="4">
        <f>Hotel!AA28</f>
        <v>3300</v>
      </c>
      <c r="P23" s="4">
        <f>Hotel!AB28</f>
        <v>8190</v>
      </c>
      <c r="Q23" s="4">
        <f>Hotel!AC28</f>
        <v>16310</v>
      </c>
      <c r="R23" s="4">
        <f>Hotel!AU28</f>
        <v>0</v>
      </c>
      <c r="S23" s="4">
        <f>Hotel!BB28</f>
        <v>468.74099999999999</v>
      </c>
      <c r="T23" s="4">
        <f>Hotel!AY28</f>
        <v>0</v>
      </c>
      <c r="U23" s="4">
        <f>Hotel!B28</f>
        <v>131</v>
      </c>
    </row>
    <row r="24" spans="1:21" x14ac:dyDescent="0.25">
      <c r="A24" s="21" t="s">
        <v>31</v>
      </c>
      <c r="B24" s="2">
        <f t="shared" si="0"/>
        <v>23</v>
      </c>
      <c r="C24" s="3">
        <f>TOTAL!C24</f>
        <v>1</v>
      </c>
      <c r="D24" s="11">
        <f>TOTAL!D24</f>
        <v>2019</v>
      </c>
      <c r="E24" s="4">
        <f>Hotel!Q29</f>
        <v>550</v>
      </c>
      <c r="F24" s="4">
        <f>Hotel!R29</f>
        <v>8860</v>
      </c>
      <c r="G24" s="4">
        <f>Hotel!S29</f>
        <v>2630</v>
      </c>
      <c r="H24" s="4">
        <f>Hotel!T29</f>
        <v>1470</v>
      </c>
      <c r="I24" s="4">
        <f>Hotel!U29</f>
        <v>7010</v>
      </c>
      <c r="J24" s="4">
        <f>Hotel!V29</f>
        <v>5120</v>
      </c>
      <c r="K24" s="4">
        <f>Hotel!W29</f>
        <v>4230</v>
      </c>
      <c r="L24" s="4">
        <f>Hotel!X29</f>
        <v>5600</v>
      </c>
      <c r="M24" s="4">
        <f>Hotel!Y29</f>
        <v>6140</v>
      </c>
      <c r="N24" s="4">
        <f>Hotel!Z29</f>
        <v>2860</v>
      </c>
      <c r="O24" s="4">
        <f>Hotel!AA29</f>
        <v>3910</v>
      </c>
      <c r="P24" s="4">
        <f>Hotel!AB29</f>
        <v>9040</v>
      </c>
      <c r="Q24" s="4">
        <f>Hotel!AC29</f>
        <v>17430</v>
      </c>
      <c r="R24" s="4">
        <f>Hotel!AU29</f>
        <v>0</v>
      </c>
      <c r="S24" s="4">
        <f>Hotel!BB29</f>
        <v>485.12100000000004</v>
      </c>
      <c r="T24" s="4">
        <f>Hotel!AY29</f>
        <v>0</v>
      </c>
      <c r="U24" s="4">
        <f>Hotel!B29</f>
        <v>141</v>
      </c>
    </row>
    <row r="25" spans="1:21" x14ac:dyDescent="0.25">
      <c r="A25" s="21" t="s">
        <v>31</v>
      </c>
      <c r="B25" s="2">
        <f t="shared" si="0"/>
        <v>24</v>
      </c>
      <c r="C25" s="3">
        <f>TOTAL!C25</f>
        <v>1</v>
      </c>
      <c r="D25" s="11">
        <f>TOTAL!D25</f>
        <v>2019</v>
      </c>
      <c r="E25" s="4">
        <f>Hotel!Q30</f>
        <v>510</v>
      </c>
      <c r="F25" s="4">
        <f>Hotel!R30</f>
        <v>8890</v>
      </c>
      <c r="G25" s="4">
        <f>Hotel!S30</f>
        <v>120</v>
      </c>
      <c r="H25" s="4">
        <f>Hotel!T30</f>
        <v>1350</v>
      </c>
      <c r="I25" s="4">
        <f>Hotel!U30</f>
        <v>6660</v>
      </c>
      <c r="J25" s="4">
        <f>Hotel!V30</f>
        <v>4620</v>
      </c>
      <c r="K25" s="4">
        <f>Hotel!W30</f>
        <v>3860</v>
      </c>
      <c r="L25" s="4">
        <f>Hotel!X30</f>
        <v>5160</v>
      </c>
      <c r="M25" s="4">
        <f>Hotel!Y30</f>
        <v>5650</v>
      </c>
      <c r="N25" s="4">
        <f>Hotel!Z30</f>
        <v>2810</v>
      </c>
      <c r="O25" s="4">
        <f>Hotel!AA30</f>
        <v>3090</v>
      </c>
      <c r="P25" s="4">
        <f>Hotel!AB30</f>
        <v>7800</v>
      </c>
      <c r="Q25" s="4">
        <f>Hotel!AC30</f>
        <v>15280</v>
      </c>
      <c r="R25" s="4">
        <f>Hotel!AU30</f>
        <v>0</v>
      </c>
      <c r="S25" s="4">
        <f>Hotel!BB30</f>
        <v>426.97199999999998</v>
      </c>
      <c r="T25" s="4">
        <f>Hotel!AY30</f>
        <v>0</v>
      </c>
      <c r="U25" s="4">
        <f>Hotel!B30</f>
        <v>198</v>
      </c>
    </row>
    <row r="26" spans="1:21" x14ac:dyDescent="0.25">
      <c r="A26" s="21" t="s">
        <v>31</v>
      </c>
      <c r="B26" s="2">
        <f>B25+1</f>
        <v>25</v>
      </c>
      <c r="C26" s="3">
        <f>TOTAL!C26</f>
        <v>1</v>
      </c>
      <c r="D26" s="11">
        <f>TOTAL!D26</f>
        <v>2019</v>
      </c>
      <c r="E26" s="4">
        <f>Hotel!Q31</f>
        <v>510</v>
      </c>
      <c r="F26" s="4">
        <f>Hotel!R31</f>
        <v>10000</v>
      </c>
      <c r="G26" s="4">
        <f>Hotel!S31</f>
        <v>3100</v>
      </c>
      <c r="H26" s="4">
        <f>Hotel!T31</f>
        <v>1380</v>
      </c>
      <c r="I26" s="4">
        <f>Hotel!U31</f>
        <v>6660</v>
      </c>
      <c r="J26" s="4">
        <f>Hotel!V31</f>
        <v>4500</v>
      </c>
      <c r="K26" s="4">
        <f>Hotel!W31</f>
        <v>3740</v>
      </c>
      <c r="L26" s="4">
        <f>Hotel!X31</f>
        <v>5150</v>
      </c>
      <c r="M26" s="4">
        <f>Hotel!Y31</f>
        <v>5970</v>
      </c>
      <c r="N26" s="4">
        <f>Hotel!Z31</f>
        <v>2800</v>
      </c>
      <c r="O26" s="4">
        <f>Hotel!AA31</f>
        <v>3680</v>
      </c>
      <c r="P26" s="4">
        <f>Hotel!AB31</f>
        <v>7700</v>
      </c>
      <c r="Q26" s="4">
        <f>Hotel!AC31</f>
        <v>13290</v>
      </c>
      <c r="R26" s="4">
        <f>Hotel!AU31</f>
        <v>0</v>
      </c>
      <c r="S26" s="4">
        <f>Hotel!BB31</f>
        <v>773.13600000000008</v>
      </c>
      <c r="T26" s="4">
        <f>Hotel!AY31</f>
        <v>0</v>
      </c>
      <c r="U26" s="4">
        <f>Hotel!B31</f>
        <v>198</v>
      </c>
    </row>
    <row r="27" spans="1:21" x14ac:dyDescent="0.25">
      <c r="A27" s="21" t="s">
        <v>31</v>
      </c>
      <c r="B27" s="2">
        <f t="shared" si="0"/>
        <v>26</v>
      </c>
      <c r="C27" s="3">
        <f>TOTAL!C27</f>
        <v>1</v>
      </c>
      <c r="D27" s="11">
        <f>TOTAL!D27</f>
        <v>2019</v>
      </c>
      <c r="E27" s="4">
        <f>Hotel!Q32</f>
        <v>530</v>
      </c>
      <c r="F27" s="4">
        <f>Hotel!R32</f>
        <v>10100</v>
      </c>
      <c r="G27" s="4">
        <f>Hotel!S32</f>
        <v>2160</v>
      </c>
      <c r="H27" s="4">
        <f>Hotel!T32</f>
        <v>1430</v>
      </c>
      <c r="I27" s="4">
        <f>Hotel!U32</f>
        <v>6790</v>
      </c>
      <c r="J27" s="4">
        <f>Hotel!V32</f>
        <v>4710</v>
      </c>
      <c r="K27" s="4">
        <f>Hotel!W32</f>
        <v>3660</v>
      </c>
      <c r="L27" s="4">
        <f>Hotel!X32</f>
        <v>5260</v>
      </c>
      <c r="M27" s="4">
        <f>Hotel!Y32</f>
        <v>5880</v>
      </c>
      <c r="N27" s="4">
        <f>Hotel!Z32</f>
        <v>2840</v>
      </c>
      <c r="O27" s="4">
        <f>Hotel!AA32</f>
        <v>3590</v>
      </c>
      <c r="P27" s="4">
        <f>Hotel!AB32</f>
        <v>7600</v>
      </c>
      <c r="Q27" s="4">
        <f>Hotel!AC32</f>
        <v>14130</v>
      </c>
      <c r="R27" s="4">
        <f>Hotel!AU32</f>
        <v>0</v>
      </c>
      <c r="S27" s="4">
        <f>Hotel!BB32</f>
        <v>130.221</v>
      </c>
      <c r="T27" s="4">
        <f>Hotel!AY32</f>
        <v>0</v>
      </c>
      <c r="U27" s="4">
        <f>Hotel!B32</f>
        <v>92</v>
      </c>
    </row>
    <row r="28" spans="1:21" x14ac:dyDescent="0.25">
      <c r="A28" s="21" t="s">
        <v>31</v>
      </c>
      <c r="B28" s="2">
        <f t="shared" si="0"/>
        <v>27</v>
      </c>
      <c r="C28" s="3">
        <f>TOTAL!C28</f>
        <v>1</v>
      </c>
      <c r="D28" s="11">
        <f>TOTAL!D28</f>
        <v>2019</v>
      </c>
      <c r="E28" s="4">
        <f>Hotel!Q33</f>
        <v>530</v>
      </c>
      <c r="F28" s="4">
        <f>Hotel!R33</f>
        <v>9900</v>
      </c>
      <c r="G28" s="4">
        <f>Hotel!S33</f>
        <v>960</v>
      </c>
      <c r="H28" s="4">
        <f>Hotel!T33</f>
        <v>1410</v>
      </c>
      <c r="I28" s="4">
        <f>Hotel!U33</f>
        <v>6180</v>
      </c>
      <c r="J28" s="4">
        <f>Hotel!V33</f>
        <v>4510</v>
      </c>
      <c r="K28" s="4">
        <f>Hotel!W33</f>
        <v>3180</v>
      </c>
      <c r="L28" s="4">
        <f>Hotel!X33</f>
        <v>5040</v>
      </c>
      <c r="M28" s="4">
        <f>Hotel!Y33</f>
        <v>5480</v>
      </c>
      <c r="N28" s="4">
        <f>Hotel!Z33</f>
        <v>2560</v>
      </c>
      <c r="O28" s="4">
        <f>Hotel!AA33</f>
        <v>3320</v>
      </c>
      <c r="P28" s="4">
        <f>Hotel!AB33</f>
        <v>7610</v>
      </c>
      <c r="Q28" s="4">
        <f>Hotel!AC33</f>
        <v>14350</v>
      </c>
      <c r="R28" s="4">
        <f>Hotel!AU33</f>
        <v>0</v>
      </c>
      <c r="S28" s="4">
        <f>Hotel!BB33</f>
        <v>456.72899999999998</v>
      </c>
      <c r="T28" s="4">
        <f>Hotel!AY33</f>
        <v>0</v>
      </c>
      <c r="U28" s="4">
        <f>Hotel!B33</f>
        <v>91</v>
      </c>
    </row>
    <row r="29" spans="1:21" x14ac:dyDescent="0.25">
      <c r="A29" s="21" t="s">
        <v>31</v>
      </c>
      <c r="B29" s="2">
        <f t="shared" si="0"/>
        <v>28</v>
      </c>
      <c r="C29" s="3">
        <f>TOTAL!C29</f>
        <v>1</v>
      </c>
      <c r="D29" s="11">
        <f>TOTAL!D29</f>
        <v>2019</v>
      </c>
      <c r="E29" s="4">
        <f>Hotel!Q34</f>
        <v>510</v>
      </c>
      <c r="F29" s="4">
        <f>Hotel!R34</f>
        <v>9660</v>
      </c>
      <c r="G29" s="4">
        <f>Hotel!S34</f>
        <v>3230</v>
      </c>
      <c r="H29" s="4">
        <f>Hotel!T34</f>
        <v>1380</v>
      </c>
      <c r="I29" s="4">
        <f>Hotel!U34</f>
        <v>6080</v>
      </c>
      <c r="J29" s="4">
        <f>Hotel!V34</f>
        <v>4420</v>
      </c>
      <c r="K29" s="4">
        <f>Hotel!W34</f>
        <v>3380</v>
      </c>
      <c r="L29" s="4">
        <f>Hotel!X34</f>
        <v>4860</v>
      </c>
      <c r="M29" s="4">
        <f>Hotel!Y34</f>
        <v>5480</v>
      </c>
      <c r="N29" s="4">
        <f>Hotel!Z34</f>
        <v>2420</v>
      </c>
      <c r="O29" s="4">
        <f>Hotel!AA34</f>
        <v>3380</v>
      </c>
      <c r="P29" s="4">
        <f>Hotel!AB34</f>
        <v>7350</v>
      </c>
      <c r="Q29" s="4">
        <f>Hotel!AC34</f>
        <v>14910</v>
      </c>
      <c r="R29" s="4">
        <f>Hotel!AU34</f>
        <v>0</v>
      </c>
      <c r="S29" s="4">
        <f>Hotel!BB34</f>
        <v>388.47899999999998</v>
      </c>
      <c r="T29" s="4">
        <f>Hotel!AY34</f>
        <v>0</v>
      </c>
      <c r="U29" s="4">
        <f>Hotel!B34</f>
        <v>144</v>
      </c>
    </row>
    <row r="30" spans="1:21" x14ac:dyDescent="0.25">
      <c r="A30" s="21" t="s">
        <v>31</v>
      </c>
      <c r="B30" s="2">
        <f>B29+1</f>
        <v>29</v>
      </c>
      <c r="C30" s="3">
        <f>TOTAL!C30</f>
        <v>1</v>
      </c>
      <c r="D30" s="11">
        <f>TOTAL!D30</f>
        <v>2019</v>
      </c>
      <c r="E30" s="4">
        <f>Hotel!Q35</f>
        <v>530</v>
      </c>
      <c r="F30" s="4">
        <f>Hotel!R35</f>
        <v>9930</v>
      </c>
      <c r="G30" s="4">
        <f>Hotel!S35</f>
        <v>360</v>
      </c>
      <c r="H30" s="4">
        <f>Hotel!T35</f>
        <v>1430</v>
      </c>
      <c r="I30" s="4">
        <f>Hotel!U35</f>
        <v>6170</v>
      </c>
      <c r="J30" s="4">
        <f>Hotel!V35</f>
        <v>4690</v>
      </c>
      <c r="K30" s="4">
        <f>Hotel!W35</f>
        <v>3320</v>
      </c>
      <c r="L30" s="4">
        <f>Hotel!X35</f>
        <v>4910</v>
      </c>
      <c r="M30" s="4">
        <f>Hotel!Y35</f>
        <v>5680</v>
      </c>
      <c r="N30" s="4">
        <f>Hotel!Z35</f>
        <v>2620</v>
      </c>
      <c r="O30" s="4">
        <f>Hotel!AA35</f>
        <v>3480</v>
      </c>
      <c r="P30" s="4">
        <f>Hotel!AB35</f>
        <v>7710</v>
      </c>
      <c r="Q30" s="4">
        <f>Hotel!AC35</f>
        <v>16010</v>
      </c>
      <c r="R30" s="4">
        <f>Hotel!AU35</f>
        <v>0</v>
      </c>
      <c r="S30" s="4">
        <f>Hotel!BB35</f>
        <v>508.59900000000005</v>
      </c>
      <c r="T30" s="4">
        <f>Hotel!AY35</f>
        <v>0</v>
      </c>
      <c r="U30" s="4">
        <f>Hotel!B35</f>
        <v>173</v>
      </c>
    </row>
    <row r="31" spans="1:21" x14ac:dyDescent="0.25">
      <c r="A31" s="21" t="s">
        <v>31</v>
      </c>
      <c r="B31" s="2">
        <f>B30+1</f>
        <v>30</v>
      </c>
      <c r="C31" s="3">
        <f>TOTAL!C31</f>
        <v>1</v>
      </c>
      <c r="D31" s="11">
        <f>TOTAL!D31</f>
        <v>2019</v>
      </c>
      <c r="E31" s="4">
        <f>Hotel!Q36</f>
        <v>540</v>
      </c>
      <c r="F31" s="4">
        <f>Hotel!R36</f>
        <v>10170</v>
      </c>
      <c r="G31" s="4">
        <f>Hotel!S36</f>
        <v>2800</v>
      </c>
      <c r="H31" s="4">
        <f>Hotel!T36</f>
        <v>1470</v>
      </c>
      <c r="I31" s="4">
        <f>Hotel!U36</f>
        <v>7180</v>
      </c>
      <c r="J31" s="4">
        <f>Hotel!V36</f>
        <v>4800</v>
      </c>
      <c r="K31" s="4">
        <f>Hotel!W36</f>
        <v>3810</v>
      </c>
      <c r="L31" s="4">
        <f>Hotel!X36</f>
        <v>4810</v>
      </c>
      <c r="M31" s="4">
        <f>Hotel!Y36</f>
        <v>6020</v>
      </c>
      <c r="N31" s="4">
        <f>Hotel!Z36</f>
        <v>2930</v>
      </c>
      <c r="O31" s="4">
        <f>Hotel!AA36</f>
        <v>3690</v>
      </c>
      <c r="P31" s="4">
        <f>Hotel!AB36</f>
        <v>7650</v>
      </c>
      <c r="Q31" s="4">
        <f>Hotel!AC36</f>
        <v>16000</v>
      </c>
      <c r="R31" s="4">
        <f>Hotel!AU36</f>
        <v>0</v>
      </c>
      <c r="S31" s="4">
        <f>Hotel!BB36</f>
        <v>487.851</v>
      </c>
      <c r="T31" s="4">
        <f>Hotel!AY36</f>
        <v>0</v>
      </c>
      <c r="U31" s="4">
        <f>Hotel!B36</f>
        <v>230</v>
      </c>
    </row>
    <row r="32" spans="1:21" x14ac:dyDescent="0.25">
      <c r="A32" s="21" t="s">
        <v>31</v>
      </c>
      <c r="B32" s="2">
        <f>B31+1</f>
        <v>31</v>
      </c>
      <c r="C32" s="3">
        <f>TOTAL!C32</f>
        <v>1</v>
      </c>
      <c r="D32" s="11">
        <f>TOTAL!D32</f>
        <v>2019</v>
      </c>
      <c r="E32" s="4">
        <f>Hotel!Q37</f>
        <v>590</v>
      </c>
      <c r="F32" s="4">
        <f>Hotel!R37</f>
        <v>11320</v>
      </c>
      <c r="G32" s="4">
        <f>Hotel!S37</f>
        <v>2590</v>
      </c>
      <c r="H32" s="4">
        <f>Hotel!T37</f>
        <v>1610</v>
      </c>
      <c r="I32" s="4">
        <f>Hotel!U37</f>
        <v>7840</v>
      </c>
      <c r="J32" s="4">
        <f>Hotel!V37</f>
        <v>5280</v>
      </c>
      <c r="K32" s="4">
        <f>Hotel!W37</f>
        <v>4240</v>
      </c>
      <c r="L32" s="4">
        <f>Hotel!X37</f>
        <v>5370</v>
      </c>
      <c r="M32" s="4">
        <f>Hotel!Y37</f>
        <v>6360</v>
      </c>
      <c r="N32" s="4">
        <f>Hotel!Z37</f>
        <v>3090</v>
      </c>
      <c r="O32" s="4">
        <f>Hotel!AA37</f>
        <v>3990</v>
      </c>
      <c r="P32" s="4">
        <f>Hotel!AB37</f>
        <v>8230</v>
      </c>
      <c r="Q32" s="4">
        <f>Hotel!AC37</f>
        <v>15660</v>
      </c>
      <c r="R32" s="4">
        <f>Hotel!AU37</f>
        <v>0</v>
      </c>
      <c r="S32" s="4">
        <f>Hotel!BB37</f>
        <v>557.19299999999998</v>
      </c>
      <c r="T32" s="4">
        <f>Hotel!AY37</f>
        <v>0</v>
      </c>
      <c r="U32" s="4">
        <f>Hotel!B37</f>
        <v>245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C47"/>
  <sheetViews>
    <sheetView tabSelected="1" topLeftCell="A7" zoomScale="93" zoomScaleNormal="93" workbookViewId="0">
      <selection activeCell="C31" sqref="C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59" bestFit="1" customWidth="1"/>
    <col min="47" max="47" width="19.28515625" style="56" customWidth="1"/>
    <col min="48" max="48" width="7.28515625" customWidth="1"/>
    <col min="49" max="51" width="11.85546875" style="50" customWidth="1"/>
    <col min="52" max="52" width="11.85546875" style="45" customWidth="1"/>
    <col min="53" max="54" width="14.7109375" customWidth="1"/>
    <col min="55" max="55" width="10.85546875" customWidth="1"/>
  </cols>
  <sheetData>
    <row r="1" spans="1:55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5" x14ac:dyDescent="0.25">
      <c r="A2" s="23">
        <v>43465</v>
      </c>
      <c r="B2" s="54">
        <v>158</v>
      </c>
      <c r="C2" s="24">
        <v>4190060</v>
      </c>
      <c r="D2" s="24">
        <v>8564710</v>
      </c>
      <c r="E2" s="24">
        <v>865290</v>
      </c>
      <c r="F2" s="24">
        <v>1863770</v>
      </c>
      <c r="G2" s="24">
        <v>6027430</v>
      </c>
      <c r="H2" s="24">
        <v>2255660</v>
      </c>
      <c r="I2" s="24">
        <v>2605260</v>
      </c>
      <c r="J2" s="24">
        <v>2616450</v>
      </c>
      <c r="K2" s="24">
        <v>4904500</v>
      </c>
      <c r="L2" s="24">
        <v>1473010</v>
      </c>
      <c r="M2" s="24">
        <v>5151490</v>
      </c>
      <c r="N2" s="24">
        <v>6147210</v>
      </c>
      <c r="O2" s="24">
        <v>6663690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W2" s="51"/>
      <c r="AX2" s="51"/>
      <c r="AY2" s="51"/>
      <c r="AZ2" s="20">
        <v>870532</v>
      </c>
    </row>
    <row r="4" spans="1:55" ht="20.25" customHeight="1" x14ac:dyDescent="0.25">
      <c r="A4" s="26" t="s">
        <v>22</v>
      </c>
      <c r="B4" s="41" t="s">
        <v>47</v>
      </c>
      <c r="C4" s="27" t="s">
        <v>58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T4" s="70" t="s">
        <v>57</v>
      </c>
      <c r="AU4" s="70" t="s">
        <v>51</v>
      </c>
      <c r="AW4" s="71" t="s">
        <v>53</v>
      </c>
      <c r="AX4" s="71" t="s">
        <v>55</v>
      </c>
      <c r="AY4" s="71" t="s">
        <v>56</v>
      </c>
      <c r="AZ4" s="60" t="s">
        <v>28</v>
      </c>
      <c r="BA4" s="61" t="s">
        <v>29</v>
      </c>
      <c r="BB4" s="61" t="s">
        <v>48</v>
      </c>
      <c r="BC4" s="63" t="s">
        <v>30</v>
      </c>
    </row>
    <row r="5" spans="1:55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70"/>
      <c r="AU5" s="70"/>
      <c r="AW5" s="71"/>
      <c r="AX5" s="71"/>
      <c r="AY5" s="71"/>
      <c r="AZ5" s="60"/>
      <c r="BA5" s="62"/>
      <c r="BB5" s="62"/>
      <c r="BC5" s="63"/>
    </row>
    <row r="6" spans="1:55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W6" s="51"/>
      <c r="AX6" s="51"/>
      <c r="AY6" s="53"/>
      <c r="AZ6" s="20">
        <v>870532</v>
      </c>
    </row>
    <row r="7" spans="1:55" x14ac:dyDescent="0.25">
      <c r="A7" s="23">
        <v>43466</v>
      </c>
      <c r="B7" s="40">
        <v>199</v>
      </c>
      <c r="C7" s="24">
        <v>4190700</v>
      </c>
      <c r="D7" s="24">
        <v>8575940</v>
      </c>
      <c r="E7" s="24">
        <v>865290</v>
      </c>
      <c r="F7" s="24">
        <v>1865430</v>
      </c>
      <c r="G7" s="24">
        <v>6035110</v>
      </c>
      <c r="H7" s="24">
        <v>2261110</v>
      </c>
      <c r="I7" s="24">
        <v>2608810</v>
      </c>
      <c r="J7" s="24">
        <v>2622710</v>
      </c>
      <c r="K7" s="24">
        <v>4913010</v>
      </c>
      <c r="L7" s="24">
        <v>1476520</v>
      </c>
      <c r="M7" s="24">
        <v>5155700</v>
      </c>
      <c r="N7" s="24">
        <v>6156480</v>
      </c>
      <c r="O7" s="24">
        <v>6680020</v>
      </c>
      <c r="Q7" s="37">
        <f t="shared" ref="Q7:AC7" si="0">IF((C7-C2&lt;0), "0",C7-C2)</f>
        <v>640</v>
      </c>
      <c r="R7" s="37">
        <f t="shared" si="0"/>
        <v>11230</v>
      </c>
      <c r="S7" s="37">
        <f t="shared" si="0"/>
        <v>0</v>
      </c>
      <c r="T7" s="37">
        <f t="shared" si="0"/>
        <v>1660</v>
      </c>
      <c r="U7" s="37">
        <f t="shared" si="0"/>
        <v>7680</v>
      </c>
      <c r="V7" s="37">
        <f t="shared" si="0"/>
        <v>5450</v>
      </c>
      <c r="W7" s="37">
        <f t="shared" si="0"/>
        <v>3550</v>
      </c>
      <c r="X7" s="37">
        <f t="shared" si="0"/>
        <v>6260</v>
      </c>
      <c r="Y7" s="37">
        <f t="shared" si="0"/>
        <v>8510</v>
      </c>
      <c r="Z7" s="37">
        <f t="shared" si="0"/>
        <v>3510</v>
      </c>
      <c r="AA7" s="37">
        <f t="shared" si="0"/>
        <v>4210</v>
      </c>
      <c r="AB7" s="37">
        <f t="shared" si="0"/>
        <v>9270</v>
      </c>
      <c r="AC7" s="37">
        <f t="shared" si="0"/>
        <v>16330</v>
      </c>
      <c r="AD7" s="34">
        <f>SUM(Q7:AC7)</f>
        <v>78300</v>
      </c>
      <c r="AF7" s="20">
        <f t="shared" ref="AF7:AF36" si="1">Q7*$D$39</f>
        <v>3.2</v>
      </c>
      <c r="AG7" s="20">
        <f t="shared" ref="AG7:AG36" si="2">R7*$D$39</f>
        <v>56.15</v>
      </c>
      <c r="AH7" s="20">
        <f t="shared" ref="AH7:AH36" si="3">S7*$D$39</f>
        <v>0</v>
      </c>
      <c r="AI7" s="20">
        <f t="shared" ref="AI7:AI36" si="4">T7*$D$39</f>
        <v>8.3000000000000007</v>
      </c>
      <c r="AJ7" s="20">
        <f t="shared" ref="AJ7:AJ36" si="5">U7*$D$39</f>
        <v>38.4</v>
      </c>
      <c r="AK7" s="20">
        <f t="shared" ref="AK7:AK36" si="6">V7*$D$39</f>
        <v>27.25</v>
      </c>
      <c r="AL7" s="20">
        <f t="shared" ref="AL7:AL36" si="7">W7*$D$39</f>
        <v>17.75</v>
      </c>
      <c r="AM7" s="20">
        <f t="shared" ref="AM7:AM36" si="8">X7*$D$39</f>
        <v>31.3</v>
      </c>
      <c r="AN7" s="20">
        <f t="shared" ref="AN7:AN36" si="9">Y7*$D$39</f>
        <v>42.550000000000004</v>
      </c>
      <c r="AO7" s="20">
        <f t="shared" ref="AO7:AO36" si="10">Z7*$D$39</f>
        <v>17.55</v>
      </c>
      <c r="AP7" s="20">
        <f t="shared" ref="AP7:AP36" si="11">AA7*$D$39</f>
        <v>21.05</v>
      </c>
      <c r="AQ7" s="20">
        <f t="shared" ref="AQ7:AQ36" si="12">AB7*$D$39</f>
        <v>46.35</v>
      </c>
      <c r="AR7" s="20">
        <f t="shared" ref="AR7:AR36" si="13">AC7*$D$39</f>
        <v>81.650000000000006</v>
      </c>
      <c r="AS7" s="35">
        <f>SUM(AF7:AR7)</f>
        <v>391.50000000000011</v>
      </c>
      <c r="AT7" s="55"/>
      <c r="AU7" s="57">
        <f>AT7*$AU$43</f>
        <v>0</v>
      </c>
      <c r="AW7" s="52">
        <v>0</v>
      </c>
      <c r="AX7" s="51">
        <f t="shared" ref="AX7:AX39" si="14">(IF((AW7-AW6&lt;0),"0",AW7-AW6))*1000</f>
        <v>0</v>
      </c>
      <c r="AY7" s="53">
        <f t="shared" ref="AY7:AY39" si="15">AX7*$AY$44</f>
        <v>0</v>
      </c>
      <c r="AZ7" s="20">
        <v>872312</v>
      </c>
      <c r="BA7" s="37">
        <f>(IF((AZ7-AZ6&lt;0),"0",AZ7-AZ6))*100</f>
        <v>178000</v>
      </c>
      <c r="BB7" s="37">
        <f>BA7*$BA$44*60%</f>
        <v>485.94000000000005</v>
      </c>
      <c r="BC7" s="49">
        <f>BB7*0.4444</f>
        <v>215.95173600000004</v>
      </c>
    </row>
    <row r="8" spans="1:55" x14ac:dyDescent="0.25">
      <c r="A8" s="23">
        <v>43467</v>
      </c>
      <c r="B8" s="40">
        <v>217</v>
      </c>
      <c r="C8" s="24">
        <v>4191160</v>
      </c>
      <c r="D8" s="24">
        <v>8585060</v>
      </c>
      <c r="E8" s="24">
        <v>865290</v>
      </c>
      <c r="F8" s="24">
        <v>1866640</v>
      </c>
      <c r="G8" s="24">
        <v>6039980</v>
      </c>
      <c r="H8" s="24">
        <v>2265150</v>
      </c>
      <c r="I8" s="24">
        <v>2611700</v>
      </c>
      <c r="J8" s="24">
        <v>2627120</v>
      </c>
      <c r="K8" s="24">
        <v>4918700</v>
      </c>
      <c r="L8" s="24">
        <v>1479080</v>
      </c>
      <c r="M8" s="24">
        <v>5159100</v>
      </c>
      <c r="N8" s="24">
        <v>6163260</v>
      </c>
      <c r="O8" s="24">
        <v>6693100</v>
      </c>
      <c r="Q8" s="37">
        <f>IF((C8-C7&lt;0), "0",C8-C7)</f>
        <v>460</v>
      </c>
      <c r="R8" s="37">
        <f t="shared" ref="R8:AC8" si="16">IF((D8-D7&lt;0), "0",D8-D7)</f>
        <v>9120</v>
      </c>
      <c r="S8" s="37">
        <f t="shared" ref="S8:S35" si="17">IF((E8-E7&lt;0), "0",E8-E7)</f>
        <v>0</v>
      </c>
      <c r="T8" s="37">
        <f t="shared" si="16"/>
        <v>1210</v>
      </c>
      <c r="U8" s="37">
        <f t="shared" si="16"/>
        <v>4870</v>
      </c>
      <c r="V8" s="37">
        <f t="shared" si="16"/>
        <v>4040</v>
      </c>
      <c r="W8" s="37">
        <f t="shared" si="16"/>
        <v>2890</v>
      </c>
      <c r="X8" s="37">
        <f t="shared" si="16"/>
        <v>4410</v>
      </c>
      <c r="Y8" s="37">
        <f t="shared" si="16"/>
        <v>5690</v>
      </c>
      <c r="Z8" s="37">
        <f t="shared" si="16"/>
        <v>2560</v>
      </c>
      <c r="AA8" s="37">
        <f t="shared" si="16"/>
        <v>3400</v>
      </c>
      <c r="AB8" s="37">
        <f t="shared" si="16"/>
        <v>6780</v>
      </c>
      <c r="AC8" s="37">
        <f t="shared" si="16"/>
        <v>13080</v>
      </c>
      <c r="AD8" s="35">
        <f>SUM(Q8:AC8)</f>
        <v>58510</v>
      </c>
      <c r="AF8" s="20">
        <f t="shared" si="1"/>
        <v>2.3000000000000003</v>
      </c>
      <c r="AG8" s="20">
        <f t="shared" si="2"/>
        <v>45.6</v>
      </c>
      <c r="AH8" s="20">
        <f t="shared" si="3"/>
        <v>0</v>
      </c>
      <c r="AI8" s="20">
        <f t="shared" si="4"/>
        <v>6.05</v>
      </c>
      <c r="AJ8" s="20">
        <f t="shared" si="5"/>
        <v>24.35</v>
      </c>
      <c r="AK8" s="20">
        <f t="shared" si="6"/>
        <v>20.2</v>
      </c>
      <c r="AL8" s="20">
        <f t="shared" si="7"/>
        <v>14.450000000000001</v>
      </c>
      <c r="AM8" s="20">
        <f t="shared" si="8"/>
        <v>22.05</v>
      </c>
      <c r="AN8" s="20">
        <f t="shared" si="9"/>
        <v>28.45</v>
      </c>
      <c r="AO8" s="20">
        <f t="shared" si="10"/>
        <v>12.8</v>
      </c>
      <c r="AP8" s="20">
        <f t="shared" si="11"/>
        <v>17</v>
      </c>
      <c r="AQ8" s="20">
        <f t="shared" si="12"/>
        <v>33.9</v>
      </c>
      <c r="AR8" s="20">
        <f t="shared" si="13"/>
        <v>65.400000000000006</v>
      </c>
      <c r="AS8" s="35">
        <f>SUM(AF8:AR8)</f>
        <v>292.55</v>
      </c>
      <c r="AT8" s="55"/>
      <c r="AU8" s="57">
        <f t="shared" ref="AU8:AU37" si="18">AT8*$AU$43</f>
        <v>0</v>
      </c>
      <c r="AW8" s="52">
        <v>0</v>
      </c>
      <c r="AX8" s="51">
        <f t="shared" si="14"/>
        <v>0</v>
      </c>
      <c r="AY8" s="53">
        <f t="shared" si="15"/>
        <v>0</v>
      </c>
      <c r="AZ8" s="20">
        <v>874120</v>
      </c>
      <c r="BA8" s="37">
        <f t="shared" ref="BA8:BA38" si="19">(IF((AZ8-AZ7&lt;0),"0",AZ8-AZ7))*100</f>
        <v>180800</v>
      </c>
      <c r="BB8" s="37">
        <f t="shared" ref="BB8:BB39" si="20">BA8*$BA$44*60%</f>
        <v>493.58399999999995</v>
      </c>
      <c r="BC8" s="49">
        <f t="shared" ref="BC8:BC38" si="21">BB8*0.4444</f>
        <v>219.34872959999998</v>
      </c>
    </row>
    <row r="9" spans="1:55" x14ac:dyDescent="0.25">
      <c r="A9" s="23">
        <v>43468</v>
      </c>
      <c r="B9" s="40">
        <v>256</v>
      </c>
      <c r="C9" s="24">
        <v>4191700</v>
      </c>
      <c r="D9" s="24">
        <v>8596290</v>
      </c>
      <c r="E9" s="24">
        <v>865290</v>
      </c>
      <c r="F9" s="24">
        <v>1868070</v>
      </c>
      <c r="G9" s="24">
        <v>6047990</v>
      </c>
      <c r="H9" s="24">
        <v>2269910</v>
      </c>
      <c r="I9" s="24">
        <v>2614690</v>
      </c>
      <c r="J9" s="24">
        <v>2632370</v>
      </c>
      <c r="K9" s="24">
        <v>4925680</v>
      </c>
      <c r="L9" s="24">
        <v>1482090</v>
      </c>
      <c r="M9" s="24">
        <v>5162830</v>
      </c>
      <c r="N9" s="24">
        <v>6171510</v>
      </c>
      <c r="O9" s="24">
        <v>6711580</v>
      </c>
      <c r="Q9" s="37">
        <f t="shared" ref="Q9:Q30" si="22">IF((C9-C8&lt;0), "0",C9-C8)</f>
        <v>540</v>
      </c>
      <c r="R9" s="37">
        <f t="shared" ref="R9:R37" si="23">IF((D9-D8&lt;0), "0",D9-D8)</f>
        <v>11230</v>
      </c>
      <c r="S9" s="37">
        <f t="shared" si="17"/>
        <v>0</v>
      </c>
      <c r="T9" s="37">
        <f t="shared" ref="T9:T35" si="24">IF((F9-F8&lt;0), "0",F9-F8)</f>
        <v>1430</v>
      </c>
      <c r="U9" s="37">
        <f t="shared" ref="U9:U35" si="25">IF((G9-G8&lt;0), "0",G9-G8)</f>
        <v>8010</v>
      </c>
      <c r="V9" s="37">
        <f t="shared" ref="V9:V35" si="26">IF((H9-H8&lt;0), "0",H9-H8)</f>
        <v>4760</v>
      </c>
      <c r="W9" s="37">
        <f t="shared" ref="W9:W35" si="27">IF((I9-I8&lt;0), "0",I9-I8)</f>
        <v>2990</v>
      </c>
      <c r="X9" s="37">
        <f t="shared" ref="X9:X37" si="28">IF((J9-J8&lt;0), "0",J9-J8)</f>
        <v>5250</v>
      </c>
      <c r="Y9" s="37">
        <f t="shared" ref="Y9:Y35" si="29">IF((K9-K8&lt;0), "0",K9-K8)</f>
        <v>6980</v>
      </c>
      <c r="Z9" s="37">
        <f t="shared" ref="Z9:Z35" si="30">IF((L9-L8&lt;0), "0",L9-L8)</f>
        <v>3010</v>
      </c>
      <c r="AA9" s="37">
        <f t="shared" ref="AA9:AA35" si="31">IF((M9-M8&lt;0), "0",M9-M8)</f>
        <v>3730</v>
      </c>
      <c r="AB9" s="37">
        <f t="shared" ref="AB9:AB37" si="32">IF((N9-N8&lt;0), "0",N9-N8)</f>
        <v>8250</v>
      </c>
      <c r="AC9" s="37">
        <f t="shared" ref="AC9:AC37" si="33">IF((O9-O8&lt;0), "0",O9-O8)</f>
        <v>18480</v>
      </c>
      <c r="AD9" s="35">
        <f t="shared" ref="AD9:AD37" si="34">SUM(Q9:AC9)</f>
        <v>74660</v>
      </c>
      <c r="AF9" s="20">
        <f t="shared" si="1"/>
        <v>2.7</v>
      </c>
      <c r="AG9" s="20">
        <f t="shared" si="2"/>
        <v>56.15</v>
      </c>
      <c r="AH9" s="20">
        <f t="shared" si="3"/>
        <v>0</v>
      </c>
      <c r="AI9" s="20">
        <f t="shared" si="4"/>
        <v>7.15</v>
      </c>
      <c r="AJ9" s="20">
        <f t="shared" si="5"/>
        <v>40.050000000000004</v>
      </c>
      <c r="AK9" s="20">
        <f t="shared" si="6"/>
        <v>23.8</v>
      </c>
      <c r="AL9" s="20">
        <f t="shared" si="7"/>
        <v>14.950000000000001</v>
      </c>
      <c r="AM9" s="20">
        <f t="shared" si="8"/>
        <v>26.25</v>
      </c>
      <c r="AN9" s="20">
        <f t="shared" si="9"/>
        <v>34.9</v>
      </c>
      <c r="AO9" s="20">
        <f t="shared" si="10"/>
        <v>15.05</v>
      </c>
      <c r="AP9" s="20">
        <f t="shared" si="11"/>
        <v>18.650000000000002</v>
      </c>
      <c r="AQ9" s="20">
        <f t="shared" si="12"/>
        <v>41.25</v>
      </c>
      <c r="AR9" s="20">
        <f t="shared" si="13"/>
        <v>92.4</v>
      </c>
      <c r="AS9" s="35">
        <f t="shared" ref="AS9:AS33" si="35">SUM(AF9:AR9)</f>
        <v>373.30000000000007</v>
      </c>
      <c r="AT9" s="55"/>
      <c r="AU9" s="57">
        <f t="shared" si="18"/>
        <v>0</v>
      </c>
      <c r="AW9" s="52">
        <v>0</v>
      </c>
      <c r="AX9" s="51">
        <f t="shared" si="14"/>
        <v>0</v>
      </c>
      <c r="AY9" s="53">
        <f t="shared" si="15"/>
        <v>0</v>
      </c>
      <c r="AZ9" s="20">
        <v>875462</v>
      </c>
      <c r="BA9" s="37">
        <f t="shared" si="19"/>
        <v>134200</v>
      </c>
      <c r="BB9" s="37">
        <f t="shared" si="20"/>
        <v>366.36599999999999</v>
      </c>
      <c r="BC9" s="49">
        <f t="shared" si="21"/>
        <v>162.81305040000001</v>
      </c>
    </row>
    <row r="10" spans="1:55" x14ac:dyDescent="0.25">
      <c r="A10" s="23">
        <v>43469</v>
      </c>
      <c r="B10" s="40">
        <v>207</v>
      </c>
      <c r="C10" s="24">
        <v>4192240</v>
      </c>
      <c r="D10" s="24">
        <v>8606500</v>
      </c>
      <c r="E10" s="24">
        <v>865290</v>
      </c>
      <c r="F10" s="24">
        <v>1869480</v>
      </c>
      <c r="G10" s="24">
        <v>6054770</v>
      </c>
      <c r="H10" s="24">
        <v>2274620</v>
      </c>
      <c r="I10" s="24">
        <v>2617630</v>
      </c>
      <c r="J10" s="24">
        <v>2637520</v>
      </c>
      <c r="K10" s="24">
        <v>4932740</v>
      </c>
      <c r="L10" s="24">
        <v>1485030</v>
      </c>
      <c r="M10" s="24">
        <v>5166690</v>
      </c>
      <c r="N10" s="24">
        <v>6179720</v>
      </c>
      <c r="O10" s="24">
        <v>6727430</v>
      </c>
      <c r="Q10" s="37">
        <f t="shared" si="22"/>
        <v>540</v>
      </c>
      <c r="R10" s="37">
        <f t="shared" si="23"/>
        <v>10210</v>
      </c>
      <c r="S10" s="37">
        <f t="shared" si="17"/>
        <v>0</v>
      </c>
      <c r="T10" s="37">
        <f t="shared" si="24"/>
        <v>1410</v>
      </c>
      <c r="U10" s="37">
        <f t="shared" si="25"/>
        <v>6780</v>
      </c>
      <c r="V10" s="37">
        <f t="shared" si="26"/>
        <v>4710</v>
      </c>
      <c r="W10" s="37">
        <f t="shared" si="27"/>
        <v>2940</v>
      </c>
      <c r="X10" s="37">
        <f t="shared" si="28"/>
        <v>5150</v>
      </c>
      <c r="Y10" s="37">
        <f t="shared" si="29"/>
        <v>7060</v>
      </c>
      <c r="Z10" s="37">
        <f t="shared" si="30"/>
        <v>2940</v>
      </c>
      <c r="AA10" s="37">
        <f t="shared" si="31"/>
        <v>3860</v>
      </c>
      <c r="AB10" s="37">
        <f t="shared" si="32"/>
        <v>8210</v>
      </c>
      <c r="AC10" s="37">
        <f t="shared" si="33"/>
        <v>15850</v>
      </c>
      <c r="AD10" s="35">
        <f t="shared" si="34"/>
        <v>69660</v>
      </c>
      <c r="AF10" s="20">
        <f t="shared" si="1"/>
        <v>2.7</v>
      </c>
      <c r="AG10" s="20">
        <f t="shared" si="2"/>
        <v>51.050000000000004</v>
      </c>
      <c r="AH10" s="20">
        <f t="shared" si="3"/>
        <v>0</v>
      </c>
      <c r="AI10" s="20">
        <f t="shared" si="4"/>
        <v>7.05</v>
      </c>
      <c r="AJ10" s="20">
        <f t="shared" si="5"/>
        <v>33.9</v>
      </c>
      <c r="AK10" s="20">
        <f t="shared" si="6"/>
        <v>23.55</v>
      </c>
      <c r="AL10" s="20">
        <f t="shared" si="7"/>
        <v>14.700000000000001</v>
      </c>
      <c r="AM10" s="20">
        <f t="shared" si="8"/>
        <v>25.75</v>
      </c>
      <c r="AN10" s="20">
        <f t="shared" si="9"/>
        <v>35.300000000000004</v>
      </c>
      <c r="AO10" s="20">
        <f t="shared" si="10"/>
        <v>14.700000000000001</v>
      </c>
      <c r="AP10" s="20">
        <f t="shared" si="11"/>
        <v>19.3</v>
      </c>
      <c r="AQ10" s="20">
        <f t="shared" si="12"/>
        <v>41.050000000000004</v>
      </c>
      <c r="AR10" s="20">
        <f t="shared" si="13"/>
        <v>79.25</v>
      </c>
      <c r="AS10" s="35">
        <f t="shared" si="35"/>
        <v>348.3</v>
      </c>
      <c r="AT10" s="55"/>
      <c r="AU10" s="57">
        <f t="shared" si="18"/>
        <v>0</v>
      </c>
      <c r="AW10" s="52">
        <v>0</v>
      </c>
      <c r="AX10" s="51">
        <f t="shared" si="14"/>
        <v>0</v>
      </c>
      <c r="AY10" s="53">
        <f t="shared" si="15"/>
        <v>0</v>
      </c>
      <c r="AZ10" s="20">
        <v>877100</v>
      </c>
      <c r="BA10" s="37">
        <f t="shared" si="19"/>
        <v>163800</v>
      </c>
      <c r="BB10" s="37">
        <f t="shared" si="20"/>
        <v>447.17400000000004</v>
      </c>
      <c r="BC10" s="49">
        <f t="shared" si="21"/>
        <v>198.72412560000004</v>
      </c>
    </row>
    <row r="11" spans="1:55" x14ac:dyDescent="0.25">
      <c r="A11" s="23">
        <v>43470</v>
      </c>
      <c r="B11" s="40">
        <v>117</v>
      </c>
      <c r="C11" s="24">
        <v>4192790</v>
      </c>
      <c r="D11" s="24">
        <v>8616400</v>
      </c>
      <c r="E11" s="24">
        <v>865290</v>
      </c>
      <c r="F11" s="24">
        <v>1870870</v>
      </c>
      <c r="G11" s="24">
        <v>6061070</v>
      </c>
      <c r="H11" s="24">
        <v>2279200</v>
      </c>
      <c r="I11" s="24">
        <v>2620650</v>
      </c>
      <c r="J11" s="24">
        <v>2642480</v>
      </c>
      <c r="K11" s="24">
        <v>4939430</v>
      </c>
      <c r="L11" s="24">
        <v>1487800</v>
      </c>
      <c r="M11" s="24">
        <v>5170960</v>
      </c>
      <c r="N11" s="24">
        <v>6187870</v>
      </c>
      <c r="O11" s="24">
        <v>6742650</v>
      </c>
      <c r="Q11" s="37">
        <f t="shared" si="22"/>
        <v>550</v>
      </c>
      <c r="R11" s="37">
        <f t="shared" si="23"/>
        <v>9900</v>
      </c>
      <c r="S11" s="37">
        <f t="shared" si="17"/>
        <v>0</v>
      </c>
      <c r="T11" s="37">
        <f t="shared" si="24"/>
        <v>1390</v>
      </c>
      <c r="U11" s="37">
        <f t="shared" si="25"/>
        <v>6300</v>
      </c>
      <c r="V11" s="37">
        <f t="shared" si="26"/>
        <v>4580</v>
      </c>
      <c r="W11" s="37">
        <f t="shared" si="27"/>
        <v>3020</v>
      </c>
      <c r="X11" s="37">
        <f t="shared" si="28"/>
        <v>4960</v>
      </c>
      <c r="Y11" s="37">
        <f t="shared" si="29"/>
        <v>6690</v>
      </c>
      <c r="Z11" s="37">
        <f t="shared" si="30"/>
        <v>2770</v>
      </c>
      <c r="AA11" s="37">
        <f t="shared" si="31"/>
        <v>4270</v>
      </c>
      <c r="AB11" s="37">
        <f t="shared" si="32"/>
        <v>8150</v>
      </c>
      <c r="AC11" s="37">
        <f t="shared" si="33"/>
        <v>15220</v>
      </c>
      <c r="AD11" s="35">
        <f t="shared" si="34"/>
        <v>67800</v>
      </c>
      <c r="AF11" s="20">
        <f t="shared" si="1"/>
        <v>2.75</v>
      </c>
      <c r="AG11" s="20">
        <f t="shared" si="2"/>
        <v>49.5</v>
      </c>
      <c r="AH11" s="20">
        <f t="shared" si="3"/>
        <v>0</v>
      </c>
      <c r="AI11" s="20">
        <f t="shared" si="4"/>
        <v>6.95</v>
      </c>
      <c r="AJ11" s="20">
        <f t="shared" si="5"/>
        <v>31.5</v>
      </c>
      <c r="AK11" s="20">
        <f t="shared" si="6"/>
        <v>22.900000000000002</v>
      </c>
      <c r="AL11" s="20">
        <f t="shared" si="7"/>
        <v>15.1</v>
      </c>
      <c r="AM11" s="20">
        <f t="shared" si="8"/>
        <v>24.8</v>
      </c>
      <c r="AN11" s="20">
        <f t="shared" si="9"/>
        <v>33.450000000000003</v>
      </c>
      <c r="AO11" s="20">
        <f t="shared" si="10"/>
        <v>13.85</v>
      </c>
      <c r="AP11" s="20">
        <f t="shared" si="11"/>
        <v>21.35</v>
      </c>
      <c r="AQ11" s="20">
        <f t="shared" si="12"/>
        <v>40.75</v>
      </c>
      <c r="AR11" s="20">
        <f t="shared" si="13"/>
        <v>76.100000000000009</v>
      </c>
      <c r="AS11" s="35">
        <f t="shared" si="35"/>
        <v>339.00000000000006</v>
      </c>
      <c r="AT11" s="55"/>
      <c r="AU11" s="57">
        <f t="shared" si="18"/>
        <v>0</v>
      </c>
      <c r="AW11" s="52">
        <v>0</v>
      </c>
      <c r="AX11" s="51">
        <f t="shared" si="14"/>
        <v>0</v>
      </c>
      <c r="AY11" s="53">
        <f t="shared" si="15"/>
        <v>0</v>
      </c>
      <c r="AZ11" s="20">
        <v>879303</v>
      </c>
      <c r="BA11" s="37">
        <f t="shared" si="19"/>
        <v>220300</v>
      </c>
      <c r="BB11" s="37">
        <f t="shared" si="20"/>
        <v>601.41899999999998</v>
      </c>
      <c r="BC11" s="49">
        <f t="shared" si="21"/>
        <v>267.27060360000002</v>
      </c>
    </row>
    <row r="12" spans="1:55" x14ac:dyDescent="0.25">
      <c r="A12" s="23">
        <v>43471</v>
      </c>
      <c r="B12" s="40">
        <v>92</v>
      </c>
      <c r="C12" s="24">
        <v>4193330</v>
      </c>
      <c r="D12" s="24">
        <v>8626070</v>
      </c>
      <c r="E12" s="24">
        <v>865290</v>
      </c>
      <c r="F12" s="24">
        <v>1872260</v>
      </c>
      <c r="G12" s="24">
        <v>6067010</v>
      </c>
      <c r="H12" s="24">
        <v>2283100</v>
      </c>
      <c r="I12" s="24">
        <v>2623500</v>
      </c>
      <c r="J12" s="24">
        <v>2647530</v>
      </c>
      <c r="K12" s="24">
        <v>4945710</v>
      </c>
      <c r="L12" s="24">
        <v>1490480</v>
      </c>
      <c r="M12" s="24">
        <v>5173790</v>
      </c>
      <c r="N12" s="24">
        <v>6195670</v>
      </c>
      <c r="O12" s="24">
        <v>6758410</v>
      </c>
      <c r="Q12" s="37">
        <f t="shared" si="22"/>
        <v>540</v>
      </c>
      <c r="R12" s="37">
        <f t="shared" si="23"/>
        <v>9670</v>
      </c>
      <c r="S12" s="37">
        <f t="shared" si="17"/>
        <v>0</v>
      </c>
      <c r="T12" s="37">
        <f t="shared" ref="T12:W14" si="36">IF((F12-F11&lt;0), "0",F12-F11)</f>
        <v>1390</v>
      </c>
      <c r="U12" s="37">
        <f t="shared" si="36"/>
        <v>5940</v>
      </c>
      <c r="V12" s="37">
        <f t="shared" si="36"/>
        <v>3900</v>
      </c>
      <c r="W12" s="37">
        <f t="shared" si="36"/>
        <v>2850</v>
      </c>
      <c r="X12" s="37">
        <f t="shared" si="28"/>
        <v>5050</v>
      </c>
      <c r="Y12" s="37">
        <f t="shared" si="29"/>
        <v>6280</v>
      </c>
      <c r="Z12" s="37">
        <f>IF((L12-L11&lt;0), "0",L12-L11)</f>
        <v>2680</v>
      </c>
      <c r="AA12" s="37">
        <f t="shared" si="31"/>
        <v>2830</v>
      </c>
      <c r="AB12" s="37">
        <f t="shared" si="32"/>
        <v>7800</v>
      </c>
      <c r="AC12" s="37">
        <f t="shared" si="33"/>
        <v>15760</v>
      </c>
      <c r="AD12" s="35">
        <f t="shared" si="34"/>
        <v>64690</v>
      </c>
      <c r="AF12" s="20">
        <f t="shared" si="1"/>
        <v>2.7</v>
      </c>
      <c r="AG12" s="20">
        <f t="shared" si="2"/>
        <v>48.35</v>
      </c>
      <c r="AH12" s="20">
        <f t="shared" si="3"/>
        <v>0</v>
      </c>
      <c r="AI12" s="20">
        <f t="shared" si="4"/>
        <v>6.95</v>
      </c>
      <c r="AJ12" s="20">
        <f t="shared" si="5"/>
        <v>29.7</v>
      </c>
      <c r="AK12" s="20">
        <f t="shared" si="6"/>
        <v>19.5</v>
      </c>
      <c r="AL12" s="20">
        <f t="shared" si="7"/>
        <v>14.25</v>
      </c>
      <c r="AM12" s="20">
        <f t="shared" si="8"/>
        <v>25.25</v>
      </c>
      <c r="AN12" s="20">
        <f t="shared" si="9"/>
        <v>31.400000000000002</v>
      </c>
      <c r="AO12" s="20">
        <f t="shared" si="10"/>
        <v>13.4</v>
      </c>
      <c r="AP12" s="20">
        <f t="shared" si="11"/>
        <v>14.15</v>
      </c>
      <c r="AQ12" s="20">
        <f t="shared" si="12"/>
        <v>39</v>
      </c>
      <c r="AR12" s="20">
        <f t="shared" si="13"/>
        <v>78.8</v>
      </c>
      <c r="AS12" s="35">
        <f t="shared" si="35"/>
        <v>323.45</v>
      </c>
      <c r="AT12" s="55"/>
      <c r="AU12" s="57">
        <f t="shared" si="18"/>
        <v>0</v>
      </c>
      <c r="AW12" s="52">
        <v>0</v>
      </c>
      <c r="AX12" s="51">
        <f t="shared" si="14"/>
        <v>0</v>
      </c>
      <c r="AY12" s="53">
        <f t="shared" si="15"/>
        <v>0</v>
      </c>
      <c r="AZ12" s="20">
        <v>881109</v>
      </c>
      <c r="BA12" s="37">
        <f t="shared" si="19"/>
        <v>180600</v>
      </c>
      <c r="BB12" s="37">
        <f t="shared" si="20"/>
        <v>493.03800000000001</v>
      </c>
      <c r="BC12" s="49">
        <f t="shared" si="21"/>
        <v>219.10608720000002</v>
      </c>
    </row>
    <row r="13" spans="1:55" x14ac:dyDescent="0.25">
      <c r="A13" s="23">
        <v>43472</v>
      </c>
      <c r="B13" s="40">
        <v>105</v>
      </c>
      <c r="C13" s="24">
        <v>4193880</v>
      </c>
      <c r="D13" s="24">
        <v>8635180</v>
      </c>
      <c r="E13" s="24">
        <v>865290</v>
      </c>
      <c r="F13" s="24">
        <v>1873640</v>
      </c>
      <c r="G13" s="24">
        <v>6073100</v>
      </c>
      <c r="H13" s="24">
        <v>2287150</v>
      </c>
      <c r="I13" s="24">
        <v>2626250</v>
      </c>
      <c r="J13" s="24">
        <v>2652500</v>
      </c>
      <c r="K13" s="24">
        <v>4951850</v>
      </c>
      <c r="L13" s="24">
        <v>1493100</v>
      </c>
      <c r="M13" s="24">
        <v>5177110</v>
      </c>
      <c r="N13" s="24">
        <v>6203570</v>
      </c>
      <c r="O13" s="24">
        <v>6774890</v>
      </c>
      <c r="Q13" s="37">
        <f t="shared" si="22"/>
        <v>550</v>
      </c>
      <c r="R13" s="37">
        <f t="shared" si="23"/>
        <v>9110</v>
      </c>
      <c r="S13" s="37">
        <f t="shared" si="17"/>
        <v>0</v>
      </c>
      <c r="T13" s="37">
        <f t="shared" si="36"/>
        <v>1380</v>
      </c>
      <c r="U13" s="37">
        <f t="shared" si="36"/>
        <v>6090</v>
      </c>
      <c r="V13" s="37">
        <f t="shared" si="36"/>
        <v>4050</v>
      </c>
      <c r="W13" s="37">
        <f t="shared" si="36"/>
        <v>2750</v>
      </c>
      <c r="X13" s="37">
        <f t="shared" si="28"/>
        <v>4970</v>
      </c>
      <c r="Y13" s="37">
        <f t="shared" si="29"/>
        <v>6140</v>
      </c>
      <c r="Z13" s="37">
        <f>IF((L13-L12&lt;0), "0",L13-L12)</f>
        <v>2620</v>
      </c>
      <c r="AA13" s="37">
        <f t="shared" si="31"/>
        <v>3320</v>
      </c>
      <c r="AB13" s="37">
        <f t="shared" si="32"/>
        <v>7900</v>
      </c>
      <c r="AC13" s="37">
        <f t="shared" si="33"/>
        <v>16480</v>
      </c>
      <c r="AD13" s="35">
        <f t="shared" si="34"/>
        <v>65360</v>
      </c>
      <c r="AF13" s="20">
        <f t="shared" si="1"/>
        <v>2.75</v>
      </c>
      <c r="AG13" s="20">
        <f t="shared" si="2"/>
        <v>45.550000000000004</v>
      </c>
      <c r="AH13" s="20">
        <f t="shared" si="3"/>
        <v>0</v>
      </c>
      <c r="AI13" s="20">
        <f t="shared" si="4"/>
        <v>6.9</v>
      </c>
      <c r="AJ13" s="20">
        <f t="shared" si="5"/>
        <v>30.45</v>
      </c>
      <c r="AK13" s="20">
        <f t="shared" si="6"/>
        <v>20.25</v>
      </c>
      <c r="AL13" s="20">
        <f t="shared" si="7"/>
        <v>13.75</v>
      </c>
      <c r="AM13" s="20">
        <f t="shared" si="8"/>
        <v>24.85</v>
      </c>
      <c r="AN13" s="20">
        <f t="shared" si="9"/>
        <v>30.7</v>
      </c>
      <c r="AO13" s="20">
        <f t="shared" si="10"/>
        <v>13.1</v>
      </c>
      <c r="AP13" s="20">
        <f t="shared" si="11"/>
        <v>16.600000000000001</v>
      </c>
      <c r="AQ13" s="20">
        <f t="shared" si="12"/>
        <v>39.5</v>
      </c>
      <c r="AR13" s="20">
        <f t="shared" si="13"/>
        <v>82.4</v>
      </c>
      <c r="AS13" s="35">
        <f t="shared" si="35"/>
        <v>326.79999999999995</v>
      </c>
      <c r="AT13" s="55"/>
      <c r="AU13" s="57">
        <f t="shared" si="18"/>
        <v>0</v>
      </c>
      <c r="AW13" s="52">
        <v>0</v>
      </c>
      <c r="AX13" s="51">
        <f t="shared" si="14"/>
        <v>0</v>
      </c>
      <c r="AY13" s="53">
        <f t="shared" si="15"/>
        <v>0</v>
      </c>
      <c r="AZ13" s="20">
        <v>882654</v>
      </c>
      <c r="BA13" s="37">
        <f t="shared" si="19"/>
        <v>154500</v>
      </c>
      <c r="BB13" s="37">
        <f t="shared" si="20"/>
        <v>421.78500000000003</v>
      </c>
      <c r="BC13" s="49">
        <f t="shared" si="21"/>
        <v>187.44125400000001</v>
      </c>
    </row>
    <row r="14" spans="1:55" x14ac:dyDescent="0.25">
      <c r="A14" s="23">
        <v>43473</v>
      </c>
      <c r="B14" s="40">
        <v>144</v>
      </c>
      <c r="C14" s="24">
        <v>4194420</v>
      </c>
      <c r="D14" s="24">
        <v>8643760</v>
      </c>
      <c r="E14" s="24">
        <v>865290</v>
      </c>
      <c r="F14" s="24">
        <v>1875000</v>
      </c>
      <c r="G14" s="24">
        <v>6079260</v>
      </c>
      <c r="H14" s="24">
        <v>2291590</v>
      </c>
      <c r="I14" s="24">
        <v>2629140</v>
      </c>
      <c r="J14" s="24">
        <v>2657480</v>
      </c>
      <c r="K14" s="24">
        <v>4958120</v>
      </c>
      <c r="L14" s="24">
        <v>1495740</v>
      </c>
      <c r="M14" s="24">
        <v>5180630</v>
      </c>
      <c r="N14" s="24">
        <v>6211390</v>
      </c>
      <c r="O14" s="24">
        <v>6790730</v>
      </c>
      <c r="P14" s="48"/>
      <c r="Q14" s="37">
        <f t="shared" si="22"/>
        <v>540</v>
      </c>
      <c r="R14" s="37">
        <f t="shared" si="23"/>
        <v>8580</v>
      </c>
      <c r="S14" s="37">
        <f t="shared" si="17"/>
        <v>0</v>
      </c>
      <c r="T14" s="37">
        <f t="shared" si="36"/>
        <v>1360</v>
      </c>
      <c r="U14" s="37">
        <f t="shared" si="36"/>
        <v>6160</v>
      </c>
      <c r="V14" s="37">
        <f t="shared" si="36"/>
        <v>4440</v>
      </c>
      <c r="W14" s="37">
        <f t="shared" si="36"/>
        <v>2890</v>
      </c>
      <c r="X14" s="37">
        <f t="shared" si="28"/>
        <v>4980</v>
      </c>
      <c r="Y14" s="37">
        <f t="shared" si="29"/>
        <v>6270</v>
      </c>
      <c r="Z14" s="37">
        <f>IF((L14-L13&lt;0), "0",L14-L13)</f>
        <v>2640</v>
      </c>
      <c r="AA14" s="37">
        <f t="shared" si="31"/>
        <v>3520</v>
      </c>
      <c r="AB14" s="37">
        <f t="shared" si="32"/>
        <v>7820</v>
      </c>
      <c r="AC14" s="37">
        <f t="shared" si="33"/>
        <v>15840</v>
      </c>
      <c r="AD14" s="35">
        <f t="shared" si="34"/>
        <v>65040</v>
      </c>
      <c r="AF14" s="20">
        <f t="shared" si="1"/>
        <v>2.7</v>
      </c>
      <c r="AG14" s="20">
        <f t="shared" si="2"/>
        <v>42.9</v>
      </c>
      <c r="AH14" s="20">
        <f t="shared" si="3"/>
        <v>0</v>
      </c>
      <c r="AI14" s="20">
        <f t="shared" si="4"/>
        <v>6.8</v>
      </c>
      <c r="AJ14" s="20">
        <f t="shared" si="5"/>
        <v>30.8</v>
      </c>
      <c r="AK14" s="20">
        <f t="shared" si="6"/>
        <v>22.2</v>
      </c>
      <c r="AL14" s="20">
        <f t="shared" si="7"/>
        <v>14.450000000000001</v>
      </c>
      <c r="AM14" s="20">
        <f t="shared" si="8"/>
        <v>24.900000000000002</v>
      </c>
      <c r="AN14" s="20">
        <f t="shared" si="9"/>
        <v>31.35</v>
      </c>
      <c r="AO14" s="20">
        <f t="shared" si="10"/>
        <v>13.200000000000001</v>
      </c>
      <c r="AP14" s="20">
        <f t="shared" si="11"/>
        <v>17.600000000000001</v>
      </c>
      <c r="AQ14" s="20">
        <f t="shared" si="12"/>
        <v>39.1</v>
      </c>
      <c r="AR14" s="20">
        <f t="shared" si="13"/>
        <v>79.2</v>
      </c>
      <c r="AS14" s="35">
        <f t="shared" si="35"/>
        <v>325.2</v>
      </c>
      <c r="AT14" s="55"/>
      <c r="AU14" s="57">
        <f t="shared" si="18"/>
        <v>0</v>
      </c>
      <c r="AW14" s="52">
        <v>0</v>
      </c>
      <c r="AX14" s="51">
        <f t="shared" si="14"/>
        <v>0</v>
      </c>
      <c r="AY14" s="53">
        <f t="shared" si="15"/>
        <v>0</v>
      </c>
      <c r="AZ14" s="20">
        <v>884495</v>
      </c>
      <c r="BA14" s="37">
        <f t="shared" si="19"/>
        <v>184100</v>
      </c>
      <c r="BB14" s="37">
        <f t="shared" si="20"/>
        <v>502.59300000000002</v>
      </c>
      <c r="BC14" s="49">
        <f t="shared" si="21"/>
        <v>223.35232920000001</v>
      </c>
    </row>
    <row r="15" spans="1:55" x14ac:dyDescent="0.25">
      <c r="A15" s="23">
        <v>43474</v>
      </c>
      <c r="B15" s="40">
        <v>137</v>
      </c>
      <c r="C15" s="24">
        <v>4194980</v>
      </c>
      <c r="D15" s="24">
        <v>8653500</v>
      </c>
      <c r="E15" s="24">
        <v>865290</v>
      </c>
      <c r="F15" s="24">
        <v>1876460</v>
      </c>
      <c r="G15" s="24">
        <v>6085730</v>
      </c>
      <c r="H15" s="24">
        <v>2296120</v>
      </c>
      <c r="I15" s="24">
        <v>2632140</v>
      </c>
      <c r="J15" s="24">
        <v>2662730</v>
      </c>
      <c r="K15" s="24">
        <v>4964650</v>
      </c>
      <c r="L15" s="24">
        <v>1498540</v>
      </c>
      <c r="M15" s="24">
        <v>5184160</v>
      </c>
      <c r="N15" s="24">
        <v>6219720</v>
      </c>
      <c r="O15" s="24">
        <v>6806140</v>
      </c>
      <c r="Q15" s="37">
        <f t="shared" si="22"/>
        <v>560</v>
      </c>
      <c r="R15" s="37">
        <f t="shared" si="23"/>
        <v>9740</v>
      </c>
      <c r="S15" s="37">
        <f t="shared" si="17"/>
        <v>0</v>
      </c>
      <c r="T15" s="37">
        <f t="shared" si="24"/>
        <v>1460</v>
      </c>
      <c r="U15" s="37">
        <f t="shared" si="25"/>
        <v>6470</v>
      </c>
      <c r="V15" s="37">
        <f t="shared" si="26"/>
        <v>4530</v>
      </c>
      <c r="W15" s="37">
        <f t="shared" si="27"/>
        <v>3000</v>
      </c>
      <c r="X15" s="37">
        <f t="shared" si="28"/>
        <v>5250</v>
      </c>
      <c r="Y15" s="37">
        <f t="shared" si="29"/>
        <v>6530</v>
      </c>
      <c r="Z15" s="37">
        <f t="shared" si="30"/>
        <v>2800</v>
      </c>
      <c r="AA15" s="37">
        <f t="shared" si="31"/>
        <v>3530</v>
      </c>
      <c r="AB15" s="37">
        <f t="shared" si="32"/>
        <v>8330</v>
      </c>
      <c r="AC15" s="37">
        <f t="shared" si="33"/>
        <v>15410</v>
      </c>
      <c r="AD15" s="35">
        <f t="shared" si="34"/>
        <v>67610</v>
      </c>
      <c r="AF15" s="20">
        <f t="shared" si="1"/>
        <v>2.8000000000000003</v>
      </c>
      <c r="AG15" s="20">
        <f t="shared" si="2"/>
        <v>48.7</v>
      </c>
      <c r="AH15" s="20">
        <f t="shared" si="3"/>
        <v>0</v>
      </c>
      <c r="AI15" s="20">
        <f t="shared" si="4"/>
        <v>7.3</v>
      </c>
      <c r="AJ15" s="20">
        <f t="shared" si="5"/>
        <v>32.35</v>
      </c>
      <c r="AK15" s="20">
        <f t="shared" si="6"/>
        <v>22.650000000000002</v>
      </c>
      <c r="AL15" s="20">
        <f t="shared" si="7"/>
        <v>15</v>
      </c>
      <c r="AM15" s="20">
        <f t="shared" si="8"/>
        <v>26.25</v>
      </c>
      <c r="AN15" s="20">
        <f t="shared" si="9"/>
        <v>32.65</v>
      </c>
      <c r="AO15" s="20">
        <f t="shared" si="10"/>
        <v>14</v>
      </c>
      <c r="AP15" s="20">
        <f t="shared" si="11"/>
        <v>17.650000000000002</v>
      </c>
      <c r="AQ15" s="20">
        <f t="shared" si="12"/>
        <v>41.65</v>
      </c>
      <c r="AR15" s="20">
        <f t="shared" si="13"/>
        <v>77.05</v>
      </c>
      <c r="AS15" s="35">
        <f t="shared" si="35"/>
        <v>338.05</v>
      </c>
      <c r="AT15" s="55"/>
      <c r="AU15" s="57">
        <f t="shared" si="18"/>
        <v>0</v>
      </c>
      <c r="AW15" s="52">
        <v>0</v>
      </c>
      <c r="AX15" s="51">
        <f t="shared" si="14"/>
        <v>0</v>
      </c>
      <c r="AY15" s="53">
        <f t="shared" si="15"/>
        <v>0</v>
      </c>
      <c r="AZ15" s="20">
        <v>886940</v>
      </c>
      <c r="BA15" s="37">
        <f t="shared" si="19"/>
        <v>244500</v>
      </c>
      <c r="BB15" s="37">
        <f t="shared" si="20"/>
        <v>667.48500000000001</v>
      </c>
      <c r="BC15" s="49">
        <f t="shared" si="21"/>
        <v>296.630334</v>
      </c>
    </row>
    <row r="16" spans="1:55" x14ac:dyDescent="0.25">
      <c r="A16" s="23">
        <v>43475</v>
      </c>
      <c r="B16" s="40">
        <v>171</v>
      </c>
      <c r="C16" s="24">
        <v>4195520</v>
      </c>
      <c r="D16" s="24">
        <v>8662060</v>
      </c>
      <c r="E16" s="24">
        <v>865290</v>
      </c>
      <c r="F16" s="24">
        <v>1877880</v>
      </c>
      <c r="G16" s="24">
        <v>6092120</v>
      </c>
      <c r="H16" s="24">
        <v>2300570</v>
      </c>
      <c r="I16" s="24">
        <v>2635100</v>
      </c>
      <c r="J16" s="24">
        <v>2667790</v>
      </c>
      <c r="K16" s="24">
        <v>4971140</v>
      </c>
      <c r="L16" s="24">
        <v>1501350</v>
      </c>
      <c r="M16" s="24">
        <v>5187690</v>
      </c>
      <c r="N16" s="24">
        <v>6228080</v>
      </c>
      <c r="O16" s="24">
        <v>6824070</v>
      </c>
      <c r="Q16" s="37">
        <f t="shared" si="22"/>
        <v>540</v>
      </c>
      <c r="R16" s="37">
        <f t="shared" si="23"/>
        <v>8560</v>
      </c>
      <c r="S16" s="37">
        <f t="shared" si="17"/>
        <v>0</v>
      </c>
      <c r="T16" s="37">
        <f t="shared" si="24"/>
        <v>1420</v>
      </c>
      <c r="U16" s="37">
        <f>IF((G16-G15&lt;0), "0",G16-G15)</f>
        <v>6390</v>
      </c>
      <c r="V16" s="37">
        <f>IF((H16-H15&lt;0), "0",H16-H15)</f>
        <v>4450</v>
      </c>
      <c r="W16" s="37">
        <f t="shared" si="27"/>
        <v>2960</v>
      </c>
      <c r="X16" s="37">
        <f t="shared" si="28"/>
        <v>5060</v>
      </c>
      <c r="Y16" s="37">
        <f t="shared" si="29"/>
        <v>6490</v>
      </c>
      <c r="Z16" s="37">
        <f t="shared" si="30"/>
        <v>2810</v>
      </c>
      <c r="AA16" s="37">
        <f t="shared" si="31"/>
        <v>3530</v>
      </c>
      <c r="AB16" s="37">
        <f t="shared" si="32"/>
        <v>8360</v>
      </c>
      <c r="AC16" s="37">
        <f t="shared" si="33"/>
        <v>17930</v>
      </c>
      <c r="AD16" s="35">
        <f t="shared" si="34"/>
        <v>68500</v>
      </c>
      <c r="AF16" s="20">
        <f t="shared" si="1"/>
        <v>2.7</v>
      </c>
      <c r="AG16" s="20">
        <f t="shared" si="2"/>
        <v>42.800000000000004</v>
      </c>
      <c r="AH16" s="20">
        <f t="shared" si="3"/>
        <v>0</v>
      </c>
      <c r="AI16" s="20">
        <f t="shared" si="4"/>
        <v>7.1000000000000005</v>
      </c>
      <c r="AJ16" s="20">
        <f t="shared" si="5"/>
        <v>31.95</v>
      </c>
      <c r="AK16" s="20">
        <f t="shared" si="6"/>
        <v>22.25</v>
      </c>
      <c r="AL16" s="20">
        <f t="shared" si="7"/>
        <v>14.8</v>
      </c>
      <c r="AM16" s="20">
        <f t="shared" si="8"/>
        <v>25.3</v>
      </c>
      <c r="AN16" s="20">
        <f t="shared" si="9"/>
        <v>32.450000000000003</v>
      </c>
      <c r="AO16" s="20">
        <f t="shared" si="10"/>
        <v>14.05</v>
      </c>
      <c r="AP16" s="20">
        <f t="shared" si="11"/>
        <v>17.650000000000002</v>
      </c>
      <c r="AQ16" s="20">
        <f t="shared" si="12"/>
        <v>41.800000000000004</v>
      </c>
      <c r="AR16" s="20">
        <f t="shared" si="13"/>
        <v>89.65</v>
      </c>
      <c r="AS16" s="35">
        <f t="shared" si="35"/>
        <v>342.50000000000006</v>
      </c>
      <c r="AT16" s="55"/>
      <c r="AU16" s="57">
        <f t="shared" si="18"/>
        <v>0</v>
      </c>
      <c r="AW16" s="52">
        <v>0</v>
      </c>
      <c r="AX16" s="51">
        <f t="shared" si="14"/>
        <v>0</v>
      </c>
      <c r="AY16" s="53">
        <f t="shared" si="15"/>
        <v>0</v>
      </c>
      <c r="AZ16" s="20">
        <v>887596</v>
      </c>
      <c r="BA16" s="37">
        <f t="shared" si="19"/>
        <v>65600</v>
      </c>
      <c r="BB16" s="37">
        <f t="shared" si="20"/>
        <v>179.08799999999999</v>
      </c>
      <c r="BC16" s="49">
        <f t="shared" si="21"/>
        <v>79.586707200000006</v>
      </c>
    </row>
    <row r="17" spans="1:55" x14ac:dyDescent="0.25">
      <c r="A17" s="23">
        <v>43476</v>
      </c>
      <c r="B17" s="40">
        <v>151</v>
      </c>
      <c r="C17" s="24">
        <v>4195910</v>
      </c>
      <c r="D17" s="24">
        <v>8666020</v>
      </c>
      <c r="E17" s="24">
        <v>865290</v>
      </c>
      <c r="F17" s="24">
        <v>1879880</v>
      </c>
      <c r="G17" s="24">
        <v>6098120</v>
      </c>
      <c r="H17" s="24">
        <v>2304520</v>
      </c>
      <c r="I17" s="24">
        <v>2639100</v>
      </c>
      <c r="J17" s="24">
        <v>2671870</v>
      </c>
      <c r="K17" s="24">
        <v>4979140</v>
      </c>
      <c r="L17" s="24">
        <v>1504520</v>
      </c>
      <c r="M17" s="24">
        <v>5189780</v>
      </c>
      <c r="N17" s="24">
        <v>6238040</v>
      </c>
      <c r="O17" s="24">
        <v>6835180</v>
      </c>
      <c r="Q17" s="37">
        <f t="shared" si="22"/>
        <v>390</v>
      </c>
      <c r="R17" s="37">
        <f t="shared" si="23"/>
        <v>3960</v>
      </c>
      <c r="S17" s="37">
        <f t="shared" si="17"/>
        <v>0</v>
      </c>
      <c r="T17" s="37">
        <f t="shared" si="24"/>
        <v>2000</v>
      </c>
      <c r="U17" s="37">
        <f>IF((G17-G16&lt;0), "0",G17-G16)</f>
        <v>6000</v>
      </c>
      <c r="V17" s="37">
        <f>IF((H17-H16&lt;0), "0",H17-H16)</f>
        <v>3950</v>
      </c>
      <c r="W17" s="37">
        <f t="shared" si="27"/>
        <v>4000</v>
      </c>
      <c r="X17" s="37">
        <f t="shared" si="28"/>
        <v>4080</v>
      </c>
      <c r="Y17" s="37">
        <f t="shared" si="29"/>
        <v>8000</v>
      </c>
      <c r="Z17" s="37">
        <f t="shared" si="30"/>
        <v>3170</v>
      </c>
      <c r="AA17" s="37">
        <f t="shared" si="31"/>
        <v>2090</v>
      </c>
      <c r="AB17" s="37">
        <f t="shared" si="32"/>
        <v>9960</v>
      </c>
      <c r="AC17" s="37">
        <f t="shared" si="33"/>
        <v>11110</v>
      </c>
      <c r="AD17" s="35">
        <f t="shared" si="34"/>
        <v>58710</v>
      </c>
      <c r="AF17" s="20">
        <f t="shared" si="1"/>
        <v>1.95</v>
      </c>
      <c r="AG17" s="20">
        <f t="shared" si="2"/>
        <v>19.8</v>
      </c>
      <c r="AH17" s="20">
        <f t="shared" si="3"/>
        <v>0</v>
      </c>
      <c r="AI17" s="20">
        <f t="shared" si="4"/>
        <v>10</v>
      </c>
      <c r="AJ17" s="20">
        <f t="shared" si="5"/>
        <v>30</v>
      </c>
      <c r="AK17" s="20">
        <f t="shared" si="6"/>
        <v>19.75</v>
      </c>
      <c r="AL17" s="20">
        <f t="shared" si="7"/>
        <v>20</v>
      </c>
      <c r="AM17" s="20">
        <f t="shared" si="8"/>
        <v>20.400000000000002</v>
      </c>
      <c r="AN17" s="20">
        <f t="shared" si="9"/>
        <v>40</v>
      </c>
      <c r="AO17" s="20">
        <f t="shared" si="10"/>
        <v>15.85</v>
      </c>
      <c r="AP17" s="20">
        <f t="shared" si="11"/>
        <v>10.450000000000001</v>
      </c>
      <c r="AQ17" s="20">
        <f t="shared" si="12"/>
        <v>49.800000000000004</v>
      </c>
      <c r="AR17" s="20">
        <f t="shared" si="13"/>
        <v>55.550000000000004</v>
      </c>
      <c r="AS17" s="35">
        <f t="shared" si="35"/>
        <v>293.55</v>
      </c>
      <c r="AT17" s="55"/>
      <c r="AU17" s="57">
        <f t="shared" si="18"/>
        <v>0</v>
      </c>
      <c r="AW17" s="52">
        <v>0</v>
      </c>
      <c r="AX17" s="51">
        <f t="shared" si="14"/>
        <v>0</v>
      </c>
      <c r="AY17" s="53">
        <f t="shared" si="15"/>
        <v>0</v>
      </c>
      <c r="AZ17" s="20">
        <v>889152</v>
      </c>
      <c r="BA17" s="37">
        <f t="shared" si="19"/>
        <v>155600</v>
      </c>
      <c r="BB17" s="37">
        <f t="shared" si="20"/>
        <v>424.78800000000001</v>
      </c>
      <c r="BC17" s="49">
        <f t="shared" si="21"/>
        <v>188.77578720000002</v>
      </c>
    </row>
    <row r="18" spans="1:55" x14ac:dyDescent="0.25">
      <c r="A18" s="23">
        <v>43477</v>
      </c>
      <c r="B18" s="40">
        <v>109</v>
      </c>
      <c r="C18" s="24">
        <v>4196620</v>
      </c>
      <c r="D18" s="24">
        <v>8679270</v>
      </c>
      <c r="E18" s="24">
        <v>865290</v>
      </c>
      <c r="F18" s="24">
        <v>1880680</v>
      </c>
      <c r="G18" s="24">
        <v>6104750</v>
      </c>
      <c r="H18" s="24">
        <v>2309410</v>
      </c>
      <c r="I18" s="24">
        <v>2640920</v>
      </c>
      <c r="J18" s="24">
        <v>2678170</v>
      </c>
      <c r="K18" s="24">
        <v>4984360</v>
      </c>
      <c r="L18" s="24">
        <v>1506750</v>
      </c>
      <c r="M18" s="24">
        <v>5195090</v>
      </c>
      <c r="N18" s="24">
        <v>6245820</v>
      </c>
      <c r="O18" s="24">
        <v>6860600</v>
      </c>
      <c r="Q18" s="37">
        <f t="shared" si="22"/>
        <v>710</v>
      </c>
      <c r="R18" s="37">
        <f t="shared" si="23"/>
        <v>13250</v>
      </c>
      <c r="S18" s="37">
        <f t="shared" si="17"/>
        <v>0</v>
      </c>
      <c r="T18" s="37">
        <f t="shared" si="24"/>
        <v>800</v>
      </c>
      <c r="U18" s="37">
        <f t="shared" si="25"/>
        <v>6630</v>
      </c>
      <c r="V18" s="37">
        <f t="shared" si="26"/>
        <v>4890</v>
      </c>
      <c r="W18" s="37">
        <f t="shared" si="27"/>
        <v>1820</v>
      </c>
      <c r="X18" s="37">
        <f t="shared" si="28"/>
        <v>6300</v>
      </c>
      <c r="Y18" s="37">
        <f t="shared" si="29"/>
        <v>5220</v>
      </c>
      <c r="Z18" s="37">
        <f t="shared" si="30"/>
        <v>2230</v>
      </c>
      <c r="AA18" s="37">
        <f t="shared" si="31"/>
        <v>5310</v>
      </c>
      <c r="AB18" s="37">
        <f t="shared" si="32"/>
        <v>7780</v>
      </c>
      <c r="AC18" s="37">
        <f t="shared" si="33"/>
        <v>25420</v>
      </c>
      <c r="AD18" s="35">
        <f t="shared" si="34"/>
        <v>80360</v>
      </c>
      <c r="AF18" s="20">
        <f t="shared" si="1"/>
        <v>3.5500000000000003</v>
      </c>
      <c r="AG18" s="20">
        <f t="shared" si="2"/>
        <v>66.25</v>
      </c>
      <c r="AH18" s="20">
        <f t="shared" si="3"/>
        <v>0</v>
      </c>
      <c r="AI18" s="20">
        <f t="shared" si="4"/>
        <v>4</v>
      </c>
      <c r="AJ18" s="20">
        <f t="shared" si="5"/>
        <v>33.15</v>
      </c>
      <c r="AK18" s="20">
        <f t="shared" si="6"/>
        <v>24.45</v>
      </c>
      <c r="AL18" s="20">
        <f t="shared" si="7"/>
        <v>9.1</v>
      </c>
      <c r="AM18" s="20">
        <f t="shared" si="8"/>
        <v>31.5</v>
      </c>
      <c r="AN18" s="20">
        <f t="shared" si="9"/>
        <v>26.1</v>
      </c>
      <c r="AO18" s="20">
        <f t="shared" si="10"/>
        <v>11.15</v>
      </c>
      <c r="AP18" s="20">
        <f t="shared" si="11"/>
        <v>26.55</v>
      </c>
      <c r="AQ18" s="20">
        <f t="shared" si="12"/>
        <v>38.9</v>
      </c>
      <c r="AR18" s="20">
        <f t="shared" si="13"/>
        <v>127.10000000000001</v>
      </c>
      <c r="AS18" s="35">
        <f t="shared" si="35"/>
        <v>401.8</v>
      </c>
      <c r="AT18" s="55"/>
      <c r="AU18" s="57">
        <f t="shared" si="18"/>
        <v>0</v>
      </c>
      <c r="AW18" s="52">
        <v>0</v>
      </c>
      <c r="AX18" s="51">
        <f t="shared" si="14"/>
        <v>0</v>
      </c>
      <c r="AY18" s="53">
        <f t="shared" si="15"/>
        <v>0</v>
      </c>
      <c r="AZ18" s="20">
        <v>891000</v>
      </c>
      <c r="BA18" s="37">
        <f t="shared" si="19"/>
        <v>184800</v>
      </c>
      <c r="BB18" s="37">
        <f t="shared" si="20"/>
        <v>504.50400000000002</v>
      </c>
      <c r="BC18" s="49">
        <f t="shared" si="21"/>
        <v>224.20157760000001</v>
      </c>
    </row>
    <row r="19" spans="1:55" x14ac:dyDescent="0.25">
      <c r="A19" s="23">
        <v>43478</v>
      </c>
      <c r="B19" s="40">
        <v>127</v>
      </c>
      <c r="C19" s="24">
        <v>4197160</v>
      </c>
      <c r="D19" s="24">
        <v>8688100</v>
      </c>
      <c r="E19" s="24">
        <v>865290</v>
      </c>
      <c r="F19" s="24">
        <v>1882050</v>
      </c>
      <c r="G19" s="24">
        <v>6110940</v>
      </c>
      <c r="H19" s="24">
        <v>2313770</v>
      </c>
      <c r="I19" s="24">
        <v>2644100</v>
      </c>
      <c r="J19" s="24">
        <v>2682980</v>
      </c>
      <c r="K19" s="24">
        <v>4990750</v>
      </c>
      <c r="L19" s="24">
        <v>1509470</v>
      </c>
      <c r="M19" s="24">
        <v>5198680</v>
      </c>
      <c r="N19" s="24">
        <v>6254570</v>
      </c>
      <c r="O19" s="24">
        <v>6878010</v>
      </c>
      <c r="Q19" s="37">
        <f t="shared" si="22"/>
        <v>540</v>
      </c>
      <c r="R19" s="37">
        <f t="shared" si="23"/>
        <v>8830</v>
      </c>
      <c r="S19" s="37">
        <f t="shared" si="17"/>
        <v>0</v>
      </c>
      <c r="T19" s="37">
        <f t="shared" si="24"/>
        <v>1370</v>
      </c>
      <c r="U19" s="37">
        <f t="shared" si="25"/>
        <v>6190</v>
      </c>
      <c r="V19" s="37">
        <f t="shared" si="26"/>
        <v>4360</v>
      </c>
      <c r="W19" s="37">
        <f t="shared" si="27"/>
        <v>3180</v>
      </c>
      <c r="X19" s="37">
        <f t="shared" si="28"/>
        <v>4810</v>
      </c>
      <c r="Y19" s="37">
        <f t="shared" si="29"/>
        <v>6390</v>
      </c>
      <c r="Z19" s="37">
        <f t="shared" si="30"/>
        <v>2720</v>
      </c>
      <c r="AA19" s="37">
        <f t="shared" si="31"/>
        <v>3590</v>
      </c>
      <c r="AB19" s="37">
        <f t="shared" si="32"/>
        <v>8750</v>
      </c>
      <c r="AC19" s="37">
        <f t="shared" si="33"/>
        <v>17410</v>
      </c>
      <c r="AD19" s="35">
        <f t="shared" si="34"/>
        <v>68140</v>
      </c>
      <c r="AF19" s="20">
        <f t="shared" si="1"/>
        <v>2.7</v>
      </c>
      <c r="AG19" s="20">
        <f t="shared" si="2"/>
        <v>44.15</v>
      </c>
      <c r="AH19" s="20">
        <f t="shared" si="3"/>
        <v>0</v>
      </c>
      <c r="AI19" s="20">
        <f t="shared" si="4"/>
        <v>6.8500000000000005</v>
      </c>
      <c r="AJ19" s="20">
        <f t="shared" si="5"/>
        <v>30.95</v>
      </c>
      <c r="AK19" s="20">
        <f t="shared" si="6"/>
        <v>21.8</v>
      </c>
      <c r="AL19" s="20">
        <f t="shared" si="7"/>
        <v>15.9</v>
      </c>
      <c r="AM19" s="20">
        <f t="shared" si="8"/>
        <v>24.05</v>
      </c>
      <c r="AN19" s="20">
        <f t="shared" si="9"/>
        <v>31.95</v>
      </c>
      <c r="AO19" s="20">
        <f t="shared" si="10"/>
        <v>13.6</v>
      </c>
      <c r="AP19" s="20">
        <f t="shared" si="11"/>
        <v>17.95</v>
      </c>
      <c r="AQ19" s="20">
        <f t="shared" si="12"/>
        <v>43.75</v>
      </c>
      <c r="AR19" s="20">
        <f t="shared" si="13"/>
        <v>87.05</v>
      </c>
      <c r="AS19" s="35">
        <f t="shared" si="35"/>
        <v>340.7</v>
      </c>
      <c r="AT19" s="55"/>
      <c r="AU19" s="57">
        <f t="shared" si="18"/>
        <v>0</v>
      </c>
      <c r="AW19" s="52">
        <v>0</v>
      </c>
      <c r="AX19" s="51">
        <f t="shared" si="14"/>
        <v>0</v>
      </c>
      <c r="AY19" s="53">
        <f t="shared" si="15"/>
        <v>0</v>
      </c>
      <c r="AZ19" s="20">
        <v>892738</v>
      </c>
      <c r="BA19" s="37">
        <f t="shared" si="19"/>
        <v>173800</v>
      </c>
      <c r="BB19" s="37">
        <f t="shared" si="20"/>
        <v>474.47400000000005</v>
      </c>
      <c r="BC19" s="49">
        <f t="shared" si="21"/>
        <v>210.85624560000002</v>
      </c>
    </row>
    <row r="20" spans="1:55" x14ac:dyDescent="0.25">
      <c r="A20" s="23">
        <v>43479</v>
      </c>
      <c r="B20" s="40">
        <v>148</v>
      </c>
      <c r="C20" s="24">
        <v>4197720</v>
      </c>
      <c r="D20" s="24">
        <v>8697610</v>
      </c>
      <c r="E20" s="24">
        <v>865290</v>
      </c>
      <c r="F20" s="24">
        <v>1883460</v>
      </c>
      <c r="G20" s="24">
        <v>6117450</v>
      </c>
      <c r="H20" s="24">
        <v>2318350</v>
      </c>
      <c r="I20" s="24">
        <v>2647960</v>
      </c>
      <c r="J20" s="24">
        <v>2687920</v>
      </c>
      <c r="K20" s="24">
        <v>4997530</v>
      </c>
      <c r="L20" s="24">
        <v>1512210</v>
      </c>
      <c r="M20" s="24">
        <v>5202210</v>
      </c>
      <c r="N20" s="24">
        <v>6262750</v>
      </c>
      <c r="O20" s="24">
        <v>6895730</v>
      </c>
      <c r="Q20" s="37">
        <f t="shared" si="22"/>
        <v>560</v>
      </c>
      <c r="R20" s="37">
        <f t="shared" si="23"/>
        <v>9510</v>
      </c>
      <c r="S20" s="37">
        <f t="shared" si="17"/>
        <v>0</v>
      </c>
      <c r="T20" s="37">
        <f t="shared" si="24"/>
        <v>1410</v>
      </c>
      <c r="U20" s="37">
        <f t="shared" si="25"/>
        <v>6510</v>
      </c>
      <c r="V20" s="37">
        <f t="shared" si="26"/>
        <v>4580</v>
      </c>
      <c r="W20" s="37">
        <f t="shared" si="27"/>
        <v>3860</v>
      </c>
      <c r="X20" s="37">
        <f t="shared" si="28"/>
        <v>4940</v>
      </c>
      <c r="Y20" s="37">
        <f t="shared" si="29"/>
        <v>6780</v>
      </c>
      <c r="Z20" s="37">
        <f t="shared" si="30"/>
        <v>2740</v>
      </c>
      <c r="AA20" s="37">
        <f t="shared" si="31"/>
        <v>3530</v>
      </c>
      <c r="AB20" s="37">
        <f t="shared" si="32"/>
        <v>8180</v>
      </c>
      <c r="AC20" s="37">
        <f t="shared" si="33"/>
        <v>17720</v>
      </c>
      <c r="AD20" s="35">
        <f t="shared" si="34"/>
        <v>70320</v>
      </c>
      <c r="AF20" s="20">
        <f t="shared" si="1"/>
        <v>2.8000000000000003</v>
      </c>
      <c r="AG20" s="20">
        <f t="shared" si="2"/>
        <v>47.550000000000004</v>
      </c>
      <c r="AH20" s="20">
        <f t="shared" si="3"/>
        <v>0</v>
      </c>
      <c r="AI20" s="20">
        <f t="shared" si="4"/>
        <v>7.05</v>
      </c>
      <c r="AJ20" s="20">
        <f t="shared" si="5"/>
        <v>32.549999999999997</v>
      </c>
      <c r="AK20" s="20">
        <f t="shared" si="6"/>
        <v>22.900000000000002</v>
      </c>
      <c r="AL20" s="20">
        <f t="shared" si="7"/>
        <v>19.3</v>
      </c>
      <c r="AM20" s="20">
        <f t="shared" si="8"/>
        <v>24.7</v>
      </c>
      <c r="AN20" s="20">
        <f t="shared" si="9"/>
        <v>33.9</v>
      </c>
      <c r="AO20" s="20">
        <f t="shared" si="10"/>
        <v>13.700000000000001</v>
      </c>
      <c r="AP20" s="20">
        <f t="shared" si="11"/>
        <v>17.650000000000002</v>
      </c>
      <c r="AQ20" s="20">
        <f t="shared" si="12"/>
        <v>40.9</v>
      </c>
      <c r="AR20" s="20">
        <f t="shared" si="13"/>
        <v>88.600000000000009</v>
      </c>
      <c r="AS20" s="35">
        <f t="shared" si="35"/>
        <v>351.6</v>
      </c>
      <c r="AT20" s="55"/>
      <c r="AU20" s="57">
        <f t="shared" si="18"/>
        <v>0</v>
      </c>
      <c r="AW20" s="52">
        <v>0</v>
      </c>
      <c r="AX20" s="51">
        <f t="shared" si="14"/>
        <v>0</v>
      </c>
      <c r="AY20" s="53">
        <f t="shared" si="15"/>
        <v>0</v>
      </c>
      <c r="AZ20" s="20">
        <v>895949</v>
      </c>
      <c r="BA20" s="37">
        <f t="shared" si="19"/>
        <v>321100</v>
      </c>
      <c r="BB20" s="37">
        <f t="shared" si="20"/>
        <v>876.60300000000007</v>
      </c>
      <c r="BC20" s="49">
        <f t="shared" si="21"/>
        <v>389.56237320000002</v>
      </c>
    </row>
    <row r="21" spans="1:55" x14ac:dyDescent="0.25">
      <c r="A21" s="23">
        <v>43480</v>
      </c>
      <c r="B21" s="40">
        <v>126</v>
      </c>
      <c r="C21" s="24">
        <v>4198260</v>
      </c>
      <c r="D21" s="24">
        <v>8706570</v>
      </c>
      <c r="E21" s="24">
        <v>865290</v>
      </c>
      <c r="F21" s="24">
        <v>1884840</v>
      </c>
      <c r="G21" s="24">
        <v>6124000</v>
      </c>
      <c r="H21" s="24">
        <v>2322940</v>
      </c>
      <c r="I21" s="24">
        <v>2651290</v>
      </c>
      <c r="J21" s="24">
        <v>2692650</v>
      </c>
      <c r="K21" s="24">
        <v>5003990</v>
      </c>
      <c r="L21" s="24">
        <v>1514910</v>
      </c>
      <c r="M21" s="24">
        <v>5205460</v>
      </c>
      <c r="N21" s="24">
        <v>6270490</v>
      </c>
      <c r="O21" s="24">
        <v>6911940</v>
      </c>
      <c r="Q21" s="37">
        <f t="shared" si="22"/>
        <v>540</v>
      </c>
      <c r="R21" s="37">
        <f t="shared" si="23"/>
        <v>8960</v>
      </c>
      <c r="S21" s="37">
        <f t="shared" si="17"/>
        <v>0</v>
      </c>
      <c r="T21" s="37">
        <f t="shared" si="24"/>
        <v>1380</v>
      </c>
      <c r="U21" s="37">
        <f t="shared" si="25"/>
        <v>6550</v>
      </c>
      <c r="V21" s="37">
        <f t="shared" si="26"/>
        <v>4590</v>
      </c>
      <c r="W21" s="37">
        <f t="shared" si="27"/>
        <v>3330</v>
      </c>
      <c r="X21" s="37">
        <f t="shared" si="28"/>
        <v>4730</v>
      </c>
      <c r="Y21" s="37">
        <f t="shared" si="29"/>
        <v>6460</v>
      </c>
      <c r="Z21" s="37">
        <f t="shared" si="30"/>
        <v>2700</v>
      </c>
      <c r="AA21" s="37">
        <f t="shared" si="31"/>
        <v>3250</v>
      </c>
      <c r="AB21" s="37">
        <f t="shared" si="32"/>
        <v>7740</v>
      </c>
      <c r="AC21" s="37">
        <f t="shared" si="33"/>
        <v>16210</v>
      </c>
      <c r="AD21" s="35">
        <f t="shared" si="34"/>
        <v>66440</v>
      </c>
      <c r="AF21" s="20">
        <f t="shared" si="1"/>
        <v>2.7</v>
      </c>
      <c r="AG21" s="20">
        <f t="shared" si="2"/>
        <v>44.800000000000004</v>
      </c>
      <c r="AH21" s="20">
        <f t="shared" si="3"/>
        <v>0</v>
      </c>
      <c r="AI21" s="20">
        <f t="shared" si="4"/>
        <v>6.9</v>
      </c>
      <c r="AJ21" s="20">
        <f t="shared" si="5"/>
        <v>32.75</v>
      </c>
      <c r="AK21" s="20">
        <f t="shared" si="6"/>
        <v>22.95</v>
      </c>
      <c r="AL21" s="20">
        <f t="shared" si="7"/>
        <v>16.649999999999999</v>
      </c>
      <c r="AM21" s="20">
        <f t="shared" si="8"/>
        <v>23.650000000000002</v>
      </c>
      <c r="AN21" s="20">
        <f t="shared" si="9"/>
        <v>32.299999999999997</v>
      </c>
      <c r="AO21" s="20">
        <f t="shared" si="10"/>
        <v>13.5</v>
      </c>
      <c r="AP21" s="20">
        <f t="shared" si="11"/>
        <v>16.25</v>
      </c>
      <c r="AQ21" s="20">
        <f t="shared" si="12"/>
        <v>38.700000000000003</v>
      </c>
      <c r="AR21" s="20">
        <f t="shared" si="13"/>
        <v>81.05</v>
      </c>
      <c r="AS21" s="35">
        <f t="shared" si="35"/>
        <v>332.2</v>
      </c>
      <c r="AT21" s="55"/>
      <c r="AU21" s="57">
        <f t="shared" si="18"/>
        <v>0</v>
      </c>
      <c r="AW21" s="52">
        <v>0</v>
      </c>
      <c r="AX21" s="51">
        <f t="shared" si="14"/>
        <v>0</v>
      </c>
      <c r="AY21" s="53">
        <f t="shared" si="15"/>
        <v>0</v>
      </c>
      <c r="AZ21" s="20">
        <v>898120</v>
      </c>
      <c r="BA21" s="37">
        <f t="shared" si="19"/>
        <v>217100</v>
      </c>
      <c r="BB21" s="37">
        <f t="shared" si="20"/>
        <v>592.68299999999999</v>
      </c>
      <c r="BC21" s="49">
        <f t="shared" si="21"/>
        <v>263.3883252</v>
      </c>
    </row>
    <row r="22" spans="1:55" x14ac:dyDescent="0.25">
      <c r="A22" s="23">
        <v>43481</v>
      </c>
      <c r="B22" s="40">
        <v>108</v>
      </c>
      <c r="C22" s="24">
        <v>4198800</v>
      </c>
      <c r="D22" s="24">
        <v>8716490</v>
      </c>
      <c r="E22" s="24">
        <v>865290</v>
      </c>
      <c r="F22" s="24">
        <v>1886230</v>
      </c>
      <c r="G22" s="24">
        <v>6130020</v>
      </c>
      <c r="H22" s="24">
        <v>2327500</v>
      </c>
      <c r="I22" s="24">
        <v>2654060</v>
      </c>
      <c r="J22" s="24">
        <v>2697320</v>
      </c>
      <c r="K22" s="24">
        <v>5010530</v>
      </c>
      <c r="L22" s="24">
        <v>1517570</v>
      </c>
      <c r="M22" s="24">
        <v>5208590</v>
      </c>
      <c r="N22" s="24">
        <v>6278320</v>
      </c>
      <c r="O22" s="24">
        <v>6926030</v>
      </c>
      <c r="Q22" s="37">
        <f t="shared" si="22"/>
        <v>540</v>
      </c>
      <c r="R22" s="37">
        <f t="shared" si="23"/>
        <v>9920</v>
      </c>
      <c r="S22" s="37">
        <f t="shared" si="17"/>
        <v>0</v>
      </c>
      <c r="T22" s="37">
        <f t="shared" si="24"/>
        <v>1390</v>
      </c>
      <c r="U22" s="37">
        <f t="shared" si="25"/>
        <v>6020</v>
      </c>
      <c r="V22" s="37">
        <f t="shared" si="26"/>
        <v>4560</v>
      </c>
      <c r="W22" s="37">
        <f t="shared" si="27"/>
        <v>2770</v>
      </c>
      <c r="X22" s="37">
        <f t="shared" si="28"/>
        <v>4670</v>
      </c>
      <c r="Y22" s="37">
        <f t="shared" si="29"/>
        <v>6540</v>
      </c>
      <c r="Z22" s="37">
        <f t="shared" si="30"/>
        <v>2660</v>
      </c>
      <c r="AA22" s="37">
        <f t="shared" si="31"/>
        <v>3130</v>
      </c>
      <c r="AB22" s="37">
        <f t="shared" si="32"/>
        <v>7830</v>
      </c>
      <c r="AC22" s="37">
        <f t="shared" si="33"/>
        <v>14090</v>
      </c>
      <c r="AD22" s="35">
        <f t="shared" si="34"/>
        <v>64120</v>
      </c>
      <c r="AF22" s="20">
        <f t="shared" si="1"/>
        <v>2.7</v>
      </c>
      <c r="AG22" s="20">
        <f t="shared" si="2"/>
        <v>49.6</v>
      </c>
      <c r="AH22" s="20">
        <f t="shared" si="3"/>
        <v>0</v>
      </c>
      <c r="AI22" s="20">
        <f t="shared" si="4"/>
        <v>6.95</v>
      </c>
      <c r="AJ22" s="20">
        <f t="shared" si="5"/>
        <v>30.1</v>
      </c>
      <c r="AK22" s="20">
        <f t="shared" si="6"/>
        <v>22.8</v>
      </c>
      <c r="AL22" s="20">
        <f t="shared" si="7"/>
        <v>13.85</v>
      </c>
      <c r="AM22" s="20">
        <f t="shared" si="8"/>
        <v>23.35</v>
      </c>
      <c r="AN22" s="20">
        <f t="shared" si="9"/>
        <v>32.700000000000003</v>
      </c>
      <c r="AO22" s="20">
        <f t="shared" si="10"/>
        <v>13.3</v>
      </c>
      <c r="AP22" s="20">
        <f t="shared" si="11"/>
        <v>15.65</v>
      </c>
      <c r="AQ22" s="20">
        <f t="shared" si="12"/>
        <v>39.15</v>
      </c>
      <c r="AR22" s="20">
        <f t="shared" si="13"/>
        <v>70.45</v>
      </c>
      <c r="AS22" s="35">
        <f t="shared" si="35"/>
        <v>320.60000000000002</v>
      </c>
      <c r="AT22" s="55"/>
      <c r="AU22" s="57">
        <f t="shared" si="18"/>
        <v>0</v>
      </c>
      <c r="AW22" s="52">
        <v>0</v>
      </c>
      <c r="AX22" s="51">
        <f t="shared" si="14"/>
        <v>0</v>
      </c>
      <c r="AY22" s="53">
        <f t="shared" si="15"/>
        <v>0</v>
      </c>
      <c r="AZ22" s="20">
        <v>900142</v>
      </c>
      <c r="BA22" s="37">
        <f t="shared" si="19"/>
        <v>202200</v>
      </c>
      <c r="BB22" s="37">
        <f t="shared" si="20"/>
        <v>552.00599999999997</v>
      </c>
      <c r="BC22" s="49">
        <f t="shared" si="21"/>
        <v>245.3114664</v>
      </c>
    </row>
    <row r="23" spans="1:55" x14ac:dyDescent="0.25">
      <c r="A23" s="23">
        <v>43482</v>
      </c>
      <c r="B23" s="40">
        <v>135</v>
      </c>
      <c r="C23" s="24">
        <v>4199350</v>
      </c>
      <c r="D23" s="24">
        <v>8725720</v>
      </c>
      <c r="E23" s="24">
        <v>865300</v>
      </c>
      <c r="F23" s="24">
        <v>1887630</v>
      </c>
      <c r="G23" s="24">
        <v>6136090</v>
      </c>
      <c r="H23" s="24">
        <v>2331890</v>
      </c>
      <c r="I23" s="24">
        <v>2657010</v>
      </c>
      <c r="J23" s="24">
        <v>2702180</v>
      </c>
      <c r="K23" s="24">
        <v>5016130</v>
      </c>
      <c r="L23" s="24">
        <v>1520380</v>
      </c>
      <c r="M23" s="24">
        <v>5211960</v>
      </c>
      <c r="N23" s="24">
        <v>6285690</v>
      </c>
      <c r="O23" s="24">
        <v>6942160</v>
      </c>
      <c r="Q23" s="37">
        <f t="shared" si="22"/>
        <v>550</v>
      </c>
      <c r="R23" s="37">
        <f t="shared" si="23"/>
        <v>9230</v>
      </c>
      <c r="S23" s="37">
        <f t="shared" si="17"/>
        <v>10</v>
      </c>
      <c r="T23" s="37">
        <f t="shared" si="24"/>
        <v>1400</v>
      </c>
      <c r="U23" s="37">
        <f t="shared" si="25"/>
        <v>6070</v>
      </c>
      <c r="V23" s="37">
        <f t="shared" si="26"/>
        <v>4390</v>
      </c>
      <c r="W23" s="37">
        <f t="shared" si="27"/>
        <v>2950</v>
      </c>
      <c r="X23" s="37">
        <f t="shared" si="28"/>
        <v>4860</v>
      </c>
      <c r="Y23" s="37">
        <f t="shared" si="29"/>
        <v>5600</v>
      </c>
      <c r="Z23" s="37">
        <f t="shared" si="30"/>
        <v>2810</v>
      </c>
      <c r="AA23" s="37">
        <f t="shared" si="31"/>
        <v>3370</v>
      </c>
      <c r="AB23" s="37">
        <f t="shared" si="32"/>
        <v>7370</v>
      </c>
      <c r="AC23" s="37">
        <f t="shared" si="33"/>
        <v>16130</v>
      </c>
      <c r="AD23" s="35">
        <f t="shared" si="34"/>
        <v>64740</v>
      </c>
      <c r="AF23" s="20">
        <f t="shared" si="1"/>
        <v>2.75</v>
      </c>
      <c r="AG23" s="20">
        <f t="shared" si="2"/>
        <v>46.15</v>
      </c>
      <c r="AH23" s="20">
        <f t="shared" si="3"/>
        <v>0.05</v>
      </c>
      <c r="AI23" s="20">
        <f t="shared" si="4"/>
        <v>7</v>
      </c>
      <c r="AJ23" s="20">
        <f t="shared" si="5"/>
        <v>30.35</v>
      </c>
      <c r="AK23" s="20">
        <f t="shared" si="6"/>
        <v>21.95</v>
      </c>
      <c r="AL23" s="20">
        <f t="shared" si="7"/>
        <v>14.75</v>
      </c>
      <c r="AM23" s="20">
        <f t="shared" si="8"/>
        <v>24.3</v>
      </c>
      <c r="AN23" s="20">
        <f t="shared" si="9"/>
        <v>28</v>
      </c>
      <c r="AO23" s="20">
        <f t="shared" si="10"/>
        <v>14.05</v>
      </c>
      <c r="AP23" s="20">
        <f t="shared" si="11"/>
        <v>16.850000000000001</v>
      </c>
      <c r="AQ23" s="20">
        <f t="shared" si="12"/>
        <v>36.85</v>
      </c>
      <c r="AR23" s="20">
        <f t="shared" si="13"/>
        <v>80.650000000000006</v>
      </c>
      <c r="AS23" s="35">
        <f t="shared" si="35"/>
        <v>323.70000000000005</v>
      </c>
      <c r="AT23" s="55"/>
      <c r="AU23" s="57">
        <f t="shared" si="18"/>
        <v>0</v>
      </c>
      <c r="AW23" s="52">
        <v>0</v>
      </c>
      <c r="AX23" s="51">
        <f t="shared" si="14"/>
        <v>0</v>
      </c>
      <c r="AY23" s="53">
        <f t="shared" si="15"/>
        <v>0</v>
      </c>
      <c r="AZ23" s="20">
        <v>903673</v>
      </c>
      <c r="BA23" s="37">
        <f t="shared" si="19"/>
        <v>353100</v>
      </c>
      <c r="BB23" s="37">
        <f t="shared" si="20"/>
        <v>963.96299999999997</v>
      </c>
      <c r="BC23" s="49">
        <f t="shared" si="21"/>
        <v>428.38515719999998</v>
      </c>
    </row>
    <row r="24" spans="1:55" x14ac:dyDescent="0.25">
      <c r="A24" s="23">
        <v>43483</v>
      </c>
      <c r="B24" s="40">
        <v>141</v>
      </c>
      <c r="C24" s="24">
        <v>4199900</v>
      </c>
      <c r="D24" s="24">
        <v>8734090</v>
      </c>
      <c r="E24" s="24">
        <v>865310</v>
      </c>
      <c r="F24" s="24">
        <v>1889010</v>
      </c>
      <c r="G24" s="24">
        <v>6142060</v>
      </c>
      <c r="H24" s="24">
        <v>2336510</v>
      </c>
      <c r="I24" s="24">
        <v>2659700</v>
      </c>
      <c r="J24" s="24">
        <v>2707190</v>
      </c>
      <c r="K24" s="24">
        <v>5021460</v>
      </c>
      <c r="L24" s="24">
        <v>1522990</v>
      </c>
      <c r="M24" s="24">
        <v>5215210</v>
      </c>
      <c r="N24" s="24">
        <v>6292990</v>
      </c>
      <c r="O24" s="24">
        <v>6956830</v>
      </c>
      <c r="Q24" s="37">
        <f t="shared" si="22"/>
        <v>550</v>
      </c>
      <c r="R24" s="37">
        <f t="shared" si="23"/>
        <v>8370</v>
      </c>
      <c r="S24" s="37">
        <f t="shared" si="17"/>
        <v>10</v>
      </c>
      <c r="T24" s="37">
        <f t="shared" si="24"/>
        <v>1380</v>
      </c>
      <c r="U24" s="37">
        <f t="shared" si="25"/>
        <v>5970</v>
      </c>
      <c r="V24" s="37">
        <f t="shared" si="26"/>
        <v>4620</v>
      </c>
      <c r="W24" s="37">
        <f t="shared" si="27"/>
        <v>2690</v>
      </c>
      <c r="X24" s="37">
        <f t="shared" si="28"/>
        <v>5010</v>
      </c>
      <c r="Y24" s="37">
        <f t="shared" si="29"/>
        <v>5330</v>
      </c>
      <c r="Z24" s="37">
        <f t="shared" si="30"/>
        <v>2610</v>
      </c>
      <c r="AA24" s="37">
        <f t="shared" si="31"/>
        <v>3250</v>
      </c>
      <c r="AB24" s="37">
        <f t="shared" si="32"/>
        <v>7300</v>
      </c>
      <c r="AC24" s="37">
        <f t="shared" si="33"/>
        <v>14670</v>
      </c>
      <c r="AD24" s="35">
        <f t="shared" si="34"/>
        <v>61760</v>
      </c>
      <c r="AF24" s="20">
        <f t="shared" si="1"/>
        <v>2.75</v>
      </c>
      <c r="AG24" s="20">
        <f t="shared" si="2"/>
        <v>41.85</v>
      </c>
      <c r="AH24" s="20">
        <f t="shared" si="3"/>
        <v>0.05</v>
      </c>
      <c r="AI24" s="20">
        <f t="shared" si="4"/>
        <v>6.9</v>
      </c>
      <c r="AJ24" s="20">
        <f t="shared" si="5"/>
        <v>29.85</v>
      </c>
      <c r="AK24" s="20">
        <f t="shared" si="6"/>
        <v>23.1</v>
      </c>
      <c r="AL24" s="20">
        <f t="shared" si="7"/>
        <v>13.450000000000001</v>
      </c>
      <c r="AM24" s="20">
        <f t="shared" si="8"/>
        <v>25.05</v>
      </c>
      <c r="AN24" s="20">
        <f t="shared" si="9"/>
        <v>26.650000000000002</v>
      </c>
      <c r="AO24" s="20">
        <f t="shared" si="10"/>
        <v>13.05</v>
      </c>
      <c r="AP24" s="20">
        <f t="shared" si="11"/>
        <v>16.25</v>
      </c>
      <c r="AQ24" s="20">
        <f t="shared" si="12"/>
        <v>36.5</v>
      </c>
      <c r="AR24" s="20">
        <f t="shared" si="13"/>
        <v>73.350000000000009</v>
      </c>
      <c r="AS24" s="35">
        <f t="shared" si="35"/>
        <v>308.8</v>
      </c>
      <c r="AT24" s="55"/>
      <c r="AU24" s="57">
        <f t="shared" si="18"/>
        <v>0</v>
      </c>
      <c r="AW24" s="52">
        <v>0</v>
      </c>
      <c r="AX24" s="51">
        <f t="shared" si="14"/>
        <v>0</v>
      </c>
      <c r="AY24" s="53">
        <f t="shared" si="15"/>
        <v>0</v>
      </c>
      <c r="AZ24" s="20">
        <v>905242</v>
      </c>
      <c r="BA24" s="37">
        <f t="shared" si="19"/>
        <v>156900</v>
      </c>
      <c r="BB24" s="37">
        <f t="shared" si="20"/>
        <v>428.33699999999999</v>
      </c>
      <c r="BC24" s="49">
        <f t="shared" si="21"/>
        <v>190.3529628</v>
      </c>
    </row>
    <row r="25" spans="1:55" x14ac:dyDescent="0.25">
      <c r="A25" s="23">
        <v>43484</v>
      </c>
      <c r="B25" s="40">
        <v>94</v>
      </c>
      <c r="C25" s="24">
        <v>4200460</v>
      </c>
      <c r="D25" s="24">
        <v>8742980</v>
      </c>
      <c r="E25" s="24">
        <v>865310</v>
      </c>
      <c r="F25" s="24">
        <v>1890430</v>
      </c>
      <c r="G25" s="24">
        <v>6148260</v>
      </c>
      <c r="H25" s="24">
        <v>2341340</v>
      </c>
      <c r="I25" s="24">
        <v>2662450</v>
      </c>
      <c r="J25" s="24">
        <v>2712350</v>
      </c>
      <c r="K25" s="24">
        <v>5027210</v>
      </c>
      <c r="L25" s="24">
        <v>1525570</v>
      </c>
      <c r="M25" s="24">
        <v>5218650</v>
      </c>
      <c r="N25" s="24">
        <v>6301110</v>
      </c>
      <c r="O25" s="24">
        <v>6973030</v>
      </c>
      <c r="Q25" s="37">
        <f t="shared" ref="Q25:AC27" si="37">IF((C25-C24&lt;0), "0",C25-C24)</f>
        <v>560</v>
      </c>
      <c r="R25" s="37">
        <f t="shared" si="23"/>
        <v>8890</v>
      </c>
      <c r="S25" s="37">
        <f t="shared" si="37"/>
        <v>0</v>
      </c>
      <c r="T25" s="37">
        <f t="shared" si="37"/>
        <v>1420</v>
      </c>
      <c r="U25" s="37">
        <f t="shared" si="37"/>
        <v>6200</v>
      </c>
      <c r="V25" s="37">
        <f t="shared" si="37"/>
        <v>4830</v>
      </c>
      <c r="W25" s="37">
        <f t="shared" si="37"/>
        <v>2750</v>
      </c>
      <c r="X25" s="37">
        <f t="shared" si="37"/>
        <v>5160</v>
      </c>
      <c r="Y25" s="37">
        <f t="shared" si="37"/>
        <v>5750</v>
      </c>
      <c r="Z25" s="37">
        <f t="shared" si="37"/>
        <v>2580</v>
      </c>
      <c r="AA25" s="37">
        <f t="shared" si="37"/>
        <v>3440</v>
      </c>
      <c r="AB25" s="37">
        <f t="shared" si="37"/>
        <v>8120</v>
      </c>
      <c r="AC25" s="37">
        <f t="shared" si="37"/>
        <v>16200</v>
      </c>
      <c r="AD25" s="35">
        <f t="shared" si="34"/>
        <v>65900</v>
      </c>
      <c r="AF25" s="20">
        <f t="shared" si="1"/>
        <v>2.8000000000000003</v>
      </c>
      <c r="AG25" s="20">
        <f t="shared" si="2"/>
        <v>44.45</v>
      </c>
      <c r="AH25" s="20">
        <f t="shared" si="3"/>
        <v>0</v>
      </c>
      <c r="AI25" s="20">
        <f t="shared" si="4"/>
        <v>7.1000000000000005</v>
      </c>
      <c r="AJ25" s="20">
        <f t="shared" si="5"/>
        <v>31</v>
      </c>
      <c r="AK25" s="20">
        <f t="shared" si="6"/>
        <v>24.150000000000002</v>
      </c>
      <c r="AL25" s="20">
        <f t="shared" si="7"/>
        <v>13.75</v>
      </c>
      <c r="AM25" s="20">
        <f t="shared" si="8"/>
        <v>25.8</v>
      </c>
      <c r="AN25" s="20">
        <f t="shared" si="9"/>
        <v>28.75</v>
      </c>
      <c r="AO25" s="20">
        <f t="shared" si="10"/>
        <v>12.9</v>
      </c>
      <c r="AP25" s="20">
        <f t="shared" si="11"/>
        <v>17.2</v>
      </c>
      <c r="AQ25" s="20">
        <f t="shared" si="12"/>
        <v>40.6</v>
      </c>
      <c r="AR25" s="20">
        <f t="shared" si="13"/>
        <v>81</v>
      </c>
      <c r="AS25" s="35">
        <f t="shared" si="35"/>
        <v>329.5</v>
      </c>
      <c r="AT25" s="55"/>
      <c r="AU25" s="57">
        <f t="shared" si="18"/>
        <v>0</v>
      </c>
      <c r="AW25" s="52">
        <v>0</v>
      </c>
      <c r="AX25" s="51">
        <f t="shared" si="14"/>
        <v>0</v>
      </c>
      <c r="AY25" s="53">
        <f t="shared" si="15"/>
        <v>0</v>
      </c>
      <c r="AZ25" s="20">
        <v>907131</v>
      </c>
      <c r="BA25" s="37">
        <f t="shared" si="19"/>
        <v>188900</v>
      </c>
      <c r="BB25" s="37">
        <f t="shared" si="20"/>
        <v>515.697</v>
      </c>
      <c r="BC25" s="49">
        <f t="shared" si="21"/>
        <v>229.17574680000001</v>
      </c>
    </row>
    <row r="26" spans="1:55" x14ac:dyDescent="0.25">
      <c r="A26" s="23">
        <v>43485</v>
      </c>
      <c r="B26" s="40">
        <v>117</v>
      </c>
      <c r="C26" s="24">
        <v>4200990</v>
      </c>
      <c r="D26" s="24">
        <v>8751480</v>
      </c>
      <c r="E26" s="24">
        <v>867130</v>
      </c>
      <c r="F26" s="24">
        <v>1891830</v>
      </c>
      <c r="G26" s="24">
        <v>6154120</v>
      </c>
      <c r="H26" s="24">
        <v>2346070</v>
      </c>
      <c r="I26" s="24">
        <v>2665630</v>
      </c>
      <c r="J26" s="24">
        <v>2717650</v>
      </c>
      <c r="K26" s="24">
        <v>5032860</v>
      </c>
      <c r="L26" s="24">
        <v>1528100</v>
      </c>
      <c r="M26" s="24">
        <v>5222000</v>
      </c>
      <c r="N26" s="24">
        <v>6308750</v>
      </c>
      <c r="O26" s="24">
        <v>6990150</v>
      </c>
      <c r="Q26" s="37">
        <f t="shared" si="37"/>
        <v>530</v>
      </c>
      <c r="R26" s="37">
        <f t="shared" si="23"/>
        <v>8500</v>
      </c>
      <c r="S26" s="37">
        <f t="shared" si="37"/>
        <v>1820</v>
      </c>
      <c r="T26" s="37">
        <f t="shared" si="37"/>
        <v>1400</v>
      </c>
      <c r="U26" s="37">
        <f t="shared" si="37"/>
        <v>5860</v>
      </c>
      <c r="V26" s="37">
        <f t="shared" si="37"/>
        <v>4730</v>
      </c>
      <c r="W26" s="37">
        <f t="shared" si="37"/>
        <v>3180</v>
      </c>
      <c r="X26" s="37">
        <f t="shared" si="37"/>
        <v>5300</v>
      </c>
      <c r="Y26" s="37">
        <f t="shared" si="37"/>
        <v>5650</v>
      </c>
      <c r="Z26" s="37">
        <f t="shared" si="37"/>
        <v>2530</v>
      </c>
      <c r="AA26" s="37">
        <f t="shared" si="37"/>
        <v>3350</v>
      </c>
      <c r="AB26" s="37">
        <f t="shared" si="37"/>
        <v>7640</v>
      </c>
      <c r="AC26" s="37">
        <f t="shared" si="37"/>
        <v>17120</v>
      </c>
      <c r="AD26" s="35">
        <f t="shared" si="34"/>
        <v>67610</v>
      </c>
      <c r="AF26" s="20">
        <f t="shared" si="1"/>
        <v>2.65</v>
      </c>
      <c r="AG26" s="20">
        <f t="shared" si="2"/>
        <v>42.5</v>
      </c>
      <c r="AH26" s="20">
        <f t="shared" si="3"/>
        <v>9.1</v>
      </c>
      <c r="AI26" s="20">
        <f t="shared" si="4"/>
        <v>7</v>
      </c>
      <c r="AJ26" s="20">
        <f t="shared" si="5"/>
        <v>29.3</v>
      </c>
      <c r="AK26" s="20">
        <f t="shared" si="6"/>
        <v>23.650000000000002</v>
      </c>
      <c r="AL26" s="20">
        <f t="shared" si="7"/>
        <v>15.9</v>
      </c>
      <c r="AM26" s="20">
        <f t="shared" si="8"/>
        <v>26.5</v>
      </c>
      <c r="AN26" s="20">
        <f t="shared" si="9"/>
        <v>28.25</v>
      </c>
      <c r="AO26" s="20">
        <f t="shared" si="10"/>
        <v>12.65</v>
      </c>
      <c r="AP26" s="20">
        <f t="shared" si="11"/>
        <v>16.75</v>
      </c>
      <c r="AQ26" s="20">
        <f t="shared" si="12"/>
        <v>38.200000000000003</v>
      </c>
      <c r="AR26" s="20">
        <f t="shared" si="13"/>
        <v>85.600000000000009</v>
      </c>
      <c r="AS26" s="35">
        <f t="shared" si="35"/>
        <v>338.05</v>
      </c>
      <c r="AT26" s="55"/>
      <c r="AU26" s="57">
        <f t="shared" si="18"/>
        <v>0</v>
      </c>
      <c r="AW26" s="52">
        <v>0</v>
      </c>
      <c r="AX26" s="51">
        <f t="shared" si="14"/>
        <v>0</v>
      </c>
      <c r="AY26" s="53">
        <f t="shared" si="15"/>
        <v>0</v>
      </c>
      <c r="AZ26" s="20">
        <v>908705</v>
      </c>
      <c r="BA26" s="37">
        <f t="shared" si="19"/>
        <v>157400</v>
      </c>
      <c r="BB26" s="37">
        <f t="shared" si="20"/>
        <v>429.70200000000006</v>
      </c>
      <c r="BC26" s="49">
        <f t="shared" si="21"/>
        <v>190.95956880000003</v>
      </c>
    </row>
    <row r="27" spans="1:55" x14ac:dyDescent="0.25">
      <c r="A27" s="23">
        <v>43486</v>
      </c>
      <c r="B27" s="40">
        <v>112</v>
      </c>
      <c r="C27" s="24">
        <v>4201520</v>
      </c>
      <c r="D27" s="24">
        <v>8760010</v>
      </c>
      <c r="E27" s="24">
        <v>868200</v>
      </c>
      <c r="F27" s="24">
        <v>1893250</v>
      </c>
      <c r="G27" s="24">
        <v>6160690</v>
      </c>
      <c r="H27" s="24">
        <v>2350890</v>
      </c>
      <c r="I27" s="24">
        <v>2669360</v>
      </c>
      <c r="J27" s="24">
        <v>2722760</v>
      </c>
      <c r="K27" s="24">
        <v>5038550</v>
      </c>
      <c r="L27" s="24">
        <v>1530760</v>
      </c>
      <c r="M27" s="24">
        <v>5225490</v>
      </c>
      <c r="N27" s="24">
        <v>6316710</v>
      </c>
      <c r="O27" s="24">
        <v>7006590</v>
      </c>
      <c r="Q27" s="37">
        <f t="shared" si="37"/>
        <v>530</v>
      </c>
      <c r="R27" s="37">
        <f t="shared" si="23"/>
        <v>8530</v>
      </c>
      <c r="S27" s="37">
        <f t="shared" si="37"/>
        <v>1070</v>
      </c>
      <c r="T27" s="37">
        <f t="shared" si="37"/>
        <v>1420</v>
      </c>
      <c r="U27" s="37">
        <f t="shared" si="37"/>
        <v>6570</v>
      </c>
      <c r="V27" s="37">
        <f t="shared" si="37"/>
        <v>4820</v>
      </c>
      <c r="W27" s="37">
        <f t="shared" si="37"/>
        <v>3730</v>
      </c>
      <c r="X27" s="37">
        <f t="shared" si="37"/>
        <v>5110</v>
      </c>
      <c r="Y27" s="37">
        <f t="shared" si="37"/>
        <v>5690</v>
      </c>
      <c r="Z27" s="37">
        <f t="shared" si="37"/>
        <v>2660</v>
      </c>
      <c r="AA27" s="37">
        <f t="shared" si="37"/>
        <v>3490</v>
      </c>
      <c r="AB27" s="37">
        <f t="shared" si="37"/>
        <v>7960</v>
      </c>
      <c r="AC27" s="37">
        <f t="shared" si="37"/>
        <v>16440</v>
      </c>
      <c r="AD27" s="35">
        <f t="shared" si="34"/>
        <v>68020</v>
      </c>
      <c r="AF27" s="20">
        <f t="shared" si="1"/>
        <v>2.65</v>
      </c>
      <c r="AG27" s="20">
        <f t="shared" si="2"/>
        <v>42.65</v>
      </c>
      <c r="AH27" s="20">
        <f t="shared" si="3"/>
        <v>5.3500000000000005</v>
      </c>
      <c r="AI27" s="20">
        <f t="shared" si="4"/>
        <v>7.1000000000000005</v>
      </c>
      <c r="AJ27" s="20">
        <f t="shared" si="5"/>
        <v>32.85</v>
      </c>
      <c r="AK27" s="20">
        <f t="shared" si="6"/>
        <v>24.1</v>
      </c>
      <c r="AL27" s="20">
        <f t="shared" si="7"/>
        <v>18.650000000000002</v>
      </c>
      <c r="AM27" s="20">
        <f t="shared" si="8"/>
        <v>25.55</v>
      </c>
      <c r="AN27" s="20">
        <f t="shared" si="9"/>
        <v>28.45</v>
      </c>
      <c r="AO27" s="20">
        <f t="shared" si="10"/>
        <v>13.3</v>
      </c>
      <c r="AP27" s="20">
        <f t="shared" si="11"/>
        <v>17.45</v>
      </c>
      <c r="AQ27" s="20">
        <f t="shared" si="12"/>
        <v>39.800000000000004</v>
      </c>
      <c r="AR27" s="20">
        <f t="shared" si="13"/>
        <v>82.2</v>
      </c>
      <c r="AS27" s="35">
        <f t="shared" si="35"/>
        <v>340.09999999999997</v>
      </c>
      <c r="AT27" s="55"/>
      <c r="AU27" s="57">
        <f t="shared" si="18"/>
        <v>0</v>
      </c>
      <c r="AW27" s="52">
        <v>0</v>
      </c>
      <c r="AX27" s="51">
        <f t="shared" si="14"/>
        <v>0</v>
      </c>
      <c r="AY27" s="53">
        <f t="shared" si="15"/>
        <v>0</v>
      </c>
      <c r="AZ27" s="20">
        <v>910270</v>
      </c>
      <c r="BA27" s="37">
        <f t="shared" si="19"/>
        <v>156500</v>
      </c>
      <c r="BB27" s="37">
        <f t="shared" si="20"/>
        <v>427.245</v>
      </c>
      <c r="BC27" s="49">
        <f t="shared" si="21"/>
        <v>189.86767800000001</v>
      </c>
    </row>
    <row r="28" spans="1:55" x14ac:dyDescent="0.25">
      <c r="A28" s="23">
        <v>43487</v>
      </c>
      <c r="B28" s="40">
        <v>131</v>
      </c>
      <c r="C28" s="24">
        <v>4202050</v>
      </c>
      <c r="D28" s="24">
        <v>8768060</v>
      </c>
      <c r="E28" s="24">
        <v>870950</v>
      </c>
      <c r="F28" s="24">
        <v>1894610</v>
      </c>
      <c r="G28" s="24">
        <v>6167260</v>
      </c>
      <c r="H28" s="24">
        <v>2355610</v>
      </c>
      <c r="I28" s="24">
        <v>2673410</v>
      </c>
      <c r="J28" s="24">
        <v>2728090</v>
      </c>
      <c r="K28" s="24">
        <v>5044540</v>
      </c>
      <c r="L28" s="24">
        <v>1533370</v>
      </c>
      <c r="M28" s="24">
        <v>5228790</v>
      </c>
      <c r="N28" s="24">
        <v>6324900</v>
      </c>
      <c r="O28" s="24">
        <v>7022900</v>
      </c>
      <c r="Q28" s="37">
        <f t="shared" si="22"/>
        <v>530</v>
      </c>
      <c r="R28" s="37">
        <f t="shared" si="23"/>
        <v>8050</v>
      </c>
      <c r="S28" s="37">
        <f t="shared" si="17"/>
        <v>2750</v>
      </c>
      <c r="T28" s="37">
        <f t="shared" si="24"/>
        <v>1360</v>
      </c>
      <c r="U28" s="37">
        <f t="shared" si="25"/>
        <v>6570</v>
      </c>
      <c r="V28" s="37">
        <f t="shared" si="26"/>
        <v>4720</v>
      </c>
      <c r="W28" s="37">
        <f t="shared" si="27"/>
        <v>4050</v>
      </c>
      <c r="X28" s="37">
        <f t="shared" si="28"/>
        <v>5330</v>
      </c>
      <c r="Y28" s="37">
        <f t="shared" si="29"/>
        <v>5990</v>
      </c>
      <c r="Z28" s="37">
        <f t="shared" si="30"/>
        <v>2610</v>
      </c>
      <c r="AA28" s="37">
        <f t="shared" si="31"/>
        <v>3300</v>
      </c>
      <c r="AB28" s="37">
        <f t="shared" si="32"/>
        <v>8190</v>
      </c>
      <c r="AC28" s="37">
        <f t="shared" si="33"/>
        <v>16310</v>
      </c>
      <c r="AD28" s="35">
        <f t="shared" si="34"/>
        <v>69760</v>
      </c>
      <c r="AF28" s="20">
        <f t="shared" si="1"/>
        <v>2.65</v>
      </c>
      <c r="AG28" s="20">
        <f t="shared" si="2"/>
        <v>40.25</v>
      </c>
      <c r="AH28" s="20">
        <f t="shared" si="3"/>
        <v>13.75</v>
      </c>
      <c r="AI28" s="20">
        <f t="shared" si="4"/>
        <v>6.8</v>
      </c>
      <c r="AJ28" s="20">
        <f t="shared" si="5"/>
        <v>32.85</v>
      </c>
      <c r="AK28" s="20">
        <f t="shared" si="6"/>
        <v>23.6</v>
      </c>
      <c r="AL28" s="20">
        <f t="shared" si="7"/>
        <v>20.25</v>
      </c>
      <c r="AM28" s="20">
        <f t="shared" si="8"/>
        <v>26.650000000000002</v>
      </c>
      <c r="AN28" s="20">
        <f t="shared" si="9"/>
        <v>29.95</v>
      </c>
      <c r="AO28" s="20">
        <f t="shared" si="10"/>
        <v>13.05</v>
      </c>
      <c r="AP28" s="20">
        <f t="shared" si="11"/>
        <v>16.5</v>
      </c>
      <c r="AQ28" s="20">
        <f t="shared" si="12"/>
        <v>40.950000000000003</v>
      </c>
      <c r="AR28" s="20">
        <f t="shared" si="13"/>
        <v>81.55</v>
      </c>
      <c r="AS28" s="35">
        <f t="shared" si="35"/>
        <v>348.8</v>
      </c>
      <c r="AT28" s="55"/>
      <c r="AU28" s="57">
        <f t="shared" si="18"/>
        <v>0</v>
      </c>
      <c r="AW28" s="52">
        <v>0</v>
      </c>
      <c r="AX28" s="51">
        <f t="shared" si="14"/>
        <v>0</v>
      </c>
      <c r="AY28" s="53">
        <f t="shared" si="15"/>
        <v>0</v>
      </c>
      <c r="AZ28" s="20">
        <v>911987</v>
      </c>
      <c r="BA28" s="37">
        <f t="shared" si="19"/>
        <v>171700</v>
      </c>
      <c r="BB28" s="37">
        <f t="shared" si="20"/>
        <v>468.74099999999999</v>
      </c>
      <c r="BC28" s="49">
        <f t="shared" si="21"/>
        <v>208.30850040000001</v>
      </c>
    </row>
    <row r="29" spans="1:55" x14ac:dyDescent="0.25">
      <c r="A29" s="23">
        <v>43488</v>
      </c>
      <c r="B29" s="40">
        <v>141</v>
      </c>
      <c r="C29" s="24">
        <v>4202600</v>
      </c>
      <c r="D29" s="24">
        <v>8776920</v>
      </c>
      <c r="E29" s="24">
        <v>873580</v>
      </c>
      <c r="F29" s="24">
        <v>1896080</v>
      </c>
      <c r="G29" s="24">
        <v>6174270</v>
      </c>
      <c r="H29" s="24">
        <v>2360730</v>
      </c>
      <c r="I29" s="24">
        <v>2677640</v>
      </c>
      <c r="J29" s="24">
        <v>2733690</v>
      </c>
      <c r="K29" s="24">
        <v>5050680</v>
      </c>
      <c r="L29" s="24">
        <v>1536230</v>
      </c>
      <c r="M29" s="24">
        <v>5232700</v>
      </c>
      <c r="N29" s="24">
        <v>6333940</v>
      </c>
      <c r="O29" s="24">
        <v>7040330</v>
      </c>
      <c r="Q29" s="37">
        <f t="shared" si="22"/>
        <v>550</v>
      </c>
      <c r="R29" s="37">
        <f t="shared" si="23"/>
        <v>8860</v>
      </c>
      <c r="S29" s="37">
        <f t="shared" si="17"/>
        <v>2630</v>
      </c>
      <c r="T29" s="37">
        <f t="shared" si="24"/>
        <v>1470</v>
      </c>
      <c r="U29" s="37">
        <f t="shared" si="25"/>
        <v>7010</v>
      </c>
      <c r="V29" s="37">
        <f t="shared" si="26"/>
        <v>5120</v>
      </c>
      <c r="W29" s="37">
        <f t="shared" si="27"/>
        <v>4230</v>
      </c>
      <c r="X29" s="37">
        <f t="shared" si="28"/>
        <v>5600</v>
      </c>
      <c r="Y29" s="37">
        <f t="shared" si="29"/>
        <v>6140</v>
      </c>
      <c r="Z29" s="37">
        <f t="shared" si="30"/>
        <v>2860</v>
      </c>
      <c r="AA29" s="37">
        <f t="shared" si="31"/>
        <v>3910</v>
      </c>
      <c r="AB29" s="37">
        <f t="shared" si="32"/>
        <v>9040</v>
      </c>
      <c r="AC29" s="37">
        <f t="shared" si="33"/>
        <v>17430</v>
      </c>
      <c r="AD29" s="35">
        <f t="shared" si="34"/>
        <v>74850</v>
      </c>
      <c r="AF29" s="20">
        <f t="shared" si="1"/>
        <v>2.75</v>
      </c>
      <c r="AG29" s="20">
        <f t="shared" si="2"/>
        <v>44.300000000000004</v>
      </c>
      <c r="AH29" s="20">
        <f t="shared" si="3"/>
        <v>13.15</v>
      </c>
      <c r="AI29" s="20">
        <f t="shared" si="4"/>
        <v>7.3500000000000005</v>
      </c>
      <c r="AJ29" s="20">
        <f t="shared" si="5"/>
        <v>35.050000000000004</v>
      </c>
      <c r="AK29" s="20">
        <f t="shared" si="6"/>
        <v>25.6</v>
      </c>
      <c r="AL29" s="20">
        <f t="shared" si="7"/>
        <v>21.150000000000002</v>
      </c>
      <c r="AM29" s="20">
        <f t="shared" si="8"/>
        <v>28</v>
      </c>
      <c r="AN29" s="20">
        <f t="shared" si="9"/>
        <v>30.7</v>
      </c>
      <c r="AO29" s="20">
        <f t="shared" si="10"/>
        <v>14.3</v>
      </c>
      <c r="AP29" s="20">
        <f t="shared" si="11"/>
        <v>19.55</v>
      </c>
      <c r="AQ29" s="20">
        <f t="shared" si="12"/>
        <v>45.2</v>
      </c>
      <c r="AR29" s="20">
        <f t="shared" si="13"/>
        <v>87.15</v>
      </c>
      <c r="AS29" s="35">
        <f t="shared" si="35"/>
        <v>374.25</v>
      </c>
      <c r="AT29" s="55"/>
      <c r="AU29" s="57">
        <f t="shared" si="18"/>
        <v>0</v>
      </c>
      <c r="AW29" s="52">
        <v>0</v>
      </c>
      <c r="AX29" s="51">
        <f t="shared" si="14"/>
        <v>0</v>
      </c>
      <c r="AY29" s="53">
        <f t="shared" si="15"/>
        <v>0</v>
      </c>
      <c r="AZ29" s="20">
        <v>913764</v>
      </c>
      <c r="BA29" s="37">
        <f t="shared" si="19"/>
        <v>177700</v>
      </c>
      <c r="BB29" s="37">
        <f t="shared" si="20"/>
        <v>485.12100000000004</v>
      </c>
      <c r="BC29" s="49">
        <f t="shared" si="21"/>
        <v>215.58777240000003</v>
      </c>
    </row>
    <row r="30" spans="1:55" x14ac:dyDescent="0.25">
      <c r="A30" s="23">
        <v>43489</v>
      </c>
      <c r="B30" s="40">
        <v>198</v>
      </c>
      <c r="C30" s="24">
        <v>4203110</v>
      </c>
      <c r="D30" s="24">
        <v>8785810</v>
      </c>
      <c r="E30" s="24">
        <v>873700</v>
      </c>
      <c r="F30" s="24">
        <v>1897430</v>
      </c>
      <c r="G30" s="24">
        <v>6180930</v>
      </c>
      <c r="H30" s="24">
        <v>2365350</v>
      </c>
      <c r="I30" s="24">
        <v>2681500</v>
      </c>
      <c r="J30" s="24">
        <v>2738850</v>
      </c>
      <c r="K30" s="24">
        <v>5056330</v>
      </c>
      <c r="L30" s="24">
        <v>1539040</v>
      </c>
      <c r="M30" s="24">
        <v>5235790</v>
      </c>
      <c r="N30" s="24">
        <v>6341740</v>
      </c>
      <c r="O30" s="24">
        <v>7055610</v>
      </c>
      <c r="Q30" s="37">
        <f t="shared" si="22"/>
        <v>510</v>
      </c>
      <c r="R30" s="37">
        <f t="shared" si="23"/>
        <v>8890</v>
      </c>
      <c r="S30" s="37">
        <f t="shared" si="17"/>
        <v>120</v>
      </c>
      <c r="T30" s="37">
        <f t="shared" si="24"/>
        <v>1350</v>
      </c>
      <c r="U30" s="37">
        <f t="shared" si="25"/>
        <v>6660</v>
      </c>
      <c r="V30" s="37">
        <f t="shared" si="26"/>
        <v>4620</v>
      </c>
      <c r="W30" s="37">
        <f t="shared" si="27"/>
        <v>3860</v>
      </c>
      <c r="X30" s="37">
        <f t="shared" si="28"/>
        <v>5160</v>
      </c>
      <c r="Y30" s="37">
        <f t="shared" si="29"/>
        <v>5650</v>
      </c>
      <c r="Z30" s="37">
        <f t="shared" si="30"/>
        <v>2810</v>
      </c>
      <c r="AA30" s="37">
        <f t="shared" si="31"/>
        <v>3090</v>
      </c>
      <c r="AB30" s="37">
        <f t="shared" si="32"/>
        <v>7800</v>
      </c>
      <c r="AC30" s="37">
        <f t="shared" si="33"/>
        <v>15280</v>
      </c>
      <c r="AD30" s="35">
        <f t="shared" si="34"/>
        <v>65800</v>
      </c>
      <c r="AF30" s="20">
        <f t="shared" si="1"/>
        <v>2.5500000000000003</v>
      </c>
      <c r="AG30" s="20">
        <f t="shared" si="2"/>
        <v>44.45</v>
      </c>
      <c r="AH30" s="20">
        <f t="shared" si="3"/>
        <v>0.6</v>
      </c>
      <c r="AI30" s="20">
        <f t="shared" si="4"/>
        <v>6.75</v>
      </c>
      <c r="AJ30" s="20">
        <f t="shared" si="5"/>
        <v>33.299999999999997</v>
      </c>
      <c r="AK30" s="20">
        <f t="shared" si="6"/>
        <v>23.1</v>
      </c>
      <c r="AL30" s="20">
        <f t="shared" si="7"/>
        <v>19.3</v>
      </c>
      <c r="AM30" s="20">
        <f t="shared" si="8"/>
        <v>25.8</v>
      </c>
      <c r="AN30" s="20">
        <f t="shared" si="9"/>
        <v>28.25</v>
      </c>
      <c r="AO30" s="20">
        <f t="shared" si="10"/>
        <v>14.05</v>
      </c>
      <c r="AP30" s="20">
        <f t="shared" si="11"/>
        <v>15.450000000000001</v>
      </c>
      <c r="AQ30" s="20">
        <f t="shared" si="12"/>
        <v>39</v>
      </c>
      <c r="AR30" s="20">
        <f t="shared" si="13"/>
        <v>76.400000000000006</v>
      </c>
      <c r="AS30" s="35">
        <f t="shared" si="35"/>
        <v>329</v>
      </c>
      <c r="AT30" s="55"/>
      <c r="AU30" s="57">
        <f t="shared" si="18"/>
        <v>0</v>
      </c>
      <c r="AW30" s="52">
        <v>0</v>
      </c>
      <c r="AX30" s="51">
        <f t="shared" si="14"/>
        <v>0</v>
      </c>
      <c r="AY30" s="53">
        <f t="shared" si="15"/>
        <v>0</v>
      </c>
      <c r="AZ30" s="20">
        <v>915328</v>
      </c>
      <c r="BA30" s="37">
        <f t="shared" si="19"/>
        <v>156400</v>
      </c>
      <c r="BB30" s="37">
        <f t="shared" si="20"/>
        <v>426.97199999999998</v>
      </c>
      <c r="BC30" s="49">
        <f t="shared" si="21"/>
        <v>189.7463568</v>
      </c>
    </row>
    <row r="31" spans="1:55" x14ac:dyDescent="0.25">
      <c r="A31" s="23">
        <v>43490</v>
      </c>
      <c r="B31" s="40">
        <v>198</v>
      </c>
      <c r="C31" s="24">
        <v>4203620</v>
      </c>
      <c r="D31" s="24">
        <v>8795810</v>
      </c>
      <c r="E31" s="24">
        <v>876800</v>
      </c>
      <c r="F31" s="24">
        <v>1898810</v>
      </c>
      <c r="G31" s="24">
        <v>6187590</v>
      </c>
      <c r="H31" s="24">
        <v>2369850</v>
      </c>
      <c r="I31" s="24">
        <v>2685240</v>
      </c>
      <c r="J31" s="24">
        <v>2744000</v>
      </c>
      <c r="K31" s="24">
        <v>5062300</v>
      </c>
      <c r="L31" s="24">
        <v>1541840</v>
      </c>
      <c r="M31" s="24">
        <v>5239470</v>
      </c>
      <c r="N31" s="24">
        <v>6349440</v>
      </c>
      <c r="O31" s="24">
        <v>7068900</v>
      </c>
      <c r="Q31" s="37">
        <f>IF((C31-C30&lt;0), "0",C31-C30)</f>
        <v>510</v>
      </c>
      <c r="R31" s="37">
        <f t="shared" si="23"/>
        <v>10000</v>
      </c>
      <c r="S31" s="37">
        <f t="shared" si="17"/>
        <v>3100</v>
      </c>
      <c r="T31" s="37">
        <f t="shared" si="24"/>
        <v>1380</v>
      </c>
      <c r="U31" s="37">
        <f t="shared" si="25"/>
        <v>6660</v>
      </c>
      <c r="V31" s="37">
        <f t="shared" si="26"/>
        <v>4500</v>
      </c>
      <c r="W31" s="37">
        <f t="shared" si="27"/>
        <v>3740</v>
      </c>
      <c r="X31" s="37">
        <f t="shared" si="28"/>
        <v>5150</v>
      </c>
      <c r="Y31" s="37">
        <f t="shared" si="29"/>
        <v>5970</v>
      </c>
      <c r="Z31" s="37">
        <f t="shared" si="30"/>
        <v>2800</v>
      </c>
      <c r="AA31" s="37">
        <f t="shared" si="31"/>
        <v>3680</v>
      </c>
      <c r="AB31" s="37">
        <f t="shared" si="32"/>
        <v>7700</v>
      </c>
      <c r="AC31" s="37">
        <f t="shared" si="33"/>
        <v>13290</v>
      </c>
      <c r="AD31" s="35">
        <f t="shared" si="34"/>
        <v>68480</v>
      </c>
      <c r="AF31" s="20">
        <f t="shared" si="1"/>
        <v>2.5500000000000003</v>
      </c>
      <c r="AG31" s="20">
        <f t="shared" si="2"/>
        <v>50</v>
      </c>
      <c r="AH31" s="20">
        <f t="shared" si="3"/>
        <v>15.5</v>
      </c>
      <c r="AI31" s="20">
        <f t="shared" si="4"/>
        <v>6.9</v>
      </c>
      <c r="AJ31" s="20">
        <f t="shared" si="5"/>
        <v>33.299999999999997</v>
      </c>
      <c r="AK31" s="20">
        <f t="shared" si="6"/>
        <v>22.5</v>
      </c>
      <c r="AL31" s="20">
        <f t="shared" si="7"/>
        <v>18.7</v>
      </c>
      <c r="AM31" s="20">
        <f t="shared" si="8"/>
        <v>25.75</v>
      </c>
      <c r="AN31" s="20">
        <f t="shared" si="9"/>
        <v>29.85</v>
      </c>
      <c r="AO31" s="20">
        <f t="shared" si="10"/>
        <v>14</v>
      </c>
      <c r="AP31" s="20">
        <f t="shared" si="11"/>
        <v>18.400000000000002</v>
      </c>
      <c r="AQ31" s="20">
        <f t="shared" si="12"/>
        <v>38.5</v>
      </c>
      <c r="AR31" s="20">
        <f t="shared" si="13"/>
        <v>66.45</v>
      </c>
      <c r="AS31" s="35">
        <f t="shared" si="35"/>
        <v>342.4</v>
      </c>
      <c r="AT31" s="55"/>
      <c r="AU31" s="57">
        <f t="shared" si="18"/>
        <v>0</v>
      </c>
      <c r="AW31" s="52">
        <v>0</v>
      </c>
      <c r="AX31" s="51">
        <f t="shared" si="14"/>
        <v>0</v>
      </c>
      <c r="AY31" s="53">
        <f t="shared" si="15"/>
        <v>0</v>
      </c>
      <c r="AZ31" s="20">
        <v>918160</v>
      </c>
      <c r="BA31" s="37">
        <f t="shared" si="19"/>
        <v>283200</v>
      </c>
      <c r="BB31" s="37">
        <f t="shared" si="20"/>
        <v>773.13600000000008</v>
      </c>
      <c r="BC31" s="49">
        <f t="shared" si="21"/>
        <v>343.58163840000003</v>
      </c>
    </row>
    <row r="32" spans="1:55" x14ac:dyDescent="0.25">
      <c r="A32" s="23">
        <v>43491</v>
      </c>
      <c r="B32" s="40">
        <v>92</v>
      </c>
      <c r="C32" s="24">
        <v>4204150</v>
      </c>
      <c r="D32" s="24">
        <v>8805910</v>
      </c>
      <c r="E32" s="24">
        <v>878960</v>
      </c>
      <c r="F32" s="24">
        <v>1900240</v>
      </c>
      <c r="G32" s="24">
        <v>6194380</v>
      </c>
      <c r="H32" s="24">
        <v>2374560</v>
      </c>
      <c r="I32" s="24">
        <v>2688900</v>
      </c>
      <c r="J32" s="24">
        <v>2749260</v>
      </c>
      <c r="K32" s="24">
        <v>5068180</v>
      </c>
      <c r="L32" s="24">
        <v>1544680</v>
      </c>
      <c r="M32" s="24">
        <v>5243060</v>
      </c>
      <c r="N32" s="24">
        <v>6357040</v>
      </c>
      <c r="O32" s="24">
        <v>7083030</v>
      </c>
      <c r="Q32" s="37">
        <f>IF((C32-C31&lt;0), "0",C32-C31)</f>
        <v>530</v>
      </c>
      <c r="R32" s="37">
        <f t="shared" si="23"/>
        <v>10100</v>
      </c>
      <c r="S32" s="37">
        <f t="shared" si="17"/>
        <v>2160</v>
      </c>
      <c r="T32" s="37">
        <f t="shared" si="24"/>
        <v>1430</v>
      </c>
      <c r="U32" s="37">
        <f t="shared" si="25"/>
        <v>6790</v>
      </c>
      <c r="V32" s="37">
        <f t="shared" si="26"/>
        <v>4710</v>
      </c>
      <c r="W32" s="37">
        <f t="shared" si="27"/>
        <v>3660</v>
      </c>
      <c r="X32" s="37">
        <f t="shared" si="28"/>
        <v>5260</v>
      </c>
      <c r="Y32" s="37">
        <f t="shared" si="29"/>
        <v>5880</v>
      </c>
      <c r="Z32" s="37">
        <f t="shared" si="30"/>
        <v>2840</v>
      </c>
      <c r="AA32" s="37">
        <f t="shared" si="31"/>
        <v>3590</v>
      </c>
      <c r="AB32" s="37">
        <f t="shared" si="32"/>
        <v>7600</v>
      </c>
      <c r="AC32" s="37">
        <f t="shared" si="33"/>
        <v>14130</v>
      </c>
      <c r="AD32" s="35">
        <f t="shared" si="34"/>
        <v>68680</v>
      </c>
      <c r="AF32" s="20">
        <f t="shared" si="1"/>
        <v>2.65</v>
      </c>
      <c r="AG32" s="20">
        <f t="shared" si="2"/>
        <v>50.5</v>
      </c>
      <c r="AH32" s="20">
        <f t="shared" si="3"/>
        <v>10.8</v>
      </c>
      <c r="AI32" s="20">
        <f t="shared" si="4"/>
        <v>7.15</v>
      </c>
      <c r="AJ32" s="20">
        <f t="shared" si="5"/>
        <v>33.950000000000003</v>
      </c>
      <c r="AK32" s="20">
        <f t="shared" si="6"/>
        <v>23.55</v>
      </c>
      <c r="AL32" s="20">
        <f t="shared" si="7"/>
        <v>18.3</v>
      </c>
      <c r="AM32" s="20">
        <f t="shared" si="8"/>
        <v>26.3</v>
      </c>
      <c r="AN32" s="20">
        <f t="shared" si="9"/>
        <v>29.400000000000002</v>
      </c>
      <c r="AO32" s="20">
        <f t="shared" si="10"/>
        <v>14.200000000000001</v>
      </c>
      <c r="AP32" s="20">
        <f t="shared" si="11"/>
        <v>17.95</v>
      </c>
      <c r="AQ32" s="20">
        <f t="shared" si="12"/>
        <v>38</v>
      </c>
      <c r="AR32" s="20">
        <f t="shared" si="13"/>
        <v>70.650000000000006</v>
      </c>
      <c r="AS32" s="35">
        <f t="shared" si="35"/>
        <v>343.4</v>
      </c>
      <c r="AT32" s="55"/>
      <c r="AU32" s="57">
        <f t="shared" si="18"/>
        <v>0</v>
      </c>
      <c r="AW32" s="52">
        <v>0</v>
      </c>
      <c r="AX32" s="51">
        <f t="shared" si="14"/>
        <v>0</v>
      </c>
      <c r="AY32" s="53">
        <f t="shared" si="15"/>
        <v>0</v>
      </c>
      <c r="AZ32" s="20">
        <v>918637</v>
      </c>
      <c r="BA32" s="37">
        <f t="shared" si="19"/>
        <v>47700</v>
      </c>
      <c r="BB32" s="37">
        <f t="shared" si="20"/>
        <v>130.221</v>
      </c>
      <c r="BC32" s="49">
        <f t="shared" si="21"/>
        <v>57.870212400000007</v>
      </c>
    </row>
    <row r="33" spans="1:55" x14ac:dyDescent="0.25">
      <c r="A33" s="23">
        <v>43492</v>
      </c>
      <c r="B33" s="40">
        <v>91</v>
      </c>
      <c r="C33" s="24">
        <v>4204680</v>
      </c>
      <c r="D33" s="24">
        <v>8815810</v>
      </c>
      <c r="E33" s="24">
        <v>879920</v>
      </c>
      <c r="F33" s="24">
        <v>1901650</v>
      </c>
      <c r="G33" s="24">
        <v>6200560</v>
      </c>
      <c r="H33" s="24">
        <v>2379070</v>
      </c>
      <c r="I33" s="24">
        <v>2692080</v>
      </c>
      <c r="J33" s="24">
        <v>2754300</v>
      </c>
      <c r="K33" s="24">
        <v>5073660</v>
      </c>
      <c r="L33" s="24">
        <v>1547240</v>
      </c>
      <c r="M33" s="24">
        <v>5246380</v>
      </c>
      <c r="N33" s="24">
        <v>6364650</v>
      </c>
      <c r="O33" s="24">
        <v>7097380</v>
      </c>
      <c r="Q33" s="37">
        <f>IF((C33-C32&lt;0), "0",C33-C32)</f>
        <v>530</v>
      </c>
      <c r="R33" s="37">
        <f t="shared" si="23"/>
        <v>9900</v>
      </c>
      <c r="S33" s="37">
        <f t="shared" si="17"/>
        <v>960</v>
      </c>
      <c r="T33" s="37">
        <f t="shared" si="24"/>
        <v>1410</v>
      </c>
      <c r="U33" s="37">
        <f t="shared" si="25"/>
        <v>6180</v>
      </c>
      <c r="V33" s="37">
        <f t="shared" si="26"/>
        <v>4510</v>
      </c>
      <c r="W33" s="37">
        <f t="shared" si="27"/>
        <v>3180</v>
      </c>
      <c r="X33" s="37">
        <f t="shared" si="28"/>
        <v>5040</v>
      </c>
      <c r="Y33" s="37">
        <f t="shared" si="29"/>
        <v>5480</v>
      </c>
      <c r="Z33" s="37">
        <f t="shared" si="30"/>
        <v>2560</v>
      </c>
      <c r="AA33" s="37">
        <f t="shared" si="31"/>
        <v>3320</v>
      </c>
      <c r="AB33" s="37">
        <f t="shared" si="32"/>
        <v>7610</v>
      </c>
      <c r="AC33" s="37">
        <f t="shared" si="33"/>
        <v>14350</v>
      </c>
      <c r="AD33" s="35">
        <f t="shared" si="34"/>
        <v>65030</v>
      </c>
      <c r="AF33" s="20">
        <f t="shared" si="1"/>
        <v>2.65</v>
      </c>
      <c r="AG33" s="20">
        <f t="shared" si="2"/>
        <v>49.5</v>
      </c>
      <c r="AH33" s="20">
        <f t="shared" si="3"/>
        <v>4.8</v>
      </c>
      <c r="AI33" s="20">
        <f t="shared" si="4"/>
        <v>7.05</v>
      </c>
      <c r="AJ33" s="20">
        <f t="shared" si="5"/>
        <v>30.900000000000002</v>
      </c>
      <c r="AK33" s="20">
        <f t="shared" si="6"/>
        <v>22.55</v>
      </c>
      <c r="AL33" s="20">
        <f t="shared" si="7"/>
        <v>15.9</v>
      </c>
      <c r="AM33" s="20">
        <f t="shared" si="8"/>
        <v>25.2</v>
      </c>
      <c r="AN33" s="20">
        <f t="shared" si="9"/>
        <v>27.400000000000002</v>
      </c>
      <c r="AO33" s="20">
        <f t="shared" si="10"/>
        <v>12.8</v>
      </c>
      <c r="AP33" s="20">
        <f t="shared" si="11"/>
        <v>16.600000000000001</v>
      </c>
      <c r="AQ33" s="20">
        <f t="shared" si="12"/>
        <v>38.050000000000004</v>
      </c>
      <c r="AR33" s="20">
        <f t="shared" si="13"/>
        <v>71.75</v>
      </c>
      <c r="AS33" s="35">
        <f t="shared" si="35"/>
        <v>325.14999999999998</v>
      </c>
      <c r="AT33" s="55"/>
      <c r="AU33" s="57">
        <f t="shared" si="18"/>
        <v>0</v>
      </c>
      <c r="AW33" s="52">
        <v>0</v>
      </c>
      <c r="AX33" s="51">
        <f t="shared" si="14"/>
        <v>0</v>
      </c>
      <c r="AY33" s="53">
        <f t="shared" si="15"/>
        <v>0</v>
      </c>
      <c r="AZ33" s="20">
        <v>920310</v>
      </c>
      <c r="BA33" s="37">
        <f t="shared" si="19"/>
        <v>167300</v>
      </c>
      <c r="BB33" s="37">
        <f t="shared" si="20"/>
        <v>456.72899999999998</v>
      </c>
      <c r="BC33" s="49">
        <f t="shared" si="21"/>
        <v>202.9703676</v>
      </c>
    </row>
    <row r="34" spans="1:55" x14ac:dyDescent="0.25">
      <c r="A34" s="23">
        <v>43493</v>
      </c>
      <c r="B34" s="47">
        <v>144</v>
      </c>
      <c r="C34" s="24">
        <v>4205190</v>
      </c>
      <c r="D34" s="24">
        <v>8825470</v>
      </c>
      <c r="E34" s="24">
        <v>883150</v>
      </c>
      <c r="F34" s="24">
        <v>1903030</v>
      </c>
      <c r="G34" s="24">
        <v>6206640</v>
      </c>
      <c r="H34" s="24">
        <v>2383490</v>
      </c>
      <c r="I34" s="24">
        <v>2695460</v>
      </c>
      <c r="J34" s="24">
        <v>2759160</v>
      </c>
      <c r="K34" s="24">
        <v>5079140</v>
      </c>
      <c r="L34" s="24">
        <v>1549660</v>
      </c>
      <c r="M34" s="24">
        <v>5249760</v>
      </c>
      <c r="N34" s="24">
        <v>6372000</v>
      </c>
      <c r="O34" s="24">
        <v>7112290</v>
      </c>
      <c r="Q34" s="37">
        <f>IF((C34-C33&lt;0), "0",C34-C33)</f>
        <v>510</v>
      </c>
      <c r="R34" s="37">
        <f t="shared" si="23"/>
        <v>9660</v>
      </c>
      <c r="S34" s="37">
        <f t="shared" si="17"/>
        <v>3230</v>
      </c>
      <c r="T34" s="37">
        <f t="shared" si="24"/>
        <v>1380</v>
      </c>
      <c r="U34" s="37">
        <f t="shared" si="25"/>
        <v>6080</v>
      </c>
      <c r="V34" s="37">
        <f t="shared" si="26"/>
        <v>4420</v>
      </c>
      <c r="W34" s="37">
        <f t="shared" si="27"/>
        <v>3380</v>
      </c>
      <c r="X34" s="37">
        <f t="shared" si="28"/>
        <v>4860</v>
      </c>
      <c r="Y34" s="37">
        <f t="shared" si="29"/>
        <v>5480</v>
      </c>
      <c r="Z34" s="37">
        <f t="shared" si="30"/>
        <v>2420</v>
      </c>
      <c r="AA34" s="37">
        <f t="shared" si="31"/>
        <v>3380</v>
      </c>
      <c r="AB34" s="37">
        <f t="shared" si="32"/>
        <v>7350</v>
      </c>
      <c r="AC34" s="37">
        <f t="shared" si="33"/>
        <v>14910</v>
      </c>
      <c r="AD34" s="35">
        <f t="shared" si="34"/>
        <v>67060</v>
      </c>
      <c r="AF34" s="20">
        <f>Q34*$D$39</f>
        <v>2.5500000000000003</v>
      </c>
      <c r="AG34" s="20">
        <f t="shared" si="2"/>
        <v>48.300000000000004</v>
      </c>
      <c r="AH34" s="20">
        <f t="shared" si="3"/>
        <v>16.149999999999999</v>
      </c>
      <c r="AI34" s="20">
        <f t="shared" si="4"/>
        <v>6.9</v>
      </c>
      <c r="AJ34" s="20">
        <f t="shared" si="5"/>
        <v>30.400000000000002</v>
      </c>
      <c r="AK34" s="20">
        <f t="shared" si="6"/>
        <v>22.1</v>
      </c>
      <c r="AL34" s="20">
        <f t="shared" si="7"/>
        <v>16.899999999999999</v>
      </c>
      <c r="AM34" s="20">
        <f t="shared" si="8"/>
        <v>24.3</v>
      </c>
      <c r="AN34" s="20">
        <f t="shared" si="9"/>
        <v>27.400000000000002</v>
      </c>
      <c r="AO34" s="20">
        <f t="shared" si="10"/>
        <v>12.1</v>
      </c>
      <c r="AP34" s="20">
        <f t="shared" si="11"/>
        <v>16.899999999999999</v>
      </c>
      <c r="AQ34" s="20">
        <f t="shared" si="12"/>
        <v>36.75</v>
      </c>
      <c r="AR34" s="20">
        <f t="shared" si="13"/>
        <v>74.55</v>
      </c>
      <c r="AS34" s="35">
        <f>SUM(AF34:AR34)</f>
        <v>335.3</v>
      </c>
      <c r="AT34" s="55"/>
      <c r="AU34" s="57">
        <f t="shared" si="18"/>
        <v>0</v>
      </c>
      <c r="AW34" s="52">
        <v>0</v>
      </c>
      <c r="AX34" s="51">
        <f t="shared" si="14"/>
        <v>0</v>
      </c>
      <c r="AY34" s="53">
        <f t="shared" si="15"/>
        <v>0</v>
      </c>
      <c r="AZ34" s="20">
        <v>921733</v>
      </c>
      <c r="BA34" s="37">
        <f t="shared" si="19"/>
        <v>142300</v>
      </c>
      <c r="BB34" s="37">
        <f t="shared" si="20"/>
        <v>388.47899999999998</v>
      </c>
      <c r="BC34" s="49">
        <f t="shared" si="21"/>
        <v>172.64006760000001</v>
      </c>
    </row>
    <row r="35" spans="1:55" x14ac:dyDescent="0.25">
      <c r="A35" s="23">
        <v>43494</v>
      </c>
      <c r="B35" s="40">
        <v>173</v>
      </c>
      <c r="C35" s="24">
        <v>4205720</v>
      </c>
      <c r="D35" s="24">
        <v>8835400</v>
      </c>
      <c r="E35" s="24">
        <v>883510</v>
      </c>
      <c r="F35" s="24">
        <v>1904460</v>
      </c>
      <c r="G35" s="24">
        <v>6212810</v>
      </c>
      <c r="H35" s="24">
        <v>2388180</v>
      </c>
      <c r="I35" s="24">
        <v>2698780</v>
      </c>
      <c r="J35" s="24">
        <v>2764070</v>
      </c>
      <c r="K35" s="24">
        <v>5084820</v>
      </c>
      <c r="L35" s="24">
        <v>1552280</v>
      </c>
      <c r="M35" s="24">
        <v>5253240</v>
      </c>
      <c r="N35" s="24">
        <v>6379710</v>
      </c>
      <c r="O35" s="24">
        <v>7128300</v>
      </c>
      <c r="Q35" s="37">
        <f>IF((C35-C34&lt;0), "0",C35-C34)</f>
        <v>530</v>
      </c>
      <c r="R35" s="37">
        <f t="shared" si="23"/>
        <v>9930</v>
      </c>
      <c r="S35" s="37">
        <f t="shared" si="17"/>
        <v>360</v>
      </c>
      <c r="T35" s="37">
        <f t="shared" si="24"/>
        <v>1430</v>
      </c>
      <c r="U35" s="37">
        <f t="shared" si="25"/>
        <v>6170</v>
      </c>
      <c r="V35" s="37">
        <f t="shared" si="26"/>
        <v>4690</v>
      </c>
      <c r="W35" s="37">
        <f t="shared" si="27"/>
        <v>3320</v>
      </c>
      <c r="X35" s="37">
        <f t="shared" si="28"/>
        <v>4910</v>
      </c>
      <c r="Y35" s="37">
        <f t="shared" si="29"/>
        <v>5680</v>
      </c>
      <c r="Z35" s="37">
        <f t="shared" si="30"/>
        <v>2620</v>
      </c>
      <c r="AA35" s="37">
        <f t="shared" si="31"/>
        <v>3480</v>
      </c>
      <c r="AB35" s="37">
        <f t="shared" si="32"/>
        <v>7710</v>
      </c>
      <c r="AC35" s="37">
        <f t="shared" si="33"/>
        <v>16010</v>
      </c>
      <c r="AD35" s="35">
        <f t="shared" si="34"/>
        <v>66840</v>
      </c>
      <c r="AF35" s="20">
        <f t="shared" si="1"/>
        <v>2.65</v>
      </c>
      <c r="AG35" s="20">
        <f t="shared" si="2"/>
        <v>49.65</v>
      </c>
      <c r="AH35" s="20">
        <f t="shared" si="3"/>
        <v>1.8</v>
      </c>
      <c r="AI35" s="20">
        <f t="shared" si="4"/>
        <v>7.15</v>
      </c>
      <c r="AJ35" s="20">
        <f t="shared" si="5"/>
        <v>30.85</v>
      </c>
      <c r="AK35" s="20">
        <f t="shared" si="6"/>
        <v>23.45</v>
      </c>
      <c r="AL35" s="20">
        <f t="shared" si="7"/>
        <v>16.600000000000001</v>
      </c>
      <c r="AM35" s="20">
        <f t="shared" si="8"/>
        <v>24.55</v>
      </c>
      <c r="AN35" s="20">
        <f t="shared" si="9"/>
        <v>28.400000000000002</v>
      </c>
      <c r="AO35" s="20">
        <f t="shared" si="10"/>
        <v>13.1</v>
      </c>
      <c r="AP35" s="20">
        <f t="shared" si="11"/>
        <v>17.400000000000002</v>
      </c>
      <c r="AQ35" s="20">
        <f t="shared" si="12"/>
        <v>38.550000000000004</v>
      </c>
      <c r="AR35" s="20">
        <f t="shared" si="13"/>
        <v>80.05</v>
      </c>
      <c r="AS35" s="35">
        <f>SUM(AF35:AR35)</f>
        <v>334.20000000000005</v>
      </c>
      <c r="AT35" s="55"/>
      <c r="AU35" s="57">
        <f t="shared" si="18"/>
        <v>0</v>
      </c>
      <c r="AW35" s="52">
        <v>0</v>
      </c>
      <c r="AX35" s="51">
        <f t="shared" si="14"/>
        <v>0</v>
      </c>
      <c r="AY35" s="53">
        <f t="shared" si="15"/>
        <v>0</v>
      </c>
      <c r="AZ35" s="20">
        <v>923596</v>
      </c>
      <c r="BA35" s="37">
        <f t="shared" si="19"/>
        <v>186300</v>
      </c>
      <c r="BB35" s="37">
        <f t="shared" si="20"/>
        <v>508.59900000000005</v>
      </c>
      <c r="BC35" s="49">
        <f t="shared" si="21"/>
        <v>226.02139560000003</v>
      </c>
    </row>
    <row r="36" spans="1:55" x14ac:dyDescent="0.25">
      <c r="A36" s="23">
        <v>43495</v>
      </c>
      <c r="B36" s="40">
        <v>230</v>
      </c>
      <c r="C36" s="24">
        <v>4206260</v>
      </c>
      <c r="D36" s="24">
        <v>8845570</v>
      </c>
      <c r="E36" s="24">
        <v>886310</v>
      </c>
      <c r="F36" s="24">
        <v>1905930</v>
      </c>
      <c r="G36" s="24">
        <v>6219990</v>
      </c>
      <c r="H36" s="24">
        <v>2392980</v>
      </c>
      <c r="I36" s="24">
        <v>2702590</v>
      </c>
      <c r="J36" s="24">
        <v>2768880</v>
      </c>
      <c r="K36" s="24">
        <v>5090840</v>
      </c>
      <c r="L36" s="24">
        <v>1555210</v>
      </c>
      <c r="M36" s="24">
        <v>5256930</v>
      </c>
      <c r="N36" s="24">
        <v>6387360</v>
      </c>
      <c r="O36" s="24">
        <v>7144300</v>
      </c>
      <c r="Q36" s="37">
        <f t="shared" ref="Q36:AA36" si="38">IF((C36-C35&lt;0), "0",C36-C35)</f>
        <v>540</v>
      </c>
      <c r="R36" s="37">
        <f t="shared" si="23"/>
        <v>10170</v>
      </c>
      <c r="S36" s="37">
        <f t="shared" si="38"/>
        <v>2800</v>
      </c>
      <c r="T36" s="37">
        <f t="shared" si="38"/>
        <v>1470</v>
      </c>
      <c r="U36" s="37">
        <f t="shared" si="38"/>
        <v>7180</v>
      </c>
      <c r="V36" s="37">
        <f t="shared" si="38"/>
        <v>4800</v>
      </c>
      <c r="W36" s="37">
        <f t="shared" si="38"/>
        <v>3810</v>
      </c>
      <c r="X36" s="37">
        <f t="shared" si="28"/>
        <v>4810</v>
      </c>
      <c r="Y36" s="37">
        <f t="shared" si="38"/>
        <v>6020</v>
      </c>
      <c r="Z36" s="37">
        <f t="shared" si="38"/>
        <v>2930</v>
      </c>
      <c r="AA36" s="37">
        <f t="shared" si="38"/>
        <v>3690</v>
      </c>
      <c r="AB36" s="37">
        <f t="shared" si="32"/>
        <v>7650</v>
      </c>
      <c r="AC36" s="37">
        <f t="shared" si="33"/>
        <v>16000</v>
      </c>
      <c r="AD36" s="35">
        <f t="shared" si="34"/>
        <v>71870</v>
      </c>
      <c r="AF36" s="20">
        <f t="shared" si="1"/>
        <v>2.7</v>
      </c>
      <c r="AG36" s="20">
        <f t="shared" si="2"/>
        <v>50.85</v>
      </c>
      <c r="AH36" s="20">
        <f t="shared" si="3"/>
        <v>14</v>
      </c>
      <c r="AI36" s="20">
        <f t="shared" si="4"/>
        <v>7.3500000000000005</v>
      </c>
      <c r="AJ36" s="20">
        <f t="shared" si="5"/>
        <v>35.9</v>
      </c>
      <c r="AK36" s="20">
        <f t="shared" si="6"/>
        <v>24</v>
      </c>
      <c r="AL36" s="20">
        <f t="shared" si="7"/>
        <v>19.05</v>
      </c>
      <c r="AM36" s="20">
        <f t="shared" si="8"/>
        <v>24.05</v>
      </c>
      <c r="AN36" s="20">
        <f t="shared" si="9"/>
        <v>30.1</v>
      </c>
      <c r="AO36" s="20">
        <f t="shared" si="10"/>
        <v>14.65</v>
      </c>
      <c r="AP36" s="20">
        <f t="shared" si="11"/>
        <v>18.45</v>
      </c>
      <c r="AQ36" s="20">
        <f t="shared" si="12"/>
        <v>38.25</v>
      </c>
      <c r="AR36" s="20">
        <f t="shared" si="13"/>
        <v>80</v>
      </c>
      <c r="AS36" s="35">
        <f>SUM(AF36:AR36)</f>
        <v>359.35</v>
      </c>
      <c r="AT36" s="55"/>
      <c r="AU36" s="57">
        <f t="shared" si="18"/>
        <v>0</v>
      </c>
      <c r="AW36" s="52">
        <v>0</v>
      </c>
      <c r="AX36" s="51">
        <f t="shared" si="14"/>
        <v>0</v>
      </c>
      <c r="AY36" s="53">
        <f t="shared" si="15"/>
        <v>0</v>
      </c>
      <c r="AZ36" s="20">
        <v>925383</v>
      </c>
      <c r="BA36" s="37">
        <f t="shared" si="19"/>
        <v>178700</v>
      </c>
      <c r="BB36" s="37">
        <f t="shared" si="20"/>
        <v>487.851</v>
      </c>
      <c r="BC36" s="49">
        <f t="shared" si="21"/>
        <v>216.8009844</v>
      </c>
    </row>
    <row r="37" spans="1:55" x14ac:dyDescent="0.25">
      <c r="A37" s="23">
        <v>43496</v>
      </c>
      <c r="B37" s="40">
        <v>245</v>
      </c>
      <c r="C37" s="24">
        <v>4206850</v>
      </c>
      <c r="D37" s="24">
        <v>8856890</v>
      </c>
      <c r="E37" s="24">
        <v>888900</v>
      </c>
      <c r="F37" s="24">
        <v>1907540</v>
      </c>
      <c r="G37" s="24">
        <v>6227830</v>
      </c>
      <c r="H37" s="24">
        <v>2398260</v>
      </c>
      <c r="I37" s="24">
        <v>2706830</v>
      </c>
      <c r="J37" s="24">
        <v>2774250</v>
      </c>
      <c r="K37" s="24">
        <v>5097200</v>
      </c>
      <c r="L37" s="24">
        <v>1558300</v>
      </c>
      <c r="M37" s="24">
        <v>5260920</v>
      </c>
      <c r="N37" s="24">
        <v>6395590</v>
      </c>
      <c r="O37" s="24">
        <v>7159960</v>
      </c>
      <c r="Q37" s="37">
        <f t="shared" ref="Q37" si="39">IF((C37-C36&lt;0), "0",C37-C36)</f>
        <v>590</v>
      </c>
      <c r="R37" s="37">
        <f t="shared" si="23"/>
        <v>11320</v>
      </c>
      <c r="S37" s="37">
        <f t="shared" ref="S37" si="40">IF((E37-E36&lt;0), "0",E37-E36)</f>
        <v>2590</v>
      </c>
      <c r="T37" s="37">
        <f t="shared" ref="T37" si="41">IF((F37-F36&lt;0), "0",F37-F36)</f>
        <v>1610</v>
      </c>
      <c r="U37" s="37">
        <f t="shared" ref="U37" si="42">IF((G37-G36&lt;0), "0",G37-G36)</f>
        <v>7840</v>
      </c>
      <c r="V37" s="37">
        <f t="shared" ref="V37" si="43">IF((H37-H36&lt;0), "0",H37-H36)</f>
        <v>5280</v>
      </c>
      <c r="W37" s="37">
        <f t="shared" ref="W37" si="44">IF((I37-I36&lt;0), "0",I37-I36)</f>
        <v>4240</v>
      </c>
      <c r="X37" s="37">
        <f t="shared" si="28"/>
        <v>5370</v>
      </c>
      <c r="Y37" s="37">
        <f t="shared" ref="Y37" si="45">IF((K37-K36&lt;0), "0",K37-K36)</f>
        <v>6360</v>
      </c>
      <c r="Z37" s="37">
        <f t="shared" ref="Z37" si="46">IF((L37-L36&lt;0), "0",L37-L36)</f>
        <v>3090</v>
      </c>
      <c r="AA37" s="37">
        <f t="shared" ref="AA37" si="47">IF((M37-M36&lt;0), "0",M37-M36)</f>
        <v>3990</v>
      </c>
      <c r="AB37" s="37">
        <f t="shared" si="32"/>
        <v>8230</v>
      </c>
      <c r="AC37" s="37">
        <f t="shared" si="33"/>
        <v>15660</v>
      </c>
      <c r="AD37" s="35">
        <f t="shared" si="34"/>
        <v>76170</v>
      </c>
      <c r="AF37" s="20">
        <f t="shared" ref="AF37" si="48">Q37*$D$39</f>
        <v>2.95</v>
      </c>
      <c r="AG37" s="20">
        <f t="shared" ref="AG37" si="49">R37*$D$39</f>
        <v>56.6</v>
      </c>
      <c r="AH37" s="20">
        <f t="shared" ref="AH37" si="50">S37*$D$39</f>
        <v>12.950000000000001</v>
      </c>
      <c r="AI37" s="20">
        <f t="shared" ref="AI37" si="51">T37*$D$39</f>
        <v>8.0500000000000007</v>
      </c>
      <c r="AJ37" s="20">
        <f t="shared" ref="AJ37" si="52">U37*$D$39</f>
        <v>39.200000000000003</v>
      </c>
      <c r="AK37" s="20">
        <f t="shared" ref="AK37" si="53">V37*$D$39</f>
        <v>26.400000000000002</v>
      </c>
      <c r="AL37" s="20">
        <f t="shared" ref="AL37" si="54">W37*$D$39</f>
        <v>21.2</v>
      </c>
      <c r="AM37" s="20">
        <f t="shared" ref="AM37" si="55">X37*$D$39</f>
        <v>26.85</v>
      </c>
      <c r="AN37" s="20">
        <f t="shared" ref="AN37" si="56">Y37*$D$39</f>
        <v>31.8</v>
      </c>
      <c r="AO37" s="20">
        <f t="shared" ref="AO37" si="57">Z37*$D$39</f>
        <v>15.450000000000001</v>
      </c>
      <c r="AP37" s="20">
        <f t="shared" ref="AP37" si="58">AA37*$D$39</f>
        <v>19.95</v>
      </c>
      <c r="AQ37" s="20">
        <f t="shared" ref="AQ37" si="59">AB37*$D$39</f>
        <v>41.15</v>
      </c>
      <c r="AR37" s="20">
        <f t="shared" ref="AR37" si="60">AC37*$D$39</f>
        <v>78.3</v>
      </c>
      <c r="AS37" s="35">
        <f>SUM(AF37:AR37)</f>
        <v>380.84999999999997</v>
      </c>
      <c r="AT37" s="55"/>
      <c r="AU37" s="57">
        <f t="shared" si="18"/>
        <v>0</v>
      </c>
      <c r="AW37" s="52">
        <v>0</v>
      </c>
      <c r="AX37" s="51">
        <f t="shared" si="14"/>
        <v>0</v>
      </c>
      <c r="AY37" s="53">
        <f t="shared" si="15"/>
        <v>0</v>
      </c>
      <c r="AZ37" s="20">
        <v>927424</v>
      </c>
      <c r="BA37" s="37">
        <f t="shared" si="19"/>
        <v>204100</v>
      </c>
      <c r="BB37" s="37">
        <f t="shared" si="20"/>
        <v>557.19299999999998</v>
      </c>
      <c r="BC37" s="49">
        <f t="shared" si="21"/>
        <v>247.61656920000001</v>
      </c>
    </row>
    <row r="38" spans="1:55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16790</v>
      </c>
      <c r="R38" s="38">
        <f t="shared" ref="R38:AD38" si="61">SUM(R7:R37)</f>
        <v>292180</v>
      </c>
      <c r="S38" s="38">
        <f t="shared" si="61"/>
        <v>23610</v>
      </c>
      <c r="T38" s="38">
        <f t="shared" si="61"/>
        <v>43770</v>
      </c>
      <c r="U38" s="38">
        <f t="shared" si="61"/>
        <v>200400</v>
      </c>
      <c r="V38" s="38">
        <f t="shared" si="61"/>
        <v>142600</v>
      </c>
      <c r="W38" s="38">
        <f t="shared" si="61"/>
        <v>101570</v>
      </c>
      <c r="X38" s="38">
        <f t="shared" si="61"/>
        <v>157800</v>
      </c>
      <c r="Y38" s="38">
        <f t="shared" si="61"/>
        <v>192700</v>
      </c>
      <c r="Z38" s="38">
        <f t="shared" si="61"/>
        <v>85290</v>
      </c>
      <c r="AA38" s="38">
        <f t="shared" si="61"/>
        <v>109430</v>
      </c>
      <c r="AB38" s="38">
        <f t="shared" si="61"/>
        <v>248380</v>
      </c>
      <c r="AC38" s="38">
        <f t="shared" si="61"/>
        <v>496270</v>
      </c>
      <c r="AD38" s="38">
        <f t="shared" si="61"/>
        <v>2110790</v>
      </c>
      <c r="AF38" s="35">
        <f>SUM(AF7:AF37)</f>
        <v>83.950000000000017</v>
      </c>
      <c r="AG38" s="35">
        <f t="shared" ref="AG38:AU38" si="62">SUM(AG7:AG37)</f>
        <v>1460.8999999999999</v>
      </c>
      <c r="AH38" s="35">
        <f t="shared" si="62"/>
        <v>118.05000000000001</v>
      </c>
      <c r="AI38" s="35">
        <f t="shared" si="62"/>
        <v>218.85000000000005</v>
      </c>
      <c r="AJ38" s="35">
        <f t="shared" si="62"/>
        <v>1001.9999999999999</v>
      </c>
      <c r="AK38" s="35">
        <f t="shared" si="62"/>
        <v>713</v>
      </c>
      <c r="AL38" s="35">
        <f t="shared" si="62"/>
        <v>507.84999999999991</v>
      </c>
      <c r="AM38" s="35">
        <f t="shared" si="62"/>
        <v>788.99999999999977</v>
      </c>
      <c r="AN38" s="35">
        <f t="shared" si="62"/>
        <v>963.5</v>
      </c>
      <c r="AO38" s="35">
        <f t="shared" si="62"/>
        <v>426.45000000000005</v>
      </c>
      <c r="AP38" s="35">
        <f t="shared" si="62"/>
        <v>547.15</v>
      </c>
      <c r="AQ38" s="35">
        <f t="shared" si="62"/>
        <v>1241.9000000000001</v>
      </c>
      <c r="AR38" s="35">
        <f t="shared" si="62"/>
        <v>2481.3500000000008</v>
      </c>
      <c r="AS38" s="35">
        <f t="shared" si="62"/>
        <v>10553.950000000003</v>
      </c>
      <c r="AT38" s="55"/>
      <c r="AU38" s="58">
        <f t="shared" si="62"/>
        <v>0</v>
      </c>
      <c r="AW38" s="52">
        <v>0</v>
      </c>
      <c r="AX38" s="51">
        <f t="shared" si="14"/>
        <v>0</v>
      </c>
      <c r="AY38" s="53">
        <f t="shared" si="15"/>
        <v>0</v>
      </c>
      <c r="AZ38" s="46"/>
      <c r="BA38" s="37">
        <f t="shared" si="19"/>
        <v>0</v>
      </c>
      <c r="BB38" s="37">
        <f>SUM(BB7:BB37)</f>
        <v>15531.515999999996</v>
      </c>
      <c r="BC38" s="49">
        <f t="shared" si="21"/>
        <v>6902.2057103999987</v>
      </c>
    </row>
    <row r="39" spans="1:55" x14ac:dyDescent="0.25">
      <c r="B39" s="39">
        <f>SUM(B7:B37)</f>
        <v>4656</v>
      </c>
      <c r="D39">
        <v>5.0000000000000001E-3</v>
      </c>
      <c r="AW39" s="52">
        <v>0</v>
      </c>
      <c r="AX39" s="51">
        <f t="shared" si="14"/>
        <v>0</v>
      </c>
      <c r="AY39" s="53">
        <f t="shared" si="15"/>
        <v>0</v>
      </c>
      <c r="BA39" s="36"/>
      <c r="BB39" s="37">
        <f t="shared" si="20"/>
        <v>0</v>
      </c>
    </row>
    <row r="40" spans="1:55" x14ac:dyDescent="0.25">
      <c r="D40">
        <v>2E-3</v>
      </c>
    </row>
    <row r="41" spans="1:55" x14ac:dyDescent="0.25">
      <c r="BC41" t="s">
        <v>46</v>
      </c>
    </row>
    <row r="43" spans="1:55" x14ac:dyDescent="0.25">
      <c r="AU43" s="56">
        <v>178.125</v>
      </c>
    </row>
    <row r="44" spans="1:55" x14ac:dyDescent="0.25">
      <c r="AW44" s="50">
        <v>0.52800000000000002</v>
      </c>
      <c r="AY44" s="50">
        <v>3.79E-3</v>
      </c>
      <c r="AZ44" s="45">
        <v>0.52800000000000002</v>
      </c>
      <c r="BA44">
        <v>4.5500000000000002E-3</v>
      </c>
    </row>
    <row r="46" spans="1:55" x14ac:dyDescent="0.25">
      <c r="BA46">
        <f>0.002/4.5</f>
        <v>4.4444444444444447E-4</v>
      </c>
    </row>
    <row r="47" spans="1:55" x14ac:dyDescent="0.25">
      <c r="BA47">
        <f>BA46*1000</f>
        <v>0.44444444444444448</v>
      </c>
    </row>
  </sheetData>
  <mergeCells count="12">
    <mergeCell ref="AZ4:AZ5"/>
    <mergeCell ref="BA4:BA5"/>
    <mergeCell ref="BC4:BC5"/>
    <mergeCell ref="D4:O4"/>
    <mergeCell ref="Q4:AC4"/>
    <mergeCell ref="AF4:AR4"/>
    <mergeCell ref="BB4:BB5"/>
    <mergeCell ref="AU4:AU5"/>
    <mergeCell ref="AW4:AW5"/>
    <mergeCell ref="AY4:AY5"/>
    <mergeCell ref="AX4:AX5"/>
    <mergeCell ref="AT4:AT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2023-02-15T18:22:21Z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