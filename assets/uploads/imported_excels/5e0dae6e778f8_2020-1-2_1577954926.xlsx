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0" sheetId="1" r:id="rId3"/>
  </sheets>
  <externalReferences>
    <externalReference r:id="rId4"/>
  </externalReference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L3" i="3" l="1"/>
  <c r="I3" i="3"/>
  <c r="G3" i="3"/>
  <c r="E3" i="3"/>
  <c r="K3" i="3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<sst xmlns="http://schemas.openxmlformats.org/spreadsheetml/2006/main" count="106" uniqueCount="37">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</sst>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December%202019%20DI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Daily "/>
      <sheetName val="Submetering Daily "/>
      <sheetName val="12 - 2019"/>
    </sheetNames>
    <sheetDataSet>
      <sheetData sheetId="0"/>
      <sheetData sheetId="1"/>
      <sheetData sheetId="2">
        <row r="6">
          <cell r="B6">
            <v>253727</v>
          </cell>
          <cell r="C6">
            <v>74657.899999999994</v>
          </cell>
          <cell r="E6">
            <v>7954</v>
          </cell>
          <cell r="F6">
            <v>1477.18</v>
          </cell>
          <cell r="G6">
            <v>13927.81</v>
          </cell>
          <cell r="H6">
            <v>14528</v>
          </cell>
          <cell r="I6">
            <v>80180</v>
          </cell>
          <cell r="J6">
            <v>36766524</v>
          </cell>
        </row>
        <row r="7">
          <cell r="B7">
            <v>256978</v>
          </cell>
          <cell r="C7">
            <v>79818.600000000006</v>
          </cell>
          <cell r="E7">
            <v>7977.7</v>
          </cell>
          <cell r="F7">
            <v>1482.12</v>
          </cell>
          <cell r="G7">
            <v>13958.73</v>
          </cell>
          <cell r="H7">
            <v>14528</v>
          </cell>
          <cell r="I7">
            <v>80271</v>
          </cell>
          <cell r="J7">
            <v>36782939</v>
          </cell>
        </row>
        <row r="8">
          <cell r="B8">
            <v>260286</v>
          </cell>
          <cell r="C8">
            <v>85147</v>
          </cell>
          <cell r="E8">
            <v>7999</v>
          </cell>
          <cell r="F8">
            <v>1487</v>
          </cell>
          <cell r="G8">
            <v>13989</v>
          </cell>
          <cell r="H8">
            <v>14528</v>
          </cell>
          <cell r="I8">
            <v>80344</v>
          </cell>
          <cell r="J8">
            <v>36795051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Q11" sqref="Q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'[1]12 - 2019'!B7-'[1]12 - 2019'!B6+'[1]12 - 2019'!C7-'[1]12 - 2019'!C6</f>
        <v>8411.7000000000116</v>
      </c>
      <c r="F2" s="25">
        <v>0.11799999999999999</v>
      </c>
      <c r="G2" s="27">
        <f>(('[1]12 - 2019'!E7-'[1]12 - 2019'!E6)+('[1]12 - 2019'!F7-'[1]12 - 2019'!F6)+('[1]12 - 2019'!G7-'[1]12 - 2019'!G6))*1.81</f>
        <v>107.80359999999949</v>
      </c>
      <c r="H2" s="25">
        <v>0.99</v>
      </c>
      <c r="I2" s="27">
        <f>'[1]12 - 2019'!J7-'[1]12 - 2019'!J6</f>
        <v>16415</v>
      </c>
      <c r="J2" s="25">
        <v>8.1000000000000003E-2</v>
      </c>
      <c r="K2" s="27">
        <f>'[1]12 - 2019'!H7-'[1]12 - 2019'!H6</f>
        <v>0</v>
      </c>
      <c r="L2" s="27">
        <f>'[1]12 - 2019'!I7-'[1]12 - 2019'!I6</f>
        <v>91</v>
      </c>
      <c r="M2" s="26">
        <v>4.3936294247669103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'[1]12 - 2019'!B8-'[1]12 - 2019'!B7+'[1]12 - 2019'!C8-'[1]12 - 2019'!C7</f>
        <v>8636.3999999999942</v>
      </c>
      <c r="F3" s="25">
        <v>0.11799999999999999</v>
      </c>
      <c r="G3" s="27">
        <f>(('[1]12 - 2019'!E8-'[1]12 - 2019'!E7)+('[1]12 - 2019'!F8-'[1]12 - 2019'!F7)+('[1]12 - 2019'!G8-'[1]12 - 2019'!G7))*1.81</f>
        <v>102.17450000000132</v>
      </c>
      <c r="H3" s="25">
        <v>0.99</v>
      </c>
      <c r="I3" s="27">
        <f>'[1]12 - 2019'!J8-'[1]12 - 2019'!J7</f>
        <v>12112</v>
      </c>
      <c r="J3" s="25">
        <v>8.1000000000000003E-2</v>
      </c>
      <c r="K3" s="27">
        <f>'[1]12 - 2019'!H8-'[1]12 - 2019'!H7</f>
        <v>0</v>
      </c>
      <c r="L3" s="27">
        <f>'[1]12 - 2019'!I8-'[1]12 - 2019'!I7</f>
        <v>73</v>
      </c>
      <c r="M3" s="26">
        <v>4.3936294247669103</v>
      </c>
      <c r="N3" s="6">
        <v>95</v>
      </c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v>0</v>
      </c>
      <c r="F4" s="25">
        <v>0.11799999999999999</v>
      </c>
      <c r="G4" s="27">
        <v>0</v>
      </c>
      <c r="H4" s="25">
        <v>0.99</v>
      </c>
      <c r="I4" s="27">
        <v>0</v>
      </c>
      <c r="J4" s="25">
        <v>8.1000000000000003E-2</v>
      </c>
      <c r="K4" s="27">
        <v>0</v>
      </c>
      <c r="L4" s="27">
        <v>0</v>
      </c>
      <c r="M4" s="26">
        <v>4.393629424766913</v>
      </c>
      <c r="N4" s="6"/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'01 - 2020'!B10-'01 - 2020'!B9+'01 - 2020'!C10-'01 - 2020'!C9</f>
        <v>0</v>
      </c>
      <c r="F5" s="25">
        <v>0.11799999999999999</v>
      </c>
      <c r="G5" s="27">
        <f>(('01 - 2020'!E10-'01 - 2020'!E9)+('01 - 2020'!F10-'01 - 2020'!F9)+('01 - 2020'!G10-'01 - 2020'!G9))*1.81</f>
        <v>0</v>
      </c>
      <c r="H5" s="25">
        <v>0.99</v>
      </c>
      <c r="I5" s="27">
        <f>'01 - 2020'!J10-'01 - 2020'!J9</f>
        <v>0</v>
      </c>
      <c r="J5" s="25">
        <v>8.1000000000000003E-2</v>
      </c>
      <c r="K5" s="27">
        <f>'01 - 2020'!H10-'01 - 2020'!H9</f>
        <v>0</v>
      </c>
      <c r="L5" s="27">
        <f>'01 - 2020'!I10-'01 - 2020'!I9</f>
        <v>0</v>
      </c>
      <c r="M5" s="26">
        <v>4.393629424766913</v>
      </c>
      <c r="N5" s="6"/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'01 - 2020'!B11-'01 - 2020'!B10+'01 - 2020'!C11-'01 - 2020'!C10</f>
        <v>0</v>
      </c>
      <c r="F6" s="25">
        <v>0.11799999999999999</v>
      </c>
      <c r="G6" s="27">
        <f>(('01 - 2020'!E11-'01 - 2020'!E10)+('01 - 2020'!F11-'01 - 2020'!F10)+('01 - 2020'!G11-'01 - 2020'!G10))*1.81</f>
        <v>0</v>
      </c>
      <c r="H6" s="25">
        <v>0.99</v>
      </c>
      <c r="I6" s="27">
        <f>'01 - 2020'!J11-'01 - 2020'!J10</f>
        <v>0</v>
      </c>
      <c r="J6" s="25">
        <v>8.1000000000000003E-2</v>
      </c>
      <c r="K6" s="27">
        <f>'01 - 2020'!H11-'01 - 2020'!H10</f>
        <v>0</v>
      </c>
      <c r="L6" s="27">
        <f>'01 - 2020'!I11-'01 - 2020'!I10</f>
        <v>0</v>
      </c>
      <c r="M6" s="26">
        <v>4.393629424766913</v>
      </c>
      <c r="N6" s="15"/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'01 - 2020'!B12-'01 - 2020'!B11+'01 - 2020'!C12-'01 - 2020'!C11</f>
        <v>0</v>
      </c>
      <c r="F7" s="25">
        <v>0.11799999999999999</v>
      </c>
      <c r="G7" s="27">
        <f>(('01 - 2020'!E12-'01 - 2020'!E11)+('01 - 2020'!F12-'01 - 2020'!F11)+('01 - 2020'!G12-'01 - 2020'!G11))*1.81</f>
        <v>0</v>
      </c>
      <c r="H7" s="25">
        <v>0.99</v>
      </c>
      <c r="I7" s="27">
        <f>'01 - 2020'!J12-'01 - 2020'!J11</f>
        <v>0</v>
      </c>
      <c r="J7" s="25">
        <v>8.1000000000000003E-2</v>
      </c>
      <c r="K7" s="27">
        <f>'01 - 2020'!H12-'01 - 2020'!H11</f>
        <v>0</v>
      </c>
      <c r="L7" s="27">
        <f>'01 - 2020'!I12-'01 - 2020'!I11</f>
        <v>0</v>
      </c>
      <c r="M7" s="26">
        <v>4.393629424766913</v>
      </c>
      <c r="N7" s="6"/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'01 - 2020'!B13-'01 - 2020'!B12+'01 - 2020'!C13-'01 - 2020'!C12</f>
        <v>0</v>
      </c>
      <c r="F8" s="25">
        <v>0.11799999999999999</v>
      </c>
      <c r="G8" s="27">
        <f>(('01 - 2020'!E13-'01 - 2020'!E12)+('01 - 2020'!F13-'01 - 2020'!F12)+('01 - 2020'!G13-'01 - 2020'!G12))*1.81</f>
        <v>0</v>
      </c>
      <c r="H8" s="25">
        <v>0.99</v>
      </c>
      <c r="I8" s="27">
        <f>'01 - 2020'!J13-'01 - 2020'!J12</f>
        <v>0</v>
      </c>
      <c r="J8" s="25">
        <v>8.1000000000000003E-2</v>
      </c>
      <c r="K8" s="27">
        <f>'01 - 2020'!H13-'01 - 2020'!H12</f>
        <v>0</v>
      </c>
      <c r="L8" s="27">
        <f>'01 - 2020'!I13-'01 - 2020'!I12</f>
        <v>0</v>
      </c>
      <c r="M8" s="26">
        <v>4.393629424766913</v>
      </c>
      <c r="N8" s="6"/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'01 - 2020'!B14-'01 - 2020'!B13+'01 - 2020'!C14-'01 - 2020'!C13</f>
        <v>0</v>
      </c>
      <c r="F9" s="25">
        <v>0.11799999999999999</v>
      </c>
      <c r="G9" s="27">
        <f>(('01 - 2020'!E14-'01 - 2020'!E13)+('01 - 2020'!F14-'01 - 2020'!F13)+('01 - 2020'!G14-'01 - 2020'!G13))*1.81</f>
        <v>0</v>
      </c>
      <c r="H9" s="25">
        <v>0.99</v>
      </c>
      <c r="I9" s="27">
        <f>'01 - 2020'!J14-'01 - 2020'!J13</f>
        <v>0</v>
      </c>
      <c r="J9" s="25">
        <v>8.1000000000000003E-2</v>
      </c>
      <c r="K9" s="27">
        <f>'01 - 2020'!H14-'01 - 2020'!H13</f>
        <v>0</v>
      </c>
      <c r="L9" s="27">
        <f>'01 - 2020'!I14-'01 - 2020'!I13</f>
        <v>0</v>
      </c>
      <c r="M9" s="26">
        <v>4.393629424766913</v>
      </c>
      <c r="N9" s="6"/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'01 - 2020'!B15-'01 - 2020'!B14+'01 - 2020'!C15-'01 - 2020'!C14</f>
        <v>0</v>
      </c>
      <c r="F10" s="25">
        <v>0.11799999999999999</v>
      </c>
      <c r="G10" s="27">
        <f>(('01 - 2020'!E15-'01 - 2020'!E14)+('01 - 2020'!F15-'01 - 2020'!F14)+('01 - 2020'!G15-'01 - 2020'!G14))*1.81</f>
        <v>0</v>
      </c>
      <c r="H10" s="25">
        <v>0.99</v>
      </c>
      <c r="I10" s="27">
        <f>'01 - 2020'!J15-'01 - 2020'!J14</f>
        <v>0</v>
      </c>
      <c r="J10" s="25">
        <v>8.1000000000000003E-2</v>
      </c>
      <c r="K10" s="27">
        <f>'01 - 2020'!H15-'01 - 2020'!H14</f>
        <v>0</v>
      </c>
      <c r="L10" s="27">
        <f>'01 - 2020'!I15-'01 - 2020'!I14</f>
        <v>0</v>
      </c>
      <c r="M10" s="26">
        <v>4.393629424766913</v>
      </c>
      <c r="N10" s="6"/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'01 - 2020'!B16-'01 - 2020'!B15+'01 - 2020'!C16-'01 - 2020'!C15</f>
        <v>0</v>
      </c>
      <c r="F11" s="25">
        <v>0.11799999999999999</v>
      </c>
      <c r="G11" s="27">
        <f>(('01 - 2020'!E16-'01 - 2020'!E15)+('01 - 2020'!F16-'01 - 2020'!F15)+('01 - 2020'!G16-'01 - 2020'!G15))*1.81</f>
        <v>0</v>
      </c>
      <c r="H11" s="25">
        <v>0.99</v>
      </c>
      <c r="I11" s="27">
        <f>'01 - 2020'!J16-'01 - 2020'!J15</f>
        <v>0</v>
      </c>
      <c r="J11" s="25">
        <v>8.1000000000000003E-2</v>
      </c>
      <c r="K11" s="27">
        <f>'01 - 2020'!H16-'01 - 2020'!H15</f>
        <v>0</v>
      </c>
      <c r="L11" s="27">
        <f>'01 - 2020'!I16-'01 - 2020'!I15</f>
        <v>0</v>
      </c>
      <c r="M11" s="26">
        <v>4.393629424766913</v>
      </c>
      <c r="N11" s="6"/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0</v>
      </c>
      <c r="F12" s="25">
        <v>0.11799999999999999</v>
      </c>
      <c r="G12" s="27">
        <f>(('01 - 2020'!E17-'01 - 2020'!E16)+('01 - 2020'!F17-'01 - 2020'!F16)+('01 - 2020'!G17-'01 - 2020'!G16))*1.81</f>
        <v>0</v>
      </c>
      <c r="H12" s="25">
        <v>0.99</v>
      </c>
      <c r="I12" s="27">
        <f>'01 - 2020'!J17-'01 - 2020'!J16</f>
        <v>0</v>
      </c>
      <c r="J12" s="25">
        <v>8.1000000000000003E-2</v>
      </c>
      <c r="K12" s="27">
        <f>'01 - 2020'!H17-'01 - 2020'!H16</f>
        <v>0</v>
      </c>
      <c r="L12" s="27">
        <f>'01 - 2020'!I17-'01 - 2020'!I16</f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0</v>
      </c>
      <c r="F13" s="25">
        <v>0.11799999999999999</v>
      </c>
      <c r="G13" s="27">
        <f>(('01 - 2020'!E18-'01 - 2020'!E17)+('01 - 2020'!F18-'01 - 2020'!F17)+('01 - 2020'!G18-'01 - 2020'!G17))*1.81</f>
        <v>0</v>
      </c>
      <c r="H13" s="25">
        <v>0.99</v>
      </c>
      <c r="I13" s="27">
        <f>'01 - 2020'!J18-'01 - 2020'!J17</f>
        <v>0</v>
      </c>
      <c r="J13" s="25">
        <v>8.1000000000000003E-2</v>
      </c>
      <c r="K13" s="27">
        <f>'01 - 2020'!H18-'01 - 2020'!H17</f>
        <v>0</v>
      </c>
      <c r="L13" s="27">
        <f>'01 - 2020'!I18-'01 - 2020'!I17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0</v>
      </c>
      <c r="F14" s="25">
        <v>0.11799999999999999</v>
      </c>
      <c r="G14" s="27">
        <f>(('01 - 2020'!E19-'01 - 2020'!E18)+('01 - 2020'!F19-'01 - 2020'!F18)+('01 - 2020'!G19-'01 - 2020'!G18))*1.81</f>
        <v>0</v>
      </c>
      <c r="H14" s="25">
        <v>0.99</v>
      </c>
      <c r="I14" s="27">
        <f>'01 - 2020'!J19-'01 - 2020'!J18</f>
        <v>0</v>
      </c>
      <c r="J14" s="25">
        <v>8.1000000000000003E-2</v>
      </c>
      <c r="K14" s="27">
        <f>'01 - 2020'!H19-'01 - 2020'!H18</f>
        <v>0</v>
      </c>
      <c r="L14" s="27">
        <f>'01 - 2020'!I19-'01 - 2020'!I18</f>
        <v>0</v>
      </c>
      <c r="M14" s="26">
        <v>4.393629424766913</v>
      </c>
      <c r="N14" s="6"/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0</v>
      </c>
      <c r="F15" s="25">
        <v>0.11799999999999999</v>
      </c>
      <c r="G15" s="27">
        <f>(('01 - 2020'!E20-'01 - 2020'!E19)+('01 - 2020'!F20-'01 - 2020'!F19)+('01 - 2020'!G20-'01 - 2020'!G19))*1.81</f>
        <v>0</v>
      </c>
      <c r="H15" s="25">
        <v>0.99</v>
      </c>
      <c r="I15" s="27">
        <f>'01 - 2020'!J20-'01 - 2020'!J19</f>
        <v>0</v>
      </c>
      <c r="J15" s="25">
        <v>8.1000000000000003E-2</v>
      </c>
      <c r="K15" s="27">
        <f>'01 - 2020'!H20-'01 - 2020'!H19</f>
        <v>0</v>
      </c>
      <c r="L15" s="27">
        <f>'01 - 2020'!I20-'01 - 2020'!I19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0</v>
      </c>
      <c r="F16" s="25">
        <v>0.11799999999999999</v>
      </c>
      <c r="G16" s="27">
        <f>(('01 - 2020'!E21-'01 - 2020'!E20)+('01 - 2020'!F21-'01 - 2020'!F20)+('01 - 2020'!G21-'01 - 2020'!G20))*1.81</f>
        <v>0</v>
      </c>
      <c r="H16" s="25">
        <v>0.99</v>
      </c>
      <c r="I16" s="27">
        <f>'01 - 2020'!J21-'01 - 2020'!J20</f>
        <v>0</v>
      </c>
      <c r="J16" s="25">
        <v>8.1000000000000003E-2</v>
      </c>
      <c r="K16" s="27">
        <f>'01 - 2020'!H21-'01 - 2020'!H20</f>
        <v>0</v>
      </c>
      <c r="L16" s="27">
        <f>'01 - 2020'!I21-'01 - 2020'!I20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0</v>
      </c>
      <c r="F17" s="25">
        <v>0.11799999999999999</v>
      </c>
      <c r="G17" s="27">
        <f>(('01 - 2020'!E22-'01 - 2020'!E21)+('01 - 2020'!F22-'01 - 2020'!F21)+('01 - 2020'!G22-'01 - 2020'!G21))*1.81</f>
        <v>0</v>
      </c>
      <c r="H17" s="25">
        <v>0.99</v>
      </c>
      <c r="I17" s="27">
        <f>'01 - 2020'!J22-'01 - 2020'!J21</f>
        <v>0</v>
      </c>
      <c r="J17" s="25">
        <v>8.1000000000000003E-2</v>
      </c>
      <c r="K17" s="27">
        <f>'01 - 2020'!H22-'01 - 2020'!H21</f>
        <v>0</v>
      </c>
      <c r="L17" s="27">
        <f>'01 - 2020'!I22-'01 - 2020'!I21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0</v>
      </c>
      <c r="F18" s="25">
        <v>0.11799999999999999</v>
      </c>
      <c r="G18" s="27">
        <f>(('01 - 2020'!E23-'01 - 2020'!E22)+('01 - 2020'!F23-'01 - 2020'!F22)+('01 - 2020'!G23-'01 - 2020'!G22))*1.81</f>
        <v>0</v>
      </c>
      <c r="H18" s="25">
        <v>0.99</v>
      </c>
      <c r="I18" s="27">
        <f>'01 - 2020'!J23-'01 - 2020'!J22</f>
        <v>0</v>
      </c>
      <c r="J18" s="25">
        <v>8.1000000000000003E-2</v>
      </c>
      <c r="K18" s="27">
        <f>'01 - 2020'!H23-'01 - 2020'!H22</f>
        <v>0</v>
      </c>
      <c r="L18" s="27">
        <f>'01 - 2020'!I23-'01 - 2020'!I22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0</v>
      </c>
      <c r="F19" s="25">
        <v>0.11799999999999999</v>
      </c>
      <c r="G19" s="27">
        <f>(('01 - 2020'!E24-'01 - 2020'!E23)+('01 - 2020'!F24-'01 - 2020'!F23)+('01 - 2020'!G24-'01 - 2020'!G23))*1.81</f>
        <v>0</v>
      </c>
      <c r="H19" s="25">
        <v>0.99</v>
      </c>
      <c r="I19" s="27">
        <f>'01 - 2020'!J24-'01 - 2020'!J23</f>
        <v>0</v>
      </c>
      <c r="J19" s="25">
        <v>8.1000000000000003E-2</v>
      </c>
      <c r="K19" s="27">
        <f>'01 - 2020'!H24-'01 - 2020'!H23</f>
        <v>0</v>
      </c>
      <c r="L19" s="27">
        <f>'01 - 2020'!I24-'01 - 2020'!I23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0</v>
      </c>
      <c r="F20" s="25">
        <v>0.11799999999999999</v>
      </c>
      <c r="G20" s="27">
        <f>(('01 - 2020'!E25-'01 - 2020'!E24)+('01 - 2020'!F25-'01 - 2020'!F24)+('01 - 2020'!G25-'01 - 2020'!G24))*1.81</f>
        <v>0</v>
      </c>
      <c r="H20" s="25">
        <v>0.99</v>
      </c>
      <c r="I20" s="27">
        <f>'01 - 2020'!J25-'01 - 2020'!J24</f>
        <v>0</v>
      </c>
      <c r="J20" s="25">
        <v>8.1000000000000003E-2</v>
      </c>
      <c r="K20" s="27">
        <f>'01 - 2020'!H25-'01 - 2020'!H24</f>
        <v>0</v>
      </c>
      <c r="L20" s="27">
        <f>'01 - 2020'!I25-'01 - 2020'!I24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0</v>
      </c>
      <c r="F21" s="25">
        <v>0.11799999999999999</v>
      </c>
      <c r="G21" s="27">
        <f>(('01 - 2020'!E26-'01 - 2020'!E25)+('01 - 2020'!F26-'01 - 2020'!F25)+('01 - 2020'!G26-'01 - 2020'!G25))*1.81</f>
        <v>0</v>
      </c>
      <c r="H21" s="25">
        <v>0.99</v>
      </c>
      <c r="I21" s="27">
        <f>'01 - 2020'!J26-'01 - 2020'!J25</f>
        <v>0</v>
      </c>
      <c r="J21" s="25">
        <v>8.1000000000000003E-2</v>
      </c>
      <c r="K21" s="27">
        <f>'01 - 2020'!H26-'01 - 2020'!H25</f>
        <v>0</v>
      </c>
      <c r="L21" s="27">
        <f>'01 - 2020'!I26-'01 - 2020'!I25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0</v>
      </c>
      <c r="F22" s="25">
        <v>0.11799999999999999</v>
      </c>
      <c r="G22" s="27">
        <f>(('01 - 2020'!E27-'01 - 2020'!E26)+('01 - 2020'!F27-'01 - 2020'!F26)+('01 - 2020'!G27-'01 - 2020'!G26))*1.81</f>
        <v>0</v>
      </c>
      <c r="H22" s="25">
        <v>0.99</v>
      </c>
      <c r="I22" s="27">
        <f>'01 - 2020'!J27-'01 - 2020'!J26</f>
        <v>0</v>
      </c>
      <c r="J22" s="25">
        <v>8.1000000000000003E-2</v>
      </c>
      <c r="K22" s="27">
        <f>'01 - 2020'!H27-'01 - 2020'!H26</f>
        <v>0</v>
      </c>
      <c r="L22" s="27">
        <f>'01 - 2020'!I27-'01 - 2020'!I26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10" sqref="N1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</f>
        <v>3251</v>
      </c>
      <c r="F2" s="27">
        <f>'[1]12 - 2019'!C7-'[1]12 - 2019'!C6</f>
        <v>5160.7000000000116</v>
      </c>
      <c r="G2" s="25">
        <v>0.11799999999999999</v>
      </c>
      <c r="H2" s="27">
        <f>'[1]12 - 2019'!E7-'[1]12 - 2019'!E6</f>
        <v>23.699999999999818</v>
      </c>
      <c r="I2" s="27">
        <f>'[1]12 - 2019'!F7-'[1]12 - 2019'!F6</f>
        <v>4.9399999999998272</v>
      </c>
      <c r="J2" s="27">
        <f>'[1]12 - 2019'!G7-'[1]12 - 2019'!G6</f>
        <v>30.920000000000073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f>'[1]12 - 2019'!B8-'[1]12 - 2019'!B7</f>
        <v>3308</v>
      </c>
      <c r="F3" s="27">
        <f>'[1]12 - 2019'!C8-'[1]12 - 2019'!C7</f>
        <v>5328.3999999999942</v>
      </c>
      <c r="G3" s="25">
        <v>0.11799999999999999</v>
      </c>
      <c r="H3" s="27">
        <f>'[1]12 - 2019'!E8-'[1]12 - 2019'!E7</f>
        <v>21.300000000000182</v>
      </c>
      <c r="I3" s="27">
        <f>'[1]12 - 2019'!F8-'[1]12 - 2019'!F7</f>
        <v>4.8800000000001091</v>
      </c>
      <c r="J3" s="27">
        <f>'[1]12 - 2019'!G8-'[1]12 - 2019'!G7</f>
        <v>30.270000000000437</v>
      </c>
      <c r="K3" s="25">
        <v>0.74</v>
      </c>
      <c r="L3" s="6">
        <v>95</v>
      </c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v>0</v>
      </c>
      <c r="F4" s="27">
        <v>0</v>
      </c>
      <c r="G4" s="25">
        <v>0.11799999999999999</v>
      </c>
      <c r="H4" s="27">
        <v>0</v>
      </c>
      <c r="I4" s="27">
        <v>0</v>
      </c>
      <c r="J4" s="27">
        <v>0</v>
      </c>
      <c r="K4" s="25">
        <v>0.74</v>
      </c>
      <c r="L4" s="6"/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</f>
        <v>0</v>
      </c>
      <c r="F5" s="27">
        <f>'01 - 2020'!C10-'01 - 2020'!C9</f>
        <v>0</v>
      </c>
      <c r="G5" s="25">
        <v>0.11799999999999999</v>
      </c>
      <c r="H5" s="27">
        <f>'01 - 2020'!E10-'01 - 2020'!E9</f>
        <v>0</v>
      </c>
      <c r="I5" s="27">
        <f>'01 - 2020'!F10-'01 - 2020'!F9</f>
        <v>0</v>
      </c>
      <c r="J5" s="27">
        <f>'01 - 2020'!G10-'01 - 2020'!G9</f>
        <v>0</v>
      </c>
      <c r="K5" s="25">
        <v>0.74</v>
      </c>
      <c r="L5" s="6"/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</f>
        <v>0</v>
      </c>
      <c r="F6" s="27">
        <f>'01 - 2020'!C11-'01 - 2020'!C10</f>
        <v>0</v>
      </c>
      <c r="G6" s="25">
        <v>0.11799999999999999</v>
      </c>
      <c r="H6" s="27">
        <f>'01 - 2020'!E11-'01 - 2020'!E10</f>
        <v>0</v>
      </c>
      <c r="I6" s="27">
        <f>'01 - 2020'!F11-'01 - 2020'!F10</f>
        <v>0</v>
      </c>
      <c r="J6" s="27">
        <f>'01 - 2020'!G11-'01 - 2020'!G10</f>
        <v>0</v>
      </c>
      <c r="K6" s="25">
        <v>0.74</v>
      </c>
      <c r="L6" s="15"/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</f>
        <v>0</v>
      </c>
      <c r="F7" s="27">
        <f>'01 - 2020'!C12-'01 - 2020'!C11</f>
        <v>0</v>
      </c>
      <c r="G7" s="25">
        <v>0.11799999999999999</v>
      </c>
      <c r="H7" s="27">
        <f>'01 - 2020'!E12-'01 - 2020'!E11</f>
        <v>0</v>
      </c>
      <c r="I7" s="27">
        <f>'01 - 2020'!F12-'01 - 2020'!F11</f>
        <v>0</v>
      </c>
      <c r="J7" s="27">
        <f>'01 - 2020'!G12-'01 - 2020'!G11</f>
        <v>0</v>
      </c>
      <c r="K7" s="25">
        <v>0.74</v>
      </c>
      <c r="L7" s="6"/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</f>
        <v>0</v>
      </c>
      <c r="F8" s="27">
        <f>'01 - 2020'!C13-'01 - 2020'!C12</f>
        <v>0</v>
      </c>
      <c r="G8" s="25">
        <v>0.11799999999999999</v>
      </c>
      <c r="H8" s="27">
        <f>'01 - 2020'!E13-'01 - 2020'!E12</f>
        <v>0</v>
      </c>
      <c r="I8" s="27">
        <f>'01 - 2020'!F13-'01 - 2020'!F12</f>
        <v>0</v>
      </c>
      <c r="J8" s="27">
        <f>'01 - 2020'!G13-'01 - 2020'!G12</f>
        <v>0</v>
      </c>
      <c r="K8" s="25">
        <v>0.74</v>
      </c>
      <c r="L8" s="6"/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</f>
        <v>0</v>
      </c>
      <c r="F9" s="27">
        <f>'01 - 2020'!C14-'01 - 2020'!C13</f>
        <v>0</v>
      </c>
      <c r="G9" s="25">
        <v>0.11799999999999999</v>
      </c>
      <c r="H9" s="27">
        <f>'01 - 2020'!E14-'01 - 2020'!E13</f>
        <v>0</v>
      </c>
      <c r="I9" s="27">
        <f>'01 - 2020'!F14-'01 - 2020'!F13</f>
        <v>0</v>
      </c>
      <c r="J9" s="27">
        <f>'01 - 2020'!G14-'01 - 2020'!G13</f>
        <v>0</v>
      </c>
      <c r="K9" s="25">
        <v>0.74</v>
      </c>
      <c r="L9" s="6"/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</f>
        <v>0</v>
      </c>
      <c r="F10" s="27">
        <f>'01 - 2020'!C15-'01 - 2020'!C14</f>
        <v>0</v>
      </c>
      <c r="G10" s="25">
        <v>0.11799999999999999</v>
      </c>
      <c r="H10" s="27">
        <f>'01 - 2020'!E15-'01 - 2020'!E14</f>
        <v>0</v>
      </c>
      <c r="I10" s="27">
        <f>'01 - 2020'!F15-'01 - 2020'!F14</f>
        <v>0</v>
      </c>
      <c r="J10" s="27">
        <f>'01 - 2020'!G15-'01 - 2020'!G14</f>
        <v>0</v>
      </c>
      <c r="K10" s="25">
        <v>0.74</v>
      </c>
      <c r="L10" s="27"/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</f>
        <v>0</v>
      </c>
      <c r="F11" s="27">
        <f>'01 - 2020'!C16-'01 - 2020'!C15</f>
        <v>0</v>
      </c>
      <c r="G11" s="25">
        <v>0.11799999999999999</v>
      </c>
      <c r="H11" s="27">
        <f>'01 - 2020'!E16-'01 - 2020'!E15</f>
        <v>0</v>
      </c>
      <c r="I11" s="27">
        <f>'01 - 2020'!F16-'01 - 2020'!F15</f>
        <v>0</v>
      </c>
      <c r="J11" s="27">
        <f>'01 - 2020'!G16-'01 - 2020'!G15</f>
        <v>0</v>
      </c>
      <c r="K11" s="25">
        <v>0.74</v>
      </c>
      <c r="L11" s="27"/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0</v>
      </c>
      <c r="F12" s="27">
        <f>'01 - 2020'!C17-'01 - 2020'!C16</f>
        <v>0</v>
      </c>
      <c r="G12" s="25">
        <v>0.11799999999999999</v>
      </c>
      <c r="H12" s="27">
        <f>'01 - 2020'!E17-'01 - 2020'!E16</f>
        <v>0</v>
      </c>
      <c r="I12" s="27">
        <f>'01 - 2020'!F17-'01 - 2020'!F16</f>
        <v>0</v>
      </c>
      <c r="J12" s="27">
        <f>'01 - 2020'!G17-'01 - 2020'!G16</f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0</v>
      </c>
      <c r="F13" s="27">
        <f>'01 - 2020'!C18-'01 - 2020'!C17</f>
        <v>0</v>
      </c>
      <c r="G13" s="25">
        <v>0.11799999999999999</v>
      </c>
      <c r="H13" s="27">
        <f>'01 - 2020'!E18-'01 - 2020'!E17</f>
        <v>0</v>
      </c>
      <c r="I13" s="27">
        <f>'01 - 2020'!F18-'01 - 2020'!F17</f>
        <v>0</v>
      </c>
      <c r="J13" s="27">
        <f>'01 - 2020'!G18-'01 - 2020'!G17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0</v>
      </c>
      <c r="F14" s="27">
        <f>'01 - 2020'!C19-'01 - 2020'!C18</f>
        <v>0</v>
      </c>
      <c r="G14" s="25">
        <v>0.11799999999999999</v>
      </c>
      <c r="H14" s="27">
        <f>'01 - 2020'!E19-'01 - 2020'!E18</f>
        <v>0</v>
      </c>
      <c r="I14" s="27">
        <f>'01 - 2020'!F19-'01 - 2020'!F18</f>
        <v>0</v>
      </c>
      <c r="J14" s="27">
        <f>'01 - 2020'!G19-'01 - 2020'!G18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0</v>
      </c>
      <c r="F15" s="27">
        <f>'01 - 2020'!C20-'01 - 2020'!C19</f>
        <v>0</v>
      </c>
      <c r="G15" s="25">
        <v>0.11799999999999999</v>
      </c>
      <c r="H15" s="27">
        <f>'01 - 2020'!E20-'01 - 2020'!E19</f>
        <v>0</v>
      </c>
      <c r="I15" s="27">
        <f>'01 - 2020'!F20-'01 - 2020'!F19</f>
        <v>0</v>
      </c>
      <c r="J15" s="27">
        <f>'01 - 2020'!G20-'01 - 2020'!G19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0</v>
      </c>
      <c r="F16" s="27">
        <f>'01 - 2020'!C21-'01 - 2020'!C20</f>
        <v>0</v>
      </c>
      <c r="G16" s="25">
        <v>0.11799999999999999</v>
      </c>
      <c r="H16" s="27">
        <f>'01 - 2020'!E21-'01 - 2020'!E20</f>
        <v>0</v>
      </c>
      <c r="I16" s="27">
        <f>'01 - 2020'!F21-'01 - 2020'!F20</f>
        <v>0</v>
      </c>
      <c r="J16" s="27">
        <f>'01 - 2020'!G21-'01 - 2020'!G20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0</v>
      </c>
      <c r="F17" s="27">
        <f>'01 - 2020'!C22-'01 - 2020'!C21</f>
        <v>0</v>
      </c>
      <c r="G17" s="25">
        <v>0.11799999999999999</v>
      </c>
      <c r="H17" s="27">
        <f>'01 - 2020'!E22-'01 - 2020'!E21</f>
        <v>0</v>
      </c>
      <c r="I17" s="27">
        <f>'01 - 2020'!F22-'01 - 2020'!F21</f>
        <v>0</v>
      </c>
      <c r="J17" s="27">
        <f>'01 - 2020'!G22-'01 - 2020'!G21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0</v>
      </c>
      <c r="F18" s="27">
        <f>'01 - 2020'!C23-'01 - 2020'!C22</f>
        <v>0</v>
      </c>
      <c r="G18" s="25">
        <v>0.11799999999999999</v>
      </c>
      <c r="H18" s="27">
        <f>'01 - 2020'!E23-'01 - 2020'!E22</f>
        <v>0</v>
      </c>
      <c r="I18" s="27">
        <f>'01 - 2020'!F23-'01 - 2020'!F22</f>
        <v>0</v>
      </c>
      <c r="J18" s="27">
        <f>'01 - 2020'!G23-'01 - 2020'!G22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0</v>
      </c>
      <c r="F19" s="27">
        <f>'01 - 2020'!C24-'01 - 2020'!C23</f>
        <v>0</v>
      </c>
      <c r="G19" s="25">
        <v>0.11799999999999999</v>
      </c>
      <c r="H19" s="27">
        <f>'01 - 2020'!E24-'01 - 2020'!E23</f>
        <v>0</v>
      </c>
      <c r="I19" s="27">
        <f>'01 - 2020'!F24-'01 - 2020'!F23</f>
        <v>0</v>
      </c>
      <c r="J19" s="27">
        <f>'01 - 2020'!G24-'01 - 2020'!G23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0</v>
      </c>
      <c r="F20" s="27">
        <f>'01 - 2020'!C25-'01 - 2020'!C24</f>
        <v>0</v>
      </c>
      <c r="G20" s="25">
        <v>0.11799999999999999</v>
      </c>
      <c r="H20" s="27">
        <f>'01 - 2020'!E25-'01 - 2020'!E24</f>
        <v>0</v>
      </c>
      <c r="I20" s="27">
        <f>'01 - 2020'!F25-'01 - 2020'!F24</f>
        <v>0</v>
      </c>
      <c r="J20" s="27">
        <f>'01 - 2020'!G25-'01 - 2020'!G24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0</v>
      </c>
      <c r="F21" s="27">
        <f>'01 - 2020'!C26-'01 - 2020'!C25</f>
        <v>0</v>
      </c>
      <c r="G21" s="25">
        <v>0.11799999999999999</v>
      </c>
      <c r="H21" s="27">
        <f>'01 - 2020'!E26-'01 - 2020'!E25</f>
        <v>0</v>
      </c>
      <c r="I21" s="27">
        <f>'01 - 2020'!F26-'01 - 2020'!F25</f>
        <v>0</v>
      </c>
      <c r="J21" s="27">
        <f>'01 - 2020'!G26-'01 - 2020'!G25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0</v>
      </c>
      <c r="F22" s="27">
        <f>'01 - 2020'!C27-'01 - 2020'!C26</f>
        <v>0</v>
      </c>
      <c r="G22" s="25">
        <v>0.11799999999999999</v>
      </c>
      <c r="H22" s="27">
        <f>'01 - 2020'!E27-'01 - 2020'!E26</f>
        <v>0</v>
      </c>
      <c r="I22" s="27">
        <f>'01 - 2020'!F27-'01 - 2020'!F26</f>
        <v>0</v>
      </c>
      <c r="J22" s="27">
        <f>'01 - 2020'!G27-'01 - 2020'!G26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O21" sqref="O2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43466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43467</v>
      </c>
      <c r="B8" s="28">
        <v>379100</v>
      </c>
      <c r="C8" s="20">
        <v>275467</v>
      </c>
      <c r="D8" s="17">
        <v>0.36</v>
      </c>
      <c r="E8" s="24">
        <v>8801.2800000000007</v>
      </c>
      <c r="F8" s="24">
        <v>1661.81</v>
      </c>
      <c r="G8" s="24">
        <v>15221.18</v>
      </c>
      <c r="H8" s="20">
        <v>14528</v>
      </c>
      <c r="I8" s="16">
        <v>83811</v>
      </c>
      <c r="J8" s="16">
        <v>37254084</v>
      </c>
      <c r="K8" s="19"/>
      <c r="L8" s="34"/>
    </row>
    <row r="9" spans="1:15" ht="12.75" customHeight="1" x14ac:dyDescent="0.25">
      <c r="A9" s="49">
        <v>43468</v>
      </c>
      <c r="B9" s="16"/>
      <c r="C9" s="16"/>
      <c r="D9" s="17"/>
      <c r="E9" s="24"/>
      <c r="F9" s="24"/>
      <c r="G9" s="24"/>
      <c r="H9" s="20"/>
      <c r="I9" s="16"/>
      <c r="J9" s="16"/>
      <c r="K9" s="19"/>
      <c r="L9" s="34"/>
    </row>
    <row r="10" spans="1:15" ht="12.75" customHeight="1" x14ac:dyDescent="0.25">
      <c r="A10" s="49">
        <v>43469</v>
      </c>
      <c r="B10" s="16"/>
      <c r="C10" s="16"/>
      <c r="D10" s="17"/>
      <c r="E10" s="24"/>
      <c r="F10" s="24"/>
      <c r="G10" s="24"/>
      <c r="H10" s="20"/>
      <c r="I10" s="16"/>
      <c r="J10" s="16"/>
      <c r="K10" s="19"/>
      <c r="L10" s="34"/>
    </row>
    <row r="11" spans="1:15" ht="12.75" customHeight="1" x14ac:dyDescent="0.25">
      <c r="A11" s="49">
        <v>43470</v>
      </c>
      <c r="B11" s="16"/>
      <c r="C11" s="16"/>
      <c r="D11" s="17"/>
      <c r="E11" s="24"/>
      <c r="F11" s="24"/>
      <c r="G11" s="24"/>
      <c r="H11" s="16"/>
      <c r="I11" s="16"/>
      <c r="J11" s="16"/>
      <c r="K11" s="19"/>
      <c r="L11" s="34"/>
    </row>
    <row r="12" spans="1:15" ht="12.75" customHeight="1" x14ac:dyDescent="0.25">
      <c r="A12" s="49">
        <v>43471</v>
      </c>
      <c r="B12" s="16"/>
      <c r="C12" s="16"/>
      <c r="D12" s="17"/>
      <c r="E12" s="24"/>
      <c r="F12" s="24"/>
      <c r="G12" s="24"/>
      <c r="H12" s="16"/>
      <c r="I12" s="18"/>
      <c r="J12" s="18"/>
      <c r="K12" s="19"/>
      <c r="L12" s="34"/>
    </row>
    <row r="13" spans="1:15" ht="12.75" customHeight="1" x14ac:dyDescent="0.25">
      <c r="A13" s="49">
        <v>43472</v>
      </c>
      <c r="B13" s="16"/>
      <c r="C13" s="16"/>
      <c r="D13" s="17"/>
      <c r="E13" s="24"/>
      <c r="F13" s="24"/>
      <c r="G13" s="18"/>
      <c r="H13" s="16"/>
      <c r="I13" s="16"/>
      <c r="J13" s="16"/>
      <c r="K13" s="28"/>
      <c r="L13" s="34"/>
      <c r="O13" s="27"/>
    </row>
    <row r="14" spans="1:15" ht="12.75" customHeight="1" x14ac:dyDescent="0.25">
      <c r="A14" s="49">
        <v>43473</v>
      </c>
      <c r="B14" s="20"/>
      <c r="C14" s="16"/>
      <c r="D14" s="17"/>
      <c r="E14" s="24"/>
      <c r="F14" s="24"/>
      <c r="G14" s="18"/>
      <c r="H14" s="16"/>
      <c r="I14" s="16"/>
      <c r="J14" s="16"/>
      <c r="K14" s="19"/>
      <c r="L14" s="34"/>
      <c r="O14" s="27"/>
    </row>
    <row r="15" spans="1:15" ht="12.75" customHeight="1" x14ac:dyDescent="0.25">
      <c r="A15" s="49">
        <v>43474</v>
      </c>
      <c r="B15" s="51"/>
      <c r="C15" s="16"/>
      <c r="D15" s="17"/>
      <c r="E15" s="24"/>
      <c r="F15" s="24"/>
      <c r="G15" s="18"/>
      <c r="H15" s="16"/>
      <c r="I15" s="16"/>
      <c r="J15" s="16"/>
      <c r="K15" s="19"/>
      <c r="L15" s="34"/>
    </row>
    <row r="16" spans="1:15" ht="12.75" customHeight="1" x14ac:dyDescent="0.25">
      <c r="A16" s="49">
        <v>43475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49">
        <v>43476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43477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43478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43479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43480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43481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43482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43483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43484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43485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43486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43487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43488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43489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43490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43491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43492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43493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43494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43495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43496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ref="I38" si="1">I37-I6</f>
        <v>-83575</v>
      </c>
      <c r="J38" s="37">
        <f>J37-J6</f>
        <v>-37225210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2020-01-02T08:43:07Z</dcterms:modified>
</cp:coreProperties>
</file>