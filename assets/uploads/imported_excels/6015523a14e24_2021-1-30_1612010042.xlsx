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AX28" i="6"/>
  <c r="AX29" i="6"/>
  <c r="AX30" i="6"/>
  <c r="AX31" i="6"/>
  <c r="AX32" i="6"/>
  <c r="AX33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<sst xmlns="http://schemas.openxmlformats.org/spreadsheetml/2006/main" count="313" uniqueCount="148">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</sst>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27.800000000000182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5010.0000000003411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24.899999999999636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4910.0000000002838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28.800000000000182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4039.9999999990578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20.599999999999909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4960.0000000003529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23.5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4440.0000000000909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27.900000000000091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4240.0000000001119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28.900000000000091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4459.9999999995189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30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4510.0000000003292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20.900000000000091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4030.0000000003647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24.299999999999727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3439.9999999995675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11.5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3629.9999999999986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24.599999999999909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4130.0000000003547</v>
      </c>
      <c r="F27" s="11">
        <f t="shared" si="1"/>
        <v>0.58765030286592534</v>
      </c>
      <c r="G27" s="12">
        <f>(Submetering!AX27+Submetering!AY27+Submetering!AZ27+Submetering!BA27+Submetering!BB27)</f>
        <v>9.1574999999999989</v>
      </c>
      <c r="H27" s="11">
        <f t="shared" si="2"/>
        <v>0.99</v>
      </c>
      <c r="I27" s="12">
        <f>'FS Desroches Daily'!CM29</f>
        <v>24.900000000000091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3679.9999999998117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25.200000000000273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4469.9999999997317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20.199999999999818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4430.0000000000991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36.500000000000455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A38" sqref="BA3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24</v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>
        <f>'FS Desroches Daily'!AJ17</f>
        <v>250</v>
      </c>
      <c r="V15" s="35">
        <f>'FS Desroches Daily'!AL17</f>
        <v>40.000000000020464</v>
      </c>
      <c r="W15" s="35">
        <f>'FS Desroches Daily'!AN17</f>
        <v>20.000000000010232</v>
      </c>
      <c r="X15" s="35">
        <f>'FS Desroches Daily'!AP17</f>
        <v>39.999999999992042</v>
      </c>
      <c r="Y15" s="35">
        <f>'FS Desroches Daily'!AR17</f>
        <v>20.000000000010232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>
        <f>'FS Desroches Daily'!CM17</f>
        <v>27.800000000000182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1000.000000000334</v>
      </c>
      <c r="F16" s="32">
        <f>'FS Desroches Daily'!F18</f>
        <v>900.0000000001229</v>
      </c>
      <c r="G16" s="31">
        <f>'FS Desroches Daily'!H18</f>
        <v>1700.0000000000348</v>
      </c>
      <c r="H16" s="32">
        <f>'FS Desroches Daily'!J18</f>
        <v>999.99999999988984</v>
      </c>
      <c r="I16" s="31">
        <f>'FS Desroches Daily'!L18</f>
        <v>1900.0000000000127</v>
      </c>
      <c r="J16" s="32">
        <f>'FS Desroches Daily'!N18</f>
        <v>699.99999999992292</v>
      </c>
      <c r="K16" s="13">
        <f>'FS Desroches Daily'!P18</f>
        <v>0</v>
      </c>
      <c r="L16" s="31">
        <f>'FS Desroches Daily'!R18</f>
        <v>1</v>
      </c>
      <c r="M16" s="31">
        <f>'FS Desroches Daily'!T18</f>
        <v>355</v>
      </c>
      <c r="N16" s="31">
        <f>'FS Desroches Daily'!V18</f>
        <v>216.20000000001164</v>
      </c>
      <c r="O16" s="31">
        <f>'FS Desroches Daily'!X18</f>
        <v>139.99999999998636</v>
      </c>
      <c r="P16" s="31">
        <f>'FS Desroches Daily'!Z18</f>
        <v>700.00000000014495</v>
      </c>
      <c r="Q16" s="31">
        <f>'FS Desroches Daily'!AB18</f>
        <v>139.99999999998636</v>
      </c>
      <c r="R16" s="31">
        <f>'FS Desroches Daily'!AD18</f>
        <v>229.99999999996135</v>
      </c>
      <c r="S16" s="31">
        <f>'FS Desroches Daily'!AF18</f>
        <v>240.00000000000909</v>
      </c>
      <c r="T16" s="31">
        <f>'FS Desroches Daily'!AH18</f>
        <v>1.7999999999999545</v>
      </c>
      <c r="U16" s="35">
        <f>'FS Desroches Daily'!AJ18</f>
        <v>259.99999999999091</v>
      </c>
      <c r="V16" s="35">
        <f>'FS Desroches Daily'!AL18</f>
        <v>49.999999999982947</v>
      </c>
      <c r="W16" s="35">
        <f>'FS Desroches Daily'!AN18</f>
        <v>20.000000000010232</v>
      </c>
      <c r="X16" s="35">
        <f>'FS Desroches Daily'!AP18</f>
        <v>20.000000000010232</v>
      </c>
      <c r="Y16" s="35">
        <f>'FS Desroches Daily'!AR18</f>
        <v>30.000000000001137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10.000000000019327</v>
      </c>
      <c r="AF16" s="31">
        <f>'FS Desroches Daily'!BF18</f>
        <v>40</v>
      </c>
      <c r="AG16" s="32">
        <f>'FS Desroches Daily'!BH18</f>
        <v>49.999999999982947</v>
      </c>
      <c r="AH16" s="32">
        <f>'FS Desroches Daily'!BJ18</f>
        <v>69.999999999993179</v>
      </c>
      <c r="AI16" s="32">
        <f>'FS Desroches Daily'!BL18</f>
        <v>9.9999999999909051</v>
      </c>
      <c r="AJ16" s="32">
        <f>'FS Desroches Daily'!BN18</f>
        <v>20.000000000010232</v>
      </c>
      <c r="AK16" s="32">
        <f>'FS Desroches Daily'!BP18</f>
        <v>19.99999999998181</v>
      </c>
      <c r="AL16" s="32">
        <f>'FS Desroches Daily'!BR18</f>
        <v>21</v>
      </c>
      <c r="AM16" s="32">
        <f>'FS Desroches Daily'!BT18</f>
        <v>39.999999999992042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46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32.69999999999709</v>
      </c>
      <c r="AU16" s="31">
        <f>'FS Desroches Daily'!CJ18</f>
        <v>239</v>
      </c>
      <c r="AV16" s="31">
        <f>'FS Desroches Daily'!CL18</f>
        <v>289.99999999996362</v>
      </c>
      <c r="AW16" s="31">
        <f>'FS Desroches Daily'!CM18</f>
        <v>24.899999999999636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799.99999999991189</v>
      </c>
      <c r="F17" s="32">
        <f>'FS Desroches Daily'!F19</f>
        <v>700.00000000014495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600.00000000015598</v>
      </c>
      <c r="K17" s="13">
        <f>'FS Desroches Daily'!P19</f>
        <v>0</v>
      </c>
      <c r="L17" s="31">
        <f>'FS Desroches Daily'!R19</f>
        <v>2</v>
      </c>
      <c r="M17" s="31">
        <f>'FS Desroches Daily'!T19</f>
        <v>300</v>
      </c>
      <c r="N17" s="31">
        <f>'FS Desroches Daily'!V19</f>
        <v>200</v>
      </c>
      <c r="O17" s="31">
        <f>'FS Desroches Daily'!X19</f>
        <v>140.0000000000432</v>
      </c>
      <c r="P17" s="31">
        <f>'FS Desroches Daily'!Z19</f>
        <v>399.99999999995595</v>
      </c>
      <c r="Q17" s="31">
        <f>'FS Desroches Daily'!AB19</f>
        <v>120.00000000000455</v>
      </c>
      <c r="R17" s="31">
        <f>'FS Desroches Daily'!AD19</f>
        <v>210.00000000003638</v>
      </c>
      <c r="S17" s="31">
        <f>'FS Desroches Daily'!AF19</f>
        <v>210.00000000003638</v>
      </c>
      <c r="T17" s="31">
        <f>'FS Desroches Daily'!AH19</f>
        <v>1.7000000000000455</v>
      </c>
      <c r="U17" s="35">
        <f>'FS Desroches Daily'!AJ19</f>
        <v>250</v>
      </c>
      <c r="V17" s="35">
        <f>'FS Desroches Daily'!AL19</f>
        <v>40.000000000020464</v>
      </c>
      <c r="W17" s="35">
        <f>'FS Desroches Daily'!AN19</f>
        <v>9.9999999999909051</v>
      </c>
      <c r="X17" s="35">
        <f>'FS Desroches Daily'!AP19</f>
        <v>30.000000000001137</v>
      </c>
      <c r="Y17" s="35">
        <f>'FS Desroches Daily'!AR19</f>
        <v>29.999999999972715</v>
      </c>
      <c r="Z17" s="35">
        <f>'FS Desroches Daily'!AU20</f>
        <v>275.3</v>
      </c>
      <c r="AA17" s="35">
        <f>'FS Desroches Daily'!AU20</f>
        <v>275.3</v>
      </c>
      <c r="AB17" s="35">
        <f>'FS Desroches Daily'!AV19</f>
        <v>20.000000000038654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50.000000000011369</v>
      </c>
      <c r="AH17" s="32">
        <f>'FS Desroches Daily'!BJ19</f>
        <v>69.999999999993179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40.000000000020464</v>
      </c>
      <c r="AN17" s="32">
        <f>'FS Desroches Daily'!BV19</f>
        <v>16</v>
      </c>
      <c r="AO17" s="32">
        <f>'FS Desroches Daily'!BX19</f>
        <v>19.99999999998181</v>
      </c>
      <c r="AP17" s="32">
        <f>'FS Desroches Daily'!BZ19</f>
        <v>55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48.599999999998545</v>
      </c>
      <c r="AU17" s="31">
        <f>'FS Desroches Daily'!CJ19</f>
        <v>238</v>
      </c>
      <c r="AV17" s="31">
        <f>'FS Desroches Daily'!CL19</f>
        <v>490.00000000000909</v>
      </c>
      <c r="AW17" s="31">
        <f>'FS Desroches Daily'!CM19</f>
        <v>28.800000000000182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699.99999999970089</v>
      </c>
      <c r="F18" s="32">
        <f>'FS Desroches Daily'!F20</f>
        <v>699.99999999970089</v>
      </c>
      <c r="G18" s="31">
        <f>'FS Desroches Daily'!H20</f>
        <v>1399.9999999998458</v>
      </c>
      <c r="H18" s="32">
        <f>'FS Desroches Daily'!J20</f>
        <v>999.99999999988984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1</v>
      </c>
      <c r="L18" s="31">
        <f>'FS Desroches Daily'!R20</f>
        <v>1</v>
      </c>
      <c r="M18" s="31">
        <f>'FS Desroches Daily'!T20</f>
        <v>160.60000000009313</v>
      </c>
      <c r="N18" s="31">
        <f>'FS Desroches Daily'!V20</f>
        <v>95</v>
      </c>
      <c r="O18" s="31">
        <f>'FS Desroches Daily'!X20</f>
        <v>149.99999999997726</v>
      </c>
      <c r="P18" s="31">
        <f>'FS Desroches Daily'!Z20</f>
        <v>499.99999999972289</v>
      </c>
      <c r="Q18" s="31">
        <f>'FS Desroches Daily'!AB20</f>
        <v>110.00000000001364</v>
      </c>
      <c r="R18" s="31">
        <f>'FS Desroches Daily'!AD20</f>
        <v>169.99999999995907</v>
      </c>
      <c r="S18" s="31">
        <f>'FS Desroches Daily'!AF20</f>
        <v>169.99999999995907</v>
      </c>
      <c r="T18" s="31">
        <f>'FS Desroches Daily'!AH20</f>
        <v>2</v>
      </c>
      <c r="U18" s="35">
        <f>'FS Desroches Daily'!AJ20</f>
        <v>259.99999999999091</v>
      </c>
      <c r="V18" s="35">
        <f>'FS Desroches Daily'!AL20</f>
        <v>19.99999999998181</v>
      </c>
      <c r="W18" s="35">
        <f>'FS Desroches Daily'!AN20</f>
        <v>9.9999999999909051</v>
      </c>
      <c r="X18" s="35">
        <f>'FS Desroches Daily'!AP20</f>
        <v>9.9999999999909051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9.9999999999909051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34</v>
      </c>
      <c r="AG18" s="32">
        <f>'FS Desroches Daily'!BH20</f>
        <v>39.999999999992042</v>
      </c>
      <c r="AH18" s="32">
        <f>'FS Desroches Daily'!BJ20</f>
        <v>50.000000000011369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11</v>
      </c>
      <c r="AM18" s="32">
        <f>'FS Desroches Daily'!BT20</f>
        <v>30.000000000001137</v>
      </c>
      <c r="AN18" s="32">
        <f>'FS Desroches Daily'!BV20</f>
        <v>12</v>
      </c>
      <c r="AO18" s="32">
        <f>'FS Desroches Daily'!BX20</f>
        <v>20.000000000010232</v>
      </c>
      <c r="AP18" s="32">
        <f>'FS Desroches Daily'!BZ20</f>
        <v>44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52.900000000001455</v>
      </c>
      <c r="AU18" s="31">
        <f>'FS Desroches Daily'!CJ20</f>
        <v>236</v>
      </c>
      <c r="AV18" s="31">
        <f>'FS Desroches Daily'!CL20</f>
        <v>360.00000000001364</v>
      </c>
      <c r="AW18" s="31">
        <f>'FS Desroches Daily'!CM20</f>
        <v>20.599999999999909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800.00000000035595</v>
      </c>
      <c r="F19" s="32">
        <f>'FS Desroches Daily'!F21</f>
        <v>900.0000000001229</v>
      </c>
      <c r="G19" s="31">
        <f>'FS Desroches Daily'!H21</f>
        <v>1799.9999999998017</v>
      </c>
      <c r="H19" s="32">
        <f>'FS Desroches Daily'!J21</f>
        <v>1100.000000000101</v>
      </c>
      <c r="I19" s="31">
        <f>'FS Desroches Daily'!L21</f>
        <v>1799.9999999998017</v>
      </c>
      <c r="J19" s="32">
        <f>'FS Desroches Daily'!N21</f>
        <v>799.99999999991189</v>
      </c>
      <c r="K19" s="13">
        <f>'FS Desroches Daily'!P21</f>
        <v>0</v>
      </c>
      <c r="L19" s="31">
        <f>'FS Desroches Daily'!R21</f>
        <v>2</v>
      </c>
      <c r="M19" s="31">
        <f>'FS Desroches Daily'!T21</f>
        <v>257</v>
      </c>
      <c r="N19" s="31">
        <f>'FS Desroches Daily'!V21</f>
        <v>176.5</v>
      </c>
      <c r="O19" s="31">
        <f>'FS Desroches Daily'!X21</f>
        <v>149.99999999997726</v>
      </c>
      <c r="P19" s="31">
        <f>'FS Desroches Daily'!Z21</f>
        <v>600.00000000037801</v>
      </c>
      <c r="Q19" s="31">
        <f>'FS Desroches Daily'!AB21</f>
        <v>159.99999999996817</v>
      </c>
      <c r="R19" s="31">
        <f>'FS Desroches Daily'!AD21</f>
        <v>210.00000000003638</v>
      </c>
      <c r="S19" s="31">
        <f>'FS Desroches Daily'!AF21</f>
        <v>310.00000000005912</v>
      </c>
      <c r="T19" s="31">
        <f>'FS Desroches Daily'!AH21</f>
        <v>2.0999999999999091</v>
      </c>
      <c r="U19" s="35">
        <f>'FS Desroches Daily'!AJ21</f>
        <v>250</v>
      </c>
      <c r="V19" s="35">
        <f>'FS Desroches Daily'!AL21</f>
        <v>40.000000000020464</v>
      </c>
      <c r="W19" s="35">
        <f>'FS Desroches Daily'!AN21</f>
        <v>20.000000000010232</v>
      </c>
      <c r="X19" s="35">
        <f>'FS Desroches Daily'!AP21</f>
        <v>30.000000000001137</v>
      </c>
      <c r="Y19" s="35">
        <f>'FS Desroches Daily'!AR21</f>
        <v>30.000000000001137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19.99999999998181</v>
      </c>
      <c r="AE19" s="35">
        <f>'FS Desroches Daily'!BD21</f>
        <v>9.9999999999909051</v>
      </c>
      <c r="AF19" s="31">
        <f>'FS Desroches Daily'!BF21</f>
        <v>28</v>
      </c>
      <c r="AG19" s="32">
        <f>'FS Desroches Daily'!BH21</f>
        <v>39.999999999992042</v>
      </c>
      <c r="AH19" s="32">
        <f>'FS Desroches Daily'!BJ21</f>
        <v>40.000000000020464</v>
      </c>
      <c r="AI19" s="32">
        <f>'FS Desroches Daily'!BL21</f>
        <v>10.000000000019327</v>
      </c>
      <c r="AJ19" s="32">
        <f>'FS Desroches Daily'!BN21</f>
        <v>19.99999999998181</v>
      </c>
      <c r="AK19" s="32">
        <f>'FS Desroches Daily'!BP21</f>
        <v>9.9999999999909051</v>
      </c>
      <c r="AL19" s="32">
        <f>'FS Desroches Daily'!BR21</f>
        <v>15</v>
      </c>
      <c r="AM19" s="32">
        <f>'FS Desroches Daily'!BT21</f>
        <v>30.000000000001137</v>
      </c>
      <c r="AN19" s="32">
        <f>'FS Desroches Daily'!BV21</f>
        <v>13</v>
      </c>
      <c r="AO19" s="32">
        <f>'FS Desroches Daily'!BX21</f>
        <v>20.000000000010232</v>
      </c>
      <c r="AP19" s="32">
        <f>'FS Desroches Daily'!BZ21</f>
        <v>48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45.80000000000291</v>
      </c>
      <c r="AU19" s="31">
        <f>'FS Desroches Daily'!CJ21</f>
        <v>238</v>
      </c>
      <c r="AV19" s="31">
        <f>'FS Desroches Daily'!CL21</f>
        <v>439.99999999994088</v>
      </c>
      <c r="AW19" s="31">
        <f>'FS Desroches Daily'!CM21</f>
        <v>23.5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699.99999999970089</v>
      </c>
      <c r="F20" s="32">
        <f>'FS Desroches Daily'!F22</f>
        <v>799.99999999991189</v>
      </c>
      <c r="G20" s="31">
        <f>'FS Desroches Daily'!H22</f>
        <v>1800.0000000002458</v>
      </c>
      <c r="H20" s="32">
        <f>'FS Desroches Daily'!J22</f>
        <v>1000.0000000001119</v>
      </c>
      <c r="I20" s="31">
        <f>'FS Desroches Daily'!L22</f>
        <v>1900.0000000000127</v>
      </c>
      <c r="J20" s="32">
        <f>'FS Desroches Daily'!N22</f>
        <v>600.00000000015598</v>
      </c>
      <c r="K20" s="13">
        <f>'FS Desroches Daily'!P22</f>
        <v>0</v>
      </c>
      <c r="L20" s="31">
        <f>'FS Desroches Daily'!R22</f>
        <v>1</v>
      </c>
      <c r="M20" s="31">
        <f>'FS Desroches Daily'!T22</f>
        <v>231</v>
      </c>
      <c r="N20" s="31">
        <f>'FS Desroches Daily'!V22</f>
        <v>170.69999999995343</v>
      </c>
      <c r="O20" s="31">
        <f>'FS Desroches Daily'!X22</f>
        <v>129.99999999999545</v>
      </c>
      <c r="P20" s="31">
        <f>'FS Desroches Daily'!Z22</f>
        <v>499.99999999972289</v>
      </c>
      <c r="Q20" s="31">
        <f>'FS Desroches Daily'!AB22</f>
        <v>110.00000000001364</v>
      </c>
      <c r="R20" s="31">
        <f>'FS Desroches Daily'!AD22</f>
        <v>180.00000000000682</v>
      </c>
      <c r="S20" s="31">
        <f>'FS Desroches Daily'!AF22</f>
        <v>199.99999999993179</v>
      </c>
      <c r="T20" s="31">
        <f>'FS Desroches Daily'!AH22</f>
        <v>0.79999999999995453</v>
      </c>
      <c r="U20" s="35">
        <f>'FS Desroches Daily'!AJ22</f>
        <v>259.99999999999091</v>
      </c>
      <c r="V20" s="35">
        <f>'FS Desroches Daily'!AL22</f>
        <v>39.999999999992042</v>
      </c>
      <c r="W20" s="35">
        <f>'FS Desroches Daily'!AN22</f>
        <v>20.000000000010232</v>
      </c>
      <c r="X20" s="35">
        <f>'FS Desroches Daily'!AP22</f>
        <v>20.000000000010232</v>
      </c>
      <c r="Y20" s="35">
        <f>'FS Desroches Daily'!AR22</f>
        <v>30.000000000001137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9.9999999999909051</v>
      </c>
      <c r="AC20" s="35">
        <f>'FS Desroches Daily'!AZ22</f>
        <v>19.99999999998181</v>
      </c>
      <c r="AD20" s="35">
        <f>'FS Desroches Daily'!BB22</f>
        <v>29.999999999972715</v>
      </c>
      <c r="AE20" s="35">
        <f>'FS Desroches Daily'!BD22</f>
        <v>9.9999999999909051</v>
      </c>
      <c r="AF20" s="31">
        <f>'FS Desroches Daily'!BF22</f>
        <v>27</v>
      </c>
      <c r="AG20" s="32">
        <f>'FS Desroches Daily'!BH22</f>
        <v>30.000000000001137</v>
      </c>
      <c r="AH20" s="32">
        <f>'FS Desroches Daily'!BJ22</f>
        <v>39.99999999996362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16</v>
      </c>
      <c r="AM20" s="32">
        <f>'FS Desroches Daily'!BT22</f>
        <v>19.99999999998181</v>
      </c>
      <c r="AN20" s="32">
        <f>'FS Desroches Daily'!BV22</f>
        <v>13</v>
      </c>
      <c r="AO20" s="32">
        <f>'FS Desroches Daily'!BX22</f>
        <v>30.000000000001137</v>
      </c>
      <c r="AP20" s="32">
        <f>'FS Desroches Daily'!BZ22</f>
        <v>41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54.299999999995634</v>
      </c>
      <c r="AU20" s="31">
        <f>'FS Desroches Daily'!CJ22</f>
        <v>241</v>
      </c>
      <c r="AV20" s="31">
        <f>'FS Desroches Daily'!CL22</f>
        <v>460.00000000003638</v>
      </c>
      <c r="AW20" s="31">
        <f>'FS Desroches Daily'!CM22</f>
        <v>27.900000000000091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700.00000000014495</v>
      </c>
      <c r="F21" s="32">
        <f>'FS Desroches Daily'!F23</f>
        <v>700.00000000014495</v>
      </c>
      <c r="G21" s="31">
        <f>'FS Desroches Daily'!H23</f>
        <v>1700.0000000000348</v>
      </c>
      <c r="H21" s="32">
        <f>'FS Desroches Daily'!J23</f>
        <v>999.99999999988984</v>
      </c>
      <c r="I21" s="31">
        <f>'FS Desroches Daily'!L23</f>
        <v>1800.0000000002458</v>
      </c>
      <c r="J21" s="32">
        <f>'FS Desroches Daily'!N23</f>
        <v>599.99999999993395</v>
      </c>
      <c r="K21" s="13">
        <f>'FS Desroches Daily'!P23</f>
        <v>1</v>
      </c>
      <c r="L21" s="31">
        <f>'FS Desroches Daily'!R23</f>
        <v>1</v>
      </c>
      <c r="M21" s="31">
        <f>'FS Desroches Daily'!T23</f>
        <v>222.79999999993015</v>
      </c>
      <c r="N21" s="31">
        <f>'FS Desroches Daily'!V23</f>
        <v>142.40000000002328</v>
      </c>
      <c r="O21" s="31">
        <f>'FS Desroches Daily'!X23</f>
        <v>130.0000000000523</v>
      </c>
      <c r="P21" s="31">
        <f>'FS Desroches Daily'!Z23</f>
        <v>500.00000000016701</v>
      </c>
      <c r="Q21" s="31">
        <f>'FS Desroches Daily'!AB23</f>
        <v>90.000000000031832</v>
      </c>
      <c r="R21" s="31">
        <f>'FS Desroches Daily'!AD23</f>
        <v>180.00000000000682</v>
      </c>
      <c r="S21" s="31">
        <f>'FS Desroches Daily'!AF23</f>
        <v>190.00000000005457</v>
      </c>
      <c r="T21" s="31">
        <f>'FS Desroches Daily'!AH23</f>
        <v>1.7000000000000455</v>
      </c>
      <c r="U21" s="35">
        <f>'FS Desroches Daily'!AJ23</f>
        <v>240.00000000000909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19.99999999998181</v>
      </c>
      <c r="Y21" s="35">
        <f>'FS Desroches Daily'!AR23</f>
        <v>20.000000000010232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20.000000000038654</v>
      </c>
      <c r="AC21" s="35">
        <f>'FS Desroches Daily'!AZ23</f>
        <v>20.000000000038654</v>
      </c>
      <c r="AD21" s="35">
        <f>'FS Desroches Daily'!BB23</f>
        <v>30.000000000029559</v>
      </c>
      <c r="AE21" s="35">
        <f>'FS Desroches Daily'!BD23</f>
        <v>10.000000000019327</v>
      </c>
      <c r="AF21" s="31">
        <f>'FS Desroches Daily'!BF23</f>
        <v>32</v>
      </c>
      <c r="AG21" s="32">
        <f>'FS Desroches Daily'!BH23</f>
        <v>30.000000000001137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10.000000000047748</v>
      </c>
      <c r="AL21" s="32">
        <f>'FS Desroches Daily'!BR23</f>
        <v>14</v>
      </c>
      <c r="AM21" s="32">
        <f>'FS Desroches Daily'!BT23</f>
        <v>20.000000000010232</v>
      </c>
      <c r="AN21" s="32">
        <f>'FS Desroches Daily'!BV23</f>
        <v>10</v>
      </c>
      <c r="AO21" s="32">
        <f>'FS Desroches Daily'!BX23</f>
        <v>9.9999999999909051</v>
      </c>
      <c r="AP21" s="32">
        <f>'FS Desroches Daily'!BZ23</f>
        <v>34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51.400000000001455</v>
      </c>
      <c r="AU21" s="31">
        <f>'FS Desroches Daily'!CJ23</f>
        <v>238</v>
      </c>
      <c r="AV21" s="31">
        <f>'FS Desroches Daily'!CL23</f>
        <v>460.00000000003638</v>
      </c>
      <c r="AW21" s="31">
        <f>'FS Desroches Daily'!CM23</f>
        <v>28.900000000000091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799.99999999991189</v>
      </c>
      <c r="F22" s="32">
        <f>'FS Desroches Daily'!F24</f>
        <v>799.99999999991189</v>
      </c>
      <c r="G22" s="31">
        <f>'FS Desroches Daily'!H24</f>
        <v>1799.9999999998017</v>
      </c>
      <c r="H22" s="32">
        <f>'FS Desroches Daily'!J24</f>
        <v>899.99999999990087</v>
      </c>
      <c r="I22" s="31">
        <f>'FS Desroches Daily'!L24</f>
        <v>1999.9999999997797</v>
      </c>
      <c r="J22" s="32">
        <f>'FS Desroches Daily'!N24</f>
        <v>599.99999999993395</v>
      </c>
      <c r="K22" s="13">
        <f>'FS Desroches Daily'!P24</f>
        <v>0</v>
      </c>
      <c r="L22" s="31">
        <f>'FS Desroches Daily'!R24</f>
        <v>2</v>
      </c>
      <c r="M22" s="31">
        <f>'FS Desroches Daily'!T24</f>
        <v>266.80000000004657</v>
      </c>
      <c r="N22" s="31">
        <f>'FS Desroches Daily'!V24</f>
        <v>199.70000000001164</v>
      </c>
      <c r="O22" s="31">
        <f>'FS Desroches Daily'!X24</f>
        <v>139.99999999998636</v>
      </c>
      <c r="P22" s="31">
        <f>'FS Desroches Daily'!Z24</f>
        <v>599.99999999993395</v>
      </c>
      <c r="Q22" s="31">
        <f>'FS Desroches Daily'!AB24</f>
        <v>109.9999999999568</v>
      </c>
      <c r="R22" s="31">
        <f>'FS Desroches Daily'!AD24</f>
        <v>179.99999999994998</v>
      </c>
      <c r="S22" s="31">
        <f>'FS Desroches Daily'!AF24</f>
        <v>250</v>
      </c>
      <c r="T22" s="31">
        <f>'FS Desroches Daily'!AH24</f>
        <v>1.9000000000000909</v>
      </c>
      <c r="U22" s="35">
        <f>'FS Desroches Daily'!AJ24</f>
        <v>330.00000000004093</v>
      </c>
      <c r="V22" s="35">
        <f>'FS Desroches Daily'!AL24</f>
        <v>30.000000000001137</v>
      </c>
      <c r="W22" s="35">
        <f>'FS Desroches Daily'!AN24</f>
        <v>30.000000000001137</v>
      </c>
      <c r="X22" s="35">
        <f>'FS Desroches Daily'!AP24</f>
        <v>30.000000000001137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9.9999999999909051</v>
      </c>
      <c r="AF22" s="31">
        <f>'FS Desroches Daily'!BF24</f>
        <v>33</v>
      </c>
      <c r="AG22" s="32">
        <f>'FS Desroches Daily'!BH24</f>
        <v>40.000000000020464</v>
      </c>
      <c r="AH22" s="32">
        <f>'FS Desroches Daily'!BJ24</f>
        <v>40.000000000020464</v>
      </c>
      <c r="AI22" s="32">
        <f>'FS Desroches Daily'!BL24</f>
        <v>10.000000000019327</v>
      </c>
      <c r="AJ22" s="32">
        <f>'FS Desroches Daily'!BN24</f>
        <v>30.000000000001137</v>
      </c>
      <c r="AK22" s="32">
        <f>'FS Desroches Daily'!BP24</f>
        <v>19.99999999998181</v>
      </c>
      <c r="AL22" s="32">
        <f>'FS Desroches Daily'!BR24</f>
        <v>7</v>
      </c>
      <c r="AM22" s="32">
        <f>'FS Desroches Daily'!BT24</f>
        <v>20.000000000010232</v>
      </c>
      <c r="AN22" s="32">
        <f>'FS Desroches Daily'!BV24</f>
        <v>9</v>
      </c>
      <c r="AO22" s="32">
        <f>'FS Desroches Daily'!BX24</f>
        <v>20.000000000010232</v>
      </c>
      <c r="AP22" s="32">
        <f>'FS Desroches Daily'!BZ24</f>
        <v>12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46.200000000004366</v>
      </c>
      <c r="AU22" s="31">
        <f>'FS Desroches Daily'!CJ24</f>
        <v>251</v>
      </c>
      <c r="AV22" s="31">
        <f>'FS Desroches Daily'!CL24</f>
        <v>439.99999999994088</v>
      </c>
      <c r="AW22" s="31">
        <f>'FS Desroches Daily'!CM24</f>
        <v>30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900.0000000001229</v>
      </c>
      <c r="F23" s="32">
        <f>'FS Desroches Daily'!F25</f>
        <v>799.99999999991189</v>
      </c>
      <c r="G23" s="31">
        <f>'FS Desroches Daily'!H25</f>
        <v>1700.0000000000348</v>
      </c>
      <c r="H23" s="32">
        <f>'FS Desroches Daily'!J25</f>
        <v>1000.0000000001119</v>
      </c>
      <c r="I23" s="31">
        <f>'FS Desroches Daily'!L25</f>
        <v>1800.0000000002458</v>
      </c>
      <c r="J23" s="32">
        <f>'FS Desroches Daily'!N25</f>
        <v>600.00000000015598</v>
      </c>
      <c r="K23" s="13">
        <f>'FS Desroches Daily'!P25</f>
        <v>1</v>
      </c>
      <c r="L23" s="31">
        <f>'FS Desroches Daily'!R25</f>
        <v>1</v>
      </c>
      <c r="M23" s="31">
        <f>'FS Desroches Daily'!T25</f>
        <v>291.59999999997672</v>
      </c>
      <c r="N23" s="31">
        <f>'FS Desroches Daily'!V25</f>
        <v>211.20000000001164</v>
      </c>
      <c r="O23" s="31">
        <f>'FS Desroches Daily'!X25</f>
        <v>129.99999999999545</v>
      </c>
      <c r="P23" s="31">
        <f>'FS Desroches Daily'!Z25</f>
        <v>500.00000000016701</v>
      </c>
      <c r="Q23" s="31">
        <f>'FS Desroches Daily'!AB25</f>
        <v>90.000000000031832</v>
      </c>
      <c r="R23" s="31">
        <f>'FS Desroches Daily'!AD25</f>
        <v>190.00000000005457</v>
      </c>
      <c r="S23" s="31">
        <f>'FS Desroches Daily'!AF25</f>
        <v>259.99999999999091</v>
      </c>
      <c r="T23" s="31">
        <f>'FS Desroches Daily'!AH25</f>
        <v>1.8999999999998636</v>
      </c>
      <c r="U23" s="35">
        <f>'FS Desroches Daily'!AJ25</f>
        <v>279.99999999997272</v>
      </c>
      <c r="V23" s="35">
        <f>'FS Desroches Daily'!AL25</f>
        <v>60.000000000002274</v>
      </c>
      <c r="W23" s="35">
        <f>'FS Desroches Daily'!AN25</f>
        <v>30.000000000001137</v>
      </c>
      <c r="X23" s="35">
        <f>'FS Desroches Daily'!AP25</f>
        <v>40.000000000020464</v>
      </c>
      <c r="Y23" s="35">
        <f>'FS Desroches Daily'!AR25</f>
        <v>19.99999999998181</v>
      </c>
      <c r="Z23" s="35">
        <f>'FS Desroches Daily'!AT25</f>
        <v>30.000000000029559</v>
      </c>
      <c r="AA23" s="35">
        <f>'FS Desroches Daily'!AT25</f>
        <v>30.000000000029559</v>
      </c>
      <c r="AB23" s="35">
        <f>'FS Desroches Daily'!AV25</f>
        <v>29.999999999972715</v>
      </c>
      <c r="AC23" s="35">
        <f>'FS Desroches Daily'!AZ25</f>
        <v>9.9999999999909051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34</v>
      </c>
      <c r="AG23" s="32">
        <f>'FS Desroches Daily'!BH25</f>
        <v>30.000000000001137</v>
      </c>
      <c r="AH23" s="32">
        <f>'FS Desroches Daily'!BJ25</f>
        <v>29.999999999972715</v>
      </c>
      <c r="AI23" s="32">
        <f>'FS Desroches Daily'!BL25</f>
        <v>9.9999999999909051</v>
      </c>
      <c r="AJ23" s="32">
        <f>'FS Desroches Daily'!BN25</f>
        <v>30.000000000001137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10</v>
      </c>
      <c r="AO23" s="32">
        <f>'FS Desroches Daily'!BX25</f>
        <v>19.99999999998181</v>
      </c>
      <c r="AP23" s="32">
        <f>'FS Desroches Daily'!BZ25</f>
        <v>14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46.399999999994179</v>
      </c>
      <c r="AU23" s="31">
        <f>'FS Desroches Daily'!CJ25</f>
        <v>237</v>
      </c>
      <c r="AV23" s="31">
        <f>'FS Desroches Daily'!CL25</f>
        <v>490.00000000000909</v>
      </c>
      <c r="AW23" s="31">
        <f>'FS Desroches Daily'!CM25</f>
        <v>20.900000000000091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700.00000000014495</v>
      </c>
      <c r="F24" s="32">
        <f>'FS Desroches Daily'!F26</f>
        <v>700.00000000014495</v>
      </c>
      <c r="G24" s="31">
        <f>'FS Desroches Daily'!H26</f>
        <v>1800.0000000002458</v>
      </c>
      <c r="H24" s="32">
        <f>'FS Desroches Daily'!J26</f>
        <v>799.99999999991189</v>
      </c>
      <c r="I24" s="31">
        <f>'FS Desroches Daily'!L26</f>
        <v>1799.9999999998017</v>
      </c>
      <c r="J24" s="32">
        <f>'FS Desroches Daily'!N26</f>
        <v>499.99999999994492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297.80000000004657</v>
      </c>
      <c r="N24" s="31">
        <f>'FS Desroches Daily'!V26</f>
        <v>184.09999999997672</v>
      </c>
      <c r="O24" s="31">
        <f>'FS Desroches Daily'!X26</f>
        <v>120.00000000000455</v>
      </c>
      <c r="P24" s="31">
        <f>'FS Desroches Daily'!Z26</f>
        <v>499.99999999972289</v>
      </c>
      <c r="Q24" s="31">
        <f>'FS Desroches Daily'!AB26</f>
        <v>89.999999999974989</v>
      </c>
      <c r="R24" s="31">
        <f>'FS Desroches Daily'!AD26</f>
        <v>179.99999999994998</v>
      </c>
      <c r="S24" s="31">
        <f>'FS Desroches Daily'!AF26</f>
        <v>169.99999999995907</v>
      </c>
      <c r="T24" s="31">
        <f>'FS Desroches Daily'!AH26</f>
        <v>2.1000000000001364</v>
      </c>
      <c r="U24" s="35">
        <f>'FS Desroches Daily'!AJ26</f>
        <v>250</v>
      </c>
      <c r="V24" s="35">
        <f>'FS Desroches Daily'!AL26</f>
        <v>30.000000000001137</v>
      </c>
      <c r="W24" s="35">
        <f>'FS Desroches Daily'!AN26</f>
        <v>30.000000000001137</v>
      </c>
      <c r="X24" s="35">
        <f>'FS Desroches Daily'!AP26</f>
        <v>30.000000000001137</v>
      </c>
      <c r="Y24" s="35">
        <f>'FS Desroches Daily'!AR26</f>
        <v>20.000000000010232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20.000000000010232</v>
      </c>
      <c r="AF24" s="31">
        <f>'FS Desroches Daily'!BF26</f>
        <v>36</v>
      </c>
      <c r="AG24" s="32">
        <f>'FS Desroches Daily'!BH26</f>
        <v>29.999999999972715</v>
      </c>
      <c r="AH24" s="32">
        <f>'FS Desroches Daily'!BJ26</f>
        <v>30.000000000029559</v>
      </c>
      <c r="AI24" s="32">
        <f>'FS Desroches Daily'!BL26</f>
        <v>0</v>
      </c>
      <c r="AJ24" s="32">
        <f>'FS Desroches Daily'!BN26</f>
        <v>30.000000000001137</v>
      </c>
      <c r="AK24" s="32">
        <f>'FS Desroches Daily'!BP26</f>
        <v>9.9999999999909051</v>
      </c>
      <c r="AL24" s="32">
        <f>'FS Desroches Daily'!BR26</f>
        <v>6</v>
      </c>
      <c r="AM24" s="32">
        <f>'FS Desroches Daily'!BT26</f>
        <v>9.9999999999909051</v>
      </c>
      <c r="AN24" s="32">
        <f>'FS Desroches Daily'!BV26</f>
        <v>9</v>
      </c>
      <c r="AO24" s="32">
        <f>'FS Desroches Daily'!BX26</f>
        <v>20.000000000010232</v>
      </c>
      <c r="AP24" s="32">
        <f>'FS Desroches Daily'!BZ26</f>
        <v>16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37.400000000001455</v>
      </c>
      <c r="AU24" s="31">
        <f>'FS Desroches Daily'!CJ26</f>
        <v>235</v>
      </c>
      <c r="AV24" s="31">
        <f>'FS Desroches Daily'!CL26</f>
        <v>470.00000000002728</v>
      </c>
      <c r="AW24" s="31">
        <f>'FS Desroches Daily'!CM26</f>
        <v>24.299999999999727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599.99999999993395</v>
      </c>
      <c r="F25" s="32">
        <f>'FS Desroches Daily'!F27</f>
        <v>599.99999999993395</v>
      </c>
      <c r="G25" s="31">
        <f>'FS Desroches Daily'!H27</f>
        <v>1299.9999999996348</v>
      </c>
      <c r="H25" s="32">
        <f>'FS Desroches Daily'!J27</f>
        <v>800.00000000013392</v>
      </c>
      <c r="I25" s="31">
        <f>'FS Desroches Daily'!L27</f>
        <v>1600.0000000002678</v>
      </c>
      <c r="J25" s="32">
        <f>'FS Desroches Daily'!N27</f>
        <v>499.99999999994492</v>
      </c>
      <c r="K25" s="13">
        <f>'FS Desroches Daily'!P27</f>
        <v>1</v>
      </c>
      <c r="L25" s="31">
        <f>'FS Desroches Daily'!R27</f>
        <v>1</v>
      </c>
      <c r="M25" s="31">
        <f>'FS Desroches Daily'!T27</f>
        <v>35.399999999906868</v>
      </c>
      <c r="N25" s="31">
        <f>'FS Desroches Daily'!V27</f>
        <v>30.5</v>
      </c>
      <c r="O25" s="31">
        <f>'FS Desroches Daily'!X27</f>
        <v>120.00000000000455</v>
      </c>
      <c r="P25" s="31">
        <f>'FS Desroches Daily'!Z27</f>
        <v>399.99999999995595</v>
      </c>
      <c r="Q25" s="31">
        <f>'FS Desroches Daily'!AB27</f>
        <v>90.000000000031832</v>
      </c>
      <c r="R25" s="31">
        <f>'FS Desroches Daily'!AD27</f>
        <v>150.00000000003411</v>
      </c>
      <c r="S25" s="31">
        <f>'FS Desroches Daily'!AF27</f>
        <v>159.99999999996817</v>
      </c>
      <c r="T25" s="31">
        <f>'FS Desroches Daily'!AH27</f>
        <v>1.2999999999999545</v>
      </c>
      <c r="U25" s="35">
        <f>'FS Desroches Daily'!AJ27</f>
        <v>240.00000000000909</v>
      </c>
      <c r="V25" s="35">
        <f>'FS Desroches Daily'!AL27</f>
        <v>19.99999999998181</v>
      </c>
      <c r="W25" s="35">
        <f>'FS Desroches Daily'!AN27</f>
        <v>9.9999999999909051</v>
      </c>
      <c r="X25" s="35">
        <f>'FS Desroches Daily'!AP27</f>
        <v>0</v>
      </c>
      <c r="Y25" s="35">
        <f>'FS Desroches Daily'!AR27</f>
        <v>9.9999999999909051</v>
      </c>
      <c r="Z25" s="35">
        <f>'FS Desroches Daily'!AT27</f>
        <v>9.9999999999909051</v>
      </c>
      <c r="AA25" s="35">
        <f>'FS Desroches Daily'!AT27</f>
        <v>9.9999999999909051</v>
      </c>
      <c r="AB25" s="35">
        <f>'FS Desroches Daily'!AV27</f>
        <v>19.99999999998181</v>
      </c>
      <c r="AC25" s="35">
        <f>'FS Desroches Daily'!AZ27</f>
        <v>20.000000000038654</v>
      </c>
      <c r="AD25" s="35">
        <f>'FS Desroches Daily'!BB27</f>
        <v>9.9999999999909051</v>
      </c>
      <c r="AE25" s="35">
        <f>'FS Desroches Daily'!BD27</f>
        <v>9.9999999999909051</v>
      </c>
      <c r="AF25" s="31">
        <f>'FS Desroches Daily'!BF27</f>
        <v>19</v>
      </c>
      <c r="AG25" s="32">
        <f>'FS Desroches Daily'!BH27</f>
        <v>30.000000000001137</v>
      </c>
      <c r="AH25" s="32">
        <f>'FS Desroches Daily'!BJ27</f>
        <v>29.999999999972715</v>
      </c>
      <c r="AI25" s="32">
        <f>'FS Desroches Daily'!BL27</f>
        <v>0</v>
      </c>
      <c r="AJ25" s="32">
        <f>'FS Desroches Daily'!BN27</f>
        <v>30.000000000001137</v>
      </c>
      <c r="AK25" s="32">
        <f>'FS Desroches Daily'!BP27</f>
        <v>20.000000000038654</v>
      </c>
      <c r="AL25" s="32">
        <f>'FS Desroches Daily'!BR27</f>
        <v>5</v>
      </c>
      <c r="AM25" s="32">
        <f>'FS Desroches Daily'!BT27</f>
        <v>9.9999999999909051</v>
      </c>
      <c r="AN25" s="32">
        <f>'FS Desroches Daily'!BV27</f>
        <v>9</v>
      </c>
      <c r="AO25" s="32">
        <f>'FS Desroches Daily'!BX27</f>
        <v>9.9999999999909051</v>
      </c>
      <c r="AP25" s="32">
        <f>'FS Desroches Daily'!BZ27</f>
        <v>1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43.900000000001455</v>
      </c>
      <c r="AU25" s="31">
        <f>'FS Desroches Daily'!CJ27</f>
        <v>219</v>
      </c>
      <c r="AV25" s="31">
        <f>'FS Desroches Daily'!CL27</f>
        <v>360.00000000001364</v>
      </c>
      <c r="AW25" s="31">
        <f>'FS Desroches Daily'!CM27</f>
        <v>11.5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599.99999999993395</v>
      </c>
      <c r="F26" s="32">
        <f>'FS Desroches Daily'!F28</f>
        <v>700.00000000014495</v>
      </c>
      <c r="G26" s="31">
        <f>'FS Desroches Daily'!H28</f>
        <v>1500.0000000000568</v>
      </c>
      <c r="H26" s="32">
        <f>'FS Desroches Daily'!J28</f>
        <v>699.99999999992292</v>
      </c>
      <c r="I26" s="31">
        <f>'FS Desroches Daily'!L28</f>
        <v>1700.0000000000348</v>
      </c>
      <c r="J26" s="32">
        <f>'FS Desroches Daily'!N28</f>
        <v>499.99999999994492</v>
      </c>
      <c r="K26" s="13">
        <f>'FS Desroches Daily'!P28</f>
        <v>0</v>
      </c>
      <c r="L26" s="31">
        <f>'FS Desroches Daily'!R28</f>
        <v>0</v>
      </c>
      <c r="M26" s="31">
        <f>'FS Desroches Daily'!T28</f>
        <v>216.80000000004657</v>
      </c>
      <c r="N26" s="31">
        <f>'FS Desroches Daily'!V28</f>
        <v>128.29999999998836</v>
      </c>
      <c r="O26" s="31">
        <f>'FS Desroches Daily'!X28</f>
        <v>120.00000000000455</v>
      </c>
      <c r="P26" s="31">
        <f>'FS Desroches Daily'!Z28</f>
        <v>500.00000000016701</v>
      </c>
      <c r="Q26" s="31">
        <f>'FS Desroches Daily'!AB28</f>
        <v>79.999999999984084</v>
      </c>
      <c r="R26" s="31">
        <f>'FS Desroches Daily'!AD28</f>
        <v>79.999999999984084</v>
      </c>
      <c r="S26" s="31">
        <f>'FS Desroches Daily'!AF28</f>
        <v>200.00000000004547</v>
      </c>
      <c r="T26" s="31">
        <f>'FS Desroches Daily'!AH28</f>
        <v>1</v>
      </c>
      <c r="U26" s="35">
        <f>'FS Desroches Daily'!AJ28</f>
        <v>220.00000000002728</v>
      </c>
      <c r="V26" s="35">
        <f>'FS Desroches Daily'!AL28</f>
        <v>20.000000000010232</v>
      </c>
      <c r="W26" s="35">
        <f>'FS Desroches Daily'!AN28</f>
        <v>20.000000000010232</v>
      </c>
      <c r="X26" s="35">
        <f>'FS Desroches Daily'!AP28</f>
        <v>19.99999999998181</v>
      </c>
      <c r="Y26" s="35">
        <f>'FS Desroches Daily'!AR28</f>
        <v>20.000000000010232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9.9999999999909051</v>
      </c>
      <c r="AD26" s="35">
        <f>'FS Desroches Daily'!BB28</f>
        <v>19.99999999998181</v>
      </c>
      <c r="AE26" s="35">
        <f>'FS Desroches Daily'!BD28</f>
        <v>10.000000000019327</v>
      </c>
      <c r="AF26" s="31">
        <f>'FS Desroches Daily'!BF28</f>
        <v>21</v>
      </c>
      <c r="AG26" s="32">
        <f>'FS Desroches Daily'!BH28</f>
        <v>20.000000000010232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19.99999999998181</v>
      </c>
      <c r="AK26" s="32">
        <f>'FS Desroches Daily'!BP28</f>
        <v>9.9999999999909051</v>
      </c>
      <c r="AL26" s="32">
        <f>'FS Desroches Daily'!BR28</f>
        <v>7</v>
      </c>
      <c r="AM26" s="32">
        <f>'FS Desroches Daily'!BT28</f>
        <v>0</v>
      </c>
      <c r="AN26" s="32">
        <f>'FS Desroches Daily'!BV28</f>
        <v>4</v>
      </c>
      <c r="AO26" s="32">
        <f>'FS Desroches Daily'!BX28</f>
        <v>20.000000000010232</v>
      </c>
      <c r="AP26" s="32">
        <f>'FS Desroches Daily'!BZ28</f>
        <v>7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33.599999999998545</v>
      </c>
      <c r="AU26" s="31">
        <f>'FS Desroches Daily'!CJ28</f>
        <v>221</v>
      </c>
      <c r="AV26" s="31">
        <f>'FS Desroches Daily'!CL28</f>
        <v>370.00000000000455</v>
      </c>
      <c r="AW26" s="31">
        <f>'FS Desroches Daily'!CM28</f>
        <v>24.599999999999909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700.00000000014495</v>
      </c>
      <c r="F27" s="32">
        <f>'FS Desroches Daily'!F29</f>
        <v>699.99999999970089</v>
      </c>
      <c r="G27" s="31">
        <f>'FS Desroches Daily'!H29</f>
        <v>1800.0000000002458</v>
      </c>
      <c r="H27" s="32">
        <f>'FS Desroches Daily'!J29</f>
        <v>900.0000000001229</v>
      </c>
      <c r="I27" s="31">
        <f>'FS Desroches Daily'!L29</f>
        <v>1799.9999999998017</v>
      </c>
      <c r="J27" s="32">
        <f>'FS Desroches Daily'!N29</f>
        <v>500.00000000016701</v>
      </c>
      <c r="K27" s="13">
        <f>'FS Desroches Daily'!P29</f>
        <v>1</v>
      </c>
      <c r="L27" s="31">
        <f>'FS Desroches Daily'!R29</f>
        <v>1</v>
      </c>
      <c r="M27" s="31">
        <f>'FS Desroches Daily'!T29</f>
        <v>373.80000000004657</v>
      </c>
      <c r="N27" s="31">
        <f>'FS Desroches Daily'!V29</f>
        <v>257.90000000002328</v>
      </c>
      <c r="O27" s="31">
        <f>'FS Desroches Daily'!X29</f>
        <v>120.00000000000455</v>
      </c>
      <c r="P27" s="31">
        <f>'FS Desroches Daily'!Z29</f>
        <v>499.99999999972289</v>
      </c>
      <c r="Q27" s="31">
        <f>'FS Desroches Daily'!AB29</f>
        <v>69.999999999993179</v>
      </c>
      <c r="R27" s="31">
        <f>'FS Desroches Daily'!AD29</f>
        <v>60.000000000002274</v>
      </c>
      <c r="S27" s="31">
        <f>'FS Desroches Daily'!AF29</f>
        <v>189.99999999994088</v>
      </c>
      <c r="T27" s="31">
        <f>'FS Desroches Daily'!AH29</f>
        <v>1.2999999999999545</v>
      </c>
      <c r="U27" s="35">
        <f>'FS Desroches Daily'!AJ29</f>
        <v>250</v>
      </c>
      <c r="V27" s="35">
        <f>'FS Desroches Daily'!AL29</f>
        <v>39.999999999992042</v>
      </c>
      <c r="W27" s="35">
        <f>'FS Desroches Daily'!AN29</f>
        <v>19.99999999998181</v>
      </c>
      <c r="X27" s="35">
        <f>'FS Desroches Daily'!AP29</f>
        <v>30.000000000001137</v>
      </c>
      <c r="Y27" s="35">
        <f>'FS Desroches Daily'!AR29</f>
        <v>20.000000000010232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10.000000000047748</v>
      </c>
      <c r="AC27" s="35">
        <f>'FS Desroches Daily'!AZ29</f>
        <v>19.99999999998181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22</v>
      </c>
      <c r="AG27" s="32">
        <f>'FS Desroches Daily'!BH29</f>
        <v>30.000000000001137</v>
      </c>
      <c r="AH27" s="32">
        <f>'FS Desroches Daily'!BJ29</f>
        <v>30.000000000029559</v>
      </c>
      <c r="AI27" s="32">
        <f>'FS Desroches Daily'!BL29</f>
        <v>9.9999999999909051</v>
      </c>
      <c r="AJ27" s="32">
        <f>'FS Desroches Daily'!BN29</f>
        <v>30.000000000001137</v>
      </c>
      <c r="AK27" s="32">
        <f>'FS Desroches Daily'!BP29</f>
        <v>9.9999999999909051</v>
      </c>
      <c r="AL27" s="32">
        <f>'FS Desroches Daily'!BR29</f>
        <v>9</v>
      </c>
      <c r="AM27" s="32">
        <f>'FS Desroches Daily'!BT29</f>
        <v>10.000000000019327</v>
      </c>
      <c r="AN27" s="32">
        <f>'FS Desroches Daily'!BV29</f>
        <v>8</v>
      </c>
      <c r="AO27" s="32">
        <f>'FS Desroches Daily'!BX29</f>
        <v>19.99999999998181</v>
      </c>
      <c r="AP27" s="32">
        <f>'FS Desroches Daily'!BZ29</f>
        <v>15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50.200000000004366</v>
      </c>
      <c r="AU27" s="31">
        <f>'FS Desroches Daily'!CJ29</f>
        <v>238</v>
      </c>
      <c r="AV27" s="31">
        <f>'FS Desroches Daily'!CL29</f>
        <v>470.00000000002728</v>
      </c>
      <c r="AW27" s="31">
        <f>'FS Desroches Daily'!CM29</f>
        <v>24.900000000000091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9.1574999999999989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599.99999999993395</v>
      </c>
      <c r="F28" s="32">
        <f>'FS Desroches Daily'!F30</f>
        <v>700.00000000014495</v>
      </c>
      <c r="G28" s="31">
        <f>'FS Desroches Daily'!H30</f>
        <v>1599.9999999998238</v>
      </c>
      <c r="H28" s="32">
        <f>'FS Desroches Daily'!J30</f>
        <v>799.99999999991189</v>
      </c>
      <c r="I28" s="31">
        <f>'FS Desroches Daily'!L30</f>
        <v>1700.0000000000348</v>
      </c>
      <c r="J28" s="32">
        <f>'FS Desroches Daily'!N30</f>
        <v>399.99999999995595</v>
      </c>
      <c r="K28" s="13">
        <f>'FS Desroches Daily'!P30</f>
        <v>0</v>
      </c>
      <c r="L28" s="31">
        <f>'FS Desroches Daily'!R30</f>
        <v>0</v>
      </c>
      <c r="M28" s="31">
        <f>'FS Desroches Daily'!T30</f>
        <v>207.19999999995343</v>
      </c>
      <c r="N28" s="31">
        <f>'FS Desroches Daily'!V30</f>
        <v>140.70000000001164</v>
      </c>
      <c r="O28" s="31">
        <f>'FS Desroches Daily'!X30</f>
        <v>139.99999999998636</v>
      </c>
      <c r="P28" s="31">
        <f>'FS Desroches Daily'!Z30</f>
        <v>300.000000000189</v>
      </c>
      <c r="Q28" s="31">
        <f>'FS Desroches Daily'!AB30</f>
        <v>79.999999999984084</v>
      </c>
      <c r="R28" s="31">
        <f>'FS Desroches Daily'!AD30</f>
        <v>89.999999999974989</v>
      </c>
      <c r="S28" s="31">
        <f>'FS Desroches Daily'!AF30</f>
        <v>160.00000000008185</v>
      </c>
      <c r="T28" s="31">
        <f>'FS Desroches Daily'!AH30</f>
        <v>1.9000000000000909</v>
      </c>
      <c r="U28" s="35">
        <f>'FS Desroches Daily'!AJ30</f>
        <v>230.00000000001819</v>
      </c>
      <c r="V28" s="35">
        <f>'FS Desroches Daily'!AL30</f>
        <v>20.000000000010232</v>
      </c>
      <c r="W28" s="35">
        <f>'FS Desroches Daily'!AN30</f>
        <v>20.000000000010232</v>
      </c>
      <c r="X28" s="35">
        <f>'FS Desroches Daily'!AP30</f>
        <v>20.000000000010232</v>
      </c>
      <c r="Y28" s="35">
        <f>'FS Desroches Daily'!AR30</f>
        <v>29.999999999972715</v>
      </c>
      <c r="Z28" s="35">
        <f>'FS Desroches Daily'!AT30</f>
        <v>9.9999999999909051</v>
      </c>
      <c r="AA28" s="35">
        <f>'FS Desroches Daily'!AT30</f>
        <v>9.9999999999909051</v>
      </c>
      <c r="AB28" s="35">
        <f>'FS Desroches Daily'!AV30</f>
        <v>19.99999999998181</v>
      </c>
      <c r="AC28" s="35">
        <f>'FS Desroches Daily'!AZ30</f>
        <v>20.000000000038654</v>
      </c>
      <c r="AD28" s="35">
        <f>'FS Desroches Daily'!BB30</f>
        <v>20.000000000038654</v>
      </c>
      <c r="AE28" s="35">
        <f>'FS Desroches Daily'!BD30</f>
        <v>9.9999999999909051</v>
      </c>
      <c r="AF28" s="31">
        <f>'FS Desroches Daily'!BF30</f>
        <v>29</v>
      </c>
      <c r="AG28" s="32">
        <f>'FS Desroches Daily'!BH30</f>
        <v>20.000000000010232</v>
      </c>
      <c r="AH28" s="32">
        <f>'FS Desroches Daily'!BJ30</f>
        <v>29.999999999972715</v>
      </c>
      <c r="AI28" s="32">
        <f>'FS Desroches Daily'!BL30</f>
        <v>0</v>
      </c>
      <c r="AJ28" s="32">
        <f>'FS Desroches Daily'!BN30</f>
        <v>20.000000000010232</v>
      </c>
      <c r="AK28" s="32">
        <f>'FS Desroches Daily'!BP30</f>
        <v>19.99999999998181</v>
      </c>
      <c r="AL28" s="32">
        <f>'FS Desroches Daily'!BR30</f>
        <v>9</v>
      </c>
      <c r="AM28" s="32">
        <f>'FS Desroches Daily'!BT30</f>
        <v>9.9999999999909051</v>
      </c>
      <c r="AN28" s="32">
        <f>'FS Desroches Daily'!BV30</f>
        <v>8</v>
      </c>
      <c r="AO28" s="32">
        <f>'FS Desroches Daily'!BX30</f>
        <v>10.000000000019327</v>
      </c>
      <c r="AP28" s="32">
        <f>'FS Desroches Daily'!BZ30</f>
        <v>10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46.599999999998545</v>
      </c>
      <c r="AU28" s="31">
        <f>'FS Desroches Daily'!CJ30</f>
        <v>235</v>
      </c>
      <c r="AV28" s="31">
        <f>'FS Desroches Daily'!CL30</f>
        <v>419.99999999995907</v>
      </c>
      <c r="AW28" s="31">
        <f>'FS Desroches Daily'!CM30</f>
        <v>25.200000000000273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899.99999999967883</v>
      </c>
      <c r="F29" s="32">
        <f>'FS Desroches Daily'!F31</f>
        <v>799.99999999991189</v>
      </c>
      <c r="G29" s="31">
        <f>'FS Desroches Daily'!H31</f>
        <v>1800.0000000002458</v>
      </c>
      <c r="H29" s="32">
        <f>'FS Desroches Daily'!J31</f>
        <v>899.99999999990087</v>
      </c>
      <c r="I29" s="31">
        <f>'FS Desroches Daily'!L31</f>
        <v>1900.0000000000127</v>
      </c>
      <c r="J29" s="32">
        <f>'FS Desroches Daily'!N31</f>
        <v>499.99999999994492</v>
      </c>
      <c r="K29" s="13">
        <f>'FS Desroches Daily'!P31</f>
        <v>1</v>
      </c>
      <c r="L29" s="31">
        <f>'FS Desroches Daily'!R31</f>
        <v>4</v>
      </c>
      <c r="M29" s="31">
        <f>'FS Desroches Daily'!T31</f>
        <v>297.59999999997672</v>
      </c>
      <c r="N29" s="31">
        <f>'FS Desroches Daily'!V31</f>
        <v>222.5</v>
      </c>
      <c r="O29" s="31">
        <f>'FS Desroches Daily'!X31</f>
        <v>169.99999999995907</v>
      </c>
      <c r="P29" s="31">
        <f>'FS Desroches Daily'!Z31</f>
        <v>500.00000000016701</v>
      </c>
      <c r="Q29" s="31">
        <f>'FS Desroches Daily'!AB31</f>
        <v>80.000000000040927</v>
      </c>
      <c r="R29" s="31">
        <f>'FS Desroches Daily'!AD31</f>
        <v>130.0000000000523</v>
      </c>
      <c r="S29" s="31">
        <f>'FS Desroches Daily'!AF31</f>
        <v>189.99999999994088</v>
      </c>
      <c r="T29" s="31">
        <f>'FS Desroches Daily'!AH31</f>
        <v>2</v>
      </c>
      <c r="U29" s="35">
        <f>'FS Desroches Daily'!AJ31</f>
        <v>250</v>
      </c>
      <c r="V29" s="35">
        <f>'FS Desroches Daily'!AL31</f>
        <v>39.999999999992042</v>
      </c>
      <c r="W29" s="35">
        <f>'FS Desroches Daily'!AN31</f>
        <v>30.000000000001137</v>
      </c>
      <c r="X29" s="35">
        <f>'FS Desroches Daily'!AP31</f>
        <v>20.000000000010232</v>
      </c>
      <c r="Y29" s="35">
        <f>'FS Desroches Daily'!AR31</f>
        <v>10.000000000019327</v>
      </c>
      <c r="Z29" s="35">
        <f>'FS Desroches Daily'!AT31</f>
        <v>19.99999999998181</v>
      </c>
      <c r="AA29" s="35">
        <f>'FS Desroches Daily'!AT31</f>
        <v>19.99999999998181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9.9999999999909051</v>
      </c>
      <c r="AE29" s="35">
        <f>'FS Desroches Daily'!BD31</f>
        <v>10.000000000019327</v>
      </c>
      <c r="AF29" s="31">
        <f>'FS Desroches Daily'!BF31</f>
        <v>23</v>
      </c>
      <c r="AG29" s="32">
        <f>'FS Desroches Daily'!BH31</f>
        <v>19.99999999998181</v>
      </c>
      <c r="AH29" s="32">
        <f>'FS Desroches Daily'!BJ31</f>
        <v>30.000000000029559</v>
      </c>
      <c r="AI29" s="32">
        <f>'FS Desroches Daily'!BL31</f>
        <v>0</v>
      </c>
      <c r="AJ29" s="32">
        <f>'FS Desroches Daily'!BN31</f>
        <v>30.000000000001137</v>
      </c>
      <c r="AK29" s="32">
        <f>'FS Desroches Daily'!BP31</f>
        <v>10.000000000047748</v>
      </c>
      <c r="AL29" s="32">
        <f>'FS Desroches Daily'!BR31</f>
        <v>5</v>
      </c>
      <c r="AM29" s="32">
        <f>'FS Desroches Daily'!BT31</f>
        <v>9.9999999999909051</v>
      </c>
      <c r="AN29" s="32">
        <f>'FS Desroches Daily'!BV31</f>
        <v>10</v>
      </c>
      <c r="AO29" s="32">
        <f>'FS Desroches Daily'!BX31</f>
        <v>19.99999999998181</v>
      </c>
      <c r="AP29" s="32">
        <f>'FS Desroches Daily'!BZ31</f>
        <v>12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46.799999999995634</v>
      </c>
      <c r="AU29" s="31">
        <f>'FS Desroches Daily'!CJ31</f>
        <v>238</v>
      </c>
      <c r="AV29" s="31">
        <f>'FS Desroches Daily'!CL31</f>
        <v>429.99999999994998</v>
      </c>
      <c r="AW29" s="31">
        <f>'FS Desroches Daily'!CM31</f>
        <v>20.199999999999818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7.3259999999999996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1000.000000000334</v>
      </c>
      <c r="F30" s="32">
        <f>'FS Desroches Daily'!F32</f>
        <v>700.00000000014495</v>
      </c>
      <c r="G30" s="31">
        <f>'FS Desroches Daily'!H32</f>
        <v>1699.9999999995907</v>
      </c>
      <c r="H30" s="32">
        <f>'FS Desroches Daily'!J32</f>
        <v>900.0000000001229</v>
      </c>
      <c r="I30" s="31">
        <f>'FS Desroches Daily'!L32</f>
        <v>1799.9999999998017</v>
      </c>
      <c r="J30" s="32">
        <f>'FS Desroches Daily'!N32</f>
        <v>599.99999999993395</v>
      </c>
      <c r="K30" s="13">
        <f>'FS Desroches Daily'!P32</f>
        <v>1</v>
      </c>
      <c r="L30" s="31">
        <f>'FS Desroches Daily'!R32</f>
        <v>2</v>
      </c>
      <c r="M30" s="31">
        <f>'FS Desroches Daily'!T32</f>
        <v>280.59999999997672</v>
      </c>
      <c r="N30" s="31">
        <f>'FS Desroches Daily'!V32</f>
        <v>178.09999999997672</v>
      </c>
      <c r="O30" s="31">
        <f>'FS Desroches Daily'!X32</f>
        <v>160.00000000002501</v>
      </c>
      <c r="P30" s="31">
        <f>'FS Desroches Daily'!Z32</f>
        <v>399.99999999995595</v>
      </c>
      <c r="Q30" s="31">
        <f>'FS Desroches Daily'!AB32</f>
        <v>79.999999999984084</v>
      </c>
      <c r="R30" s="31">
        <f>'FS Desroches Daily'!AD32</f>
        <v>139.99999999998636</v>
      </c>
      <c r="S30" s="31">
        <f>'FS Desroches Daily'!AF32</f>
        <v>220.00000000002728</v>
      </c>
      <c r="T30" s="31">
        <f>'FS Desroches Daily'!AH32</f>
        <v>1.8999999999998636</v>
      </c>
      <c r="U30" s="35">
        <f>'FS Desroches Daily'!AJ32</f>
        <v>409.99999999996817</v>
      </c>
      <c r="V30" s="35">
        <f>'FS Desroches Daily'!AL32</f>
        <v>30.000000000001137</v>
      </c>
      <c r="W30" s="35">
        <f>'FS Desroches Daily'!AN32</f>
        <v>30.000000000001137</v>
      </c>
      <c r="X30" s="35">
        <f>'FS Desroches Daily'!AP32</f>
        <v>39.999999999992042</v>
      </c>
      <c r="Y30" s="35">
        <f>'FS Desroches Daily'!AR32</f>
        <v>19.99999999998181</v>
      </c>
      <c r="Z30" s="35">
        <f>'FS Desroches Daily'!AT32</f>
        <v>20.000000000038654</v>
      </c>
      <c r="AA30" s="35">
        <f>'FS Desroches Daily'!AT32</f>
        <v>20.000000000038654</v>
      </c>
      <c r="AB30" s="35">
        <f>'FS Desroches Daily'!AV32</f>
        <v>9.9999999999909051</v>
      </c>
      <c r="AC30" s="35">
        <f>'FS Desroches Daily'!AZ32</f>
        <v>19.99999999998181</v>
      </c>
      <c r="AD30" s="35">
        <f>'FS Desroches Daily'!BB32</f>
        <v>19.99999999998181</v>
      </c>
      <c r="AE30" s="35">
        <f>'FS Desroches Daily'!BD32</f>
        <v>9.9999999999909051</v>
      </c>
      <c r="AF30" s="31">
        <f>'FS Desroches Daily'!BF32</f>
        <v>31</v>
      </c>
      <c r="AG30" s="32">
        <f>'FS Desroches Daily'!BH32</f>
        <v>20.000000000010232</v>
      </c>
      <c r="AH30" s="32">
        <f>'FS Desroches Daily'!BJ32</f>
        <v>19.99999999998181</v>
      </c>
      <c r="AI30" s="32">
        <f>'FS Desroches Daily'!BL32</f>
        <v>10.000000000019327</v>
      </c>
      <c r="AJ30" s="32">
        <f>'FS Desroches Daily'!BN32</f>
        <v>30.000000000001137</v>
      </c>
      <c r="AK30" s="32">
        <f>'FS Desroches Daily'!BP32</f>
        <v>9.9999999999909051</v>
      </c>
      <c r="AL30" s="32">
        <f>'FS Desroches Daily'!BR32</f>
        <v>5</v>
      </c>
      <c r="AM30" s="32">
        <f>'FS Desroches Daily'!BT32</f>
        <v>20.000000000010232</v>
      </c>
      <c r="AN30" s="32">
        <f>'FS Desroches Daily'!BV32</f>
        <v>8</v>
      </c>
      <c r="AO30" s="32">
        <f>'FS Desroches Daily'!BX32</f>
        <v>10.000000000019327</v>
      </c>
      <c r="AP30" s="32">
        <f>'FS Desroches Daily'!BZ32</f>
        <v>11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40.900000000001455</v>
      </c>
      <c r="AU30" s="31">
        <f>'FS Desroches Daily'!CJ32</f>
        <v>233</v>
      </c>
      <c r="AV30" s="31">
        <f>'FS Desroches Daily'!CL32</f>
        <v>470.00000000002728</v>
      </c>
      <c r="AW30" s="31">
        <f>'FS Desroches Daily'!CM32</f>
        <v>36.500000000000455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37800.000000000298</v>
      </c>
      <c r="F33" s="17">
        <f t="shared" ref="F33:BC33" si="1">SUM(F2:F32)</f>
        <v>31699.999999999851</v>
      </c>
      <c r="G33" s="17">
        <f t="shared" si="1"/>
        <v>55999.999999999629</v>
      </c>
      <c r="H33" s="17">
        <f t="shared" si="1"/>
        <v>29500.000000000102</v>
      </c>
      <c r="I33" s="17">
        <f t="shared" si="1"/>
        <v>55699.999999999891</v>
      </c>
      <c r="J33" s="17">
        <f t="shared" si="1"/>
        <v>18100.000000000011</v>
      </c>
      <c r="K33" s="17">
        <f t="shared" si="1"/>
        <v>15</v>
      </c>
      <c r="L33" s="17">
        <f t="shared" si="1"/>
        <v>101</v>
      </c>
      <c r="M33" s="17">
        <f t="shared" si="1"/>
        <v>10952.79999999993</v>
      </c>
      <c r="N33" s="17">
        <f t="shared" si="1"/>
        <v>5781.5999999999767</v>
      </c>
      <c r="O33" s="17">
        <f t="shared" si="1"/>
        <v>4670.0000000000164</v>
      </c>
      <c r="P33" s="17">
        <f t="shared" si="1"/>
        <v>24300.000000000218</v>
      </c>
      <c r="Q33" s="17">
        <f t="shared" si="1"/>
        <v>4540.00000000002</v>
      </c>
      <c r="R33" s="17">
        <f t="shared" si="1"/>
        <v>4530.00000000003</v>
      </c>
      <c r="S33" s="17">
        <f t="shared" si="1"/>
        <v>5960.0000000000364</v>
      </c>
      <c r="T33" s="17">
        <f t="shared" si="1"/>
        <v>46.099999999999909</v>
      </c>
      <c r="U33" s="35">
        <f t="shared" si="1"/>
        <v>11419.99999999996</v>
      </c>
      <c r="V33" s="35">
        <f t="shared" si="1"/>
        <v>1770.0000000000102</v>
      </c>
      <c r="W33" s="35">
        <f t="shared" si="1"/>
        <v>1210.000000000008</v>
      </c>
      <c r="X33" s="35">
        <f t="shared" si="1"/>
        <v>1379.9999999999955</v>
      </c>
      <c r="Y33" s="35">
        <f t="shared" si="1"/>
        <v>1039.999999999992</v>
      </c>
      <c r="Z33" s="35">
        <f t="shared" si="1"/>
        <v>1745.3000000000272</v>
      </c>
      <c r="AA33" s="35">
        <f t="shared" si="1"/>
        <v>1745.3000000000272</v>
      </c>
      <c r="AB33" s="35">
        <f t="shared" si="1"/>
        <v>1379.9999999999955</v>
      </c>
      <c r="AC33" s="35">
        <f t="shared" si="1"/>
        <v>2310.0000000000023</v>
      </c>
      <c r="AD33" s="35">
        <f t="shared" si="1"/>
        <v>2209.9999999999795</v>
      </c>
      <c r="AE33" s="35">
        <f t="shared" si="1"/>
        <v>520.00000000001023</v>
      </c>
      <c r="AF33" s="17">
        <f t="shared" si="1"/>
        <v>904</v>
      </c>
      <c r="AG33" s="32">
        <f t="shared" si="1"/>
        <v>919.99999999998749</v>
      </c>
      <c r="AH33" s="32">
        <f t="shared" si="1"/>
        <v>1240.0000000000091</v>
      </c>
      <c r="AI33" s="32">
        <f t="shared" si="1"/>
        <v>330.00000000001251</v>
      </c>
      <c r="AJ33" s="32">
        <f t="shared" si="1"/>
        <v>650.00000000000568</v>
      </c>
      <c r="AK33" s="32">
        <f t="shared" si="1"/>
        <v>569.99999999999318</v>
      </c>
      <c r="AL33" s="32">
        <f t="shared" si="1"/>
        <v>356</v>
      </c>
      <c r="AM33" s="32">
        <f t="shared" si="1"/>
        <v>609.99999999998522</v>
      </c>
      <c r="AN33" s="32">
        <f t="shared" si="1"/>
        <v>473</v>
      </c>
      <c r="AO33" s="32">
        <f t="shared" si="1"/>
        <v>599.99999999999432</v>
      </c>
      <c r="AP33" s="32">
        <f t="shared" si="1"/>
        <v>837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1329.4000000000015</v>
      </c>
      <c r="AU33" s="17">
        <f t="shared" si="1"/>
        <v>7017</v>
      </c>
      <c r="AV33" s="17">
        <f t="shared" si="1"/>
        <v>13649.999999999976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194.13899999999995</v>
      </c>
      <c r="BC33" s="17">
        <f t="shared" si="1"/>
        <v>0</v>
      </c>
    </row>
    <row r="35" spans="5:55" x14ac:dyDescent="0.25">
      <c r="E35" s="38">
        <f>E33/E37</f>
        <v>0.23015380119095658</v>
      </c>
      <c r="G35" s="29">
        <f>G33-M36</f>
        <v>39265.599999999722</v>
      </c>
      <c r="AE35" s="35">
        <f>SUM(U33:AE33)</f>
        <v>26730.600000000013</v>
      </c>
      <c r="AG35" s="32">
        <f>SUM(AG33:AP33)</f>
        <v>6585.9999999999873</v>
      </c>
    </row>
    <row r="36" spans="5:55" x14ac:dyDescent="0.25">
      <c r="G36" s="29">
        <f>G35-633*14</f>
        <v>30403.599999999722</v>
      </c>
      <c r="M36" s="29">
        <f>M33+N33</f>
        <v>16734.399999999907</v>
      </c>
    </row>
    <row r="37" spans="5:55" x14ac:dyDescent="0.25">
      <c r="E37" s="17">
        <f>E33+F33+G33+H33+J33-633*14</f>
        <v>164237.99999999988</v>
      </c>
      <c r="G37" s="37">
        <f>M36/E37</f>
        <v>0.10189115795370084</v>
      </c>
      <c r="M37" s="35">
        <f>AE35</f>
        <v>26730.600000000013</v>
      </c>
    </row>
    <row r="38" spans="5:55" x14ac:dyDescent="0.25">
      <c r="L38" s="27">
        <f>M38/E37</f>
        <v>4.0100342186339288E-2</v>
      </c>
      <c r="M38" s="29">
        <f>AG35</f>
        <v>6585.9999999999873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O1" zoomScale="80" zoomScaleNormal="80" workbookViewId="0">
      <pane ySplit="1" topLeftCell="A8" activePane="bottomLeft" state="frozen"/>
      <selection pane="bottomLeft" activeCell="BG30" sqref="BG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J34" si="3">IF((I4-I3&lt;0), "0",(I4-I3)*1000000)</f>
        <v>1300.0000000000789</v>
      </c>
      <c r="K4" s="58">
        <v>2.2808000000000002</v>
      </c>
      <c r="L4" s="64">
        <f>IF((K4-K3&lt;0), "0",(K4-K3)*1000000)</f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 t="shared" ref="P4:P10" si="5">IF((O4-O3&lt;0), "",O4-O3)</f>
        <v>1</v>
      </c>
      <c r="Q4" s="58">
        <v>165</v>
      </c>
      <c r="R4" s="67">
        <f t="shared" ref="R4:R34" si="6">IF((Q4-Q3&lt;0), "",Q4-Q3)</f>
        <v>10</v>
      </c>
      <c r="S4" s="58">
        <v>885516.9</v>
      </c>
      <c r="T4" s="67">
        <f t="shared" ref="T4:T34" si="7">IF((S4-S3&lt;0), "",S4-S3)</f>
        <v>670.5</v>
      </c>
      <c r="U4" s="58">
        <v>364932.9</v>
      </c>
      <c r="V4" s="67">
        <f t="shared" ref="V4:V34" si="8">IF((U4-U3&lt;0), "",U4-U3)</f>
        <v>308.5</v>
      </c>
      <c r="W4" s="58">
        <v>355.76</v>
      </c>
      <c r="X4" s="65">
        <f t="shared" ref="X4:X34" si="9">IF((W4-W3&lt;0), "",(W4-W3)*1000)</f>
        <v>189.99999999999773</v>
      </c>
      <c r="Y4" s="58">
        <v>2.5192999999999999</v>
      </c>
      <c r="Z4" s="65">
        <f t="shared" ref="Z4:Z34" si="10">IF((Y4-Y3&lt;0), "",(Y4-Y3)*1000000)</f>
        <v>2099.9999999999909</v>
      </c>
      <c r="AA4" s="58">
        <v>350.65</v>
      </c>
      <c r="AB4" s="65">
        <f t="shared" ref="AB4:AB34" si="11">IF((AA4-AA3&lt;0), "",(AA4-AA3)*1000)</f>
        <v>319.99999999999318</v>
      </c>
      <c r="AC4" s="58">
        <v>335.92</v>
      </c>
      <c r="AD4" s="65">
        <f t="shared" ref="AD4:AD34" si="12">IF((AC4-AC3&lt;0), "",(AC4-AC3)*1000)</f>
        <v>150.00000000003411</v>
      </c>
      <c r="AE4" s="58">
        <v>521.36</v>
      </c>
      <c r="AF4" s="65">
        <f t="shared" ref="AF4:AF34" si="13">IF((AE4-AE3&lt;0), "",(AE4-AE3)*1000)</f>
        <v>190.00000000005457</v>
      </c>
      <c r="AG4" s="58">
        <v>1503.4</v>
      </c>
      <c r="AH4" s="67">
        <f t="shared" ref="AH4:AH34" si="14">IF((AG4-AG3&lt;0), "",AG4-AG3)</f>
        <v>1.2000000000000455</v>
      </c>
      <c r="AI4" s="58">
        <v>516.28</v>
      </c>
      <c r="AJ4" s="65">
        <f t="shared" ref="AJ4:AP34" si="15">IF((AI4-AI3&lt;0), "",(AI4-AI3)*1000)</f>
        <v>1069.9999999999363</v>
      </c>
      <c r="AK4" s="58">
        <v>179.6</v>
      </c>
      <c r="AL4" s="65">
        <f t="shared" si="15"/>
        <v>150.00000000000568</v>
      </c>
      <c r="AM4" s="58">
        <v>178.16</v>
      </c>
      <c r="AN4" s="65">
        <f t="shared" si="15"/>
        <v>120.00000000000455</v>
      </c>
      <c r="AO4" s="58">
        <v>169.62</v>
      </c>
      <c r="AP4" s="65">
        <f t="shared" si="15"/>
        <v>99.999999999994316</v>
      </c>
      <c r="AQ4" s="58">
        <v>228.22</v>
      </c>
      <c r="AR4" s="65">
        <f t="shared" ref="AR4:AR34" si="16">IF((AQ4-AQ3&lt;0), "",(AQ4-AQ3)*1000)</f>
        <v>90.000000000003411</v>
      </c>
      <c r="AS4" s="58">
        <v>355.39</v>
      </c>
      <c r="AT4" s="65">
        <f t="shared" ref="AT4:AT34" si="17">IF((AS4-AS3&lt;0), "",(AS4-AS3)*1000)</f>
        <v>209.99999999997954</v>
      </c>
      <c r="AU4" s="58">
        <v>274.26</v>
      </c>
      <c r="AV4" s="65">
        <f t="shared" ref="AV4:AV34" si="18">IF((AU4-AU3&lt;0), "",(AU4-AU3)*1000)</f>
        <v>120.00000000000455</v>
      </c>
      <c r="AW4" s="58">
        <v>303.12</v>
      </c>
      <c r="AX4" s="65">
        <f t="shared" ref="AX4:AX34" si="19">IF((AW4-AW3&lt;0), "",(AW4-AW3)*1000)</f>
        <v>290.00000000002046</v>
      </c>
      <c r="AY4" s="58">
        <v>354.58</v>
      </c>
      <c r="AZ4" s="65">
        <f t="shared" ref="AZ4:AZ34" si="20">IF((AY4-AY3&lt;0), "",(AY4-AY3)*1000)</f>
        <v>199.99999999998863</v>
      </c>
      <c r="BA4" s="58">
        <v>375.96</v>
      </c>
      <c r="BB4" s="65">
        <f t="shared" ref="BB4:BB34" si="21">IF((BA4-BA3&lt;0), "",(BA4-BA3)*1000)</f>
        <v>279.99999999997272</v>
      </c>
      <c r="BC4" s="58">
        <v>236.15</v>
      </c>
      <c r="BD4" s="65">
        <f t="shared" ref="BD4:BD34" si="22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3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4">IF((BK4-BK3&lt;0), "",(BK4-BK3)*1000)</f>
        <v>30.000000000001137</v>
      </c>
      <c r="BM4" s="60">
        <v>217.55</v>
      </c>
      <c r="BN4" s="65">
        <f t="shared" ref="BN4:BN33" si="25">IF((BM4-BM3&lt;0), "",(BM4-BM3)*1000)</f>
        <v>20.000000000010232</v>
      </c>
      <c r="BO4" s="60">
        <v>282.94</v>
      </c>
      <c r="BP4" s="65">
        <f t="shared" ref="BP4:BP34" si="26">IF((BO4-BO3&lt;0), "",(BO4-BO3)*1000)</f>
        <v>29.999999999972715</v>
      </c>
      <c r="BQ4" s="60">
        <v>41437</v>
      </c>
      <c r="BR4" s="65">
        <f t="shared" ref="BR4:BR34" si="27">IF((BQ4-BQ3&lt;0), "",BQ4-BQ3)</f>
        <v>17</v>
      </c>
      <c r="BS4" s="60">
        <v>196.11</v>
      </c>
      <c r="BT4" s="65">
        <f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 t="shared" si="5"/>
        <v>1</v>
      </c>
      <c r="Q5" s="58">
        <v>176</v>
      </c>
      <c r="R5" s="67">
        <f t="shared" si="6"/>
        <v>11</v>
      </c>
      <c r="S5" s="58">
        <v>886184.4</v>
      </c>
      <c r="T5" s="67">
        <f t="shared" si="7"/>
        <v>667.5</v>
      </c>
      <c r="U5" s="58">
        <v>365214.9</v>
      </c>
      <c r="V5" s="67">
        <f t="shared" si="8"/>
        <v>282</v>
      </c>
      <c r="W5" s="58">
        <v>355.96</v>
      </c>
      <c r="X5" s="65">
        <f t="shared" si="9"/>
        <v>199.99999999998863</v>
      </c>
      <c r="Y5" s="58">
        <v>2.5209999999999999</v>
      </c>
      <c r="Z5" s="65">
        <f t="shared" si="10"/>
        <v>1700.0000000000348</v>
      </c>
      <c r="AA5" s="58">
        <v>350.99</v>
      </c>
      <c r="AB5" s="65">
        <f t="shared" si="11"/>
        <v>340.00000000003183</v>
      </c>
      <c r="AC5" s="58">
        <v>336.1</v>
      </c>
      <c r="AD5" s="65">
        <f t="shared" si="12"/>
        <v>180.00000000000682</v>
      </c>
      <c r="AE5" s="58">
        <v>521.54</v>
      </c>
      <c r="AF5" s="65">
        <f t="shared" si="13"/>
        <v>179.99999999994998</v>
      </c>
      <c r="AG5" s="58">
        <v>1505.1</v>
      </c>
      <c r="AH5" s="67">
        <f t="shared" si="14"/>
        <v>1.6999999999998181</v>
      </c>
      <c r="AI5" s="58">
        <v>517.44000000000005</v>
      </c>
      <c r="AJ5" s="65">
        <f t="shared" si="15"/>
        <v>1160.0000000000819</v>
      </c>
      <c r="AK5" s="58">
        <v>179.79</v>
      </c>
      <c r="AL5" s="65">
        <f t="shared" si="15"/>
        <v>189.99999999999773</v>
      </c>
      <c r="AM5" s="58">
        <v>178.29</v>
      </c>
      <c r="AN5" s="65">
        <f t="shared" si="15"/>
        <v>129.99999999999545</v>
      </c>
      <c r="AO5" s="58">
        <v>169.75</v>
      </c>
      <c r="AP5" s="65">
        <f t="shared" si="15"/>
        <v>129.99999999999545</v>
      </c>
      <c r="AQ5" s="58">
        <v>228.34</v>
      </c>
      <c r="AR5" s="65">
        <f t="shared" si="16"/>
        <v>120.00000000000455</v>
      </c>
      <c r="AS5" s="58">
        <v>355.64</v>
      </c>
      <c r="AT5" s="65">
        <f t="shared" si="17"/>
        <v>250</v>
      </c>
      <c r="AU5" s="58">
        <v>274.39</v>
      </c>
      <c r="AV5" s="65">
        <f t="shared" si="18"/>
        <v>129.99999999999545</v>
      </c>
      <c r="AW5" s="58">
        <v>303.49</v>
      </c>
      <c r="AX5" s="65">
        <f t="shared" si="19"/>
        <v>370.00000000000455</v>
      </c>
      <c r="AY5" s="58">
        <v>354.82</v>
      </c>
      <c r="AZ5" s="65">
        <f t="shared" si="20"/>
        <v>240.00000000000909</v>
      </c>
      <c r="BA5" s="58">
        <v>376.29</v>
      </c>
      <c r="BB5" s="65">
        <f t="shared" si="21"/>
        <v>330.00000000004093</v>
      </c>
      <c r="BC5" s="58">
        <v>236.2</v>
      </c>
      <c r="BD5" s="65">
        <f t="shared" si="22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3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4"/>
        <v>20.000000000010232</v>
      </c>
      <c r="BM5" s="60">
        <v>217.58</v>
      </c>
      <c r="BN5" s="65">
        <f t="shared" si="25"/>
        <v>30.000000000001137</v>
      </c>
      <c r="BO5" s="60">
        <v>282.97000000000003</v>
      </c>
      <c r="BP5" s="65">
        <f t="shared" si="26"/>
        <v>30.000000000029559</v>
      </c>
      <c r="BQ5" s="60">
        <v>41456</v>
      </c>
      <c r="BR5" s="65">
        <f t="shared" si="27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 t="shared" si="5"/>
        <v>1</v>
      </c>
      <c r="Q6" s="58">
        <v>185</v>
      </c>
      <c r="R6" s="67">
        <f t="shared" si="6"/>
        <v>9</v>
      </c>
      <c r="S6" s="58">
        <v>886819.8</v>
      </c>
      <c r="T6" s="67">
        <f t="shared" si="7"/>
        <v>635.40000000002328</v>
      </c>
      <c r="U6" s="58">
        <v>365477</v>
      </c>
      <c r="V6" s="67">
        <f t="shared" si="8"/>
        <v>262.09999999997672</v>
      </c>
      <c r="W6" s="58">
        <v>356.16</v>
      </c>
      <c r="X6" s="65">
        <f t="shared" si="9"/>
        <v>200.00000000004547</v>
      </c>
      <c r="Y6" s="58">
        <v>2.5225</v>
      </c>
      <c r="Z6" s="65">
        <f t="shared" si="10"/>
        <v>1500.0000000000568</v>
      </c>
      <c r="AA6" s="58">
        <v>351.25</v>
      </c>
      <c r="AB6" s="65">
        <f t="shared" si="11"/>
        <v>259.99999999999091</v>
      </c>
      <c r="AC6" s="58">
        <v>336.21</v>
      </c>
      <c r="AD6" s="65">
        <f t="shared" si="12"/>
        <v>109.9999999999568</v>
      </c>
      <c r="AE6" s="58">
        <v>521.70000000000005</v>
      </c>
      <c r="AF6" s="65">
        <f t="shared" si="13"/>
        <v>160.00000000008185</v>
      </c>
      <c r="AG6" s="58">
        <v>1506</v>
      </c>
      <c r="AH6" s="67">
        <f t="shared" si="14"/>
        <v>0.90000000000009095</v>
      </c>
      <c r="AI6" s="58">
        <v>518.41</v>
      </c>
      <c r="AJ6" s="65">
        <f t="shared" si="15"/>
        <v>969.9999999999136</v>
      </c>
      <c r="AK6" s="58">
        <v>179.88</v>
      </c>
      <c r="AL6" s="65">
        <f t="shared" si="15"/>
        <v>90.000000000003411</v>
      </c>
      <c r="AM6" s="58">
        <v>178.38</v>
      </c>
      <c r="AN6" s="65">
        <f t="shared" si="15"/>
        <v>90.000000000003411</v>
      </c>
      <c r="AO6" s="58">
        <v>169.81</v>
      </c>
      <c r="AP6" s="65">
        <f t="shared" si="15"/>
        <v>60.000000000002274</v>
      </c>
      <c r="AQ6" s="58">
        <v>228.41</v>
      </c>
      <c r="AR6" s="65">
        <f t="shared" si="16"/>
        <v>69.999999999993179</v>
      </c>
      <c r="AS6" s="58">
        <v>355.78</v>
      </c>
      <c r="AT6" s="65">
        <f t="shared" si="17"/>
        <v>139.99999999998636</v>
      </c>
      <c r="AU6" s="58">
        <v>274.48</v>
      </c>
      <c r="AV6" s="65">
        <f t="shared" si="18"/>
        <v>90.000000000031832</v>
      </c>
      <c r="AW6" s="58">
        <v>303.75</v>
      </c>
      <c r="AX6" s="65">
        <f t="shared" si="19"/>
        <v>259.99999999999091</v>
      </c>
      <c r="AY6" s="58">
        <v>355.02</v>
      </c>
      <c r="AZ6" s="65">
        <f t="shared" si="20"/>
        <v>199.99999999998863</v>
      </c>
      <c r="BA6" s="58">
        <v>376.6</v>
      </c>
      <c r="BB6" s="65">
        <f t="shared" si="21"/>
        <v>310.00000000000227</v>
      </c>
      <c r="BC6" s="58">
        <v>236.23</v>
      </c>
      <c r="BD6" s="65">
        <f t="shared" si="22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3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4"/>
        <v>19.99999999998181</v>
      </c>
      <c r="BM6" s="60">
        <v>217.6</v>
      </c>
      <c r="BN6" s="65">
        <f t="shared" si="25"/>
        <v>19.99999999998181</v>
      </c>
      <c r="BO6" s="60">
        <v>282.99</v>
      </c>
      <c r="BP6" s="65">
        <f t="shared" si="26"/>
        <v>19.99999999998181</v>
      </c>
      <c r="BQ6" s="60">
        <v>41472</v>
      </c>
      <c r="BR6" s="65">
        <f t="shared" si="27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si="5"/>
        <v>0</v>
      </c>
      <c r="Q7" s="58">
        <v>194</v>
      </c>
      <c r="R7" s="67">
        <f t="shared" si="6"/>
        <v>9</v>
      </c>
      <c r="S7" s="58">
        <v>887182</v>
      </c>
      <c r="T7" s="67">
        <f t="shared" si="7"/>
        <v>362.19999999995343</v>
      </c>
      <c r="U7" s="58">
        <v>365674.7</v>
      </c>
      <c r="V7" s="67">
        <f t="shared" si="8"/>
        <v>197.70000000001164</v>
      </c>
      <c r="W7" s="58">
        <v>356.36</v>
      </c>
      <c r="X7" s="65">
        <f t="shared" si="9"/>
        <v>199.99999999998863</v>
      </c>
      <c r="Y7" s="58">
        <v>2.5236999999999998</v>
      </c>
      <c r="Z7" s="65">
        <f t="shared" si="10"/>
        <v>1199.9999999998679</v>
      </c>
      <c r="AA7" s="58">
        <v>351.52</v>
      </c>
      <c r="AB7" s="65">
        <f t="shared" si="11"/>
        <v>269.99999999998181</v>
      </c>
      <c r="AC7" s="58">
        <v>336.34</v>
      </c>
      <c r="AD7" s="65">
        <f t="shared" si="12"/>
        <v>129.99999999999545</v>
      </c>
      <c r="AE7" s="58">
        <v>521.97</v>
      </c>
      <c r="AF7" s="65">
        <f t="shared" si="13"/>
        <v>269.99999999998181</v>
      </c>
      <c r="AG7" s="58">
        <v>1507.8</v>
      </c>
      <c r="AH7" s="67">
        <f t="shared" si="14"/>
        <v>1.7999999999999545</v>
      </c>
      <c r="AI7" s="58">
        <v>519.09</v>
      </c>
      <c r="AJ7" s="65">
        <f t="shared" si="15"/>
        <v>680.00000000006366</v>
      </c>
      <c r="AK7" s="58">
        <v>179.97</v>
      </c>
      <c r="AL7" s="65">
        <f t="shared" si="15"/>
        <v>90.000000000003411</v>
      </c>
      <c r="AM7" s="58">
        <v>178.49</v>
      </c>
      <c r="AN7" s="65">
        <f t="shared" si="15"/>
        <v>110.00000000001364</v>
      </c>
      <c r="AO7" s="58">
        <v>169.9</v>
      </c>
      <c r="AP7" s="65">
        <f t="shared" si="15"/>
        <v>90.000000000003411</v>
      </c>
      <c r="AQ7" s="58">
        <v>228.48</v>
      </c>
      <c r="AR7" s="65">
        <f t="shared" si="16"/>
        <v>69.999999999993179</v>
      </c>
      <c r="AS7" s="58">
        <v>355.9</v>
      </c>
      <c r="AT7" s="65">
        <f t="shared" si="17"/>
        <v>120.00000000000455</v>
      </c>
      <c r="AU7" s="58">
        <v>274.57</v>
      </c>
      <c r="AV7" s="65">
        <f t="shared" si="18"/>
        <v>89.999999999974989</v>
      </c>
      <c r="AW7" s="58">
        <v>304.05</v>
      </c>
      <c r="AX7" s="65">
        <f t="shared" si="19"/>
        <v>300.00000000001137</v>
      </c>
      <c r="AY7" s="58">
        <v>355.22</v>
      </c>
      <c r="AZ7" s="65">
        <f t="shared" si="20"/>
        <v>200.00000000004547</v>
      </c>
      <c r="BA7" s="58">
        <v>376.91</v>
      </c>
      <c r="BB7" s="65">
        <f t="shared" si="21"/>
        <v>310.00000000000227</v>
      </c>
      <c r="BC7" s="58">
        <v>236.27</v>
      </c>
      <c r="BD7" s="65">
        <f t="shared" si="22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3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4"/>
        <v>30.000000000001137</v>
      </c>
      <c r="BM7" s="60">
        <v>217.62</v>
      </c>
      <c r="BN7" s="65">
        <f t="shared" si="25"/>
        <v>20.000000000010232</v>
      </c>
      <c r="BO7" s="60">
        <v>283.01</v>
      </c>
      <c r="BP7" s="65">
        <f t="shared" si="26"/>
        <v>19.99999999998181</v>
      </c>
      <c r="BQ7" s="60">
        <v>41488</v>
      </c>
      <c r="BR7" s="65">
        <f t="shared" si="27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5"/>
        <v>1</v>
      </c>
      <c r="Q8" s="58">
        <v>205</v>
      </c>
      <c r="R8" s="67">
        <f t="shared" si="6"/>
        <v>11</v>
      </c>
      <c r="S8" s="58">
        <v>887744.4</v>
      </c>
      <c r="T8" s="67">
        <f t="shared" si="7"/>
        <v>562.40000000002328</v>
      </c>
      <c r="U8" s="58">
        <v>365966.2</v>
      </c>
      <c r="V8" s="67">
        <f t="shared" si="8"/>
        <v>291.5</v>
      </c>
      <c r="W8" s="58">
        <v>356.61</v>
      </c>
      <c r="X8" s="65">
        <f t="shared" si="9"/>
        <v>250</v>
      </c>
      <c r="Y8" s="58">
        <v>2.5251999999999999</v>
      </c>
      <c r="Z8" s="65">
        <f t="shared" si="10"/>
        <v>1500.0000000000568</v>
      </c>
      <c r="AA8" s="58">
        <v>351.67</v>
      </c>
      <c r="AB8" s="65">
        <f t="shared" si="11"/>
        <v>150.00000000003411</v>
      </c>
      <c r="AC8" s="58">
        <v>336.5</v>
      </c>
      <c r="AD8" s="65">
        <f t="shared" si="12"/>
        <v>160.00000000002501</v>
      </c>
      <c r="AE8" s="58">
        <v>522.20000000000005</v>
      </c>
      <c r="AF8" s="65">
        <f t="shared" si="13"/>
        <v>230.00000000001819</v>
      </c>
      <c r="AG8" s="58">
        <v>1509.6</v>
      </c>
      <c r="AH8" s="67">
        <f t="shared" si="14"/>
        <v>1.7999999999999545</v>
      </c>
      <c r="AI8" s="58">
        <v>520.01</v>
      </c>
      <c r="AJ8" s="65">
        <f t="shared" si="15"/>
        <v>919.99999999995907</v>
      </c>
      <c r="AK8" s="58">
        <v>180.07</v>
      </c>
      <c r="AL8" s="65">
        <f t="shared" si="15"/>
        <v>99.999999999994316</v>
      </c>
      <c r="AM8" s="58">
        <v>178.59</v>
      </c>
      <c r="AN8" s="65">
        <f t="shared" si="15"/>
        <v>99.999999999994316</v>
      </c>
      <c r="AO8" s="58">
        <v>170.01</v>
      </c>
      <c r="AP8" s="65">
        <f t="shared" si="15"/>
        <v>109.99999999998522</v>
      </c>
      <c r="AQ8" s="58">
        <v>228.56</v>
      </c>
      <c r="AR8" s="65">
        <f t="shared" si="16"/>
        <v>80.000000000012506</v>
      </c>
      <c r="AS8" s="58">
        <v>356.03</v>
      </c>
      <c r="AT8" s="65">
        <f t="shared" si="17"/>
        <v>129.99999999999545</v>
      </c>
      <c r="AU8" s="58">
        <v>274.68</v>
      </c>
      <c r="AV8" s="65">
        <f t="shared" si="18"/>
        <v>110.00000000001364</v>
      </c>
      <c r="AW8" s="58">
        <v>304.38</v>
      </c>
      <c r="AX8" s="65">
        <f t="shared" si="19"/>
        <v>329.99999999998408</v>
      </c>
      <c r="AY8" s="58">
        <v>355.42</v>
      </c>
      <c r="AZ8" s="65">
        <f t="shared" si="20"/>
        <v>199.99999999998863</v>
      </c>
      <c r="BA8" s="58">
        <v>377.17</v>
      </c>
      <c r="BB8" s="65">
        <f t="shared" si="21"/>
        <v>259.99999999999091</v>
      </c>
      <c r="BC8" s="58">
        <v>236.3</v>
      </c>
      <c r="BD8" s="65">
        <f t="shared" si="22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3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4"/>
        <v>20.000000000010232</v>
      </c>
      <c r="BM8" s="60">
        <v>217.64</v>
      </c>
      <c r="BN8" s="65">
        <f t="shared" si="25"/>
        <v>19.99999999998181</v>
      </c>
      <c r="BO8" s="60">
        <v>283.04000000000002</v>
      </c>
      <c r="BP8" s="65">
        <f t="shared" si="26"/>
        <v>30.000000000029559</v>
      </c>
      <c r="BQ8" s="60">
        <v>41505</v>
      </c>
      <c r="BR8" s="65">
        <f t="shared" si="27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5"/>
        <v>0</v>
      </c>
      <c r="Q9" s="58">
        <v>217</v>
      </c>
      <c r="R9" s="67">
        <f t="shared" si="6"/>
        <v>12</v>
      </c>
      <c r="S9" s="58">
        <v>888315.4</v>
      </c>
      <c r="T9" s="67">
        <f t="shared" si="7"/>
        <v>571</v>
      </c>
      <c r="U9" s="58">
        <v>366242.8</v>
      </c>
      <c r="V9" s="67">
        <f t="shared" si="8"/>
        <v>276.59999999997672</v>
      </c>
      <c r="W9" s="58">
        <v>356.83</v>
      </c>
      <c r="X9" s="65">
        <f t="shared" si="9"/>
        <v>219.99999999997044</v>
      </c>
      <c r="Y9" s="58">
        <v>2.5268000000000002</v>
      </c>
      <c r="Z9" s="65">
        <f t="shared" si="10"/>
        <v>1600.0000000002678</v>
      </c>
      <c r="AA9" s="58">
        <v>351.84</v>
      </c>
      <c r="AB9" s="65">
        <f t="shared" si="11"/>
        <v>169.99999999995907</v>
      </c>
      <c r="AC9" s="58">
        <v>336.66</v>
      </c>
      <c r="AD9" s="65">
        <f t="shared" si="12"/>
        <v>160.00000000002501</v>
      </c>
      <c r="AE9" s="58">
        <v>522.4</v>
      </c>
      <c r="AF9" s="65">
        <f t="shared" si="13"/>
        <v>199.99999999993179</v>
      </c>
      <c r="AG9" s="58">
        <v>1511.2</v>
      </c>
      <c r="AH9" s="67">
        <f t="shared" si="14"/>
        <v>1.6000000000001364</v>
      </c>
      <c r="AI9" s="58">
        <v>520.59</v>
      </c>
      <c r="AJ9" s="65">
        <f t="shared" si="15"/>
        <v>580.00000000004093</v>
      </c>
      <c r="AK9" s="58">
        <v>180.16</v>
      </c>
      <c r="AL9" s="65">
        <f t="shared" si="15"/>
        <v>90.000000000003411</v>
      </c>
      <c r="AM9" s="58">
        <v>178.64</v>
      </c>
      <c r="AN9" s="65">
        <f t="shared" si="15"/>
        <v>49.999999999982947</v>
      </c>
      <c r="AO9" s="58">
        <v>170.14</v>
      </c>
      <c r="AP9" s="65">
        <f t="shared" si="15"/>
        <v>129.99999999999545</v>
      </c>
      <c r="AQ9" s="58">
        <v>228.6</v>
      </c>
      <c r="AR9" s="65">
        <f t="shared" si="16"/>
        <v>39.999999999992042</v>
      </c>
      <c r="AS9" s="58">
        <v>356.08</v>
      </c>
      <c r="AT9" s="65">
        <f t="shared" si="17"/>
        <v>50.000000000011369</v>
      </c>
      <c r="AU9" s="58">
        <v>274.81</v>
      </c>
      <c r="AV9" s="65">
        <f t="shared" si="18"/>
        <v>129.99999999999545</v>
      </c>
      <c r="AW9" s="58">
        <v>304.74</v>
      </c>
      <c r="AX9" s="65">
        <f t="shared" si="19"/>
        <v>360.00000000001364</v>
      </c>
      <c r="AY9" s="58">
        <v>355.66</v>
      </c>
      <c r="AZ9" s="65">
        <f t="shared" si="20"/>
        <v>240.00000000000909</v>
      </c>
      <c r="BA9" s="58">
        <v>377.29</v>
      </c>
      <c r="BB9" s="65">
        <f t="shared" si="21"/>
        <v>120.00000000000455</v>
      </c>
      <c r="BC9" s="58">
        <v>236.32</v>
      </c>
      <c r="BD9" s="65">
        <f t="shared" si="22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3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4"/>
        <v>30.000000000001137</v>
      </c>
      <c r="BM9" s="60">
        <v>217.67</v>
      </c>
      <c r="BN9" s="65">
        <f t="shared" si="25"/>
        <v>30.000000000001137</v>
      </c>
      <c r="BO9" s="60">
        <v>283.08</v>
      </c>
      <c r="BP9" s="65">
        <f t="shared" si="26"/>
        <v>39.99999999996362</v>
      </c>
      <c r="BQ9" s="60">
        <v>41521</v>
      </c>
      <c r="BR9" s="65">
        <f t="shared" si="27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5"/>
        <v>1</v>
      </c>
      <c r="Q10" s="58">
        <v>228</v>
      </c>
      <c r="R10" s="67">
        <f t="shared" si="6"/>
        <v>11</v>
      </c>
      <c r="S10" s="58">
        <v>889000.2</v>
      </c>
      <c r="T10" s="67">
        <f t="shared" si="7"/>
        <v>684.79999999993015</v>
      </c>
      <c r="U10" s="58">
        <v>366554.8</v>
      </c>
      <c r="V10" s="67">
        <f t="shared" si="8"/>
        <v>312</v>
      </c>
      <c r="W10" s="58">
        <v>357.01</v>
      </c>
      <c r="X10" s="65">
        <f t="shared" si="9"/>
        <v>180.00000000000682</v>
      </c>
      <c r="Y10" s="58">
        <v>2.5282</v>
      </c>
      <c r="Z10" s="65">
        <f t="shared" si="10"/>
        <v>1399.9999999998458</v>
      </c>
      <c r="AA10" s="58">
        <v>352.13</v>
      </c>
      <c r="AB10" s="65">
        <f t="shared" si="11"/>
        <v>290.00000000002046</v>
      </c>
      <c r="AC10" s="58">
        <v>336.82</v>
      </c>
      <c r="AD10" s="65">
        <f t="shared" si="12"/>
        <v>159.99999999996817</v>
      </c>
      <c r="AE10" s="58">
        <v>522.62</v>
      </c>
      <c r="AF10" s="65">
        <f t="shared" si="13"/>
        <v>220.00000000002728</v>
      </c>
      <c r="AG10" s="58">
        <v>1513.1</v>
      </c>
      <c r="AH10" s="67">
        <f t="shared" si="14"/>
        <v>1.8999999999998636</v>
      </c>
      <c r="AI10" s="58">
        <v>520.88</v>
      </c>
      <c r="AJ10" s="65">
        <f t="shared" si="15"/>
        <v>289.99999999996362</v>
      </c>
      <c r="AK10" s="58">
        <v>180.25</v>
      </c>
      <c r="AL10" s="65">
        <f t="shared" si="15"/>
        <v>90.000000000003411</v>
      </c>
      <c r="AM10" s="58">
        <v>178.7</v>
      </c>
      <c r="AN10" s="65">
        <f t="shared" si="15"/>
        <v>60.000000000002274</v>
      </c>
      <c r="AO10" s="58">
        <v>170.25</v>
      </c>
      <c r="AP10" s="65">
        <f t="shared" si="15"/>
        <v>110.00000000001364</v>
      </c>
      <c r="AQ10" s="58">
        <v>228.63</v>
      </c>
      <c r="AR10" s="65">
        <f t="shared" si="16"/>
        <v>30.000000000001137</v>
      </c>
      <c r="AS10" s="58">
        <v>356.12</v>
      </c>
      <c r="AT10" s="65">
        <f t="shared" si="17"/>
        <v>40.000000000020464</v>
      </c>
      <c r="AU10" s="58">
        <v>274.93</v>
      </c>
      <c r="AV10" s="65">
        <f t="shared" si="18"/>
        <v>120.00000000000455</v>
      </c>
      <c r="AW10" s="58">
        <v>305.12</v>
      </c>
      <c r="AX10" s="65">
        <f t="shared" si="19"/>
        <v>379.99999999999545</v>
      </c>
      <c r="AY10" s="58">
        <v>355.89</v>
      </c>
      <c r="AZ10" s="65">
        <f t="shared" si="20"/>
        <v>229.99999999996135</v>
      </c>
      <c r="BA10" s="58">
        <v>377.36</v>
      </c>
      <c r="BB10" s="65">
        <f t="shared" si="21"/>
        <v>69.999999999993179</v>
      </c>
      <c r="BC10" s="58">
        <v>236.34</v>
      </c>
      <c r="BD10" s="65">
        <f t="shared" si="22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3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4"/>
        <v>20.000000000010232</v>
      </c>
      <c r="BM10" s="60">
        <v>217.69</v>
      </c>
      <c r="BN10" s="65">
        <f t="shared" si="25"/>
        <v>20.000000000010232</v>
      </c>
      <c r="BO10" s="60">
        <v>283.11</v>
      </c>
      <c r="BP10" s="65">
        <f t="shared" si="26"/>
        <v>30.000000000029559</v>
      </c>
      <c r="BQ10" s="60">
        <v>41540</v>
      </c>
      <c r="BR10" s="65">
        <f t="shared" si="27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3">IF((O11-O10&lt;0), "",O11-O10)</f>
        <v>0</v>
      </c>
      <c r="Q11" s="58">
        <v>231</v>
      </c>
      <c r="R11" s="67">
        <f t="shared" si="6"/>
        <v>3</v>
      </c>
      <c r="S11" s="58">
        <v>889534.8</v>
      </c>
      <c r="T11" s="67">
        <f t="shared" si="7"/>
        <v>534.60000000009313</v>
      </c>
      <c r="U11" s="58">
        <v>366799.4</v>
      </c>
      <c r="V11" s="67">
        <f t="shared" si="8"/>
        <v>244.60000000003492</v>
      </c>
      <c r="W11" s="58">
        <v>357.18</v>
      </c>
      <c r="X11" s="65">
        <f t="shared" si="9"/>
        <v>170.00000000001592</v>
      </c>
      <c r="Y11" s="58">
        <v>2.5295000000000001</v>
      </c>
      <c r="Z11" s="65">
        <f t="shared" si="10"/>
        <v>1300.0000000000789</v>
      </c>
      <c r="AA11" s="58">
        <v>352.39</v>
      </c>
      <c r="AB11" s="65">
        <f t="shared" si="11"/>
        <v>259.99999999999091</v>
      </c>
      <c r="AC11" s="58">
        <v>336.96</v>
      </c>
      <c r="AD11" s="65">
        <f t="shared" si="12"/>
        <v>139.99999999998636</v>
      </c>
      <c r="AE11" s="58">
        <v>522.86</v>
      </c>
      <c r="AF11" s="65">
        <f t="shared" si="13"/>
        <v>240.00000000000909</v>
      </c>
      <c r="AG11" s="58">
        <v>1514.3</v>
      </c>
      <c r="AH11" s="67">
        <f t="shared" si="14"/>
        <v>1.2000000000000455</v>
      </c>
      <c r="AI11" s="58">
        <v>521.17999999999995</v>
      </c>
      <c r="AJ11" s="65">
        <f t="shared" si="15"/>
        <v>299.99999999995453</v>
      </c>
      <c r="AK11" s="58">
        <v>180.35</v>
      </c>
      <c r="AL11" s="65">
        <f t="shared" si="15"/>
        <v>99.999999999994316</v>
      </c>
      <c r="AM11" s="58">
        <v>178.76</v>
      </c>
      <c r="AN11" s="65">
        <f t="shared" si="15"/>
        <v>60.000000000002274</v>
      </c>
      <c r="AO11" s="58">
        <v>170.31</v>
      </c>
      <c r="AP11" s="65">
        <f t="shared" si="15"/>
        <v>60.000000000002274</v>
      </c>
      <c r="AQ11" s="58">
        <v>228.68</v>
      </c>
      <c r="AR11" s="65">
        <f t="shared" si="16"/>
        <v>50.000000000011369</v>
      </c>
      <c r="AS11" s="58">
        <v>356.15</v>
      </c>
      <c r="AT11" s="65">
        <f t="shared" si="17"/>
        <v>29.999999999972715</v>
      </c>
      <c r="AU11" s="58">
        <v>275</v>
      </c>
      <c r="AV11" s="65">
        <f t="shared" si="18"/>
        <v>69.999999999993179</v>
      </c>
      <c r="AW11" s="58">
        <v>305.38</v>
      </c>
      <c r="AX11" s="65">
        <f t="shared" si="19"/>
        <v>259.99999999999091</v>
      </c>
      <c r="AY11" s="58">
        <v>356.09</v>
      </c>
      <c r="AZ11" s="65">
        <f t="shared" si="20"/>
        <v>199.99999999998863</v>
      </c>
      <c r="BA11" s="58">
        <v>377.42</v>
      </c>
      <c r="BB11" s="65">
        <f t="shared" si="21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3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4"/>
        <v>19.99999999998181</v>
      </c>
      <c r="BM11" s="60">
        <v>217.71</v>
      </c>
      <c r="BN11" s="65">
        <f t="shared" si="25"/>
        <v>20.000000000010232</v>
      </c>
      <c r="BO11" s="60">
        <v>283.14</v>
      </c>
      <c r="BP11" s="65">
        <f t="shared" si="26"/>
        <v>29.999999999972715</v>
      </c>
      <c r="BQ11" s="60">
        <v>41553</v>
      </c>
      <c r="BR11" s="65">
        <f t="shared" si="27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3"/>
        <v>0</v>
      </c>
      <c r="Q12" s="58">
        <v>232</v>
      </c>
      <c r="R12" s="67">
        <f t="shared" si="6"/>
        <v>1</v>
      </c>
      <c r="S12" s="58">
        <v>889534.8</v>
      </c>
      <c r="T12" s="67">
        <f t="shared" si="7"/>
        <v>0</v>
      </c>
      <c r="U12" s="58">
        <v>366799.4</v>
      </c>
      <c r="V12" s="67">
        <f t="shared" si="8"/>
        <v>0</v>
      </c>
      <c r="W12" s="58">
        <v>357.34</v>
      </c>
      <c r="X12" s="65">
        <f t="shared" si="9"/>
        <v>159.99999999996817</v>
      </c>
      <c r="Y12" s="58">
        <v>2.5308000000000002</v>
      </c>
      <c r="Z12" s="65">
        <f t="shared" si="10"/>
        <v>1300.0000000000789</v>
      </c>
      <c r="AA12" s="58">
        <v>352.58</v>
      </c>
      <c r="AB12" s="65">
        <f t="shared" si="11"/>
        <v>189.99999999999773</v>
      </c>
      <c r="AC12" s="58">
        <v>337.08</v>
      </c>
      <c r="AD12" s="65">
        <f t="shared" si="12"/>
        <v>120.00000000000455</v>
      </c>
      <c r="AE12" s="58">
        <v>523.03</v>
      </c>
      <c r="AF12" s="65">
        <f t="shared" si="13"/>
        <v>169.99999999995907</v>
      </c>
      <c r="AG12" s="58">
        <v>1515.5</v>
      </c>
      <c r="AH12" s="67">
        <f t="shared" si="14"/>
        <v>1.2000000000000455</v>
      </c>
      <c r="AI12" s="58">
        <v>521.38</v>
      </c>
      <c r="AJ12" s="65">
        <f t="shared" si="15"/>
        <v>200.00000000004547</v>
      </c>
      <c r="AK12" s="58">
        <v>180.43</v>
      </c>
      <c r="AL12" s="65">
        <f t="shared" si="15"/>
        <v>80.000000000012506</v>
      </c>
      <c r="AM12" s="58">
        <v>178.82</v>
      </c>
      <c r="AN12" s="65">
        <f t="shared" si="15"/>
        <v>60.000000000002274</v>
      </c>
      <c r="AO12" s="58">
        <v>170.36</v>
      </c>
      <c r="AP12" s="65">
        <f t="shared" si="15"/>
        <v>50.000000000011369</v>
      </c>
      <c r="AQ12" s="58">
        <v>228.71</v>
      </c>
      <c r="AR12" s="65">
        <f t="shared" si="16"/>
        <v>30.000000000001137</v>
      </c>
      <c r="AS12" s="58">
        <v>356.19</v>
      </c>
      <c r="AT12" s="65">
        <f t="shared" si="17"/>
        <v>40.000000000020464</v>
      </c>
      <c r="AU12" s="58">
        <v>275.06</v>
      </c>
      <c r="AV12" s="65">
        <f t="shared" si="18"/>
        <v>60.000000000002274</v>
      </c>
      <c r="AW12" s="58">
        <v>305.64999999999998</v>
      </c>
      <c r="AX12" s="65">
        <f t="shared" si="19"/>
        <v>269.99999999998181</v>
      </c>
      <c r="AY12" s="58">
        <v>356.29</v>
      </c>
      <c r="AZ12" s="65">
        <f t="shared" si="20"/>
        <v>200.00000000004547</v>
      </c>
      <c r="BA12" s="58">
        <v>377.47</v>
      </c>
      <c r="BB12" s="65">
        <f t="shared" si="21"/>
        <v>50.000000000011369</v>
      </c>
      <c r="BC12" s="58">
        <v>236.38</v>
      </c>
      <c r="BD12" s="65">
        <f t="shared" si="22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3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4"/>
        <v>10.000000000019327</v>
      </c>
      <c r="BM12" s="60">
        <v>217.73</v>
      </c>
      <c r="BN12" s="65">
        <f t="shared" si="25"/>
        <v>19.99999999998181</v>
      </c>
      <c r="BO12" s="60">
        <v>283.16000000000003</v>
      </c>
      <c r="BP12" s="65">
        <f t="shared" si="26"/>
        <v>20.000000000038654</v>
      </c>
      <c r="BQ12" s="60">
        <v>41564</v>
      </c>
      <c r="BR12" s="65">
        <f t="shared" si="27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3"/>
        <v>1</v>
      </c>
      <c r="Q13" s="58">
        <v>232</v>
      </c>
      <c r="R13" s="67">
        <f t="shared" si="6"/>
        <v>0</v>
      </c>
      <c r="S13" s="58">
        <v>890171.8</v>
      </c>
      <c r="T13" s="67">
        <f t="shared" si="7"/>
        <v>637</v>
      </c>
      <c r="U13" s="58">
        <v>367098.9</v>
      </c>
      <c r="V13" s="67">
        <f t="shared" si="8"/>
        <v>299.5</v>
      </c>
      <c r="W13" s="58">
        <v>357.5</v>
      </c>
      <c r="X13" s="65">
        <f t="shared" si="9"/>
        <v>160.00000000002501</v>
      </c>
      <c r="Y13" s="58">
        <v>2.5314999999999999</v>
      </c>
      <c r="Z13" s="65">
        <f t="shared" si="10"/>
        <v>699.99999999970089</v>
      </c>
      <c r="AA13" s="58">
        <v>352.74</v>
      </c>
      <c r="AB13" s="65">
        <f t="shared" si="11"/>
        <v>160.00000000002501</v>
      </c>
      <c r="AC13" s="58">
        <v>337.24</v>
      </c>
      <c r="AD13" s="65">
        <f t="shared" si="12"/>
        <v>160.00000000002501</v>
      </c>
      <c r="AE13" s="58">
        <v>523.17999999999995</v>
      </c>
      <c r="AF13" s="65">
        <f t="shared" si="13"/>
        <v>149.99999999997726</v>
      </c>
      <c r="AG13" s="58">
        <v>1517.3</v>
      </c>
      <c r="AH13" s="67">
        <f t="shared" si="14"/>
        <v>1.7999999999999545</v>
      </c>
      <c r="AI13" s="58">
        <v>521.64</v>
      </c>
      <c r="AJ13" s="65">
        <f t="shared" si="15"/>
        <v>259.99999999999091</v>
      </c>
      <c r="AK13" s="58">
        <v>180.5</v>
      </c>
      <c r="AL13" s="65">
        <f t="shared" si="15"/>
        <v>69.999999999993179</v>
      </c>
      <c r="AM13" s="58">
        <v>178.85</v>
      </c>
      <c r="AN13" s="65">
        <f t="shared" si="15"/>
        <v>30.000000000001137</v>
      </c>
      <c r="AO13" s="58">
        <v>170.4</v>
      </c>
      <c r="AP13" s="65">
        <f t="shared" si="15"/>
        <v>39.999999999992042</v>
      </c>
      <c r="AQ13" s="58">
        <v>228.74</v>
      </c>
      <c r="AR13" s="65">
        <f t="shared" si="16"/>
        <v>30.000000000001137</v>
      </c>
      <c r="AS13" s="58">
        <v>356.23</v>
      </c>
      <c r="AT13" s="65">
        <f t="shared" si="17"/>
        <v>40.000000000020464</v>
      </c>
      <c r="AU13" s="58">
        <v>275.13</v>
      </c>
      <c r="AV13" s="65">
        <f t="shared" si="18"/>
        <v>69.999999999993179</v>
      </c>
      <c r="AW13" s="58">
        <v>305.93</v>
      </c>
      <c r="AX13" s="65">
        <f t="shared" si="19"/>
        <v>280.00000000002956</v>
      </c>
      <c r="AY13" s="58">
        <v>356.36</v>
      </c>
      <c r="AZ13" s="65">
        <f t="shared" si="20"/>
        <v>69.999999999993179</v>
      </c>
      <c r="BA13" s="58">
        <v>377.51</v>
      </c>
      <c r="BB13" s="65">
        <f t="shared" si="21"/>
        <v>39.99999999996362</v>
      </c>
      <c r="BC13" s="58">
        <v>236.4</v>
      </c>
      <c r="BD13" s="65">
        <f t="shared" si="22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3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4"/>
        <v>0</v>
      </c>
      <c r="BM13" s="60">
        <v>217.74</v>
      </c>
      <c r="BN13" s="65">
        <f t="shared" si="25"/>
        <v>10.000000000019327</v>
      </c>
      <c r="BO13" s="60">
        <v>283.19</v>
      </c>
      <c r="BP13" s="65">
        <f t="shared" si="26"/>
        <v>29.999999999972715</v>
      </c>
      <c r="BQ13" s="60">
        <v>41579</v>
      </c>
      <c r="BR13" s="65">
        <f t="shared" si="27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3"/>
        <v>0</v>
      </c>
      <c r="Q14" s="58">
        <v>233</v>
      </c>
      <c r="R14" s="67">
        <f t="shared" si="6"/>
        <v>1</v>
      </c>
      <c r="S14" s="58">
        <v>890736.6</v>
      </c>
      <c r="T14" s="67">
        <f t="shared" si="7"/>
        <v>564.79999999993015</v>
      </c>
      <c r="U14" s="58">
        <v>367320.2</v>
      </c>
      <c r="V14" s="67">
        <f t="shared" si="8"/>
        <v>221.29999999998836</v>
      </c>
      <c r="W14" s="58">
        <v>357.7</v>
      </c>
      <c r="X14" s="65">
        <f t="shared" si="9"/>
        <v>199.99999999998863</v>
      </c>
      <c r="Y14" s="58">
        <v>2.5322</v>
      </c>
      <c r="Z14" s="65">
        <f t="shared" si="10"/>
        <v>700.00000000014495</v>
      </c>
      <c r="AA14" s="58">
        <v>352.96</v>
      </c>
      <c r="AB14" s="65">
        <f t="shared" si="11"/>
        <v>219.99999999997044</v>
      </c>
      <c r="AC14" s="58">
        <v>337.41</v>
      </c>
      <c r="AD14" s="65">
        <f t="shared" si="12"/>
        <v>170.00000000001592</v>
      </c>
      <c r="AE14" s="58">
        <v>523.44000000000005</v>
      </c>
      <c r="AF14" s="65">
        <f t="shared" si="13"/>
        <v>260.00000000010459</v>
      </c>
      <c r="AG14" s="58">
        <v>1519</v>
      </c>
      <c r="AH14" s="67">
        <f t="shared" si="14"/>
        <v>1.7000000000000455</v>
      </c>
      <c r="AI14" s="58">
        <v>521.9</v>
      </c>
      <c r="AJ14" s="65">
        <f t="shared" si="15"/>
        <v>259.99999999999091</v>
      </c>
      <c r="AK14" s="58">
        <v>180.57</v>
      </c>
      <c r="AL14" s="65">
        <f t="shared" si="15"/>
        <v>69.999999999993179</v>
      </c>
      <c r="AM14" s="58">
        <v>178.88</v>
      </c>
      <c r="AN14" s="65">
        <f t="shared" si="15"/>
        <v>30.000000000001137</v>
      </c>
      <c r="AO14" s="58">
        <v>170.45</v>
      </c>
      <c r="AP14" s="65">
        <f t="shared" si="15"/>
        <v>49.999999999982947</v>
      </c>
      <c r="AQ14" s="58">
        <v>228.77</v>
      </c>
      <c r="AR14" s="65">
        <f t="shared" si="16"/>
        <v>30.000000000001137</v>
      </c>
      <c r="AS14" s="58">
        <v>356.26</v>
      </c>
      <c r="AT14" s="65">
        <f t="shared" si="17"/>
        <v>29.999999999972715</v>
      </c>
      <c r="AU14" s="58">
        <v>275.17</v>
      </c>
      <c r="AV14" s="65">
        <f t="shared" si="18"/>
        <v>40.000000000020464</v>
      </c>
      <c r="AW14" s="58">
        <v>306.14999999999998</v>
      </c>
      <c r="AX14" s="65">
        <f t="shared" si="19"/>
        <v>219.99999999997044</v>
      </c>
      <c r="AY14" s="58">
        <v>356.38</v>
      </c>
      <c r="AZ14" s="65">
        <f t="shared" si="20"/>
        <v>19.99999999998181</v>
      </c>
      <c r="BA14" s="58">
        <v>377.54</v>
      </c>
      <c r="BB14" s="65">
        <f t="shared" si="21"/>
        <v>30.000000000029559</v>
      </c>
      <c r="BC14" s="58">
        <v>236.41</v>
      </c>
      <c r="BD14" s="65">
        <f t="shared" si="22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3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4"/>
        <v>9.9999999999909051</v>
      </c>
      <c r="BM14" s="60">
        <v>217.76</v>
      </c>
      <c r="BN14" s="65">
        <f t="shared" si="25"/>
        <v>19.99999999998181</v>
      </c>
      <c r="BO14" s="60">
        <v>283.20999999999998</v>
      </c>
      <c r="BP14" s="65">
        <f t="shared" si="26"/>
        <v>19.99999999998181</v>
      </c>
      <c r="BQ14" s="60">
        <v>41593</v>
      </c>
      <c r="BR14" s="65">
        <f t="shared" si="27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3"/>
        <v>1</v>
      </c>
      <c r="Q15" s="58">
        <v>234</v>
      </c>
      <c r="R15" s="67">
        <f t="shared" si="6"/>
        <v>1</v>
      </c>
      <c r="S15" s="58">
        <v>891123.19999999995</v>
      </c>
      <c r="T15" s="67">
        <f t="shared" si="7"/>
        <v>386.59999999997672</v>
      </c>
      <c r="U15" s="58">
        <v>367484.8</v>
      </c>
      <c r="V15" s="67">
        <f t="shared" si="8"/>
        <v>164.59999999997672</v>
      </c>
      <c r="W15" s="58">
        <v>357.83</v>
      </c>
      <c r="X15" s="65">
        <f t="shared" si="9"/>
        <v>129.99999999999545</v>
      </c>
      <c r="Y15" s="58">
        <v>2.5329000000000002</v>
      </c>
      <c r="Z15" s="65">
        <f t="shared" si="10"/>
        <v>700.00000000014495</v>
      </c>
      <c r="AA15" s="58">
        <v>353.14</v>
      </c>
      <c r="AB15" s="65">
        <f t="shared" si="11"/>
        <v>180.00000000000682</v>
      </c>
      <c r="AC15" s="58">
        <v>337.6</v>
      </c>
      <c r="AD15" s="65">
        <f t="shared" si="12"/>
        <v>189.99999999999773</v>
      </c>
      <c r="AE15" s="58">
        <v>523.63</v>
      </c>
      <c r="AF15" s="65">
        <f t="shared" si="13"/>
        <v>189.99999999994088</v>
      </c>
      <c r="AG15" s="58">
        <v>1520.4</v>
      </c>
      <c r="AH15" s="67">
        <f t="shared" si="14"/>
        <v>1.4000000000000909</v>
      </c>
      <c r="AI15" s="58">
        <v>522.16</v>
      </c>
      <c r="AJ15" s="65">
        <f t="shared" si="15"/>
        <v>259.99999999999091</v>
      </c>
      <c r="AK15" s="58">
        <v>180.63</v>
      </c>
      <c r="AL15" s="65">
        <f t="shared" si="15"/>
        <v>60.000000000002274</v>
      </c>
      <c r="AM15" s="58">
        <v>178.9</v>
      </c>
      <c r="AN15" s="65">
        <f t="shared" si="15"/>
        <v>20.000000000010232</v>
      </c>
      <c r="AO15" s="58">
        <v>170.48</v>
      </c>
      <c r="AP15" s="65">
        <f t="shared" si="15"/>
        <v>30.000000000001137</v>
      </c>
      <c r="AQ15" s="58">
        <v>228.79</v>
      </c>
      <c r="AR15" s="65">
        <f t="shared" si="16"/>
        <v>19.99999999998181</v>
      </c>
      <c r="AS15" s="58">
        <v>356.29</v>
      </c>
      <c r="AT15" s="65">
        <f t="shared" si="17"/>
        <v>30.000000000029559</v>
      </c>
      <c r="AU15" s="58">
        <v>275.20999999999998</v>
      </c>
      <c r="AV15" s="65">
        <f t="shared" si="18"/>
        <v>39.99999999996362</v>
      </c>
      <c r="AW15" s="58">
        <v>306.39999999999998</v>
      </c>
      <c r="AX15" s="65">
        <f t="shared" si="19"/>
        <v>250</v>
      </c>
      <c r="AY15" s="58">
        <v>356.4</v>
      </c>
      <c r="AZ15" s="65">
        <f t="shared" si="20"/>
        <v>19.99999999998181</v>
      </c>
      <c r="BA15" s="58">
        <v>377.56</v>
      </c>
      <c r="BB15" s="65">
        <f t="shared" si="21"/>
        <v>19.99999999998181</v>
      </c>
      <c r="BC15" s="58">
        <v>236.43</v>
      </c>
      <c r="BD15" s="65">
        <f t="shared" si="22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3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4"/>
        <v>9.9999999999909051</v>
      </c>
      <c r="BM15" s="60">
        <v>217.78</v>
      </c>
      <c r="BN15" s="65">
        <f t="shared" si="25"/>
        <v>20.000000000010232</v>
      </c>
      <c r="BO15" s="60">
        <v>283.22000000000003</v>
      </c>
      <c r="BP15" s="65">
        <f t="shared" si="26"/>
        <v>10.000000000047748</v>
      </c>
      <c r="BQ15" s="60">
        <v>41603</v>
      </c>
      <c r="BR15" s="65">
        <f t="shared" si="27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3"/>
        <v>0</v>
      </c>
      <c r="Q16" s="58">
        <v>234</v>
      </c>
      <c r="R16" s="67">
        <f t="shared" si="6"/>
        <v>0</v>
      </c>
      <c r="S16" s="58">
        <v>891740</v>
      </c>
      <c r="T16" s="67">
        <f t="shared" si="7"/>
        <v>616.80000000004657</v>
      </c>
      <c r="U16" s="58">
        <v>367676.9</v>
      </c>
      <c r="V16" s="67">
        <f t="shared" si="8"/>
        <v>192.10000000003492</v>
      </c>
      <c r="W16" s="58">
        <v>357.97</v>
      </c>
      <c r="X16" s="65">
        <f t="shared" si="9"/>
        <v>140.0000000000432</v>
      </c>
      <c r="Y16" s="58">
        <v>2.5335000000000001</v>
      </c>
      <c r="Z16" s="65">
        <f t="shared" si="10"/>
        <v>599.99999999993395</v>
      </c>
      <c r="AA16" s="58">
        <v>353.25</v>
      </c>
      <c r="AB16" s="65">
        <f t="shared" si="11"/>
        <v>110.00000000001364</v>
      </c>
      <c r="AC16" s="58">
        <v>337.73</v>
      </c>
      <c r="AD16" s="65">
        <f t="shared" si="12"/>
        <v>129.99999999999545</v>
      </c>
      <c r="AE16" s="58">
        <v>523.79999999999995</v>
      </c>
      <c r="AF16" s="65">
        <f t="shared" si="13"/>
        <v>169.99999999995907</v>
      </c>
      <c r="AG16" s="58">
        <v>1521.4</v>
      </c>
      <c r="AH16" s="67">
        <f t="shared" si="14"/>
        <v>1</v>
      </c>
      <c r="AI16" s="58">
        <v>522.4</v>
      </c>
      <c r="AJ16" s="65">
        <f t="shared" si="15"/>
        <v>240.00000000000909</v>
      </c>
      <c r="AK16" s="58">
        <v>180.67</v>
      </c>
      <c r="AL16" s="65">
        <f t="shared" si="15"/>
        <v>39.999999999992042</v>
      </c>
      <c r="AM16" s="58">
        <v>178.92</v>
      </c>
      <c r="AN16" s="65">
        <f t="shared" si="15"/>
        <v>19.99999999998181</v>
      </c>
      <c r="AO16" s="58">
        <v>170.5</v>
      </c>
      <c r="AP16" s="65">
        <f t="shared" si="15"/>
        <v>20.000000000010232</v>
      </c>
      <c r="AQ16" s="58">
        <v>228.81</v>
      </c>
      <c r="AR16" s="65">
        <f t="shared" si="16"/>
        <v>20.000000000010232</v>
      </c>
      <c r="AS16" s="58">
        <v>356.31</v>
      </c>
      <c r="AT16" s="65">
        <f t="shared" si="17"/>
        <v>19.99999999998181</v>
      </c>
      <c r="AU16" s="58">
        <v>275.24</v>
      </c>
      <c r="AV16" s="65">
        <f t="shared" si="18"/>
        <v>30.000000000029559</v>
      </c>
      <c r="AW16" s="58">
        <v>306.58</v>
      </c>
      <c r="AX16" s="65">
        <f t="shared" si="19"/>
        <v>180.00000000000682</v>
      </c>
      <c r="AY16" s="58">
        <v>356.41</v>
      </c>
      <c r="AZ16" s="65">
        <f t="shared" si="20"/>
        <v>10.000000000047748</v>
      </c>
      <c r="BA16" s="58">
        <v>377.58</v>
      </c>
      <c r="BB16" s="65">
        <f t="shared" si="21"/>
        <v>19.99999999998181</v>
      </c>
      <c r="BC16" s="58">
        <v>236.44</v>
      </c>
      <c r="BD16" s="65">
        <f t="shared" si="22"/>
        <v>9.9999999999909051</v>
      </c>
      <c r="BE16" s="59">
        <v>34571</v>
      </c>
      <c r="BF16" s="67">
        <f t="shared" si="39"/>
        <v>24</v>
      </c>
      <c r="BG16" s="60">
        <v>228.27</v>
      </c>
      <c r="BH16" s="65">
        <f t="shared" si="23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4"/>
        <v>10.000000000019327</v>
      </c>
      <c r="BM16" s="60">
        <v>217.79</v>
      </c>
      <c r="BN16" s="65">
        <f t="shared" si="25"/>
        <v>9.9999999999909051</v>
      </c>
      <c r="BO16" s="60">
        <v>283.24</v>
      </c>
      <c r="BP16" s="65">
        <f t="shared" si="26"/>
        <v>19.99999999998181</v>
      </c>
      <c r="BQ16" s="60">
        <v>41614</v>
      </c>
      <c r="BR16" s="65">
        <f t="shared" si="27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>
        <v>12731</v>
      </c>
      <c r="P17" s="67">
        <f t="shared" si="43"/>
        <v>1</v>
      </c>
      <c r="Q17" s="58">
        <v>236</v>
      </c>
      <c r="R17" s="67">
        <f t="shared" si="6"/>
        <v>2</v>
      </c>
      <c r="S17" s="58">
        <v>892005.2</v>
      </c>
      <c r="T17" s="67">
        <f t="shared" si="7"/>
        <v>265.19999999995343</v>
      </c>
      <c r="U17" s="58">
        <v>367852.2</v>
      </c>
      <c r="V17" s="67">
        <f t="shared" si="8"/>
        <v>175.29999999998836</v>
      </c>
      <c r="W17" s="58">
        <v>358.13</v>
      </c>
      <c r="X17" s="65">
        <f t="shared" si="9"/>
        <v>159.99999999996817</v>
      </c>
      <c r="Y17" s="58">
        <v>2.5341</v>
      </c>
      <c r="Z17" s="65">
        <f t="shared" si="10"/>
        <v>599.99999999993395</v>
      </c>
      <c r="AA17" s="58">
        <v>353.37</v>
      </c>
      <c r="AB17" s="65">
        <f t="shared" si="11"/>
        <v>120.00000000000455</v>
      </c>
      <c r="AC17" s="58">
        <v>337.92</v>
      </c>
      <c r="AD17" s="65">
        <f t="shared" si="12"/>
        <v>189.99999999999773</v>
      </c>
      <c r="AE17" s="58">
        <v>524.01</v>
      </c>
      <c r="AF17" s="65">
        <f t="shared" si="13"/>
        <v>210.00000000003638</v>
      </c>
      <c r="AG17" s="58">
        <v>1522.9</v>
      </c>
      <c r="AH17" s="67">
        <f t="shared" si="14"/>
        <v>1.5</v>
      </c>
      <c r="AI17" s="58">
        <v>522.65</v>
      </c>
      <c r="AJ17" s="65">
        <f t="shared" si="15"/>
        <v>250</v>
      </c>
      <c r="AK17" s="58">
        <v>180.71</v>
      </c>
      <c r="AL17" s="65">
        <f t="shared" si="15"/>
        <v>40.000000000020464</v>
      </c>
      <c r="AM17" s="58">
        <v>178.94</v>
      </c>
      <c r="AN17" s="65">
        <f t="shared" si="15"/>
        <v>20.000000000010232</v>
      </c>
      <c r="AO17" s="58">
        <v>170.54</v>
      </c>
      <c r="AP17" s="65">
        <f t="shared" si="15"/>
        <v>39.999999999992042</v>
      </c>
      <c r="AQ17" s="58">
        <v>228.83</v>
      </c>
      <c r="AR17" s="65">
        <f t="shared" si="16"/>
        <v>20.000000000010232</v>
      </c>
      <c r="AS17" s="58">
        <v>356.33</v>
      </c>
      <c r="AT17" s="65">
        <f t="shared" si="17"/>
        <v>19.99999999998181</v>
      </c>
      <c r="AU17" s="58">
        <v>275.26</v>
      </c>
      <c r="AV17" s="65">
        <f t="shared" si="18"/>
        <v>19.99999999998181</v>
      </c>
      <c r="AW17" s="58">
        <v>306.81</v>
      </c>
      <c r="AX17" s="65">
        <f t="shared" si="19"/>
        <v>230.00000000001819</v>
      </c>
      <c r="AY17" s="58">
        <v>356.43</v>
      </c>
      <c r="AZ17" s="65">
        <f t="shared" si="20"/>
        <v>19.99999999998181</v>
      </c>
      <c r="BA17" s="58">
        <v>377.6</v>
      </c>
      <c r="BB17" s="65">
        <f t="shared" si="21"/>
        <v>20.000000000038654</v>
      </c>
      <c r="BC17" s="58">
        <v>236.45</v>
      </c>
      <c r="BD17" s="65">
        <f t="shared" si="22"/>
        <v>9.9999999999909051</v>
      </c>
      <c r="BE17" s="59">
        <v>34601</v>
      </c>
      <c r="BF17" s="67">
        <f t="shared" si="39"/>
        <v>30</v>
      </c>
      <c r="BG17" s="60">
        <v>228.3</v>
      </c>
      <c r="BH17" s="65">
        <f t="shared" si="23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4"/>
        <v>9.9999999999909051</v>
      </c>
      <c r="BM17" s="60">
        <v>217.81</v>
      </c>
      <c r="BN17" s="65">
        <f t="shared" si="25"/>
        <v>20.000000000010232</v>
      </c>
      <c r="BO17" s="60">
        <v>283.25</v>
      </c>
      <c r="BP17" s="65">
        <f t="shared" si="26"/>
        <v>9.9999999999909051</v>
      </c>
      <c r="BQ17" s="60">
        <v>41623</v>
      </c>
      <c r="BR17" s="65">
        <f t="shared" si="27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>
        <f t="shared" si="41"/>
        <v>27.800000000000182</v>
      </c>
      <c r="CN17" s="62">
        <v>0</v>
      </c>
      <c r="CO17" s="62">
        <v>0</v>
      </c>
      <c r="CP17" s="68">
        <v>3448.3</v>
      </c>
      <c r="CQ17" s="67">
        <f t="shared" si="37"/>
        <v>20.800000000000182</v>
      </c>
      <c r="CR17" s="68">
        <v>11741</v>
      </c>
      <c r="CS17" s="67">
        <f t="shared" si="37"/>
        <v>7</v>
      </c>
      <c r="CT17" s="75">
        <v>4390</v>
      </c>
      <c r="CU17" s="67">
        <f t="shared" si="37"/>
        <v>12</v>
      </c>
      <c r="CV17" s="68">
        <v>11565</v>
      </c>
      <c r="CW17" s="67">
        <f t="shared" si="37"/>
        <v>23</v>
      </c>
    </row>
    <row r="18" spans="1:101" ht="25.5" customHeight="1" thickBot="1" x14ac:dyDescent="0.45">
      <c r="A18" s="63">
        <v>44211</v>
      </c>
      <c r="B18" s="44"/>
      <c r="C18" s="58">
        <v>2.0304000000000002</v>
      </c>
      <c r="D18" s="64">
        <f t="shared" si="0"/>
        <v>1000.000000000334</v>
      </c>
      <c r="E18" s="58">
        <v>2.9011</v>
      </c>
      <c r="F18" s="64">
        <f t="shared" si="1"/>
        <v>900.0000000001229</v>
      </c>
      <c r="G18" s="58">
        <v>2.9397000000000002</v>
      </c>
      <c r="H18" s="64">
        <f t="shared" si="2"/>
        <v>1700.0000000000348</v>
      </c>
      <c r="I18" s="58">
        <v>1.4362999999999999</v>
      </c>
      <c r="J18" s="64">
        <f t="shared" si="3"/>
        <v>999.99999999988984</v>
      </c>
      <c r="K18" s="58">
        <v>2.3089</v>
      </c>
      <c r="L18" s="64">
        <f t="shared" si="38"/>
        <v>1900.0000000000127</v>
      </c>
      <c r="M18" s="58">
        <v>1.3233999999999999</v>
      </c>
      <c r="N18" s="64">
        <f t="shared" si="4"/>
        <v>699.99999999992292</v>
      </c>
      <c r="O18" s="58">
        <v>12731</v>
      </c>
      <c r="P18" s="67">
        <f t="shared" si="43"/>
        <v>0</v>
      </c>
      <c r="Q18" s="58">
        <v>237</v>
      </c>
      <c r="R18" s="67">
        <f t="shared" si="6"/>
        <v>1</v>
      </c>
      <c r="S18" s="58">
        <v>892360.2</v>
      </c>
      <c r="T18" s="67">
        <f t="shared" si="7"/>
        <v>355</v>
      </c>
      <c r="U18" s="58">
        <v>368068.4</v>
      </c>
      <c r="V18" s="67">
        <f t="shared" si="8"/>
        <v>216.20000000001164</v>
      </c>
      <c r="W18" s="58">
        <v>358.27</v>
      </c>
      <c r="X18" s="65">
        <f t="shared" si="9"/>
        <v>139.99999999998636</v>
      </c>
      <c r="Y18" s="58">
        <v>2.5348000000000002</v>
      </c>
      <c r="Z18" s="65">
        <f t="shared" si="10"/>
        <v>700.00000000014495</v>
      </c>
      <c r="AA18" s="58">
        <v>353.51</v>
      </c>
      <c r="AB18" s="65">
        <f t="shared" si="11"/>
        <v>139.99999999998636</v>
      </c>
      <c r="AC18" s="58">
        <v>338.15</v>
      </c>
      <c r="AD18" s="65">
        <f t="shared" si="12"/>
        <v>229.99999999996135</v>
      </c>
      <c r="AE18" s="58">
        <v>524.25</v>
      </c>
      <c r="AF18" s="65">
        <f t="shared" si="13"/>
        <v>240.00000000000909</v>
      </c>
      <c r="AG18" s="58">
        <v>1524.7</v>
      </c>
      <c r="AH18" s="67">
        <f t="shared" si="14"/>
        <v>1.7999999999999545</v>
      </c>
      <c r="AI18" s="58">
        <v>522.91</v>
      </c>
      <c r="AJ18" s="65">
        <f t="shared" si="15"/>
        <v>259.99999999999091</v>
      </c>
      <c r="AK18" s="58">
        <v>180.76</v>
      </c>
      <c r="AL18" s="65">
        <f t="shared" si="15"/>
        <v>49.999999999982947</v>
      </c>
      <c r="AM18" s="58">
        <v>178.96</v>
      </c>
      <c r="AN18" s="65">
        <f t="shared" si="15"/>
        <v>20.000000000010232</v>
      </c>
      <c r="AO18" s="58">
        <v>170.56</v>
      </c>
      <c r="AP18" s="65">
        <f t="shared" si="15"/>
        <v>20.000000000010232</v>
      </c>
      <c r="AQ18" s="58">
        <v>228.86</v>
      </c>
      <c r="AR18" s="65">
        <f t="shared" si="16"/>
        <v>30.000000000001137</v>
      </c>
      <c r="AS18" s="58">
        <v>356.37</v>
      </c>
      <c r="AT18" s="65">
        <f t="shared" si="17"/>
        <v>40.000000000020464</v>
      </c>
      <c r="AU18" s="58">
        <v>275.27</v>
      </c>
      <c r="AV18" s="65">
        <f t="shared" si="18"/>
        <v>9.9999999999909051</v>
      </c>
      <c r="AW18" s="58">
        <v>307.06</v>
      </c>
      <c r="AX18" s="65">
        <f t="shared" si="19"/>
        <v>250</v>
      </c>
      <c r="AY18" s="58">
        <v>356.45</v>
      </c>
      <c r="AZ18" s="65">
        <f t="shared" si="20"/>
        <v>19.99999999998181</v>
      </c>
      <c r="BA18" s="58">
        <v>377.62</v>
      </c>
      <c r="BB18" s="65">
        <f t="shared" si="21"/>
        <v>19.99999999998181</v>
      </c>
      <c r="BC18" s="58">
        <v>236.46</v>
      </c>
      <c r="BD18" s="65">
        <f t="shared" si="22"/>
        <v>10.000000000019327</v>
      </c>
      <c r="BE18" s="59">
        <v>34641</v>
      </c>
      <c r="BF18" s="67">
        <f t="shared" si="39"/>
        <v>40</v>
      </c>
      <c r="BG18" s="60">
        <v>228.35</v>
      </c>
      <c r="BH18" s="65">
        <f t="shared" si="23"/>
        <v>49.999999999982947</v>
      </c>
      <c r="BI18" s="60">
        <v>287.14</v>
      </c>
      <c r="BJ18" s="65">
        <f t="shared" si="40"/>
        <v>69.999999999993179</v>
      </c>
      <c r="BK18" s="60">
        <v>232.88</v>
      </c>
      <c r="BL18" s="65">
        <f t="shared" si="24"/>
        <v>9.9999999999909051</v>
      </c>
      <c r="BM18" s="60">
        <v>217.83</v>
      </c>
      <c r="BN18" s="65">
        <f t="shared" si="25"/>
        <v>20.000000000010232</v>
      </c>
      <c r="BO18" s="60">
        <v>283.27</v>
      </c>
      <c r="BP18" s="65">
        <f t="shared" si="26"/>
        <v>19.99999999998181</v>
      </c>
      <c r="BQ18" s="60">
        <v>41644</v>
      </c>
      <c r="BR18" s="65">
        <f t="shared" si="27"/>
        <v>21</v>
      </c>
      <c r="BS18" s="60">
        <v>196.45</v>
      </c>
      <c r="BT18" s="65">
        <f t="shared" si="42"/>
        <v>39.999999999992042</v>
      </c>
      <c r="BU18" s="60">
        <v>35127</v>
      </c>
      <c r="BV18" s="65">
        <f t="shared" si="28"/>
        <v>14</v>
      </c>
      <c r="BW18" s="60">
        <v>227.93</v>
      </c>
      <c r="BX18" s="65">
        <f t="shared" si="29"/>
        <v>20.000000000010232</v>
      </c>
      <c r="BY18" s="60">
        <v>53562</v>
      </c>
      <c r="BZ18" s="67">
        <f t="shared" si="30"/>
        <v>46</v>
      </c>
      <c r="CA18" s="60">
        <v>28611.4</v>
      </c>
      <c r="CB18" s="67">
        <f t="shared" si="31"/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53781.599999999999</v>
      </c>
      <c r="CH18" s="67">
        <f t="shared" si="34"/>
        <v>32.69999999999709</v>
      </c>
      <c r="CI18" s="60">
        <v>905163</v>
      </c>
      <c r="CJ18" s="67">
        <f t="shared" si="35"/>
        <v>239</v>
      </c>
      <c r="CK18" s="60">
        <v>666.63</v>
      </c>
      <c r="CL18" s="64">
        <f t="shared" si="36"/>
        <v>289.99999999996362</v>
      </c>
      <c r="CM18" s="65">
        <f t="shared" si="41"/>
        <v>24.899999999999636</v>
      </c>
      <c r="CN18" s="62">
        <v>0</v>
      </c>
      <c r="CO18" s="62">
        <v>0</v>
      </c>
      <c r="CP18" s="68">
        <v>3465.2</v>
      </c>
      <c r="CQ18" s="67">
        <f t="shared" si="37"/>
        <v>16.899999999999636</v>
      </c>
      <c r="CR18" s="68">
        <v>11749</v>
      </c>
      <c r="CS18" s="67">
        <f t="shared" si="37"/>
        <v>8</v>
      </c>
      <c r="CT18" s="75">
        <v>4403</v>
      </c>
      <c r="CU18" s="67">
        <f t="shared" si="37"/>
        <v>13</v>
      </c>
      <c r="CV18" s="68">
        <v>11583</v>
      </c>
      <c r="CW18" s="67">
        <f t="shared" si="37"/>
        <v>18</v>
      </c>
    </row>
    <row r="19" spans="1:101" ht="25.5" customHeight="1" thickBot="1" x14ac:dyDescent="0.45">
      <c r="A19" s="63">
        <v>44212</v>
      </c>
      <c r="B19" s="44"/>
      <c r="C19" s="58">
        <v>2.0312000000000001</v>
      </c>
      <c r="D19" s="64">
        <f t="shared" si="0"/>
        <v>799.99999999991189</v>
      </c>
      <c r="E19" s="58">
        <v>2.9018000000000002</v>
      </c>
      <c r="F19" s="64">
        <f t="shared" si="1"/>
        <v>700.00000000014495</v>
      </c>
      <c r="G19" s="58">
        <v>2.9418000000000002</v>
      </c>
      <c r="H19" s="64">
        <f t="shared" si="2"/>
        <v>2099.9999999999909</v>
      </c>
      <c r="I19" s="58">
        <v>1.4375</v>
      </c>
      <c r="J19" s="64">
        <f t="shared" si="3"/>
        <v>1200.0000000000898</v>
      </c>
      <c r="K19" s="58">
        <v>2.3108</v>
      </c>
      <c r="L19" s="64">
        <f t="shared" si="38"/>
        <v>1900.0000000000127</v>
      </c>
      <c r="M19" s="58">
        <v>1.3240000000000001</v>
      </c>
      <c r="N19" s="64">
        <f t="shared" si="4"/>
        <v>600.00000000015598</v>
      </c>
      <c r="O19" s="58">
        <v>12731</v>
      </c>
      <c r="P19" s="67">
        <f t="shared" si="43"/>
        <v>0</v>
      </c>
      <c r="Q19" s="58">
        <v>239</v>
      </c>
      <c r="R19" s="67">
        <f t="shared" si="6"/>
        <v>2</v>
      </c>
      <c r="S19" s="58">
        <v>892660.2</v>
      </c>
      <c r="T19" s="67">
        <f t="shared" si="7"/>
        <v>300</v>
      </c>
      <c r="U19" s="58">
        <v>368268.4</v>
      </c>
      <c r="V19" s="67">
        <f t="shared" si="8"/>
        <v>200</v>
      </c>
      <c r="W19" s="58">
        <v>358.41</v>
      </c>
      <c r="X19" s="65">
        <f t="shared" si="9"/>
        <v>140.0000000000432</v>
      </c>
      <c r="Y19" s="58">
        <v>2.5352000000000001</v>
      </c>
      <c r="Z19" s="65">
        <f t="shared" si="10"/>
        <v>399.99999999995595</v>
      </c>
      <c r="AA19" s="58">
        <v>353.63</v>
      </c>
      <c r="AB19" s="65">
        <f t="shared" si="11"/>
        <v>120.00000000000455</v>
      </c>
      <c r="AC19" s="58">
        <v>338.36</v>
      </c>
      <c r="AD19" s="65">
        <f t="shared" si="12"/>
        <v>210.00000000003638</v>
      </c>
      <c r="AE19" s="58">
        <v>524.46</v>
      </c>
      <c r="AF19" s="65">
        <f t="shared" si="13"/>
        <v>210.00000000003638</v>
      </c>
      <c r="AG19" s="58">
        <v>1526.4</v>
      </c>
      <c r="AH19" s="67">
        <f t="shared" si="14"/>
        <v>1.7000000000000455</v>
      </c>
      <c r="AI19" s="58">
        <v>523.16</v>
      </c>
      <c r="AJ19" s="65">
        <f t="shared" si="15"/>
        <v>250</v>
      </c>
      <c r="AK19" s="58">
        <v>180.8</v>
      </c>
      <c r="AL19" s="65">
        <f t="shared" si="15"/>
        <v>40.000000000020464</v>
      </c>
      <c r="AM19" s="58">
        <v>178.97</v>
      </c>
      <c r="AN19" s="65">
        <f t="shared" si="15"/>
        <v>9.9999999999909051</v>
      </c>
      <c r="AO19" s="58">
        <v>170.59</v>
      </c>
      <c r="AP19" s="65">
        <f t="shared" si="15"/>
        <v>30.000000000001137</v>
      </c>
      <c r="AQ19" s="58">
        <v>228.89</v>
      </c>
      <c r="AR19" s="65">
        <f t="shared" si="16"/>
        <v>29.999999999972715</v>
      </c>
      <c r="AS19" s="58">
        <v>356.39</v>
      </c>
      <c r="AT19" s="65">
        <f t="shared" si="17"/>
        <v>19.99999999998181</v>
      </c>
      <c r="AU19" s="58">
        <v>275.29000000000002</v>
      </c>
      <c r="AV19" s="65">
        <f t="shared" si="18"/>
        <v>20.000000000038654</v>
      </c>
      <c r="AW19" s="58">
        <v>307.17</v>
      </c>
      <c r="AX19" s="65">
        <f t="shared" si="19"/>
        <v>110.00000000001364</v>
      </c>
      <c r="AY19" s="58">
        <v>356.47</v>
      </c>
      <c r="AZ19" s="65">
        <f t="shared" si="20"/>
        <v>20.000000000038654</v>
      </c>
      <c r="BA19" s="58">
        <v>377.64</v>
      </c>
      <c r="BB19" s="65">
        <f t="shared" si="21"/>
        <v>19.99999999998181</v>
      </c>
      <c r="BC19" s="58">
        <v>236.47</v>
      </c>
      <c r="BD19" s="65">
        <f t="shared" si="22"/>
        <v>9.9999999999909051</v>
      </c>
      <c r="BE19" s="59">
        <v>34676</v>
      </c>
      <c r="BF19" s="67">
        <f t="shared" si="39"/>
        <v>35</v>
      </c>
      <c r="BG19" s="60">
        <v>228.4</v>
      </c>
      <c r="BH19" s="65">
        <f t="shared" si="23"/>
        <v>50.000000000011369</v>
      </c>
      <c r="BI19" s="60">
        <v>287.20999999999998</v>
      </c>
      <c r="BJ19" s="65">
        <f t="shared" si="40"/>
        <v>69.999999999993179</v>
      </c>
      <c r="BK19" s="60">
        <v>232.88</v>
      </c>
      <c r="BL19" s="65">
        <f t="shared" si="24"/>
        <v>0</v>
      </c>
      <c r="BM19" s="60">
        <v>217.85</v>
      </c>
      <c r="BN19" s="65">
        <f t="shared" si="25"/>
        <v>19.99999999998181</v>
      </c>
      <c r="BO19" s="60">
        <v>283.29000000000002</v>
      </c>
      <c r="BP19" s="65">
        <f t="shared" si="26"/>
        <v>20.000000000038654</v>
      </c>
      <c r="BQ19" s="60">
        <v>41660</v>
      </c>
      <c r="BR19" s="65">
        <f t="shared" si="27"/>
        <v>16</v>
      </c>
      <c r="BS19" s="60">
        <v>196.49</v>
      </c>
      <c r="BT19" s="65">
        <f t="shared" si="42"/>
        <v>40.000000000020464</v>
      </c>
      <c r="BU19" s="60">
        <v>35143</v>
      </c>
      <c r="BV19" s="65">
        <f t="shared" si="28"/>
        <v>16</v>
      </c>
      <c r="BW19" s="60">
        <v>227.95</v>
      </c>
      <c r="BX19" s="65">
        <f t="shared" si="29"/>
        <v>19.99999999998181</v>
      </c>
      <c r="BY19" s="60">
        <v>53617</v>
      </c>
      <c r="BZ19" s="67">
        <f t="shared" si="30"/>
        <v>55</v>
      </c>
      <c r="CA19" s="60">
        <v>28611.4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53830.2</v>
      </c>
      <c r="CH19" s="67">
        <f t="shared" si="34"/>
        <v>48.599999999998545</v>
      </c>
      <c r="CI19" s="60">
        <v>905401</v>
      </c>
      <c r="CJ19" s="67">
        <f t="shared" si="35"/>
        <v>238</v>
      </c>
      <c r="CK19" s="60">
        <v>667.12</v>
      </c>
      <c r="CL19" s="64">
        <f t="shared" si="36"/>
        <v>490.00000000000909</v>
      </c>
      <c r="CM19" s="65">
        <f t="shared" si="41"/>
        <v>28.800000000000182</v>
      </c>
      <c r="CN19" s="62">
        <v>0</v>
      </c>
      <c r="CO19" s="62">
        <v>0</v>
      </c>
      <c r="CP19" s="68">
        <v>3485</v>
      </c>
      <c r="CQ19" s="67">
        <f t="shared" si="37"/>
        <v>19.800000000000182</v>
      </c>
      <c r="CR19" s="68">
        <v>11758</v>
      </c>
      <c r="CS19" s="67">
        <f t="shared" si="37"/>
        <v>9</v>
      </c>
      <c r="CT19" s="75">
        <v>4414</v>
      </c>
      <c r="CU19" s="67">
        <f t="shared" si="37"/>
        <v>11</v>
      </c>
      <c r="CV19" s="68">
        <v>11614</v>
      </c>
      <c r="CW19" s="67">
        <f t="shared" si="37"/>
        <v>31</v>
      </c>
    </row>
    <row r="20" spans="1:101" ht="25.5" customHeight="1" thickBot="1" x14ac:dyDescent="0.45">
      <c r="A20" s="63">
        <v>44213</v>
      </c>
      <c r="B20" s="44"/>
      <c r="C20" s="58">
        <v>2.0318999999999998</v>
      </c>
      <c r="D20" s="64">
        <f t="shared" si="0"/>
        <v>699.99999999970089</v>
      </c>
      <c r="E20" s="58">
        <v>2.9024999999999999</v>
      </c>
      <c r="F20" s="64">
        <f t="shared" si="1"/>
        <v>699.99999999970089</v>
      </c>
      <c r="G20" s="58">
        <v>2.9432</v>
      </c>
      <c r="H20" s="64">
        <f t="shared" si="2"/>
        <v>1399.9999999998458</v>
      </c>
      <c r="I20" s="58">
        <v>1.4384999999999999</v>
      </c>
      <c r="J20" s="64">
        <f t="shared" si="3"/>
        <v>999.99999999988984</v>
      </c>
      <c r="K20" s="58">
        <v>2.3127</v>
      </c>
      <c r="L20" s="64">
        <f t="shared" si="38"/>
        <v>1900.0000000000127</v>
      </c>
      <c r="M20" s="58">
        <v>1.3246</v>
      </c>
      <c r="N20" s="64">
        <f t="shared" si="4"/>
        <v>599.99999999993395</v>
      </c>
      <c r="O20" s="58">
        <v>12732</v>
      </c>
      <c r="P20" s="67">
        <f t="shared" si="43"/>
        <v>1</v>
      </c>
      <c r="Q20" s="58">
        <v>240</v>
      </c>
      <c r="R20" s="67">
        <f t="shared" si="6"/>
        <v>1</v>
      </c>
      <c r="S20" s="58">
        <v>892820.8</v>
      </c>
      <c r="T20" s="67">
        <f t="shared" si="7"/>
        <v>160.60000000009313</v>
      </c>
      <c r="U20" s="58">
        <v>368363.4</v>
      </c>
      <c r="V20" s="67">
        <f t="shared" si="8"/>
        <v>95</v>
      </c>
      <c r="W20" s="58">
        <v>358.56</v>
      </c>
      <c r="X20" s="65">
        <f t="shared" si="9"/>
        <v>149.99999999997726</v>
      </c>
      <c r="Y20" s="58">
        <v>2.5356999999999998</v>
      </c>
      <c r="Z20" s="65">
        <f t="shared" si="10"/>
        <v>499.99999999972289</v>
      </c>
      <c r="AA20" s="58">
        <v>353.74</v>
      </c>
      <c r="AB20" s="65">
        <f t="shared" si="11"/>
        <v>110.00000000001364</v>
      </c>
      <c r="AC20" s="58">
        <v>338.53</v>
      </c>
      <c r="AD20" s="65">
        <f t="shared" si="12"/>
        <v>169.99999999995907</v>
      </c>
      <c r="AE20" s="58">
        <v>524.63</v>
      </c>
      <c r="AF20" s="65">
        <f t="shared" si="13"/>
        <v>169.99999999995907</v>
      </c>
      <c r="AG20" s="58">
        <v>1528.4</v>
      </c>
      <c r="AH20" s="67">
        <f t="shared" si="14"/>
        <v>2</v>
      </c>
      <c r="AI20" s="58">
        <v>523.41999999999996</v>
      </c>
      <c r="AJ20" s="65">
        <f t="shared" si="15"/>
        <v>259.99999999999091</v>
      </c>
      <c r="AK20" s="58">
        <v>180.82</v>
      </c>
      <c r="AL20" s="65">
        <f t="shared" si="15"/>
        <v>19.99999999998181</v>
      </c>
      <c r="AM20" s="58">
        <v>178.98</v>
      </c>
      <c r="AN20" s="65">
        <f t="shared" si="15"/>
        <v>9.9999999999909051</v>
      </c>
      <c r="AO20" s="58">
        <v>170.6</v>
      </c>
      <c r="AP20" s="65">
        <f t="shared" si="15"/>
        <v>9.9999999999909051</v>
      </c>
      <c r="AQ20" s="58">
        <v>228.91</v>
      </c>
      <c r="AR20" s="65">
        <f t="shared" si="16"/>
        <v>20.000000000010232</v>
      </c>
      <c r="AS20" s="58">
        <v>356.41</v>
      </c>
      <c r="AT20" s="65">
        <f t="shared" si="17"/>
        <v>20.000000000038654</v>
      </c>
      <c r="AU20" s="58">
        <v>275.3</v>
      </c>
      <c r="AV20" s="65">
        <f t="shared" si="18"/>
        <v>9.9999999999909051</v>
      </c>
      <c r="AW20" s="58">
        <v>307.26</v>
      </c>
      <c r="AX20" s="65">
        <f t="shared" si="19"/>
        <v>89.999999999974989</v>
      </c>
      <c r="AY20" s="58">
        <v>356.48</v>
      </c>
      <c r="AZ20" s="65">
        <f t="shared" si="20"/>
        <v>9.9999999999909051</v>
      </c>
      <c r="BA20" s="58">
        <v>377.66</v>
      </c>
      <c r="BB20" s="65">
        <f t="shared" si="21"/>
        <v>20.000000000038654</v>
      </c>
      <c r="BC20" s="58">
        <v>236.49</v>
      </c>
      <c r="BD20" s="65">
        <f t="shared" si="22"/>
        <v>20.000000000010232</v>
      </c>
      <c r="BE20" s="59">
        <v>34710</v>
      </c>
      <c r="BF20" s="67">
        <f t="shared" si="39"/>
        <v>34</v>
      </c>
      <c r="BG20" s="60">
        <v>228.44</v>
      </c>
      <c r="BH20" s="65">
        <f t="shared" si="23"/>
        <v>39.999999999992042</v>
      </c>
      <c r="BI20" s="60">
        <v>287.26</v>
      </c>
      <c r="BJ20" s="65">
        <f t="shared" si="40"/>
        <v>50.000000000011369</v>
      </c>
      <c r="BK20" s="60">
        <v>232.89</v>
      </c>
      <c r="BL20" s="65">
        <f t="shared" si="24"/>
        <v>9.9999999999909051</v>
      </c>
      <c r="BM20" s="60">
        <v>217.87</v>
      </c>
      <c r="BN20" s="65">
        <f t="shared" si="25"/>
        <v>20.000000000010232</v>
      </c>
      <c r="BO20" s="60">
        <v>283.31</v>
      </c>
      <c r="BP20" s="65">
        <f t="shared" si="26"/>
        <v>19.99999999998181</v>
      </c>
      <c r="BQ20" s="60">
        <v>41671</v>
      </c>
      <c r="BR20" s="65">
        <f t="shared" si="27"/>
        <v>11</v>
      </c>
      <c r="BS20" s="60">
        <v>196.52</v>
      </c>
      <c r="BT20" s="65">
        <f t="shared" si="42"/>
        <v>30.000000000001137</v>
      </c>
      <c r="BU20" s="60">
        <v>35155</v>
      </c>
      <c r="BV20" s="65">
        <f t="shared" si="28"/>
        <v>12</v>
      </c>
      <c r="BW20" s="60">
        <v>227.97</v>
      </c>
      <c r="BX20" s="65">
        <f t="shared" si="29"/>
        <v>20.000000000010232</v>
      </c>
      <c r="BY20" s="60">
        <v>53661</v>
      </c>
      <c r="BZ20" s="67">
        <f t="shared" si="30"/>
        <v>44</v>
      </c>
      <c r="CA20" s="60">
        <v>28611.4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53883.1</v>
      </c>
      <c r="CH20" s="67">
        <f t="shared" si="34"/>
        <v>52.900000000001455</v>
      </c>
      <c r="CI20" s="60">
        <v>905637</v>
      </c>
      <c r="CJ20" s="67">
        <f t="shared" si="35"/>
        <v>236</v>
      </c>
      <c r="CK20" s="60">
        <v>667.48</v>
      </c>
      <c r="CL20" s="64">
        <f t="shared" si="36"/>
        <v>360.00000000001364</v>
      </c>
      <c r="CM20" s="65">
        <f t="shared" si="41"/>
        <v>20.599999999999909</v>
      </c>
      <c r="CN20" s="62">
        <v>0</v>
      </c>
      <c r="CO20" s="62">
        <v>0</v>
      </c>
      <c r="CP20" s="68">
        <v>3497.6</v>
      </c>
      <c r="CQ20" s="67">
        <f t="shared" si="37"/>
        <v>12.599999999999909</v>
      </c>
      <c r="CR20" s="68">
        <v>11766</v>
      </c>
      <c r="CS20" s="67">
        <f t="shared" si="37"/>
        <v>8</v>
      </c>
      <c r="CT20" s="75">
        <v>4429</v>
      </c>
      <c r="CU20" s="67">
        <f t="shared" si="37"/>
        <v>15</v>
      </c>
      <c r="CV20" s="68">
        <v>11638</v>
      </c>
      <c r="CW20" s="67">
        <f t="shared" si="37"/>
        <v>24</v>
      </c>
    </row>
    <row r="21" spans="1:101" ht="25.5" customHeight="1" thickBot="1" x14ac:dyDescent="0.45">
      <c r="A21" s="63">
        <v>44214</v>
      </c>
      <c r="B21" s="44"/>
      <c r="C21" s="58">
        <v>2.0327000000000002</v>
      </c>
      <c r="D21" s="64">
        <f t="shared" si="0"/>
        <v>800.00000000035595</v>
      </c>
      <c r="E21" s="58">
        <v>2.9034</v>
      </c>
      <c r="F21" s="64">
        <f t="shared" si="1"/>
        <v>900.0000000001229</v>
      </c>
      <c r="G21" s="58">
        <v>2.9449999999999998</v>
      </c>
      <c r="H21" s="64">
        <f t="shared" si="2"/>
        <v>1799.9999999998017</v>
      </c>
      <c r="I21" s="58">
        <v>1.4396</v>
      </c>
      <c r="J21" s="64">
        <f t="shared" si="3"/>
        <v>1100.000000000101</v>
      </c>
      <c r="K21" s="58">
        <v>2.3144999999999998</v>
      </c>
      <c r="L21" s="64">
        <f t="shared" si="38"/>
        <v>1799.9999999998017</v>
      </c>
      <c r="M21" s="58">
        <v>1.3253999999999999</v>
      </c>
      <c r="N21" s="64">
        <f t="shared" si="4"/>
        <v>799.99999999991189</v>
      </c>
      <c r="O21" s="58">
        <v>12732</v>
      </c>
      <c r="P21" s="67">
        <f t="shared" si="43"/>
        <v>0</v>
      </c>
      <c r="Q21" s="58">
        <v>242</v>
      </c>
      <c r="R21" s="67">
        <f t="shared" si="6"/>
        <v>2</v>
      </c>
      <c r="S21" s="58">
        <v>893077.8</v>
      </c>
      <c r="T21" s="67">
        <f t="shared" si="7"/>
        <v>257</v>
      </c>
      <c r="U21" s="58">
        <v>368539.9</v>
      </c>
      <c r="V21" s="67">
        <f t="shared" si="8"/>
        <v>176.5</v>
      </c>
      <c r="W21" s="58">
        <v>358.71</v>
      </c>
      <c r="X21" s="65">
        <f t="shared" si="9"/>
        <v>149.99999999997726</v>
      </c>
      <c r="Y21" s="58">
        <v>2.5363000000000002</v>
      </c>
      <c r="Z21" s="65">
        <f t="shared" si="10"/>
        <v>600.00000000037801</v>
      </c>
      <c r="AA21" s="58">
        <v>353.9</v>
      </c>
      <c r="AB21" s="65">
        <f t="shared" si="11"/>
        <v>159.99999999996817</v>
      </c>
      <c r="AC21" s="58">
        <v>338.74</v>
      </c>
      <c r="AD21" s="65">
        <f t="shared" si="12"/>
        <v>210.00000000003638</v>
      </c>
      <c r="AE21" s="58">
        <v>524.94000000000005</v>
      </c>
      <c r="AF21" s="65">
        <f t="shared" si="13"/>
        <v>310.00000000005912</v>
      </c>
      <c r="AG21" s="58">
        <v>1530.5</v>
      </c>
      <c r="AH21" s="67">
        <f t="shared" si="14"/>
        <v>2.0999999999999091</v>
      </c>
      <c r="AI21" s="58">
        <v>523.66999999999996</v>
      </c>
      <c r="AJ21" s="65">
        <f t="shared" si="15"/>
        <v>250</v>
      </c>
      <c r="AK21" s="58">
        <v>180.86</v>
      </c>
      <c r="AL21" s="65">
        <f t="shared" si="15"/>
        <v>40.000000000020464</v>
      </c>
      <c r="AM21" s="58">
        <v>179</v>
      </c>
      <c r="AN21" s="65">
        <f t="shared" si="15"/>
        <v>20.000000000010232</v>
      </c>
      <c r="AO21" s="58">
        <v>170.63</v>
      </c>
      <c r="AP21" s="65">
        <f t="shared" si="15"/>
        <v>30.000000000001137</v>
      </c>
      <c r="AQ21" s="58">
        <v>228.94</v>
      </c>
      <c r="AR21" s="65">
        <f t="shared" si="16"/>
        <v>30.000000000001137</v>
      </c>
      <c r="AS21" s="58">
        <v>356.44</v>
      </c>
      <c r="AT21" s="65">
        <f t="shared" si="17"/>
        <v>29.999999999972715</v>
      </c>
      <c r="AU21" s="58">
        <v>275.32</v>
      </c>
      <c r="AV21" s="65">
        <f t="shared" si="18"/>
        <v>19.99999999998181</v>
      </c>
      <c r="AW21" s="58">
        <v>307.36</v>
      </c>
      <c r="AX21" s="65">
        <f t="shared" si="19"/>
        <v>100.00000000002274</v>
      </c>
      <c r="AY21" s="58">
        <v>356.5</v>
      </c>
      <c r="AZ21" s="65">
        <f t="shared" si="20"/>
        <v>19.99999999998181</v>
      </c>
      <c r="BA21" s="58">
        <v>377.68</v>
      </c>
      <c r="BB21" s="65">
        <f t="shared" si="21"/>
        <v>19.99999999998181</v>
      </c>
      <c r="BC21" s="58">
        <v>236.5</v>
      </c>
      <c r="BD21" s="65">
        <f t="shared" si="22"/>
        <v>9.9999999999909051</v>
      </c>
      <c r="BE21" s="59">
        <v>34738</v>
      </c>
      <c r="BF21" s="67">
        <f t="shared" si="39"/>
        <v>28</v>
      </c>
      <c r="BG21" s="60">
        <v>228.48</v>
      </c>
      <c r="BH21" s="65">
        <f t="shared" si="23"/>
        <v>39.999999999992042</v>
      </c>
      <c r="BI21" s="60">
        <v>287.3</v>
      </c>
      <c r="BJ21" s="65">
        <f t="shared" si="40"/>
        <v>40.000000000020464</v>
      </c>
      <c r="BK21" s="60">
        <v>232.9</v>
      </c>
      <c r="BL21" s="65">
        <f t="shared" si="24"/>
        <v>10.000000000019327</v>
      </c>
      <c r="BM21" s="60">
        <v>217.89</v>
      </c>
      <c r="BN21" s="65">
        <f t="shared" si="25"/>
        <v>19.99999999998181</v>
      </c>
      <c r="BO21" s="60">
        <v>283.32</v>
      </c>
      <c r="BP21" s="65">
        <f t="shared" si="26"/>
        <v>9.9999999999909051</v>
      </c>
      <c r="BQ21" s="60">
        <v>41686</v>
      </c>
      <c r="BR21" s="65">
        <f t="shared" si="27"/>
        <v>15</v>
      </c>
      <c r="BS21" s="60">
        <v>196.55</v>
      </c>
      <c r="BT21" s="65">
        <f t="shared" si="42"/>
        <v>30.000000000001137</v>
      </c>
      <c r="BU21" s="60">
        <v>35168</v>
      </c>
      <c r="BV21" s="65">
        <f t="shared" si="28"/>
        <v>13</v>
      </c>
      <c r="BW21" s="60">
        <v>227.99</v>
      </c>
      <c r="BX21" s="65">
        <f t="shared" si="29"/>
        <v>20.000000000010232</v>
      </c>
      <c r="BY21" s="60">
        <v>53709</v>
      </c>
      <c r="BZ21" s="67">
        <f t="shared" si="30"/>
        <v>48</v>
      </c>
      <c r="CA21" s="60">
        <v>28611.4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53928.9</v>
      </c>
      <c r="CH21" s="67">
        <f t="shared" si="34"/>
        <v>45.80000000000291</v>
      </c>
      <c r="CI21" s="60">
        <v>905875</v>
      </c>
      <c r="CJ21" s="67">
        <f t="shared" si="35"/>
        <v>238</v>
      </c>
      <c r="CK21" s="60">
        <v>667.92</v>
      </c>
      <c r="CL21" s="64">
        <f t="shared" si="36"/>
        <v>439.99999999994088</v>
      </c>
      <c r="CM21" s="65">
        <f t="shared" si="41"/>
        <v>23.5</v>
      </c>
      <c r="CN21" s="62">
        <v>0</v>
      </c>
      <c r="CO21" s="62">
        <v>0</v>
      </c>
      <c r="CP21" s="68">
        <v>3515.1</v>
      </c>
      <c r="CQ21" s="67">
        <f t="shared" si="37"/>
        <v>17.5</v>
      </c>
      <c r="CR21" s="68">
        <v>11772</v>
      </c>
      <c r="CS21" s="67">
        <f t="shared" si="37"/>
        <v>6</v>
      </c>
      <c r="CT21" s="75">
        <v>4441</v>
      </c>
      <c r="CU21" s="67">
        <f t="shared" si="37"/>
        <v>12</v>
      </c>
      <c r="CV21" s="68">
        <v>11658</v>
      </c>
      <c r="CW21" s="67">
        <f t="shared" si="37"/>
        <v>20</v>
      </c>
    </row>
    <row r="22" spans="1:101" ht="25.5" customHeight="1" thickBot="1" x14ac:dyDescent="0.45">
      <c r="A22" s="63">
        <v>44215</v>
      </c>
      <c r="B22" s="44"/>
      <c r="C22" s="58">
        <v>2.0333999999999999</v>
      </c>
      <c r="D22" s="64">
        <f t="shared" si="0"/>
        <v>699.99999999970089</v>
      </c>
      <c r="E22" s="58">
        <v>2.9041999999999999</v>
      </c>
      <c r="F22" s="64">
        <f t="shared" si="1"/>
        <v>799.99999999991189</v>
      </c>
      <c r="G22" s="58">
        <v>2.9468000000000001</v>
      </c>
      <c r="H22" s="64">
        <f t="shared" si="2"/>
        <v>1800.0000000002458</v>
      </c>
      <c r="I22" s="58">
        <v>1.4406000000000001</v>
      </c>
      <c r="J22" s="64">
        <f t="shared" si="3"/>
        <v>1000.0000000001119</v>
      </c>
      <c r="K22" s="58">
        <v>2.3163999999999998</v>
      </c>
      <c r="L22" s="64">
        <f t="shared" si="38"/>
        <v>1900.0000000000127</v>
      </c>
      <c r="M22" s="58">
        <v>1.3260000000000001</v>
      </c>
      <c r="N22" s="64">
        <f t="shared" si="4"/>
        <v>600.00000000015598</v>
      </c>
      <c r="O22" s="58">
        <v>12732</v>
      </c>
      <c r="P22" s="67">
        <f t="shared" si="43"/>
        <v>0</v>
      </c>
      <c r="Q22" s="58">
        <v>243</v>
      </c>
      <c r="R22" s="67">
        <f t="shared" si="6"/>
        <v>1</v>
      </c>
      <c r="S22" s="58">
        <v>893308.8</v>
      </c>
      <c r="T22" s="67">
        <f t="shared" si="7"/>
        <v>231</v>
      </c>
      <c r="U22" s="58">
        <v>368710.6</v>
      </c>
      <c r="V22" s="67">
        <f t="shared" si="8"/>
        <v>170.69999999995343</v>
      </c>
      <c r="W22" s="58">
        <v>358.84</v>
      </c>
      <c r="X22" s="65">
        <f t="shared" si="9"/>
        <v>129.99999999999545</v>
      </c>
      <c r="Y22" s="58">
        <v>2.5367999999999999</v>
      </c>
      <c r="Z22" s="65">
        <f t="shared" si="10"/>
        <v>499.99999999972289</v>
      </c>
      <c r="AA22" s="58">
        <v>354.01</v>
      </c>
      <c r="AB22" s="65">
        <f t="shared" si="11"/>
        <v>110.00000000001364</v>
      </c>
      <c r="AC22" s="58">
        <v>338.92</v>
      </c>
      <c r="AD22" s="65">
        <f t="shared" si="12"/>
        <v>180.00000000000682</v>
      </c>
      <c r="AE22" s="58">
        <v>525.14</v>
      </c>
      <c r="AF22" s="65">
        <f t="shared" si="13"/>
        <v>199.99999999993179</v>
      </c>
      <c r="AG22" s="58">
        <v>1531.3</v>
      </c>
      <c r="AH22" s="67">
        <f t="shared" si="14"/>
        <v>0.79999999999995453</v>
      </c>
      <c r="AI22" s="58">
        <v>523.92999999999995</v>
      </c>
      <c r="AJ22" s="65">
        <f t="shared" si="15"/>
        <v>259.99999999999091</v>
      </c>
      <c r="AK22" s="58">
        <v>180.9</v>
      </c>
      <c r="AL22" s="65">
        <f t="shared" si="15"/>
        <v>39.999999999992042</v>
      </c>
      <c r="AM22" s="58">
        <v>179.02</v>
      </c>
      <c r="AN22" s="65">
        <f t="shared" si="15"/>
        <v>20.000000000010232</v>
      </c>
      <c r="AO22" s="58">
        <v>170.65</v>
      </c>
      <c r="AP22" s="65">
        <f t="shared" si="15"/>
        <v>20.000000000010232</v>
      </c>
      <c r="AQ22" s="58">
        <v>228.97</v>
      </c>
      <c r="AR22" s="65">
        <f t="shared" si="16"/>
        <v>30.000000000001137</v>
      </c>
      <c r="AS22" s="58">
        <v>356.47</v>
      </c>
      <c r="AT22" s="65">
        <f t="shared" si="17"/>
        <v>30.000000000029559</v>
      </c>
      <c r="AU22" s="58">
        <v>275.33</v>
      </c>
      <c r="AV22" s="65">
        <f t="shared" si="18"/>
        <v>9.9999999999909051</v>
      </c>
      <c r="AW22" s="58">
        <v>307.43</v>
      </c>
      <c r="AX22" s="65">
        <f t="shared" si="19"/>
        <v>69.999999999993179</v>
      </c>
      <c r="AY22" s="58">
        <v>356.52</v>
      </c>
      <c r="AZ22" s="65">
        <f t="shared" si="20"/>
        <v>19.99999999998181</v>
      </c>
      <c r="BA22" s="58">
        <v>377.71</v>
      </c>
      <c r="BB22" s="65">
        <f t="shared" si="21"/>
        <v>29.999999999972715</v>
      </c>
      <c r="BC22" s="58">
        <v>236.51</v>
      </c>
      <c r="BD22" s="65">
        <f t="shared" si="22"/>
        <v>9.9999999999909051</v>
      </c>
      <c r="BE22" s="59">
        <v>34765</v>
      </c>
      <c r="BF22" s="67">
        <f t="shared" si="39"/>
        <v>27</v>
      </c>
      <c r="BG22" s="60">
        <v>228.51</v>
      </c>
      <c r="BH22" s="65">
        <f t="shared" si="23"/>
        <v>30.000000000001137</v>
      </c>
      <c r="BI22" s="60">
        <v>287.33999999999997</v>
      </c>
      <c r="BJ22" s="65">
        <f t="shared" si="40"/>
        <v>39.99999999996362</v>
      </c>
      <c r="BK22" s="60">
        <v>232.91</v>
      </c>
      <c r="BL22" s="65">
        <f t="shared" si="24"/>
        <v>9.9999999999909051</v>
      </c>
      <c r="BM22" s="60">
        <v>217.91</v>
      </c>
      <c r="BN22" s="65">
        <f t="shared" si="25"/>
        <v>20.000000000010232</v>
      </c>
      <c r="BO22" s="60">
        <v>283.33999999999997</v>
      </c>
      <c r="BP22" s="65">
        <f t="shared" si="26"/>
        <v>19.99999999998181</v>
      </c>
      <c r="BQ22" s="60">
        <v>41702</v>
      </c>
      <c r="BR22" s="65">
        <f t="shared" si="27"/>
        <v>16</v>
      </c>
      <c r="BS22" s="60">
        <v>196.57</v>
      </c>
      <c r="BT22" s="65">
        <f t="shared" si="42"/>
        <v>19.99999999998181</v>
      </c>
      <c r="BU22" s="60">
        <v>35181</v>
      </c>
      <c r="BV22" s="65">
        <f t="shared" si="28"/>
        <v>13</v>
      </c>
      <c r="BW22" s="60">
        <v>228.02</v>
      </c>
      <c r="BX22" s="65">
        <f t="shared" si="29"/>
        <v>30.000000000001137</v>
      </c>
      <c r="BY22" s="60">
        <v>53750</v>
      </c>
      <c r="BZ22" s="67">
        <f t="shared" si="30"/>
        <v>41</v>
      </c>
      <c r="CA22" s="60">
        <v>28611.4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53983.199999999997</v>
      </c>
      <c r="CH22" s="67">
        <f t="shared" si="34"/>
        <v>54.299999999995634</v>
      </c>
      <c r="CI22" s="60">
        <v>906116</v>
      </c>
      <c r="CJ22" s="67">
        <f t="shared" si="35"/>
        <v>241</v>
      </c>
      <c r="CK22" s="60">
        <v>668.38</v>
      </c>
      <c r="CL22" s="64">
        <f t="shared" si="36"/>
        <v>460.00000000003638</v>
      </c>
      <c r="CM22" s="65">
        <f t="shared" si="41"/>
        <v>27.900000000000091</v>
      </c>
      <c r="CN22" s="62">
        <v>0</v>
      </c>
      <c r="CO22" s="62">
        <v>0</v>
      </c>
      <c r="CP22" s="68">
        <v>3535</v>
      </c>
      <c r="CQ22" s="67">
        <f t="shared" si="37"/>
        <v>19.900000000000091</v>
      </c>
      <c r="CR22" s="68">
        <v>11780</v>
      </c>
      <c r="CS22" s="67">
        <f t="shared" si="37"/>
        <v>8</v>
      </c>
      <c r="CT22" s="75">
        <v>4453</v>
      </c>
      <c r="CU22" s="67">
        <f t="shared" si="37"/>
        <v>12</v>
      </c>
      <c r="CV22" s="68">
        <v>11680</v>
      </c>
      <c r="CW22" s="67">
        <f t="shared" si="37"/>
        <v>22</v>
      </c>
    </row>
    <row r="23" spans="1:101" ht="25.5" customHeight="1" thickBot="1" x14ac:dyDescent="0.45">
      <c r="A23" s="63">
        <v>44216</v>
      </c>
      <c r="B23" s="44"/>
      <c r="C23" s="58">
        <v>2.0341</v>
      </c>
      <c r="D23" s="64">
        <f t="shared" si="0"/>
        <v>700.00000000014495</v>
      </c>
      <c r="E23" s="58">
        <v>2.9049</v>
      </c>
      <c r="F23" s="64">
        <f t="shared" si="1"/>
        <v>700.00000000014495</v>
      </c>
      <c r="G23" s="58">
        <v>2.9485000000000001</v>
      </c>
      <c r="H23" s="64">
        <f t="shared" si="2"/>
        <v>1700.0000000000348</v>
      </c>
      <c r="I23" s="58">
        <v>1.4416</v>
      </c>
      <c r="J23" s="64">
        <f t="shared" si="3"/>
        <v>999.99999999988984</v>
      </c>
      <c r="K23" s="58">
        <v>2.3182</v>
      </c>
      <c r="L23" s="64">
        <f t="shared" si="38"/>
        <v>1800.0000000002458</v>
      </c>
      <c r="M23" s="58">
        <v>1.3266</v>
      </c>
      <c r="N23" s="64">
        <f t="shared" si="4"/>
        <v>599.99999999993395</v>
      </c>
      <c r="O23" s="58">
        <v>12733</v>
      </c>
      <c r="P23" s="67">
        <f t="shared" si="43"/>
        <v>1</v>
      </c>
      <c r="Q23" s="58">
        <v>244</v>
      </c>
      <c r="R23" s="67">
        <f t="shared" si="6"/>
        <v>1</v>
      </c>
      <c r="S23" s="58">
        <v>893531.6</v>
      </c>
      <c r="T23" s="67">
        <f t="shared" si="7"/>
        <v>222.79999999993015</v>
      </c>
      <c r="U23" s="58">
        <v>368853</v>
      </c>
      <c r="V23" s="67">
        <f t="shared" si="8"/>
        <v>142.40000000002328</v>
      </c>
      <c r="W23" s="58">
        <v>358.97</v>
      </c>
      <c r="X23" s="65">
        <f t="shared" si="9"/>
        <v>130.0000000000523</v>
      </c>
      <c r="Y23" s="58">
        <v>2.5373000000000001</v>
      </c>
      <c r="Z23" s="65">
        <f t="shared" si="10"/>
        <v>500.00000000016701</v>
      </c>
      <c r="AA23" s="58">
        <v>354.1</v>
      </c>
      <c r="AB23" s="65">
        <f t="shared" si="11"/>
        <v>90.000000000031832</v>
      </c>
      <c r="AC23" s="58">
        <v>339.1</v>
      </c>
      <c r="AD23" s="65">
        <f t="shared" si="12"/>
        <v>180.00000000000682</v>
      </c>
      <c r="AE23" s="58">
        <v>525.33000000000004</v>
      </c>
      <c r="AF23" s="65">
        <f t="shared" si="13"/>
        <v>190.00000000005457</v>
      </c>
      <c r="AG23" s="58">
        <v>1533</v>
      </c>
      <c r="AH23" s="67">
        <f t="shared" si="14"/>
        <v>1.7000000000000455</v>
      </c>
      <c r="AI23" s="58">
        <v>524.16999999999996</v>
      </c>
      <c r="AJ23" s="65">
        <f t="shared" si="15"/>
        <v>240.00000000000909</v>
      </c>
      <c r="AK23" s="58">
        <v>180.93</v>
      </c>
      <c r="AL23" s="65">
        <f t="shared" si="15"/>
        <v>30.000000000001137</v>
      </c>
      <c r="AM23" s="58">
        <v>179.03</v>
      </c>
      <c r="AN23" s="65">
        <f t="shared" si="15"/>
        <v>9.9999999999909051</v>
      </c>
      <c r="AO23" s="58">
        <v>170.67</v>
      </c>
      <c r="AP23" s="65">
        <f t="shared" si="15"/>
        <v>19.99999999998181</v>
      </c>
      <c r="AQ23" s="58">
        <v>228.99</v>
      </c>
      <c r="AR23" s="65">
        <f t="shared" si="16"/>
        <v>20.000000000010232</v>
      </c>
      <c r="AS23" s="58">
        <v>356.49</v>
      </c>
      <c r="AT23" s="65">
        <f t="shared" si="17"/>
        <v>19.99999999998181</v>
      </c>
      <c r="AU23" s="58">
        <v>275.35000000000002</v>
      </c>
      <c r="AV23" s="65">
        <f t="shared" si="18"/>
        <v>20.000000000038654</v>
      </c>
      <c r="AW23" s="58">
        <v>307.47000000000003</v>
      </c>
      <c r="AX23" s="65">
        <f t="shared" si="19"/>
        <v>40.000000000020464</v>
      </c>
      <c r="AY23" s="58">
        <v>356.54</v>
      </c>
      <c r="AZ23" s="65">
        <f t="shared" si="20"/>
        <v>20.000000000038654</v>
      </c>
      <c r="BA23" s="58">
        <v>377.74</v>
      </c>
      <c r="BB23" s="65">
        <f t="shared" si="21"/>
        <v>30.000000000029559</v>
      </c>
      <c r="BC23" s="58">
        <v>236.52</v>
      </c>
      <c r="BD23" s="65">
        <f t="shared" si="22"/>
        <v>10.000000000019327</v>
      </c>
      <c r="BE23" s="59">
        <v>34797</v>
      </c>
      <c r="BF23" s="67">
        <f t="shared" si="39"/>
        <v>32</v>
      </c>
      <c r="BG23" s="60">
        <v>228.54</v>
      </c>
      <c r="BH23" s="65">
        <f t="shared" si="23"/>
        <v>30.000000000001137</v>
      </c>
      <c r="BI23" s="60">
        <v>287.38</v>
      </c>
      <c r="BJ23" s="65">
        <f t="shared" si="40"/>
        <v>40.000000000020464</v>
      </c>
      <c r="BK23" s="60">
        <v>232.92</v>
      </c>
      <c r="BL23" s="65">
        <f t="shared" si="24"/>
        <v>9.9999999999909051</v>
      </c>
      <c r="BM23" s="60">
        <v>217.93</v>
      </c>
      <c r="BN23" s="65">
        <f t="shared" si="25"/>
        <v>20.000000000010232</v>
      </c>
      <c r="BO23" s="60">
        <v>283.35000000000002</v>
      </c>
      <c r="BP23" s="65">
        <f t="shared" si="26"/>
        <v>10.000000000047748</v>
      </c>
      <c r="BQ23" s="60">
        <v>41716</v>
      </c>
      <c r="BR23" s="65">
        <f t="shared" si="27"/>
        <v>14</v>
      </c>
      <c r="BS23" s="60">
        <v>196.59</v>
      </c>
      <c r="BT23" s="65">
        <f t="shared" si="42"/>
        <v>20.000000000010232</v>
      </c>
      <c r="BU23" s="60">
        <v>35191</v>
      </c>
      <c r="BV23" s="65">
        <f t="shared" si="28"/>
        <v>10</v>
      </c>
      <c r="BW23" s="60">
        <v>228.03</v>
      </c>
      <c r="BX23" s="65">
        <f t="shared" si="29"/>
        <v>9.9999999999909051</v>
      </c>
      <c r="BY23" s="60">
        <v>53784</v>
      </c>
      <c r="BZ23" s="67">
        <f t="shared" si="30"/>
        <v>34</v>
      </c>
      <c r="CA23" s="60">
        <v>28611.4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54034.6</v>
      </c>
      <c r="CH23" s="67">
        <f t="shared" si="34"/>
        <v>51.400000000001455</v>
      </c>
      <c r="CI23" s="60">
        <v>906354</v>
      </c>
      <c r="CJ23" s="67">
        <f t="shared" si="35"/>
        <v>238</v>
      </c>
      <c r="CK23" s="60">
        <v>668.84</v>
      </c>
      <c r="CL23" s="64">
        <f t="shared" si="36"/>
        <v>460.00000000003638</v>
      </c>
      <c r="CM23" s="65">
        <f t="shared" si="41"/>
        <v>28.900000000000091</v>
      </c>
      <c r="CN23" s="62">
        <v>0</v>
      </c>
      <c r="CO23" s="62">
        <v>0</v>
      </c>
      <c r="CP23" s="68">
        <v>3556.9</v>
      </c>
      <c r="CQ23" s="67">
        <f t="shared" si="37"/>
        <v>21.900000000000091</v>
      </c>
      <c r="CR23" s="68">
        <v>11787</v>
      </c>
      <c r="CS23" s="67">
        <f t="shared" si="37"/>
        <v>7</v>
      </c>
      <c r="CT23" s="75">
        <v>4463</v>
      </c>
      <c r="CU23" s="67">
        <f t="shared" si="37"/>
        <v>10</v>
      </c>
      <c r="CV23" s="68">
        <v>11697</v>
      </c>
      <c r="CW23" s="67">
        <f t="shared" si="37"/>
        <v>17</v>
      </c>
    </row>
    <row r="24" spans="1:101" ht="25.5" customHeight="1" thickBot="1" x14ac:dyDescent="0.45">
      <c r="A24" s="63">
        <v>44217</v>
      </c>
      <c r="B24" s="44"/>
      <c r="C24" s="58">
        <v>2.0348999999999999</v>
      </c>
      <c r="D24" s="64">
        <f t="shared" si="0"/>
        <v>799.99999999991189</v>
      </c>
      <c r="E24" s="58">
        <v>2.9056999999999999</v>
      </c>
      <c r="F24" s="64">
        <f t="shared" si="1"/>
        <v>799.99999999991189</v>
      </c>
      <c r="G24" s="58">
        <v>2.9502999999999999</v>
      </c>
      <c r="H24" s="64">
        <f t="shared" si="2"/>
        <v>1799.9999999998017</v>
      </c>
      <c r="I24" s="58">
        <v>1.4424999999999999</v>
      </c>
      <c r="J24" s="64">
        <f t="shared" si="3"/>
        <v>899.99999999990087</v>
      </c>
      <c r="K24" s="58">
        <v>2.3201999999999998</v>
      </c>
      <c r="L24" s="64">
        <f t="shared" si="38"/>
        <v>1999.9999999997797</v>
      </c>
      <c r="M24" s="58">
        <v>1.3271999999999999</v>
      </c>
      <c r="N24" s="64">
        <f t="shared" si="4"/>
        <v>599.99999999993395</v>
      </c>
      <c r="O24" s="58">
        <v>12733</v>
      </c>
      <c r="P24" s="67">
        <f t="shared" si="43"/>
        <v>0</v>
      </c>
      <c r="Q24" s="58">
        <v>246</v>
      </c>
      <c r="R24" s="67">
        <f t="shared" si="6"/>
        <v>2</v>
      </c>
      <c r="S24" s="58">
        <v>893798.40000000002</v>
      </c>
      <c r="T24" s="67">
        <f t="shared" si="7"/>
        <v>266.80000000004657</v>
      </c>
      <c r="U24" s="58">
        <v>369052.7</v>
      </c>
      <c r="V24" s="67">
        <f t="shared" si="8"/>
        <v>199.70000000001164</v>
      </c>
      <c r="W24" s="58">
        <v>359.11</v>
      </c>
      <c r="X24" s="65">
        <f t="shared" si="9"/>
        <v>139.99999999998636</v>
      </c>
      <c r="Y24" s="58">
        <v>2.5379</v>
      </c>
      <c r="Z24" s="65">
        <f t="shared" si="10"/>
        <v>599.99999999993395</v>
      </c>
      <c r="AA24" s="58">
        <v>354.21</v>
      </c>
      <c r="AB24" s="65">
        <f t="shared" si="11"/>
        <v>109.9999999999568</v>
      </c>
      <c r="AC24" s="58">
        <v>339.28</v>
      </c>
      <c r="AD24" s="65">
        <f t="shared" si="12"/>
        <v>179.99999999994998</v>
      </c>
      <c r="AE24" s="58">
        <v>525.58000000000004</v>
      </c>
      <c r="AF24" s="65">
        <f t="shared" si="13"/>
        <v>250</v>
      </c>
      <c r="AG24" s="58">
        <v>1534.9</v>
      </c>
      <c r="AH24" s="67">
        <f t="shared" si="14"/>
        <v>1.9000000000000909</v>
      </c>
      <c r="AI24" s="58">
        <v>524.5</v>
      </c>
      <c r="AJ24" s="65">
        <f t="shared" si="15"/>
        <v>330.00000000004093</v>
      </c>
      <c r="AK24" s="58">
        <v>180.96</v>
      </c>
      <c r="AL24" s="65">
        <f t="shared" si="15"/>
        <v>30.000000000001137</v>
      </c>
      <c r="AM24" s="58">
        <v>179.06</v>
      </c>
      <c r="AN24" s="65">
        <f t="shared" si="15"/>
        <v>30.000000000001137</v>
      </c>
      <c r="AO24" s="58">
        <v>170.7</v>
      </c>
      <c r="AP24" s="65">
        <f t="shared" si="15"/>
        <v>30.000000000001137</v>
      </c>
      <c r="AQ24" s="58">
        <v>229.02</v>
      </c>
      <c r="AR24" s="65">
        <f t="shared" si="16"/>
        <v>30.000000000001137</v>
      </c>
      <c r="AS24" s="58">
        <v>356.52</v>
      </c>
      <c r="AT24" s="65">
        <f t="shared" si="17"/>
        <v>29.999999999972715</v>
      </c>
      <c r="AU24" s="58">
        <v>275.37</v>
      </c>
      <c r="AV24" s="65">
        <f t="shared" si="18"/>
        <v>19.99999999998181</v>
      </c>
      <c r="AW24" s="58">
        <v>307.5</v>
      </c>
      <c r="AX24" s="65">
        <f t="shared" si="19"/>
        <v>29.999999999972715</v>
      </c>
      <c r="AY24" s="58">
        <v>356.56</v>
      </c>
      <c r="AZ24" s="65">
        <f t="shared" si="20"/>
        <v>19.99999999998181</v>
      </c>
      <c r="BA24" s="58">
        <v>377.76</v>
      </c>
      <c r="BB24" s="65">
        <f t="shared" si="21"/>
        <v>19.99999999998181</v>
      </c>
      <c r="BC24" s="58">
        <v>236.53</v>
      </c>
      <c r="BD24" s="65">
        <f t="shared" si="22"/>
        <v>9.9999999999909051</v>
      </c>
      <c r="BE24" s="59">
        <v>34830</v>
      </c>
      <c r="BF24" s="67">
        <f t="shared" si="39"/>
        <v>33</v>
      </c>
      <c r="BG24" s="60">
        <v>228.58</v>
      </c>
      <c r="BH24" s="65">
        <f t="shared" si="23"/>
        <v>40.000000000020464</v>
      </c>
      <c r="BI24" s="60">
        <v>287.42</v>
      </c>
      <c r="BJ24" s="65">
        <f t="shared" si="40"/>
        <v>40.000000000020464</v>
      </c>
      <c r="BK24" s="60">
        <v>232.93</v>
      </c>
      <c r="BL24" s="65">
        <f t="shared" si="24"/>
        <v>10.000000000019327</v>
      </c>
      <c r="BM24" s="60">
        <v>217.96</v>
      </c>
      <c r="BN24" s="65">
        <f t="shared" si="25"/>
        <v>30.000000000001137</v>
      </c>
      <c r="BO24" s="60">
        <v>283.37</v>
      </c>
      <c r="BP24" s="65">
        <f t="shared" si="26"/>
        <v>19.99999999998181</v>
      </c>
      <c r="BQ24" s="60">
        <v>41723</v>
      </c>
      <c r="BR24" s="65">
        <f t="shared" si="27"/>
        <v>7</v>
      </c>
      <c r="BS24" s="60">
        <v>196.61</v>
      </c>
      <c r="BT24" s="65">
        <f t="shared" si="42"/>
        <v>20.000000000010232</v>
      </c>
      <c r="BU24" s="60">
        <v>35200</v>
      </c>
      <c r="BV24" s="65">
        <f t="shared" si="28"/>
        <v>9</v>
      </c>
      <c r="BW24" s="60">
        <v>228.05</v>
      </c>
      <c r="BX24" s="65">
        <f t="shared" si="29"/>
        <v>20.000000000010232</v>
      </c>
      <c r="BY24" s="60">
        <v>53796</v>
      </c>
      <c r="BZ24" s="67">
        <f t="shared" si="30"/>
        <v>12</v>
      </c>
      <c r="CA24" s="60">
        <v>28611.4</v>
      </c>
      <c r="CB24" s="67">
        <f t="shared" si="31"/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54080.800000000003</v>
      </c>
      <c r="CH24" s="67">
        <f t="shared" si="34"/>
        <v>46.200000000004366</v>
      </c>
      <c r="CI24" s="60">
        <v>906605</v>
      </c>
      <c r="CJ24" s="67">
        <f t="shared" si="35"/>
        <v>251</v>
      </c>
      <c r="CK24" s="60">
        <v>669.28</v>
      </c>
      <c r="CL24" s="64">
        <f t="shared" si="36"/>
        <v>439.99999999994088</v>
      </c>
      <c r="CM24" s="65">
        <f t="shared" si="41"/>
        <v>30</v>
      </c>
      <c r="CN24" s="62">
        <v>0</v>
      </c>
      <c r="CO24" s="62">
        <v>0</v>
      </c>
      <c r="CP24" s="68">
        <v>3580.9</v>
      </c>
      <c r="CQ24" s="67">
        <f t="shared" si="37"/>
        <v>24</v>
      </c>
      <c r="CR24" s="68">
        <v>11793</v>
      </c>
      <c r="CS24" s="67">
        <f t="shared" si="37"/>
        <v>6</v>
      </c>
      <c r="CT24" s="75">
        <v>4475</v>
      </c>
      <c r="CU24" s="67">
        <f t="shared" si="37"/>
        <v>12</v>
      </c>
      <c r="CV24" s="68">
        <v>11720</v>
      </c>
      <c r="CW24" s="67">
        <f t="shared" si="37"/>
        <v>23</v>
      </c>
    </row>
    <row r="25" spans="1:101" ht="25.5" customHeight="1" thickBot="1" x14ac:dyDescent="0.45">
      <c r="A25" s="63">
        <v>44218</v>
      </c>
      <c r="B25" s="44"/>
      <c r="C25" s="58">
        <v>2.0358000000000001</v>
      </c>
      <c r="D25" s="64">
        <f t="shared" si="0"/>
        <v>900.0000000001229</v>
      </c>
      <c r="E25" s="58">
        <v>2.9064999999999999</v>
      </c>
      <c r="F25" s="64">
        <f t="shared" si="1"/>
        <v>799.99999999991189</v>
      </c>
      <c r="G25" s="58">
        <v>2.952</v>
      </c>
      <c r="H25" s="64">
        <f t="shared" si="2"/>
        <v>1700.0000000000348</v>
      </c>
      <c r="I25" s="58">
        <v>1.4435</v>
      </c>
      <c r="J25" s="64">
        <f t="shared" si="3"/>
        <v>1000.0000000001119</v>
      </c>
      <c r="K25" s="58">
        <v>2.3220000000000001</v>
      </c>
      <c r="L25" s="64">
        <f t="shared" si="38"/>
        <v>1800.0000000002458</v>
      </c>
      <c r="M25" s="58">
        <v>1.3278000000000001</v>
      </c>
      <c r="N25" s="64">
        <f t="shared" si="4"/>
        <v>600.00000000015598</v>
      </c>
      <c r="O25" s="58">
        <v>12734</v>
      </c>
      <c r="P25" s="67">
        <f t="shared" si="43"/>
        <v>1</v>
      </c>
      <c r="Q25" s="58">
        <v>247</v>
      </c>
      <c r="R25" s="67">
        <f t="shared" si="6"/>
        <v>1</v>
      </c>
      <c r="S25" s="58">
        <v>894090</v>
      </c>
      <c r="T25" s="67">
        <f t="shared" si="7"/>
        <v>291.59999999997672</v>
      </c>
      <c r="U25" s="58">
        <v>369263.9</v>
      </c>
      <c r="V25" s="67">
        <f t="shared" si="8"/>
        <v>211.20000000001164</v>
      </c>
      <c r="W25" s="58">
        <v>359.24</v>
      </c>
      <c r="X25" s="65">
        <f t="shared" si="9"/>
        <v>129.99999999999545</v>
      </c>
      <c r="Y25" s="58">
        <v>2.5384000000000002</v>
      </c>
      <c r="Z25" s="65">
        <f t="shared" si="10"/>
        <v>500.00000000016701</v>
      </c>
      <c r="AA25" s="58">
        <v>354.3</v>
      </c>
      <c r="AB25" s="65">
        <f t="shared" si="11"/>
        <v>90.000000000031832</v>
      </c>
      <c r="AC25" s="58">
        <v>339.47</v>
      </c>
      <c r="AD25" s="65">
        <f t="shared" si="12"/>
        <v>190.00000000005457</v>
      </c>
      <c r="AE25" s="58">
        <v>525.84</v>
      </c>
      <c r="AF25" s="65">
        <f t="shared" si="13"/>
        <v>259.99999999999091</v>
      </c>
      <c r="AG25" s="58">
        <v>1536.8</v>
      </c>
      <c r="AH25" s="67">
        <f t="shared" si="14"/>
        <v>1.8999999999998636</v>
      </c>
      <c r="AI25" s="58">
        <v>524.78</v>
      </c>
      <c r="AJ25" s="65">
        <f t="shared" si="15"/>
        <v>279.99999999997272</v>
      </c>
      <c r="AK25" s="58">
        <v>181.02</v>
      </c>
      <c r="AL25" s="65">
        <f t="shared" si="15"/>
        <v>60.000000000002274</v>
      </c>
      <c r="AM25" s="58">
        <v>179.09</v>
      </c>
      <c r="AN25" s="65">
        <f t="shared" si="15"/>
        <v>30.000000000001137</v>
      </c>
      <c r="AO25" s="58">
        <v>170.74</v>
      </c>
      <c r="AP25" s="65">
        <f t="shared" si="15"/>
        <v>40.000000000020464</v>
      </c>
      <c r="AQ25" s="58">
        <v>229.04</v>
      </c>
      <c r="AR25" s="65">
        <f t="shared" si="16"/>
        <v>19.99999999998181</v>
      </c>
      <c r="AS25" s="58">
        <v>356.55</v>
      </c>
      <c r="AT25" s="65">
        <f t="shared" si="17"/>
        <v>30.000000000029559</v>
      </c>
      <c r="AU25" s="58">
        <v>275.39999999999998</v>
      </c>
      <c r="AV25" s="65">
        <f t="shared" si="18"/>
        <v>29.999999999972715</v>
      </c>
      <c r="AW25" s="58">
        <v>307.55</v>
      </c>
      <c r="AX25" s="65">
        <f t="shared" si="19"/>
        <v>50.000000000011369</v>
      </c>
      <c r="AY25" s="58">
        <v>356.57</v>
      </c>
      <c r="AZ25" s="65">
        <f t="shared" si="20"/>
        <v>9.9999999999909051</v>
      </c>
      <c r="BA25" s="58">
        <v>377.78</v>
      </c>
      <c r="BB25" s="65">
        <f t="shared" si="21"/>
        <v>19.99999999998181</v>
      </c>
      <c r="BC25" s="58">
        <v>236.54</v>
      </c>
      <c r="BD25" s="65">
        <f t="shared" si="22"/>
        <v>9.9999999999909051</v>
      </c>
      <c r="BE25" s="59">
        <v>34864</v>
      </c>
      <c r="BF25" s="67">
        <f t="shared" si="39"/>
        <v>34</v>
      </c>
      <c r="BG25" s="60">
        <v>228.61</v>
      </c>
      <c r="BH25" s="65">
        <f t="shared" si="23"/>
        <v>30.000000000001137</v>
      </c>
      <c r="BI25" s="60">
        <v>287.45</v>
      </c>
      <c r="BJ25" s="65">
        <f t="shared" si="40"/>
        <v>29.999999999972715</v>
      </c>
      <c r="BK25" s="60">
        <v>232.94</v>
      </c>
      <c r="BL25" s="65">
        <f t="shared" si="24"/>
        <v>9.9999999999909051</v>
      </c>
      <c r="BM25" s="60">
        <v>217.99</v>
      </c>
      <c r="BN25" s="65">
        <f t="shared" si="25"/>
        <v>30.000000000001137</v>
      </c>
      <c r="BO25" s="60">
        <v>283.39</v>
      </c>
      <c r="BP25" s="65">
        <f t="shared" si="26"/>
        <v>19.99999999998181</v>
      </c>
      <c r="BQ25" s="60">
        <v>41730</v>
      </c>
      <c r="BR25" s="65">
        <f t="shared" si="27"/>
        <v>7</v>
      </c>
      <c r="BS25" s="60">
        <v>196.62</v>
      </c>
      <c r="BT25" s="65">
        <f t="shared" si="42"/>
        <v>9.9999999999909051</v>
      </c>
      <c r="BU25" s="60">
        <v>35210</v>
      </c>
      <c r="BV25" s="65">
        <f t="shared" si="28"/>
        <v>10</v>
      </c>
      <c r="BW25" s="60">
        <v>228.07</v>
      </c>
      <c r="BX25" s="65">
        <f t="shared" si="29"/>
        <v>19.99999999998181</v>
      </c>
      <c r="BY25" s="60">
        <v>53810</v>
      </c>
      <c r="BZ25" s="67">
        <f t="shared" si="30"/>
        <v>14</v>
      </c>
      <c r="CA25" s="60">
        <v>28611.4</v>
      </c>
      <c r="CB25" s="67">
        <f t="shared" si="31"/>
        <v>0</v>
      </c>
      <c r="CC25" s="60">
        <v>11255.6</v>
      </c>
      <c r="CD25" s="67">
        <f t="shared" si="32"/>
        <v>0</v>
      </c>
      <c r="CE25" s="60">
        <v>5623</v>
      </c>
      <c r="CF25" s="67">
        <f t="shared" si="33"/>
        <v>0</v>
      </c>
      <c r="CG25" s="60">
        <v>54127.199999999997</v>
      </c>
      <c r="CH25" s="67">
        <f t="shared" si="34"/>
        <v>46.399999999994179</v>
      </c>
      <c r="CI25" s="60">
        <v>906842</v>
      </c>
      <c r="CJ25" s="67">
        <f t="shared" si="35"/>
        <v>237</v>
      </c>
      <c r="CK25" s="60">
        <v>669.77</v>
      </c>
      <c r="CL25" s="64">
        <f t="shared" si="36"/>
        <v>490.00000000000909</v>
      </c>
      <c r="CM25" s="65">
        <f t="shared" si="41"/>
        <v>20.900000000000091</v>
      </c>
      <c r="CN25" s="62">
        <v>0</v>
      </c>
      <c r="CO25" s="62">
        <v>0</v>
      </c>
      <c r="CP25" s="68">
        <v>3595.8</v>
      </c>
      <c r="CQ25" s="67">
        <f t="shared" si="37"/>
        <v>14.900000000000091</v>
      </c>
      <c r="CR25" s="68">
        <v>11799</v>
      </c>
      <c r="CS25" s="67">
        <f t="shared" si="37"/>
        <v>6</v>
      </c>
      <c r="CT25" s="75">
        <v>4485</v>
      </c>
      <c r="CU25" s="67">
        <f t="shared" si="37"/>
        <v>10</v>
      </c>
      <c r="CV25" s="68">
        <v>11742</v>
      </c>
      <c r="CW25" s="67">
        <f t="shared" si="37"/>
        <v>22</v>
      </c>
    </row>
    <row r="26" spans="1:101" ht="25.5" customHeight="1" thickBot="1" x14ac:dyDescent="0.45">
      <c r="A26" s="63">
        <v>44219</v>
      </c>
      <c r="B26" s="44"/>
      <c r="C26" s="58">
        <v>2.0365000000000002</v>
      </c>
      <c r="D26" s="64">
        <f t="shared" si="0"/>
        <v>700.00000000014495</v>
      </c>
      <c r="E26" s="58">
        <v>2.9072</v>
      </c>
      <c r="F26" s="64">
        <f t="shared" si="1"/>
        <v>700.00000000014495</v>
      </c>
      <c r="G26" s="58">
        <v>2.9538000000000002</v>
      </c>
      <c r="H26" s="64">
        <f t="shared" si="2"/>
        <v>1800.0000000002458</v>
      </c>
      <c r="I26" s="58">
        <v>1.4442999999999999</v>
      </c>
      <c r="J26" s="64">
        <f t="shared" si="3"/>
        <v>799.99999999991189</v>
      </c>
      <c r="K26" s="58">
        <v>2.3237999999999999</v>
      </c>
      <c r="L26" s="64">
        <f t="shared" si="38"/>
        <v>1799.9999999998017</v>
      </c>
      <c r="M26" s="58">
        <v>1.3283</v>
      </c>
      <c r="N26" s="64">
        <f t="shared" si="4"/>
        <v>499.99999999994492</v>
      </c>
      <c r="O26" s="58">
        <v>12734</v>
      </c>
      <c r="P26" s="67">
        <f t="shared" si="43"/>
        <v>0</v>
      </c>
      <c r="Q26" s="58">
        <v>248</v>
      </c>
      <c r="R26" s="67">
        <f t="shared" si="6"/>
        <v>1</v>
      </c>
      <c r="S26" s="58">
        <v>894387.8</v>
      </c>
      <c r="T26" s="67">
        <f t="shared" si="7"/>
        <v>297.80000000004657</v>
      </c>
      <c r="U26" s="58">
        <v>369448</v>
      </c>
      <c r="V26" s="67">
        <f t="shared" si="8"/>
        <v>184.09999999997672</v>
      </c>
      <c r="W26" s="58">
        <v>359.36</v>
      </c>
      <c r="X26" s="65">
        <f t="shared" si="9"/>
        <v>120.00000000000455</v>
      </c>
      <c r="Y26" s="58">
        <v>2.5388999999999999</v>
      </c>
      <c r="Z26" s="65">
        <f t="shared" si="10"/>
        <v>499.99999999972289</v>
      </c>
      <c r="AA26" s="58">
        <v>354.39</v>
      </c>
      <c r="AB26" s="65">
        <f t="shared" si="11"/>
        <v>89.999999999974989</v>
      </c>
      <c r="AC26" s="58">
        <v>339.65</v>
      </c>
      <c r="AD26" s="65">
        <f t="shared" si="12"/>
        <v>179.99999999994998</v>
      </c>
      <c r="AE26" s="58">
        <v>526.01</v>
      </c>
      <c r="AF26" s="65">
        <f t="shared" si="13"/>
        <v>169.99999999995907</v>
      </c>
      <c r="AG26" s="58">
        <v>1538.9</v>
      </c>
      <c r="AH26" s="67">
        <f t="shared" si="14"/>
        <v>2.1000000000001364</v>
      </c>
      <c r="AI26" s="58">
        <v>525.03</v>
      </c>
      <c r="AJ26" s="65">
        <f t="shared" si="15"/>
        <v>250</v>
      </c>
      <c r="AK26" s="58">
        <v>181.05</v>
      </c>
      <c r="AL26" s="65">
        <f t="shared" si="15"/>
        <v>30.000000000001137</v>
      </c>
      <c r="AM26" s="58">
        <v>179.12</v>
      </c>
      <c r="AN26" s="65">
        <f t="shared" si="15"/>
        <v>30.000000000001137</v>
      </c>
      <c r="AO26" s="58">
        <v>170.77</v>
      </c>
      <c r="AP26" s="65">
        <f t="shared" si="15"/>
        <v>30.000000000001137</v>
      </c>
      <c r="AQ26" s="58">
        <v>229.06</v>
      </c>
      <c r="AR26" s="65">
        <f t="shared" si="16"/>
        <v>20.000000000010232</v>
      </c>
      <c r="AS26" s="58">
        <v>356.57</v>
      </c>
      <c r="AT26" s="65">
        <f t="shared" si="17"/>
        <v>19.99999999998181</v>
      </c>
      <c r="AU26" s="58">
        <v>275.42</v>
      </c>
      <c r="AV26" s="65">
        <f t="shared" si="18"/>
        <v>20.000000000038654</v>
      </c>
      <c r="AW26" s="58">
        <v>307.58999999999997</v>
      </c>
      <c r="AX26" s="65">
        <f t="shared" si="19"/>
        <v>39.99999999996362</v>
      </c>
      <c r="AY26" s="58">
        <v>356.59</v>
      </c>
      <c r="AZ26" s="65">
        <f t="shared" si="20"/>
        <v>19.99999999998181</v>
      </c>
      <c r="BA26" s="58">
        <v>377.8</v>
      </c>
      <c r="BB26" s="65">
        <f t="shared" si="21"/>
        <v>20.000000000038654</v>
      </c>
      <c r="BC26" s="58">
        <v>236.56</v>
      </c>
      <c r="BD26" s="65">
        <f t="shared" si="22"/>
        <v>20.000000000010232</v>
      </c>
      <c r="BE26" s="59">
        <v>34900</v>
      </c>
      <c r="BF26" s="67">
        <f t="shared" si="39"/>
        <v>36</v>
      </c>
      <c r="BG26" s="60">
        <v>228.64</v>
      </c>
      <c r="BH26" s="65">
        <f t="shared" si="23"/>
        <v>29.999999999972715</v>
      </c>
      <c r="BI26" s="60">
        <v>287.48</v>
      </c>
      <c r="BJ26" s="65">
        <f t="shared" si="40"/>
        <v>30.000000000029559</v>
      </c>
      <c r="BK26" s="60">
        <v>232.94</v>
      </c>
      <c r="BL26" s="65">
        <f t="shared" si="24"/>
        <v>0</v>
      </c>
      <c r="BM26" s="60">
        <v>218.02</v>
      </c>
      <c r="BN26" s="65">
        <f t="shared" si="25"/>
        <v>30.000000000001137</v>
      </c>
      <c r="BO26" s="60">
        <v>283.39999999999998</v>
      </c>
      <c r="BP26" s="65">
        <f t="shared" si="26"/>
        <v>9.9999999999909051</v>
      </c>
      <c r="BQ26" s="60">
        <v>41736</v>
      </c>
      <c r="BR26" s="65">
        <f t="shared" si="27"/>
        <v>6</v>
      </c>
      <c r="BS26" s="60">
        <v>196.63</v>
      </c>
      <c r="BT26" s="65">
        <f t="shared" si="42"/>
        <v>9.9999999999909051</v>
      </c>
      <c r="BU26" s="60">
        <v>35219</v>
      </c>
      <c r="BV26" s="65">
        <f t="shared" si="28"/>
        <v>9</v>
      </c>
      <c r="BW26" s="60">
        <v>228.09</v>
      </c>
      <c r="BX26" s="65">
        <f t="shared" si="29"/>
        <v>20.000000000010232</v>
      </c>
      <c r="BY26" s="60">
        <v>53826</v>
      </c>
      <c r="BZ26" s="67">
        <f t="shared" si="30"/>
        <v>16</v>
      </c>
      <c r="CA26" s="60">
        <v>28611.4</v>
      </c>
      <c r="CB26" s="67">
        <f t="shared" si="31"/>
        <v>0</v>
      </c>
      <c r="CC26" s="60">
        <v>11255.6</v>
      </c>
      <c r="CD26" s="67">
        <f t="shared" si="32"/>
        <v>0</v>
      </c>
      <c r="CE26" s="60">
        <v>5623</v>
      </c>
      <c r="CF26" s="67">
        <f t="shared" si="33"/>
        <v>0</v>
      </c>
      <c r="CG26" s="60">
        <v>54164.6</v>
      </c>
      <c r="CH26" s="67">
        <f t="shared" si="34"/>
        <v>37.400000000001455</v>
      </c>
      <c r="CI26" s="60">
        <v>907077</v>
      </c>
      <c r="CJ26" s="67">
        <f t="shared" si="35"/>
        <v>235</v>
      </c>
      <c r="CK26" s="60">
        <v>670.24</v>
      </c>
      <c r="CL26" s="64">
        <f t="shared" si="36"/>
        <v>470.00000000002728</v>
      </c>
      <c r="CM26" s="65">
        <f t="shared" si="41"/>
        <v>24.299999999999727</v>
      </c>
      <c r="CN26" s="62">
        <v>0</v>
      </c>
      <c r="CO26" s="62">
        <v>0</v>
      </c>
      <c r="CP26" s="68">
        <v>3609.1</v>
      </c>
      <c r="CQ26" s="67">
        <f t="shared" si="37"/>
        <v>13.299999999999727</v>
      </c>
      <c r="CR26" s="68">
        <v>11810</v>
      </c>
      <c r="CS26" s="67">
        <f t="shared" si="37"/>
        <v>11</v>
      </c>
      <c r="CT26" s="75">
        <v>4498</v>
      </c>
      <c r="CU26" s="67">
        <f t="shared" si="37"/>
        <v>13</v>
      </c>
      <c r="CV26" s="68">
        <v>11767</v>
      </c>
      <c r="CW26" s="67">
        <f t="shared" si="37"/>
        <v>25</v>
      </c>
    </row>
    <row r="27" spans="1:101" ht="25.5" customHeight="1" thickBot="1" x14ac:dyDescent="0.45">
      <c r="A27" s="63">
        <v>44220</v>
      </c>
      <c r="B27" s="44"/>
      <c r="C27" s="58">
        <v>2.0371000000000001</v>
      </c>
      <c r="D27" s="64">
        <f t="shared" si="0"/>
        <v>599.99999999993395</v>
      </c>
      <c r="E27" s="58">
        <v>2.9077999999999999</v>
      </c>
      <c r="F27" s="64">
        <f t="shared" si="1"/>
        <v>599.99999999993395</v>
      </c>
      <c r="G27" s="58">
        <v>2.9550999999999998</v>
      </c>
      <c r="H27" s="64">
        <f t="shared" si="2"/>
        <v>1299.9999999996348</v>
      </c>
      <c r="I27" s="58">
        <v>1.4451000000000001</v>
      </c>
      <c r="J27" s="64">
        <f t="shared" si="3"/>
        <v>800.00000000013392</v>
      </c>
      <c r="K27" s="58">
        <v>2.3254000000000001</v>
      </c>
      <c r="L27" s="64">
        <f t="shared" si="38"/>
        <v>1600.0000000002678</v>
      </c>
      <c r="M27" s="58">
        <v>1.3288</v>
      </c>
      <c r="N27" s="64">
        <f t="shared" si="4"/>
        <v>499.99999999994492</v>
      </c>
      <c r="O27" s="58">
        <v>12735</v>
      </c>
      <c r="P27" s="67">
        <f t="shared" si="43"/>
        <v>1</v>
      </c>
      <c r="Q27" s="58">
        <v>249</v>
      </c>
      <c r="R27" s="67">
        <f t="shared" si="6"/>
        <v>1</v>
      </c>
      <c r="S27" s="58">
        <v>894423.2</v>
      </c>
      <c r="T27" s="67">
        <f t="shared" si="7"/>
        <v>35.399999999906868</v>
      </c>
      <c r="U27" s="58">
        <v>369478.5</v>
      </c>
      <c r="V27" s="67">
        <f t="shared" si="8"/>
        <v>30.5</v>
      </c>
      <c r="W27" s="58">
        <v>359.48</v>
      </c>
      <c r="X27" s="65">
        <f t="shared" si="9"/>
        <v>120.00000000000455</v>
      </c>
      <c r="Y27" s="58">
        <v>2.5392999999999999</v>
      </c>
      <c r="Z27" s="65">
        <f t="shared" si="10"/>
        <v>399.99999999995595</v>
      </c>
      <c r="AA27" s="58">
        <v>354.48</v>
      </c>
      <c r="AB27" s="65">
        <f t="shared" si="11"/>
        <v>90.000000000031832</v>
      </c>
      <c r="AC27" s="58">
        <v>339.8</v>
      </c>
      <c r="AD27" s="65">
        <f t="shared" si="12"/>
        <v>150.00000000003411</v>
      </c>
      <c r="AE27" s="58">
        <v>526.16999999999996</v>
      </c>
      <c r="AF27" s="65">
        <f t="shared" si="13"/>
        <v>159.99999999996817</v>
      </c>
      <c r="AG27" s="58">
        <v>1540.2</v>
      </c>
      <c r="AH27" s="67">
        <f t="shared" si="14"/>
        <v>1.2999999999999545</v>
      </c>
      <c r="AI27" s="58">
        <v>525.27</v>
      </c>
      <c r="AJ27" s="65">
        <f t="shared" si="15"/>
        <v>240.00000000000909</v>
      </c>
      <c r="AK27" s="58">
        <v>181.07</v>
      </c>
      <c r="AL27" s="65">
        <f t="shared" si="15"/>
        <v>19.99999999998181</v>
      </c>
      <c r="AM27" s="58">
        <v>179.13</v>
      </c>
      <c r="AN27" s="65">
        <f t="shared" si="15"/>
        <v>9.9999999999909051</v>
      </c>
      <c r="AO27" s="58">
        <v>170.77</v>
      </c>
      <c r="AP27" s="65">
        <f t="shared" si="15"/>
        <v>0</v>
      </c>
      <c r="AQ27" s="58">
        <v>229.07</v>
      </c>
      <c r="AR27" s="65">
        <f t="shared" si="16"/>
        <v>9.9999999999909051</v>
      </c>
      <c r="AS27" s="58">
        <v>356.58</v>
      </c>
      <c r="AT27" s="65">
        <f t="shared" si="17"/>
        <v>9.9999999999909051</v>
      </c>
      <c r="AU27" s="58">
        <v>275.44</v>
      </c>
      <c r="AV27" s="65">
        <f t="shared" si="18"/>
        <v>19.99999999998181</v>
      </c>
      <c r="AW27" s="58">
        <v>307.63</v>
      </c>
      <c r="AX27" s="65">
        <f t="shared" si="19"/>
        <v>40.000000000020464</v>
      </c>
      <c r="AY27" s="58">
        <v>356.61</v>
      </c>
      <c r="AZ27" s="65">
        <f t="shared" si="20"/>
        <v>20.000000000038654</v>
      </c>
      <c r="BA27" s="58">
        <v>377.81</v>
      </c>
      <c r="BB27" s="65">
        <f t="shared" si="21"/>
        <v>9.9999999999909051</v>
      </c>
      <c r="BC27" s="58">
        <v>236.57</v>
      </c>
      <c r="BD27" s="65">
        <f t="shared" si="22"/>
        <v>9.9999999999909051</v>
      </c>
      <c r="BE27" s="59">
        <v>34919</v>
      </c>
      <c r="BF27" s="67">
        <f t="shared" si="39"/>
        <v>19</v>
      </c>
      <c r="BG27" s="60">
        <v>228.67</v>
      </c>
      <c r="BH27" s="65">
        <f t="shared" si="23"/>
        <v>30.000000000001137</v>
      </c>
      <c r="BI27" s="60">
        <v>287.51</v>
      </c>
      <c r="BJ27" s="65">
        <f t="shared" si="40"/>
        <v>29.999999999972715</v>
      </c>
      <c r="BK27" s="60">
        <v>232.94</v>
      </c>
      <c r="BL27" s="65">
        <f t="shared" si="24"/>
        <v>0</v>
      </c>
      <c r="BM27" s="60">
        <v>218.05</v>
      </c>
      <c r="BN27" s="65">
        <f t="shared" si="25"/>
        <v>30.000000000001137</v>
      </c>
      <c r="BO27" s="60">
        <v>283.42</v>
      </c>
      <c r="BP27" s="65">
        <f t="shared" si="26"/>
        <v>20.000000000038654</v>
      </c>
      <c r="BQ27" s="60">
        <v>41741</v>
      </c>
      <c r="BR27" s="65">
        <f t="shared" si="27"/>
        <v>5</v>
      </c>
      <c r="BS27" s="60">
        <v>196.64</v>
      </c>
      <c r="BT27" s="65">
        <f t="shared" si="42"/>
        <v>9.9999999999909051</v>
      </c>
      <c r="BU27" s="60">
        <v>35228</v>
      </c>
      <c r="BV27" s="65">
        <f t="shared" si="28"/>
        <v>9</v>
      </c>
      <c r="BW27" s="60">
        <v>228.1</v>
      </c>
      <c r="BX27" s="65">
        <f t="shared" si="29"/>
        <v>9.9999999999909051</v>
      </c>
      <c r="BY27" s="60">
        <v>53827</v>
      </c>
      <c r="BZ27" s="67">
        <f t="shared" si="30"/>
        <v>1</v>
      </c>
      <c r="CA27" s="60">
        <v>28611.4</v>
      </c>
      <c r="CB27" s="67">
        <f t="shared" si="31"/>
        <v>0</v>
      </c>
      <c r="CC27" s="60">
        <v>11255.6</v>
      </c>
      <c r="CD27" s="67">
        <f t="shared" si="32"/>
        <v>0</v>
      </c>
      <c r="CE27" s="60">
        <v>5623</v>
      </c>
      <c r="CF27" s="67">
        <f t="shared" si="33"/>
        <v>0</v>
      </c>
      <c r="CG27" s="60">
        <v>54208.5</v>
      </c>
      <c r="CH27" s="67">
        <f t="shared" si="34"/>
        <v>43.900000000001455</v>
      </c>
      <c r="CI27" s="60">
        <v>907296</v>
      </c>
      <c r="CJ27" s="67">
        <f t="shared" si="35"/>
        <v>219</v>
      </c>
      <c r="CK27" s="60">
        <v>670.6</v>
      </c>
      <c r="CL27" s="64">
        <f t="shared" si="36"/>
        <v>360.00000000001364</v>
      </c>
      <c r="CM27" s="65">
        <f t="shared" si="41"/>
        <v>11.5</v>
      </c>
      <c r="CN27" s="62">
        <v>0</v>
      </c>
      <c r="CO27" s="62">
        <v>0</v>
      </c>
      <c r="CP27" s="68">
        <v>3619.6</v>
      </c>
      <c r="CQ27" s="67">
        <f t="shared" si="37"/>
        <v>10.5</v>
      </c>
      <c r="CR27" s="68">
        <v>11811</v>
      </c>
      <c r="CS27" s="67">
        <f t="shared" si="37"/>
        <v>1</v>
      </c>
      <c r="CT27" s="75">
        <v>4509</v>
      </c>
      <c r="CU27" s="67">
        <f t="shared" si="37"/>
        <v>11</v>
      </c>
      <c r="CV27" s="68">
        <v>11790</v>
      </c>
      <c r="CW27" s="67">
        <f t="shared" si="37"/>
        <v>23</v>
      </c>
    </row>
    <row r="28" spans="1:101" ht="25.5" customHeight="1" thickBot="1" x14ac:dyDescent="0.45">
      <c r="A28" s="63">
        <v>44221</v>
      </c>
      <c r="B28" s="44"/>
      <c r="C28" s="58">
        <v>2.0377000000000001</v>
      </c>
      <c r="D28" s="64">
        <f t="shared" si="0"/>
        <v>599.99999999993395</v>
      </c>
      <c r="E28" s="58">
        <v>2.9085000000000001</v>
      </c>
      <c r="F28" s="64">
        <f t="shared" si="1"/>
        <v>700.00000000014495</v>
      </c>
      <c r="G28" s="58">
        <v>2.9565999999999999</v>
      </c>
      <c r="H28" s="64">
        <f t="shared" si="2"/>
        <v>1500.0000000000568</v>
      </c>
      <c r="I28" s="58">
        <v>1.4458</v>
      </c>
      <c r="J28" s="64">
        <f t="shared" si="3"/>
        <v>699.99999999992292</v>
      </c>
      <c r="K28" s="58">
        <v>2.3271000000000002</v>
      </c>
      <c r="L28" s="64">
        <f t="shared" si="38"/>
        <v>1700.0000000000348</v>
      </c>
      <c r="M28" s="58">
        <v>1.3292999999999999</v>
      </c>
      <c r="N28" s="64">
        <f t="shared" si="4"/>
        <v>499.99999999994492</v>
      </c>
      <c r="O28" s="58">
        <v>12735</v>
      </c>
      <c r="P28" s="67">
        <f t="shared" si="43"/>
        <v>0</v>
      </c>
      <c r="Q28" s="58">
        <v>249</v>
      </c>
      <c r="R28" s="67">
        <f t="shared" si="6"/>
        <v>0</v>
      </c>
      <c r="S28" s="58">
        <v>894640</v>
      </c>
      <c r="T28" s="67">
        <f t="shared" si="7"/>
        <v>216.80000000004657</v>
      </c>
      <c r="U28" s="58">
        <v>369606.8</v>
      </c>
      <c r="V28" s="67">
        <f t="shared" si="8"/>
        <v>128.29999999998836</v>
      </c>
      <c r="W28" s="58">
        <v>359.6</v>
      </c>
      <c r="X28" s="65">
        <f t="shared" si="9"/>
        <v>120.00000000000455</v>
      </c>
      <c r="Y28" s="58">
        <v>2.5398000000000001</v>
      </c>
      <c r="Z28" s="65">
        <f t="shared" si="10"/>
        <v>500.00000000016701</v>
      </c>
      <c r="AA28" s="58">
        <v>354.56</v>
      </c>
      <c r="AB28" s="65">
        <f t="shared" si="11"/>
        <v>79.999999999984084</v>
      </c>
      <c r="AC28" s="58">
        <v>339.88</v>
      </c>
      <c r="AD28" s="65">
        <f t="shared" si="12"/>
        <v>79.999999999984084</v>
      </c>
      <c r="AE28" s="58">
        <v>526.37</v>
      </c>
      <c r="AF28" s="65">
        <f t="shared" si="13"/>
        <v>200.00000000004547</v>
      </c>
      <c r="AG28" s="58">
        <v>1541.2</v>
      </c>
      <c r="AH28" s="67">
        <f t="shared" si="14"/>
        <v>1</v>
      </c>
      <c r="AI28" s="58">
        <v>525.49</v>
      </c>
      <c r="AJ28" s="65">
        <f t="shared" si="15"/>
        <v>220.00000000002728</v>
      </c>
      <c r="AK28" s="58">
        <v>181.09</v>
      </c>
      <c r="AL28" s="65">
        <f t="shared" si="15"/>
        <v>20.000000000010232</v>
      </c>
      <c r="AM28" s="58">
        <v>179.15</v>
      </c>
      <c r="AN28" s="65">
        <f t="shared" si="15"/>
        <v>20.000000000010232</v>
      </c>
      <c r="AO28" s="58">
        <v>170.79</v>
      </c>
      <c r="AP28" s="65">
        <f t="shared" si="15"/>
        <v>19.99999999998181</v>
      </c>
      <c r="AQ28" s="58">
        <v>229.09</v>
      </c>
      <c r="AR28" s="65">
        <f t="shared" si="16"/>
        <v>20.000000000010232</v>
      </c>
      <c r="AS28" s="58">
        <v>356.6</v>
      </c>
      <c r="AT28" s="65">
        <f t="shared" si="17"/>
        <v>20.000000000038654</v>
      </c>
      <c r="AU28" s="58">
        <v>275.45999999999998</v>
      </c>
      <c r="AV28" s="65">
        <f t="shared" si="18"/>
        <v>19.99999999998181</v>
      </c>
      <c r="AW28" s="58">
        <v>307.66000000000003</v>
      </c>
      <c r="AX28" s="65">
        <f t="shared" si="19"/>
        <v>30.000000000029559</v>
      </c>
      <c r="AY28" s="58">
        <v>356.62</v>
      </c>
      <c r="AZ28" s="65">
        <f t="shared" si="20"/>
        <v>9.9999999999909051</v>
      </c>
      <c r="BA28" s="58">
        <v>377.83</v>
      </c>
      <c r="BB28" s="65">
        <f t="shared" si="21"/>
        <v>19.99999999998181</v>
      </c>
      <c r="BC28" s="58">
        <v>236.58</v>
      </c>
      <c r="BD28" s="65">
        <f t="shared" si="22"/>
        <v>10.000000000019327</v>
      </c>
      <c r="BE28" s="59">
        <v>34940</v>
      </c>
      <c r="BF28" s="67">
        <f t="shared" si="39"/>
        <v>21</v>
      </c>
      <c r="BG28" s="60">
        <v>228.69</v>
      </c>
      <c r="BH28" s="65">
        <f t="shared" si="23"/>
        <v>20.000000000010232</v>
      </c>
      <c r="BI28" s="60">
        <v>287.52999999999997</v>
      </c>
      <c r="BJ28" s="65">
        <f t="shared" si="40"/>
        <v>19.99999999998181</v>
      </c>
      <c r="BK28" s="60">
        <v>232.94</v>
      </c>
      <c r="BL28" s="65">
        <f t="shared" si="24"/>
        <v>0</v>
      </c>
      <c r="BM28" s="60">
        <v>218.07</v>
      </c>
      <c r="BN28" s="65">
        <f t="shared" si="25"/>
        <v>19.99999999998181</v>
      </c>
      <c r="BO28" s="60">
        <v>283.43</v>
      </c>
      <c r="BP28" s="65">
        <f t="shared" si="26"/>
        <v>9.9999999999909051</v>
      </c>
      <c r="BQ28" s="60">
        <v>41748</v>
      </c>
      <c r="BR28" s="65">
        <f t="shared" si="27"/>
        <v>7</v>
      </c>
      <c r="BS28" s="60">
        <v>196.64</v>
      </c>
      <c r="BT28" s="65">
        <f t="shared" si="42"/>
        <v>0</v>
      </c>
      <c r="BU28" s="60">
        <v>35232</v>
      </c>
      <c r="BV28" s="65">
        <f t="shared" si="28"/>
        <v>4</v>
      </c>
      <c r="BW28" s="60">
        <v>228.12</v>
      </c>
      <c r="BX28" s="65">
        <f t="shared" si="29"/>
        <v>20.000000000010232</v>
      </c>
      <c r="BY28" s="60">
        <v>53834</v>
      </c>
      <c r="BZ28" s="67">
        <f t="shared" si="30"/>
        <v>7</v>
      </c>
      <c r="CA28" s="60">
        <v>28611.4</v>
      </c>
      <c r="CB28" s="67">
        <f t="shared" si="31"/>
        <v>0</v>
      </c>
      <c r="CC28" s="60">
        <v>11255.6</v>
      </c>
      <c r="CD28" s="67">
        <f t="shared" si="32"/>
        <v>0</v>
      </c>
      <c r="CE28" s="60">
        <v>5623</v>
      </c>
      <c r="CF28" s="67">
        <f t="shared" si="33"/>
        <v>0</v>
      </c>
      <c r="CG28" s="60">
        <v>54242.1</v>
      </c>
      <c r="CH28" s="67">
        <f t="shared" si="34"/>
        <v>33.599999999998545</v>
      </c>
      <c r="CI28" s="60">
        <v>907517</v>
      </c>
      <c r="CJ28" s="67">
        <f t="shared" si="35"/>
        <v>221</v>
      </c>
      <c r="CK28" s="60">
        <v>670.97</v>
      </c>
      <c r="CL28" s="64">
        <f t="shared" si="36"/>
        <v>370.00000000000455</v>
      </c>
      <c r="CM28" s="65">
        <f t="shared" si="41"/>
        <v>24.599999999999909</v>
      </c>
      <c r="CN28" s="62">
        <v>0</v>
      </c>
      <c r="CO28" s="62">
        <v>0</v>
      </c>
      <c r="CP28" s="68">
        <v>3635.2</v>
      </c>
      <c r="CQ28" s="67">
        <f t="shared" si="37"/>
        <v>15.599999999999909</v>
      </c>
      <c r="CR28" s="68">
        <v>11820</v>
      </c>
      <c r="CS28" s="67">
        <f t="shared" si="37"/>
        <v>9</v>
      </c>
      <c r="CT28" s="75">
        <v>4519</v>
      </c>
      <c r="CU28" s="67">
        <f t="shared" si="37"/>
        <v>10</v>
      </c>
      <c r="CV28" s="68">
        <v>11811</v>
      </c>
      <c r="CW28" s="67">
        <f t="shared" si="37"/>
        <v>21</v>
      </c>
    </row>
    <row r="29" spans="1:101" ht="25.5" customHeight="1" thickBot="1" x14ac:dyDescent="0.45">
      <c r="A29" s="63">
        <v>44222</v>
      </c>
      <c r="B29" s="44"/>
      <c r="C29" s="58">
        <v>2.0384000000000002</v>
      </c>
      <c r="D29" s="64">
        <f t="shared" si="0"/>
        <v>700.00000000014495</v>
      </c>
      <c r="E29" s="58">
        <v>2.9091999999999998</v>
      </c>
      <c r="F29" s="64">
        <f t="shared" si="1"/>
        <v>699.99999999970089</v>
      </c>
      <c r="G29" s="58">
        <v>2.9584000000000001</v>
      </c>
      <c r="H29" s="64">
        <f t="shared" si="2"/>
        <v>1800.0000000002458</v>
      </c>
      <c r="I29" s="58">
        <v>1.4467000000000001</v>
      </c>
      <c r="J29" s="64">
        <f t="shared" si="3"/>
        <v>900.0000000001229</v>
      </c>
      <c r="K29" s="58">
        <v>2.3289</v>
      </c>
      <c r="L29" s="64">
        <f t="shared" si="38"/>
        <v>1799.9999999998017</v>
      </c>
      <c r="M29" s="58">
        <v>1.3298000000000001</v>
      </c>
      <c r="N29" s="64">
        <f t="shared" si="4"/>
        <v>500.00000000016701</v>
      </c>
      <c r="O29" s="58">
        <v>12736</v>
      </c>
      <c r="P29" s="67">
        <f t="shared" si="43"/>
        <v>1</v>
      </c>
      <c r="Q29" s="58">
        <v>250</v>
      </c>
      <c r="R29" s="67">
        <f t="shared" si="6"/>
        <v>1</v>
      </c>
      <c r="S29" s="58">
        <v>895013.8</v>
      </c>
      <c r="T29" s="67">
        <f t="shared" si="7"/>
        <v>373.80000000004657</v>
      </c>
      <c r="U29" s="58">
        <v>369864.7</v>
      </c>
      <c r="V29" s="67">
        <f t="shared" si="8"/>
        <v>257.90000000002328</v>
      </c>
      <c r="W29" s="58">
        <v>359.72</v>
      </c>
      <c r="X29" s="65">
        <f t="shared" si="9"/>
        <v>120.00000000000455</v>
      </c>
      <c r="Y29" s="58">
        <v>2.5402999999999998</v>
      </c>
      <c r="Z29" s="65">
        <f t="shared" si="10"/>
        <v>499.99999999972289</v>
      </c>
      <c r="AA29" s="58">
        <v>354.63</v>
      </c>
      <c r="AB29" s="65">
        <f t="shared" si="11"/>
        <v>69.999999999993179</v>
      </c>
      <c r="AC29" s="58">
        <v>339.94</v>
      </c>
      <c r="AD29" s="65">
        <f t="shared" si="12"/>
        <v>60.000000000002274</v>
      </c>
      <c r="AE29" s="58">
        <v>526.55999999999995</v>
      </c>
      <c r="AF29" s="65">
        <f t="shared" si="13"/>
        <v>189.99999999994088</v>
      </c>
      <c r="AG29" s="58">
        <v>1542.5</v>
      </c>
      <c r="AH29" s="67">
        <f t="shared" si="14"/>
        <v>1.2999999999999545</v>
      </c>
      <c r="AI29" s="58">
        <v>525.74</v>
      </c>
      <c r="AJ29" s="65">
        <f t="shared" si="15"/>
        <v>250</v>
      </c>
      <c r="AK29" s="58">
        <v>181.13</v>
      </c>
      <c r="AL29" s="65">
        <f t="shared" si="15"/>
        <v>39.999999999992042</v>
      </c>
      <c r="AM29" s="58">
        <v>179.17</v>
      </c>
      <c r="AN29" s="65">
        <f t="shared" si="15"/>
        <v>19.99999999998181</v>
      </c>
      <c r="AO29" s="58">
        <v>170.82</v>
      </c>
      <c r="AP29" s="65">
        <f t="shared" si="15"/>
        <v>30.000000000001137</v>
      </c>
      <c r="AQ29" s="58">
        <v>229.11</v>
      </c>
      <c r="AR29" s="65">
        <f t="shared" si="16"/>
        <v>20.000000000010232</v>
      </c>
      <c r="AS29" s="58">
        <v>356.62</v>
      </c>
      <c r="AT29" s="65">
        <f t="shared" si="17"/>
        <v>19.99999999998181</v>
      </c>
      <c r="AU29" s="58">
        <v>275.47000000000003</v>
      </c>
      <c r="AV29" s="65">
        <f t="shared" si="18"/>
        <v>10.000000000047748</v>
      </c>
      <c r="AW29" s="58">
        <v>307.7</v>
      </c>
      <c r="AX29" s="65">
        <f t="shared" si="19"/>
        <v>39.99999999996362</v>
      </c>
      <c r="AY29" s="58">
        <v>356.64</v>
      </c>
      <c r="AZ29" s="65">
        <f t="shared" si="20"/>
        <v>19.99999999998181</v>
      </c>
      <c r="BA29" s="58">
        <v>377.84</v>
      </c>
      <c r="BB29" s="65">
        <f t="shared" si="21"/>
        <v>9.9999999999909051</v>
      </c>
      <c r="BC29" s="58">
        <v>236.59</v>
      </c>
      <c r="BD29" s="65">
        <f t="shared" si="22"/>
        <v>9.9999999999909051</v>
      </c>
      <c r="BE29" s="59">
        <v>34962</v>
      </c>
      <c r="BF29" s="67">
        <f t="shared" si="39"/>
        <v>22</v>
      </c>
      <c r="BG29" s="60">
        <v>228.72</v>
      </c>
      <c r="BH29" s="65">
        <f t="shared" si="23"/>
        <v>30.000000000001137</v>
      </c>
      <c r="BI29" s="60">
        <v>287.56</v>
      </c>
      <c r="BJ29" s="65">
        <f t="shared" si="40"/>
        <v>30.000000000029559</v>
      </c>
      <c r="BK29" s="60">
        <v>232.95</v>
      </c>
      <c r="BL29" s="65">
        <f t="shared" si="24"/>
        <v>9.9999999999909051</v>
      </c>
      <c r="BM29" s="60">
        <v>218.1</v>
      </c>
      <c r="BN29" s="65">
        <f t="shared" si="25"/>
        <v>30.000000000001137</v>
      </c>
      <c r="BO29" s="60">
        <v>283.44</v>
      </c>
      <c r="BP29" s="65">
        <f t="shared" si="26"/>
        <v>9.9999999999909051</v>
      </c>
      <c r="BQ29" s="60">
        <v>41757</v>
      </c>
      <c r="BR29" s="65">
        <f t="shared" si="27"/>
        <v>9</v>
      </c>
      <c r="BS29" s="60">
        <v>196.65</v>
      </c>
      <c r="BT29" s="65">
        <f t="shared" si="42"/>
        <v>10.000000000019327</v>
      </c>
      <c r="BU29" s="60">
        <v>35240</v>
      </c>
      <c r="BV29" s="65">
        <f t="shared" si="28"/>
        <v>8</v>
      </c>
      <c r="BW29" s="60">
        <v>228.14</v>
      </c>
      <c r="BX29" s="65">
        <f t="shared" si="29"/>
        <v>19.99999999998181</v>
      </c>
      <c r="BY29" s="60">
        <v>53849</v>
      </c>
      <c r="BZ29" s="67">
        <f t="shared" si="30"/>
        <v>15</v>
      </c>
      <c r="CA29" s="60">
        <v>28611.4</v>
      </c>
      <c r="CB29" s="67">
        <f t="shared" si="31"/>
        <v>0</v>
      </c>
      <c r="CC29" s="60">
        <v>11255.6</v>
      </c>
      <c r="CD29" s="67">
        <f t="shared" si="32"/>
        <v>0</v>
      </c>
      <c r="CE29" s="60">
        <v>5623</v>
      </c>
      <c r="CF29" s="67">
        <f t="shared" si="33"/>
        <v>0</v>
      </c>
      <c r="CG29" s="60">
        <v>54292.3</v>
      </c>
      <c r="CH29" s="67">
        <f t="shared" si="34"/>
        <v>50.200000000004366</v>
      </c>
      <c r="CI29" s="60">
        <v>907755</v>
      </c>
      <c r="CJ29" s="67">
        <f t="shared" si="35"/>
        <v>238</v>
      </c>
      <c r="CK29" s="60">
        <v>671.44</v>
      </c>
      <c r="CL29" s="64">
        <f t="shared" si="36"/>
        <v>470.00000000002728</v>
      </c>
      <c r="CM29" s="65">
        <f t="shared" si="41"/>
        <v>24.900000000000091</v>
      </c>
      <c r="CN29" s="62">
        <v>0</v>
      </c>
      <c r="CO29" s="62">
        <v>0</v>
      </c>
      <c r="CP29" s="68">
        <v>3656.1</v>
      </c>
      <c r="CQ29" s="67">
        <f t="shared" si="37"/>
        <v>20.900000000000091</v>
      </c>
      <c r="CR29" s="68">
        <v>11824</v>
      </c>
      <c r="CS29" s="67">
        <f t="shared" si="37"/>
        <v>4</v>
      </c>
      <c r="CT29" s="75">
        <v>4531</v>
      </c>
      <c r="CU29" s="67">
        <f t="shared" si="37"/>
        <v>12</v>
      </c>
      <c r="CV29" s="68">
        <v>11835</v>
      </c>
      <c r="CW29" s="67">
        <f t="shared" si="37"/>
        <v>24</v>
      </c>
    </row>
    <row r="30" spans="1:101" ht="25.5" customHeight="1" thickBot="1" x14ac:dyDescent="0.45">
      <c r="A30" s="63">
        <v>44223</v>
      </c>
      <c r="B30" s="44"/>
      <c r="C30" s="58">
        <v>2.0390000000000001</v>
      </c>
      <c r="D30" s="64">
        <f t="shared" si="0"/>
        <v>599.99999999993395</v>
      </c>
      <c r="E30" s="58">
        <v>2.9098999999999999</v>
      </c>
      <c r="F30" s="64">
        <f t="shared" si="1"/>
        <v>700.00000000014495</v>
      </c>
      <c r="G30" s="58">
        <v>2.96</v>
      </c>
      <c r="H30" s="64">
        <f t="shared" si="2"/>
        <v>1599.9999999998238</v>
      </c>
      <c r="I30" s="58">
        <v>1.4475</v>
      </c>
      <c r="J30" s="64">
        <f t="shared" si="3"/>
        <v>799.99999999991189</v>
      </c>
      <c r="K30" s="58">
        <v>2.3306</v>
      </c>
      <c r="L30" s="64">
        <f t="shared" si="38"/>
        <v>1700.0000000000348</v>
      </c>
      <c r="M30" s="58">
        <v>1.3302</v>
      </c>
      <c r="N30" s="64">
        <f t="shared" si="4"/>
        <v>399.99999999995595</v>
      </c>
      <c r="O30" s="58">
        <v>12736</v>
      </c>
      <c r="P30" s="67">
        <f t="shared" si="43"/>
        <v>0</v>
      </c>
      <c r="Q30" s="58">
        <v>250</v>
      </c>
      <c r="R30" s="67">
        <f t="shared" si="6"/>
        <v>0</v>
      </c>
      <c r="S30" s="58">
        <v>895221</v>
      </c>
      <c r="T30" s="67">
        <f t="shared" si="7"/>
        <v>207.19999999995343</v>
      </c>
      <c r="U30" s="58">
        <v>370005.4</v>
      </c>
      <c r="V30" s="67">
        <f t="shared" si="8"/>
        <v>140.70000000001164</v>
      </c>
      <c r="W30" s="58">
        <v>359.86</v>
      </c>
      <c r="X30" s="65">
        <f t="shared" si="9"/>
        <v>139.99999999998636</v>
      </c>
      <c r="Y30" s="58">
        <v>2.5406</v>
      </c>
      <c r="Z30" s="65">
        <f t="shared" si="10"/>
        <v>300.000000000189</v>
      </c>
      <c r="AA30" s="58">
        <v>354.71</v>
      </c>
      <c r="AB30" s="65">
        <f t="shared" si="11"/>
        <v>79.999999999984084</v>
      </c>
      <c r="AC30" s="58">
        <v>340.03</v>
      </c>
      <c r="AD30" s="65">
        <f t="shared" si="12"/>
        <v>89.999999999974989</v>
      </c>
      <c r="AE30" s="58">
        <v>526.72</v>
      </c>
      <c r="AF30" s="65">
        <f t="shared" si="13"/>
        <v>160.00000000008185</v>
      </c>
      <c r="AG30" s="58">
        <v>1544.4</v>
      </c>
      <c r="AH30" s="67">
        <f t="shared" si="14"/>
        <v>1.9000000000000909</v>
      </c>
      <c r="AI30" s="58">
        <v>525.97</v>
      </c>
      <c r="AJ30" s="65">
        <f t="shared" si="15"/>
        <v>230.00000000001819</v>
      </c>
      <c r="AK30" s="58">
        <v>181.15</v>
      </c>
      <c r="AL30" s="65">
        <f t="shared" si="15"/>
        <v>20.000000000010232</v>
      </c>
      <c r="AM30" s="58">
        <v>179.19</v>
      </c>
      <c r="AN30" s="65">
        <f t="shared" si="15"/>
        <v>20.000000000010232</v>
      </c>
      <c r="AO30" s="58">
        <v>170.84</v>
      </c>
      <c r="AP30" s="65">
        <f t="shared" si="15"/>
        <v>20.000000000010232</v>
      </c>
      <c r="AQ30" s="58">
        <v>229.14</v>
      </c>
      <c r="AR30" s="65">
        <f t="shared" si="16"/>
        <v>29.999999999972715</v>
      </c>
      <c r="AS30" s="58">
        <v>356.63</v>
      </c>
      <c r="AT30" s="65">
        <f t="shared" si="17"/>
        <v>9.9999999999909051</v>
      </c>
      <c r="AU30" s="58">
        <v>275.49</v>
      </c>
      <c r="AV30" s="65">
        <f t="shared" si="18"/>
        <v>19.99999999998181</v>
      </c>
      <c r="AW30" s="58">
        <v>307.75</v>
      </c>
      <c r="AX30" s="65">
        <f t="shared" si="19"/>
        <v>50.000000000011369</v>
      </c>
      <c r="AY30" s="58">
        <v>356.66</v>
      </c>
      <c r="AZ30" s="65">
        <f t="shared" si="20"/>
        <v>20.000000000038654</v>
      </c>
      <c r="BA30" s="58">
        <v>377.86</v>
      </c>
      <c r="BB30" s="65">
        <f t="shared" si="21"/>
        <v>20.000000000038654</v>
      </c>
      <c r="BC30" s="58">
        <v>236.6</v>
      </c>
      <c r="BD30" s="65">
        <f t="shared" si="22"/>
        <v>9.9999999999909051</v>
      </c>
      <c r="BE30" s="59">
        <v>34991</v>
      </c>
      <c r="BF30" s="67">
        <f t="shared" si="39"/>
        <v>29</v>
      </c>
      <c r="BG30" s="60">
        <v>228.74</v>
      </c>
      <c r="BH30" s="65">
        <f t="shared" si="23"/>
        <v>20.000000000010232</v>
      </c>
      <c r="BI30" s="60">
        <v>287.58999999999997</v>
      </c>
      <c r="BJ30" s="65">
        <f t="shared" si="40"/>
        <v>29.999999999972715</v>
      </c>
      <c r="BK30" s="60">
        <v>232.95</v>
      </c>
      <c r="BL30" s="65">
        <f t="shared" si="24"/>
        <v>0</v>
      </c>
      <c r="BM30" s="60">
        <v>218.12</v>
      </c>
      <c r="BN30" s="65">
        <f t="shared" si="25"/>
        <v>20.000000000010232</v>
      </c>
      <c r="BO30" s="60">
        <v>283.45999999999998</v>
      </c>
      <c r="BP30" s="65">
        <f t="shared" si="26"/>
        <v>19.99999999998181</v>
      </c>
      <c r="BQ30" s="60">
        <v>41766</v>
      </c>
      <c r="BR30" s="65">
        <f t="shared" si="27"/>
        <v>9</v>
      </c>
      <c r="BS30" s="60">
        <v>196.66</v>
      </c>
      <c r="BT30" s="65">
        <f t="shared" si="42"/>
        <v>9.9999999999909051</v>
      </c>
      <c r="BU30" s="60">
        <v>35248</v>
      </c>
      <c r="BV30" s="65">
        <f t="shared" si="28"/>
        <v>8</v>
      </c>
      <c r="BW30" s="60">
        <v>228.15</v>
      </c>
      <c r="BX30" s="65">
        <f t="shared" si="29"/>
        <v>10.000000000019327</v>
      </c>
      <c r="BY30" s="60">
        <v>53859</v>
      </c>
      <c r="BZ30" s="67">
        <f t="shared" si="30"/>
        <v>10</v>
      </c>
      <c r="CA30" s="60">
        <v>28611.4</v>
      </c>
      <c r="CB30" s="67">
        <f t="shared" si="31"/>
        <v>0</v>
      </c>
      <c r="CC30" s="60">
        <v>11255.6</v>
      </c>
      <c r="CD30" s="67">
        <f t="shared" si="32"/>
        <v>0</v>
      </c>
      <c r="CE30" s="60">
        <v>5623</v>
      </c>
      <c r="CF30" s="67">
        <f t="shared" si="33"/>
        <v>0</v>
      </c>
      <c r="CG30" s="60">
        <v>54338.9</v>
      </c>
      <c r="CH30" s="67">
        <f t="shared" si="34"/>
        <v>46.599999999998545</v>
      </c>
      <c r="CI30" s="60">
        <v>907990</v>
      </c>
      <c r="CJ30" s="67">
        <f t="shared" si="35"/>
        <v>235</v>
      </c>
      <c r="CK30" s="60">
        <v>671.86</v>
      </c>
      <c r="CL30" s="64">
        <f t="shared" si="36"/>
        <v>419.99999999995907</v>
      </c>
      <c r="CM30" s="65">
        <f t="shared" si="41"/>
        <v>25.200000000000273</v>
      </c>
      <c r="CN30" s="62">
        <v>0</v>
      </c>
      <c r="CO30" s="62">
        <v>0</v>
      </c>
      <c r="CP30" s="68">
        <v>3674.3</v>
      </c>
      <c r="CQ30" s="67">
        <f t="shared" si="37"/>
        <v>18.200000000000273</v>
      </c>
      <c r="CR30" s="68">
        <v>11831</v>
      </c>
      <c r="CS30" s="67">
        <f t="shared" si="37"/>
        <v>7</v>
      </c>
      <c r="CT30" s="75">
        <v>4541</v>
      </c>
      <c r="CU30" s="67">
        <f t="shared" si="37"/>
        <v>10</v>
      </c>
      <c r="CV30" s="68">
        <v>11854</v>
      </c>
      <c r="CW30" s="67">
        <f t="shared" si="37"/>
        <v>19</v>
      </c>
    </row>
    <row r="31" spans="1:101" ht="25.5" customHeight="1" thickBot="1" x14ac:dyDescent="0.45">
      <c r="A31" s="63">
        <v>44224</v>
      </c>
      <c r="B31" s="66"/>
      <c r="C31" s="58">
        <v>2.0398999999999998</v>
      </c>
      <c r="D31" s="64">
        <f t="shared" si="0"/>
        <v>899.99999999967883</v>
      </c>
      <c r="E31" s="58">
        <v>2.9106999999999998</v>
      </c>
      <c r="F31" s="64">
        <f t="shared" si="1"/>
        <v>799.99999999991189</v>
      </c>
      <c r="G31" s="58">
        <v>2.9618000000000002</v>
      </c>
      <c r="H31" s="64">
        <f t="shared" si="2"/>
        <v>1800.0000000002458</v>
      </c>
      <c r="I31" s="58">
        <v>1.4483999999999999</v>
      </c>
      <c r="J31" s="64">
        <f t="shared" si="3"/>
        <v>899.99999999990087</v>
      </c>
      <c r="K31" s="58">
        <v>2.3325</v>
      </c>
      <c r="L31" s="64">
        <f t="shared" si="38"/>
        <v>1900.0000000000127</v>
      </c>
      <c r="M31" s="58">
        <v>1.3307</v>
      </c>
      <c r="N31" s="64">
        <f t="shared" si="4"/>
        <v>499.99999999994492</v>
      </c>
      <c r="O31" s="58">
        <v>12737</v>
      </c>
      <c r="P31" s="67">
        <f t="shared" si="43"/>
        <v>1</v>
      </c>
      <c r="Q31" s="58">
        <v>254</v>
      </c>
      <c r="R31" s="67">
        <f t="shared" si="6"/>
        <v>4</v>
      </c>
      <c r="S31" s="58">
        <v>895518.6</v>
      </c>
      <c r="T31" s="67">
        <f t="shared" si="7"/>
        <v>297.59999999997672</v>
      </c>
      <c r="U31" s="58">
        <v>370227.9</v>
      </c>
      <c r="V31" s="67">
        <f t="shared" si="8"/>
        <v>222.5</v>
      </c>
      <c r="W31" s="58">
        <v>360.03</v>
      </c>
      <c r="X31" s="65">
        <f t="shared" si="9"/>
        <v>169.99999999995907</v>
      </c>
      <c r="Y31" s="58">
        <v>2.5411000000000001</v>
      </c>
      <c r="Z31" s="65">
        <f t="shared" si="10"/>
        <v>500.00000000016701</v>
      </c>
      <c r="AA31" s="58">
        <v>354.79</v>
      </c>
      <c r="AB31" s="65">
        <f t="shared" si="11"/>
        <v>80.000000000040927</v>
      </c>
      <c r="AC31" s="58">
        <v>340.16</v>
      </c>
      <c r="AD31" s="65">
        <f t="shared" si="12"/>
        <v>130.0000000000523</v>
      </c>
      <c r="AE31" s="58">
        <v>526.91</v>
      </c>
      <c r="AF31" s="65">
        <f t="shared" si="13"/>
        <v>189.99999999994088</v>
      </c>
      <c r="AG31" s="58">
        <v>1546.4</v>
      </c>
      <c r="AH31" s="67">
        <f t="shared" si="14"/>
        <v>2</v>
      </c>
      <c r="AI31" s="58">
        <v>526.22</v>
      </c>
      <c r="AJ31" s="65">
        <f t="shared" si="15"/>
        <v>250</v>
      </c>
      <c r="AK31" s="58">
        <v>181.19</v>
      </c>
      <c r="AL31" s="65">
        <f t="shared" si="15"/>
        <v>39.999999999992042</v>
      </c>
      <c r="AM31" s="58">
        <v>179.22</v>
      </c>
      <c r="AN31" s="65">
        <f t="shared" si="15"/>
        <v>30.000000000001137</v>
      </c>
      <c r="AO31" s="58">
        <v>170.86</v>
      </c>
      <c r="AP31" s="65">
        <f t="shared" si="15"/>
        <v>20.000000000010232</v>
      </c>
      <c r="AQ31" s="58">
        <v>229.15</v>
      </c>
      <c r="AR31" s="65">
        <f t="shared" si="16"/>
        <v>10.000000000019327</v>
      </c>
      <c r="AS31" s="58">
        <v>356.65</v>
      </c>
      <c r="AT31" s="65">
        <f t="shared" si="17"/>
        <v>19.99999999998181</v>
      </c>
      <c r="AU31" s="58">
        <v>275.51</v>
      </c>
      <c r="AV31" s="65">
        <f t="shared" si="18"/>
        <v>19.99999999998181</v>
      </c>
      <c r="AW31" s="58">
        <v>307.95999999999998</v>
      </c>
      <c r="AX31" s="65">
        <f t="shared" si="19"/>
        <v>209.99999999997954</v>
      </c>
      <c r="AY31" s="58">
        <v>356.67</v>
      </c>
      <c r="AZ31" s="65">
        <f t="shared" si="20"/>
        <v>9.9999999999909051</v>
      </c>
      <c r="BA31" s="58">
        <v>377.87</v>
      </c>
      <c r="BB31" s="65">
        <f t="shared" si="21"/>
        <v>9.9999999999909051</v>
      </c>
      <c r="BC31" s="58">
        <v>236.61</v>
      </c>
      <c r="BD31" s="65">
        <f t="shared" si="22"/>
        <v>10.000000000019327</v>
      </c>
      <c r="BE31" s="59">
        <v>35014</v>
      </c>
      <c r="BF31" s="67">
        <f t="shared" si="39"/>
        <v>23</v>
      </c>
      <c r="BG31" s="60">
        <v>228.76</v>
      </c>
      <c r="BH31" s="65">
        <f t="shared" si="23"/>
        <v>19.99999999998181</v>
      </c>
      <c r="BI31" s="60">
        <v>287.62</v>
      </c>
      <c r="BJ31" s="65">
        <f t="shared" si="40"/>
        <v>30.000000000029559</v>
      </c>
      <c r="BK31" s="60">
        <v>232.95</v>
      </c>
      <c r="BL31" s="65">
        <f t="shared" si="24"/>
        <v>0</v>
      </c>
      <c r="BM31" s="60">
        <v>218.15</v>
      </c>
      <c r="BN31" s="65">
        <f t="shared" si="25"/>
        <v>30.000000000001137</v>
      </c>
      <c r="BO31" s="60">
        <v>283.47000000000003</v>
      </c>
      <c r="BP31" s="65">
        <f t="shared" si="26"/>
        <v>10.000000000047748</v>
      </c>
      <c r="BQ31" s="60">
        <v>41771</v>
      </c>
      <c r="BR31" s="65">
        <f t="shared" si="27"/>
        <v>5</v>
      </c>
      <c r="BS31" s="60">
        <v>196.67</v>
      </c>
      <c r="BT31" s="65">
        <f t="shared" si="42"/>
        <v>9.9999999999909051</v>
      </c>
      <c r="BU31" s="60">
        <v>35258</v>
      </c>
      <c r="BV31" s="65">
        <f t="shared" si="28"/>
        <v>10</v>
      </c>
      <c r="BW31" s="60">
        <v>228.17</v>
      </c>
      <c r="BX31" s="65">
        <f t="shared" si="29"/>
        <v>19.99999999998181</v>
      </c>
      <c r="BY31" s="60">
        <v>53871</v>
      </c>
      <c r="BZ31" s="67">
        <f t="shared" si="30"/>
        <v>12</v>
      </c>
      <c r="CA31" s="60">
        <v>28611.4</v>
      </c>
      <c r="CB31" s="67">
        <f t="shared" si="31"/>
        <v>0</v>
      </c>
      <c r="CC31" s="60">
        <v>11255.6</v>
      </c>
      <c r="CD31" s="67">
        <f t="shared" si="32"/>
        <v>0</v>
      </c>
      <c r="CE31" s="60">
        <v>5623</v>
      </c>
      <c r="CF31" s="67">
        <f t="shared" si="33"/>
        <v>0</v>
      </c>
      <c r="CG31" s="60">
        <v>54385.7</v>
      </c>
      <c r="CH31" s="67">
        <f t="shared" si="34"/>
        <v>46.799999999995634</v>
      </c>
      <c r="CI31" s="60">
        <v>908228</v>
      </c>
      <c r="CJ31" s="67">
        <f t="shared" si="35"/>
        <v>238</v>
      </c>
      <c r="CK31" s="60">
        <v>672.29</v>
      </c>
      <c r="CL31" s="64">
        <f t="shared" si="36"/>
        <v>429.99999999994998</v>
      </c>
      <c r="CM31" s="65">
        <f t="shared" si="41"/>
        <v>20.199999999999818</v>
      </c>
      <c r="CN31" s="62">
        <v>0</v>
      </c>
      <c r="CO31" s="62">
        <v>0</v>
      </c>
      <c r="CP31" s="68">
        <v>3688.5</v>
      </c>
      <c r="CQ31" s="67">
        <f t="shared" si="37"/>
        <v>14.199999999999818</v>
      </c>
      <c r="CR31" s="68">
        <v>11837</v>
      </c>
      <c r="CS31" s="67">
        <f t="shared" si="37"/>
        <v>6</v>
      </c>
      <c r="CT31" s="75">
        <v>4553</v>
      </c>
      <c r="CU31" s="67">
        <f t="shared" si="37"/>
        <v>12</v>
      </c>
      <c r="CV31" s="68">
        <v>11875</v>
      </c>
      <c r="CW31" s="67">
        <f t="shared" si="37"/>
        <v>21</v>
      </c>
    </row>
    <row r="32" spans="1:101" ht="25.5" customHeight="1" thickBot="1" x14ac:dyDescent="0.45">
      <c r="A32" s="63">
        <v>44225</v>
      </c>
      <c r="B32" s="68"/>
      <c r="C32" s="58">
        <v>2.0409000000000002</v>
      </c>
      <c r="D32" s="64">
        <f t="shared" si="0"/>
        <v>1000.000000000334</v>
      </c>
      <c r="E32" s="58">
        <v>2.9114</v>
      </c>
      <c r="F32" s="64">
        <f t="shared" si="1"/>
        <v>700.00000000014495</v>
      </c>
      <c r="G32" s="58">
        <v>2.9634999999999998</v>
      </c>
      <c r="H32" s="64">
        <f t="shared" si="2"/>
        <v>1699.9999999995907</v>
      </c>
      <c r="I32" s="58">
        <v>1.4493</v>
      </c>
      <c r="J32" s="64">
        <f t="shared" si="3"/>
        <v>900.0000000001229</v>
      </c>
      <c r="K32" s="58">
        <v>2.3342999999999998</v>
      </c>
      <c r="L32" s="64">
        <f t="shared" si="38"/>
        <v>1799.9999999998017</v>
      </c>
      <c r="M32" s="58">
        <v>1.3312999999999999</v>
      </c>
      <c r="N32" s="64">
        <f t="shared" si="4"/>
        <v>599.99999999993395</v>
      </c>
      <c r="O32" s="58">
        <v>12738</v>
      </c>
      <c r="P32" s="67">
        <f t="shared" si="43"/>
        <v>1</v>
      </c>
      <c r="Q32" s="58">
        <v>256</v>
      </c>
      <c r="R32" s="67">
        <f t="shared" si="6"/>
        <v>2</v>
      </c>
      <c r="S32" s="58">
        <v>895799.2</v>
      </c>
      <c r="T32" s="67">
        <f t="shared" si="7"/>
        <v>280.59999999997672</v>
      </c>
      <c r="U32" s="58">
        <v>370406</v>
      </c>
      <c r="V32" s="67">
        <f t="shared" si="8"/>
        <v>178.09999999997672</v>
      </c>
      <c r="W32" s="58">
        <v>360.19</v>
      </c>
      <c r="X32" s="65">
        <f t="shared" si="9"/>
        <v>160.00000000002501</v>
      </c>
      <c r="Y32" s="58">
        <v>2.5415000000000001</v>
      </c>
      <c r="Z32" s="65">
        <f t="shared" si="10"/>
        <v>399.99999999995595</v>
      </c>
      <c r="AA32" s="58">
        <v>354.87</v>
      </c>
      <c r="AB32" s="65">
        <f t="shared" si="11"/>
        <v>79.999999999984084</v>
      </c>
      <c r="AC32" s="58">
        <v>340.3</v>
      </c>
      <c r="AD32" s="65">
        <f t="shared" si="12"/>
        <v>139.99999999998636</v>
      </c>
      <c r="AE32" s="58">
        <v>527.13</v>
      </c>
      <c r="AF32" s="65">
        <f t="shared" si="13"/>
        <v>220.00000000002728</v>
      </c>
      <c r="AG32" s="58">
        <v>1548.3</v>
      </c>
      <c r="AH32" s="67">
        <f t="shared" si="14"/>
        <v>1.8999999999998636</v>
      </c>
      <c r="AI32" s="58">
        <v>526.63</v>
      </c>
      <c r="AJ32" s="65">
        <f t="shared" si="15"/>
        <v>409.99999999996817</v>
      </c>
      <c r="AK32" s="58">
        <v>181.22</v>
      </c>
      <c r="AL32" s="65">
        <f t="shared" si="15"/>
        <v>30.000000000001137</v>
      </c>
      <c r="AM32" s="58">
        <v>179.25</v>
      </c>
      <c r="AN32" s="65">
        <f t="shared" si="15"/>
        <v>30.000000000001137</v>
      </c>
      <c r="AO32" s="58">
        <v>170.9</v>
      </c>
      <c r="AP32" s="65">
        <f t="shared" si="15"/>
        <v>39.999999999992042</v>
      </c>
      <c r="AQ32" s="58">
        <v>229.17</v>
      </c>
      <c r="AR32" s="65">
        <f t="shared" si="16"/>
        <v>19.99999999998181</v>
      </c>
      <c r="AS32" s="58">
        <v>356.67</v>
      </c>
      <c r="AT32" s="65">
        <f t="shared" si="17"/>
        <v>20.000000000038654</v>
      </c>
      <c r="AU32" s="58">
        <v>275.52</v>
      </c>
      <c r="AV32" s="65">
        <f t="shared" si="18"/>
        <v>9.9999999999909051</v>
      </c>
      <c r="AW32" s="58">
        <v>308.17</v>
      </c>
      <c r="AX32" s="65">
        <f t="shared" si="19"/>
        <v>210.00000000003638</v>
      </c>
      <c r="AY32" s="58">
        <v>356.69</v>
      </c>
      <c r="AZ32" s="65">
        <f t="shared" si="20"/>
        <v>19.99999999998181</v>
      </c>
      <c r="BA32" s="58">
        <v>377.89</v>
      </c>
      <c r="BB32" s="65">
        <f t="shared" si="21"/>
        <v>19.99999999998181</v>
      </c>
      <c r="BC32" s="58">
        <v>236.62</v>
      </c>
      <c r="BD32" s="65">
        <f t="shared" si="22"/>
        <v>9.9999999999909051</v>
      </c>
      <c r="BE32" s="59">
        <v>35045</v>
      </c>
      <c r="BF32" s="67">
        <f t="shared" si="39"/>
        <v>31</v>
      </c>
      <c r="BG32" s="60">
        <v>228.78</v>
      </c>
      <c r="BH32" s="65">
        <f t="shared" si="23"/>
        <v>20.000000000010232</v>
      </c>
      <c r="BI32" s="60">
        <v>287.64</v>
      </c>
      <c r="BJ32" s="65">
        <f t="shared" si="40"/>
        <v>19.99999999998181</v>
      </c>
      <c r="BK32" s="60">
        <v>232.96</v>
      </c>
      <c r="BL32" s="65">
        <f t="shared" si="24"/>
        <v>10.000000000019327</v>
      </c>
      <c r="BM32" s="60">
        <v>218.18</v>
      </c>
      <c r="BN32" s="65">
        <f t="shared" si="25"/>
        <v>30.000000000001137</v>
      </c>
      <c r="BO32" s="60">
        <v>283.48</v>
      </c>
      <c r="BP32" s="65">
        <f t="shared" si="26"/>
        <v>9.9999999999909051</v>
      </c>
      <c r="BQ32" s="60">
        <v>41776</v>
      </c>
      <c r="BR32" s="65">
        <f t="shared" si="27"/>
        <v>5</v>
      </c>
      <c r="BS32" s="60">
        <v>196.69</v>
      </c>
      <c r="BT32" s="65">
        <f t="shared" si="42"/>
        <v>20.000000000010232</v>
      </c>
      <c r="BU32" s="60">
        <v>35266</v>
      </c>
      <c r="BV32" s="65">
        <f t="shared" si="28"/>
        <v>8</v>
      </c>
      <c r="BW32" s="60">
        <v>228.18</v>
      </c>
      <c r="BX32" s="65">
        <f t="shared" si="29"/>
        <v>10.000000000019327</v>
      </c>
      <c r="BY32" s="60">
        <v>53882</v>
      </c>
      <c r="BZ32" s="67">
        <f t="shared" si="30"/>
        <v>11</v>
      </c>
      <c r="CA32" s="60">
        <v>28611.4</v>
      </c>
      <c r="CB32" s="67">
        <f t="shared" si="31"/>
        <v>0</v>
      </c>
      <c r="CC32" s="60">
        <v>11255.6</v>
      </c>
      <c r="CD32" s="67">
        <f t="shared" si="32"/>
        <v>0</v>
      </c>
      <c r="CE32" s="60">
        <v>5623</v>
      </c>
      <c r="CF32" s="67">
        <f t="shared" si="33"/>
        <v>0</v>
      </c>
      <c r="CG32" s="60">
        <v>54426.6</v>
      </c>
      <c r="CH32" s="67">
        <f t="shared" si="34"/>
        <v>40.900000000001455</v>
      </c>
      <c r="CI32" s="60">
        <v>908461</v>
      </c>
      <c r="CJ32" s="67">
        <f t="shared" si="35"/>
        <v>233</v>
      </c>
      <c r="CK32" s="60">
        <v>672.76</v>
      </c>
      <c r="CL32" s="64">
        <f t="shared" si="36"/>
        <v>470.00000000002728</v>
      </c>
      <c r="CM32" s="65">
        <f t="shared" si="41"/>
        <v>36.500000000000455</v>
      </c>
      <c r="CN32" s="62">
        <v>0</v>
      </c>
      <c r="CO32" s="62">
        <v>0</v>
      </c>
      <c r="CP32" s="68">
        <v>3709.9</v>
      </c>
      <c r="CQ32" s="67">
        <f t="shared" si="37"/>
        <v>21.400000000000091</v>
      </c>
      <c r="CR32" s="68">
        <v>11852.1</v>
      </c>
      <c r="CS32" s="67">
        <f t="shared" si="37"/>
        <v>15.100000000000364</v>
      </c>
      <c r="CT32" s="75">
        <v>4564</v>
      </c>
      <c r="CU32" s="67">
        <f t="shared" si="37"/>
        <v>11</v>
      </c>
      <c r="CV32" s="68">
        <v>11896</v>
      </c>
      <c r="CW32" s="67">
        <f t="shared" si="37"/>
        <v>21</v>
      </c>
    </row>
    <row r="33" spans="1:101" ht="25.5" customHeight="1" thickBot="1" x14ac:dyDescent="0.45">
      <c r="A33" s="63">
        <v>44226</v>
      </c>
      <c r="B33" s="68"/>
      <c r="C33" s="58"/>
      <c r="D33" s="64" t="str">
        <f t="shared" si="0"/>
        <v>0</v>
      </c>
      <c r="E33" s="58"/>
      <c r="F33" s="64" t="str">
        <f t="shared" si="1"/>
        <v>0</v>
      </c>
      <c r="G33" s="58"/>
      <c r="H33" s="64" t="str">
        <f t="shared" si="2"/>
        <v>0</v>
      </c>
      <c r="I33" s="58"/>
      <c r="J33" s="64" t="str">
        <f t="shared" si="3"/>
        <v>0</v>
      </c>
      <c r="K33" s="58"/>
      <c r="L33" s="64" t="str">
        <f t="shared" si="38"/>
        <v>0</v>
      </c>
      <c r="M33" s="58"/>
      <c r="N33" s="64" t="str">
        <f t="shared" si="4"/>
        <v/>
      </c>
      <c r="O33" s="58"/>
      <c r="P33" s="67" t="str">
        <f t="shared" si="43"/>
        <v/>
      </c>
      <c r="Q33" s="58"/>
      <c r="R33" s="67" t="str">
        <f t="shared" si="6"/>
        <v/>
      </c>
      <c r="S33" s="58"/>
      <c r="T33" s="67" t="str">
        <f t="shared" si="7"/>
        <v/>
      </c>
      <c r="U33" s="58"/>
      <c r="V33" s="67" t="str">
        <f t="shared" si="8"/>
        <v/>
      </c>
      <c r="W33" s="58"/>
      <c r="X33" s="65" t="str">
        <f t="shared" si="9"/>
        <v/>
      </c>
      <c r="Y33" s="58"/>
      <c r="Z33" s="65" t="str">
        <f t="shared" si="10"/>
        <v/>
      </c>
      <c r="AA33" s="58"/>
      <c r="AB33" s="65" t="str">
        <f t="shared" si="11"/>
        <v/>
      </c>
      <c r="AC33" s="58"/>
      <c r="AD33" s="65" t="str">
        <f t="shared" si="12"/>
        <v/>
      </c>
      <c r="AE33" s="58"/>
      <c r="AF33" s="65" t="str">
        <f t="shared" si="13"/>
        <v/>
      </c>
      <c r="AG33" s="58"/>
      <c r="AH33" s="67" t="str">
        <f t="shared" si="14"/>
        <v/>
      </c>
      <c r="AI33" s="58"/>
      <c r="AJ33" s="65" t="str">
        <f t="shared" si="15"/>
        <v/>
      </c>
      <c r="AK33" s="58"/>
      <c r="AL33" s="65" t="str">
        <f t="shared" si="15"/>
        <v/>
      </c>
      <c r="AM33" s="58"/>
      <c r="AN33" s="65" t="str">
        <f t="shared" si="15"/>
        <v/>
      </c>
      <c r="AO33" s="58"/>
      <c r="AP33" s="65" t="str">
        <f t="shared" si="15"/>
        <v/>
      </c>
      <c r="AQ33" s="58"/>
      <c r="AR33" s="65" t="str">
        <f t="shared" si="16"/>
        <v/>
      </c>
      <c r="AS33" s="58"/>
      <c r="AT33" s="65" t="str">
        <f t="shared" si="17"/>
        <v/>
      </c>
      <c r="AU33" s="58"/>
      <c r="AV33" s="65" t="str">
        <f t="shared" si="18"/>
        <v/>
      </c>
      <c r="AW33" s="58"/>
      <c r="AX33" s="65" t="str">
        <f t="shared" si="19"/>
        <v/>
      </c>
      <c r="AY33" s="58"/>
      <c r="AZ33" s="65" t="str">
        <f t="shared" si="20"/>
        <v/>
      </c>
      <c r="BA33" s="58"/>
      <c r="BB33" s="65" t="str">
        <f t="shared" si="21"/>
        <v/>
      </c>
      <c r="BC33" s="58"/>
      <c r="BD33" s="65" t="str">
        <f t="shared" si="22"/>
        <v/>
      </c>
      <c r="BE33" s="59"/>
      <c r="BF33" s="67" t="str">
        <f t="shared" si="39"/>
        <v/>
      </c>
      <c r="BG33" s="60"/>
      <c r="BH33" s="65" t="str">
        <f t="shared" si="23"/>
        <v/>
      </c>
      <c r="BI33" s="60"/>
      <c r="BJ33" s="65" t="str">
        <f t="shared" si="40"/>
        <v/>
      </c>
      <c r="BK33" s="60"/>
      <c r="BL33" s="65" t="str">
        <f t="shared" si="24"/>
        <v/>
      </c>
      <c r="BM33" s="60"/>
      <c r="BN33" s="65" t="str">
        <f t="shared" si="25"/>
        <v/>
      </c>
      <c r="BO33" s="60"/>
      <c r="BP33" s="65" t="str">
        <f t="shared" si="26"/>
        <v/>
      </c>
      <c r="BQ33" s="60"/>
      <c r="BR33" s="65" t="str">
        <f t="shared" si="27"/>
        <v/>
      </c>
      <c r="BS33" s="60"/>
      <c r="BT33" s="65" t="str">
        <f t="shared" si="42"/>
        <v/>
      </c>
      <c r="BU33" s="60"/>
      <c r="BV33" s="65" t="str">
        <f t="shared" si="28"/>
        <v/>
      </c>
      <c r="BW33" s="60"/>
      <c r="BX33" s="65" t="str">
        <f t="shared" si="29"/>
        <v/>
      </c>
      <c r="BY33" s="60"/>
      <c r="BZ33" s="67" t="str">
        <f t="shared" si="30"/>
        <v/>
      </c>
      <c r="CA33" s="60"/>
      <c r="CB33" s="67" t="str">
        <f t="shared" si="31"/>
        <v/>
      </c>
      <c r="CC33" s="60"/>
      <c r="CD33" s="67" t="str">
        <f t="shared" si="32"/>
        <v/>
      </c>
      <c r="CE33" s="60"/>
      <c r="CF33" s="67" t="str">
        <f t="shared" si="33"/>
        <v/>
      </c>
      <c r="CG33" s="60"/>
      <c r="CH33" s="67" t="str">
        <f t="shared" si="34"/>
        <v/>
      </c>
      <c r="CI33" s="60"/>
      <c r="CJ33" s="67" t="str">
        <f t="shared" si="35"/>
        <v/>
      </c>
      <c r="CK33" s="60"/>
      <c r="CL33" s="64" t="str">
        <f t="shared" si="36"/>
        <v/>
      </c>
      <c r="CM33" s="65" t="e">
        <f t="shared" si="41"/>
        <v>#VALUE!</v>
      </c>
      <c r="CN33" s="62">
        <v>0</v>
      </c>
      <c r="CO33" s="62">
        <v>0</v>
      </c>
      <c r="CP33" s="68"/>
      <c r="CQ33" s="67" t="str">
        <f t="shared" si="37"/>
        <v/>
      </c>
      <c r="CR33" s="68"/>
      <c r="CS33" s="67" t="str">
        <f t="shared" si="37"/>
        <v/>
      </c>
      <c r="CT33" s="75"/>
      <c r="CU33" s="67" t="str">
        <f t="shared" si="37"/>
        <v/>
      </c>
      <c r="CV33" s="68"/>
      <c r="CW33" s="67" t="str">
        <f t="shared" si="37"/>
        <v/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U38" sqref="U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82</v>
      </c>
      <c r="P21" s="39">
        <v>85</v>
      </c>
      <c r="Q21" s="39">
        <v>3208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79</v>
      </c>
      <c r="P22" s="39">
        <v>85</v>
      </c>
      <c r="Q22" s="39">
        <v>3212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75</v>
      </c>
      <c r="P23" s="39">
        <v>85</v>
      </c>
      <c r="Q23" s="39">
        <v>3215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1173</v>
      </c>
      <c r="N24" s="39">
        <v>85</v>
      </c>
      <c r="O24" s="39">
        <v>70</v>
      </c>
      <c r="P24" s="39">
        <v>85</v>
      </c>
      <c r="Q24" s="39">
        <v>3219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1173</v>
      </c>
      <c r="N25" s="39">
        <v>85</v>
      </c>
      <c r="O25" s="39">
        <v>65</v>
      </c>
      <c r="P25" s="39">
        <v>85</v>
      </c>
      <c r="Q25" s="39">
        <v>3222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1173</v>
      </c>
      <c r="N26" s="39">
        <v>85</v>
      </c>
      <c r="O26" s="39">
        <v>62</v>
      </c>
      <c r="P26" s="39">
        <v>85</v>
      </c>
      <c r="Q26" s="39">
        <v>3225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1173</v>
      </c>
      <c r="N27" s="39">
        <v>85</v>
      </c>
      <c r="O27" s="39">
        <v>56</v>
      </c>
      <c r="P27" s="39">
        <v>85</v>
      </c>
      <c r="Q27" s="39">
        <v>3230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1173</v>
      </c>
      <c r="N28" s="39">
        <v>85</v>
      </c>
      <c r="O28" s="39">
        <v>53</v>
      </c>
      <c r="P28" s="39">
        <v>85</v>
      </c>
      <c r="Q28" s="39">
        <v>3232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>
        <v>85</v>
      </c>
      <c r="F29" s="41">
        <v>4857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1173</v>
      </c>
      <c r="N29" s="39">
        <v>85</v>
      </c>
      <c r="O29" s="39">
        <v>49</v>
      </c>
      <c r="P29" s="39">
        <v>85</v>
      </c>
      <c r="Q29" s="39">
        <v>3236</v>
      </c>
      <c r="R29" s="78">
        <v>79</v>
      </c>
      <c r="S29" s="78">
        <v>197</v>
      </c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>
        <v>85</v>
      </c>
      <c r="F30" s="41">
        <v>4857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1173</v>
      </c>
      <c r="N30" s="39">
        <v>85</v>
      </c>
      <c r="O30" s="39">
        <v>46</v>
      </c>
      <c r="P30" s="39">
        <v>85</v>
      </c>
      <c r="Q30" s="39">
        <v>3239</v>
      </c>
      <c r="R30" s="78">
        <v>79</v>
      </c>
      <c r="S30" s="78">
        <v>197</v>
      </c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>
        <v>85</v>
      </c>
      <c r="F31" s="41">
        <v>4857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1173</v>
      </c>
      <c r="N31" s="39">
        <v>85</v>
      </c>
      <c r="O31" s="39">
        <v>41</v>
      </c>
      <c r="P31" s="39">
        <v>85</v>
      </c>
      <c r="Q31" s="39">
        <v>3242</v>
      </c>
      <c r="R31" s="78">
        <v>79</v>
      </c>
      <c r="S31" s="78">
        <v>197</v>
      </c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>
        <v>85</v>
      </c>
      <c r="F32" s="41">
        <v>4857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1173</v>
      </c>
      <c r="N32" s="39">
        <v>85</v>
      </c>
      <c r="O32" s="39">
        <v>37</v>
      </c>
      <c r="P32" s="39">
        <v>85</v>
      </c>
      <c r="Q32" s="39">
        <v>3245</v>
      </c>
      <c r="R32" s="78">
        <v>79</v>
      </c>
      <c r="S32" s="78">
        <v>197</v>
      </c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>
        <v>85</v>
      </c>
      <c r="F33" s="41">
        <v>4857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1173</v>
      </c>
      <c r="N33" s="39">
        <v>85</v>
      </c>
      <c r="O33" s="39">
        <v>34</v>
      </c>
      <c r="P33" s="39">
        <v>85</v>
      </c>
      <c r="Q33" s="39">
        <v>3247</v>
      </c>
      <c r="R33" s="78">
        <v>79</v>
      </c>
      <c r="S33" s="78">
        <v>197</v>
      </c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>
        <v>85</v>
      </c>
      <c r="F34" s="41">
        <v>4857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1173</v>
      </c>
      <c r="N34" s="39">
        <v>85</v>
      </c>
      <c r="O34" s="39">
        <v>30</v>
      </c>
      <c r="P34" s="39">
        <v>85</v>
      </c>
      <c r="Q34" s="39">
        <v>3252</v>
      </c>
      <c r="R34" s="78">
        <v>79</v>
      </c>
      <c r="S34" s="78">
        <v>197</v>
      </c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>
        <v>85</v>
      </c>
      <c r="F35" s="41">
        <v>4857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1173</v>
      </c>
      <c r="N35" s="39">
        <v>85</v>
      </c>
      <c r="O35" s="39">
        <v>25</v>
      </c>
      <c r="P35" s="39">
        <v>85</v>
      </c>
      <c r="Q35" s="39">
        <v>3255</v>
      </c>
      <c r="R35" s="78">
        <v>79</v>
      </c>
      <c r="S35" s="78">
        <v>197</v>
      </c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>
        <v>85</v>
      </c>
      <c r="F36" s="41">
        <v>4857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1173</v>
      </c>
      <c r="N36" s="39">
        <v>85</v>
      </c>
      <c r="O36" s="39">
        <v>20</v>
      </c>
      <c r="P36" s="39">
        <v>85</v>
      </c>
      <c r="Q36" s="39">
        <v>3259</v>
      </c>
      <c r="R36" s="78">
        <v>79</v>
      </c>
      <c r="S36" s="78">
        <v>197</v>
      </c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>
        <v>85</v>
      </c>
      <c r="F37" s="41">
        <v>4857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1173</v>
      </c>
      <c r="N37" s="39">
        <v>85</v>
      </c>
      <c r="O37" s="39">
        <v>16</v>
      </c>
      <c r="P37" s="39">
        <v>85</v>
      </c>
      <c r="Q37" s="39">
        <v>3263</v>
      </c>
      <c r="R37" s="78">
        <v>79</v>
      </c>
      <c r="S37" s="78">
        <v>197</v>
      </c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-197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2021-01-30T12:32:33Z</dcterms:modified>
</cp:coreProperties>
</file>