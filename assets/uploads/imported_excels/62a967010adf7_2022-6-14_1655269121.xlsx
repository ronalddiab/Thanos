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K7" i="9" l="1"/>
  <c r="G4" i="3" l="1"/>
  <c r="AA5" i="4"/>
  <c r="AA4" i="4"/>
  <c r="Y4" i="4" l="1"/>
  <c r="T7" i="2" l="1"/>
  <c r="T10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7" i="2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7" i="2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17" i="2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7" i="2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7" i="2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7" i="2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<sst xmlns="http://schemas.openxmlformats.org/spreadsheetml/2006/main" count="511" uniqueCount="150">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</sst>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64334.137043999996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89651.863263999985</v>
      </c>
      <c r="F13" s="139">
        <v>1.27</v>
      </c>
      <c r="G13" s="37">
        <f>Gas!C14*0.9147</f>
        <v>1489.1315999999999</v>
      </c>
      <c r="H13" s="140">
        <v>3.65</v>
      </c>
      <c r="I13" s="142">
        <f>Submetering!H13+Submetering!AD13+Submetering!AE13</f>
        <v>856</v>
      </c>
      <c r="J13" s="142">
        <v>10.029999999999999</v>
      </c>
      <c r="K13" s="37">
        <f>ELECT.!B14</f>
        <v>205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63450.000663999999</v>
      </c>
      <c r="F14" s="139">
        <v>1.27</v>
      </c>
      <c r="G14" s="37">
        <f>Gas!C15*0.9147</f>
        <v>2486.1545999999998</v>
      </c>
      <c r="H14" s="140">
        <v>3.65</v>
      </c>
      <c r="I14" s="142">
        <f>Submetering!H14+Submetering!AD14+Submetering!AE14</f>
        <v>706</v>
      </c>
      <c r="J14" s="142">
        <v>10.029999999999999</v>
      </c>
      <c r="K14" s="37">
        <f>ELECT.!B15</f>
        <v>245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66172.874292000008</v>
      </c>
      <c r="F15" s="139">
        <v>1.27</v>
      </c>
      <c r="G15" s="37">
        <f>Gas!C16*0.9147</f>
        <v>1935.5051999999998</v>
      </c>
      <c r="H15" s="140">
        <v>3.65</v>
      </c>
      <c r="I15" s="142">
        <f>Submetering!H15+Submetering!AD15+Submetering!AE15</f>
        <v>836</v>
      </c>
      <c r="J15" s="142">
        <v>10.029999999999999</v>
      </c>
      <c r="K15" s="37">
        <f>ELECT.!B16</f>
        <v>172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9">
        <v>1.27</v>
      </c>
      <c r="G16" s="37">
        <f>Gas!C17*0.9147</f>
        <v>0</v>
      </c>
      <c r="H16" s="140">
        <v>3.65</v>
      </c>
      <c r="I16" s="142">
        <f>Submetering!H16+Submetering!AD16+Submetering!AE16</f>
        <v>-194</v>
      </c>
      <c r="J16" s="142">
        <v>10.029999999999999</v>
      </c>
      <c r="K16" s="37">
        <f>ELECT.!B17</f>
        <v>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9">
        <v>1.27</v>
      </c>
      <c r="G17" s="37">
        <f>Gas!C18*0.9147</f>
        <v>0</v>
      </c>
      <c r="H17" s="140">
        <v>3.65</v>
      </c>
      <c r="I17" s="142">
        <f>Submetering!H17+Submetering!AD17+Submetering!AE17</f>
        <v>-194</v>
      </c>
      <c r="J17" s="142">
        <v>10.029999999999999</v>
      </c>
      <c r="K17" s="37">
        <f>ELECT.!B18</f>
        <v>0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28" sqref="G2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1223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1050</v>
      </c>
      <c r="F13" s="37">
        <f>Water!E14</f>
        <v>450</v>
      </c>
      <c r="G13" s="37">
        <f>Water!G14</f>
        <v>488.7</v>
      </c>
      <c r="H13" s="37">
        <f>Water!I14</f>
        <v>6.4530000000000003</v>
      </c>
      <c r="I13" s="37">
        <f>ELECT.!F14</f>
        <v>27513</v>
      </c>
      <c r="J13" s="37">
        <f>ELECT.!H14</f>
        <v>65371</v>
      </c>
      <c r="K13" s="37">
        <f>ELECT.!K14</f>
        <v>12712</v>
      </c>
      <c r="L13" s="37">
        <f>ELECT.!M14</f>
        <v>8723</v>
      </c>
      <c r="M13" s="37">
        <f>ELECT.!O14</f>
        <v>18542</v>
      </c>
      <c r="N13" s="37">
        <f>ELECT.!Q14</f>
        <v>16444</v>
      </c>
      <c r="O13" s="37">
        <f>ELECT.!S14</f>
        <v>11052</v>
      </c>
      <c r="P13" s="37">
        <f>ELECT.!W14*2</f>
        <v>27744</v>
      </c>
      <c r="Q13" s="37">
        <f>ELECT.!D14</f>
        <v>960</v>
      </c>
      <c r="R13" s="142">
        <f>BTU!C14</f>
        <v>11.757000000001426</v>
      </c>
      <c r="S13" s="142">
        <f>BTU!F14</f>
        <v>3.2979999999997744</v>
      </c>
      <c r="T13" s="142">
        <f>BTU!I14</f>
        <v>7</v>
      </c>
      <c r="U13" s="142">
        <f>BTU!O14</f>
        <v>1.2890000000002146</v>
      </c>
      <c r="V13" s="142">
        <f>BTU!L14</f>
        <v>1.9500000000007276</v>
      </c>
      <c r="W13" s="142">
        <f>BTU!R14</f>
        <v>1.3400000000001455</v>
      </c>
      <c r="X13" s="35">
        <f>ELECT.!B14</f>
        <v>205</v>
      </c>
      <c r="Y13" s="35">
        <f t="shared" si="0"/>
        <v>-2333</v>
      </c>
      <c r="Z13">
        <f>'Mall, Citadel, Rotana'!C14+'Mall, Citadel, Rotana'!E14+'Mall, Citadel, Rotana'!G14+'Mall, Citadel, Rotana'!I14</f>
        <v>1508</v>
      </c>
      <c r="AA13">
        <f>'Mall, Citadel, Rotana'!K14+'Mall, Citadel, Rotana'!M14</f>
        <v>321</v>
      </c>
      <c r="AB13">
        <f>'Mall, Citadel, Rotana'!O14</f>
        <v>4</v>
      </c>
      <c r="AC13">
        <f>'Mall, Citadel, Rotana'!Q14+'Mall, Citadel, Rotana'!S14</f>
        <v>112</v>
      </c>
      <c r="AD13" s="35">
        <f t="shared" si="1"/>
        <v>111.9702946</v>
      </c>
      <c r="AE13" s="35">
        <f t="shared" si="2"/>
        <v>737.57670540000004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900</v>
      </c>
      <c r="F14" s="37">
        <f>Water!E15</f>
        <v>450</v>
      </c>
      <c r="G14" s="37">
        <f>Water!G15</f>
        <v>510.3</v>
      </c>
      <c r="H14" s="37">
        <f>Water!I15</f>
        <v>5.6970000000000001</v>
      </c>
      <c r="I14" s="37">
        <f>ELECT.!F15</f>
        <v>19518</v>
      </c>
      <c r="J14" s="37">
        <f>ELECT.!H15</f>
        <v>46549</v>
      </c>
      <c r="K14" s="37">
        <f>ELECT.!K15</f>
        <v>9846</v>
      </c>
      <c r="L14" s="37">
        <f>ELECT.!M15</f>
        <v>6489</v>
      </c>
      <c r="M14" s="37">
        <f>ELECT.!O15</f>
        <v>12870</v>
      </c>
      <c r="N14" s="37">
        <f>ELECT.!Q15</f>
        <v>11452</v>
      </c>
      <c r="O14" s="37">
        <f>ELECT.!S15</f>
        <v>11624</v>
      </c>
      <c r="P14" s="37">
        <f>ELECT.!W15*2</f>
        <v>19922</v>
      </c>
      <c r="Q14" s="37">
        <f>ELECT.!D15</f>
        <v>800</v>
      </c>
      <c r="R14" s="142">
        <f>BTU!C15</f>
        <v>9.9759999999987485</v>
      </c>
      <c r="S14" s="142">
        <f>BTU!F15</f>
        <v>2.2300000000004729</v>
      </c>
      <c r="T14" s="142">
        <f>BTU!I15</f>
        <v>6</v>
      </c>
      <c r="U14" s="142">
        <f>BTU!O15</f>
        <v>1.0090000000000146</v>
      </c>
      <c r="V14" s="142">
        <f>BTU!L15</f>
        <v>1.4099999999998545</v>
      </c>
      <c r="W14" s="142">
        <f>BTU!R15</f>
        <v>4.9600000000000364</v>
      </c>
      <c r="X14" s="35">
        <f>ELECT.!B15</f>
        <v>245</v>
      </c>
      <c r="Y14" s="35">
        <f t="shared" si="0"/>
        <v>-6136</v>
      </c>
      <c r="Z14">
        <f>'Mall, Citadel, Rotana'!C15+'Mall, Citadel, Rotana'!E15+'Mall, Citadel, Rotana'!G15+'Mall, Citadel, Rotana'!I15</f>
        <v>1352</v>
      </c>
      <c r="AA14">
        <f>'Mall, Citadel, Rotana'!K15+'Mall, Citadel, Rotana'!M15</f>
        <v>450</v>
      </c>
      <c r="AB14">
        <f>'Mall, Citadel, Rotana'!O15</f>
        <v>3</v>
      </c>
      <c r="AC14">
        <f>'Mall, Citadel, Rotana'!Q15+'Mall, Citadel, Rotana'!S15</f>
        <v>46</v>
      </c>
      <c r="AD14" s="35">
        <f t="shared" si="1"/>
        <v>92.299935399999995</v>
      </c>
      <c r="AE14" s="35">
        <f t="shared" si="2"/>
        <v>608.00306460000002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1030</v>
      </c>
      <c r="F15" s="37">
        <f>Water!E16</f>
        <v>410</v>
      </c>
      <c r="G15" s="37">
        <f>Water!G16</f>
        <v>494.1</v>
      </c>
      <c r="H15" s="37">
        <f>Water!I16</f>
        <v>5.0490000000000004</v>
      </c>
      <c r="I15" s="37">
        <f>ELECT.!F16</f>
        <v>20058</v>
      </c>
      <c r="J15" s="37">
        <f>ELECT.!H16</f>
        <v>48920</v>
      </c>
      <c r="K15" s="37">
        <f>ELECT.!K16</f>
        <v>10098</v>
      </c>
      <c r="L15" s="37">
        <f>ELECT.!M16</f>
        <v>6451</v>
      </c>
      <c r="M15" s="37">
        <f>ELECT.!O16</f>
        <v>13402</v>
      </c>
      <c r="N15" s="37">
        <f>ELECT.!Q16</f>
        <v>11965</v>
      </c>
      <c r="O15" s="37">
        <f>ELECT.!S16</f>
        <v>9633</v>
      </c>
      <c r="P15" s="37">
        <f>ELECT.!W16*2</f>
        <v>21230</v>
      </c>
      <c r="Q15" s="37">
        <f>ELECT.!D16</f>
        <v>800</v>
      </c>
      <c r="R15" s="142">
        <f>BTU!C16</f>
        <v>12.320999999999913</v>
      </c>
      <c r="S15" s="142">
        <f>BTU!F16</f>
        <v>3.3599999999996726</v>
      </c>
      <c r="T15" s="142">
        <f>BTU!I16</f>
        <v>8</v>
      </c>
      <c r="U15" s="142">
        <f>BTU!O16</f>
        <v>1.5029999999997017</v>
      </c>
      <c r="V15" s="142">
        <f>BTU!L16</f>
        <v>2.2999999999992724</v>
      </c>
      <c r="W15" s="142">
        <f>BTU!R16</f>
        <v>1.7599999999993088</v>
      </c>
      <c r="X15" s="35">
        <f>ELECT.!B16</f>
        <v>172</v>
      </c>
      <c r="Y15" s="35">
        <f t="shared" si="0"/>
        <v>-3801</v>
      </c>
      <c r="Z15">
        <f>'Mall, Citadel, Rotana'!C16+'Mall, Citadel, Rotana'!E16+'Mall, Citadel, Rotana'!G16+'Mall, Citadel, Rotana'!I16</f>
        <v>1359</v>
      </c>
      <c r="AA15">
        <f>'Mall, Citadel, Rotana'!K16+'Mall, Citadel, Rotana'!M16</f>
        <v>417</v>
      </c>
      <c r="AB15">
        <f>'Mall, Citadel, Rotana'!O16</f>
        <v>3</v>
      </c>
      <c r="AC15">
        <f>'Mall, Citadel, Rotana'!Q16+'Mall, Citadel, Rotana'!S16</f>
        <v>154</v>
      </c>
      <c r="AD15" s="35">
        <f t="shared" si="1"/>
        <v>109.51934180000001</v>
      </c>
      <c r="AE15" s="35">
        <f t="shared" si="2"/>
        <v>721.43165820000002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0</v>
      </c>
      <c r="F16" s="37">
        <f>Water!E17</f>
        <v>0</v>
      </c>
      <c r="G16" s="37">
        <f>Water!G17</f>
        <v>0</v>
      </c>
      <c r="H16" s="37">
        <f>Water!I17</f>
        <v>0</v>
      </c>
      <c r="I16" s="37" t="str">
        <f>ELECT.!F17</f>
        <v>0</v>
      </c>
      <c r="J16" s="37" t="str">
        <f>ELECT.!H17</f>
        <v>0</v>
      </c>
      <c r="K16" s="37">
        <f>ELECT.!K17</f>
        <v>0</v>
      </c>
      <c r="L16" s="37" t="str">
        <f>ELECT.!M17</f>
        <v>0</v>
      </c>
      <c r="M16" s="37">
        <f>ELECT.!O17</f>
        <v>0</v>
      </c>
      <c r="N16" s="37" t="str">
        <f>ELECT.!Q17</f>
        <v>0</v>
      </c>
      <c r="O16" s="37" t="str">
        <f>ELECT.!S17</f>
        <v>0</v>
      </c>
      <c r="P16" s="37">
        <f>ELECT.!W17*2</f>
        <v>0</v>
      </c>
      <c r="Q16" s="37">
        <f>ELECT.!D17</f>
        <v>0</v>
      </c>
      <c r="R16" s="142" t="str">
        <f>BTU!C17</f>
        <v>0</v>
      </c>
      <c r="S16" s="142" t="str">
        <f>BTU!F17</f>
        <v>0</v>
      </c>
      <c r="T16" s="142" t="str">
        <f>BTU!I17</f>
        <v>0</v>
      </c>
      <c r="U16" s="142" t="str">
        <f>BTU!O17</f>
        <v>0</v>
      </c>
      <c r="V16" s="142" t="str">
        <f>BTU!L17</f>
        <v>0</v>
      </c>
      <c r="W16" s="142" t="str">
        <f>BTU!R17</f>
        <v>0</v>
      </c>
      <c r="X16" s="35">
        <f>ELECT.!B17</f>
        <v>0</v>
      </c>
      <c r="Y16" s="3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-25.569199999999999</v>
      </c>
      <c r="AE16" s="35">
        <f t="shared" si="2"/>
        <v>-168.4308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0</v>
      </c>
      <c r="F17" s="37">
        <f>Water!E18</f>
        <v>0</v>
      </c>
      <c r="G17" s="37">
        <f>Water!G18</f>
        <v>0</v>
      </c>
      <c r="H17" s="37">
        <f>Water!I18</f>
        <v>0</v>
      </c>
      <c r="I17" s="37">
        <f>ELECT.!F18</f>
        <v>0</v>
      </c>
      <c r="J17" s="37">
        <f>ELECT.!H18</f>
        <v>0</v>
      </c>
      <c r="K17" s="37">
        <f>ELECT.!K18</f>
        <v>0</v>
      </c>
      <c r="L17" s="37">
        <f>ELECT.!M18</f>
        <v>0</v>
      </c>
      <c r="M17" s="37">
        <f>ELECT.!O18</f>
        <v>0</v>
      </c>
      <c r="N17" s="37">
        <f>ELECT.!Q18</f>
        <v>0</v>
      </c>
      <c r="O17" s="37">
        <f>ELECT.!S18</f>
        <v>0</v>
      </c>
      <c r="P17" s="37">
        <f>ELECT.!W18*2</f>
        <v>0</v>
      </c>
      <c r="Q17" s="37">
        <f>ELECT.!D18</f>
        <v>0</v>
      </c>
      <c r="R17" s="142">
        <f>BTU!C18</f>
        <v>0</v>
      </c>
      <c r="S17" s="142">
        <f>BTU!F18</f>
        <v>0</v>
      </c>
      <c r="T17" s="142">
        <f>BTU!I18</f>
        <v>0</v>
      </c>
      <c r="U17" s="142">
        <f>BTU!O18</f>
        <v>0</v>
      </c>
      <c r="V17" s="142">
        <f>BTU!L18</f>
        <v>0</v>
      </c>
      <c r="W17" s="142">
        <f>BTU!R18</f>
        <v>0</v>
      </c>
      <c r="X17" s="35">
        <f>ELECT.!B18</f>
        <v>0</v>
      </c>
      <c r="Y17" s="3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5">
        <f t="shared" si="1"/>
        <v>-25.569199999999999</v>
      </c>
      <c r="AE17" s="35">
        <f t="shared" si="2"/>
        <v>-168.4308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>
        <f>ELECT.!F19</f>
        <v>0</v>
      </c>
      <c r="J18" s="37">
        <f>ELECT.!H19</f>
        <v>0</v>
      </c>
      <c r="K18" s="37">
        <f>ELECT.!K19</f>
        <v>0</v>
      </c>
      <c r="L18" s="37">
        <f>ELECT.!M19</f>
        <v>0</v>
      </c>
      <c r="M18" s="37">
        <f>ELECT.!O19</f>
        <v>0</v>
      </c>
      <c r="N18" s="37">
        <f>ELECT.!Q19</f>
        <v>0</v>
      </c>
      <c r="O18" s="37">
        <f>ELECT.!S19</f>
        <v>0</v>
      </c>
      <c r="P18" s="37">
        <f>ELECT.!W19*2</f>
        <v>0</v>
      </c>
      <c r="Q18" s="37">
        <f>ELECT.!D19</f>
        <v>0</v>
      </c>
      <c r="R18" s="142">
        <f>BTU!C19</f>
        <v>0</v>
      </c>
      <c r="S18" s="142">
        <f>BTU!F19</f>
        <v>0</v>
      </c>
      <c r="T18" s="142">
        <f>BTU!I19</f>
        <v>0</v>
      </c>
      <c r="U18" s="142">
        <f>BTU!O19</f>
        <v>0</v>
      </c>
      <c r="V18" s="142">
        <f>BTU!L19</f>
        <v>0</v>
      </c>
      <c r="W18" s="142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142">
        <f>BTU!C20</f>
        <v>0</v>
      </c>
      <c r="S19" s="142">
        <f>BTU!F20</f>
        <v>0</v>
      </c>
      <c r="T19" s="142">
        <f>BTU!I20</f>
        <v>0</v>
      </c>
      <c r="U19" s="142">
        <f>BTU!O20</f>
        <v>0</v>
      </c>
      <c r="V19" s="142">
        <f>BTU!L20</f>
        <v>0</v>
      </c>
      <c r="W19" s="142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142">
        <f>BTU!C21</f>
        <v>0</v>
      </c>
      <c r="S20" s="142">
        <f>BTU!F21</f>
        <v>0</v>
      </c>
      <c r="T20" s="142">
        <f>BTU!I21</f>
        <v>0</v>
      </c>
      <c r="U20" s="142">
        <f>BTU!O21</f>
        <v>0</v>
      </c>
      <c r="V20" s="142">
        <f>BTU!L21</f>
        <v>0</v>
      </c>
      <c r="W20" s="142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142">
        <f>BTU!C22</f>
        <v>0</v>
      </c>
      <c r="S21" s="142">
        <f>BTU!F22</f>
        <v>0</v>
      </c>
      <c r="T21" s="142">
        <f>BTU!I22</f>
        <v>0</v>
      </c>
      <c r="U21" s="142">
        <f>BTU!O22</f>
        <v>0</v>
      </c>
      <c r="V21" s="142">
        <f>BTU!L22</f>
        <v>0</v>
      </c>
      <c r="W21" s="142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142">
        <f>BTU!C23</f>
        <v>0</v>
      </c>
      <c r="S22" s="142">
        <f>BTU!F23</f>
        <v>0</v>
      </c>
      <c r="T22" s="142">
        <f>BTU!I23</f>
        <v>0</v>
      </c>
      <c r="U22" s="142">
        <f>BTU!O23</f>
        <v>0</v>
      </c>
      <c r="V22" s="142">
        <f>BTU!L23</f>
        <v>0</v>
      </c>
      <c r="W22" s="142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142">
        <f>BTU!C24</f>
        <v>0</v>
      </c>
      <c r="S23" s="142">
        <f>BTU!F24</f>
        <v>0</v>
      </c>
      <c r="T23" s="142">
        <f>BTU!I24</f>
        <v>0</v>
      </c>
      <c r="U23" s="142">
        <f>BTU!O24</f>
        <v>0</v>
      </c>
      <c r="V23" s="142">
        <f>BTU!L24</f>
        <v>0</v>
      </c>
      <c r="W23" s="142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142">
        <f>BTU!C25</f>
        <v>0</v>
      </c>
      <c r="S24" s="142">
        <f>BTU!F25</f>
        <v>0</v>
      </c>
      <c r="T24" s="142">
        <f>BTU!I25</f>
        <v>0</v>
      </c>
      <c r="U24" s="142">
        <f>BTU!O25</f>
        <v>0</v>
      </c>
      <c r="V24" s="142">
        <f>BTU!L25</f>
        <v>0</v>
      </c>
      <c r="W24" s="142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142">
        <f>BTU!C26</f>
        <v>0</v>
      </c>
      <c r="S25" s="142">
        <f>BTU!F26</f>
        <v>0</v>
      </c>
      <c r="T25" s="142">
        <f>BTU!I26</f>
        <v>0</v>
      </c>
      <c r="U25" s="142">
        <f>BTU!O26</f>
        <v>0</v>
      </c>
      <c r="V25" s="142">
        <f>BTU!L26</f>
        <v>0</v>
      </c>
      <c r="W25" s="142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142">
        <f>BTU!C27</f>
        <v>0</v>
      </c>
      <c r="S26" s="142">
        <f>BTU!F27</f>
        <v>0</v>
      </c>
      <c r="T26" s="142">
        <f>BTU!I27</f>
        <v>0</v>
      </c>
      <c r="U26" s="142">
        <f>BTU!O27</f>
        <v>0</v>
      </c>
      <c r="V26" s="142">
        <f>BTU!L27</f>
        <v>0</v>
      </c>
      <c r="W26" s="142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142">
        <f>BTU!C28</f>
        <v>0</v>
      </c>
      <c r="S27" s="142">
        <f>BTU!F28</f>
        <v>0</v>
      </c>
      <c r="T27" s="142">
        <f>BTU!I28</f>
        <v>0</v>
      </c>
      <c r="U27" s="142">
        <f>BTU!O28</f>
        <v>0</v>
      </c>
      <c r="V27" s="142">
        <f>BTU!L28</f>
        <v>0</v>
      </c>
      <c r="W27" s="142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142">
        <f>BTU!C29</f>
        <v>0</v>
      </c>
      <c r="S28" s="142">
        <f>BTU!F29</f>
        <v>0</v>
      </c>
      <c r="T28" s="142">
        <f>BTU!I29</f>
        <v>0</v>
      </c>
      <c r="U28" s="142">
        <f>BTU!O29</f>
        <v>0</v>
      </c>
      <c r="V28" s="142">
        <f>BTU!L29</f>
        <v>0</v>
      </c>
      <c r="W28" s="142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T16" sqref="T16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255614</v>
      </c>
      <c r="I13" s="14">
        <f t="shared" si="3"/>
        <v>43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5" thickBot="1" x14ac:dyDescent="0.25">
      <c r="A14" s="9">
        <v>44724</v>
      </c>
      <c r="B14" s="32">
        <v>47143</v>
      </c>
      <c r="C14" s="14">
        <f t="shared" si="9"/>
        <v>800</v>
      </c>
      <c r="D14" s="32">
        <v>40677</v>
      </c>
      <c r="E14" s="14">
        <f t="shared" si="1"/>
        <v>640</v>
      </c>
      <c r="F14" s="32">
        <v>21730</v>
      </c>
      <c r="G14" s="14">
        <f t="shared" si="2"/>
        <v>60</v>
      </c>
      <c r="H14" s="32">
        <v>255622</v>
      </c>
      <c r="I14" s="14">
        <f t="shared" si="3"/>
        <v>8</v>
      </c>
      <c r="J14" s="32">
        <v>318202</v>
      </c>
      <c r="K14" s="14">
        <f t="shared" si="4"/>
        <v>81</v>
      </c>
      <c r="L14" s="32">
        <v>26209</v>
      </c>
      <c r="M14" s="14">
        <f t="shared" si="5"/>
        <v>240</v>
      </c>
      <c r="N14" s="32">
        <v>226075</v>
      </c>
      <c r="O14" s="14">
        <f t="shared" si="6"/>
        <v>4</v>
      </c>
      <c r="P14" s="32">
        <v>155690</v>
      </c>
      <c r="Q14" s="14">
        <f t="shared" si="0"/>
        <v>112</v>
      </c>
      <c r="R14" s="1">
        <f t="shared" si="10"/>
        <v>55047</v>
      </c>
      <c r="S14" s="14">
        <v>0</v>
      </c>
      <c r="T14" s="32">
        <v>4006</v>
      </c>
      <c r="U14" s="14">
        <f t="shared" si="8"/>
        <v>160</v>
      </c>
    </row>
    <row r="15" spans="1:24" ht="13.5" thickBot="1" x14ac:dyDescent="0.25">
      <c r="A15" s="9">
        <v>44725</v>
      </c>
      <c r="B15" s="32">
        <v>47148</v>
      </c>
      <c r="C15" s="14">
        <f t="shared" si="9"/>
        <v>800</v>
      </c>
      <c r="D15" s="32">
        <v>40680</v>
      </c>
      <c r="E15" s="14">
        <f t="shared" si="1"/>
        <v>480</v>
      </c>
      <c r="F15" s="32">
        <v>21733</v>
      </c>
      <c r="G15" s="14">
        <f t="shared" ref="G15" si="13">(F15-F14)*100/5</f>
        <v>60</v>
      </c>
      <c r="H15" s="32">
        <v>255634</v>
      </c>
      <c r="I15" s="14">
        <f t="shared" ref="I15" si="14">(H15-H14)</f>
        <v>12</v>
      </c>
      <c r="J15" s="32">
        <v>318472</v>
      </c>
      <c r="K15" s="14">
        <f t="shared" si="4"/>
        <v>270</v>
      </c>
      <c r="L15" s="32">
        <v>26212</v>
      </c>
      <c r="M15" s="14">
        <f t="shared" si="5"/>
        <v>180</v>
      </c>
      <c r="N15" s="32">
        <v>226078</v>
      </c>
      <c r="O15" s="14">
        <f t="shared" ref="O15" si="15">N15-N14</f>
        <v>3</v>
      </c>
      <c r="P15" s="32">
        <v>155736</v>
      </c>
      <c r="Q15" s="14">
        <f t="shared" si="0"/>
        <v>46</v>
      </c>
      <c r="R15" s="1">
        <f t="shared" si="10"/>
        <v>55047</v>
      </c>
      <c r="S15" s="14">
        <v>0</v>
      </c>
      <c r="T15" s="32">
        <v>4006</v>
      </c>
      <c r="U15" s="14">
        <f t="shared" ref="U15" si="16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v>47153</v>
      </c>
      <c r="C16" s="14">
        <f t="shared" si="9"/>
        <v>800</v>
      </c>
      <c r="D16" s="32">
        <v>40683</v>
      </c>
      <c r="E16" s="14">
        <f t="shared" si="1"/>
        <v>480</v>
      </c>
      <c r="F16" s="32">
        <v>21736</v>
      </c>
      <c r="G16" s="14">
        <f t="shared" si="2"/>
        <v>60</v>
      </c>
      <c r="H16" s="32">
        <v>255653</v>
      </c>
      <c r="I16" s="14">
        <f t="shared" si="3"/>
        <v>19</v>
      </c>
      <c r="J16" s="32">
        <v>318649</v>
      </c>
      <c r="K16" s="14">
        <f t="shared" si="4"/>
        <v>177</v>
      </c>
      <c r="L16" s="32">
        <v>26216</v>
      </c>
      <c r="M16" s="14">
        <f t="shared" si="5"/>
        <v>240</v>
      </c>
      <c r="N16" s="32">
        <v>226081</v>
      </c>
      <c r="O16" s="14">
        <f t="shared" si="6"/>
        <v>3</v>
      </c>
      <c r="P16" s="32">
        <v>155890</v>
      </c>
      <c r="Q16" s="14">
        <f t="shared" si="0"/>
        <v>154</v>
      </c>
      <c r="R16" s="1">
        <f t="shared" si="10"/>
        <v>55047</v>
      </c>
      <c r="S16" s="14">
        <f t="shared" si="7"/>
        <v>0</v>
      </c>
      <c r="T16" s="32">
        <f t="shared" si="11"/>
        <v>4006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f t="shared" ref="B16:B32" si="17">B16</f>
        <v>47153</v>
      </c>
      <c r="C17" s="14">
        <f t="shared" si="9"/>
        <v>0</v>
      </c>
      <c r="D17" s="32">
        <f t="shared" ref="D16:D32" si="18">D16</f>
        <v>40683</v>
      </c>
      <c r="E17" s="14">
        <f t="shared" si="1"/>
        <v>0</v>
      </c>
      <c r="F17" s="32">
        <f t="shared" ref="F16:F32" si="19">F16</f>
        <v>21736</v>
      </c>
      <c r="G17" s="14">
        <f t="shared" si="2"/>
        <v>0</v>
      </c>
      <c r="H17" s="32">
        <f t="shared" ref="H16:H32" si="20">H16</f>
        <v>255653</v>
      </c>
      <c r="I17" s="14">
        <f t="shared" si="3"/>
        <v>0</v>
      </c>
      <c r="J17" s="32">
        <f t="shared" ref="J16:J32" si="21">J16</f>
        <v>318649</v>
      </c>
      <c r="K17" s="14">
        <f t="shared" si="4"/>
        <v>0</v>
      </c>
      <c r="L17" s="32">
        <f t="shared" ref="L16:L32" si="22">L16</f>
        <v>26216</v>
      </c>
      <c r="M17" s="14">
        <f t="shared" si="5"/>
        <v>0</v>
      </c>
      <c r="N17" s="32">
        <f t="shared" ref="N16:N32" si="23">N16</f>
        <v>226081</v>
      </c>
      <c r="O17" s="14">
        <f t="shared" si="6"/>
        <v>0</v>
      </c>
      <c r="P17" s="32">
        <f t="shared" si="12"/>
        <v>155890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f t="shared" si="11"/>
        <v>4006</v>
      </c>
      <c r="U17" s="14">
        <f t="shared" si="8"/>
        <v>0</v>
      </c>
    </row>
    <row r="18" spans="1:23" ht="13.5" thickBot="1" x14ac:dyDescent="0.25">
      <c r="A18" s="9">
        <v>44728</v>
      </c>
      <c r="B18" s="32">
        <f t="shared" si="17"/>
        <v>47153</v>
      </c>
      <c r="C18" s="14">
        <f t="shared" si="9"/>
        <v>0</v>
      </c>
      <c r="D18" s="32">
        <f t="shared" si="18"/>
        <v>40683</v>
      </c>
      <c r="E18" s="14">
        <f t="shared" si="1"/>
        <v>0</v>
      </c>
      <c r="F18" s="32">
        <f t="shared" si="19"/>
        <v>21736</v>
      </c>
      <c r="G18" s="14">
        <f t="shared" si="2"/>
        <v>0</v>
      </c>
      <c r="H18" s="32">
        <f t="shared" si="20"/>
        <v>255653</v>
      </c>
      <c r="I18" s="14">
        <f t="shared" si="3"/>
        <v>0</v>
      </c>
      <c r="J18" s="32">
        <f t="shared" si="21"/>
        <v>318649</v>
      </c>
      <c r="K18" s="14">
        <f t="shared" si="4"/>
        <v>0</v>
      </c>
      <c r="L18" s="32">
        <f t="shared" si="22"/>
        <v>26216</v>
      </c>
      <c r="M18" s="14">
        <f t="shared" si="5"/>
        <v>0</v>
      </c>
      <c r="N18" s="32">
        <f t="shared" si="23"/>
        <v>226081</v>
      </c>
      <c r="O18" s="14">
        <f t="shared" si="6"/>
        <v>0</v>
      </c>
      <c r="P18" s="32">
        <f t="shared" si="12"/>
        <v>155890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4006</v>
      </c>
      <c r="U18" s="14">
        <f t="shared" si="8"/>
        <v>0</v>
      </c>
    </row>
    <row r="19" spans="1:23" ht="13.5" thickBot="1" x14ac:dyDescent="0.25">
      <c r="A19" s="9">
        <v>44729</v>
      </c>
      <c r="B19" s="32">
        <f t="shared" si="17"/>
        <v>47153</v>
      </c>
      <c r="C19" s="14">
        <f t="shared" si="9"/>
        <v>0</v>
      </c>
      <c r="D19" s="32">
        <f t="shared" si="18"/>
        <v>40683</v>
      </c>
      <c r="E19" s="14">
        <f t="shared" si="1"/>
        <v>0</v>
      </c>
      <c r="F19" s="32">
        <f t="shared" si="19"/>
        <v>21736</v>
      </c>
      <c r="G19" s="14">
        <f t="shared" si="2"/>
        <v>0</v>
      </c>
      <c r="H19" s="32">
        <f t="shared" si="20"/>
        <v>255653</v>
      </c>
      <c r="I19" s="14">
        <f t="shared" si="3"/>
        <v>0</v>
      </c>
      <c r="J19" s="32">
        <f t="shared" si="21"/>
        <v>318649</v>
      </c>
      <c r="K19" s="14">
        <f t="shared" si="4"/>
        <v>0</v>
      </c>
      <c r="L19" s="32">
        <f t="shared" si="22"/>
        <v>26216</v>
      </c>
      <c r="M19" s="14">
        <f t="shared" si="5"/>
        <v>0</v>
      </c>
      <c r="N19" s="32">
        <f t="shared" si="23"/>
        <v>226081</v>
      </c>
      <c r="O19" s="14">
        <f t="shared" si="6"/>
        <v>0</v>
      </c>
      <c r="P19" s="32">
        <f t="shared" si="12"/>
        <v>155890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f t="shared" si="11"/>
        <v>4006</v>
      </c>
      <c r="U19" s="14">
        <f t="shared" si="8"/>
        <v>0</v>
      </c>
      <c r="W19" t="s">
        <v>12</v>
      </c>
    </row>
    <row r="20" spans="1:23" ht="13.5" thickBot="1" x14ac:dyDescent="0.25">
      <c r="A20" s="9">
        <v>44730</v>
      </c>
      <c r="B20" s="32">
        <f t="shared" si="17"/>
        <v>47153</v>
      </c>
      <c r="C20" s="14">
        <f t="shared" si="9"/>
        <v>0</v>
      </c>
      <c r="D20" s="32">
        <f t="shared" si="18"/>
        <v>40683</v>
      </c>
      <c r="E20" s="14">
        <f t="shared" si="1"/>
        <v>0</v>
      </c>
      <c r="F20" s="32">
        <f t="shared" si="19"/>
        <v>21736</v>
      </c>
      <c r="G20" s="14">
        <f t="shared" si="2"/>
        <v>0</v>
      </c>
      <c r="H20" s="32">
        <f t="shared" si="20"/>
        <v>255653</v>
      </c>
      <c r="I20" s="14">
        <f t="shared" si="3"/>
        <v>0</v>
      </c>
      <c r="J20" s="32">
        <f t="shared" si="21"/>
        <v>318649</v>
      </c>
      <c r="K20" s="14">
        <f t="shared" si="4"/>
        <v>0</v>
      </c>
      <c r="L20" s="32">
        <f t="shared" si="22"/>
        <v>26216</v>
      </c>
      <c r="M20" s="14">
        <f t="shared" si="5"/>
        <v>0</v>
      </c>
      <c r="N20" s="32">
        <f t="shared" si="23"/>
        <v>226081</v>
      </c>
      <c r="O20" s="14">
        <f t="shared" si="6"/>
        <v>0</v>
      </c>
      <c r="P20" s="32">
        <f t="shared" si="12"/>
        <v>155890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4006</v>
      </c>
      <c r="U20" s="14">
        <f t="shared" si="8"/>
        <v>0</v>
      </c>
    </row>
    <row r="21" spans="1:23" ht="13.5" thickBot="1" x14ac:dyDescent="0.25">
      <c r="A21" s="9">
        <v>44731</v>
      </c>
      <c r="B21" s="32">
        <f t="shared" si="17"/>
        <v>47153</v>
      </c>
      <c r="C21" s="14">
        <f t="shared" si="9"/>
        <v>0</v>
      </c>
      <c r="D21" s="32">
        <f t="shared" si="18"/>
        <v>40683</v>
      </c>
      <c r="E21" s="14">
        <f t="shared" si="1"/>
        <v>0</v>
      </c>
      <c r="F21" s="32">
        <f t="shared" si="19"/>
        <v>21736</v>
      </c>
      <c r="G21" s="14">
        <f t="shared" si="2"/>
        <v>0</v>
      </c>
      <c r="H21" s="32">
        <f t="shared" si="20"/>
        <v>255653</v>
      </c>
      <c r="I21" s="14">
        <f t="shared" si="3"/>
        <v>0</v>
      </c>
      <c r="J21" s="32">
        <f t="shared" si="21"/>
        <v>318649</v>
      </c>
      <c r="K21" s="14">
        <f t="shared" si="4"/>
        <v>0</v>
      </c>
      <c r="L21" s="32">
        <f t="shared" si="22"/>
        <v>26216</v>
      </c>
      <c r="M21" s="14">
        <f t="shared" si="5"/>
        <v>0</v>
      </c>
      <c r="N21" s="32">
        <f t="shared" si="23"/>
        <v>226081</v>
      </c>
      <c r="O21" s="14">
        <f t="shared" si="6"/>
        <v>0</v>
      </c>
      <c r="P21" s="32">
        <f t="shared" si="12"/>
        <v>155890</v>
      </c>
      <c r="Q21" s="14">
        <f t="shared" si="0"/>
        <v>0</v>
      </c>
      <c r="R21" s="1">
        <f t="shared" si="10"/>
        <v>55047</v>
      </c>
      <c r="S21" s="14">
        <f t="shared" si="7"/>
        <v>0</v>
      </c>
      <c r="T21" s="32">
        <f t="shared" si="11"/>
        <v>4006</v>
      </c>
      <c r="U21" s="14">
        <f t="shared" si="8"/>
        <v>0</v>
      </c>
    </row>
    <row r="22" spans="1:23" ht="13.5" thickBot="1" x14ac:dyDescent="0.25">
      <c r="A22" s="9">
        <v>44732</v>
      </c>
      <c r="B22" s="32">
        <f t="shared" si="17"/>
        <v>47153</v>
      </c>
      <c r="C22" s="14">
        <f t="shared" si="9"/>
        <v>0</v>
      </c>
      <c r="D22" s="32">
        <f t="shared" si="18"/>
        <v>40683</v>
      </c>
      <c r="E22" s="14">
        <f t="shared" si="1"/>
        <v>0</v>
      </c>
      <c r="F22" s="32">
        <f t="shared" si="19"/>
        <v>21736</v>
      </c>
      <c r="G22" s="14">
        <f t="shared" si="2"/>
        <v>0</v>
      </c>
      <c r="H22" s="32">
        <f t="shared" si="20"/>
        <v>255653</v>
      </c>
      <c r="I22" s="14">
        <f t="shared" si="3"/>
        <v>0</v>
      </c>
      <c r="J22" s="32">
        <f t="shared" si="21"/>
        <v>318649</v>
      </c>
      <c r="K22" s="14">
        <f t="shared" si="4"/>
        <v>0</v>
      </c>
      <c r="L22" s="32">
        <f t="shared" si="22"/>
        <v>26216</v>
      </c>
      <c r="M22" s="14">
        <f t="shared" si="5"/>
        <v>0</v>
      </c>
      <c r="N22" s="32">
        <f t="shared" si="23"/>
        <v>226081</v>
      </c>
      <c r="O22" s="14">
        <f t="shared" si="6"/>
        <v>0</v>
      </c>
      <c r="P22" s="32">
        <f t="shared" si="12"/>
        <v>155890</v>
      </c>
      <c r="Q22" s="14">
        <f t="shared" si="0"/>
        <v>0</v>
      </c>
      <c r="R22" s="1">
        <f t="shared" si="10"/>
        <v>55047</v>
      </c>
      <c r="S22" s="14">
        <f t="shared" si="7"/>
        <v>0</v>
      </c>
      <c r="T22" s="32">
        <f t="shared" si="11"/>
        <v>4006</v>
      </c>
      <c r="U22" s="14">
        <f t="shared" si="8"/>
        <v>0</v>
      </c>
    </row>
    <row r="23" spans="1:23" ht="13.5" thickBot="1" x14ac:dyDescent="0.25">
      <c r="A23" s="9">
        <v>44733</v>
      </c>
      <c r="B23" s="32">
        <f t="shared" si="17"/>
        <v>47153</v>
      </c>
      <c r="C23" s="14">
        <f t="shared" si="9"/>
        <v>0</v>
      </c>
      <c r="D23" s="32">
        <f t="shared" si="18"/>
        <v>40683</v>
      </c>
      <c r="E23" s="14">
        <f t="shared" si="1"/>
        <v>0</v>
      </c>
      <c r="F23" s="32">
        <f t="shared" si="19"/>
        <v>21736</v>
      </c>
      <c r="G23" s="14">
        <f t="shared" si="2"/>
        <v>0</v>
      </c>
      <c r="H23" s="32">
        <f t="shared" si="20"/>
        <v>255653</v>
      </c>
      <c r="I23" s="14">
        <f t="shared" si="3"/>
        <v>0</v>
      </c>
      <c r="J23" s="32">
        <f t="shared" si="21"/>
        <v>318649</v>
      </c>
      <c r="K23" s="14">
        <f t="shared" si="4"/>
        <v>0</v>
      </c>
      <c r="L23" s="32">
        <f t="shared" si="22"/>
        <v>26216</v>
      </c>
      <c r="M23" s="14">
        <f t="shared" si="5"/>
        <v>0</v>
      </c>
      <c r="N23" s="32">
        <f t="shared" si="23"/>
        <v>226081</v>
      </c>
      <c r="O23" s="14">
        <f t="shared" si="6"/>
        <v>0</v>
      </c>
      <c r="P23" s="32">
        <f t="shared" si="12"/>
        <v>155890</v>
      </c>
      <c r="Q23" s="14">
        <f t="shared" si="0"/>
        <v>0</v>
      </c>
      <c r="R23" s="1">
        <f t="shared" si="10"/>
        <v>55047</v>
      </c>
      <c r="S23" s="14">
        <f t="shared" si="7"/>
        <v>0</v>
      </c>
      <c r="T23" s="32">
        <f t="shared" si="11"/>
        <v>4006</v>
      </c>
      <c r="U23" s="14">
        <f t="shared" si="8"/>
        <v>0</v>
      </c>
    </row>
    <row r="24" spans="1:23" s="132" customFormat="1" ht="13.5" thickBot="1" x14ac:dyDescent="0.25">
      <c r="A24" s="9">
        <v>44734</v>
      </c>
      <c r="B24" s="32">
        <f t="shared" si="17"/>
        <v>47153</v>
      </c>
      <c r="C24" s="14">
        <f t="shared" si="9"/>
        <v>0</v>
      </c>
      <c r="D24" s="32">
        <f t="shared" si="18"/>
        <v>40683</v>
      </c>
      <c r="E24" s="14">
        <f t="shared" si="1"/>
        <v>0</v>
      </c>
      <c r="F24" s="32">
        <f t="shared" si="19"/>
        <v>21736</v>
      </c>
      <c r="G24" s="14">
        <f t="shared" si="2"/>
        <v>0</v>
      </c>
      <c r="H24" s="32">
        <f t="shared" si="20"/>
        <v>255653</v>
      </c>
      <c r="I24" s="14">
        <f t="shared" si="3"/>
        <v>0</v>
      </c>
      <c r="J24" s="32">
        <f t="shared" si="21"/>
        <v>318649</v>
      </c>
      <c r="K24" s="14">
        <f t="shared" si="4"/>
        <v>0</v>
      </c>
      <c r="L24" s="32">
        <f t="shared" si="22"/>
        <v>26216</v>
      </c>
      <c r="M24" s="14">
        <f t="shared" si="5"/>
        <v>0</v>
      </c>
      <c r="N24" s="32">
        <f t="shared" si="23"/>
        <v>226081</v>
      </c>
      <c r="O24" s="14">
        <f t="shared" si="6"/>
        <v>0</v>
      </c>
      <c r="P24" s="32">
        <f t="shared" si="12"/>
        <v>155890</v>
      </c>
      <c r="Q24" s="14">
        <f t="shared" si="0"/>
        <v>0</v>
      </c>
      <c r="R24" s="1">
        <f t="shared" si="10"/>
        <v>55047</v>
      </c>
      <c r="S24" s="14">
        <f t="shared" si="7"/>
        <v>0</v>
      </c>
      <c r="T24" s="32">
        <f t="shared" si="11"/>
        <v>4006</v>
      </c>
      <c r="U24" s="14">
        <f t="shared" si="8"/>
        <v>0</v>
      </c>
    </row>
    <row r="25" spans="1:23" ht="13.5" thickBot="1" x14ac:dyDescent="0.25">
      <c r="A25" s="9">
        <v>44735</v>
      </c>
      <c r="B25" s="32">
        <f t="shared" si="17"/>
        <v>47153</v>
      </c>
      <c r="C25" s="14">
        <f t="shared" si="9"/>
        <v>0</v>
      </c>
      <c r="D25" s="32">
        <f t="shared" si="18"/>
        <v>40683</v>
      </c>
      <c r="E25" s="14">
        <f t="shared" si="1"/>
        <v>0</v>
      </c>
      <c r="F25" s="32">
        <f t="shared" si="19"/>
        <v>21736</v>
      </c>
      <c r="G25" s="14">
        <f t="shared" si="2"/>
        <v>0</v>
      </c>
      <c r="H25" s="32">
        <f t="shared" si="20"/>
        <v>255653</v>
      </c>
      <c r="I25" s="14">
        <f t="shared" si="3"/>
        <v>0</v>
      </c>
      <c r="J25" s="32">
        <f t="shared" si="21"/>
        <v>318649</v>
      </c>
      <c r="K25" s="14">
        <f t="shared" si="4"/>
        <v>0</v>
      </c>
      <c r="L25" s="32">
        <f t="shared" si="22"/>
        <v>26216</v>
      </c>
      <c r="M25" s="14">
        <f t="shared" si="5"/>
        <v>0</v>
      </c>
      <c r="N25" s="32">
        <f t="shared" si="23"/>
        <v>226081</v>
      </c>
      <c r="O25" s="14">
        <f t="shared" si="6"/>
        <v>0</v>
      </c>
      <c r="P25" s="32">
        <f t="shared" si="12"/>
        <v>155890</v>
      </c>
      <c r="Q25" s="14">
        <f t="shared" si="0"/>
        <v>0</v>
      </c>
      <c r="R25" s="1">
        <f t="shared" si="10"/>
        <v>55047</v>
      </c>
      <c r="S25" s="14">
        <f t="shared" si="7"/>
        <v>0</v>
      </c>
      <c r="T25" s="32">
        <f t="shared" si="11"/>
        <v>4006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f t="shared" si="17"/>
        <v>47153</v>
      </c>
      <c r="C26" s="14">
        <f t="shared" si="9"/>
        <v>0</v>
      </c>
      <c r="D26" s="32">
        <f t="shared" si="18"/>
        <v>40683</v>
      </c>
      <c r="E26" s="14">
        <f t="shared" si="1"/>
        <v>0</v>
      </c>
      <c r="F26" s="32">
        <f t="shared" si="19"/>
        <v>21736</v>
      </c>
      <c r="G26" s="14">
        <f t="shared" si="2"/>
        <v>0</v>
      </c>
      <c r="H26" s="32">
        <f t="shared" si="20"/>
        <v>255653</v>
      </c>
      <c r="I26" s="14">
        <f t="shared" si="3"/>
        <v>0</v>
      </c>
      <c r="J26" s="32">
        <f t="shared" si="21"/>
        <v>318649</v>
      </c>
      <c r="K26" s="14">
        <f t="shared" si="4"/>
        <v>0</v>
      </c>
      <c r="L26" s="32">
        <f t="shared" si="22"/>
        <v>26216</v>
      </c>
      <c r="M26" s="14">
        <f t="shared" si="5"/>
        <v>0</v>
      </c>
      <c r="N26" s="32">
        <f t="shared" si="23"/>
        <v>226081</v>
      </c>
      <c r="O26" s="14">
        <f t="shared" si="6"/>
        <v>0</v>
      </c>
      <c r="P26" s="32">
        <f t="shared" si="12"/>
        <v>155890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f t="shared" si="11"/>
        <v>4006</v>
      </c>
      <c r="U26" s="14">
        <f t="shared" si="8"/>
        <v>0</v>
      </c>
      <c r="W26" t="s">
        <v>12</v>
      </c>
    </row>
    <row r="27" spans="1:23" ht="13.5" thickBot="1" x14ac:dyDescent="0.25">
      <c r="A27" s="9">
        <v>44737</v>
      </c>
      <c r="B27" s="32">
        <f t="shared" si="17"/>
        <v>47153</v>
      </c>
      <c r="C27" s="14">
        <f t="shared" si="9"/>
        <v>0</v>
      </c>
      <c r="D27" s="32">
        <f t="shared" si="18"/>
        <v>40683</v>
      </c>
      <c r="E27" s="14">
        <f t="shared" si="1"/>
        <v>0</v>
      </c>
      <c r="F27" s="32">
        <f t="shared" si="19"/>
        <v>21736</v>
      </c>
      <c r="G27" s="14">
        <f t="shared" si="2"/>
        <v>0</v>
      </c>
      <c r="H27" s="32">
        <f t="shared" si="20"/>
        <v>255653</v>
      </c>
      <c r="I27" s="14">
        <f t="shared" si="3"/>
        <v>0</v>
      </c>
      <c r="J27" s="32">
        <f t="shared" si="21"/>
        <v>318649</v>
      </c>
      <c r="K27" s="14">
        <f t="shared" si="4"/>
        <v>0</v>
      </c>
      <c r="L27" s="32">
        <f t="shared" si="22"/>
        <v>26216</v>
      </c>
      <c r="M27" s="14">
        <f t="shared" si="5"/>
        <v>0</v>
      </c>
      <c r="N27" s="32">
        <f t="shared" si="23"/>
        <v>226081</v>
      </c>
      <c r="O27" s="14">
        <f t="shared" si="6"/>
        <v>0</v>
      </c>
      <c r="P27" s="32">
        <f t="shared" si="12"/>
        <v>155890</v>
      </c>
      <c r="Q27" s="14">
        <f t="shared" si="0"/>
        <v>0</v>
      </c>
      <c r="R27" s="1">
        <f t="shared" si="10"/>
        <v>55047</v>
      </c>
      <c r="S27" s="14">
        <f t="shared" si="7"/>
        <v>0</v>
      </c>
      <c r="T27" s="32">
        <f t="shared" si="11"/>
        <v>4006</v>
      </c>
      <c r="U27" s="14">
        <f>(T27-T26)*800/5</f>
        <v>0</v>
      </c>
    </row>
    <row r="28" spans="1:23" ht="13.5" thickBot="1" x14ac:dyDescent="0.25">
      <c r="A28" s="9">
        <v>44738</v>
      </c>
      <c r="B28" s="32">
        <f t="shared" si="17"/>
        <v>47153</v>
      </c>
      <c r="C28" s="14">
        <f t="shared" si="9"/>
        <v>0</v>
      </c>
      <c r="D28" s="32">
        <f t="shared" si="18"/>
        <v>40683</v>
      </c>
      <c r="E28" s="14">
        <f t="shared" si="1"/>
        <v>0</v>
      </c>
      <c r="F28" s="32">
        <f t="shared" si="19"/>
        <v>21736</v>
      </c>
      <c r="G28" s="14">
        <f t="shared" si="2"/>
        <v>0</v>
      </c>
      <c r="H28" s="32">
        <f t="shared" si="20"/>
        <v>255653</v>
      </c>
      <c r="I28" s="14">
        <f t="shared" si="3"/>
        <v>0</v>
      </c>
      <c r="J28" s="32">
        <f t="shared" si="21"/>
        <v>318649</v>
      </c>
      <c r="K28" s="14">
        <f t="shared" si="4"/>
        <v>0</v>
      </c>
      <c r="L28" s="32">
        <f t="shared" si="22"/>
        <v>26216</v>
      </c>
      <c r="M28" s="14">
        <f t="shared" si="5"/>
        <v>0</v>
      </c>
      <c r="N28" s="32">
        <f t="shared" si="23"/>
        <v>226081</v>
      </c>
      <c r="O28" s="14">
        <f t="shared" si="6"/>
        <v>0</v>
      </c>
      <c r="P28" s="32">
        <f t="shared" si="12"/>
        <v>155890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f t="shared" si="11"/>
        <v>4006</v>
      </c>
      <c r="U28" s="14">
        <f t="shared" si="8"/>
        <v>0</v>
      </c>
    </row>
    <row r="29" spans="1:23" ht="13.5" thickBot="1" x14ac:dyDescent="0.25">
      <c r="A29" s="9">
        <v>44739</v>
      </c>
      <c r="B29" s="32">
        <f t="shared" si="17"/>
        <v>47153</v>
      </c>
      <c r="C29" s="14">
        <f t="shared" si="9"/>
        <v>0</v>
      </c>
      <c r="D29" s="32">
        <f t="shared" si="18"/>
        <v>40683</v>
      </c>
      <c r="E29" s="14">
        <f t="shared" si="1"/>
        <v>0</v>
      </c>
      <c r="F29" s="32">
        <f t="shared" si="19"/>
        <v>21736</v>
      </c>
      <c r="G29" s="14">
        <f t="shared" si="2"/>
        <v>0</v>
      </c>
      <c r="H29" s="32">
        <f t="shared" si="20"/>
        <v>255653</v>
      </c>
      <c r="I29" s="14">
        <f t="shared" si="3"/>
        <v>0</v>
      </c>
      <c r="J29" s="32">
        <f t="shared" si="21"/>
        <v>318649</v>
      </c>
      <c r="K29" s="14">
        <f t="shared" si="4"/>
        <v>0</v>
      </c>
      <c r="L29" s="32">
        <f t="shared" si="22"/>
        <v>26216</v>
      </c>
      <c r="M29" s="14">
        <f t="shared" si="5"/>
        <v>0</v>
      </c>
      <c r="N29" s="32">
        <f t="shared" si="23"/>
        <v>226081</v>
      </c>
      <c r="O29" s="14">
        <f t="shared" si="6"/>
        <v>0</v>
      </c>
      <c r="P29" s="32">
        <f t="shared" si="12"/>
        <v>155890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4006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7"/>
        <v>47153</v>
      </c>
      <c r="C30" s="14">
        <f t="shared" si="9"/>
        <v>0</v>
      </c>
      <c r="D30" s="32">
        <f t="shared" si="18"/>
        <v>40683</v>
      </c>
      <c r="E30" s="14">
        <f t="shared" si="1"/>
        <v>0</v>
      </c>
      <c r="F30" s="32">
        <f t="shared" si="19"/>
        <v>21736</v>
      </c>
      <c r="G30" s="14">
        <f t="shared" si="2"/>
        <v>0</v>
      </c>
      <c r="H30" s="32">
        <f t="shared" si="20"/>
        <v>255653</v>
      </c>
      <c r="I30" s="14">
        <f t="shared" si="3"/>
        <v>0</v>
      </c>
      <c r="J30" s="32">
        <f t="shared" si="21"/>
        <v>318649</v>
      </c>
      <c r="K30" s="14">
        <f t="shared" si="4"/>
        <v>0</v>
      </c>
      <c r="L30" s="32">
        <f t="shared" si="22"/>
        <v>26216</v>
      </c>
      <c r="M30" s="14">
        <f t="shared" si="5"/>
        <v>0</v>
      </c>
      <c r="N30" s="32">
        <f t="shared" si="23"/>
        <v>226081</v>
      </c>
      <c r="O30" s="14">
        <f t="shared" si="6"/>
        <v>0</v>
      </c>
      <c r="P30" s="32">
        <f t="shared" si="12"/>
        <v>155890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4006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7"/>
        <v>47153</v>
      </c>
      <c r="C31" s="14">
        <f t="shared" si="9"/>
        <v>0</v>
      </c>
      <c r="D31" s="32">
        <f t="shared" si="18"/>
        <v>40683</v>
      </c>
      <c r="E31" s="14">
        <f t="shared" si="1"/>
        <v>0</v>
      </c>
      <c r="F31" s="32">
        <f t="shared" si="19"/>
        <v>21736</v>
      </c>
      <c r="G31" s="14">
        <f t="shared" si="2"/>
        <v>0</v>
      </c>
      <c r="H31" s="32">
        <f t="shared" si="20"/>
        <v>255653</v>
      </c>
      <c r="I31" s="14">
        <f t="shared" si="3"/>
        <v>0</v>
      </c>
      <c r="J31" s="32">
        <f t="shared" si="21"/>
        <v>318649</v>
      </c>
      <c r="K31" s="14">
        <f t="shared" si="4"/>
        <v>0</v>
      </c>
      <c r="L31" s="32">
        <f t="shared" si="22"/>
        <v>26216</v>
      </c>
      <c r="M31" s="14">
        <f t="shared" si="5"/>
        <v>0</v>
      </c>
      <c r="N31" s="32">
        <f t="shared" si="23"/>
        <v>226081</v>
      </c>
      <c r="O31" s="14">
        <f t="shared" si="6"/>
        <v>0</v>
      </c>
      <c r="P31" s="32">
        <f t="shared" si="12"/>
        <v>155890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4006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7"/>
        <v>47153</v>
      </c>
      <c r="C32" s="14">
        <f t="shared" si="9"/>
        <v>0</v>
      </c>
      <c r="D32" s="32">
        <f t="shared" si="18"/>
        <v>40683</v>
      </c>
      <c r="E32" s="14">
        <f t="shared" si="1"/>
        <v>0</v>
      </c>
      <c r="F32" s="32">
        <f t="shared" si="19"/>
        <v>21736</v>
      </c>
      <c r="G32" s="14">
        <f t="shared" si="2"/>
        <v>0</v>
      </c>
      <c r="H32" s="32">
        <f t="shared" si="20"/>
        <v>255653</v>
      </c>
      <c r="I32" s="14">
        <f t="shared" si="3"/>
        <v>0</v>
      </c>
      <c r="J32" s="32">
        <f t="shared" si="21"/>
        <v>318649</v>
      </c>
      <c r="K32" s="14">
        <f t="shared" si="4"/>
        <v>0</v>
      </c>
      <c r="L32" s="32">
        <f t="shared" si="22"/>
        <v>26216</v>
      </c>
      <c r="M32" s="14">
        <f t="shared" si="5"/>
        <v>0</v>
      </c>
      <c r="N32" s="32">
        <f t="shared" si="23"/>
        <v>226081</v>
      </c>
      <c r="O32" s="14">
        <f t="shared" si="6"/>
        <v>0</v>
      </c>
      <c r="P32" s="32">
        <f t="shared" si="12"/>
        <v>155890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4006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10560</v>
      </c>
      <c r="D33" s="11"/>
      <c r="E33" s="14">
        <f>SUM(E3:E32)</f>
        <v>7200</v>
      </c>
      <c r="F33" s="11"/>
      <c r="G33" s="14">
        <f>SUM(G3:G32)</f>
        <v>980</v>
      </c>
      <c r="H33" s="11"/>
      <c r="I33" s="14">
        <f>SUM(I3:I32)</f>
        <v>354</v>
      </c>
      <c r="J33" s="11"/>
      <c r="K33" s="14">
        <f>SUM(K3:K32)</f>
        <v>2245</v>
      </c>
      <c r="L33" s="11"/>
      <c r="M33" s="14">
        <f>SUM(M3:M32)</f>
        <v>2700</v>
      </c>
      <c r="N33" s="33"/>
      <c r="O33" s="14">
        <f>SUM(O3:O32)</f>
        <v>45</v>
      </c>
      <c r="P33" s="32"/>
      <c r="Q33" s="14">
        <f>SUM(Q3:Q32)</f>
        <v>1524</v>
      </c>
      <c r="R33" s="1"/>
      <c r="S33" s="14">
        <f>SUM(S3:S32)</f>
        <v>0</v>
      </c>
      <c r="T33" s="1"/>
      <c r="U33" s="14">
        <f>SUM(U3:U32)</f>
        <v>1440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I1" zoomScaleNormal="100" zoomScaleSheetLayoutView="110" workbookViewId="0">
      <pane ySplit="1" topLeftCell="A2" activePane="bottomLeft" state="frozen"/>
      <selection pane="bottomLeft" activeCell="AB16" sqref="AB16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ref="Y13" si="24">I13-X13</f>
        <v>6760</v>
      </c>
      <c r="Z13" s="3">
        <f t="shared" ref="Z13" si="25">(0.93352*(W13+S13)+0.5568*(Q13+O13))*0.26</f>
        <v>8430.9701631999997</v>
      </c>
      <c r="AA13" s="3">
        <f>SUM(Z1:Z13)</f>
        <v>101932.83509760001</v>
      </c>
    </row>
    <row r="14" spans="1:27" ht="16.5" thickBot="1" x14ac:dyDescent="0.3">
      <c r="A14" s="9">
        <v>44724</v>
      </c>
      <c r="B14" s="39">
        <v>205</v>
      </c>
      <c r="C14" s="39">
        <v>19724</v>
      </c>
      <c r="D14" s="39">
        <f t="shared" si="1"/>
        <v>960</v>
      </c>
      <c r="E14" s="146">
        <v>31355266</v>
      </c>
      <c r="F14" s="39">
        <f t="shared" si="2"/>
        <v>27513</v>
      </c>
      <c r="G14" s="147">
        <v>281124</v>
      </c>
      <c r="H14" s="39">
        <f t="shared" si="3"/>
        <v>65371</v>
      </c>
      <c r="I14" s="148">
        <f t="shared" si="4"/>
        <v>92884</v>
      </c>
      <c r="J14" s="146">
        <v>9984050</v>
      </c>
      <c r="K14" s="39">
        <f t="shared" si="12"/>
        <v>12712</v>
      </c>
      <c r="L14" s="149">
        <v>176696</v>
      </c>
      <c r="M14" s="39">
        <f t="shared" si="5"/>
        <v>8723</v>
      </c>
      <c r="N14" s="146">
        <v>6733936</v>
      </c>
      <c r="O14" s="39">
        <f t="shared" si="13"/>
        <v>18542</v>
      </c>
      <c r="P14" s="149">
        <v>6798741</v>
      </c>
      <c r="Q14" s="39">
        <f t="shared" si="6"/>
        <v>16444</v>
      </c>
      <c r="R14" s="146">
        <v>21350263</v>
      </c>
      <c r="S14" s="39">
        <f>IF((R14-R13)&lt;0,"0",(R14-R13))</f>
        <v>11052</v>
      </c>
      <c r="T14" s="146">
        <v>0</v>
      </c>
      <c r="U14" s="150"/>
      <c r="V14" s="146">
        <v>9295168</v>
      </c>
      <c r="W14" s="39">
        <f t="shared" si="8"/>
        <v>13872</v>
      </c>
      <c r="X14" s="19">
        <f t="shared" si="9"/>
        <v>81345</v>
      </c>
      <c r="Y14" s="151">
        <f t="shared" si="10"/>
        <v>11539</v>
      </c>
      <c r="Z14" s="3">
        <f t="shared" si="11"/>
        <v>11114.286892800003</v>
      </c>
      <c r="AA14" s="3">
        <f>SUM(Z1:Z14)</f>
        <v>113047.12199040002</v>
      </c>
    </row>
    <row r="15" spans="1:27" ht="16.5" thickBot="1" x14ac:dyDescent="0.3">
      <c r="A15" s="9">
        <v>44725</v>
      </c>
      <c r="B15" s="39">
        <v>245</v>
      </c>
      <c r="C15" s="145">
        <v>19729</v>
      </c>
      <c r="D15" s="39">
        <f t="shared" si="1"/>
        <v>800</v>
      </c>
      <c r="E15" s="146">
        <v>31374784</v>
      </c>
      <c r="F15" s="39">
        <f t="shared" si="2"/>
        <v>19518</v>
      </c>
      <c r="G15" s="147">
        <v>327673</v>
      </c>
      <c r="H15" s="39">
        <f t="shared" si="3"/>
        <v>46549</v>
      </c>
      <c r="I15" s="148">
        <f t="shared" si="4"/>
        <v>66067</v>
      </c>
      <c r="J15" s="146">
        <v>9988973</v>
      </c>
      <c r="K15" s="39">
        <f t="shared" si="12"/>
        <v>9846</v>
      </c>
      <c r="L15" s="149">
        <v>183185</v>
      </c>
      <c r="M15" s="39">
        <f t="shared" si="5"/>
        <v>6489</v>
      </c>
      <c r="N15" s="146">
        <v>6740371</v>
      </c>
      <c r="O15" s="39">
        <f t="shared" si="13"/>
        <v>12870</v>
      </c>
      <c r="P15" s="149">
        <v>6810193</v>
      </c>
      <c r="Q15" s="39">
        <f t="shared" si="6"/>
        <v>11452</v>
      </c>
      <c r="R15" s="146">
        <v>21361887</v>
      </c>
      <c r="S15" s="39">
        <f>IF((R15-R14)&lt;0,"0",(R15-R14))</f>
        <v>11624</v>
      </c>
      <c r="T15" s="146">
        <v>0</v>
      </c>
      <c r="U15" s="150"/>
      <c r="V15" s="146">
        <v>9305129</v>
      </c>
      <c r="W15" s="39">
        <f t="shared" si="8"/>
        <v>9961</v>
      </c>
      <c r="X15" s="19">
        <f t="shared" si="9"/>
        <v>62242</v>
      </c>
      <c r="Y15" s="151">
        <f t="shared" si="10"/>
        <v>3825</v>
      </c>
      <c r="Z15" s="3">
        <f t="shared" si="11"/>
        <v>8760.0548880000006</v>
      </c>
      <c r="AA15" s="3">
        <f>SUM(Z1:Z15)</f>
        <v>121807.17687840002</v>
      </c>
    </row>
    <row r="16" spans="1:27" ht="16.5" thickBot="1" x14ac:dyDescent="0.3">
      <c r="A16" s="9">
        <v>44726</v>
      </c>
      <c r="B16" s="39">
        <v>172</v>
      </c>
      <c r="C16" s="145">
        <v>19734</v>
      </c>
      <c r="D16" s="39">
        <f t="shared" si="1"/>
        <v>800</v>
      </c>
      <c r="E16" s="146">
        <v>31394842</v>
      </c>
      <c r="F16" s="39">
        <f t="shared" si="2"/>
        <v>20058</v>
      </c>
      <c r="G16" s="147">
        <v>376593</v>
      </c>
      <c r="H16" s="39">
        <f t="shared" si="3"/>
        <v>48920</v>
      </c>
      <c r="I16" s="148">
        <f t="shared" si="4"/>
        <v>68978</v>
      </c>
      <c r="J16" s="146">
        <v>9994022</v>
      </c>
      <c r="K16" s="39">
        <f t="shared" si="12"/>
        <v>10098</v>
      </c>
      <c r="L16" s="149">
        <v>189636</v>
      </c>
      <c r="M16" s="39">
        <f t="shared" si="5"/>
        <v>6451</v>
      </c>
      <c r="N16" s="146">
        <v>6747072</v>
      </c>
      <c r="O16" s="39">
        <f t="shared" si="13"/>
        <v>13402</v>
      </c>
      <c r="P16" s="149">
        <v>6822158</v>
      </c>
      <c r="Q16" s="39">
        <f t="shared" si="6"/>
        <v>11965</v>
      </c>
      <c r="R16" s="146">
        <v>21371520</v>
      </c>
      <c r="S16" s="39">
        <f t="shared" si="7"/>
        <v>9633</v>
      </c>
      <c r="T16" s="146">
        <v>0</v>
      </c>
      <c r="U16" s="150"/>
      <c r="V16" s="146">
        <v>9315744</v>
      </c>
      <c r="W16" s="39">
        <f t="shared" si="8"/>
        <v>10615</v>
      </c>
      <c r="X16" s="19">
        <f t="shared" si="9"/>
        <v>62164</v>
      </c>
      <c r="Y16" s="151">
        <f t="shared" si="10"/>
        <v>6814</v>
      </c>
      <c r="Z16" s="3">
        <f t="shared" si="11"/>
        <v>8586.8272256</v>
      </c>
      <c r="AA16" s="3">
        <f>SUM(Z1:Z16)</f>
        <v>130394.00410400002</v>
      </c>
    </row>
    <row r="17" spans="1:27" s="131" customFormat="1" ht="16.5" thickBot="1" x14ac:dyDescent="0.3">
      <c r="A17" s="9">
        <v>44727</v>
      </c>
      <c r="B17" s="39"/>
      <c r="C17" s="145"/>
      <c r="D17" s="39">
        <f t="shared" si="1"/>
        <v>0</v>
      </c>
      <c r="E17" s="146"/>
      <c r="F17" s="39" t="str">
        <f t="shared" si="2"/>
        <v>0</v>
      </c>
      <c r="G17" s="147"/>
      <c r="H17" s="39" t="str">
        <f t="shared" si="3"/>
        <v>0</v>
      </c>
      <c r="I17" s="152">
        <f t="shared" si="4"/>
        <v>0</v>
      </c>
      <c r="J17" s="146"/>
      <c r="K17" s="130">
        <f t="shared" si="12"/>
        <v>0</v>
      </c>
      <c r="L17" s="149"/>
      <c r="M17" s="130" t="str">
        <f t="shared" si="5"/>
        <v>0</v>
      </c>
      <c r="N17" s="146"/>
      <c r="O17" s="130">
        <f t="shared" si="13"/>
        <v>0</v>
      </c>
      <c r="P17" s="149"/>
      <c r="Q17" s="130" t="str">
        <f t="shared" si="6"/>
        <v>0</v>
      </c>
      <c r="R17" s="146"/>
      <c r="S17" s="130" t="str">
        <f t="shared" si="7"/>
        <v>0</v>
      </c>
      <c r="T17" s="153">
        <v>0</v>
      </c>
      <c r="U17" s="150"/>
      <c r="V17" s="146"/>
      <c r="W17" s="130" t="str">
        <f t="shared" si="8"/>
        <v>0</v>
      </c>
      <c r="X17" s="19">
        <f t="shared" si="9"/>
        <v>0</v>
      </c>
      <c r="Y17" s="154">
        <f t="shared" si="10"/>
        <v>0</v>
      </c>
      <c r="Z17" s="155">
        <f t="shared" si="11"/>
        <v>0</v>
      </c>
      <c r="AA17" s="3">
        <f>SUM(Z1:Z17)</f>
        <v>130394.00410400002</v>
      </c>
    </row>
    <row r="18" spans="1:27" s="131" customFormat="1" ht="16.5" thickBot="1" x14ac:dyDescent="0.3">
      <c r="A18" s="9">
        <v>44728</v>
      </c>
      <c r="B18" s="39"/>
      <c r="C18" s="145"/>
      <c r="D18" s="39">
        <f t="shared" si="1"/>
        <v>0</v>
      </c>
      <c r="E18" s="146"/>
      <c r="F18" s="39">
        <f t="shared" si="2"/>
        <v>0</v>
      </c>
      <c r="G18" s="147"/>
      <c r="H18" s="39">
        <f t="shared" si="3"/>
        <v>0</v>
      </c>
      <c r="I18" s="152">
        <f t="shared" si="4"/>
        <v>0</v>
      </c>
      <c r="J18" s="146"/>
      <c r="K18" s="130">
        <f t="shared" si="12"/>
        <v>0</v>
      </c>
      <c r="L18" s="149"/>
      <c r="M18" s="130">
        <f t="shared" si="5"/>
        <v>0</v>
      </c>
      <c r="N18" s="146"/>
      <c r="O18" s="130">
        <f t="shared" si="13"/>
        <v>0</v>
      </c>
      <c r="P18" s="149"/>
      <c r="Q18" s="130">
        <f t="shared" si="6"/>
        <v>0</v>
      </c>
      <c r="R18" s="146"/>
      <c r="S18" s="130">
        <f t="shared" si="7"/>
        <v>0</v>
      </c>
      <c r="T18" s="153">
        <v>0</v>
      </c>
      <c r="U18" s="150"/>
      <c r="V18" s="146"/>
      <c r="W18" s="130">
        <f t="shared" si="8"/>
        <v>0</v>
      </c>
      <c r="X18" s="19">
        <f t="shared" si="9"/>
        <v>0</v>
      </c>
      <c r="Y18" s="154">
        <f t="shared" si="10"/>
        <v>0</v>
      </c>
      <c r="Z18" s="155">
        <f t="shared" si="11"/>
        <v>0</v>
      </c>
      <c r="AA18" s="3">
        <f>SUM(Z1:Z18)</f>
        <v>130394.00410400002</v>
      </c>
    </row>
    <row r="19" spans="1:27" s="131" customFormat="1" ht="16.5" thickBot="1" x14ac:dyDescent="0.3">
      <c r="A19" s="9">
        <v>44729</v>
      </c>
      <c r="B19" s="39"/>
      <c r="C19" s="145"/>
      <c r="D19" s="39">
        <f t="shared" si="1"/>
        <v>0</v>
      </c>
      <c r="E19" s="146"/>
      <c r="F19" s="39">
        <f t="shared" si="2"/>
        <v>0</v>
      </c>
      <c r="G19" s="147"/>
      <c r="H19" s="39">
        <f t="shared" si="3"/>
        <v>0</v>
      </c>
      <c r="I19" s="152">
        <f t="shared" si="4"/>
        <v>0</v>
      </c>
      <c r="J19" s="146"/>
      <c r="K19" s="130">
        <f t="shared" si="12"/>
        <v>0</v>
      </c>
      <c r="L19" s="149"/>
      <c r="M19" s="130">
        <f t="shared" si="5"/>
        <v>0</v>
      </c>
      <c r="N19" s="146"/>
      <c r="O19" s="130">
        <f t="shared" si="13"/>
        <v>0</v>
      </c>
      <c r="P19" s="149"/>
      <c r="Q19" s="130">
        <f t="shared" si="6"/>
        <v>0</v>
      </c>
      <c r="R19" s="146"/>
      <c r="S19" s="130">
        <f t="shared" si="7"/>
        <v>0</v>
      </c>
      <c r="T19" s="153">
        <v>0</v>
      </c>
      <c r="U19" s="150"/>
      <c r="V19" s="146"/>
      <c r="W19" s="130">
        <f t="shared" si="8"/>
        <v>0</v>
      </c>
      <c r="X19" s="19">
        <f t="shared" si="9"/>
        <v>0</v>
      </c>
      <c r="Y19" s="154">
        <f t="shared" si="10"/>
        <v>0</v>
      </c>
      <c r="Z19" s="155">
        <f t="shared" si="11"/>
        <v>0</v>
      </c>
      <c r="AA19" s="3">
        <f>SUM(Z1:Z19)</f>
        <v>130394.00410400002</v>
      </c>
    </row>
    <row r="20" spans="1:27" s="131" customFormat="1" ht="16.5" thickBot="1" x14ac:dyDescent="0.3">
      <c r="A20" s="9">
        <v>44730</v>
      </c>
      <c r="B20" s="39"/>
      <c r="C20" s="145"/>
      <c r="D20" s="39">
        <f t="shared" si="1"/>
        <v>0</v>
      </c>
      <c r="E20" s="146"/>
      <c r="F20" s="39">
        <f t="shared" si="2"/>
        <v>0</v>
      </c>
      <c r="G20" s="147"/>
      <c r="H20" s="39">
        <f t="shared" si="3"/>
        <v>0</v>
      </c>
      <c r="I20" s="152">
        <f t="shared" si="4"/>
        <v>0</v>
      </c>
      <c r="J20" s="146"/>
      <c r="K20" s="130">
        <f t="shared" si="12"/>
        <v>0</v>
      </c>
      <c r="L20" s="149"/>
      <c r="M20" s="130">
        <f t="shared" si="5"/>
        <v>0</v>
      </c>
      <c r="N20" s="146"/>
      <c r="O20" s="130">
        <f t="shared" si="13"/>
        <v>0</v>
      </c>
      <c r="P20" s="149"/>
      <c r="Q20" s="130">
        <f t="shared" si="6"/>
        <v>0</v>
      </c>
      <c r="R20" s="146"/>
      <c r="S20" s="130">
        <f t="shared" si="7"/>
        <v>0</v>
      </c>
      <c r="T20" s="153">
        <v>0</v>
      </c>
      <c r="U20" s="150"/>
      <c r="V20" s="146"/>
      <c r="W20" s="130">
        <f t="shared" si="8"/>
        <v>0</v>
      </c>
      <c r="X20" s="19">
        <f t="shared" si="9"/>
        <v>0</v>
      </c>
      <c r="Y20" s="154">
        <f t="shared" si="10"/>
        <v>0</v>
      </c>
      <c r="Z20" s="155">
        <f t="shared" si="11"/>
        <v>0</v>
      </c>
      <c r="AA20" s="3">
        <f>SUM(Z1:Z20)</f>
        <v>130394.00410400002</v>
      </c>
    </row>
    <row r="21" spans="1:27" s="131" customFormat="1" ht="16.5" thickBot="1" x14ac:dyDescent="0.3">
      <c r="A21" s="9">
        <v>44731</v>
      </c>
      <c r="B21" s="39"/>
      <c r="C21" s="145"/>
      <c r="D21" s="39">
        <f t="shared" si="1"/>
        <v>0</v>
      </c>
      <c r="E21" s="146"/>
      <c r="F21" s="39">
        <f t="shared" si="2"/>
        <v>0</v>
      </c>
      <c r="G21" s="147"/>
      <c r="H21" s="39">
        <f t="shared" si="3"/>
        <v>0</v>
      </c>
      <c r="I21" s="152">
        <f t="shared" si="4"/>
        <v>0</v>
      </c>
      <c r="J21" s="146"/>
      <c r="K21" s="130">
        <f t="shared" si="12"/>
        <v>0</v>
      </c>
      <c r="L21" s="149"/>
      <c r="M21" s="130">
        <f t="shared" si="5"/>
        <v>0</v>
      </c>
      <c r="N21" s="146"/>
      <c r="O21" s="130">
        <f t="shared" si="13"/>
        <v>0</v>
      </c>
      <c r="P21" s="149"/>
      <c r="Q21" s="130">
        <f t="shared" si="6"/>
        <v>0</v>
      </c>
      <c r="R21" s="146"/>
      <c r="S21" s="130">
        <f t="shared" si="7"/>
        <v>0</v>
      </c>
      <c r="T21" s="153">
        <v>0</v>
      </c>
      <c r="U21" s="150"/>
      <c r="V21" s="146"/>
      <c r="W21" s="130">
        <f t="shared" si="8"/>
        <v>0</v>
      </c>
      <c r="X21" s="19">
        <f t="shared" si="9"/>
        <v>0</v>
      </c>
      <c r="Y21" s="154">
        <f t="shared" si="10"/>
        <v>0</v>
      </c>
      <c r="Z21" s="155">
        <f t="shared" si="11"/>
        <v>0</v>
      </c>
      <c r="AA21" s="3">
        <f>SUM(Z1:Z21)</f>
        <v>130394.00410400002</v>
      </c>
    </row>
    <row r="22" spans="1:27" ht="16.5" thickBot="1" x14ac:dyDescent="0.3">
      <c r="A22" s="9">
        <v>44732</v>
      </c>
      <c r="B22" s="39"/>
      <c r="C22" s="145"/>
      <c r="D22" s="39">
        <f t="shared" si="1"/>
        <v>0</v>
      </c>
      <c r="E22" s="146"/>
      <c r="F22" s="39">
        <f t="shared" si="2"/>
        <v>0</v>
      </c>
      <c r="G22" s="147"/>
      <c r="H22" s="39">
        <f t="shared" si="3"/>
        <v>0</v>
      </c>
      <c r="I22" s="148">
        <f t="shared" si="4"/>
        <v>0</v>
      </c>
      <c r="J22" s="146"/>
      <c r="K22" s="39">
        <f t="shared" si="12"/>
        <v>0</v>
      </c>
      <c r="L22" s="149"/>
      <c r="M22" s="39">
        <f t="shared" si="5"/>
        <v>0</v>
      </c>
      <c r="N22" s="146"/>
      <c r="O22" s="39">
        <f t="shared" si="13"/>
        <v>0</v>
      </c>
      <c r="P22" s="149"/>
      <c r="Q22" s="39">
        <f t="shared" si="6"/>
        <v>0</v>
      </c>
      <c r="R22" s="146"/>
      <c r="S22" s="39">
        <f t="shared" si="7"/>
        <v>0</v>
      </c>
      <c r="T22" s="146">
        <v>0</v>
      </c>
      <c r="U22" s="150"/>
      <c r="V22" s="146"/>
      <c r="W22" s="39">
        <f t="shared" si="8"/>
        <v>0</v>
      </c>
      <c r="X22" s="19">
        <f t="shared" si="9"/>
        <v>0</v>
      </c>
      <c r="Y22" s="151">
        <f t="shared" si="10"/>
        <v>0</v>
      </c>
      <c r="Z22" s="3">
        <f t="shared" si="11"/>
        <v>0</v>
      </c>
      <c r="AA22" s="3">
        <f>SUM(Z1:Z22)</f>
        <v>130394.00410400002</v>
      </c>
    </row>
    <row r="23" spans="1:27" ht="16.5" thickBot="1" x14ac:dyDescent="0.3">
      <c r="A23" s="9">
        <v>44733</v>
      </c>
      <c r="B23" s="39"/>
      <c r="C23" s="145"/>
      <c r="D23" s="39">
        <f t="shared" si="1"/>
        <v>0</v>
      </c>
      <c r="E23" s="146"/>
      <c r="F23" s="39">
        <f t="shared" si="2"/>
        <v>0</v>
      </c>
      <c r="G23" s="147"/>
      <c r="H23" s="39">
        <f t="shared" si="3"/>
        <v>0</v>
      </c>
      <c r="I23" s="148">
        <f t="shared" si="4"/>
        <v>0</v>
      </c>
      <c r="J23" s="146"/>
      <c r="K23" s="39">
        <f t="shared" si="12"/>
        <v>0</v>
      </c>
      <c r="L23" s="149"/>
      <c r="M23" s="39">
        <f t="shared" si="5"/>
        <v>0</v>
      </c>
      <c r="N23" s="146"/>
      <c r="O23" s="39">
        <f t="shared" si="13"/>
        <v>0</v>
      </c>
      <c r="P23" s="149"/>
      <c r="Q23" s="39">
        <f t="shared" si="6"/>
        <v>0</v>
      </c>
      <c r="R23" s="146"/>
      <c r="S23" s="39">
        <f t="shared" si="7"/>
        <v>0</v>
      </c>
      <c r="T23" s="146">
        <v>0</v>
      </c>
      <c r="U23" s="150"/>
      <c r="V23" s="146"/>
      <c r="W23" s="39">
        <f t="shared" si="8"/>
        <v>0</v>
      </c>
      <c r="X23" s="19">
        <f t="shared" si="9"/>
        <v>0</v>
      </c>
      <c r="Y23" s="151">
        <f t="shared" si="10"/>
        <v>0</v>
      </c>
      <c r="Z23" s="3">
        <f t="shared" si="11"/>
        <v>0</v>
      </c>
      <c r="AA23" s="3">
        <f>SUM(Z1:Z23)</f>
        <v>130394.00410400002</v>
      </c>
    </row>
    <row r="24" spans="1:27" ht="16.5" thickBot="1" x14ac:dyDescent="0.3">
      <c r="A24" s="9">
        <v>44734</v>
      </c>
      <c r="B24" s="39"/>
      <c r="C24" s="145"/>
      <c r="D24" s="39">
        <f t="shared" si="1"/>
        <v>0</v>
      </c>
      <c r="E24" s="146"/>
      <c r="F24" s="39">
        <f t="shared" si="2"/>
        <v>0</v>
      </c>
      <c r="G24" s="147"/>
      <c r="H24" s="39">
        <f t="shared" si="3"/>
        <v>0</v>
      </c>
      <c r="I24" s="148">
        <f t="shared" si="4"/>
        <v>0</v>
      </c>
      <c r="J24" s="146"/>
      <c r="K24" s="39">
        <f t="shared" si="12"/>
        <v>0</v>
      </c>
      <c r="L24" s="149"/>
      <c r="M24" s="39">
        <f t="shared" si="5"/>
        <v>0</v>
      </c>
      <c r="N24" s="146"/>
      <c r="O24" s="39">
        <f t="shared" si="13"/>
        <v>0</v>
      </c>
      <c r="P24" s="149"/>
      <c r="Q24" s="39">
        <f t="shared" si="6"/>
        <v>0</v>
      </c>
      <c r="R24" s="146"/>
      <c r="S24" s="39">
        <f t="shared" si="7"/>
        <v>0</v>
      </c>
      <c r="T24" s="146">
        <v>0</v>
      </c>
      <c r="U24" s="150"/>
      <c r="V24" s="146"/>
      <c r="W24" s="39">
        <f t="shared" si="8"/>
        <v>0</v>
      </c>
      <c r="X24" s="19">
        <f t="shared" si="9"/>
        <v>0</v>
      </c>
      <c r="Y24" s="151">
        <f t="shared" si="10"/>
        <v>0</v>
      </c>
      <c r="Z24" s="3">
        <f t="shared" si="11"/>
        <v>0</v>
      </c>
      <c r="AA24" s="3">
        <f>SUM(Z1:Z24)</f>
        <v>130394.00410400002</v>
      </c>
    </row>
    <row r="25" spans="1:27" ht="16.5" thickBot="1" x14ac:dyDescent="0.3">
      <c r="A25" s="9">
        <v>44735</v>
      </c>
      <c r="B25" s="39"/>
      <c r="C25" s="145"/>
      <c r="D25" s="39">
        <f t="shared" si="1"/>
        <v>0</v>
      </c>
      <c r="E25" s="146"/>
      <c r="F25" s="39">
        <f t="shared" si="2"/>
        <v>0</v>
      </c>
      <c r="G25" s="147"/>
      <c r="H25" s="39">
        <f t="shared" si="3"/>
        <v>0</v>
      </c>
      <c r="I25" s="148">
        <f t="shared" si="4"/>
        <v>0</v>
      </c>
      <c r="J25" s="146"/>
      <c r="K25" s="39">
        <f t="shared" si="12"/>
        <v>0</v>
      </c>
      <c r="L25" s="149"/>
      <c r="M25" s="39">
        <f t="shared" si="5"/>
        <v>0</v>
      </c>
      <c r="N25" s="146"/>
      <c r="O25" s="39">
        <f t="shared" si="13"/>
        <v>0</v>
      </c>
      <c r="P25" s="149"/>
      <c r="Q25" s="39">
        <f t="shared" si="6"/>
        <v>0</v>
      </c>
      <c r="R25" s="146"/>
      <c r="S25" s="39">
        <f t="shared" si="7"/>
        <v>0</v>
      </c>
      <c r="T25" s="146">
        <v>0</v>
      </c>
      <c r="U25" s="150"/>
      <c r="V25" s="146"/>
      <c r="W25" s="39">
        <f t="shared" si="8"/>
        <v>0</v>
      </c>
      <c r="X25" s="19">
        <f t="shared" si="9"/>
        <v>0</v>
      </c>
      <c r="Y25" s="151">
        <f t="shared" si="10"/>
        <v>0</v>
      </c>
      <c r="Z25" s="3">
        <f t="shared" si="11"/>
        <v>0</v>
      </c>
      <c r="AA25" s="3">
        <f>SUM(Z1:Z25)</f>
        <v>130394.00410400002</v>
      </c>
    </row>
    <row r="26" spans="1:27" ht="16.5" thickBot="1" x14ac:dyDescent="0.3">
      <c r="A26" s="9">
        <v>44736</v>
      </c>
      <c r="B26" s="39"/>
      <c r="C26" s="145"/>
      <c r="D26" s="39">
        <f t="shared" si="1"/>
        <v>0</v>
      </c>
      <c r="E26" s="146"/>
      <c r="F26" s="39">
        <f t="shared" si="2"/>
        <v>0</v>
      </c>
      <c r="G26" s="147"/>
      <c r="H26" s="39">
        <f t="shared" si="3"/>
        <v>0</v>
      </c>
      <c r="I26" s="148">
        <f t="shared" si="4"/>
        <v>0</v>
      </c>
      <c r="J26" s="146"/>
      <c r="K26" s="39">
        <f t="shared" si="12"/>
        <v>0</v>
      </c>
      <c r="L26" s="149"/>
      <c r="M26" s="39">
        <f t="shared" si="5"/>
        <v>0</v>
      </c>
      <c r="N26" s="146"/>
      <c r="O26" s="39">
        <f t="shared" si="13"/>
        <v>0</v>
      </c>
      <c r="P26" s="149"/>
      <c r="Q26" s="39">
        <f t="shared" si="6"/>
        <v>0</v>
      </c>
      <c r="R26" s="146"/>
      <c r="S26" s="39">
        <f t="shared" si="7"/>
        <v>0</v>
      </c>
      <c r="T26" s="146">
        <v>0</v>
      </c>
      <c r="U26" s="150"/>
      <c r="V26" s="146"/>
      <c r="W26" s="39">
        <f t="shared" si="8"/>
        <v>0</v>
      </c>
      <c r="X26" s="19">
        <f t="shared" si="9"/>
        <v>0</v>
      </c>
      <c r="Y26" s="151">
        <f t="shared" si="10"/>
        <v>0</v>
      </c>
      <c r="Z26" s="3">
        <f t="shared" si="11"/>
        <v>0</v>
      </c>
      <c r="AA26" s="3">
        <f>SUM(Z1:Z26)</f>
        <v>130394.00410400002</v>
      </c>
    </row>
    <row r="27" spans="1:27" ht="16.5" thickBot="1" x14ac:dyDescent="0.3">
      <c r="A27" s="9">
        <v>44737</v>
      </c>
      <c r="B27" s="39"/>
      <c r="C27" s="145"/>
      <c r="D27" s="39">
        <f t="shared" si="1"/>
        <v>0</v>
      </c>
      <c r="E27" s="146"/>
      <c r="F27" s="39">
        <f t="shared" si="2"/>
        <v>0</v>
      </c>
      <c r="G27" s="147"/>
      <c r="H27" s="39">
        <f t="shared" si="3"/>
        <v>0</v>
      </c>
      <c r="I27" s="148">
        <f t="shared" si="4"/>
        <v>0</v>
      </c>
      <c r="J27" s="146"/>
      <c r="K27" s="39">
        <f t="shared" si="12"/>
        <v>0</v>
      </c>
      <c r="L27" s="149"/>
      <c r="M27" s="39">
        <f t="shared" si="5"/>
        <v>0</v>
      </c>
      <c r="N27" s="146"/>
      <c r="O27" s="39">
        <f t="shared" si="13"/>
        <v>0</v>
      </c>
      <c r="P27" s="149"/>
      <c r="Q27" s="39">
        <f t="shared" si="6"/>
        <v>0</v>
      </c>
      <c r="R27" s="146"/>
      <c r="S27" s="39">
        <f t="shared" si="7"/>
        <v>0</v>
      </c>
      <c r="T27" s="146">
        <v>0</v>
      </c>
      <c r="U27" s="150"/>
      <c r="V27" s="146"/>
      <c r="W27" s="39">
        <f t="shared" si="8"/>
        <v>0</v>
      </c>
      <c r="X27" s="19">
        <f t="shared" si="9"/>
        <v>0</v>
      </c>
      <c r="Y27" s="151">
        <f t="shared" si="10"/>
        <v>0</v>
      </c>
      <c r="Z27" s="3">
        <f t="shared" si="11"/>
        <v>0</v>
      </c>
      <c r="AA27" s="3">
        <f>SUM(Z1:Z27)</f>
        <v>130394.00410400002</v>
      </c>
    </row>
    <row r="28" spans="1:27" ht="16.5" thickBot="1" x14ac:dyDescent="0.3">
      <c r="A28" s="9">
        <v>44738</v>
      </c>
      <c r="B28" s="39"/>
      <c r="C28" s="145"/>
      <c r="D28" s="39">
        <f t="shared" si="1"/>
        <v>0</v>
      </c>
      <c r="E28" s="146"/>
      <c r="F28" s="39">
        <f t="shared" si="2"/>
        <v>0</v>
      </c>
      <c r="G28" s="147"/>
      <c r="H28" s="39">
        <f t="shared" si="3"/>
        <v>0</v>
      </c>
      <c r="I28" s="148">
        <f t="shared" si="4"/>
        <v>0</v>
      </c>
      <c r="J28" s="146"/>
      <c r="K28" s="39">
        <f t="shared" si="12"/>
        <v>0</v>
      </c>
      <c r="L28" s="149"/>
      <c r="M28" s="39">
        <f t="shared" si="5"/>
        <v>0</v>
      </c>
      <c r="N28" s="146"/>
      <c r="O28" s="39">
        <f t="shared" si="13"/>
        <v>0</v>
      </c>
      <c r="P28" s="149"/>
      <c r="Q28" s="39">
        <f t="shared" si="6"/>
        <v>0</v>
      </c>
      <c r="R28" s="146"/>
      <c r="S28" s="39">
        <f t="shared" si="7"/>
        <v>0</v>
      </c>
      <c r="T28" s="146">
        <v>0</v>
      </c>
      <c r="U28" s="150"/>
      <c r="V28" s="146"/>
      <c r="W28" s="39">
        <f t="shared" si="8"/>
        <v>0</v>
      </c>
      <c r="X28" s="19">
        <f t="shared" si="9"/>
        <v>0</v>
      </c>
      <c r="Y28" s="151">
        <f t="shared" si="10"/>
        <v>0</v>
      </c>
      <c r="Z28" s="3">
        <f t="shared" si="11"/>
        <v>0</v>
      </c>
      <c r="AA28" s="3">
        <f>SUM(Z1:Z28)</f>
        <v>130394.00410400002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>
        <f t="shared" si="2"/>
        <v>0</v>
      </c>
      <c r="G29" s="147"/>
      <c r="H29" s="39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>
        <f t="shared" si="5"/>
        <v>0</v>
      </c>
      <c r="N29" s="146"/>
      <c r="O29" s="39">
        <f t="shared" si="13"/>
        <v>0</v>
      </c>
      <c r="P29" s="149"/>
      <c r="Q29" s="39">
        <f t="shared" si="6"/>
        <v>0</v>
      </c>
      <c r="R29" s="146"/>
      <c r="S29" s="39">
        <f t="shared" si="7"/>
        <v>0</v>
      </c>
      <c r="T29" s="146">
        <v>0</v>
      </c>
      <c r="U29" s="150"/>
      <c r="V29" s="146"/>
      <c r="W29" s="39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130394.00410400002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130394.00410400002</v>
      </c>
    </row>
    <row r="31" spans="1:27" ht="16.5" thickBot="1" x14ac:dyDescent="0.3">
      <c r="A31" s="9">
        <v>44741</v>
      </c>
      <c r="B31" s="39"/>
      <c r="C31" s="145"/>
      <c r="D31" s="39">
        <f t="shared" ref="D31:D32" si="26">IF((C31-C30)&lt;0,"0",(C31-C30))*160</f>
        <v>0</v>
      </c>
      <c r="E31" s="146"/>
      <c r="F31" s="39">
        <f t="shared" ref="F31:F32" si="27">IF((E31-E30)&lt;0,"0",(E31-E30))</f>
        <v>0</v>
      </c>
      <c r="G31" s="147"/>
      <c r="H31" s="39">
        <f t="shared" si="3"/>
        <v>0</v>
      </c>
      <c r="I31" s="148">
        <f t="shared" ref="I31:I32" si="28">F31+H31</f>
        <v>0</v>
      </c>
      <c r="J31" s="146"/>
      <c r="K31" s="39">
        <f t="shared" ref="K31:K32" si="29">(IF((J31-J30)&lt;0,"0",(J31-J30)))*2</f>
        <v>0</v>
      </c>
      <c r="L31" s="149"/>
      <c r="M31" s="39">
        <f t="shared" ref="M31:M32" si="30">IF((L31-L30)&lt;0,"0",(L31-L30))</f>
        <v>0</v>
      </c>
      <c r="N31" s="146"/>
      <c r="O31" s="39">
        <f t="shared" ref="O31:O32" si="31">(IF((N31-N30)&lt;0,"0",(N31-N30)))*2</f>
        <v>0</v>
      </c>
      <c r="P31" s="149"/>
      <c r="Q31" s="39">
        <f t="shared" ref="Q31:Q32" si="32">IF((P31-P30)&lt;0,"0",(P31-P30))</f>
        <v>0</v>
      </c>
      <c r="R31" s="146"/>
      <c r="S31" s="39">
        <f t="shared" ref="S31:S32" si="33">IF((R31-R30)&lt;0,"0",(R31-R30))</f>
        <v>0</v>
      </c>
      <c r="T31" s="146">
        <v>0</v>
      </c>
      <c r="U31" s="150"/>
      <c r="V31" s="146"/>
      <c r="W31" s="39">
        <f t="shared" ref="W31:W32" si="34">IF((V31-V30)&lt;0,"0",(V31-V30))</f>
        <v>0</v>
      </c>
      <c r="X31" s="19">
        <f t="shared" ref="X31:X32" si="35">K31+M31+O31+Q31+S31+U31+W31</f>
        <v>0</v>
      </c>
      <c r="Y31" s="151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130394.00410400002</v>
      </c>
    </row>
    <row r="32" spans="1:27" ht="16.5" thickBot="1" x14ac:dyDescent="0.3">
      <c r="A32" s="9">
        <v>44742</v>
      </c>
      <c r="B32" s="39"/>
      <c r="C32" s="145"/>
      <c r="D32" s="39">
        <f t="shared" si="26"/>
        <v>0</v>
      </c>
      <c r="E32" s="146"/>
      <c r="F32" s="39">
        <f t="shared" si="27"/>
        <v>0</v>
      </c>
      <c r="G32" s="147"/>
      <c r="H32" s="39">
        <f t="shared" si="3"/>
        <v>0</v>
      </c>
      <c r="I32" s="148">
        <f t="shared" si="28"/>
        <v>0</v>
      </c>
      <c r="J32" s="146"/>
      <c r="K32" s="39">
        <f t="shared" si="29"/>
        <v>0</v>
      </c>
      <c r="L32" s="149"/>
      <c r="M32" s="39">
        <f t="shared" si="30"/>
        <v>0</v>
      </c>
      <c r="N32" s="146"/>
      <c r="O32" s="39">
        <f t="shared" si="31"/>
        <v>0</v>
      </c>
      <c r="P32" s="149"/>
      <c r="Q32" s="39">
        <f t="shared" si="32"/>
        <v>0</v>
      </c>
      <c r="R32" s="146"/>
      <c r="S32" s="39">
        <f t="shared" si="33"/>
        <v>0</v>
      </c>
      <c r="T32" s="146">
        <v>0</v>
      </c>
      <c r="U32" s="150"/>
      <c r="V32" s="146"/>
      <c r="W32" s="39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130394.00410400002</v>
      </c>
    </row>
    <row r="33" spans="1:27" ht="16.5" thickBot="1" x14ac:dyDescent="0.3">
      <c r="A33" s="137" t="s">
        <v>23</v>
      </c>
      <c r="B33" s="137">
        <f>SUM(B3:B32)</f>
        <v>2965</v>
      </c>
      <c r="C33" s="137">
        <v>0</v>
      </c>
      <c r="D33" s="137">
        <f>SUM(D3:D32)</f>
        <v>9280</v>
      </c>
      <c r="E33" s="56">
        <v>0</v>
      </c>
      <c r="F33" s="56">
        <f>SUM(F3:F32)</f>
        <v>299264</v>
      </c>
      <c r="G33" s="56">
        <v>0</v>
      </c>
      <c r="H33" s="56">
        <f>SUM(H3:H32)</f>
        <v>735771</v>
      </c>
      <c r="I33" s="56">
        <f>SUM(I3:I32)</f>
        <v>1035035</v>
      </c>
      <c r="J33" s="56">
        <v>0</v>
      </c>
      <c r="K33" s="56">
        <f>SUM(K2:K32)</f>
        <v>146150</v>
      </c>
      <c r="L33" s="56">
        <v>0</v>
      </c>
      <c r="M33" s="56">
        <f>SUM(M3:M32)</f>
        <v>94904</v>
      </c>
      <c r="N33" s="56">
        <v>0</v>
      </c>
      <c r="O33" s="56">
        <f>SUM(O3:O32)</f>
        <v>201632</v>
      </c>
      <c r="P33" s="56">
        <v>0</v>
      </c>
      <c r="Q33" s="56">
        <f>SUM(Q3:Q32)</f>
        <v>185902</v>
      </c>
      <c r="R33" s="56">
        <v>0</v>
      </c>
      <c r="S33" s="56">
        <f>SUM(S3:S32)</f>
        <v>149287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156798</v>
      </c>
      <c r="X33" s="56">
        <f>SUM(X3:X32)</f>
        <v>934673</v>
      </c>
      <c r="Y33" s="56">
        <f>SUM(Y3:Y32)</f>
        <v>100362</v>
      </c>
      <c r="Z33" s="56">
        <f>SUM(Z3:Z32)</f>
        <v>130394.00410400002</v>
      </c>
      <c r="AA33" s="56">
        <f>SUM(AA3:AA32)</f>
        <v>3071252.078710401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J16" sqref="J16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5" thickBot="1" x14ac:dyDescent="0.3">
      <c r="A14" s="9">
        <v>44724</v>
      </c>
      <c r="B14" s="3">
        <v>451479</v>
      </c>
      <c r="C14" s="39">
        <f t="shared" si="5"/>
        <v>1050</v>
      </c>
      <c r="D14" s="3">
        <v>9396</v>
      </c>
      <c r="E14" s="39">
        <f t="shared" si="0"/>
        <v>450</v>
      </c>
      <c r="F14" s="3">
        <v>9558300</v>
      </c>
      <c r="G14" s="39">
        <f t="shared" si="3"/>
        <v>488.7</v>
      </c>
      <c r="H14" s="3">
        <v>796210</v>
      </c>
      <c r="I14" s="44">
        <f t="shared" si="4"/>
        <v>6.4530000000000003</v>
      </c>
      <c r="J14" s="19">
        <f t="shared" si="1"/>
        <v>1995.153</v>
      </c>
      <c r="K14" s="20">
        <f t="shared" si="2"/>
        <v>11691.596580000001</v>
      </c>
    </row>
    <row r="15" spans="1:14" ht="16.5" thickBot="1" x14ac:dyDescent="0.3">
      <c r="A15" s="9">
        <v>44725</v>
      </c>
      <c r="B15" s="3">
        <v>451569</v>
      </c>
      <c r="C15" s="39">
        <f t="shared" si="5"/>
        <v>900</v>
      </c>
      <c r="D15" s="3">
        <v>9441</v>
      </c>
      <c r="E15" s="39">
        <f t="shared" si="0"/>
        <v>450</v>
      </c>
      <c r="F15" s="3">
        <v>9577200</v>
      </c>
      <c r="G15" s="39">
        <f t="shared" si="3"/>
        <v>510.3</v>
      </c>
      <c r="H15" s="3">
        <v>796421</v>
      </c>
      <c r="I15" s="44">
        <f t="shared" si="4"/>
        <v>5.6970000000000001</v>
      </c>
      <c r="J15" s="19">
        <f t="shared" si="1"/>
        <v>1865.9969999999998</v>
      </c>
      <c r="K15" s="20">
        <f t="shared" si="2"/>
        <v>10934.74242</v>
      </c>
    </row>
    <row r="16" spans="1:14" ht="16.5" thickBot="1" x14ac:dyDescent="0.3">
      <c r="A16" s="9">
        <v>44726</v>
      </c>
      <c r="B16" s="3">
        <v>451672</v>
      </c>
      <c r="C16" s="39">
        <f t="shared" si="5"/>
        <v>1030</v>
      </c>
      <c r="D16" s="3">
        <v>9482</v>
      </c>
      <c r="E16" s="39">
        <f t="shared" si="0"/>
        <v>410</v>
      </c>
      <c r="F16" s="3">
        <v>9595500</v>
      </c>
      <c r="G16" s="39">
        <f t="shared" si="3"/>
        <v>494.1</v>
      </c>
      <c r="H16" s="3">
        <v>796608</v>
      </c>
      <c r="I16" s="44">
        <f t="shared" si="4"/>
        <v>5.0490000000000004</v>
      </c>
      <c r="J16" s="19">
        <f t="shared" si="1"/>
        <v>1939.1489999999999</v>
      </c>
      <c r="K16" s="20">
        <f t="shared" si="2"/>
        <v>11363.413140000001</v>
      </c>
    </row>
    <row r="17" spans="1:25" ht="16.5" thickBot="1" x14ac:dyDescent="0.3">
      <c r="A17" s="9">
        <v>44727</v>
      </c>
      <c r="B17" s="3"/>
      <c r="C17" s="39">
        <f t="shared" si="5"/>
        <v>0</v>
      </c>
      <c r="D17" s="3"/>
      <c r="E17" s="39">
        <f t="shared" si="0"/>
        <v>0</v>
      </c>
      <c r="F17" s="3"/>
      <c r="G17" s="39">
        <f t="shared" si="3"/>
        <v>0</v>
      </c>
      <c r="H17" s="3"/>
      <c r="I17" s="44">
        <f t="shared" si="4"/>
        <v>0</v>
      </c>
      <c r="J17" s="19">
        <f t="shared" si="1"/>
        <v>0</v>
      </c>
      <c r="K17" s="20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/>
      <c r="C18" s="39">
        <f t="shared" si="5"/>
        <v>0</v>
      </c>
      <c r="D18" s="3"/>
      <c r="E18" s="39">
        <f t="shared" si="0"/>
        <v>0</v>
      </c>
      <c r="F18" s="3"/>
      <c r="G18" s="39">
        <f t="shared" si="3"/>
        <v>0</v>
      </c>
      <c r="H18" s="3"/>
      <c r="I18" s="44">
        <f t="shared" si="4"/>
        <v>0</v>
      </c>
      <c r="J18" s="19">
        <f t="shared" si="1"/>
        <v>0</v>
      </c>
      <c r="K18" s="20">
        <f t="shared" si="2"/>
        <v>0</v>
      </c>
      <c r="Q18" t="s">
        <v>43</v>
      </c>
    </row>
    <row r="19" spans="1:25" ht="16.5" thickBot="1" x14ac:dyDescent="0.3">
      <c r="A19" s="9">
        <v>44729</v>
      </c>
      <c r="B19" s="3"/>
      <c r="C19" s="39">
        <f t="shared" si="5"/>
        <v>0</v>
      </c>
      <c r="D19" s="3"/>
      <c r="E19" s="39">
        <f t="shared" ref="E19:E32" si="6">(IF((D19-D18)&lt;0,"0",(D19-D18)))*10</f>
        <v>0</v>
      </c>
      <c r="F19" s="3"/>
      <c r="G19" s="39">
        <f t="shared" si="3"/>
        <v>0</v>
      </c>
      <c r="H19" s="3"/>
      <c r="I19" s="44">
        <f t="shared" si="4"/>
        <v>0</v>
      </c>
      <c r="J19" s="19">
        <f t="shared" si="1"/>
        <v>0</v>
      </c>
      <c r="K19" s="20">
        <f t="shared" si="2"/>
        <v>0</v>
      </c>
      <c r="Q19" t="s">
        <v>12</v>
      </c>
    </row>
    <row r="20" spans="1:25" ht="16.5" thickBot="1" x14ac:dyDescent="0.3">
      <c r="A20" s="9">
        <v>44730</v>
      </c>
      <c r="B20" s="3"/>
      <c r="C20" s="39">
        <f t="shared" si="5"/>
        <v>0</v>
      </c>
      <c r="D20" s="3"/>
      <c r="E20" s="39">
        <f t="shared" si="6"/>
        <v>0</v>
      </c>
      <c r="F20" s="3"/>
      <c r="G20" s="39">
        <f t="shared" si="3"/>
        <v>0</v>
      </c>
      <c r="H20" s="3"/>
      <c r="I20" s="44">
        <f t="shared" si="4"/>
        <v>0</v>
      </c>
      <c r="J20" s="19">
        <f t="shared" si="1"/>
        <v>0</v>
      </c>
      <c r="K20" s="20">
        <f t="shared" si="2"/>
        <v>0</v>
      </c>
    </row>
    <row r="21" spans="1:25" ht="16.5" thickBot="1" x14ac:dyDescent="0.3">
      <c r="A21" s="9">
        <v>44731</v>
      </c>
      <c r="B21" s="3"/>
      <c r="C21" s="39">
        <f t="shared" si="5"/>
        <v>0</v>
      </c>
      <c r="D21" s="3"/>
      <c r="E21" s="39">
        <f t="shared" si="6"/>
        <v>0</v>
      </c>
      <c r="F21" s="3"/>
      <c r="G21" s="39">
        <f t="shared" si="3"/>
        <v>0</v>
      </c>
      <c r="H21" s="3"/>
      <c r="I21" s="44">
        <f t="shared" si="4"/>
        <v>0</v>
      </c>
      <c r="J21" s="19">
        <f t="shared" si="1"/>
        <v>0</v>
      </c>
      <c r="K21" s="20">
        <f t="shared" si="2"/>
        <v>0</v>
      </c>
    </row>
    <row r="22" spans="1:25" ht="16.5" thickBot="1" x14ac:dyDescent="0.3">
      <c r="A22" s="9">
        <v>44732</v>
      </c>
      <c r="B22" s="3"/>
      <c r="C22" s="39">
        <f t="shared" si="5"/>
        <v>0</v>
      </c>
      <c r="D22" s="3"/>
      <c r="E22" s="39">
        <f t="shared" si="6"/>
        <v>0</v>
      </c>
      <c r="F22" s="3"/>
      <c r="G22" s="39">
        <f t="shared" si="3"/>
        <v>0</v>
      </c>
      <c r="H22" s="3"/>
      <c r="I22" s="44">
        <f t="shared" si="4"/>
        <v>0</v>
      </c>
      <c r="J22" s="19">
        <f t="shared" si="1"/>
        <v>0</v>
      </c>
      <c r="K22" s="20">
        <f t="shared" si="2"/>
        <v>0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/>
      <c r="C23" s="39">
        <f t="shared" si="5"/>
        <v>0</v>
      </c>
      <c r="D23" s="3"/>
      <c r="E23" s="39">
        <f t="shared" si="6"/>
        <v>0</v>
      </c>
      <c r="F23" s="3"/>
      <c r="G23" s="39">
        <f t="shared" si="3"/>
        <v>0</v>
      </c>
      <c r="H23" s="3"/>
      <c r="I23" s="44">
        <f t="shared" si="4"/>
        <v>0</v>
      </c>
      <c r="J23" s="19">
        <f t="shared" si="1"/>
        <v>0</v>
      </c>
      <c r="K23" s="20">
        <f t="shared" si="2"/>
        <v>0</v>
      </c>
      <c r="Q23" t="s">
        <v>12</v>
      </c>
    </row>
    <row r="24" spans="1:25" ht="16.5" thickBot="1" x14ac:dyDescent="0.3">
      <c r="A24" s="9">
        <v>44734</v>
      </c>
      <c r="B24" s="3"/>
      <c r="C24" s="39">
        <f t="shared" si="5"/>
        <v>0</v>
      </c>
      <c r="D24" s="3"/>
      <c r="E24" s="39">
        <f t="shared" si="6"/>
        <v>0</v>
      </c>
      <c r="F24" s="3"/>
      <c r="G24" s="39">
        <f t="shared" si="3"/>
        <v>0</v>
      </c>
      <c r="H24" s="3"/>
      <c r="I24" s="44">
        <f t="shared" si="4"/>
        <v>0</v>
      </c>
      <c r="J24" s="19">
        <f t="shared" si="1"/>
        <v>0</v>
      </c>
      <c r="K24" s="20">
        <f t="shared" si="2"/>
        <v>0</v>
      </c>
    </row>
    <row r="25" spans="1:25" ht="17.25" customHeight="1" thickBot="1" x14ac:dyDescent="0.4">
      <c r="A25" s="9">
        <v>44735</v>
      </c>
      <c r="B25" s="3"/>
      <c r="C25" s="39">
        <f t="shared" si="5"/>
        <v>0</v>
      </c>
      <c r="D25" s="3"/>
      <c r="E25" s="39">
        <f t="shared" si="6"/>
        <v>0</v>
      </c>
      <c r="F25" s="3"/>
      <c r="G25" s="39">
        <f t="shared" si="3"/>
        <v>0</v>
      </c>
      <c r="H25" s="3"/>
      <c r="I25" s="44">
        <f t="shared" si="4"/>
        <v>0</v>
      </c>
      <c r="J25" s="19">
        <f t="shared" si="1"/>
        <v>0</v>
      </c>
      <c r="K25" s="20">
        <f t="shared" si="2"/>
        <v>0</v>
      </c>
      <c r="Y25" s="55"/>
    </row>
    <row r="26" spans="1:25" ht="16.5" thickBot="1" x14ac:dyDescent="0.3">
      <c r="A26" s="9">
        <v>44736</v>
      </c>
      <c r="B26" s="3"/>
      <c r="C26" s="39">
        <f t="shared" si="5"/>
        <v>0</v>
      </c>
      <c r="D26" s="3"/>
      <c r="E26" s="39">
        <f t="shared" si="6"/>
        <v>0</v>
      </c>
      <c r="F26" s="3"/>
      <c r="G26" s="39">
        <f t="shared" si="3"/>
        <v>0</v>
      </c>
      <c r="H26" s="3"/>
      <c r="I26" s="44">
        <f t="shared" si="4"/>
        <v>0</v>
      </c>
      <c r="J26" s="19">
        <f t="shared" si="1"/>
        <v>0</v>
      </c>
      <c r="K26" s="20">
        <f t="shared" si="2"/>
        <v>0</v>
      </c>
      <c r="L26" t="s">
        <v>12</v>
      </c>
    </row>
    <row r="27" spans="1:25" ht="16.5" thickBot="1" x14ac:dyDescent="0.3">
      <c r="A27" s="9">
        <v>44737</v>
      </c>
      <c r="B27" s="3"/>
      <c r="C27" s="39">
        <f t="shared" si="5"/>
        <v>0</v>
      </c>
      <c r="D27" s="3"/>
      <c r="E27" s="39">
        <f t="shared" si="6"/>
        <v>0</v>
      </c>
      <c r="F27" s="3"/>
      <c r="G27" s="39">
        <f t="shared" si="3"/>
        <v>0</v>
      </c>
      <c r="H27" s="3"/>
      <c r="I27" s="44">
        <f t="shared" si="4"/>
        <v>0</v>
      </c>
      <c r="J27" s="19">
        <f t="shared" si="1"/>
        <v>0</v>
      </c>
      <c r="K27" s="20">
        <f t="shared" si="2"/>
        <v>0</v>
      </c>
      <c r="O27" t="s">
        <v>12</v>
      </c>
    </row>
    <row r="28" spans="1:25" ht="16.5" thickBot="1" x14ac:dyDescent="0.3">
      <c r="A28" s="9">
        <v>44738</v>
      </c>
      <c r="B28" s="3"/>
      <c r="C28" s="39">
        <f t="shared" si="5"/>
        <v>0</v>
      </c>
      <c r="D28" s="3"/>
      <c r="E28" s="39">
        <f t="shared" si="6"/>
        <v>0</v>
      </c>
      <c r="F28" s="3"/>
      <c r="G28" s="39">
        <f t="shared" si="3"/>
        <v>0</v>
      </c>
      <c r="H28" s="3"/>
      <c r="I28" s="44">
        <f t="shared" si="4"/>
        <v>0</v>
      </c>
      <c r="J28" s="19">
        <f t="shared" si="1"/>
        <v>0</v>
      </c>
      <c r="K28" s="20">
        <f t="shared" si="2"/>
        <v>0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15040</v>
      </c>
      <c r="D33" s="3"/>
      <c r="E33" s="56">
        <f>SUM(E3:E32)</f>
        <v>6890</v>
      </c>
      <c r="F33" s="3"/>
      <c r="G33" s="56">
        <f>SUM(G3:G32)</f>
        <v>7470.9</v>
      </c>
      <c r="H33" s="3"/>
      <c r="I33" s="56">
        <f>SUM(I3:I32)</f>
        <v>76.707000000000008</v>
      </c>
      <c r="J33" s="56">
        <f>SUM(J3:J32)</f>
        <v>29477.607</v>
      </c>
      <c r="K33" s="56">
        <f>SUM(K3:K32)</f>
        <v>172738.77701999998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B17" sqref="B1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>
        <v>18327439</v>
      </c>
      <c r="C13" s="45">
        <f t="shared" si="0"/>
        <v>2538</v>
      </c>
    </row>
    <row r="14" spans="1:9" ht="24" thickBot="1" x14ac:dyDescent="0.4">
      <c r="A14" s="9">
        <v>44724</v>
      </c>
      <c r="B14" s="133">
        <v>18329067</v>
      </c>
      <c r="C14" s="45">
        <f t="shared" si="0"/>
        <v>1628</v>
      </c>
    </row>
    <row r="15" spans="1:9" ht="24" thickBot="1" x14ac:dyDescent="0.4">
      <c r="A15" s="9">
        <v>44725</v>
      </c>
      <c r="B15" s="133">
        <v>18331785</v>
      </c>
      <c r="C15" s="45">
        <f t="shared" si="0"/>
        <v>2718</v>
      </c>
      <c r="I15" t="s">
        <v>12</v>
      </c>
    </row>
    <row r="16" spans="1:9" ht="26.25" customHeight="1" thickBot="1" x14ac:dyDescent="0.4">
      <c r="A16" s="9">
        <v>44726</v>
      </c>
      <c r="B16" s="133">
        <v>18333901</v>
      </c>
      <c r="C16" s="45">
        <f t="shared" si="0"/>
        <v>2116</v>
      </c>
      <c r="F16" s="156"/>
    </row>
    <row r="17" spans="1:9" ht="25.5" customHeight="1" thickBot="1" x14ac:dyDescent="0.4">
      <c r="A17" s="9">
        <v>44727</v>
      </c>
      <c r="B17" s="133"/>
      <c r="C17" s="45" t="str">
        <f t="shared" si="0"/>
        <v>0</v>
      </c>
    </row>
    <row r="18" spans="1:9" ht="24" thickBot="1" x14ac:dyDescent="0.4">
      <c r="A18" s="9">
        <v>44728</v>
      </c>
      <c r="B18" s="133"/>
      <c r="C18" s="45">
        <f t="shared" si="0"/>
        <v>0</v>
      </c>
      <c r="I18" s="35"/>
    </row>
    <row r="19" spans="1:9" ht="24" thickBot="1" x14ac:dyDescent="0.4">
      <c r="A19" s="9">
        <v>44729</v>
      </c>
      <c r="B19" s="133"/>
      <c r="C19" s="45">
        <f t="shared" si="0"/>
        <v>0</v>
      </c>
    </row>
    <row r="20" spans="1:9" ht="24" thickBot="1" x14ac:dyDescent="0.4">
      <c r="A20" s="9">
        <v>44730</v>
      </c>
      <c r="B20" s="133"/>
      <c r="C20" s="45">
        <f t="shared" si="0"/>
        <v>0</v>
      </c>
    </row>
    <row r="21" spans="1:9" ht="24" thickBot="1" x14ac:dyDescent="0.4">
      <c r="A21" s="9">
        <v>44731</v>
      </c>
      <c r="B21" s="133"/>
      <c r="C21" s="45">
        <f t="shared" si="0"/>
        <v>0</v>
      </c>
    </row>
    <row r="22" spans="1:9" ht="24" thickBot="1" x14ac:dyDescent="0.4">
      <c r="A22" s="9">
        <v>44732</v>
      </c>
      <c r="B22" s="133"/>
      <c r="C22" s="45">
        <f t="shared" si="0"/>
        <v>0</v>
      </c>
    </row>
    <row r="23" spans="1:9" ht="24" thickBot="1" x14ac:dyDescent="0.4">
      <c r="A23" s="9">
        <v>44733</v>
      </c>
      <c r="B23" s="133"/>
      <c r="C23" s="45">
        <f t="shared" si="0"/>
        <v>0</v>
      </c>
      <c r="F23" t="s">
        <v>12</v>
      </c>
    </row>
    <row r="24" spans="1:9" ht="24" thickBot="1" x14ac:dyDescent="0.4">
      <c r="A24" s="9">
        <v>44734</v>
      </c>
      <c r="B24" s="133"/>
      <c r="C24" s="45">
        <f t="shared" si="0"/>
        <v>0</v>
      </c>
      <c r="E24" t="s">
        <v>12</v>
      </c>
    </row>
    <row r="25" spans="1:9" ht="24" thickBot="1" x14ac:dyDescent="0.4">
      <c r="A25" s="9">
        <v>44735</v>
      </c>
      <c r="B25" s="133"/>
      <c r="C25" s="45">
        <f t="shared" si="0"/>
        <v>0</v>
      </c>
    </row>
    <row r="26" spans="1:9" ht="24" thickBot="1" x14ac:dyDescent="0.4">
      <c r="A26" s="9">
        <v>44736</v>
      </c>
      <c r="B26" s="133"/>
      <c r="C26" s="45">
        <f t="shared" si="0"/>
        <v>0</v>
      </c>
    </row>
    <row r="27" spans="1:9" ht="24" thickBot="1" x14ac:dyDescent="0.4">
      <c r="A27" s="9">
        <v>44737</v>
      </c>
      <c r="B27" s="133"/>
      <c r="C27" s="45">
        <f t="shared" si="0"/>
        <v>0</v>
      </c>
    </row>
    <row r="28" spans="1:9" ht="24" thickBot="1" x14ac:dyDescent="0.4">
      <c r="A28" s="9">
        <v>44738</v>
      </c>
      <c r="B28" s="133"/>
      <c r="C28" s="45">
        <f t="shared" si="0"/>
        <v>0</v>
      </c>
      <c r="I28" t="s">
        <v>12</v>
      </c>
    </row>
    <row r="29" spans="1:9" ht="24" thickBot="1" x14ac:dyDescent="0.4">
      <c r="A29" s="9">
        <v>44739</v>
      </c>
      <c r="B29" s="133"/>
      <c r="C29" s="45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32647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H1" zoomScale="90" zoomScaleNormal="90" workbookViewId="0">
      <pane ySplit="1" topLeftCell="A2" activePane="bottomLeft" state="frozen"/>
      <selection pane="bottomLeft" activeCell="AG16" sqref="AG16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5" thickBot="1" x14ac:dyDescent="0.25">
      <c r="A14" s="9">
        <v>44724</v>
      </c>
      <c r="B14" s="160">
        <v>23664.65</v>
      </c>
      <c r="C14" s="44">
        <f t="shared" si="22"/>
        <v>11.757000000001426</v>
      </c>
      <c r="D14" s="28">
        <f t="shared" si="23"/>
        <v>22338.300000002706</v>
      </c>
      <c r="E14" s="160">
        <v>4271.7439999999997</v>
      </c>
      <c r="F14" s="44">
        <f t="shared" si="24"/>
        <v>3.2979999999997744</v>
      </c>
      <c r="G14" s="28">
        <f t="shared" si="25"/>
        <v>6266.1999999995714</v>
      </c>
      <c r="H14" s="160">
        <v>5415</v>
      </c>
      <c r="I14" s="44">
        <f t="shared" si="26"/>
        <v>7</v>
      </c>
      <c r="J14" s="28">
        <f t="shared" si="27"/>
        <v>13299.999999999998</v>
      </c>
      <c r="K14" s="7">
        <v>14001.12</v>
      </c>
      <c r="L14" s="44">
        <f t="shared" si="28"/>
        <v>1.9500000000007276</v>
      </c>
      <c r="M14" s="28">
        <f t="shared" si="29"/>
        <v>3705.000000001382</v>
      </c>
      <c r="N14" s="160">
        <v>3577.4270000000001</v>
      </c>
      <c r="O14" s="44">
        <f>IF((N14-N13)&lt;0,"0",(N14-N13))</f>
        <v>1.2890000000002146</v>
      </c>
      <c r="P14" s="28">
        <f t="shared" si="31"/>
        <v>2449.1000000004078</v>
      </c>
      <c r="Q14" s="160">
        <v>5373.22</v>
      </c>
      <c r="R14" s="44">
        <f t="shared" si="32"/>
        <v>1.3400000000001455</v>
      </c>
      <c r="S14" s="28">
        <f t="shared" si="33"/>
        <v>2546.0000000002765</v>
      </c>
      <c r="T14" s="8">
        <f t="shared" si="35"/>
        <v>26.634000000002288</v>
      </c>
      <c r="U14" s="30">
        <f t="shared" si="34"/>
        <v>50604.60000000435</v>
      </c>
      <c r="W14" s="157">
        <v>44724</v>
      </c>
      <c r="X14" s="158">
        <v>180520</v>
      </c>
      <c r="Y14" s="163">
        <f t="shared" si="21"/>
        <v>302</v>
      </c>
      <c r="Z14" s="158">
        <v>9399</v>
      </c>
      <c r="AA14" s="163">
        <f t="shared" si="21"/>
        <v>10</v>
      </c>
      <c r="AB14" s="158">
        <v>28</v>
      </c>
      <c r="AC14" s="163">
        <f t="shared" si="21"/>
        <v>0</v>
      </c>
      <c r="AD14" s="158">
        <v>525</v>
      </c>
      <c r="AE14" s="163">
        <f t="shared" si="21"/>
        <v>3</v>
      </c>
      <c r="AF14" s="158">
        <v>7734</v>
      </c>
      <c r="AG14" s="163">
        <f t="shared" si="21"/>
        <v>13</v>
      </c>
    </row>
    <row r="15" spans="1:33" ht="16.5" thickBot="1" x14ac:dyDescent="0.25">
      <c r="A15" s="9">
        <v>44725</v>
      </c>
      <c r="B15" s="160">
        <v>23674.626</v>
      </c>
      <c r="C15" s="44">
        <f t="shared" ref="C15" si="36">IF((B15-B14)&lt;0,"0",(B15-B14))</f>
        <v>9.9759999999987485</v>
      </c>
      <c r="D15" s="28">
        <f t="shared" ref="D15" si="37">C15*1.9*1000</f>
        <v>18954.399999997622</v>
      </c>
      <c r="E15" s="160">
        <v>4273.9740000000002</v>
      </c>
      <c r="F15" s="44">
        <f t="shared" ref="F15" si="38">IF((E15-E14)&lt;0,"0",(E15-E14))</f>
        <v>2.2300000000004729</v>
      </c>
      <c r="G15" s="28">
        <f t="shared" ref="G15" si="39">F15*1.9*1000</f>
        <v>4237.0000000008977</v>
      </c>
      <c r="H15" s="160">
        <v>5421</v>
      </c>
      <c r="I15" s="44">
        <f t="shared" ref="I15" si="40">IF((H15-H14)&lt;0,"0",(H15-H14))</f>
        <v>6</v>
      </c>
      <c r="J15" s="28">
        <f t="shared" ref="J15" si="41">I15*1.9*1000</f>
        <v>11399.999999999998</v>
      </c>
      <c r="K15" s="7">
        <v>14002.53</v>
      </c>
      <c r="L15" s="44">
        <f t="shared" ref="L15" si="42">IF((K15-K14)&lt;0,"0",(K15-K14))</f>
        <v>1.4099999999998545</v>
      </c>
      <c r="M15" s="28">
        <f t="shared" ref="M15" si="43">L15*1.9*1000</f>
        <v>2678.9999999997235</v>
      </c>
      <c r="N15" s="160">
        <v>3578.4360000000001</v>
      </c>
      <c r="O15" s="44">
        <f>IF((N15-N14)&lt;0,"0",(N15-N14))</f>
        <v>1.0090000000000146</v>
      </c>
      <c r="P15" s="28">
        <f t="shared" ref="P15" si="44">O15*1.9*1000</f>
        <v>1917.1000000000276</v>
      </c>
      <c r="Q15" s="160">
        <v>5378.18</v>
      </c>
      <c r="R15" s="44">
        <f t="shared" ref="R15" si="45">IF((Q15-Q14)&lt;0,"0",(Q15-Q14))</f>
        <v>4.9600000000000364</v>
      </c>
      <c r="S15" s="28">
        <f t="shared" ref="S15" si="46">R15*1.9*1000</f>
        <v>9424.0000000000691</v>
      </c>
      <c r="T15" s="8">
        <f t="shared" ref="T15" si="47">C15+F15+I15+L15+O15+R15</f>
        <v>25.584999999999127</v>
      </c>
      <c r="U15" s="30">
        <f t="shared" ref="U15" si="48">T15*1.9*1000</f>
        <v>48611.499999998334</v>
      </c>
      <c r="W15" s="157">
        <v>44725</v>
      </c>
      <c r="X15" s="158">
        <v>180623</v>
      </c>
      <c r="Y15" s="163">
        <f t="shared" si="21"/>
        <v>103</v>
      </c>
      <c r="Z15" s="158">
        <v>9399</v>
      </c>
      <c r="AA15" s="163">
        <f t="shared" si="21"/>
        <v>0</v>
      </c>
      <c r="AB15" s="158">
        <v>28.2</v>
      </c>
      <c r="AC15" s="163">
        <f t="shared" si="21"/>
        <v>0.19999999999999929</v>
      </c>
      <c r="AD15" s="158">
        <v>527</v>
      </c>
      <c r="AE15" s="163">
        <f t="shared" si="21"/>
        <v>2</v>
      </c>
      <c r="AF15" s="158">
        <v>7763</v>
      </c>
      <c r="AG15" s="163">
        <f t="shared" si="21"/>
        <v>29</v>
      </c>
    </row>
    <row r="16" spans="1:33" ht="16.5" thickBot="1" x14ac:dyDescent="0.25">
      <c r="A16" s="9">
        <v>44726</v>
      </c>
      <c r="B16" s="160">
        <v>23686.947</v>
      </c>
      <c r="C16" s="44">
        <f t="shared" si="22"/>
        <v>12.320999999999913</v>
      </c>
      <c r="D16" s="28">
        <f t="shared" si="23"/>
        <v>23409.899999999834</v>
      </c>
      <c r="E16" s="160">
        <v>4277.3339999999998</v>
      </c>
      <c r="F16" s="44">
        <f t="shared" si="24"/>
        <v>3.3599999999996726</v>
      </c>
      <c r="G16" s="28">
        <f t="shared" si="25"/>
        <v>6383.9999999993779</v>
      </c>
      <c r="H16" s="160">
        <v>5429</v>
      </c>
      <c r="I16" s="44">
        <f t="shared" si="26"/>
        <v>8</v>
      </c>
      <c r="J16" s="28">
        <f t="shared" si="27"/>
        <v>15200</v>
      </c>
      <c r="K16" s="7">
        <v>14004.83</v>
      </c>
      <c r="L16" s="44">
        <f t="shared" si="28"/>
        <v>2.2999999999992724</v>
      </c>
      <c r="M16" s="28">
        <f t="shared" si="29"/>
        <v>4369.9999999986176</v>
      </c>
      <c r="N16" s="160">
        <v>3579.9389999999999</v>
      </c>
      <c r="O16" s="44">
        <f t="shared" si="30"/>
        <v>1.5029999999997017</v>
      </c>
      <c r="P16" s="28">
        <f t="shared" si="31"/>
        <v>2855.6999999994332</v>
      </c>
      <c r="Q16" s="160">
        <v>5379.94</v>
      </c>
      <c r="R16" s="44">
        <f t="shared" si="32"/>
        <v>1.7599999999993088</v>
      </c>
      <c r="S16" s="28">
        <f t="shared" si="33"/>
        <v>3343.9999999986867</v>
      </c>
      <c r="T16" s="8">
        <f t="shared" si="35"/>
        <v>29.243999999997868</v>
      </c>
      <c r="U16" s="30">
        <f t="shared" si="34"/>
        <v>55563.599999995946</v>
      </c>
      <c r="W16" s="157">
        <v>44726</v>
      </c>
      <c r="X16" s="158">
        <v>180898</v>
      </c>
      <c r="Y16" s="163">
        <f t="shared" si="21"/>
        <v>275</v>
      </c>
      <c r="Z16" s="158">
        <v>9405</v>
      </c>
      <c r="AA16" s="163">
        <f t="shared" si="21"/>
        <v>6</v>
      </c>
      <c r="AB16" s="158">
        <v>28.2</v>
      </c>
      <c r="AC16" s="163">
        <f t="shared" si="21"/>
        <v>0</v>
      </c>
      <c r="AD16" s="158">
        <v>528</v>
      </c>
      <c r="AE16" s="163">
        <f t="shared" si="21"/>
        <v>1</v>
      </c>
      <c r="AF16" s="158">
        <v>7800</v>
      </c>
      <c r="AG16" s="163">
        <f t="shared" si="21"/>
        <v>37</v>
      </c>
    </row>
    <row r="17" spans="1:33" ht="16.5" thickBot="1" x14ac:dyDescent="0.25">
      <c r="A17" s="9">
        <v>44727</v>
      </c>
      <c r="B17" s="160"/>
      <c r="C17" s="44" t="str">
        <f t="shared" si="22"/>
        <v>0</v>
      </c>
      <c r="D17" s="28">
        <f t="shared" si="23"/>
        <v>0</v>
      </c>
      <c r="E17" s="160"/>
      <c r="F17" s="44" t="str">
        <f t="shared" si="24"/>
        <v>0</v>
      </c>
      <c r="G17" s="28">
        <f t="shared" si="25"/>
        <v>0</v>
      </c>
      <c r="H17" s="160"/>
      <c r="I17" s="44" t="str">
        <f t="shared" si="26"/>
        <v>0</v>
      </c>
      <c r="J17" s="28">
        <f t="shared" si="27"/>
        <v>0</v>
      </c>
      <c r="K17" s="7"/>
      <c r="L17" s="44" t="str">
        <f t="shared" si="28"/>
        <v>0</v>
      </c>
      <c r="M17" s="28">
        <f t="shared" si="29"/>
        <v>0</v>
      </c>
      <c r="N17" s="160"/>
      <c r="O17" s="44" t="str">
        <f t="shared" si="30"/>
        <v>0</v>
      </c>
      <c r="P17" s="28">
        <f t="shared" si="31"/>
        <v>0</v>
      </c>
      <c r="Q17" s="160"/>
      <c r="R17" s="44" t="str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7">
        <v>44727</v>
      </c>
      <c r="X17" s="158"/>
      <c r="Y17" s="163" t="str">
        <f t="shared" si="21"/>
        <v>0</v>
      </c>
      <c r="Z17" s="158"/>
      <c r="AA17" s="163" t="str">
        <f t="shared" si="21"/>
        <v>0</v>
      </c>
      <c r="AB17" s="158"/>
      <c r="AC17" s="163" t="str">
        <f t="shared" si="21"/>
        <v>0</v>
      </c>
      <c r="AD17" s="158"/>
      <c r="AE17" s="163" t="str">
        <f t="shared" si="21"/>
        <v>0</v>
      </c>
      <c r="AF17" s="158"/>
      <c r="AG17" s="163" t="str">
        <f t="shared" si="21"/>
        <v>0</v>
      </c>
    </row>
    <row r="18" spans="1:33" ht="16.5" thickBot="1" x14ac:dyDescent="0.25">
      <c r="A18" s="9">
        <v>44728</v>
      </c>
      <c r="B18" s="160"/>
      <c r="C18" s="44">
        <f t="shared" si="22"/>
        <v>0</v>
      </c>
      <c r="D18" s="28">
        <f t="shared" si="23"/>
        <v>0</v>
      </c>
      <c r="E18" s="160"/>
      <c r="F18" s="44">
        <f t="shared" si="24"/>
        <v>0</v>
      </c>
      <c r="G18" s="28">
        <f t="shared" si="25"/>
        <v>0</v>
      </c>
      <c r="H18" s="160"/>
      <c r="I18" s="44">
        <f t="shared" si="26"/>
        <v>0</v>
      </c>
      <c r="J18" s="28">
        <f t="shared" si="27"/>
        <v>0</v>
      </c>
      <c r="K18" s="7"/>
      <c r="L18" s="44">
        <f t="shared" si="28"/>
        <v>0</v>
      </c>
      <c r="M18" s="28">
        <f t="shared" si="29"/>
        <v>0</v>
      </c>
      <c r="N18" s="160"/>
      <c r="O18" s="44">
        <f t="shared" si="30"/>
        <v>0</v>
      </c>
      <c r="P18" s="28">
        <f t="shared" si="31"/>
        <v>0</v>
      </c>
      <c r="Q18" s="160"/>
      <c r="R18" s="44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7">
        <v>44728</v>
      </c>
      <c r="X18" s="158"/>
      <c r="Y18" s="163">
        <f t="shared" si="21"/>
        <v>0</v>
      </c>
      <c r="Z18" s="158"/>
      <c r="AA18" s="163">
        <f t="shared" si="21"/>
        <v>0</v>
      </c>
      <c r="AB18" s="158"/>
      <c r="AC18" s="163">
        <f t="shared" si="21"/>
        <v>0</v>
      </c>
      <c r="AD18" s="158"/>
      <c r="AE18" s="163">
        <f t="shared" si="21"/>
        <v>0</v>
      </c>
      <c r="AF18" s="158"/>
      <c r="AG18" s="163">
        <f t="shared" si="21"/>
        <v>0</v>
      </c>
    </row>
    <row r="19" spans="1:33" ht="16.5" thickBot="1" x14ac:dyDescent="0.25">
      <c r="A19" s="9">
        <v>44729</v>
      </c>
      <c r="B19" s="160"/>
      <c r="C19" s="44">
        <f t="shared" si="22"/>
        <v>0</v>
      </c>
      <c r="D19" s="28">
        <f t="shared" si="23"/>
        <v>0</v>
      </c>
      <c r="E19" s="160"/>
      <c r="F19" s="44">
        <f t="shared" si="24"/>
        <v>0</v>
      </c>
      <c r="G19" s="28">
        <f t="shared" si="25"/>
        <v>0</v>
      </c>
      <c r="H19" s="160"/>
      <c r="I19" s="44">
        <f t="shared" si="26"/>
        <v>0</v>
      </c>
      <c r="J19" s="28">
        <f t="shared" si="27"/>
        <v>0</v>
      </c>
      <c r="K19" s="7"/>
      <c r="L19" s="44">
        <f t="shared" si="28"/>
        <v>0</v>
      </c>
      <c r="M19" s="28">
        <f t="shared" si="29"/>
        <v>0</v>
      </c>
      <c r="N19" s="160"/>
      <c r="O19" s="44">
        <f t="shared" si="30"/>
        <v>0</v>
      </c>
      <c r="P19" s="28">
        <f t="shared" si="31"/>
        <v>0</v>
      </c>
      <c r="Q19" s="160"/>
      <c r="R19" s="44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44729</v>
      </c>
      <c r="X19" s="158"/>
      <c r="Y19" s="163">
        <f t="shared" si="21"/>
        <v>0</v>
      </c>
      <c r="Z19" s="158"/>
      <c r="AA19" s="163">
        <f t="shared" si="21"/>
        <v>0</v>
      </c>
      <c r="AB19" s="158"/>
      <c r="AC19" s="163">
        <f t="shared" si="21"/>
        <v>0</v>
      </c>
      <c r="AD19" s="158"/>
      <c r="AE19" s="163">
        <f t="shared" si="21"/>
        <v>0</v>
      </c>
      <c r="AF19" s="158"/>
      <c r="AG19" s="163">
        <f t="shared" si="21"/>
        <v>0</v>
      </c>
    </row>
    <row r="20" spans="1:33" ht="16.5" thickBot="1" x14ac:dyDescent="0.25">
      <c r="A20" s="9">
        <v>44730</v>
      </c>
      <c r="B20" s="160"/>
      <c r="C20" s="44">
        <f t="shared" si="22"/>
        <v>0</v>
      </c>
      <c r="D20" s="28">
        <f t="shared" si="23"/>
        <v>0</v>
      </c>
      <c r="E20" s="160"/>
      <c r="F20" s="44">
        <f t="shared" si="24"/>
        <v>0</v>
      </c>
      <c r="G20" s="28">
        <f t="shared" si="25"/>
        <v>0</v>
      </c>
      <c r="H20" s="160"/>
      <c r="I20" s="44">
        <f t="shared" si="26"/>
        <v>0</v>
      </c>
      <c r="J20" s="28">
        <f t="shared" si="27"/>
        <v>0</v>
      </c>
      <c r="K20" s="7"/>
      <c r="L20" s="44">
        <f t="shared" si="28"/>
        <v>0</v>
      </c>
      <c r="M20" s="28">
        <f t="shared" si="29"/>
        <v>0</v>
      </c>
      <c r="N20" s="160"/>
      <c r="O20" s="44">
        <f t="shared" si="30"/>
        <v>0</v>
      </c>
      <c r="P20" s="28">
        <f t="shared" si="31"/>
        <v>0</v>
      </c>
      <c r="Q20" s="160"/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44730</v>
      </c>
      <c r="X20" s="158"/>
      <c r="Y20" s="163">
        <f t="shared" si="21"/>
        <v>0</v>
      </c>
      <c r="Z20" s="158"/>
      <c r="AA20" s="163">
        <f t="shared" si="21"/>
        <v>0</v>
      </c>
      <c r="AB20" s="158"/>
      <c r="AC20" s="163">
        <f t="shared" si="21"/>
        <v>0</v>
      </c>
      <c r="AD20" s="158"/>
      <c r="AE20" s="163">
        <f t="shared" si="21"/>
        <v>0</v>
      </c>
      <c r="AF20" s="158"/>
      <c r="AG20" s="163">
        <f t="shared" si="21"/>
        <v>0</v>
      </c>
    </row>
    <row r="21" spans="1:33" ht="16.5" thickBot="1" x14ac:dyDescent="0.25">
      <c r="A21" s="9">
        <v>44731</v>
      </c>
      <c r="B21" s="160"/>
      <c r="C21" s="44">
        <f t="shared" si="22"/>
        <v>0</v>
      </c>
      <c r="D21" s="28">
        <f t="shared" si="23"/>
        <v>0</v>
      </c>
      <c r="E21" s="160"/>
      <c r="F21" s="44">
        <f t="shared" si="24"/>
        <v>0</v>
      </c>
      <c r="G21" s="28">
        <f t="shared" si="25"/>
        <v>0</v>
      </c>
      <c r="H21" s="160"/>
      <c r="I21" s="44">
        <f t="shared" si="26"/>
        <v>0</v>
      </c>
      <c r="J21" s="28">
        <f t="shared" si="27"/>
        <v>0</v>
      </c>
      <c r="K21" s="7"/>
      <c r="L21" s="44">
        <f t="shared" si="28"/>
        <v>0</v>
      </c>
      <c r="M21" s="28">
        <f t="shared" si="29"/>
        <v>0</v>
      </c>
      <c r="N21" s="160"/>
      <c r="O21" s="44">
        <f t="shared" si="30"/>
        <v>0</v>
      </c>
      <c r="P21" s="28">
        <f t="shared" si="31"/>
        <v>0</v>
      </c>
      <c r="Q21" s="160"/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44731</v>
      </c>
      <c r="X21" s="158"/>
      <c r="Y21" s="163">
        <f t="shared" si="21"/>
        <v>0</v>
      </c>
      <c r="Z21" s="158"/>
      <c r="AA21" s="163">
        <f t="shared" si="21"/>
        <v>0</v>
      </c>
      <c r="AB21" s="158"/>
      <c r="AC21" s="163">
        <f t="shared" si="21"/>
        <v>0</v>
      </c>
      <c r="AD21" s="158"/>
      <c r="AE21" s="163">
        <f t="shared" si="21"/>
        <v>0</v>
      </c>
      <c r="AF21" s="158"/>
      <c r="AG21" s="163">
        <f t="shared" si="21"/>
        <v>0</v>
      </c>
    </row>
    <row r="22" spans="1:33" ht="16.5" thickBot="1" x14ac:dyDescent="0.25">
      <c r="A22" s="9">
        <v>44732</v>
      </c>
      <c r="B22" s="160"/>
      <c r="C22" s="44">
        <f t="shared" si="22"/>
        <v>0</v>
      </c>
      <c r="D22" s="28">
        <f t="shared" si="23"/>
        <v>0</v>
      </c>
      <c r="E22" s="160"/>
      <c r="F22" s="44">
        <f t="shared" si="24"/>
        <v>0</v>
      </c>
      <c r="G22" s="28">
        <f t="shared" si="25"/>
        <v>0</v>
      </c>
      <c r="H22" s="160"/>
      <c r="I22" s="44">
        <f t="shared" si="26"/>
        <v>0</v>
      </c>
      <c r="J22" s="28">
        <f t="shared" si="27"/>
        <v>0</v>
      </c>
      <c r="K22" s="7"/>
      <c r="L22" s="44">
        <f t="shared" si="28"/>
        <v>0</v>
      </c>
      <c r="M22" s="28">
        <f t="shared" si="29"/>
        <v>0</v>
      </c>
      <c r="N22" s="160"/>
      <c r="O22" s="44">
        <f t="shared" si="30"/>
        <v>0</v>
      </c>
      <c r="P22" s="28">
        <f t="shared" si="31"/>
        <v>0</v>
      </c>
      <c r="Q22" s="160"/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44732</v>
      </c>
      <c r="X22" s="158"/>
      <c r="Y22" s="163">
        <f t="shared" si="21"/>
        <v>0</v>
      </c>
      <c r="Z22" s="158"/>
      <c r="AA22" s="163">
        <f t="shared" si="21"/>
        <v>0</v>
      </c>
      <c r="AB22" s="158"/>
      <c r="AC22" s="163">
        <f t="shared" si="21"/>
        <v>0</v>
      </c>
      <c r="AD22" s="158"/>
      <c r="AE22" s="163">
        <f t="shared" si="21"/>
        <v>0</v>
      </c>
      <c r="AF22" s="158"/>
      <c r="AG22" s="163">
        <f t="shared" si="21"/>
        <v>0</v>
      </c>
    </row>
    <row r="23" spans="1:33" ht="16.5" thickBot="1" x14ac:dyDescent="0.25">
      <c r="A23" s="9">
        <v>44733</v>
      </c>
      <c r="B23" s="160"/>
      <c r="C23" s="44">
        <f t="shared" si="22"/>
        <v>0</v>
      </c>
      <c r="D23" s="28">
        <f t="shared" si="23"/>
        <v>0</v>
      </c>
      <c r="E23" s="160"/>
      <c r="F23" s="44">
        <f t="shared" si="24"/>
        <v>0</v>
      </c>
      <c r="G23" s="28">
        <f t="shared" si="25"/>
        <v>0</v>
      </c>
      <c r="H23" s="160"/>
      <c r="I23" s="44">
        <f t="shared" si="26"/>
        <v>0</v>
      </c>
      <c r="J23" s="28">
        <f t="shared" si="27"/>
        <v>0</v>
      </c>
      <c r="K23" s="7"/>
      <c r="L23" s="44">
        <f t="shared" si="28"/>
        <v>0</v>
      </c>
      <c r="M23" s="28">
        <f t="shared" si="29"/>
        <v>0</v>
      </c>
      <c r="N23" s="160"/>
      <c r="O23" s="44">
        <f t="shared" si="30"/>
        <v>0</v>
      </c>
      <c r="P23" s="28">
        <f t="shared" si="31"/>
        <v>0</v>
      </c>
      <c r="Q23" s="160"/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44733</v>
      </c>
      <c r="X23" s="158"/>
      <c r="Y23" s="163">
        <f t="shared" si="21"/>
        <v>0</v>
      </c>
      <c r="Z23" s="158"/>
      <c r="AA23" s="163">
        <f t="shared" si="21"/>
        <v>0</v>
      </c>
      <c r="AB23" s="158"/>
      <c r="AC23" s="163">
        <f t="shared" si="21"/>
        <v>0</v>
      </c>
      <c r="AD23" s="158"/>
      <c r="AE23" s="163">
        <f t="shared" si="21"/>
        <v>0</v>
      </c>
      <c r="AF23" s="158"/>
      <c r="AG23" s="163">
        <f t="shared" si="21"/>
        <v>0</v>
      </c>
    </row>
    <row r="24" spans="1:33" ht="16.5" thickBot="1" x14ac:dyDescent="0.25">
      <c r="A24" s="9">
        <v>44734</v>
      </c>
      <c r="B24" s="160"/>
      <c r="C24" s="44">
        <f t="shared" si="22"/>
        <v>0</v>
      </c>
      <c r="D24" s="28">
        <f t="shared" si="23"/>
        <v>0</v>
      </c>
      <c r="E24" s="160"/>
      <c r="F24" s="44">
        <f t="shared" si="24"/>
        <v>0</v>
      </c>
      <c r="G24" s="28">
        <f t="shared" si="25"/>
        <v>0</v>
      </c>
      <c r="H24" s="160"/>
      <c r="I24" s="44">
        <f t="shared" si="26"/>
        <v>0</v>
      </c>
      <c r="J24" s="28">
        <f t="shared" si="27"/>
        <v>0</v>
      </c>
      <c r="K24" s="7"/>
      <c r="L24" s="44">
        <f t="shared" si="28"/>
        <v>0</v>
      </c>
      <c r="M24" s="28">
        <f t="shared" si="29"/>
        <v>0</v>
      </c>
      <c r="N24" s="160"/>
      <c r="O24" s="44">
        <f t="shared" si="30"/>
        <v>0</v>
      </c>
      <c r="P24" s="28">
        <f t="shared" si="31"/>
        <v>0</v>
      </c>
      <c r="Q24" s="160"/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44734</v>
      </c>
      <c r="X24" s="158"/>
      <c r="Y24" s="163">
        <f t="shared" si="21"/>
        <v>0</v>
      </c>
      <c r="Z24" s="158"/>
      <c r="AA24" s="163">
        <f t="shared" si="21"/>
        <v>0</v>
      </c>
      <c r="AB24" s="158"/>
      <c r="AC24" s="163">
        <f t="shared" si="21"/>
        <v>0</v>
      </c>
      <c r="AD24" s="158"/>
      <c r="AE24" s="163">
        <f t="shared" si="21"/>
        <v>0</v>
      </c>
      <c r="AF24" s="158"/>
      <c r="AG24" s="163">
        <f t="shared" si="21"/>
        <v>0</v>
      </c>
    </row>
    <row r="25" spans="1:33" ht="16.5" thickBot="1" x14ac:dyDescent="0.25">
      <c r="A25" s="9">
        <v>44735</v>
      </c>
      <c r="B25" s="160"/>
      <c r="C25" s="44">
        <f t="shared" si="22"/>
        <v>0</v>
      </c>
      <c r="D25" s="28">
        <f t="shared" si="23"/>
        <v>0</v>
      </c>
      <c r="E25" s="160"/>
      <c r="F25" s="44">
        <f t="shared" si="24"/>
        <v>0</v>
      </c>
      <c r="G25" s="28">
        <f t="shared" si="25"/>
        <v>0</v>
      </c>
      <c r="H25" s="160"/>
      <c r="I25" s="44">
        <f t="shared" si="26"/>
        <v>0</v>
      </c>
      <c r="J25" s="28">
        <f t="shared" si="27"/>
        <v>0</v>
      </c>
      <c r="K25" s="7"/>
      <c r="L25" s="44">
        <f t="shared" si="28"/>
        <v>0</v>
      </c>
      <c r="M25" s="28">
        <f t="shared" si="29"/>
        <v>0</v>
      </c>
      <c r="N25" s="160"/>
      <c r="O25" s="44">
        <f t="shared" si="30"/>
        <v>0</v>
      </c>
      <c r="P25" s="28">
        <f t="shared" si="31"/>
        <v>0</v>
      </c>
      <c r="Q25" s="160"/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44735</v>
      </c>
      <c r="X25" s="158"/>
      <c r="Y25" s="163">
        <f t="shared" si="21"/>
        <v>0</v>
      </c>
      <c r="Z25" s="158"/>
      <c r="AA25" s="163">
        <f t="shared" si="21"/>
        <v>0</v>
      </c>
      <c r="AB25" s="158"/>
      <c r="AC25" s="163">
        <f t="shared" si="21"/>
        <v>0</v>
      </c>
      <c r="AD25" s="158"/>
      <c r="AE25" s="163">
        <f t="shared" si="21"/>
        <v>0</v>
      </c>
      <c r="AF25" s="158"/>
      <c r="AG25" s="163">
        <f t="shared" si="21"/>
        <v>0</v>
      </c>
    </row>
    <row r="26" spans="1:33" ht="16.5" thickBot="1" x14ac:dyDescent="0.25">
      <c r="A26" s="9">
        <v>44736</v>
      </c>
      <c r="B26" s="160"/>
      <c r="C26" s="44">
        <f t="shared" si="22"/>
        <v>0</v>
      </c>
      <c r="D26" s="28">
        <f t="shared" si="23"/>
        <v>0</v>
      </c>
      <c r="E26" s="160"/>
      <c r="F26" s="44">
        <f t="shared" si="24"/>
        <v>0</v>
      </c>
      <c r="G26" s="28">
        <f t="shared" si="25"/>
        <v>0</v>
      </c>
      <c r="H26" s="160"/>
      <c r="I26" s="44">
        <f t="shared" si="26"/>
        <v>0</v>
      </c>
      <c r="J26" s="28">
        <f t="shared" si="27"/>
        <v>0</v>
      </c>
      <c r="K26" s="7"/>
      <c r="L26" s="44">
        <f>IF((K26-K25)&lt;0,"0",(K26-K25))</f>
        <v>0</v>
      </c>
      <c r="M26" s="28">
        <f t="shared" si="29"/>
        <v>0</v>
      </c>
      <c r="N26" s="160"/>
      <c r="O26" s="44">
        <f t="shared" si="30"/>
        <v>0</v>
      </c>
      <c r="P26" s="28">
        <f t="shared" si="31"/>
        <v>0</v>
      </c>
      <c r="Q26" s="160"/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44736</v>
      </c>
      <c r="X26" s="158"/>
      <c r="Y26" s="163">
        <f t="shared" si="21"/>
        <v>0</v>
      </c>
      <c r="Z26" s="158"/>
      <c r="AA26" s="163">
        <f t="shared" si="21"/>
        <v>0</v>
      </c>
      <c r="AB26" s="158"/>
      <c r="AC26" s="163">
        <f t="shared" si="21"/>
        <v>0</v>
      </c>
      <c r="AD26" s="158"/>
      <c r="AE26" s="163">
        <f t="shared" si="21"/>
        <v>0</v>
      </c>
      <c r="AF26" s="158"/>
      <c r="AG26" s="163">
        <f t="shared" si="21"/>
        <v>0</v>
      </c>
    </row>
    <row r="27" spans="1:33" ht="16.5" thickBot="1" x14ac:dyDescent="0.25">
      <c r="A27" s="9">
        <v>44737</v>
      </c>
      <c r="B27" s="160"/>
      <c r="C27" s="44">
        <f t="shared" si="22"/>
        <v>0</v>
      </c>
      <c r="D27" s="28">
        <f t="shared" si="23"/>
        <v>0</v>
      </c>
      <c r="E27" s="160"/>
      <c r="F27" s="44">
        <f t="shared" si="24"/>
        <v>0</v>
      </c>
      <c r="G27" s="28">
        <f t="shared" si="25"/>
        <v>0</v>
      </c>
      <c r="H27" s="160"/>
      <c r="I27" s="44">
        <f t="shared" si="26"/>
        <v>0</v>
      </c>
      <c r="J27" s="28">
        <f t="shared" si="27"/>
        <v>0</v>
      </c>
      <c r="K27" s="7"/>
      <c r="L27" s="44">
        <f t="shared" si="28"/>
        <v>0</v>
      </c>
      <c r="M27" s="28">
        <f t="shared" si="29"/>
        <v>0</v>
      </c>
      <c r="N27" s="160"/>
      <c r="O27" s="44">
        <f t="shared" si="30"/>
        <v>0</v>
      </c>
      <c r="P27" s="28">
        <f t="shared" si="31"/>
        <v>0</v>
      </c>
      <c r="Q27" s="160"/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44737</v>
      </c>
      <c r="X27" s="158"/>
      <c r="Y27" s="163">
        <f t="shared" si="21"/>
        <v>0</v>
      </c>
      <c r="Z27" s="158"/>
      <c r="AA27" s="163">
        <f t="shared" si="21"/>
        <v>0</v>
      </c>
      <c r="AB27" s="158"/>
      <c r="AC27" s="163">
        <f t="shared" si="21"/>
        <v>0</v>
      </c>
      <c r="AD27" s="158"/>
      <c r="AE27" s="163">
        <f t="shared" si="21"/>
        <v>0</v>
      </c>
      <c r="AF27" s="158"/>
      <c r="AG27" s="163">
        <f t="shared" si="21"/>
        <v>0</v>
      </c>
    </row>
    <row r="28" spans="1:33" ht="16.5" thickBot="1" x14ac:dyDescent="0.25">
      <c r="A28" s="9">
        <v>44738</v>
      </c>
      <c r="B28" s="160"/>
      <c r="C28" s="44">
        <f t="shared" si="22"/>
        <v>0</v>
      </c>
      <c r="D28" s="28">
        <f t="shared" si="23"/>
        <v>0</v>
      </c>
      <c r="E28" s="160"/>
      <c r="F28" s="44">
        <f t="shared" si="24"/>
        <v>0</v>
      </c>
      <c r="G28" s="28">
        <f t="shared" si="25"/>
        <v>0</v>
      </c>
      <c r="H28" s="160"/>
      <c r="I28" s="44">
        <f t="shared" si="26"/>
        <v>0</v>
      </c>
      <c r="J28" s="28">
        <f t="shared" si="27"/>
        <v>0</v>
      </c>
      <c r="K28" s="7"/>
      <c r="L28" s="44">
        <f t="shared" si="28"/>
        <v>0</v>
      </c>
      <c r="M28" s="28">
        <f t="shared" si="29"/>
        <v>0</v>
      </c>
      <c r="N28" s="160"/>
      <c r="O28" s="44">
        <f t="shared" si="30"/>
        <v>0</v>
      </c>
      <c r="P28" s="28">
        <f t="shared" si="31"/>
        <v>0</v>
      </c>
      <c r="Q28" s="160"/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44738</v>
      </c>
      <c r="X28" s="158"/>
      <c r="Y28" s="163">
        <f t="shared" si="21"/>
        <v>0</v>
      </c>
      <c r="Z28" s="158"/>
      <c r="AA28" s="163">
        <f t="shared" si="21"/>
        <v>0</v>
      </c>
      <c r="AB28" s="158"/>
      <c r="AC28" s="163">
        <f t="shared" si="21"/>
        <v>0</v>
      </c>
      <c r="AD28" s="158"/>
      <c r="AE28" s="163">
        <f t="shared" si="21"/>
        <v>0</v>
      </c>
      <c r="AF28" s="158"/>
      <c r="AG28" s="163">
        <f t="shared" si="21"/>
        <v>0</v>
      </c>
    </row>
    <row r="29" spans="1:33" ht="16.5" thickBot="1" x14ac:dyDescent="0.25">
      <c r="A29" s="9">
        <v>44739</v>
      </c>
      <c r="B29" s="160"/>
      <c r="C29" s="44">
        <f t="shared" si="22"/>
        <v>0</v>
      </c>
      <c r="D29" s="28">
        <f t="shared" si="23"/>
        <v>0</v>
      </c>
      <c r="E29" s="160"/>
      <c r="F29" s="44">
        <f t="shared" si="24"/>
        <v>0</v>
      </c>
      <c r="G29" s="28">
        <f t="shared" si="25"/>
        <v>0</v>
      </c>
      <c r="H29" s="160"/>
      <c r="I29" s="44">
        <f t="shared" si="26"/>
        <v>0</v>
      </c>
      <c r="J29" s="28">
        <f t="shared" si="27"/>
        <v>0</v>
      </c>
      <c r="K29" s="7"/>
      <c r="L29" s="44">
        <f t="shared" si="28"/>
        <v>0</v>
      </c>
      <c r="M29" s="28">
        <f t="shared" si="29"/>
        <v>0</v>
      </c>
      <c r="N29" s="160"/>
      <c r="O29" s="44">
        <f t="shared" si="30"/>
        <v>0</v>
      </c>
      <c r="P29" s="28">
        <f t="shared" si="31"/>
        <v>0</v>
      </c>
      <c r="Q29" s="160"/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>
        <f t="shared" si="21"/>
        <v>0</v>
      </c>
      <c r="Z29" s="158"/>
      <c r="AA29" s="163">
        <f t="shared" si="21"/>
        <v>0</v>
      </c>
      <c r="AB29" s="158"/>
      <c r="AC29" s="163">
        <f t="shared" si="21"/>
        <v>0</v>
      </c>
      <c r="AD29" s="158"/>
      <c r="AE29" s="163">
        <f t="shared" si="21"/>
        <v>0</v>
      </c>
      <c r="AF29" s="158"/>
      <c r="AG29" s="163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184.40899999999965</v>
      </c>
      <c r="D33" s="137">
        <f>SUM(D3:D32)</f>
        <v>350377.09999999934</v>
      </c>
      <c r="E33" s="137"/>
      <c r="F33" s="44">
        <f>SUM(F2:F32)</f>
        <v>39.643000000000029</v>
      </c>
      <c r="G33" s="137">
        <f>SUM(G3:G32)</f>
        <v>75321.700000000041</v>
      </c>
      <c r="H33" s="137"/>
      <c r="I33" s="44">
        <f>SUM(I2:I32)</f>
        <v>110</v>
      </c>
      <c r="J33" s="137">
        <f>SUM(J3:J32)</f>
        <v>209000</v>
      </c>
      <c r="K33" s="137"/>
      <c r="L33" s="44">
        <f>SUM(L2:L32)</f>
        <v>31.920000000000073</v>
      </c>
      <c r="M33" s="137">
        <f>SUM(M3:M32)</f>
        <v>60648.000000000138</v>
      </c>
      <c r="N33" s="137"/>
      <c r="O33" s="44">
        <f>SUM(O2:O32)</f>
        <v>20.611999999999625</v>
      </c>
      <c r="P33" s="137">
        <f>SUM(P3:P32)</f>
        <v>39162.799999999275</v>
      </c>
      <c r="Q33" s="137"/>
      <c r="R33" s="44">
        <f>SUM(R3:R32)</f>
        <v>26.139999999999418</v>
      </c>
      <c r="S33" s="137">
        <f>SUM(S3:S32)</f>
        <v>49665.999999998894</v>
      </c>
      <c r="T33" s="137">
        <f>SUM(T3:T32)</f>
        <v>412.7239999999988</v>
      </c>
      <c r="U33" s="137">
        <f>SUM(U3:U32)</f>
        <v>784175.59999999776</v>
      </c>
      <c r="V33"/>
      <c r="W33" s="137" t="s">
        <v>141</v>
      </c>
      <c r="X33" s="137"/>
      <c r="Y33" s="137">
        <f>SUM(Y2:Y32)</f>
        <v>3708</v>
      </c>
      <c r="Z33" s="137"/>
      <c r="AA33" s="137">
        <f>SUM(AA2:AA32)</f>
        <v>91</v>
      </c>
      <c r="AB33" s="137"/>
      <c r="AC33" s="137">
        <f>SUM(AC2:AC32)</f>
        <v>0.5</v>
      </c>
      <c r="AD33" s="137"/>
      <c r="AE33" s="137">
        <f>SUM(AE2:AE32)</f>
        <v>33</v>
      </c>
      <c r="AF33" s="137">
        <v>0</v>
      </c>
      <c r="AG33" s="137">
        <f>SUM(AG2:AG32)</f>
        <v>234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L61" sqref="L6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81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81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81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6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6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6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82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82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82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81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81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81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6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6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6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82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82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82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81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81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81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6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6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6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82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82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82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81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81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81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6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6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6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82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82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82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81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81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81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6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6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6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82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82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82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81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81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81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6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6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6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82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82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82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81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81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81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6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6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6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82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82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82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81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81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81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6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6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6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82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82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82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81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81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81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6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6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6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82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82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82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81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81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81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6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6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6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82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82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82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81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81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81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6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6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6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82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82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82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81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81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81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6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6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6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82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82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82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81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81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81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6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6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6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82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82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82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81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81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81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6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6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6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82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82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82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81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81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81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6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6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6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81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81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81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6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6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6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81">
        <v>23</v>
      </c>
      <c r="D49" s="61" t="s">
        <v>83</v>
      </c>
      <c r="E49" s="62"/>
      <c r="F49" s="76"/>
      <c r="G49" s="63">
        <f t="shared" si="4"/>
        <v>0</v>
      </c>
      <c r="H49" s="64"/>
      <c r="J49" s="181">
        <v>23</v>
      </c>
      <c r="K49" s="61" t="s">
        <v>83</v>
      </c>
      <c r="L49" s="76"/>
      <c r="M49" s="76"/>
      <c r="N49" s="63">
        <f t="shared" si="2"/>
        <v>0</v>
      </c>
      <c r="O49" s="64"/>
      <c r="Q49" s="181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6"/>
      <c r="D50" s="61" t="s">
        <v>82</v>
      </c>
      <c r="E50" s="62"/>
      <c r="F50" s="76"/>
      <c r="G50" s="63">
        <f t="shared" si="4"/>
        <v>0</v>
      </c>
      <c r="H50" s="64"/>
      <c r="J50" s="186"/>
      <c r="K50" s="61" t="s">
        <v>82</v>
      </c>
      <c r="L50" s="76"/>
      <c r="M50" s="76"/>
      <c r="N50" s="63">
        <f t="shared" si="2"/>
        <v>0</v>
      </c>
      <c r="O50" s="64"/>
      <c r="Q50" s="186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7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7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7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8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8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8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9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9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9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81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81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81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82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82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82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81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81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81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82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82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82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81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81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81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82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82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82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81">
        <v>28</v>
      </c>
      <c r="D62" s="176" t="s">
        <v>86</v>
      </c>
      <c r="E62" s="62"/>
      <c r="F62" s="62"/>
      <c r="G62" s="63"/>
      <c r="H62" s="178" t="s">
        <v>87</v>
      </c>
      <c r="I62" s="67"/>
      <c r="J62" s="181">
        <v>28</v>
      </c>
      <c r="K62" s="176" t="s">
        <v>86</v>
      </c>
      <c r="L62" s="62"/>
      <c r="M62" s="62"/>
      <c r="N62" s="63"/>
      <c r="O62" s="178" t="s">
        <v>87</v>
      </c>
      <c r="Q62" s="181">
        <v>28</v>
      </c>
      <c r="R62" s="176" t="s">
        <v>86</v>
      </c>
      <c r="S62" s="62"/>
      <c r="T62" s="62"/>
      <c r="U62" s="63">
        <f t="shared" si="3"/>
        <v>0</v>
      </c>
      <c r="V62" s="178" t="s">
        <v>87</v>
      </c>
    </row>
    <row r="63" spans="1:22" ht="15" x14ac:dyDescent="0.2">
      <c r="A63" s="67"/>
      <c r="B63" s="57"/>
      <c r="C63" s="182"/>
      <c r="D63" s="177"/>
      <c r="E63" s="62"/>
      <c r="F63" s="62"/>
      <c r="G63" s="63"/>
      <c r="H63" s="179"/>
      <c r="I63" s="67"/>
      <c r="J63" s="182"/>
      <c r="K63" s="177"/>
      <c r="L63" s="62"/>
      <c r="M63" s="62"/>
      <c r="N63" s="63"/>
      <c r="O63" s="179"/>
      <c r="Q63" s="182"/>
      <c r="R63" s="177"/>
      <c r="S63" s="62"/>
      <c r="T63" s="62"/>
      <c r="U63" s="63">
        <f t="shared" si="3"/>
        <v>0</v>
      </c>
      <c r="V63" s="179"/>
    </row>
    <row r="64" spans="1:22" x14ac:dyDescent="0.2">
      <c r="A64" s="67"/>
      <c r="B64" s="57"/>
      <c r="C64" s="180" t="s">
        <v>88</v>
      </c>
      <c r="D64" s="180"/>
      <c r="E64" s="180"/>
      <c r="F64" s="180"/>
      <c r="G64" s="81">
        <f>SUM(G2:G63)</f>
        <v>35162</v>
      </c>
      <c r="H64" s="82"/>
      <c r="I64" s="67"/>
      <c r="J64" s="180" t="s">
        <v>88</v>
      </c>
      <c r="K64" s="180"/>
      <c r="L64" s="180"/>
      <c r="M64" s="180"/>
      <c r="N64" s="81">
        <f>SUM(N2:N63)</f>
        <v>295061</v>
      </c>
      <c r="O64" s="82"/>
      <c r="Q64" s="180" t="s">
        <v>88</v>
      </c>
      <c r="R64" s="180"/>
      <c r="S64" s="180"/>
      <c r="T64" s="180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3">
        <v>44621</v>
      </c>
      <c r="C69" s="184"/>
      <c r="D69" s="184"/>
      <c r="E69" s="185"/>
      <c r="F69" s="85"/>
      <c r="G69" s="183">
        <v>44652</v>
      </c>
      <c r="H69" s="184"/>
      <c r="I69" s="184"/>
      <c r="J69" s="185"/>
      <c r="K69" s="85"/>
      <c r="L69" s="173" t="s">
        <v>25</v>
      </c>
      <c r="M69" s="174"/>
      <c r="N69" s="174"/>
      <c r="O69" s="175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-6896427</v>
      </c>
      <c r="D7" s="105">
        <f t="shared" si="0"/>
        <v>-8758462.290000001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16454</v>
      </c>
      <c r="D8" s="105">
        <f t="shared" si="0"/>
        <v>20896.580000000002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3730</v>
      </c>
      <c r="D9" s="105">
        <f t="shared" si="0"/>
        <v>4737.1000000000004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7200</v>
      </c>
      <c r="D10" s="105">
        <f t="shared" si="0"/>
        <v>9144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1524</v>
      </c>
      <c r="D11" s="105">
        <f t="shared" si="0"/>
        <v>1935.48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4006</v>
      </c>
      <c r="K16" s="94">
        <f>(J16-I16)*160</f>
        <v>1440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318649</v>
      </c>
      <c r="K17" s="94">
        <f>(J17-I17)</f>
        <v>2245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26216</v>
      </c>
      <c r="K18" s="94">
        <f>(J18-I18)*160</f>
        <v>7200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155890</v>
      </c>
      <c r="K19" s="94">
        <f>J19-I19</f>
        <v>1524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47153</v>
      </c>
      <c r="K21" s="94">
        <f>(J21-I21)*120</f>
        <v>7920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40683</v>
      </c>
      <c r="K22" s="94">
        <f>(J22-I22)*160</f>
        <v>7200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21736</v>
      </c>
      <c r="K23" s="94">
        <f>(J23-I23)*20</f>
        <v>980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255653</v>
      </c>
      <c r="K24" s="94">
        <f>J24-I24</f>
        <v>354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226081</v>
      </c>
      <c r="K25" s="94">
        <f>J25-I25</f>
        <v>45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2022-06-15T04:25:42Z</dcterms:modified>
</cp:coreProperties>
</file>