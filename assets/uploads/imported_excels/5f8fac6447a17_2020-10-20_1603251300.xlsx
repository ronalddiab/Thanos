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980" yWindow="-210" windowWidth="15840" windowHeight="11325" tabRatio="580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24" i="1"/>
  <c r="H26" i="79" l="1"/>
  <c r="H27" s="1"/>
  <c r="H28" s="1"/>
  <c r="H29" s="1"/>
  <c r="H30" s="1"/>
  <c r="H31" s="1"/>
  <c r="H32" s="1"/>
  <c r="H33" s="1"/>
  <c r="H34" s="1"/>
  <c r="H35" s="1"/>
  <c r="H36" s="1"/>
  <c r="AI19" i="1"/>
  <c r="AI18"/>
  <c r="AL19"/>
  <c r="AL18"/>
  <c r="J16" i="3"/>
  <c r="F13" i="1"/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I3"/>
  <c r="J3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24" s="1"/>
  <c r="B25" s="1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23" s="1"/>
  <c r="B24" s="1"/>
  <c r="B25" s="1"/>
  <c r="B26" s="1"/>
  <c r="B27" s="1"/>
  <c r="B28" s="1"/>
  <c r="B29" s="1"/>
  <c r="B30" s="1"/>
  <c r="B31" s="1"/>
  <c r="B32" s="1"/>
  <c r="B33" s="1"/>
  <c r="C2"/>
  <c r="D2"/>
  <c r="D4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2" s="1"/>
  <c r="G13" s="1"/>
  <c r="G16" s="1"/>
  <c r="G18" s="1"/>
  <c r="G21" s="1"/>
  <c r="G22" s="1"/>
  <c r="G23" s="1"/>
  <c r="G24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8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4" s="1"/>
  <c r="Z16" s="1"/>
  <c r="Z20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23" s="1"/>
  <c r="H24" s="1"/>
  <c r="H25" s="1"/>
  <c r="H26" s="1"/>
  <c r="H27" s="1"/>
  <c r="H28" s="1"/>
  <c r="H29" s="1"/>
  <c r="H30" s="1"/>
  <c r="H31" s="1"/>
  <c r="H32" s="1"/>
  <c r="H33" s="1"/>
  <c r="I2"/>
  <c r="J2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1" s="1"/>
  <c r="S23" s="1"/>
  <c r="S24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23" s="1"/>
  <c r="D24" s="1"/>
  <c r="D25" s="1"/>
  <c r="D26" s="1"/>
  <c r="D27" s="1"/>
  <c r="D28" s="1"/>
  <c r="D29" s="1"/>
  <c r="D30" s="1"/>
  <c r="D31" s="1"/>
  <c r="D32" s="1"/>
  <c r="D33" s="1"/>
  <c r="C4" i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4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7" s="1"/>
  <c r="K20" s="1"/>
  <c r="K25" s="1"/>
  <c r="K26" s="1"/>
  <c r="K27" s="1"/>
  <c r="K28" s="1"/>
  <c r="K29" s="1"/>
  <c r="K30" s="1"/>
  <c r="K31" s="1"/>
  <c r="K32" s="1"/>
  <c r="K33" s="1"/>
  <c r="K34" s="1"/>
  <c r="L4"/>
  <c r="M4"/>
  <c r="M5" s="1"/>
  <c r="M14" s="1"/>
  <c r="M17" s="1"/>
  <c r="M20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2" s="1"/>
  <c r="P17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2" s="1"/>
  <c r="Q17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25" s="1"/>
  <c r="B26" s="1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23" s="1"/>
  <c r="U24" s="1"/>
  <c r="U25" s="1"/>
  <c r="U26" s="1"/>
  <c r="U27" s="1"/>
  <c r="U28" s="1"/>
  <c r="U29" s="1"/>
  <c r="U30" s="1"/>
  <c r="U31" s="1"/>
  <c r="U32" s="1"/>
  <c r="U33" s="1"/>
  <c r="L23"/>
  <c r="L24" s="1"/>
  <c r="L25" s="1"/>
  <c r="L26" s="1"/>
  <c r="L27" s="1"/>
  <c r="L28" s="1"/>
  <c r="L29" s="1"/>
  <c r="L30" s="1"/>
  <c r="L31" s="1"/>
  <c r="L32" s="1"/>
  <c r="L33" s="1"/>
  <c r="F23"/>
  <c r="F24" s="1"/>
  <c r="F25" s="1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L32" i="82" l="1"/>
  <c r="O32" i="81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AI35" s="1"/>
  <c r="T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G32" i="81" l="1"/>
  <c r="AJ35" i="1"/>
  <c r="AK35" s="1"/>
  <c r="M27" i="76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I21"/>
  <c r="G19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AL20"/>
  <c r="J16" i="82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AL21"/>
  <c r="J17" i="82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AL22"/>
  <c r="J18" i="82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AL23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AL24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AL25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AL26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AL27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AL28"/>
  <c r="J24" i="82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AL29"/>
  <c r="J25" i="82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AL30"/>
  <c r="J26" i="82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AL31"/>
  <c r="O26" i="2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AL32"/>
  <c r="O27" i="2"/>
  <c r="S28" i="76"/>
  <c r="I21" i="3"/>
  <c r="H22"/>
  <c r="J28" i="82"/>
  <c r="I29" i="3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AL33" s="1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AL34" s="1"/>
  <c r="G33"/>
  <c r="U33" s="1"/>
  <c r="D33" i="75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D34" i="75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V36" i="1" l="1"/>
  <c r="AI34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I37" i="1"/>
  <c r="AK34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<sst xmlns="http://schemas.openxmlformats.org/spreadsheetml/2006/main" count="653" uniqueCount="418">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</sst>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8" borderId="1" xfId="0" applyNumberForma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455232"/>
        <c:axId val="151456768"/>
      </c:lineChart>
      <c:catAx>
        <c:axId val="1514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56768"/>
        <c:crosses val="autoZero"/>
        <c:auto val="1"/>
        <c:lblAlgn val="ctr"/>
        <c:lblOffset val="100"/>
      </c:catAx>
      <c:valAx>
        <c:axId val="151456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5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5233280"/>
        <c:axId val="155235072"/>
      </c:lineChart>
      <c:catAx>
        <c:axId val="15523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5072"/>
        <c:crosses val="autoZero"/>
        <c:auto val="1"/>
        <c:lblAlgn val="ctr"/>
        <c:lblOffset val="100"/>
      </c:catAx>
      <c:valAx>
        <c:axId val="15523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47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5394432"/>
        <c:axId val="155395968"/>
      </c:lineChart>
      <c:catAx>
        <c:axId val="15539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95968"/>
        <c:crosses val="autoZero"/>
        <c:auto val="1"/>
        <c:lblAlgn val="ctr"/>
        <c:lblOffset val="100"/>
      </c:catAx>
      <c:valAx>
        <c:axId val="1553959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9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926"/>
          <c:y val="0.62975887529635965"/>
          <c:w val="7.9124755870162669E-2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5444736"/>
        <c:axId val="155446272"/>
      </c:lineChart>
      <c:catAx>
        <c:axId val="15544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46272"/>
        <c:crosses val="autoZero"/>
        <c:auto val="1"/>
        <c:lblAlgn val="ctr"/>
        <c:lblOffset val="100"/>
      </c:catAx>
      <c:valAx>
        <c:axId val="155446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4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93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553536"/>
        <c:axId val="153575808"/>
      </c:lineChart>
      <c:catAx>
        <c:axId val="15355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75808"/>
        <c:crosses val="autoZero"/>
        <c:auto val="1"/>
        <c:lblAlgn val="ctr"/>
        <c:lblOffset val="100"/>
      </c:catAx>
      <c:valAx>
        <c:axId val="1535758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5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20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5500928"/>
        <c:axId val="155502464"/>
      </c:lineChart>
      <c:catAx>
        <c:axId val="15550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2464"/>
        <c:crosses val="autoZero"/>
        <c:auto val="1"/>
        <c:lblAlgn val="ctr"/>
        <c:lblOffset val="100"/>
      </c:catAx>
      <c:valAx>
        <c:axId val="15550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143936"/>
        <c:axId val="151145472"/>
      </c:lineChart>
      <c:catAx>
        <c:axId val="15114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5472"/>
        <c:crosses val="autoZero"/>
        <c:auto val="1"/>
        <c:lblAlgn val="ctr"/>
        <c:lblOffset val="100"/>
      </c:catAx>
      <c:valAx>
        <c:axId val="15114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169280"/>
        <c:axId val="151187456"/>
      </c:lineChart>
      <c:catAx>
        <c:axId val="1511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87456"/>
        <c:crosses val="autoZero"/>
        <c:auto val="1"/>
        <c:lblAlgn val="ctr"/>
        <c:lblOffset val="100"/>
      </c:catAx>
      <c:valAx>
        <c:axId val="15118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68160"/>
        <c:axId val="101082240"/>
      </c:lineChart>
      <c:catAx>
        <c:axId val="10106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82240"/>
        <c:crosses val="autoZero"/>
        <c:auto val="1"/>
        <c:lblAlgn val="ctr"/>
        <c:lblOffset val="100"/>
      </c:catAx>
      <c:valAx>
        <c:axId val="101082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6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274"/>
          <c:w val="0.1272403315177282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114624"/>
        <c:axId val="101116160"/>
      </c:lineChart>
      <c:catAx>
        <c:axId val="1011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16160"/>
        <c:crosses val="autoZero"/>
        <c:auto val="1"/>
        <c:lblAlgn val="ctr"/>
        <c:lblOffset val="100"/>
      </c:catAx>
      <c:valAx>
        <c:axId val="10111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132</c:v>
                </c:pt>
                <c:pt idx="12">
                  <c:v>111</c:v>
                </c:pt>
                <c:pt idx="13">
                  <c:v>0</c:v>
                </c:pt>
                <c:pt idx="14">
                  <c:v>126</c:v>
                </c:pt>
                <c:pt idx="15">
                  <c:v>211</c:v>
                </c:pt>
                <c:pt idx="16">
                  <c:v>79</c:v>
                </c:pt>
                <c:pt idx="17">
                  <c:v>173</c:v>
                </c:pt>
                <c:pt idx="18">
                  <c:v>141</c:v>
                </c:pt>
                <c:pt idx="19">
                  <c:v>121</c:v>
                </c:pt>
                <c:pt idx="20">
                  <c:v>122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156736"/>
        <c:axId val="101158272"/>
      </c:lineChart>
      <c:catAx>
        <c:axId val="10115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58272"/>
        <c:crosses val="autoZero"/>
        <c:auto val="1"/>
        <c:lblAlgn val="ctr"/>
        <c:lblOffset val="100"/>
      </c:catAx>
      <c:valAx>
        <c:axId val="10115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5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274"/>
          <c:w val="0.135416885389349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166080"/>
        <c:axId val="101257984"/>
      </c:lineChart>
      <c:catAx>
        <c:axId val="10116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57984"/>
        <c:crosses val="autoZero"/>
        <c:auto val="1"/>
        <c:lblAlgn val="ctr"/>
        <c:lblOffset val="100"/>
      </c:catAx>
      <c:valAx>
        <c:axId val="101257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6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27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290752"/>
        <c:axId val="101292288"/>
      </c:lineChart>
      <c:catAx>
        <c:axId val="10129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92288"/>
        <c:crosses val="autoZero"/>
        <c:auto val="1"/>
        <c:lblAlgn val="ctr"/>
        <c:lblOffset val="100"/>
      </c:catAx>
      <c:valAx>
        <c:axId val="101292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9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69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398400"/>
        <c:axId val="101399936"/>
      </c:lineChart>
      <c:catAx>
        <c:axId val="10139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9936"/>
        <c:crosses val="autoZero"/>
        <c:auto val="1"/>
        <c:lblAlgn val="ctr"/>
        <c:lblOffset val="100"/>
      </c:catAx>
      <c:valAx>
        <c:axId val="10139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274"/>
          <c:w val="0.135416885389349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20032"/>
        <c:axId val="101425920"/>
      </c:lineChart>
      <c:catAx>
        <c:axId val="10142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25920"/>
        <c:crosses val="autoZero"/>
        <c:auto val="1"/>
        <c:lblAlgn val="ctr"/>
        <c:lblOffset val="100"/>
      </c:catAx>
      <c:valAx>
        <c:axId val="1014259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2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783"/>
          <c:y val="0.54325368498487869"/>
          <c:w val="0.11458355205599259"/>
          <c:h val="4.49826989619463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-658.02258064514899</c:v>
                </c:pt>
                <c:pt idx="11">
                  <c:v>-660.69032258065999</c:v>
                </c:pt>
                <c:pt idx="12">
                  <c:v>-920.03225806451519</c:v>
                </c:pt>
                <c:pt idx="13">
                  <c:v>-882.36451612904784</c:v>
                </c:pt>
                <c:pt idx="14">
                  <c:v>-816.69677419350774</c:v>
                </c:pt>
                <c:pt idx="15">
                  <c:v>-754.35806451614189</c:v>
                </c:pt>
                <c:pt idx="16">
                  <c:v>-496.01935483871785</c:v>
                </c:pt>
                <c:pt idx="17">
                  <c:v>-967.36774193546444</c:v>
                </c:pt>
                <c:pt idx="18">
                  <c:v>-376.67741935486265</c:v>
                </c:pt>
                <c:pt idx="19">
                  <c:v>-1156.7096774193487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58304"/>
        <c:axId val="101459840"/>
      </c:lineChart>
      <c:catAx>
        <c:axId val="10145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9840"/>
        <c:crosses val="autoZero"/>
        <c:auto val="1"/>
        <c:lblAlgn val="ctr"/>
        <c:lblOffset val="100"/>
      </c:catAx>
      <c:valAx>
        <c:axId val="101459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21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84416"/>
        <c:axId val="101485952"/>
      </c:lineChart>
      <c:catAx>
        <c:axId val="10148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85952"/>
        <c:crosses val="autoZero"/>
        <c:auto val="1"/>
        <c:lblAlgn val="ctr"/>
        <c:lblOffset val="100"/>
      </c:catAx>
      <c:valAx>
        <c:axId val="10148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8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01"/>
          <c:h val="4.49826989619469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25824"/>
        <c:axId val="101331712"/>
      </c:lineChart>
      <c:catAx>
        <c:axId val="10132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31712"/>
        <c:crosses val="autoZero"/>
        <c:auto val="1"/>
        <c:lblAlgn val="ctr"/>
        <c:lblOffset val="100"/>
      </c:catAx>
      <c:valAx>
        <c:axId val="1013317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69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24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80480"/>
        <c:axId val="101382016"/>
      </c:lineChart>
      <c:catAx>
        <c:axId val="10138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2016"/>
        <c:crosses val="autoZero"/>
        <c:auto val="1"/>
        <c:lblAlgn val="ctr"/>
        <c:lblOffset val="100"/>
      </c:catAx>
      <c:valAx>
        <c:axId val="1013820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9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02816"/>
        <c:axId val="101604352"/>
      </c:lineChart>
      <c:catAx>
        <c:axId val="10160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4352"/>
        <c:crosses val="autoZero"/>
        <c:auto val="1"/>
        <c:lblAlgn val="ctr"/>
        <c:lblOffset val="100"/>
      </c:catAx>
      <c:valAx>
        <c:axId val="10160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022"/>
          <c:y val="0.62975887529635965"/>
          <c:w val="0.13250539334757044"/>
          <c:h val="4.49826989619469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40832"/>
        <c:axId val="101654912"/>
      </c:lineChart>
      <c:catAx>
        <c:axId val="10164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54912"/>
        <c:crosses val="autoZero"/>
        <c:auto val="1"/>
        <c:lblAlgn val="ctr"/>
        <c:lblOffset val="100"/>
      </c:catAx>
      <c:valAx>
        <c:axId val="10165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27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83200"/>
        <c:axId val="101684736"/>
      </c:lineChart>
      <c:catAx>
        <c:axId val="10168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84736"/>
        <c:crosses val="autoZero"/>
        <c:auto val="1"/>
        <c:lblAlgn val="ctr"/>
        <c:lblOffset val="100"/>
      </c:catAx>
      <c:valAx>
        <c:axId val="10168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933"/>
          <c:w val="0.123431181980926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-201.30000000000004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164.99999999999997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1717888"/>
        <c:axId val="101719424"/>
      </c:lineChart>
      <c:catAx>
        <c:axId val="1017178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9424"/>
        <c:crosses val="autoZero"/>
        <c:auto val="1"/>
        <c:lblAlgn val="ctr"/>
        <c:lblOffset val="100"/>
      </c:catAx>
      <c:valAx>
        <c:axId val="1017194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256"/>
          <c:w val="0.156903985328214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26848"/>
        <c:axId val="101749120"/>
      </c:lineChart>
      <c:catAx>
        <c:axId val="10172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49120"/>
        <c:crosses val="autoZero"/>
        <c:auto val="1"/>
        <c:lblAlgn val="ctr"/>
        <c:lblOffset val="100"/>
      </c:catAx>
      <c:valAx>
        <c:axId val="101749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2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056"/>
          <c:h val="4.49826989619471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86688"/>
        <c:axId val="101988224"/>
      </c:lineChart>
      <c:catAx>
        <c:axId val="10198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88224"/>
        <c:crosses val="autoZero"/>
        <c:auto val="1"/>
        <c:lblAlgn val="ctr"/>
        <c:lblOffset val="100"/>
      </c:catAx>
      <c:valAx>
        <c:axId val="10198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8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663"/>
          <c:y val="0.62975887529635965"/>
          <c:w val="0.12164948453608219"/>
          <c:h val="4.49826989619471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40864"/>
        <c:axId val="102342656"/>
      </c:lineChart>
      <c:catAx>
        <c:axId val="1023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42656"/>
        <c:crosses val="autoZero"/>
        <c:auto val="1"/>
        <c:lblAlgn val="ctr"/>
        <c:lblOffset val="100"/>
      </c:catAx>
      <c:valAx>
        <c:axId val="102342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350208"/>
        <c:axId val="102642816"/>
      </c:lineChart>
      <c:catAx>
        <c:axId val="10235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42816"/>
        <c:crosses val="autoZero"/>
        <c:auto val="1"/>
        <c:lblAlgn val="ctr"/>
        <c:lblOffset val="100"/>
      </c:catAx>
      <c:valAx>
        <c:axId val="10264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5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32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-201.30000000000004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164.99999999999997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2852480"/>
        <c:axId val="102854016"/>
      </c:lineChart>
      <c:catAx>
        <c:axId val="102852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54016"/>
        <c:crosses val="autoZero"/>
        <c:auto val="1"/>
        <c:lblAlgn val="ctr"/>
        <c:lblOffset val="100"/>
      </c:catAx>
      <c:valAx>
        <c:axId val="1028540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25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4.7898924738320262E-2</v>
      </c>
      <c r="G2" s="204">
        <f>-tanks!AW6</f>
        <v>1.7999999999883585</v>
      </c>
      <c r="H2" s="333">
        <f>SUM(tanks!AV6)</f>
        <v>0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5.6184003075015025E-2</v>
      </c>
      <c r="G3" s="204">
        <f>-tanks!AW7</f>
        <v>232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5.4494183399439976E-2</v>
      </c>
      <c r="G4" s="204">
        <f>-tanks!AW8</f>
        <v>116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5.2953653415099222E-2</v>
      </c>
      <c r="G5" s="204">
        <f>-tanks!AW9</f>
        <v>53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5.1669467189330201E-2</v>
      </c>
      <c r="G6" s="204">
        <f>-tanks!AW10</f>
        <v>96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3.1924936475919409E-2</v>
      </c>
      <c r="G7" s="204">
        <f>-tanks!AW11</f>
        <v>145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6.278741793003044E-2</v>
      </c>
      <c r="G8" s="204">
        <f>-tanks!AW12</f>
        <v>146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5.0999103593178809E-2</v>
      </c>
      <c r="G9" s="204">
        <f>-tanks!AW13</f>
        <v>115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4.95518066157732E-2</v>
      </c>
      <c r="G10" s="204">
        <f>-tanks!AW14</f>
        <v>110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5.0440317395562109E-2</v>
      </c>
      <c r="G11" s="204">
        <f>-tanks!AW15</f>
        <v>115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10551</v>
      </c>
      <c r="F12" s="333">
        <f>SUM('EDl log'!T14)</f>
        <v>4.7510115622620509E-2</v>
      </c>
      <c r="G12" s="204">
        <f>-tanks!AW16</f>
        <v>132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11193</v>
      </c>
      <c r="F13" s="333">
        <f>SUM('EDl log'!T15)</f>
        <v>4.9796488780725484E-2</v>
      </c>
      <c r="G13" s="204">
        <f>-tanks!AW17</f>
        <v>111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96</v>
      </c>
      <c r="L13" s="334">
        <f>SUM(WATER!J17)</f>
        <v>2.5201612903225805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11177</v>
      </c>
      <c r="F14" s="333">
        <f>SUM('EDl log'!T16)</f>
        <v>5.2974840635385032E-2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10182</v>
      </c>
      <c r="F15" s="333">
        <f>SUM('EDl log'!T17)</f>
        <v>4.3911551984457377E-2</v>
      </c>
      <c r="G15" s="204">
        <f>-tanks!AW19</f>
        <v>126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239</v>
      </c>
      <c r="L15" s="334">
        <f>SUM(WATER!J19)</f>
        <v>1.679060601970576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9917</v>
      </c>
      <c r="F16" s="333">
        <f>SUM('EDl log'!T18)</f>
        <v>5.0771147731873432E-2</v>
      </c>
      <c r="G16" s="204">
        <f>-tanks!AW20</f>
        <v>211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9359</v>
      </c>
      <c r="F17" s="333">
        <f>SUM('EDl log'!T19)</f>
        <v>5.3717694898085734E-2</v>
      </c>
      <c r="G17" s="204">
        <f>-tanks!AW21</f>
        <v>79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9178</v>
      </c>
      <c r="F18" s="333">
        <f>SUM('EDl log'!T20)</f>
        <v>5.1920714516031058E-2</v>
      </c>
      <c r="G18" s="204">
        <f>-tanks!AW22</f>
        <v>173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8824</v>
      </c>
      <c r="F19" s="333">
        <f>SUM('EDl log'!T21)</f>
        <v>4.6425957183402304E-2</v>
      </c>
      <c r="G19" s="204">
        <f>-tanks!AW23</f>
        <v>141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9544</v>
      </c>
      <c r="F20" s="333">
        <f>SUM('EDl log'!T22)</f>
        <v>5.0535700870188771E-2</v>
      </c>
      <c r="G20" s="204">
        <f>-tanks!AW24</f>
        <v>121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9684</v>
      </c>
      <c r="F21" s="333">
        <f>SUM('EDl log'!T23)</f>
        <v>4.700485176526225E-2</v>
      </c>
      <c r="G21" s="204">
        <f>-tanks!AW25</f>
        <v>122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428</v>
      </c>
      <c r="L21" s="334">
        <f>SUM(WATER!J25)</f>
        <v>0.56526982212842936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C7" sqref="C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4052</v>
      </c>
      <c r="F12" s="204">
        <f>ELEC!K13</f>
        <v>1532</v>
      </c>
      <c r="G12" s="204">
        <f>ELEC!I13</f>
        <v>952</v>
      </c>
      <c r="H12" s="204">
        <f>ELEC!E13</f>
        <v>3292</v>
      </c>
      <c r="I12" s="204">
        <f>ELEC!G13</f>
        <v>723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4276</v>
      </c>
      <c r="F13" s="204">
        <f>ELEC!K14</f>
        <v>1432</v>
      </c>
      <c r="G13" s="204">
        <f>ELEC!I14</f>
        <v>1128</v>
      </c>
      <c r="H13" s="204">
        <f>ELEC!E14</f>
        <v>3538</v>
      </c>
      <c r="I13" s="204">
        <f>ELEC!G14</f>
        <v>819</v>
      </c>
      <c r="J13" s="204">
        <f>WATER!Y17</f>
        <v>40</v>
      </c>
      <c r="K13" s="204">
        <f>WATER!AJ17</f>
        <v>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4414</v>
      </c>
      <c r="F14" s="204">
        <f>ELEC!K15</f>
        <v>1466</v>
      </c>
      <c r="G14" s="204">
        <f>ELEC!I15</f>
        <v>1280</v>
      </c>
      <c r="H14" s="204">
        <f>ELEC!E15</f>
        <v>3130</v>
      </c>
      <c r="I14" s="204">
        <f>ELEC!G15</f>
        <v>887</v>
      </c>
      <c r="J14" s="204">
        <f>WATER!Y18</f>
        <v>0</v>
      </c>
      <c r="K14" s="204">
        <f>WATER!AJ18</f>
        <v>39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3676</v>
      </c>
      <c r="F15" s="204">
        <f>ELEC!K16</f>
        <v>1278</v>
      </c>
      <c r="G15" s="204">
        <f>ELEC!I16</f>
        <v>1366</v>
      </c>
      <c r="H15" s="204">
        <f>ELEC!E16</f>
        <v>2972</v>
      </c>
      <c r="I15" s="204">
        <f>ELEC!G16</f>
        <v>890</v>
      </c>
      <c r="J15" s="204">
        <f>WATER!Y19</f>
        <v>0</v>
      </c>
      <c r="K15" s="204">
        <f>WATER!AJ19</f>
        <v>13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3914</v>
      </c>
      <c r="F16" s="204">
        <f>ELEC!K17</f>
        <v>1236</v>
      </c>
      <c r="G16" s="204">
        <f>ELEC!I17</f>
        <v>1114</v>
      </c>
      <c r="H16" s="204">
        <f>ELEC!E17</f>
        <v>2896</v>
      </c>
      <c r="I16" s="204">
        <f>ELEC!G17</f>
        <v>757</v>
      </c>
      <c r="J16" s="204">
        <f>WATER!Y20</f>
        <v>154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3432</v>
      </c>
      <c r="F17" s="204">
        <f>ELEC!K18</f>
        <v>1124</v>
      </c>
      <c r="G17" s="204">
        <f>ELEC!I18</f>
        <v>1096</v>
      </c>
      <c r="H17" s="204">
        <f>ELEC!E18</f>
        <v>2980</v>
      </c>
      <c r="I17" s="204">
        <f>ELEC!G18</f>
        <v>727</v>
      </c>
      <c r="J17" s="204">
        <f>WATER!Y21</f>
        <v>28</v>
      </c>
      <c r="K17" s="204">
        <f>WATER!AJ21</f>
        <v>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3360</v>
      </c>
      <c r="F18" s="204">
        <f>ELEC!K19</f>
        <v>1136</v>
      </c>
      <c r="G18" s="204">
        <f>ELEC!I19</f>
        <v>1052</v>
      </c>
      <c r="H18" s="204">
        <f>ELEC!E19</f>
        <v>2936</v>
      </c>
      <c r="I18" s="204">
        <f>ELEC!G19</f>
        <v>694</v>
      </c>
      <c r="J18" s="204">
        <f>WATER!Y22</f>
        <v>0</v>
      </c>
      <c r="K18" s="204">
        <f>WATER!AJ22</f>
        <v>19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3152</v>
      </c>
      <c r="F19" s="204">
        <f>ELEC!K20</f>
        <v>1152</v>
      </c>
      <c r="G19" s="204">
        <f>ELEC!I20</f>
        <v>1100</v>
      </c>
      <c r="H19" s="204">
        <f>ELEC!E20</f>
        <v>2700</v>
      </c>
      <c r="I19" s="204">
        <f>ELEC!G20</f>
        <v>720</v>
      </c>
      <c r="J19" s="204">
        <f>WATER!Y23</f>
        <v>1</v>
      </c>
      <c r="K19" s="204">
        <f>WATER!AJ23</f>
        <v>36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3552</v>
      </c>
      <c r="F20" s="204">
        <f>ELEC!K21</f>
        <v>1322</v>
      </c>
      <c r="G20" s="204">
        <f>ELEC!I21</f>
        <v>1008</v>
      </c>
      <c r="H20" s="204">
        <f>ELEC!E21</f>
        <v>2824</v>
      </c>
      <c r="I20" s="204">
        <f>ELEC!G21</f>
        <v>838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3812</v>
      </c>
      <c r="F21" s="204">
        <f>ELEC!K22</f>
        <v>1314</v>
      </c>
      <c r="G21" s="204">
        <f>ELEC!I22</f>
        <v>1008</v>
      </c>
      <c r="H21" s="204">
        <f>ELEC!E22</f>
        <v>2664</v>
      </c>
      <c r="I21" s="204">
        <f>ELEC!G22</f>
        <v>886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M1" zoomScale="85" zoomScaleNormal="85" zoomScaleSheetLayoutView="100" workbookViewId="0">
      <pane ySplit="1" topLeftCell="A22" activePane="bottomLeft" state="frozen"/>
      <selection activeCell="C1" sqref="C1"/>
      <selection pane="bottomLeft" activeCell="U22" sqref="U22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v>32325438</v>
      </c>
      <c r="E13" s="314">
        <f t="shared" si="13"/>
        <v>3292</v>
      </c>
      <c r="F13" s="452">
        <v>3880660</v>
      </c>
      <c r="G13" s="315">
        <f t="shared" si="0"/>
        <v>723</v>
      </c>
      <c r="H13" s="452">
        <v>17681002</v>
      </c>
      <c r="I13" s="315">
        <f t="shared" si="14"/>
        <v>952</v>
      </c>
      <c r="J13" s="452">
        <v>28733202</v>
      </c>
      <c r="K13" s="315">
        <f t="shared" si="15"/>
        <v>1532</v>
      </c>
      <c r="L13" s="452">
        <v>23727934</v>
      </c>
      <c r="M13" s="315">
        <f t="shared" si="16"/>
        <v>4052</v>
      </c>
      <c r="N13" s="313">
        <f t="shared" si="17"/>
        <v>10551</v>
      </c>
      <c r="O13" s="474">
        <f t="shared" si="24"/>
        <v>0</v>
      </c>
      <c r="P13" s="452">
        <v>16363</v>
      </c>
      <c r="Q13" s="456">
        <f>(P13-P12)*1000</f>
        <v>2000</v>
      </c>
      <c r="R13" s="456">
        <f t="shared" ref="R13" si="28">N13-Q13</f>
        <v>8551</v>
      </c>
      <c r="S13" s="452">
        <v>9789</v>
      </c>
      <c r="T13" s="476">
        <f t="shared" si="3"/>
        <v>10</v>
      </c>
      <c r="U13" s="452">
        <v>351891</v>
      </c>
      <c r="V13" s="456">
        <f t="shared" si="18"/>
        <v>2227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10</v>
      </c>
      <c r="AF13" s="480">
        <f t="shared" si="12"/>
        <v>2227</v>
      </c>
      <c r="AG13" s="472">
        <f t="shared" si="25"/>
        <v>222.7</v>
      </c>
      <c r="AI13" s="473">
        <f>R13-'EDl log'!B11</f>
        <v>-496631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v>32328976</v>
      </c>
      <c r="E14" s="314">
        <f t="shared" si="13"/>
        <v>3538</v>
      </c>
      <c r="F14" s="605">
        <v>3881479</v>
      </c>
      <c r="G14" s="315">
        <f t="shared" si="0"/>
        <v>819</v>
      </c>
      <c r="H14" s="452">
        <v>17682130</v>
      </c>
      <c r="I14" s="315">
        <f t="shared" si="14"/>
        <v>1128</v>
      </c>
      <c r="J14" s="605">
        <v>28734634</v>
      </c>
      <c r="K14" s="315">
        <f t="shared" si="15"/>
        <v>1432</v>
      </c>
      <c r="L14" s="452">
        <v>23732210</v>
      </c>
      <c r="M14" s="315">
        <f t="shared" si="16"/>
        <v>4276</v>
      </c>
      <c r="N14" s="313">
        <f t="shared" si="17"/>
        <v>11193</v>
      </c>
      <c r="O14" s="474">
        <f t="shared" si="24"/>
        <v>0</v>
      </c>
      <c r="P14" s="606">
        <v>16365</v>
      </c>
      <c r="Q14" s="456">
        <f t="shared" ref="Q14:Q33" si="29">(P14-P13)*1000</f>
        <v>2000</v>
      </c>
      <c r="R14" s="456">
        <f t="shared" ref="R14:R33" si="30">N14-Q14</f>
        <v>9193</v>
      </c>
      <c r="S14" s="452">
        <v>9800</v>
      </c>
      <c r="T14" s="476">
        <f t="shared" si="3"/>
        <v>11</v>
      </c>
      <c r="U14" s="605">
        <v>354363</v>
      </c>
      <c r="V14" s="456">
        <f t="shared" si="18"/>
        <v>2472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11</v>
      </c>
      <c r="AF14" s="480">
        <f t="shared" si="12"/>
        <v>2472</v>
      </c>
      <c r="AG14" s="472">
        <f t="shared" si="25"/>
        <v>224.72727272727272</v>
      </c>
      <c r="AI14" s="473">
        <f>R14-'EDl log'!B12</f>
        <v>-500159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v>32332106</v>
      </c>
      <c r="E15" s="314">
        <f t="shared" si="13"/>
        <v>3130</v>
      </c>
      <c r="F15" s="605">
        <v>3882366</v>
      </c>
      <c r="G15" s="315">
        <f t="shared" si="0"/>
        <v>887</v>
      </c>
      <c r="H15" s="452">
        <v>17683410</v>
      </c>
      <c r="I15" s="315">
        <f t="shared" si="14"/>
        <v>1280</v>
      </c>
      <c r="J15" s="605">
        <v>28736100</v>
      </c>
      <c r="K15" s="315">
        <f t="shared" si="15"/>
        <v>1466</v>
      </c>
      <c r="L15" s="452">
        <v>23736624</v>
      </c>
      <c r="M15" s="315">
        <f t="shared" si="16"/>
        <v>4414</v>
      </c>
      <c r="N15" s="313">
        <f t="shared" si="17"/>
        <v>11177</v>
      </c>
      <c r="O15" s="474">
        <f t="shared" si="24"/>
        <v>0</v>
      </c>
      <c r="P15" s="606">
        <v>16367</v>
      </c>
      <c r="Q15" s="456">
        <f t="shared" si="29"/>
        <v>2000</v>
      </c>
      <c r="R15" s="456">
        <f t="shared" si="30"/>
        <v>9177</v>
      </c>
      <c r="S15" s="452">
        <v>9810</v>
      </c>
      <c r="T15" s="476">
        <f t="shared" si="3"/>
        <v>10</v>
      </c>
      <c r="U15" s="605">
        <v>356636</v>
      </c>
      <c r="V15" s="456">
        <f t="shared" si="18"/>
        <v>2273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10</v>
      </c>
      <c r="AF15" s="480">
        <f t="shared" si="12"/>
        <v>2273</v>
      </c>
      <c r="AG15" s="472">
        <f t="shared" si="25"/>
        <v>227.3</v>
      </c>
      <c r="AI15" s="473">
        <f>R15-'EDl log'!B13</f>
        <v>-504519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v>32335078</v>
      </c>
      <c r="E16" s="314">
        <f t="shared" si="13"/>
        <v>2972</v>
      </c>
      <c r="F16" s="452">
        <v>3883256</v>
      </c>
      <c r="G16" s="315">
        <f t="shared" si="0"/>
        <v>890</v>
      </c>
      <c r="H16" s="452">
        <v>17684776</v>
      </c>
      <c r="I16" s="315">
        <f t="shared" si="14"/>
        <v>1366</v>
      </c>
      <c r="J16" s="452">
        <v>28737378</v>
      </c>
      <c r="K16" s="315">
        <f t="shared" si="15"/>
        <v>1278</v>
      </c>
      <c r="L16" s="452">
        <v>23740300</v>
      </c>
      <c r="M16" s="315">
        <f t="shared" si="16"/>
        <v>3676</v>
      </c>
      <c r="N16" s="313">
        <f t="shared" si="17"/>
        <v>10182</v>
      </c>
      <c r="O16" s="474">
        <f t="shared" si="24"/>
        <v>0</v>
      </c>
      <c r="P16" s="452">
        <v>16370</v>
      </c>
      <c r="Q16" s="456">
        <f t="shared" si="29"/>
        <v>3000</v>
      </c>
      <c r="R16" s="456">
        <f t="shared" si="30"/>
        <v>7182</v>
      </c>
      <c r="S16" s="452">
        <v>9818</v>
      </c>
      <c r="T16" s="476">
        <f t="shared" si="3"/>
        <v>8</v>
      </c>
      <c r="U16" s="452">
        <v>358596</v>
      </c>
      <c r="V16" s="456">
        <f t="shared" si="18"/>
        <v>1960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8</v>
      </c>
      <c r="AF16" s="480">
        <f t="shared" si="12"/>
        <v>1960</v>
      </c>
      <c r="AG16" s="472">
        <f t="shared" si="25"/>
        <v>245</v>
      </c>
      <c r="AI16" s="473">
        <f>R16-'EDl log'!B14</f>
        <v>-511086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v>32337974</v>
      </c>
      <c r="E17" s="314">
        <f t="shared" si="13"/>
        <v>2896</v>
      </c>
      <c r="F17" s="452">
        <v>3884013</v>
      </c>
      <c r="G17" s="315">
        <f t="shared" si="0"/>
        <v>757</v>
      </c>
      <c r="H17" s="452">
        <v>17685890</v>
      </c>
      <c r="I17" s="315">
        <f t="shared" si="14"/>
        <v>1114</v>
      </c>
      <c r="J17" s="452">
        <v>28738614</v>
      </c>
      <c r="K17" s="315">
        <f t="shared" si="15"/>
        <v>1236</v>
      </c>
      <c r="L17" s="452">
        <v>23744214</v>
      </c>
      <c r="M17" s="315">
        <f t="shared" si="16"/>
        <v>3914</v>
      </c>
      <c r="N17" s="313">
        <f t="shared" si="17"/>
        <v>9917</v>
      </c>
      <c r="O17" s="474">
        <f t="shared" si="24"/>
        <v>0</v>
      </c>
      <c r="P17" s="452">
        <v>16372</v>
      </c>
      <c r="Q17" s="456">
        <f t="shared" si="29"/>
        <v>2000</v>
      </c>
      <c r="R17" s="456">
        <f t="shared" si="30"/>
        <v>7917</v>
      </c>
      <c r="S17" s="452">
        <v>9826</v>
      </c>
      <c r="T17" s="476">
        <f t="shared" si="3"/>
        <v>8</v>
      </c>
      <c r="U17" s="452">
        <v>360681</v>
      </c>
      <c r="V17" s="456">
        <f t="shared" si="18"/>
        <v>2085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1">AC17-AC16</f>
        <v>0</v>
      </c>
      <c r="AE17" s="479">
        <f t="shared" si="11"/>
        <v>8</v>
      </c>
      <c r="AF17" s="480">
        <f t="shared" si="12"/>
        <v>2085</v>
      </c>
      <c r="AG17" s="472">
        <f t="shared" si="25"/>
        <v>260.625</v>
      </c>
      <c r="AI17" s="473">
        <f>R17-'EDl log'!B15</f>
        <v>-515278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v>32340954</v>
      </c>
      <c r="E18" s="314">
        <f t="shared" si="13"/>
        <v>2980</v>
      </c>
      <c r="F18" s="452">
        <v>3884740</v>
      </c>
      <c r="G18" s="315">
        <f t="shared" si="0"/>
        <v>727</v>
      </c>
      <c r="H18" s="452">
        <v>17686986</v>
      </c>
      <c r="I18" s="315">
        <f t="shared" si="14"/>
        <v>1096</v>
      </c>
      <c r="J18" s="452">
        <v>28739738</v>
      </c>
      <c r="K18" s="315">
        <f t="shared" si="15"/>
        <v>1124</v>
      </c>
      <c r="L18" s="452">
        <v>23747646</v>
      </c>
      <c r="M18" s="315">
        <f t="shared" si="16"/>
        <v>3432</v>
      </c>
      <c r="N18" s="313">
        <f t="shared" si="17"/>
        <v>9359</v>
      </c>
      <c r="O18" s="474">
        <f t="shared" si="24"/>
        <v>0</v>
      </c>
      <c r="P18" s="452">
        <v>16373</v>
      </c>
      <c r="Q18" s="456">
        <f t="shared" si="29"/>
        <v>1000</v>
      </c>
      <c r="R18" s="456">
        <f t="shared" si="30"/>
        <v>8359</v>
      </c>
      <c r="S18" s="452">
        <v>9834</v>
      </c>
      <c r="T18" s="476">
        <f t="shared" si="3"/>
        <v>8</v>
      </c>
      <c r="U18" s="452">
        <v>362339</v>
      </c>
      <c r="V18" s="456">
        <f t="shared" si="18"/>
        <v>1658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1"/>
        <v>0</v>
      </c>
      <c r="AE18" s="479">
        <f t="shared" si="11"/>
        <v>8</v>
      </c>
      <c r="AF18" s="480">
        <f t="shared" si="12"/>
        <v>1658</v>
      </c>
      <c r="AG18" s="472">
        <f t="shared" si="25"/>
        <v>207.25</v>
      </c>
      <c r="AI18" s="473">
        <f>R18-'EDl log'!B16</f>
        <v>-519614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v>32343890</v>
      </c>
      <c r="E19" s="314">
        <f t="shared" si="13"/>
        <v>2936</v>
      </c>
      <c r="F19" s="452">
        <v>3885434</v>
      </c>
      <c r="G19" s="315">
        <f t="shared" si="0"/>
        <v>694</v>
      </c>
      <c r="H19" s="452">
        <v>17688038</v>
      </c>
      <c r="I19" s="315">
        <f t="shared" si="14"/>
        <v>1052</v>
      </c>
      <c r="J19" s="452">
        <v>28740874</v>
      </c>
      <c r="K19" s="315">
        <f t="shared" si="15"/>
        <v>1136</v>
      </c>
      <c r="L19" s="452">
        <v>23751006</v>
      </c>
      <c r="M19" s="315">
        <f t="shared" si="16"/>
        <v>3360</v>
      </c>
      <c r="N19" s="313">
        <f t="shared" si="17"/>
        <v>9178</v>
      </c>
      <c r="O19" s="474">
        <f t="shared" si="24"/>
        <v>0</v>
      </c>
      <c r="P19" s="452">
        <v>16374</v>
      </c>
      <c r="Q19" s="456">
        <f t="shared" si="29"/>
        <v>1000</v>
      </c>
      <c r="R19" s="456">
        <f t="shared" si="30"/>
        <v>8178</v>
      </c>
      <c r="S19" s="452">
        <v>9843</v>
      </c>
      <c r="T19" s="476">
        <f t="shared" si="3"/>
        <v>9</v>
      </c>
      <c r="U19" s="452">
        <v>363969</v>
      </c>
      <c r="V19" s="456">
        <f t="shared" si="18"/>
        <v>1630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1"/>
        <v>0</v>
      </c>
      <c r="AE19" s="479">
        <f t="shared" si="11"/>
        <v>9</v>
      </c>
      <c r="AF19" s="480">
        <f t="shared" si="12"/>
        <v>1630</v>
      </c>
      <c r="AG19" s="472">
        <f t="shared" si="25"/>
        <v>181.11111111111111</v>
      </c>
      <c r="AI19" s="473">
        <f>R19-'EDl log'!B17</f>
        <v>-523563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v>32346590</v>
      </c>
      <c r="E20" s="314">
        <f t="shared" si="13"/>
        <v>2700</v>
      </c>
      <c r="F20" s="605">
        <v>3886154</v>
      </c>
      <c r="G20" s="315">
        <f t="shared" si="0"/>
        <v>720</v>
      </c>
      <c r="H20" s="452">
        <v>17689138</v>
      </c>
      <c r="I20" s="315">
        <f t="shared" si="14"/>
        <v>1100</v>
      </c>
      <c r="J20" s="605">
        <v>28742026</v>
      </c>
      <c r="K20" s="315">
        <f t="shared" si="15"/>
        <v>1152</v>
      </c>
      <c r="L20" s="452">
        <v>23754158</v>
      </c>
      <c r="M20" s="315">
        <f t="shared" si="16"/>
        <v>3152</v>
      </c>
      <c r="N20" s="313">
        <f t="shared" si="17"/>
        <v>8824</v>
      </c>
      <c r="O20" s="474">
        <f t="shared" si="24"/>
        <v>0</v>
      </c>
      <c r="P20" s="606">
        <v>16376</v>
      </c>
      <c r="Q20" s="456">
        <f t="shared" si="29"/>
        <v>2000</v>
      </c>
      <c r="R20" s="456">
        <f t="shared" si="30"/>
        <v>6824</v>
      </c>
      <c r="S20" s="452">
        <v>9848</v>
      </c>
      <c r="T20" s="476">
        <f t="shared" si="3"/>
        <v>5</v>
      </c>
      <c r="U20" s="605">
        <v>365331</v>
      </c>
      <c r="V20" s="456">
        <f t="shared" si="18"/>
        <v>1362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1"/>
        <v>0</v>
      </c>
      <c r="AE20" s="479">
        <f t="shared" si="11"/>
        <v>5</v>
      </c>
      <c r="AF20" s="480">
        <f t="shared" si="12"/>
        <v>1362</v>
      </c>
      <c r="AG20" s="472">
        <f t="shared" si="25"/>
        <v>272.39999999999998</v>
      </c>
      <c r="AI20" s="473">
        <f>R20-'EDl log'!B18</f>
        <v>-529174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v>32349414</v>
      </c>
      <c r="E21" s="314">
        <f t="shared" si="13"/>
        <v>2824</v>
      </c>
      <c r="F21" s="605">
        <v>3886992</v>
      </c>
      <c r="G21" s="315">
        <f t="shared" si="0"/>
        <v>838</v>
      </c>
      <c r="H21" s="452">
        <v>17690146</v>
      </c>
      <c r="I21" s="315">
        <f t="shared" si="14"/>
        <v>1008</v>
      </c>
      <c r="J21" s="605">
        <v>28743348</v>
      </c>
      <c r="K21" s="315">
        <f t="shared" si="15"/>
        <v>1322</v>
      </c>
      <c r="L21" s="452">
        <v>23757710</v>
      </c>
      <c r="M21" s="315">
        <f t="shared" si="16"/>
        <v>3552</v>
      </c>
      <c r="N21" s="313">
        <f t="shared" si="17"/>
        <v>9544</v>
      </c>
      <c r="O21" s="474">
        <f t="shared" si="24"/>
        <v>0</v>
      </c>
      <c r="P21" s="606">
        <v>16378</v>
      </c>
      <c r="Q21" s="456">
        <f t="shared" si="29"/>
        <v>2000</v>
      </c>
      <c r="R21" s="456">
        <f t="shared" si="30"/>
        <v>7544</v>
      </c>
      <c r="S21" s="452">
        <v>9853</v>
      </c>
      <c r="T21" s="476">
        <f t="shared" si="3"/>
        <v>5</v>
      </c>
      <c r="U21" s="605">
        <v>366682</v>
      </c>
      <c r="V21" s="456">
        <f t="shared" si="18"/>
        <v>1351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1"/>
        <v>0</v>
      </c>
      <c r="AE21" s="479">
        <f t="shared" si="11"/>
        <v>5</v>
      </c>
      <c r="AF21" s="480">
        <f t="shared" si="12"/>
        <v>1351</v>
      </c>
      <c r="AG21" s="472">
        <f t="shared" si="25"/>
        <v>270.2</v>
      </c>
      <c r="AI21" s="473">
        <f>R21-'EDl log'!B19</f>
        <v>-532469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v>32352078</v>
      </c>
      <c r="E22" s="314">
        <f t="shared" si="13"/>
        <v>2664</v>
      </c>
      <c r="F22" s="605">
        <v>3887878</v>
      </c>
      <c r="G22" s="315">
        <f t="shared" si="0"/>
        <v>886</v>
      </c>
      <c r="H22" s="452">
        <v>17691154</v>
      </c>
      <c r="I22" s="315">
        <f t="shared" si="14"/>
        <v>1008</v>
      </c>
      <c r="J22" s="605">
        <v>28744662</v>
      </c>
      <c r="K22" s="315">
        <f t="shared" si="15"/>
        <v>1314</v>
      </c>
      <c r="L22" s="452">
        <v>23761522</v>
      </c>
      <c r="M22" s="315">
        <f t="shared" si="16"/>
        <v>3812</v>
      </c>
      <c r="N22" s="313">
        <f t="shared" si="17"/>
        <v>9684</v>
      </c>
      <c r="O22" s="474">
        <f t="shared" si="24"/>
        <v>0</v>
      </c>
      <c r="P22" s="606">
        <v>16380</v>
      </c>
      <c r="Q22" s="456">
        <f t="shared" si="29"/>
        <v>2000</v>
      </c>
      <c r="R22" s="456">
        <f t="shared" si="30"/>
        <v>7684</v>
      </c>
      <c r="S22" s="452">
        <v>9862</v>
      </c>
      <c r="T22" s="476">
        <f t="shared" si="3"/>
        <v>9</v>
      </c>
      <c r="U22" s="605">
        <v>369012</v>
      </c>
      <c r="V22" s="456">
        <f t="shared" si="18"/>
        <v>2330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1"/>
        <v>0</v>
      </c>
      <c r="AE22" s="479">
        <f t="shared" si="11"/>
        <v>9</v>
      </c>
      <c r="AF22" s="480">
        <f t="shared" si="12"/>
        <v>2330</v>
      </c>
      <c r="AG22" s="472">
        <f t="shared" si="25"/>
        <v>258.88888888888891</v>
      </c>
      <c r="AI22" s="473">
        <f>R22-'EDl log'!B20</f>
        <v>-536613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f t="shared" ref="D22:D33" si="32">D22</f>
        <v>32352078</v>
      </c>
      <c r="E23" s="314">
        <f t="shared" si="13"/>
        <v>0</v>
      </c>
      <c r="F23" s="452">
        <f t="shared" ref="F22:F33" si="33">F22</f>
        <v>3887878</v>
      </c>
      <c r="G23" s="315">
        <f t="shared" si="0"/>
        <v>0</v>
      </c>
      <c r="H23" s="452">
        <f t="shared" ref="H22:H33" si="34">H22</f>
        <v>17691154</v>
      </c>
      <c r="I23" s="445">
        <f t="shared" si="14"/>
        <v>0</v>
      </c>
      <c r="J23" s="452">
        <f t="shared" ref="J22:J33" si="35">J22</f>
        <v>28744662</v>
      </c>
      <c r="K23" s="315">
        <f t="shared" si="15"/>
        <v>0</v>
      </c>
      <c r="L23" s="452">
        <f t="shared" ref="L22:L33" si="36">L22</f>
        <v>23761522</v>
      </c>
      <c r="M23" s="315">
        <f t="shared" si="16"/>
        <v>0</v>
      </c>
      <c r="N23" s="313">
        <f t="shared" si="17"/>
        <v>0</v>
      </c>
      <c r="O23" s="474">
        <f t="shared" si="24"/>
        <v>0</v>
      </c>
      <c r="P23" s="452">
        <f t="shared" ref="P22:P33" si="37">P22</f>
        <v>16380</v>
      </c>
      <c r="Q23" s="456">
        <f t="shared" si="29"/>
        <v>0</v>
      </c>
      <c r="R23" s="456">
        <f t="shared" si="30"/>
        <v>0</v>
      </c>
      <c r="S23" s="452">
        <f t="shared" si="26"/>
        <v>9862</v>
      </c>
      <c r="T23" s="476">
        <f t="shared" si="3"/>
        <v>0</v>
      </c>
      <c r="U23" s="452">
        <f t="shared" si="27"/>
        <v>369012</v>
      </c>
      <c r="V23" s="456">
        <f t="shared" si="18"/>
        <v>0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1"/>
        <v>0</v>
      </c>
      <c r="AE23" s="479">
        <f t="shared" si="11"/>
        <v>0</v>
      </c>
      <c r="AF23" s="480">
        <f t="shared" si="12"/>
        <v>0</v>
      </c>
      <c r="AG23" s="472">
        <f t="shared" si="25"/>
        <v>0</v>
      </c>
      <c r="AI23" s="473">
        <f>R23-'EDl log'!B21</f>
        <v>-548021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f t="shared" si="32"/>
        <v>32352078</v>
      </c>
      <c r="E24" s="314">
        <f t="shared" si="13"/>
        <v>0</v>
      </c>
      <c r="F24" s="452">
        <f t="shared" si="33"/>
        <v>3887878</v>
      </c>
      <c r="G24" s="315">
        <f t="shared" si="0"/>
        <v>0</v>
      </c>
      <c r="H24" s="452">
        <f t="shared" si="34"/>
        <v>17691154</v>
      </c>
      <c r="I24" s="315">
        <f t="shared" si="14"/>
        <v>0</v>
      </c>
      <c r="J24" s="452">
        <f t="shared" si="35"/>
        <v>28744662</v>
      </c>
      <c r="K24" s="315">
        <f t="shared" si="15"/>
        <v>0</v>
      </c>
      <c r="L24" s="452">
        <f t="shared" si="36"/>
        <v>23761522</v>
      </c>
      <c r="M24" s="315">
        <f t="shared" si="16"/>
        <v>0</v>
      </c>
      <c r="N24" s="313">
        <f t="shared" si="17"/>
        <v>0</v>
      </c>
      <c r="O24" s="474">
        <f t="shared" si="24"/>
        <v>0</v>
      </c>
      <c r="P24" s="452">
        <f t="shared" si="37"/>
        <v>16380</v>
      </c>
      <c r="Q24" s="456">
        <f t="shared" si="29"/>
        <v>0</v>
      </c>
      <c r="R24" s="456">
        <f t="shared" si="30"/>
        <v>0</v>
      </c>
      <c r="S24" s="452">
        <f t="shared" si="26"/>
        <v>9862</v>
      </c>
      <c r="T24" s="476">
        <f t="shared" si="3"/>
        <v>0</v>
      </c>
      <c r="U24" s="452">
        <f t="shared" si="27"/>
        <v>369012</v>
      </c>
      <c r="V24" s="456">
        <f t="shared" si="18"/>
        <v>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1"/>
        <v>0</v>
      </c>
      <c r="AE24" s="479">
        <f t="shared" si="11"/>
        <v>0</v>
      </c>
      <c r="AF24" s="480">
        <f t="shared" si="12"/>
        <v>0</v>
      </c>
      <c r="AG24" s="472">
        <f t="shared" si="25"/>
        <v>0</v>
      </c>
      <c r="AI24" s="473">
        <f>R24-'EDl log'!B22</f>
        <v>-552206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si="32"/>
        <v>32352078</v>
      </c>
      <c r="E25" s="314">
        <f t="shared" si="13"/>
        <v>0</v>
      </c>
      <c r="F25" s="452">
        <f t="shared" si="33"/>
        <v>3887878</v>
      </c>
      <c r="G25" s="315">
        <f t="shared" si="0"/>
        <v>0</v>
      </c>
      <c r="H25" s="452">
        <f t="shared" si="34"/>
        <v>17691154</v>
      </c>
      <c r="I25" s="315">
        <f t="shared" si="14"/>
        <v>0</v>
      </c>
      <c r="J25" s="452">
        <f t="shared" si="35"/>
        <v>28744662</v>
      </c>
      <c r="K25" s="315">
        <f t="shared" si="15"/>
        <v>0</v>
      </c>
      <c r="L25" s="452">
        <f t="shared" si="36"/>
        <v>23761522</v>
      </c>
      <c r="M25" s="315">
        <f t="shared" si="16"/>
        <v>0</v>
      </c>
      <c r="N25" s="313">
        <f t="shared" si="17"/>
        <v>0</v>
      </c>
      <c r="O25" s="474">
        <f t="shared" si="24"/>
        <v>0</v>
      </c>
      <c r="P25" s="452">
        <f t="shared" si="37"/>
        <v>16380</v>
      </c>
      <c r="Q25" s="456">
        <f t="shared" si="29"/>
        <v>0</v>
      </c>
      <c r="R25" s="456">
        <f t="shared" si="30"/>
        <v>0</v>
      </c>
      <c r="S25" s="452">
        <f t="shared" si="26"/>
        <v>9862</v>
      </c>
      <c r="T25" s="476">
        <f t="shared" si="3"/>
        <v>0</v>
      </c>
      <c r="U25" s="452">
        <f t="shared" si="27"/>
        <v>369012</v>
      </c>
      <c r="V25" s="456">
        <f t="shared" si="18"/>
        <v>0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1"/>
        <v>0</v>
      </c>
      <c r="AE25" s="479">
        <f t="shared" si="11"/>
        <v>0</v>
      </c>
      <c r="AF25" s="480">
        <f t="shared" si="12"/>
        <v>0</v>
      </c>
      <c r="AG25" s="472">
        <f t="shared" si="25"/>
        <v>0</v>
      </c>
      <c r="AI25" s="473">
        <f>R25-'EDl log'!B23</f>
        <v>-555951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32"/>
        <v>32352078</v>
      </c>
      <c r="E26" s="314">
        <f t="shared" si="13"/>
        <v>0</v>
      </c>
      <c r="F26" s="452">
        <f t="shared" si="33"/>
        <v>3887878</v>
      </c>
      <c r="G26" s="315">
        <f t="shared" si="0"/>
        <v>0</v>
      </c>
      <c r="H26" s="452">
        <f t="shared" si="34"/>
        <v>17691154</v>
      </c>
      <c r="I26" s="315">
        <f t="shared" si="14"/>
        <v>0</v>
      </c>
      <c r="J26" s="452">
        <f t="shared" si="35"/>
        <v>28744662</v>
      </c>
      <c r="K26" s="315">
        <f t="shared" si="15"/>
        <v>0</v>
      </c>
      <c r="L26" s="452">
        <f t="shared" si="36"/>
        <v>23761522</v>
      </c>
      <c r="M26" s="315">
        <f t="shared" si="16"/>
        <v>0</v>
      </c>
      <c r="N26" s="313">
        <f t="shared" si="17"/>
        <v>0</v>
      </c>
      <c r="O26" s="474">
        <f t="shared" si="24"/>
        <v>0</v>
      </c>
      <c r="P26" s="452">
        <f t="shared" si="37"/>
        <v>16380</v>
      </c>
      <c r="Q26" s="456">
        <f t="shared" si="29"/>
        <v>0</v>
      </c>
      <c r="R26" s="456">
        <f t="shared" si="30"/>
        <v>0</v>
      </c>
      <c r="S26" s="452">
        <f t="shared" si="26"/>
        <v>9862</v>
      </c>
      <c r="T26" s="476">
        <f t="shared" si="3"/>
        <v>0</v>
      </c>
      <c r="U26" s="452">
        <f t="shared" si="27"/>
        <v>369012</v>
      </c>
      <c r="V26" s="456">
        <f t="shared" si="18"/>
        <v>0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1"/>
        <v>0</v>
      </c>
      <c r="AE26" s="479">
        <f t="shared" si="11"/>
        <v>0</v>
      </c>
      <c r="AF26" s="480">
        <f t="shared" si="12"/>
        <v>0</v>
      </c>
      <c r="AG26" s="472">
        <f t="shared" si="25"/>
        <v>0</v>
      </c>
      <c r="AI26" s="473">
        <f>R26-'EDl log'!B24</f>
        <v>-555951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32"/>
        <v>32352078</v>
      </c>
      <c r="E27" s="314">
        <f t="shared" si="13"/>
        <v>0</v>
      </c>
      <c r="F27" s="452">
        <f t="shared" si="33"/>
        <v>3887878</v>
      </c>
      <c r="G27" s="315">
        <f>F27-F26</f>
        <v>0</v>
      </c>
      <c r="H27" s="452">
        <f t="shared" si="34"/>
        <v>17691154</v>
      </c>
      <c r="I27" s="315">
        <f t="shared" si="14"/>
        <v>0</v>
      </c>
      <c r="J27" s="452">
        <f t="shared" si="35"/>
        <v>28744662</v>
      </c>
      <c r="K27" s="315">
        <f t="shared" si="15"/>
        <v>0</v>
      </c>
      <c r="L27" s="452">
        <f t="shared" si="36"/>
        <v>23761522</v>
      </c>
      <c r="M27" s="315">
        <f t="shared" si="16"/>
        <v>0</v>
      </c>
      <c r="N27" s="313">
        <f t="shared" si="17"/>
        <v>0</v>
      </c>
      <c r="O27" s="474">
        <f t="shared" si="24"/>
        <v>0</v>
      </c>
      <c r="P27" s="452">
        <f t="shared" si="37"/>
        <v>16380</v>
      </c>
      <c r="Q27" s="456">
        <f t="shared" si="29"/>
        <v>0</v>
      </c>
      <c r="R27" s="456">
        <f t="shared" si="30"/>
        <v>0</v>
      </c>
      <c r="S27" s="452">
        <f t="shared" si="26"/>
        <v>9862</v>
      </c>
      <c r="T27" s="476">
        <f t="shared" si="3"/>
        <v>0</v>
      </c>
      <c r="U27" s="452">
        <f t="shared" si="27"/>
        <v>369012</v>
      </c>
      <c r="V27" s="456">
        <f t="shared" si="18"/>
        <v>0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1"/>
        <v>0</v>
      </c>
      <c r="AE27" s="479">
        <f t="shared" si="11"/>
        <v>0</v>
      </c>
      <c r="AF27" s="480">
        <f t="shared" si="12"/>
        <v>0</v>
      </c>
      <c r="AG27" s="472">
        <f t="shared" si="25"/>
        <v>0</v>
      </c>
      <c r="AI27" s="473">
        <f>R27-'EDl log'!B25</f>
        <v>-555951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32"/>
        <v>32352078</v>
      </c>
      <c r="E28" s="314">
        <f t="shared" si="13"/>
        <v>0</v>
      </c>
      <c r="F28" s="452">
        <f t="shared" si="33"/>
        <v>3887878</v>
      </c>
      <c r="G28" s="315">
        <f t="shared" si="0"/>
        <v>0</v>
      </c>
      <c r="H28" s="452">
        <f t="shared" si="34"/>
        <v>17691154</v>
      </c>
      <c r="I28" s="315">
        <f t="shared" si="14"/>
        <v>0</v>
      </c>
      <c r="J28" s="452">
        <f t="shared" si="35"/>
        <v>28744662</v>
      </c>
      <c r="K28" s="315">
        <f t="shared" si="15"/>
        <v>0</v>
      </c>
      <c r="L28" s="452">
        <f t="shared" si="36"/>
        <v>23761522</v>
      </c>
      <c r="M28" s="315">
        <f t="shared" si="16"/>
        <v>0</v>
      </c>
      <c r="N28" s="313">
        <f t="shared" si="17"/>
        <v>0</v>
      </c>
      <c r="O28" s="474">
        <f t="shared" si="24"/>
        <v>0</v>
      </c>
      <c r="P28" s="452">
        <f t="shared" si="37"/>
        <v>16380</v>
      </c>
      <c r="Q28" s="456">
        <f t="shared" si="29"/>
        <v>0</v>
      </c>
      <c r="R28" s="456">
        <f t="shared" si="30"/>
        <v>0</v>
      </c>
      <c r="S28" s="452">
        <f t="shared" si="26"/>
        <v>9862</v>
      </c>
      <c r="T28" s="476">
        <f t="shared" si="3"/>
        <v>0</v>
      </c>
      <c r="U28" s="452">
        <f t="shared" si="27"/>
        <v>369012</v>
      </c>
      <c r="V28" s="456">
        <f t="shared" si="18"/>
        <v>0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1"/>
        <v>0</v>
      </c>
      <c r="AE28" s="479">
        <f t="shared" si="11"/>
        <v>0</v>
      </c>
      <c r="AF28" s="480">
        <f t="shared" si="12"/>
        <v>0</v>
      </c>
      <c r="AG28" s="472">
        <f t="shared" si="25"/>
        <v>0</v>
      </c>
      <c r="AI28" s="473">
        <f>R28-'EDl log'!B26</f>
        <v>-555951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32"/>
        <v>32352078</v>
      </c>
      <c r="E29" s="314">
        <f t="shared" si="13"/>
        <v>0</v>
      </c>
      <c r="F29" s="452">
        <f t="shared" si="33"/>
        <v>3887878</v>
      </c>
      <c r="G29" s="315">
        <f t="shared" si="0"/>
        <v>0</v>
      </c>
      <c r="H29" s="452">
        <f t="shared" si="34"/>
        <v>17691154</v>
      </c>
      <c r="I29" s="315">
        <f t="shared" si="14"/>
        <v>0</v>
      </c>
      <c r="J29" s="452">
        <f t="shared" si="35"/>
        <v>28744662</v>
      </c>
      <c r="K29" s="315">
        <f t="shared" si="15"/>
        <v>0</v>
      </c>
      <c r="L29" s="452">
        <f t="shared" si="36"/>
        <v>23761522</v>
      </c>
      <c r="M29" s="315">
        <f t="shared" si="16"/>
        <v>0</v>
      </c>
      <c r="N29" s="313">
        <f t="shared" si="17"/>
        <v>0</v>
      </c>
      <c r="O29" s="474">
        <f t="shared" si="24"/>
        <v>0</v>
      </c>
      <c r="P29" s="452">
        <f t="shared" si="37"/>
        <v>16380</v>
      </c>
      <c r="Q29" s="456">
        <f t="shared" si="29"/>
        <v>0</v>
      </c>
      <c r="R29" s="456">
        <f t="shared" si="30"/>
        <v>0</v>
      </c>
      <c r="S29" s="452">
        <f t="shared" si="26"/>
        <v>9862</v>
      </c>
      <c r="T29" s="476">
        <f t="shared" si="3"/>
        <v>0</v>
      </c>
      <c r="U29" s="452">
        <f t="shared" si="27"/>
        <v>369012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1"/>
        <v>0</v>
      </c>
      <c r="AE29" s="479">
        <f t="shared" si="11"/>
        <v>0</v>
      </c>
      <c r="AF29" s="480">
        <f t="shared" si="12"/>
        <v>0</v>
      </c>
      <c r="AG29" s="472">
        <f t="shared" si="25"/>
        <v>0</v>
      </c>
      <c r="AI29" s="473">
        <f>R29-'EDl log'!B27</f>
        <v>-555951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32"/>
        <v>32352078</v>
      </c>
      <c r="E30" s="314">
        <f t="shared" si="13"/>
        <v>0</v>
      </c>
      <c r="F30" s="452">
        <f t="shared" si="33"/>
        <v>3887878</v>
      </c>
      <c r="G30" s="315">
        <f t="shared" si="0"/>
        <v>0</v>
      </c>
      <c r="H30" s="452">
        <f t="shared" si="34"/>
        <v>17691154</v>
      </c>
      <c r="I30" s="315">
        <f t="shared" si="14"/>
        <v>0</v>
      </c>
      <c r="J30" s="452">
        <f t="shared" si="35"/>
        <v>28744662</v>
      </c>
      <c r="K30" s="315">
        <f t="shared" si="15"/>
        <v>0</v>
      </c>
      <c r="L30" s="452">
        <f t="shared" si="36"/>
        <v>23761522</v>
      </c>
      <c r="M30" s="315">
        <f t="shared" si="16"/>
        <v>0</v>
      </c>
      <c r="N30" s="313">
        <f t="shared" si="17"/>
        <v>0</v>
      </c>
      <c r="O30" s="474">
        <f t="shared" si="24"/>
        <v>0</v>
      </c>
      <c r="P30" s="452">
        <f t="shared" si="37"/>
        <v>16380</v>
      </c>
      <c r="Q30" s="456">
        <f t="shared" si="29"/>
        <v>0</v>
      </c>
      <c r="R30" s="456">
        <f t="shared" si="30"/>
        <v>0</v>
      </c>
      <c r="S30" s="452">
        <f t="shared" si="26"/>
        <v>9862</v>
      </c>
      <c r="T30" s="476">
        <f t="shared" si="3"/>
        <v>0</v>
      </c>
      <c r="U30" s="452">
        <f t="shared" si="27"/>
        <v>369012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1"/>
        <v>0</v>
      </c>
      <c r="AE30" s="479">
        <f t="shared" si="11"/>
        <v>0</v>
      </c>
      <c r="AF30" s="480">
        <f t="shared" si="12"/>
        <v>0</v>
      </c>
      <c r="AG30" s="472">
        <f t="shared" si="25"/>
        <v>0</v>
      </c>
      <c r="AI30" s="473">
        <f>R30-'EDl log'!B28</f>
        <v>-555951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32"/>
        <v>32352078</v>
      </c>
      <c r="E31" s="314">
        <f t="shared" si="13"/>
        <v>0</v>
      </c>
      <c r="F31" s="452">
        <f t="shared" si="33"/>
        <v>3887878</v>
      </c>
      <c r="G31" s="315">
        <f t="shared" si="0"/>
        <v>0</v>
      </c>
      <c r="H31" s="452">
        <f t="shared" si="34"/>
        <v>17691154</v>
      </c>
      <c r="I31" s="315">
        <f t="shared" si="14"/>
        <v>0</v>
      </c>
      <c r="J31" s="452">
        <f t="shared" si="35"/>
        <v>28744662</v>
      </c>
      <c r="K31" s="315">
        <f t="shared" si="15"/>
        <v>0</v>
      </c>
      <c r="L31" s="452">
        <f t="shared" si="36"/>
        <v>23761522</v>
      </c>
      <c r="M31" s="315">
        <f t="shared" si="16"/>
        <v>0</v>
      </c>
      <c r="N31" s="313">
        <f t="shared" si="17"/>
        <v>0</v>
      </c>
      <c r="O31" s="474">
        <f t="shared" si="24"/>
        <v>0</v>
      </c>
      <c r="P31" s="452">
        <f t="shared" si="37"/>
        <v>16380</v>
      </c>
      <c r="Q31" s="456">
        <f t="shared" si="29"/>
        <v>0</v>
      </c>
      <c r="R31" s="456">
        <f t="shared" si="30"/>
        <v>0</v>
      </c>
      <c r="S31" s="452">
        <f t="shared" si="26"/>
        <v>9862</v>
      </c>
      <c r="T31" s="476">
        <f t="shared" si="3"/>
        <v>0</v>
      </c>
      <c r="U31" s="452">
        <f t="shared" si="27"/>
        <v>369012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1"/>
        <v>0</v>
      </c>
      <c r="AE31" s="479">
        <f t="shared" si="11"/>
        <v>0</v>
      </c>
      <c r="AF31" s="480">
        <f t="shared" si="12"/>
        <v>0</v>
      </c>
      <c r="AG31" s="472">
        <f t="shared" si="25"/>
        <v>0</v>
      </c>
      <c r="AI31" s="473">
        <f>R31-'EDl log'!B29</f>
        <v>-555951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32"/>
        <v>32352078</v>
      </c>
      <c r="E32" s="314">
        <f t="shared" si="13"/>
        <v>0</v>
      </c>
      <c r="F32" s="452">
        <f t="shared" si="33"/>
        <v>3887878</v>
      </c>
      <c r="G32" s="315">
        <f>F32-F31</f>
        <v>0</v>
      </c>
      <c r="H32" s="452">
        <f t="shared" si="34"/>
        <v>17691154</v>
      </c>
      <c r="I32" s="315">
        <f>H32-H31</f>
        <v>0</v>
      </c>
      <c r="J32" s="452">
        <f t="shared" si="35"/>
        <v>28744662</v>
      </c>
      <c r="K32" s="315">
        <f>J32-J31</f>
        <v>0</v>
      </c>
      <c r="L32" s="452">
        <f t="shared" si="36"/>
        <v>23761522</v>
      </c>
      <c r="M32" s="315">
        <f>L32-L31</f>
        <v>0</v>
      </c>
      <c r="N32" s="313">
        <f>M32+K32+I32+G32+E32</f>
        <v>0</v>
      </c>
      <c r="O32" s="474">
        <f t="shared" si="24"/>
        <v>0</v>
      </c>
      <c r="P32" s="452">
        <f t="shared" si="37"/>
        <v>16380</v>
      </c>
      <c r="Q32" s="456">
        <f t="shared" si="29"/>
        <v>0</v>
      </c>
      <c r="R32" s="456">
        <f t="shared" si="30"/>
        <v>0</v>
      </c>
      <c r="S32" s="452">
        <f t="shared" si="26"/>
        <v>9862</v>
      </c>
      <c r="T32" s="476">
        <f t="shared" si="3"/>
        <v>0</v>
      </c>
      <c r="U32" s="452">
        <f t="shared" si="27"/>
        <v>369012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1"/>
        <v>0</v>
      </c>
      <c r="AE32" s="479">
        <f t="shared" si="11"/>
        <v>0</v>
      </c>
      <c r="AF32" s="480">
        <f>V32+Z32+AD32</f>
        <v>0</v>
      </c>
      <c r="AG32" s="472">
        <f t="shared" si="25"/>
        <v>0</v>
      </c>
      <c r="AI32" s="473">
        <f>R32-'EDl log'!B30</f>
        <v>-555951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32"/>
        <v>32352078</v>
      </c>
      <c r="E33" s="314">
        <f t="shared" ref="E33" si="38">D33-D32</f>
        <v>0</v>
      </c>
      <c r="F33" s="452">
        <f t="shared" si="33"/>
        <v>3887878</v>
      </c>
      <c r="G33" s="315">
        <f>F33-F32</f>
        <v>0</v>
      </c>
      <c r="H33" s="452">
        <f t="shared" si="34"/>
        <v>17691154</v>
      </c>
      <c r="I33" s="315">
        <f>H33-H32</f>
        <v>0</v>
      </c>
      <c r="J33" s="452">
        <f t="shared" si="35"/>
        <v>28744662</v>
      </c>
      <c r="K33" s="315">
        <f>J33-J32</f>
        <v>0</v>
      </c>
      <c r="L33" s="452">
        <f t="shared" si="36"/>
        <v>23761522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7"/>
        <v>16380</v>
      </c>
      <c r="Q33" s="456">
        <f t="shared" si="29"/>
        <v>0</v>
      </c>
      <c r="R33" s="456">
        <f t="shared" si="30"/>
        <v>0</v>
      </c>
      <c r="S33" s="452">
        <f t="shared" si="26"/>
        <v>9862</v>
      </c>
      <c r="T33" s="476">
        <f t="shared" ref="T33" si="40">S33-S32</f>
        <v>0</v>
      </c>
      <c r="U33" s="452">
        <f t="shared" si="27"/>
        <v>369012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-555951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4" activePane="bottomLeft" state="frozen"/>
      <selection activeCell="K1" sqref="K1"/>
      <selection pane="bottomLeft" activeCell="P24" sqref="P2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7" t="s">
        <v>2</v>
      </c>
      <c r="G1" s="628"/>
      <c r="H1" s="628"/>
      <c r="I1" s="629"/>
      <c r="J1" s="285">
        <f>J36</f>
        <v>1</v>
      </c>
      <c r="K1" s="630" t="s">
        <v>4</v>
      </c>
      <c r="L1" s="631"/>
      <c r="M1" s="631"/>
      <c r="N1" s="631"/>
      <c r="O1" s="632"/>
      <c r="P1" s="621" t="s">
        <v>6</v>
      </c>
      <c r="Q1" s="622"/>
      <c r="R1" s="622"/>
      <c r="S1" s="622"/>
      <c r="T1" s="623"/>
      <c r="U1" s="401"/>
      <c r="V1" s="27" t="s">
        <v>104</v>
      </c>
      <c r="W1" s="402"/>
      <c r="X1" s="621" t="s">
        <v>8</v>
      </c>
      <c r="Y1" s="622"/>
      <c r="Z1" s="622"/>
      <c r="AA1" s="622"/>
      <c r="AB1" s="622"/>
      <c r="AC1" s="624" t="s">
        <v>10</v>
      </c>
      <c r="AD1" s="625"/>
      <c r="AE1" s="625"/>
      <c r="AF1" s="626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9"/>
      <c r="R2" s="620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35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5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5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v>227.2</v>
      </c>
      <c r="C15" s="64">
        <v>233</v>
      </c>
      <c r="D15" s="45">
        <f t="shared" si="30"/>
        <v>2.3000000000000114</v>
      </c>
      <c r="E15" s="45">
        <f t="shared" si="9"/>
        <v>19.274000000000097</v>
      </c>
      <c r="F15" s="64"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v>2122</v>
      </c>
      <c r="L15" s="52">
        <f t="shared" si="2"/>
        <v>2</v>
      </c>
      <c r="M15" s="64">
        <v>155733</v>
      </c>
      <c r="N15" s="400">
        <f t="shared" si="3"/>
        <v>132</v>
      </c>
      <c r="O15" s="64">
        <f t="shared" si="13"/>
        <v>211.87499999999994</v>
      </c>
      <c r="P15" s="64">
        <v>1843</v>
      </c>
      <c r="Q15" s="64"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2</v>
      </c>
      <c r="V15" s="62">
        <f t="shared" si="15"/>
        <v>132</v>
      </c>
      <c r="W15" s="404">
        <f t="shared" si="16"/>
        <v>66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132</v>
      </c>
      <c r="AJ15" s="321">
        <f>-tanks!AW16</f>
        <v>132</v>
      </c>
      <c r="AK15" s="321">
        <f t="shared" si="24"/>
        <v>0</v>
      </c>
      <c r="AL15" s="321">
        <f t="shared" si="8"/>
        <v>2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v>225</v>
      </c>
      <c r="C16" s="64">
        <v>231</v>
      </c>
      <c r="D16" s="45">
        <f t="shared" si="30"/>
        <v>2</v>
      </c>
      <c r="E16" s="45">
        <f t="shared" si="9"/>
        <v>16.760000000000002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v>2123</v>
      </c>
      <c r="L16" s="52">
        <f t="shared" si="2"/>
        <v>1</v>
      </c>
      <c r="M16" s="64">
        <v>155791</v>
      </c>
      <c r="N16" s="400">
        <f t="shared" si="3"/>
        <v>58</v>
      </c>
      <c r="O16" s="64">
        <f t="shared" si="13"/>
        <v>211.87499999999994</v>
      </c>
      <c r="P16" s="64">
        <v>1844</v>
      </c>
      <c r="Q16" s="64">
        <v>156494</v>
      </c>
      <c r="R16" s="399">
        <f t="shared" si="40"/>
        <v>53</v>
      </c>
      <c r="S16" s="52">
        <f t="shared" si="5"/>
        <v>1</v>
      </c>
      <c r="T16" s="67">
        <f t="shared" si="31"/>
        <v>0</v>
      </c>
      <c r="U16" s="406">
        <f t="shared" si="14"/>
        <v>2</v>
      </c>
      <c r="V16" s="62">
        <f t="shared" si="15"/>
        <v>111</v>
      </c>
      <c r="W16" s="404">
        <f t="shared" si="16"/>
        <v>55.5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111</v>
      </c>
      <c r="AJ16" s="321">
        <f>-tanks!AW17</f>
        <v>111</v>
      </c>
      <c r="AK16" s="321">
        <f t="shared" si="24"/>
        <v>0</v>
      </c>
      <c r="AL16" s="321">
        <f t="shared" si="8"/>
        <v>2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v>222</v>
      </c>
      <c r="C17" s="64">
        <v>228</v>
      </c>
      <c r="D17" s="45">
        <f t="shared" si="30"/>
        <v>3</v>
      </c>
      <c r="E17" s="45">
        <f t="shared" si="9"/>
        <v>25.14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2123</v>
      </c>
      <c r="L17" s="52">
        <f t="shared" si="2"/>
        <v>0</v>
      </c>
      <c r="M17" s="64">
        <f t="shared" si="42"/>
        <v>155791</v>
      </c>
      <c r="N17" s="400">
        <f t="shared" si="3"/>
        <v>0</v>
      </c>
      <c r="O17" s="64">
        <f t="shared" si="13"/>
        <v>211.87499999999994</v>
      </c>
      <c r="P17" s="64">
        <f t="shared" si="13"/>
        <v>1844</v>
      </c>
      <c r="Q17" s="64">
        <f t="shared" si="13"/>
        <v>156494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v>219.1</v>
      </c>
      <c r="C18" s="64">
        <v>225.2</v>
      </c>
      <c r="D18" s="45">
        <f t="shared" si="30"/>
        <v>2.8000000000000114</v>
      </c>
      <c r="E18" s="45">
        <f t="shared" si="9"/>
        <v>23.464000000000098</v>
      </c>
      <c r="F18" s="64"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v>2124</v>
      </c>
      <c r="L18" s="52">
        <f t="shared" si="2"/>
        <v>1</v>
      </c>
      <c r="M18" s="64">
        <v>155917</v>
      </c>
      <c r="N18" s="400">
        <f t="shared" si="3"/>
        <v>126</v>
      </c>
      <c r="O18" s="64">
        <f t="shared" si="13"/>
        <v>211.87499999999994</v>
      </c>
      <c r="P18" s="64">
        <v>1844</v>
      </c>
      <c r="Q18" s="64">
        <v>156494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1</v>
      </c>
      <c r="V18" s="62">
        <f t="shared" si="15"/>
        <v>126</v>
      </c>
      <c r="W18" s="404"/>
      <c r="X18" s="64"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3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126</v>
      </c>
      <c r="AJ18" s="321">
        <f>-tanks!AW19</f>
        <v>126</v>
      </c>
      <c r="AK18" s="321">
        <f t="shared" si="24"/>
        <v>0</v>
      </c>
      <c r="AL18" s="321">
        <f t="shared" si="8"/>
        <v>1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v>216.3</v>
      </c>
      <c r="C19" s="64">
        <v>223</v>
      </c>
      <c r="D19" s="45">
        <f t="shared" si="30"/>
        <v>2.1999999999999886</v>
      </c>
      <c r="E19" s="45">
        <f t="shared" si="9"/>
        <v>18.435999999999908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v>2126</v>
      </c>
      <c r="L19" s="52">
        <f t="shared" si="2"/>
        <v>2</v>
      </c>
      <c r="M19" s="64">
        <v>156019</v>
      </c>
      <c r="N19" s="400">
        <f t="shared" si="3"/>
        <v>102</v>
      </c>
      <c r="O19" s="64">
        <f t="shared" si="13"/>
        <v>211.87499999999994</v>
      </c>
      <c r="P19" s="64">
        <v>1845</v>
      </c>
      <c r="Q19" s="64">
        <v>156603</v>
      </c>
      <c r="R19" s="399">
        <f t="shared" si="40"/>
        <v>109</v>
      </c>
      <c r="S19" s="52">
        <f t="shared" si="5"/>
        <v>1</v>
      </c>
      <c r="T19" s="67">
        <f t="shared" si="31"/>
        <v>0</v>
      </c>
      <c r="U19" s="406">
        <f t="shared" si="14"/>
        <v>3</v>
      </c>
      <c r="V19" s="62">
        <f t="shared" si="15"/>
        <v>211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3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211</v>
      </c>
      <c r="AJ19" s="321">
        <f>-tanks!AW20</f>
        <v>211</v>
      </c>
      <c r="AK19" s="321">
        <f t="shared" si="24"/>
        <v>0</v>
      </c>
      <c r="AL19" s="321">
        <f t="shared" si="8"/>
        <v>3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v>214</v>
      </c>
      <c r="C20" s="64">
        <v>220</v>
      </c>
      <c r="D20" s="45">
        <f>C19-C20</f>
        <v>3</v>
      </c>
      <c r="E20" s="45">
        <f t="shared" si="9"/>
        <v>25.14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2126</v>
      </c>
      <c r="L20" s="52">
        <f t="shared" si="2"/>
        <v>0</v>
      </c>
      <c r="M20" s="64">
        <f t="shared" si="42"/>
        <v>156019</v>
      </c>
      <c r="N20" s="400">
        <f t="shared" si="3"/>
        <v>0</v>
      </c>
      <c r="O20" s="64">
        <f t="shared" si="13"/>
        <v>211.87499999999994</v>
      </c>
      <c r="P20" s="64">
        <v>1846</v>
      </c>
      <c r="Q20" s="64">
        <v>156682</v>
      </c>
      <c r="R20" s="399">
        <f t="shared" si="40"/>
        <v>79</v>
      </c>
      <c r="S20" s="52">
        <f t="shared" si="5"/>
        <v>1</v>
      </c>
      <c r="T20" s="67">
        <f t="shared" si="31"/>
        <v>0</v>
      </c>
      <c r="U20" s="406">
        <f t="shared" si="14"/>
        <v>1</v>
      </c>
      <c r="V20" s="62">
        <f t="shared" si="15"/>
        <v>79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3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79</v>
      </c>
      <c r="AJ20" s="321">
        <f>-tanks!AW21</f>
        <v>79</v>
      </c>
      <c r="AK20" s="321">
        <f t="shared" si="24"/>
        <v>0</v>
      </c>
      <c r="AL20" s="321">
        <f t="shared" si="8"/>
        <v>1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v>212.2</v>
      </c>
      <c r="C21" s="64">
        <v>219</v>
      </c>
      <c r="D21" s="45">
        <f t="shared" ref="D21:D31" si="44">C20-C21</f>
        <v>1</v>
      </c>
      <c r="E21" s="45">
        <f t="shared" si="9"/>
        <v>8.3800000000000008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v>2128</v>
      </c>
      <c r="L21" s="52">
        <f t="shared" si="2"/>
        <v>2</v>
      </c>
      <c r="M21" s="64">
        <v>156192</v>
      </c>
      <c r="N21" s="400">
        <f t="shared" si="3"/>
        <v>173</v>
      </c>
      <c r="O21" s="64">
        <f t="shared" si="13"/>
        <v>211.87499999999994</v>
      </c>
      <c r="P21" s="64">
        <v>1846</v>
      </c>
      <c r="Q21" s="64">
        <v>156682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2</v>
      </c>
      <c r="V21" s="62">
        <f t="shared" si="15"/>
        <v>173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3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173</v>
      </c>
      <c r="AJ21" s="321">
        <f>-tanks!AW22</f>
        <v>173</v>
      </c>
      <c r="AK21" s="321">
        <f t="shared" si="24"/>
        <v>0</v>
      </c>
      <c r="AL21" s="321">
        <f t="shared" si="8"/>
        <v>2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v>209</v>
      </c>
      <c r="C22" s="64">
        <v>216</v>
      </c>
      <c r="D22" s="45">
        <f t="shared" si="44"/>
        <v>3</v>
      </c>
      <c r="E22" s="45">
        <f t="shared" si="9"/>
        <v>25.14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v>2129</v>
      </c>
      <c r="L22" s="52">
        <f t="shared" si="2"/>
        <v>1</v>
      </c>
      <c r="M22" s="64">
        <v>156284</v>
      </c>
      <c r="N22" s="400">
        <f t="shared" si="3"/>
        <v>92</v>
      </c>
      <c r="O22" s="64">
        <f t="shared" si="13"/>
        <v>211.87499999999994</v>
      </c>
      <c r="P22" s="64">
        <v>1847</v>
      </c>
      <c r="Q22" s="64">
        <v>156731</v>
      </c>
      <c r="R22" s="399">
        <f t="shared" si="40"/>
        <v>49</v>
      </c>
      <c r="S22" s="52">
        <f t="shared" si="5"/>
        <v>1</v>
      </c>
      <c r="T22" s="67">
        <f t="shared" si="31"/>
        <v>0</v>
      </c>
      <c r="U22" s="406">
        <f t="shared" si="14"/>
        <v>2</v>
      </c>
      <c r="V22" s="62">
        <f t="shared" si="15"/>
        <v>141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3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141</v>
      </c>
      <c r="AJ22" s="321">
        <f>-tanks!AW23</f>
        <v>141</v>
      </c>
      <c r="AK22" s="321">
        <f t="shared" si="24"/>
        <v>0</v>
      </c>
      <c r="AL22" s="321">
        <f t="shared" si="8"/>
        <v>2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v>208</v>
      </c>
      <c r="C23" s="64">
        <v>214</v>
      </c>
      <c r="D23" s="45">
        <f t="shared" si="44"/>
        <v>2</v>
      </c>
      <c r="E23" s="45">
        <f t="shared" si="9"/>
        <v>16.760000000000002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v>2130</v>
      </c>
      <c r="L23" s="52">
        <f t="shared" si="2"/>
        <v>1</v>
      </c>
      <c r="M23" s="618">
        <v>156316</v>
      </c>
      <c r="N23" s="400">
        <f t="shared" si="3"/>
        <v>32</v>
      </c>
      <c r="O23" s="64">
        <f t="shared" si="13"/>
        <v>211.87499999999994</v>
      </c>
      <c r="P23" s="64">
        <v>1848</v>
      </c>
      <c r="Q23" s="64">
        <v>156820</v>
      </c>
      <c r="R23" s="399">
        <f t="shared" si="40"/>
        <v>89</v>
      </c>
      <c r="S23" s="52">
        <f t="shared" si="5"/>
        <v>1</v>
      </c>
      <c r="T23" s="67">
        <f t="shared" si="31"/>
        <v>0</v>
      </c>
      <c r="U23" s="406">
        <f t="shared" si="14"/>
        <v>2</v>
      </c>
      <c r="V23" s="62">
        <f t="shared" si="15"/>
        <v>121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3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121</v>
      </c>
      <c r="AJ23" s="321">
        <f>-tanks!AW24</f>
        <v>121</v>
      </c>
      <c r="AK23" s="321">
        <f t="shared" si="24"/>
        <v>0</v>
      </c>
      <c r="AL23" s="321">
        <f t="shared" si="8"/>
        <v>2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v>204</v>
      </c>
      <c r="C24" s="64">
        <v>211</v>
      </c>
      <c r="D24" s="45">
        <f t="shared" si="44"/>
        <v>3</v>
      </c>
      <c r="E24" s="45">
        <f t="shared" si="9"/>
        <v>25.14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v>2131</v>
      </c>
      <c r="L24" s="52">
        <f t="shared" si="2"/>
        <v>1</v>
      </c>
      <c r="M24" s="64">
        <v>156438</v>
      </c>
      <c r="N24" s="400">
        <f t="shared" si="3"/>
        <v>122</v>
      </c>
      <c r="O24" s="64">
        <f t="shared" si="13"/>
        <v>211.87499999999994</v>
      </c>
      <c r="P24" s="64">
        <f t="shared" si="13"/>
        <v>1848</v>
      </c>
      <c r="Q24" s="64">
        <f t="shared" si="13"/>
        <v>156820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1</v>
      </c>
      <c r="V24" s="62">
        <f t="shared" si="15"/>
        <v>122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5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122</v>
      </c>
      <c r="AJ24" s="321">
        <f>-tanks!AW25</f>
        <v>122</v>
      </c>
      <c r="AK24" s="321">
        <f t="shared" si="24"/>
        <v>0</v>
      </c>
      <c r="AL24" s="321">
        <f t="shared" si="8"/>
        <v>1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6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f t="shared" ref="B24:B35" si="47">B24</f>
        <v>204</v>
      </c>
      <c r="C25" s="64">
        <f t="shared" ref="C24:C35" si="48">C24</f>
        <v>211</v>
      </c>
      <c r="D25" s="45">
        <f t="shared" si="44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f t="shared" si="41"/>
        <v>2131</v>
      </c>
      <c r="L25" s="52">
        <f t="shared" si="2"/>
        <v>0</v>
      </c>
      <c r="M25" s="64">
        <f t="shared" si="42"/>
        <v>156438</v>
      </c>
      <c r="N25" s="400">
        <f t="shared" si="3"/>
        <v>0</v>
      </c>
      <c r="O25" s="64">
        <f t="shared" si="13"/>
        <v>211.87499999999994</v>
      </c>
      <c r="P25" s="64">
        <f t="shared" si="13"/>
        <v>1848</v>
      </c>
      <c r="Q25" s="64">
        <f t="shared" si="13"/>
        <v>156820</v>
      </c>
      <c r="R25" s="399">
        <f t="shared" si="40"/>
        <v>0</v>
      </c>
      <c r="S25" s="52">
        <f t="shared" si="5"/>
        <v>0</v>
      </c>
      <c r="T25" s="67">
        <f t="shared" si="31"/>
        <v>0</v>
      </c>
      <c r="U25" s="406">
        <f t="shared" si="14"/>
        <v>0</v>
      </c>
      <c r="V25" s="62">
        <f t="shared" si="15"/>
        <v>0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5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0</v>
      </c>
      <c r="AJ25" s="321">
        <f>-tanks!AW26</f>
        <v>0</v>
      </c>
      <c r="AK25" s="321">
        <f t="shared" si="24"/>
        <v>0</v>
      </c>
      <c r="AL25" s="321">
        <f t="shared" si="8"/>
        <v>0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49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6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f t="shared" si="47"/>
        <v>204</v>
      </c>
      <c r="C26" s="64">
        <f t="shared" si="48"/>
        <v>211</v>
      </c>
      <c r="D26" s="45">
        <f t="shared" si="44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f t="shared" si="41"/>
        <v>2131</v>
      </c>
      <c r="L26" s="52">
        <f t="shared" si="2"/>
        <v>0</v>
      </c>
      <c r="M26" s="64">
        <f t="shared" si="42"/>
        <v>156438</v>
      </c>
      <c r="N26" s="400">
        <f t="shared" si="3"/>
        <v>0</v>
      </c>
      <c r="O26" s="64">
        <f t="shared" si="13"/>
        <v>211.87499999999994</v>
      </c>
      <c r="P26" s="64">
        <f t="shared" si="13"/>
        <v>1848</v>
      </c>
      <c r="Q26" s="64">
        <f t="shared" si="13"/>
        <v>156820</v>
      </c>
      <c r="R26" s="399">
        <f t="shared" si="40"/>
        <v>0</v>
      </c>
      <c r="S26" s="52">
        <f t="shared" si="5"/>
        <v>0</v>
      </c>
      <c r="T26" s="67">
        <f t="shared" si="31"/>
        <v>0</v>
      </c>
      <c r="U26" s="406">
        <f t="shared" si="14"/>
        <v>0</v>
      </c>
      <c r="V26" s="62">
        <f t="shared" si="15"/>
        <v>0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5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0</v>
      </c>
      <c r="AJ26" s="321">
        <f>-tanks!AW27</f>
        <v>0</v>
      </c>
      <c r="AK26" s="321">
        <f t="shared" si="24"/>
        <v>0</v>
      </c>
      <c r="AL26" s="321">
        <f t="shared" si="8"/>
        <v>0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49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6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si="47"/>
        <v>204</v>
      </c>
      <c r="C27" s="64">
        <f t="shared" si="48"/>
        <v>211</v>
      </c>
      <c r="D27" s="45">
        <f t="shared" si="44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1"/>
        <v>2131</v>
      </c>
      <c r="L27" s="52">
        <f t="shared" si="2"/>
        <v>0</v>
      </c>
      <c r="M27" s="64">
        <f t="shared" si="42"/>
        <v>156438</v>
      </c>
      <c r="N27" s="400">
        <f t="shared" si="3"/>
        <v>0</v>
      </c>
      <c r="O27" s="64">
        <f t="shared" si="13"/>
        <v>211.87499999999994</v>
      </c>
      <c r="P27" s="64">
        <f t="shared" si="13"/>
        <v>1848</v>
      </c>
      <c r="Q27" s="64">
        <f t="shared" si="13"/>
        <v>156820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5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8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49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6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7"/>
        <v>204</v>
      </c>
      <c r="C28" s="64">
        <f t="shared" si="48"/>
        <v>211</v>
      </c>
      <c r="D28" s="45">
        <f t="shared" si="44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1"/>
        <v>2131</v>
      </c>
      <c r="L28" s="52">
        <f t="shared" si="2"/>
        <v>0</v>
      </c>
      <c r="M28" s="64">
        <f t="shared" si="42"/>
        <v>156438</v>
      </c>
      <c r="N28" s="400">
        <f t="shared" si="3"/>
        <v>0</v>
      </c>
      <c r="O28" s="64">
        <f t="shared" si="13"/>
        <v>211.87499999999994</v>
      </c>
      <c r="P28" s="64">
        <f t="shared" si="13"/>
        <v>1848</v>
      </c>
      <c r="Q28" s="64">
        <f t="shared" si="13"/>
        <v>156820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5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8"/>
        <v>0</v>
      </c>
      <c r="AM28" s="321">
        <f t="shared" si="25"/>
        <v>0</v>
      </c>
      <c r="AN28" s="64">
        <f t="shared" si="35"/>
        <v>62</v>
      </c>
      <c r="AO28" s="323">
        <f t="shared" ref="AO28:AO34" si="50">(AN28/100)*3000</f>
        <v>1860</v>
      </c>
      <c r="AP28" s="64">
        <f t="shared" si="36"/>
        <v>52</v>
      </c>
      <c r="AQ28" s="323">
        <f t="shared" si="49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6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7"/>
        <v>204</v>
      </c>
      <c r="C29" s="64">
        <f t="shared" si="48"/>
        <v>211</v>
      </c>
      <c r="D29" s="45">
        <f t="shared" si="44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1"/>
        <v>2131</v>
      </c>
      <c r="L29" s="52">
        <f t="shared" si="2"/>
        <v>0</v>
      </c>
      <c r="M29" s="64">
        <f t="shared" si="42"/>
        <v>156438</v>
      </c>
      <c r="N29" s="400">
        <f t="shared" si="3"/>
        <v>0</v>
      </c>
      <c r="O29" s="64">
        <f t="shared" si="13"/>
        <v>211.87499999999994</v>
      </c>
      <c r="P29" s="64">
        <f t="shared" si="13"/>
        <v>1848</v>
      </c>
      <c r="Q29" s="64">
        <f t="shared" si="13"/>
        <v>156820</v>
      </c>
      <c r="R29" s="399">
        <f t="shared" si="40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5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8"/>
        <v>0</v>
      </c>
      <c r="AM29" s="321">
        <f t="shared" si="25"/>
        <v>0</v>
      </c>
      <c r="AN29" s="64">
        <f t="shared" si="35"/>
        <v>62</v>
      </c>
      <c r="AO29" s="323">
        <f t="shared" si="50"/>
        <v>1860</v>
      </c>
      <c r="AP29" s="64">
        <f t="shared" si="36"/>
        <v>52</v>
      </c>
      <c r="AQ29" s="323">
        <f t="shared" si="49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7"/>
        <v>204</v>
      </c>
      <c r="C30" s="64">
        <f t="shared" si="48"/>
        <v>211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1"/>
        <v>2131</v>
      </c>
      <c r="L30" s="52">
        <f t="shared" si="2"/>
        <v>0</v>
      </c>
      <c r="M30" s="64">
        <f t="shared" si="42"/>
        <v>156438</v>
      </c>
      <c r="N30" s="400">
        <f t="shared" si="3"/>
        <v>0</v>
      </c>
      <c r="O30" s="64">
        <f t="shared" si="13"/>
        <v>211.87499999999994</v>
      </c>
      <c r="P30" s="64">
        <f t="shared" si="13"/>
        <v>1848</v>
      </c>
      <c r="Q30" s="64">
        <f t="shared" si="13"/>
        <v>156820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5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8"/>
        <v>0</v>
      </c>
      <c r="AM30" s="321">
        <f t="shared" si="25"/>
        <v>0</v>
      </c>
      <c r="AN30" s="64">
        <f t="shared" si="35"/>
        <v>62</v>
      </c>
      <c r="AO30" s="323">
        <f t="shared" si="50"/>
        <v>1860</v>
      </c>
      <c r="AP30" s="64">
        <f t="shared" si="36"/>
        <v>52</v>
      </c>
      <c r="AQ30" s="323">
        <f t="shared" si="49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6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7"/>
        <v>204</v>
      </c>
      <c r="C31" s="64">
        <f t="shared" si="48"/>
        <v>211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1"/>
        <v>2131</v>
      </c>
      <c r="L31" s="52">
        <f t="shared" si="2"/>
        <v>0</v>
      </c>
      <c r="M31" s="64">
        <f t="shared" si="42"/>
        <v>156438</v>
      </c>
      <c r="N31" s="400">
        <f t="shared" si="3"/>
        <v>0</v>
      </c>
      <c r="O31" s="64">
        <f t="shared" si="13"/>
        <v>211.87499999999994</v>
      </c>
      <c r="P31" s="64">
        <f t="shared" si="13"/>
        <v>1848</v>
      </c>
      <c r="Q31" s="64">
        <f t="shared" si="13"/>
        <v>156820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5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8"/>
        <v>0</v>
      </c>
      <c r="AM31" s="321">
        <f t="shared" si="25"/>
        <v>0</v>
      </c>
      <c r="AN31" s="64">
        <f t="shared" si="35"/>
        <v>62</v>
      </c>
      <c r="AO31" s="323">
        <f t="shared" si="50"/>
        <v>1860</v>
      </c>
      <c r="AP31" s="64">
        <f t="shared" si="36"/>
        <v>52</v>
      </c>
      <c r="AQ31" s="323">
        <f t="shared" si="49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6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7"/>
        <v>204</v>
      </c>
      <c r="C32" s="64">
        <f t="shared" si="48"/>
        <v>211</v>
      </c>
      <c r="D32" s="45">
        <f t="shared" si="30"/>
        <v>0</v>
      </c>
      <c r="E32" s="45">
        <f t="shared" ref="E32:E34" si="51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1"/>
        <v>2131</v>
      </c>
      <c r="L32" s="52">
        <f t="shared" si="2"/>
        <v>0</v>
      </c>
      <c r="M32" s="64">
        <f t="shared" si="42"/>
        <v>156438</v>
      </c>
      <c r="N32" s="400">
        <f t="shared" si="3"/>
        <v>0</v>
      </c>
      <c r="O32" s="64">
        <f t="shared" si="13"/>
        <v>211.87499999999994</v>
      </c>
      <c r="P32" s="64">
        <f t="shared" si="13"/>
        <v>1848</v>
      </c>
      <c r="Q32" s="64">
        <f t="shared" si="13"/>
        <v>156820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5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8"/>
        <v>0</v>
      </c>
      <c r="AM32" s="321">
        <f t="shared" si="25"/>
        <v>0</v>
      </c>
      <c r="AN32" s="64">
        <f t="shared" si="35"/>
        <v>62</v>
      </c>
      <c r="AO32" s="323">
        <f t="shared" si="50"/>
        <v>1860</v>
      </c>
      <c r="AP32" s="64">
        <f t="shared" si="36"/>
        <v>52</v>
      </c>
      <c r="AQ32" s="323">
        <f t="shared" si="49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6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7"/>
        <v>204</v>
      </c>
      <c r="C33" s="64">
        <f t="shared" si="48"/>
        <v>211</v>
      </c>
      <c r="D33" s="45">
        <f t="shared" si="30"/>
        <v>0</v>
      </c>
      <c r="E33" s="45">
        <f t="shared" si="51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1"/>
        <v>2131</v>
      </c>
      <c r="L33" s="52">
        <f t="shared" si="2"/>
        <v>0</v>
      </c>
      <c r="M33" s="64">
        <f t="shared" si="42"/>
        <v>156438</v>
      </c>
      <c r="N33" s="400">
        <f t="shared" si="3"/>
        <v>0</v>
      </c>
      <c r="O33" s="64">
        <f t="shared" si="13"/>
        <v>211.87499999999994</v>
      </c>
      <c r="P33" s="64">
        <f t="shared" si="13"/>
        <v>1848</v>
      </c>
      <c r="Q33" s="64">
        <f t="shared" si="13"/>
        <v>156820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5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8"/>
        <v>0</v>
      </c>
      <c r="AM33" s="321">
        <f t="shared" si="25"/>
        <v>0</v>
      </c>
      <c r="AN33" s="64">
        <f t="shared" si="35"/>
        <v>62</v>
      </c>
      <c r="AO33" s="323">
        <f t="shared" si="50"/>
        <v>1860</v>
      </c>
      <c r="AP33" s="64">
        <f t="shared" si="36"/>
        <v>52</v>
      </c>
      <c r="AQ33" s="323">
        <f t="shared" si="49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6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7"/>
        <v>204</v>
      </c>
      <c r="C34" s="64">
        <f t="shared" si="48"/>
        <v>211</v>
      </c>
      <c r="D34" s="45">
        <f t="shared" si="30"/>
        <v>0</v>
      </c>
      <c r="E34" s="45">
        <f t="shared" si="51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2131</v>
      </c>
      <c r="L34" s="52">
        <f t="shared" si="2"/>
        <v>0</v>
      </c>
      <c r="M34" s="64">
        <f t="shared" si="42"/>
        <v>156438</v>
      </c>
      <c r="N34" s="400">
        <f t="shared" si="3"/>
        <v>0</v>
      </c>
      <c r="O34" s="64">
        <f t="shared" si="13"/>
        <v>211.87499999999994</v>
      </c>
      <c r="P34" s="64">
        <f t="shared" si="13"/>
        <v>1848</v>
      </c>
      <c r="Q34" s="64">
        <f t="shared" si="13"/>
        <v>156820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5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8"/>
        <v>0</v>
      </c>
      <c r="AM34" s="321">
        <f>Y34+AD34</f>
        <v>0</v>
      </c>
      <c r="AN34" s="64">
        <f t="shared" si="35"/>
        <v>62</v>
      </c>
      <c r="AO34" s="323">
        <f t="shared" si="50"/>
        <v>1860</v>
      </c>
      <c r="AP34" s="64">
        <f t="shared" si="36"/>
        <v>52</v>
      </c>
      <c r="AQ34" s="323">
        <f t="shared" si="49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6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7"/>
        <v>204</v>
      </c>
      <c r="C35" s="64">
        <f t="shared" si="48"/>
        <v>211</v>
      </c>
      <c r="D35" s="45">
        <f t="shared" ref="D35" si="52">C34-C35</f>
        <v>0</v>
      </c>
      <c r="E35" s="45">
        <f t="shared" ref="E35" si="53">D35*8.38</f>
        <v>0</v>
      </c>
      <c r="F35" s="64">
        <f t="shared" si="10"/>
        <v>1648</v>
      </c>
      <c r="G35" s="52">
        <f t="shared" ref="G35" si="54">F35-F34</f>
        <v>0</v>
      </c>
      <c r="H35" s="64">
        <f t="shared" si="11"/>
        <v>357868</v>
      </c>
      <c r="I35" s="400">
        <f t="shared" ref="I35" si="55">SUM(H35-H34)</f>
        <v>0</v>
      </c>
      <c r="J35" s="66">
        <f t="shared" ref="J35" si="56">IF(G35&gt;0,I35/G35,0)</f>
        <v>0</v>
      </c>
      <c r="K35" s="64">
        <f t="shared" ref="K35" si="57">K34</f>
        <v>2131</v>
      </c>
      <c r="L35" s="52">
        <f t="shared" ref="L35" si="58">K35-K34</f>
        <v>0</v>
      </c>
      <c r="M35" s="64">
        <f t="shared" si="42"/>
        <v>156438</v>
      </c>
      <c r="N35" s="400">
        <f t="shared" ref="N35" si="59">M35-M34</f>
        <v>0</v>
      </c>
      <c r="O35" s="64">
        <f t="shared" si="13"/>
        <v>211.87499999999994</v>
      </c>
      <c r="P35" s="64">
        <f t="shared" si="13"/>
        <v>1848</v>
      </c>
      <c r="Q35" s="64">
        <f t="shared" si="13"/>
        <v>156820</v>
      </c>
      <c r="R35" s="399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6">
        <f t="shared" ref="U35" si="63">SUM(G35+L35+S35)</f>
        <v>0</v>
      </c>
      <c r="V35" s="62">
        <f t="shared" ref="V35" si="64">R35+N35+I35:I35</f>
        <v>0</v>
      </c>
      <c r="W35" s="404"/>
      <c r="X35" s="64">
        <f t="shared" si="17"/>
        <v>2448</v>
      </c>
      <c r="Y35" s="52">
        <f t="shared" ref="Y35" si="65">X35-X34</f>
        <v>0</v>
      </c>
      <c r="Z35" s="64">
        <f t="shared" si="19"/>
        <v>137506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20"/>
        <v>1933</v>
      </c>
      <c r="AD35" s="45">
        <f t="shared" ref="AD35" si="68">AC35-AC34</f>
        <v>0</v>
      </c>
      <c r="AE35" s="64">
        <f t="shared" si="21"/>
        <v>365212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3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8"/>
        <v>0</v>
      </c>
      <c r="AM35" s="321">
        <f>Y35+AD35</f>
        <v>0</v>
      </c>
      <c r="AN35" s="64">
        <f t="shared" si="35"/>
        <v>62</v>
      </c>
      <c r="AO35" s="323">
        <f t="shared" ref="AO35" si="73">(AN35/100)*3000</f>
        <v>1860</v>
      </c>
      <c r="AP35" s="64">
        <f t="shared" si="36"/>
        <v>52</v>
      </c>
      <c r="AQ35" s="323">
        <f t="shared" ref="AQ35" si="74">(AP35/100)*3000</f>
        <v>1560</v>
      </c>
      <c r="AR35" s="64">
        <f t="shared" si="28"/>
        <v>68</v>
      </c>
      <c r="AS35" s="323">
        <f t="shared" ref="AS35" si="75">(AR35/100)*3000</f>
        <v>2040.0000000000002</v>
      </c>
      <c r="AT35" s="323">
        <f t="shared" ref="AT35" si="76">SUM(AO35+AQ35+AS35)</f>
        <v>5460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1</v>
      </c>
      <c r="V36" s="62">
        <f>SUM(V5:V35)</f>
        <v>2344</v>
      </c>
      <c r="AE36" s="71" t="s">
        <v>385</v>
      </c>
      <c r="AG36" s="348"/>
      <c r="AH36" s="62">
        <f>SUM(AH5:AH35)</f>
        <v>1.7999999999883585</v>
      </c>
      <c r="AL36" s="62">
        <f>SUM(AL5:AL35)</f>
        <v>30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2345.7999999999884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Normal="100" workbookViewId="0">
      <pane ySplit="3" topLeftCell="A25" activePane="bottomLeft" state="frozen"/>
      <selection pane="bottomLeft" activeCell="AX26" sqref="AX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9146473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36" t="s">
        <v>95</v>
      </c>
      <c r="AS2" s="637"/>
      <c r="AT2" s="637"/>
      <c r="AU2" s="637"/>
      <c r="AV2" s="638"/>
      <c r="AW2" s="636" t="s">
        <v>96</v>
      </c>
      <c r="AX2" s="637"/>
      <c r="AY2" s="638"/>
      <c r="AZ2" s="636" t="s">
        <v>98</v>
      </c>
      <c r="BA2" s="637"/>
      <c r="BB2" s="638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33" t="s">
        <v>126</v>
      </c>
      <c r="AO3" s="634"/>
      <c r="AP3" s="635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v>5147</v>
      </c>
      <c r="U16" s="5">
        <f t="shared" si="4"/>
        <v>2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v>34</v>
      </c>
      <c r="AU16" s="430">
        <f t="shared" si="41"/>
        <v>1.1000000000000001</v>
      </c>
      <c r="AV16" s="202">
        <v>27</v>
      </c>
      <c r="AW16" s="5">
        <v>2.9</v>
      </c>
      <c r="AX16" s="202">
        <v>30</v>
      </c>
      <c r="AY16" s="433">
        <f t="shared" si="7"/>
        <v>30.6</v>
      </c>
      <c r="AZ16" s="433">
        <f t="shared" si="28"/>
        <v>29.700000000000003</v>
      </c>
      <c r="BA16" s="433">
        <f t="shared" si="29"/>
        <v>87</v>
      </c>
      <c r="BB16" s="21">
        <f t="shared" si="30"/>
        <v>0</v>
      </c>
      <c r="BC16" s="21">
        <f t="shared" si="31"/>
        <v>-11</v>
      </c>
      <c r="BD16" s="21">
        <f t="shared" si="31"/>
        <v>-2.8999999999999915</v>
      </c>
      <c r="BE16" s="24">
        <f t="shared" si="32"/>
        <v>-13.899999999999991</v>
      </c>
      <c r="BF16" s="96">
        <f t="shared" si="8"/>
        <v>13.899999999999991</v>
      </c>
      <c r="BG16" s="82">
        <f t="shared" si="9"/>
        <v>-13.899999999999991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v>609308</v>
      </c>
      <c r="H17" s="5">
        <f t="shared" si="13"/>
        <v>96</v>
      </c>
      <c r="I17" s="5">
        <f t="shared" si="0"/>
        <v>96</v>
      </c>
      <c r="J17" s="337">
        <f t="shared" si="1"/>
        <v>2.5201612903225805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v>5150</v>
      </c>
      <c r="U17" s="5">
        <f t="shared" si="4"/>
        <v>3</v>
      </c>
      <c r="V17" s="5">
        <f t="shared" si="16"/>
        <v>452</v>
      </c>
      <c r="W17" s="327">
        <f t="shared" si="17"/>
        <v>0</v>
      </c>
      <c r="X17" s="5">
        <v>147801</v>
      </c>
      <c r="Y17" s="327">
        <f t="shared" si="39"/>
        <v>40</v>
      </c>
      <c r="Z17" s="5">
        <v>97215</v>
      </c>
      <c r="AA17" s="83">
        <f t="shared" si="18"/>
        <v>1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1</v>
      </c>
      <c r="AK17" s="330">
        <f t="shared" si="36"/>
        <v>40</v>
      </c>
      <c r="AL17" s="330">
        <f t="shared" si="26"/>
        <v>1</v>
      </c>
      <c r="AM17" s="330">
        <f>'General information '!D17</f>
        <v>26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v>49</v>
      </c>
      <c r="AU17" s="430">
        <f t="shared" si="41"/>
        <v>1.1000000000000001</v>
      </c>
      <c r="AV17" s="202">
        <v>17</v>
      </c>
      <c r="AW17" s="5">
        <v>2.9</v>
      </c>
      <c r="AX17" s="202">
        <v>38</v>
      </c>
      <c r="AY17" s="433">
        <f t="shared" si="7"/>
        <v>44.1</v>
      </c>
      <c r="AZ17" s="433">
        <f t="shared" si="28"/>
        <v>18.700000000000003</v>
      </c>
      <c r="BA17" s="433">
        <f t="shared" si="29"/>
        <v>110.2</v>
      </c>
      <c r="BB17" s="21">
        <f t="shared" si="30"/>
        <v>13.5</v>
      </c>
      <c r="BC17" s="21">
        <f t="shared" si="31"/>
        <v>-11</v>
      </c>
      <c r="BD17" s="21">
        <f t="shared" si="31"/>
        <v>23.200000000000003</v>
      </c>
      <c r="BE17" s="24">
        <f t="shared" si="32"/>
        <v>25.700000000000003</v>
      </c>
      <c r="BF17" s="96">
        <f t="shared" si="8"/>
        <v>70.3</v>
      </c>
      <c r="BG17" s="82">
        <f t="shared" si="9"/>
        <v>25.700000000000003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609308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v>5151</v>
      </c>
      <c r="U18" s="5">
        <f t="shared" si="4"/>
        <v>1</v>
      </c>
      <c r="V18" s="5">
        <f t="shared" si="16"/>
        <v>452</v>
      </c>
      <c r="W18" s="327">
        <f t="shared" si="17"/>
        <v>0</v>
      </c>
      <c r="X18" s="5">
        <f t="shared" si="38"/>
        <v>147801</v>
      </c>
      <c r="Y18" s="327">
        <f t="shared" si="39"/>
        <v>0</v>
      </c>
      <c r="Z18" s="5">
        <v>97254</v>
      </c>
      <c r="AA18" s="83">
        <f t="shared" si="18"/>
        <v>39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39</v>
      </c>
      <c r="AK18" s="330">
        <f t="shared" si="36"/>
        <v>0</v>
      </c>
      <c r="AL18" s="330">
        <f t="shared" si="26"/>
        <v>39</v>
      </c>
      <c r="AM18" s="330">
        <f>'General information '!D18</f>
        <v>26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v>13</v>
      </c>
      <c r="AU18" s="430">
        <f t="shared" si="41"/>
        <v>1.1000000000000001</v>
      </c>
      <c r="AV18" s="202">
        <v>39</v>
      </c>
      <c r="AW18" s="5">
        <v>2.9</v>
      </c>
      <c r="AX18" s="202">
        <v>36</v>
      </c>
      <c r="AY18" s="433">
        <f t="shared" si="7"/>
        <v>11.700000000000001</v>
      </c>
      <c r="AZ18" s="433">
        <f t="shared" si="28"/>
        <v>42.900000000000006</v>
      </c>
      <c r="BA18" s="433">
        <f t="shared" si="29"/>
        <v>104.39999999999999</v>
      </c>
      <c r="BB18" s="21">
        <f t="shared" si="30"/>
        <v>-32.4</v>
      </c>
      <c r="BC18" s="21">
        <f t="shared" si="31"/>
        <v>24.200000000000003</v>
      </c>
      <c r="BD18" s="21">
        <f t="shared" si="31"/>
        <v>-5.8000000000000114</v>
      </c>
      <c r="BE18" s="24">
        <f t="shared" si="32"/>
        <v>-14.000000000000007</v>
      </c>
      <c r="BF18" s="96">
        <f t="shared" si="8"/>
        <v>14.000000000000007</v>
      </c>
      <c r="BG18" s="82">
        <f t="shared" si="9"/>
        <v>-14.000000000000007</v>
      </c>
    </row>
    <row r="19" spans="1:61" ht="15.75" thickBot="1">
      <c r="A19" s="6">
        <f>ELEC!C16</f>
        <v>44118</v>
      </c>
      <c r="B19" s="5">
        <v>109192</v>
      </c>
      <c r="C19" s="5">
        <f t="shared" si="11"/>
        <v>96</v>
      </c>
      <c r="D19" s="424">
        <f t="shared" si="12"/>
        <v>3.5555555555555554</v>
      </c>
      <c r="E19" s="336">
        <f>SUM((C19*$E$4)+(7500/'EDl log'!$A$38))</f>
        <v>401.2954838709677</v>
      </c>
      <c r="F19" s="423"/>
      <c r="G19" s="5">
        <v>609451</v>
      </c>
      <c r="H19" s="5">
        <f t="shared" si="13"/>
        <v>143</v>
      </c>
      <c r="I19" s="5">
        <f t="shared" si="0"/>
        <v>239</v>
      </c>
      <c r="J19" s="337">
        <f t="shared" si="1"/>
        <v>1.679060601970576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v>5151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v>147801</v>
      </c>
      <c r="Y19" s="327">
        <f t="shared" si="39"/>
        <v>0</v>
      </c>
      <c r="Z19" s="5">
        <v>97267</v>
      </c>
      <c r="AA19" s="83">
        <f t="shared" si="18"/>
        <v>13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13</v>
      </c>
      <c r="AK19" s="330">
        <f t="shared" si="36"/>
        <v>0</v>
      </c>
      <c r="AL19" s="330">
        <f t="shared" si="26"/>
        <v>13</v>
      </c>
      <c r="AM19" s="330">
        <f>'General information '!D19</f>
        <v>25.5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v>89</v>
      </c>
      <c r="AU19" s="430">
        <f t="shared" si="41"/>
        <v>1.1000000000000001</v>
      </c>
      <c r="AV19" s="202">
        <v>44</v>
      </c>
      <c r="AW19" s="5">
        <v>2.9</v>
      </c>
      <c r="AX19" s="202">
        <v>52</v>
      </c>
      <c r="AY19" s="433">
        <f t="shared" si="7"/>
        <v>80.100000000000009</v>
      </c>
      <c r="AZ19" s="433">
        <f t="shared" si="28"/>
        <v>48.400000000000006</v>
      </c>
      <c r="BA19" s="433">
        <f t="shared" si="29"/>
        <v>150.79999999999998</v>
      </c>
      <c r="BB19" s="21">
        <f t="shared" si="30"/>
        <v>68.400000000000006</v>
      </c>
      <c r="BC19" s="21">
        <f t="shared" si="31"/>
        <v>5.5</v>
      </c>
      <c r="BD19" s="21">
        <f t="shared" si="31"/>
        <v>46.399999999999991</v>
      </c>
      <c r="BE19" s="24">
        <f t="shared" si="32"/>
        <v>120.3</v>
      </c>
      <c r="BF19" s="96">
        <f t="shared" si="8"/>
        <v>118.7</v>
      </c>
      <c r="BG19" s="82">
        <f t="shared" si="9"/>
        <v>120.3</v>
      </c>
    </row>
    <row r="20" spans="1:61" ht="15.75" thickBot="1">
      <c r="A20" s="6">
        <f>ELEC!C17</f>
        <v>44119</v>
      </c>
      <c r="B20" s="5">
        <f t="shared" si="10"/>
        <v>109192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v>609451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v>5153</v>
      </c>
      <c r="U20" s="5">
        <f t="shared" si="4"/>
        <v>2</v>
      </c>
      <c r="V20" s="5">
        <f t="shared" si="16"/>
        <v>452</v>
      </c>
      <c r="W20" s="327">
        <f t="shared" si="17"/>
        <v>0</v>
      </c>
      <c r="X20" s="5">
        <v>147955</v>
      </c>
      <c r="Y20" s="327">
        <f t="shared" si="39"/>
        <v>154</v>
      </c>
      <c r="Z20" s="5">
        <f t="shared" si="40"/>
        <v>97267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154</v>
      </c>
      <c r="AL20" s="330">
        <f t="shared" si="26"/>
        <v>0</v>
      </c>
      <c r="AM20" s="330">
        <f>'General information '!D20</f>
        <v>25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v>35</v>
      </c>
      <c r="AU20" s="430">
        <f t="shared" si="41"/>
        <v>1.1000000000000001</v>
      </c>
      <c r="AV20" s="202">
        <v>37</v>
      </c>
      <c r="AW20" s="5">
        <v>2.9</v>
      </c>
      <c r="AX20" s="202">
        <v>64</v>
      </c>
      <c r="AY20" s="433">
        <f t="shared" si="7"/>
        <v>31.5</v>
      </c>
      <c r="AZ20" s="433">
        <f t="shared" si="28"/>
        <v>40.700000000000003</v>
      </c>
      <c r="BA20" s="433">
        <f t="shared" si="29"/>
        <v>185.6</v>
      </c>
      <c r="BB20" s="21">
        <f t="shared" si="30"/>
        <v>-48.600000000000009</v>
      </c>
      <c r="BC20" s="21">
        <f t="shared" si="31"/>
        <v>-7.7000000000000028</v>
      </c>
      <c r="BD20" s="21">
        <f t="shared" si="31"/>
        <v>34.800000000000011</v>
      </c>
      <c r="BE20" s="24">
        <f t="shared" si="32"/>
        <v>-21.5</v>
      </c>
      <c r="BF20" s="96">
        <f t="shared" si="8"/>
        <v>21.5</v>
      </c>
      <c r="BG20" s="82">
        <f t="shared" si="9"/>
        <v>-21.5</v>
      </c>
    </row>
    <row r="21" spans="1:61" ht="15.75" thickBot="1">
      <c r="A21" s="6">
        <f>ELEC!C18</f>
        <v>44120</v>
      </c>
      <c r="B21" s="5">
        <f t="shared" si="10"/>
        <v>109192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609451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6568</v>
      </c>
      <c r="L21" s="83">
        <f t="shared" si="37"/>
        <v>13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v>5155</v>
      </c>
      <c r="U21" s="5">
        <f t="shared" si="4"/>
        <v>2</v>
      </c>
      <c r="V21" s="5">
        <f t="shared" si="16"/>
        <v>452</v>
      </c>
      <c r="W21" s="327">
        <f t="shared" si="17"/>
        <v>0</v>
      </c>
      <c r="X21" s="5">
        <v>147983</v>
      </c>
      <c r="Y21" s="327">
        <f>SUM(X21-X20)</f>
        <v>28</v>
      </c>
      <c r="Z21" s="5">
        <v>97270</v>
      </c>
      <c r="AA21" s="83">
        <f t="shared" si="18"/>
        <v>3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3</v>
      </c>
      <c r="AK21" s="330">
        <f t="shared" si="36"/>
        <v>15</v>
      </c>
      <c r="AL21" s="330">
        <f t="shared" si="26"/>
        <v>3</v>
      </c>
      <c r="AM21" s="330">
        <f>'General information '!D21</f>
        <v>25.5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v>84</v>
      </c>
      <c r="AU21" s="430">
        <f t="shared" si="41"/>
        <v>1.1000000000000001</v>
      </c>
      <c r="AV21" s="202">
        <v>30</v>
      </c>
      <c r="AW21" s="5">
        <v>2.9</v>
      </c>
      <c r="AX21" s="202">
        <v>40</v>
      </c>
      <c r="AY21" s="433">
        <f t="shared" si="7"/>
        <v>75.600000000000009</v>
      </c>
      <c r="AZ21" s="433">
        <f t="shared" si="28"/>
        <v>33</v>
      </c>
      <c r="BA21" s="433">
        <f t="shared" si="29"/>
        <v>116</v>
      </c>
      <c r="BB21" s="21">
        <f t="shared" si="30"/>
        <v>44.100000000000009</v>
      </c>
      <c r="BC21" s="21">
        <f t="shared" si="31"/>
        <v>-7.7000000000000028</v>
      </c>
      <c r="BD21" s="21">
        <f t="shared" si="31"/>
        <v>-69.599999999999994</v>
      </c>
      <c r="BE21" s="24">
        <f t="shared" si="32"/>
        <v>-33.199999999999989</v>
      </c>
      <c r="BF21" s="96">
        <f t="shared" si="8"/>
        <v>33.199999999999989</v>
      </c>
      <c r="BG21" s="82">
        <f t="shared" si="9"/>
        <v>-33.199999999999989</v>
      </c>
    </row>
    <row r="22" spans="1:61" ht="15.75" thickBot="1">
      <c r="A22" s="6">
        <f>ELEC!C19</f>
        <v>44121</v>
      </c>
      <c r="B22" s="5">
        <f t="shared" si="10"/>
        <v>109192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609451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6571</v>
      </c>
      <c r="L22" s="83">
        <f t="shared" si="37"/>
        <v>3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v>5156</v>
      </c>
      <c r="U22" s="5">
        <f t="shared" si="4"/>
        <v>1</v>
      </c>
      <c r="V22" s="5">
        <f t="shared" si="16"/>
        <v>452</v>
      </c>
      <c r="W22" s="327">
        <f t="shared" si="17"/>
        <v>0</v>
      </c>
      <c r="X22" s="5">
        <f t="shared" si="38"/>
        <v>147983</v>
      </c>
      <c r="Y22" s="327">
        <f t="shared" si="39"/>
        <v>0</v>
      </c>
      <c r="Z22" s="5">
        <v>97289</v>
      </c>
      <c r="AA22" s="83">
        <f t="shared" si="18"/>
        <v>19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19</v>
      </c>
      <c r="AK22" s="330">
        <f t="shared" si="36"/>
        <v>-3</v>
      </c>
      <c r="AL22" s="330">
        <f t="shared" si="26"/>
        <v>19</v>
      </c>
      <c r="AM22" s="330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5">AS21</f>
        <v>0.9</v>
      </c>
      <c r="AT22" s="202">
        <v>42</v>
      </c>
      <c r="AU22" s="430">
        <f t="shared" si="41"/>
        <v>1.1000000000000001</v>
      </c>
      <c r="AV22" s="202">
        <v>40</v>
      </c>
      <c r="AW22" s="5">
        <v>2.9</v>
      </c>
      <c r="AX22" s="202">
        <v>33</v>
      </c>
      <c r="AY22" s="433">
        <f t="shared" si="7"/>
        <v>37.800000000000004</v>
      </c>
      <c r="AZ22" s="433">
        <f t="shared" si="28"/>
        <v>44</v>
      </c>
      <c r="BA22" s="433">
        <f t="shared" si="29"/>
        <v>95.7</v>
      </c>
      <c r="BB22" s="21">
        <f>AY22-AY21</f>
        <v>-37.800000000000004</v>
      </c>
      <c r="BC22" s="21">
        <f t="shared" si="30"/>
        <v>11</v>
      </c>
      <c r="BD22" s="21">
        <f t="shared" si="30"/>
        <v>-20.299999999999997</v>
      </c>
      <c r="BE22" s="24">
        <f t="shared" si="32"/>
        <v>-47.1</v>
      </c>
      <c r="BF22" s="96">
        <f t="shared" si="8"/>
        <v>47.1</v>
      </c>
      <c r="BG22" s="82">
        <f t="shared" si="9"/>
        <v>-47.1</v>
      </c>
    </row>
    <row r="23" spans="1:61" ht="15.75" thickBot="1">
      <c r="A23" s="6">
        <f>ELEC!C20</f>
        <v>44122</v>
      </c>
      <c r="B23" s="5">
        <f t="shared" si="10"/>
        <v>109192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609451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6571</v>
      </c>
      <c r="L23" s="276">
        <f t="shared" si="37"/>
        <v>0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v>5157</v>
      </c>
      <c r="U23" s="5">
        <f t="shared" si="4"/>
        <v>1</v>
      </c>
      <c r="V23" s="5">
        <f t="shared" si="16"/>
        <v>452</v>
      </c>
      <c r="W23" s="327">
        <f t="shared" si="17"/>
        <v>0</v>
      </c>
      <c r="X23" s="5">
        <v>147984</v>
      </c>
      <c r="Y23" s="327">
        <f t="shared" si="39"/>
        <v>1</v>
      </c>
      <c r="Z23" s="5">
        <v>97325</v>
      </c>
      <c r="AA23" s="83">
        <f t="shared" si="18"/>
        <v>36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v>221.5</v>
      </c>
      <c r="AF23" s="83">
        <f t="shared" si="21"/>
        <v>3.6599999999999966</v>
      </c>
      <c r="AG23" s="5">
        <v>2180.7399999999998</v>
      </c>
      <c r="AH23" s="83">
        <f t="shared" si="23"/>
        <v>4.1599999999998545</v>
      </c>
      <c r="AI23" s="83">
        <f t="shared" si="24"/>
        <v>7.8199999999998511</v>
      </c>
      <c r="AJ23" s="329">
        <f t="shared" si="25"/>
        <v>36</v>
      </c>
      <c r="AK23" s="330">
        <f t="shared" si="36"/>
        <v>1</v>
      </c>
      <c r="AL23" s="330">
        <f t="shared" si="26"/>
        <v>36</v>
      </c>
      <c r="AM23" s="330">
        <f>'General information '!D23</f>
        <v>26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5"/>
        <v>0.9</v>
      </c>
      <c r="AT23" s="202">
        <v>96</v>
      </c>
      <c r="AU23" s="430">
        <f t="shared" si="41"/>
        <v>1.1000000000000001</v>
      </c>
      <c r="AV23" s="202">
        <v>60</v>
      </c>
      <c r="AW23" s="5">
        <v>2.9</v>
      </c>
      <c r="AX23" s="202">
        <v>43</v>
      </c>
      <c r="AY23" s="433">
        <f t="shared" si="7"/>
        <v>86.4</v>
      </c>
      <c r="AZ23" s="433">
        <f t="shared" si="28"/>
        <v>66</v>
      </c>
      <c r="BA23" s="433">
        <f t="shared" si="29"/>
        <v>124.7</v>
      </c>
      <c r="BB23" s="21">
        <f t="shared" si="30"/>
        <v>48.6</v>
      </c>
      <c r="BC23" s="21">
        <f t="shared" si="30"/>
        <v>22</v>
      </c>
      <c r="BD23" s="21">
        <f t="shared" si="30"/>
        <v>29</v>
      </c>
      <c r="BE23" s="24">
        <f t="shared" si="32"/>
        <v>99.6</v>
      </c>
      <c r="BF23" s="96">
        <f t="shared" si="8"/>
        <v>-99.6</v>
      </c>
      <c r="BG23" s="82">
        <f t="shared" si="9"/>
        <v>99.6</v>
      </c>
    </row>
    <row r="24" spans="1:61" ht="15.75" thickBot="1">
      <c r="A24" s="6">
        <f>ELEC!C21</f>
        <v>44123</v>
      </c>
      <c r="B24" s="5">
        <f t="shared" si="10"/>
        <v>109192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609451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6574</v>
      </c>
      <c r="L24" s="276">
        <f t="shared" si="37"/>
        <v>3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v>5158</v>
      </c>
      <c r="U24" s="5">
        <f t="shared" si="4"/>
        <v>1</v>
      </c>
      <c r="V24" s="5">
        <f t="shared" si="16"/>
        <v>452</v>
      </c>
      <c r="W24" s="327">
        <f t="shared" si="17"/>
        <v>0</v>
      </c>
      <c r="X24" s="5">
        <f t="shared" si="38"/>
        <v>147984</v>
      </c>
      <c r="Y24" s="327">
        <f t="shared" si="39"/>
        <v>0</v>
      </c>
      <c r="Z24" s="5">
        <f t="shared" si="40"/>
        <v>97325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221.5</v>
      </c>
      <c r="AF24" s="83">
        <f t="shared" si="21"/>
        <v>0</v>
      </c>
      <c r="AG24" s="5">
        <f t="shared" si="22"/>
        <v>2180.7399999999998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-3</v>
      </c>
      <c r="AL24" s="330">
        <f t="shared" si="26"/>
        <v>0</v>
      </c>
      <c r="AM24" s="330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5"/>
        <v>0.9</v>
      </c>
      <c r="AT24" s="202">
        <v>55</v>
      </c>
      <c r="AU24" s="430">
        <f t="shared" si="41"/>
        <v>1.1000000000000001</v>
      </c>
      <c r="AV24" s="202">
        <v>53</v>
      </c>
      <c r="AW24" s="5">
        <v>2.9</v>
      </c>
      <c r="AX24" s="202">
        <v>82</v>
      </c>
      <c r="AY24" s="433">
        <f t="shared" si="7"/>
        <v>49.5</v>
      </c>
      <c r="AZ24" s="433">
        <f t="shared" si="28"/>
        <v>58.300000000000004</v>
      </c>
      <c r="BA24" s="433">
        <f t="shared" si="29"/>
        <v>237.79999999999998</v>
      </c>
      <c r="BB24" s="21">
        <f t="shared" si="30"/>
        <v>-36.900000000000006</v>
      </c>
      <c r="BC24" s="21">
        <f t="shared" si="30"/>
        <v>-7.6999999999999957</v>
      </c>
      <c r="BD24" s="21">
        <f t="shared" si="30"/>
        <v>113.09999999999998</v>
      </c>
      <c r="BE24" s="24">
        <f t="shared" si="32"/>
        <v>68.499999999999972</v>
      </c>
      <c r="BF24" s="96">
        <f t="shared" si="8"/>
        <v>-68.499999999999972</v>
      </c>
      <c r="BG24" s="82">
        <f t="shared" si="9"/>
        <v>68.499999999999972</v>
      </c>
      <c r="BI24" s="82"/>
    </row>
    <row r="25" spans="1:61" ht="15.75" thickBot="1">
      <c r="A25" s="6">
        <f>ELEC!C22</f>
        <v>44124</v>
      </c>
      <c r="B25" s="5">
        <f t="shared" si="10"/>
        <v>109192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v>609879</v>
      </c>
      <c r="H25" s="5">
        <f t="shared" si="13"/>
        <v>428</v>
      </c>
      <c r="I25" s="5">
        <f t="shared" si="0"/>
        <v>428</v>
      </c>
      <c r="J25" s="337">
        <f t="shared" si="1"/>
        <v>0.56526982212842936</v>
      </c>
      <c r="K25" s="5">
        <f>'Swimming Pool quality check '!H25</f>
        <v>6577</v>
      </c>
      <c r="L25" s="276">
        <f t="shared" si="37"/>
        <v>3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ref="T25:T36" si="46">T24</f>
        <v>5158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147984</v>
      </c>
      <c r="Y25" s="327">
        <f t="shared" si="39"/>
        <v>0</v>
      </c>
      <c r="Z25" s="5">
        <f t="shared" si="40"/>
        <v>97325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221.5</v>
      </c>
      <c r="AF25" s="83">
        <f t="shared" si="21"/>
        <v>0</v>
      </c>
      <c r="AG25" s="5">
        <f t="shared" si="22"/>
        <v>2180.7399999999998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-3</v>
      </c>
      <c r="AL25" s="330">
        <f t="shared" si="26"/>
        <v>0</v>
      </c>
      <c r="AM25" s="330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5"/>
        <v>0.9</v>
      </c>
      <c r="AT25" s="202">
        <v>112</v>
      </c>
      <c r="AU25" s="430">
        <f t="shared" si="41"/>
        <v>1.1000000000000001</v>
      </c>
      <c r="AV25" s="202">
        <v>47</v>
      </c>
      <c r="AW25" s="5">
        <v>2.9</v>
      </c>
      <c r="AX25" s="202">
        <v>80</v>
      </c>
      <c r="AY25" s="433">
        <f t="shared" si="7"/>
        <v>100.8</v>
      </c>
      <c r="AZ25" s="433">
        <f t="shared" si="28"/>
        <v>51.7</v>
      </c>
      <c r="BA25" s="433">
        <f t="shared" si="29"/>
        <v>232</v>
      </c>
      <c r="BB25" s="21">
        <f t="shared" si="30"/>
        <v>51.3</v>
      </c>
      <c r="BC25" s="21">
        <f t="shared" si="30"/>
        <v>-6.6000000000000014</v>
      </c>
      <c r="BD25" s="21">
        <f t="shared" si="30"/>
        <v>-5.7999999999999829</v>
      </c>
      <c r="BE25" s="24">
        <f t="shared" si="32"/>
        <v>38.900000000000013</v>
      </c>
      <c r="BF25" s="96">
        <f t="shared" si="8"/>
        <v>389.09999999999997</v>
      </c>
      <c r="BG25" s="82">
        <f t="shared" si="9"/>
        <v>38.900000000000034</v>
      </c>
    </row>
    <row r="26" spans="1:61" ht="15.75" thickBot="1">
      <c r="A26" s="6">
        <f>ELEC!C23</f>
        <v>44125</v>
      </c>
      <c r="B26" s="5">
        <f t="shared" si="10"/>
        <v>109192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609879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6577</v>
      </c>
      <c r="L26" s="276">
        <f t="shared" si="37"/>
        <v>0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f t="shared" si="46"/>
        <v>5158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147984</v>
      </c>
      <c r="Y26" s="327">
        <f t="shared" si="39"/>
        <v>0</v>
      </c>
      <c r="Z26" s="5">
        <f t="shared" si="40"/>
        <v>97325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221.5</v>
      </c>
      <c r="AF26" s="83">
        <f t="shared" si="21"/>
        <v>0</v>
      </c>
      <c r="AG26" s="5">
        <f t="shared" si="22"/>
        <v>2180.7399999999998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 t="shared" si="36"/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5"/>
        <v>0.9</v>
      </c>
      <c r="AT26" s="202">
        <f t="shared" si="45"/>
        <v>112</v>
      </c>
      <c r="AU26" s="430">
        <f t="shared" si="41"/>
        <v>1.1000000000000001</v>
      </c>
      <c r="AV26" s="202">
        <f t="shared" ref="AV25:AV36" si="47">AV25</f>
        <v>47</v>
      </c>
      <c r="AW26" s="5">
        <v>2.9</v>
      </c>
      <c r="AX26" s="202">
        <f t="shared" ref="AX25:AX36" si="48">AX25</f>
        <v>80</v>
      </c>
      <c r="AY26" s="433">
        <f t="shared" si="7"/>
        <v>100.8</v>
      </c>
      <c r="AZ26" s="433">
        <f t="shared" si="28"/>
        <v>51.7</v>
      </c>
      <c r="BA26" s="433">
        <f t="shared" si="29"/>
        <v>232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45">
        <f t="shared" si="8"/>
        <v>0</v>
      </c>
      <c r="BG26" s="82">
        <f t="shared" si="9"/>
        <v>0</v>
      </c>
    </row>
    <row r="27" spans="1:61" ht="15.75" thickBot="1">
      <c r="A27" s="6">
        <f>ELEC!C24</f>
        <v>44126</v>
      </c>
      <c r="B27" s="5">
        <f t="shared" si="10"/>
        <v>109192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f t="shared" si="33"/>
        <v>609879</v>
      </c>
      <c r="H27" s="5">
        <f t="shared" si="13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6577</v>
      </c>
      <c r="L27" s="276">
        <f t="shared" si="37"/>
        <v>0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6"/>
        <v>5158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f t="shared" si="38"/>
        <v>147984</v>
      </c>
      <c r="Y27" s="327">
        <f>SUM(X27-X26)</f>
        <v>0</v>
      </c>
      <c r="Z27" s="5">
        <f t="shared" si="40"/>
        <v>97325</v>
      </c>
      <c r="AA27" s="83">
        <f t="shared" si="18"/>
        <v>0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221.5</v>
      </c>
      <c r="AF27" s="83">
        <f t="shared" si="21"/>
        <v>0</v>
      </c>
      <c r="AG27" s="5">
        <f t="shared" si="22"/>
        <v>2180.7399999999998</v>
      </c>
      <c r="AH27" s="83">
        <f t="shared" si="23"/>
        <v>0</v>
      </c>
      <c r="AI27" s="83">
        <f t="shared" si="24"/>
        <v>0</v>
      </c>
      <c r="AJ27" s="329">
        <f t="shared" si="25"/>
        <v>0</v>
      </c>
      <c r="AK27" s="330">
        <f t="shared" si="36"/>
        <v>0</v>
      </c>
      <c r="AL27" s="330">
        <f t="shared" si="26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5"/>
        <v>0.9</v>
      </c>
      <c r="AT27" s="202">
        <f t="shared" si="45"/>
        <v>112</v>
      </c>
      <c r="AU27" s="430">
        <f t="shared" si="41"/>
        <v>1.1000000000000001</v>
      </c>
      <c r="AV27" s="202">
        <f t="shared" si="47"/>
        <v>47</v>
      </c>
      <c r="AW27" s="5">
        <v>2.9</v>
      </c>
      <c r="AX27" s="202">
        <f t="shared" si="48"/>
        <v>80</v>
      </c>
      <c r="AY27" s="433">
        <f t="shared" si="7"/>
        <v>100.8</v>
      </c>
      <c r="AZ27" s="433">
        <f t="shared" si="28"/>
        <v>51.7</v>
      </c>
      <c r="BA27" s="433">
        <f t="shared" si="29"/>
        <v>232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44127</v>
      </c>
      <c r="B28" s="5">
        <f t="shared" si="10"/>
        <v>109192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609879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6577</v>
      </c>
      <c r="L28" s="276">
        <f t="shared" si="37"/>
        <v>0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6"/>
        <v>5158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147984</v>
      </c>
      <c r="Y28" s="327">
        <f t="shared" si="39"/>
        <v>0</v>
      </c>
      <c r="Z28" s="5">
        <f t="shared" si="40"/>
        <v>97325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221.5</v>
      </c>
      <c r="AF28" s="83">
        <f t="shared" si="21"/>
        <v>0</v>
      </c>
      <c r="AG28" s="5">
        <f t="shared" si="22"/>
        <v>2180.7399999999998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5"/>
        <v>0.9</v>
      </c>
      <c r="AT28" s="202">
        <f t="shared" si="45"/>
        <v>112</v>
      </c>
      <c r="AU28" s="430">
        <f t="shared" si="41"/>
        <v>1.1000000000000001</v>
      </c>
      <c r="AV28" s="202">
        <f t="shared" si="47"/>
        <v>47</v>
      </c>
      <c r="AW28" s="5">
        <v>2.9</v>
      </c>
      <c r="AX28" s="202">
        <f t="shared" si="48"/>
        <v>80</v>
      </c>
      <c r="AY28" s="433">
        <f t="shared" si="7"/>
        <v>100.8</v>
      </c>
      <c r="AZ28" s="433">
        <f t="shared" si="28"/>
        <v>51.7</v>
      </c>
      <c r="BA28" s="433">
        <f t="shared" si="29"/>
        <v>232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109192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609879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6577</v>
      </c>
      <c r="L29" s="276">
        <f t="shared" si="37"/>
        <v>0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6"/>
        <v>5158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147984</v>
      </c>
      <c r="Y29" s="327">
        <f t="shared" si="39"/>
        <v>0</v>
      </c>
      <c r="Z29" s="5">
        <f t="shared" si="40"/>
        <v>97325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221.5</v>
      </c>
      <c r="AF29" s="83">
        <f t="shared" si="21"/>
        <v>0</v>
      </c>
      <c r="AG29" s="5">
        <f t="shared" si="22"/>
        <v>2180.7399999999998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5"/>
        <v>0.9</v>
      </c>
      <c r="AT29" s="202">
        <f t="shared" si="45"/>
        <v>112</v>
      </c>
      <c r="AU29" s="430">
        <f t="shared" si="41"/>
        <v>1.1000000000000001</v>
      </c>
      <c r="AV29" s="202">
        <f t="shared" si="47"/>
        <v>47</v>
      </c>
      <c r="AW29" s="5">
        <v>2.9</v>
      </c>
      <c r="AX29" s="202">
        <f t="shared" si="48"/>
        <v>80</v>
      </c>
      <c r="AY29" s="433">
        <f t="shared" si="7"/>
        <v>100.8</v>
      </c>
      <c r="AZ29" s="433">
        <f t="shared" si="28"/>
        <v>51.7</v>
      </c>
      <c r="BA29" s="433">
        <f t="shared" si="29"/>
        <v>232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109192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609879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6577</v>
      </c>
      <c r="L30" s="276">
        <f t="shared" si="37"/>
        <v>0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6"/>
        <v>5158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147984</v>
      </c>
      <c r="Y30" s="327">
        <f t="shared" si="39"/>
        <v>0</v>
      </c>
      <c r="Z30" s="5">
        <f t="shared" si="40"/>
        <v>97325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221.5</v>
      </c>
      <c r="AF30" s="83">
        <f t="shared" si="21"/>
        <v>0</v>
      </c>
      <c r="AG30" s="5">
        <f t="shared" si="22"/>
        <v>2180.7399999999998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5"/>
        <v>0.9</v>
      </c>
      <c r="AT30" s="202">
        <f t="shared" si="45"/>
        <v>112</v>
      </c>
      <c r="AU30" s="430">
        <f t="shared" si="41"/>
        <v>1.1000000000000001</v>
      </c>
      <c r="AV30" s="202">
        <f t="shared" si="47"/>
        <v>47</v>
      </c>
      <c r="AW30" s="5">
        <v>2.9</v>
      </c>
      <c r="AX30" s="202">
        <f t="shared" si="48"/>
        <v>80</v>
      </c>
      <c r="AY30" s="433">
        <f t="shared" si="7"/>
        <v>100.8</v>
      </c>
      <c r="AZ30" s="433">
        <f t="shared" si="28"/>
        <v>51.7</v>
      </c>
      <c r="BA30" s="433">
        <f t="shared" si="29"/>
        <v>232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109192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609879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6577</v>
      </c>
      <c r="L31" s="276">
        <f t="shared" si="37"/>
        <v>0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6"/>
        <v>5158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147984</v>
      </c>
      <c r="Y31" s="327">
        <f t="shared" si="39"/>
        <v>0</v>
      </c>
      <c r="Z31" s="5">
        <f t="shared" si="40"/>
        <v>97325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221.5</v>
      </c>
      <c r="AF31" s="83">
        <f t="shared" si="21"/>
        <v>0</v>
      </c>
      <c r="AG31" s="5">
        <f t="shared" si="22"/>
        <v>2180.7399999999998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5"/>
        <v>0.9</v>
      </c>
      <c r="AT31" s="202">
        <f t="shared" si="45"/>
        <v>112</v>
      </c>
      <c r="AU31" s="430">
        <f t="shared" si="41"/>
        <v>1.1000000000000001</v>
      </c>
      <c r="AV31" s="202">
        <f t="shared" si="47"/>
        <v>47</v>
      </c>
      <c r="AW31" s="5">
        <v>2.9</v>
      </c>
      <c r="AX31" s="202">
        <f t="shared" si="48"/>
        <v>80</v>
      </c>
      <c r="AY31" s="433">
        <f t="shared" si="7"/>
        <v>100.8</v>
      </c>
      <c r="AZ31" s="433">
        <f t="shared" si="28"/>
        <v>51.7</v>
      </c>
      <c r="BA31" s="433">
        <f t="shared" si="29"/>
        <v>232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109192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609879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6577</v>
      </c>
      <c r="L32" s="276">
        <f t="shared" si="37"/>
        <v>0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6"/>
        <v>5158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147984</v>
      </c>
      <c r="Y32" s="327">
        <f t="shared" si="39"/>
        <v>0</v>
      </c>
      <c r="Z32" s="5">
        <f t="shared" si="40"/>
        <v>97325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221.5</v>
      </c>
      <c r="AF32" s="83">
        <f t="shared" si="21"/>
        <v>0</v>
      </c>
      <c r="AG32" s="5">
        <f t="shared" si="22"/>
        <v>2180.7399999999998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5"/>
        <v>0.9</v>
      </c>
      <c r="AT32" s="202">
        <f t="shared" si="45"/>
        <v>112</v>
      </c>
      <c r="AU32" s="430">
        <f t="shared" si="41"/>
        <v>1.1000000000000001</v>
      </c>
      <c r="AV32" s="202">
        <f t="shared" si="47"/>
        <v>47</v>
      </c>
      <c r="AW32" s="5">
        <v>2.9</v>
      </c>
      <c r="AX32" s="202">
        <f t="shared" si="48"/>
        <v>80</v>
      </c>
      <c r="AY32" s="433">
        <f t="shared" si="7"/>
        <v>100.8</v>
      </c>
      <c r="AZ32" s="433">
        <f t="shared" si="28"/>
        <v>51.7</v>
      </c>
      <c r="BA32" s="433">
        <f t="shared" si="29"/>
        <v>232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109192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609879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6577</v>
      </c>
      <c r="L33" s="276">
        <f t="shared" si="37"/>
        <v>0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6"/>
        <v>5158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147984</v>
      </c>
      <c r="Y33" s="327">
        <f t="shared" si="39"/>
        <v>0</v>
      </c>
      <c r="Z33" s="5">
        <f t="shared" si="40"/>
        <v>97325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221.5</v>
      </c>
      <c r="AF33" s="83">
        <f>AE33-AE32</f>
        <v>0</v>
      </c>
      <c r="AG33" s="5">
        <f t="shared" si="22"/>
        <v>2180.7399999999998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5"/>
        <v>0.9</v>
      </c>
      <c r="AT33" s="202">
        <f t="shared" si="45"/>
        <v>112</v>
      </c>
      <c r="AU33" s="430">
        <f t="shared" si="41"/>
        <v>1.1000000000000001</v>
      </c>
      <c r="AV33" s="202">
        <f t="shared" si="47"/>
        <v>47</v>
      </c>
      <c r="AW33" s="5">
        <v>2.9</v>
      </c>
      <c r="AX33" s="202">
        <f t="shared" si="48"/>
        <v>80</v>
      </c>
      <c r="AY33" s="433">
        <f t="shared" si="7"/>
        <v>100.8</v>
      </c>
      <c r="AZ33" s="433">
        <f t="shared" si="28"/>
        <v>51.7</v>
      </c>
      <c r="BA33" s="433">
        <f t="shared" si="29"/>
        <v>232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109192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609879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6577</v>
      </c>
      <c r="L34" s="276">
        <f t="shared" si="37"/>
        <v>0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6"/>
        <v>5158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147984</v>
      </c>
      <c r="Y34" s="327">
        <f t="shared" si="39"/>
        <v>0</v>
      </c>
      <c r="Z34" s="5">
        <f t="shared" si="40"/>
        <v>97325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221.5</v>
      </c>
      <c r="AF34" s="83">
        <f t="shared" si="21"/>
        <v>0</v>
      </c>
      <c r="AG34" s="5">
        <f t="shared" si="22"/>
        <v>2180.7399999999998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5"/>
        <v>0.9</v>
      </c>
      <c r="AT34" s="202">
        <f t="shared" si="45"/>
        <v>112</v>
      </c>
      <c r="AU34" s="431">
        <f t="shared" si="41"/>
        <v>1.1000000000000001</v>
      </c>
      <c r="AV34" s="202">
        <f t="shared" si="47"/>
        <v>47</v>
      </c>
      <c r="AW34" s="5">
        <v>2.9</v>
      </c>
      <c r="AX34" s="202">
        <f t="shared" si="48"/>
        <v>80</v>
      </c>
      <c r="AY34" s="433">
        <f t="shared" si="7"/>
        <v>100.8</v>
      </c>
      <c r="AZ34" s="433">
        <f t="shared" si="28"/>
        <v>51.7</v>
      </c>
      <c r="BA34" s="433">
        <f t="shared" si="29"/>
        <v>232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109192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609879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6577</v>
      </c>
      <c r="L35" s="83">
        <f t="shared" si="37"/>
        <v>0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6"/>
        <v>5158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147984</v>
      </c>
      <c r="Y35" s="327">
        <f t="shared" si="39"/>
        <v>0</v>
      </c>
      <c r="Z35" s="5">
        <f t="shared" si="40"/>
        <v>97325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221.5</v>
      </c>
      <c r="AF35" s="83">
        <f t="shared" si="21"/>
        <v>0</v>
      </c>
      <c r="AG35" s="5">
        <f t="shared" si="22"/>
        <v>2180.7399999999998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5"/>
        <v>0.9</v>
      </c>
      <c r="AT35" s="202">
        <f t="shared" si="45"/>
        <v>112</v>
      </c>
      <c r="AU35" s="432">
        <f t="shared" si="41"/>
        <v>1.1000000000000001</v>
      </c>
      <c r="AV35" s="202">
        <f t="shared" si="47"/>
        <v>47</v>
      </c>
      <c r="AW35" s="5">
        <v>2.9</v>
      </c>
      <c r="AX35" s="202">
        <f t="shared" si="48"/>
        <v>80</v>
      </c>
      <c r="AY35" s="433">
        <f t="shared" si="7"/>
        <v>100.8</v>
      </c>
      <c r="AZ35" s="433">
        <f t="shared" si="28"/>
        <v>51.7</v>
      </c>
      <c r="BA35" s="433">
        <f t="shared" si="29"/>
        <v>232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109192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609879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6577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6"/>
        <v>5158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147984</v>
      </c>
      <c r="Y36" s="327">
        <f t="shared" ref="Y36" si="60">SUM(X36-X35)</f>
        <v>0</v>
      </c>
      <c r="Z36" s="5">
        <f t="shared" si="40"/>
        <v>97325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221.5</v>
      </c>
      <c r="AF36" s="83">
        <f t="shared" ref="AF36" si="64">AE36-AE35</f>
        <v>0</v>
      </c>
      <c r="AG36" s="5">
        <f t="shared" si="22"/>
        <v>2180.7399999999998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5"/>
        <v>0.9</v>
      </c>
      <c r="AT36" s="202">
        <f t="shared" si="45"/>
        <v>112</v>
      </c>
      <c r="AU36" s="432">
        <f t="shared" si="41"/>
        <v>1.1000000000000001</v>
      </c>
      <c r="AV36" s="202">
        <f t="shared" si="47"/>
        <v>47</v>
      </c>
      <c r="AW36" s="5">
        <v>2.9</v>
      </c>
      <c r="AX36" s="202">
        <f t="shared" si="48"/>
        <v>80</v>
      </c>
      <c r="AY36" s="433">
        <f t="shared" ref="AY36" si="70">AS36*AT36</f>
        <v>100.8</v>
      </c>
      <c r="AZ36" s="433">
        <f t="shared" ref="AZ36" si="71">AU36*AV36</f>
        <v>51.7</v>
      </c>
      <c r="BA36" s="433">
        <f t="shared" ref="BA36" si="72">AW36*AX36</f>
        <v>232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96</v>
      </c>
      <c r="D37" s="325">
        <f>SUM(D6:D35)</f>
        <v>3.5555555555555554</v>
      </c>
      <c r="F37" s="419">
        <f>SUM(F6:F35)</f>
        <v>0</v>
      </c>
      <c r="H37" s="417">
        <f>SUM(H6:H35)</f>
        <v>1137</v>
      </c>
      <c r="I37" s="417">
        <f>SUM(I6:I35)</f>
        <v>1233</v>
      </c>
      <c r="L37" s="270">
        <f>SUM(L7:L35)</f>
        <v>22</v>
      </c>
      <c r="Q37" s="503">
        <f>SUM(Q5:Q35)</f>
        <v>0</v>
      </c>
      <c r="U37" s="414">
        <f>SUM(U6:U35)</f>
        <v>31</v>
      </c>
      <c r="X37" s="326"/>
      <c r="Y37" s="325" t="e">
        <f>SUM(Y35,Y33,Y31,Y29,Y27,Y25,Y23,Y21,Y19,Y17,Y15,Y13,Y11,Y9,Y7+#REF!)</f>
        <v>#REF!</v>
      </c>
      <c r="AJ37" s="325">
        <f>SUM(AJ6:AJ35)</f>
        <v>267</v>
      </c>
      <c r="AK37" s="330" t="e">
        <f t="shared" si="5"/>
        <v>#REF!</v>
      </c>
      <c r="AL37" s="325">
        <f>SUM(AL6:AL35)</f>
        <v>267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159.35999999999999</v>
      </c>
      <c r="E38" s="335">
        <f>SUM(E6:E35)</f>
        <v>7417.4245161290337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1233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1233</v>
      </c>
      <c r="H39" s="1">
        <f>SUM(H38+C38)</f>
        <v>7659.36</v>
      </c>
      <c r="K39" s="1">
        <f>SUM(H39/G39)</f>
        <v>6.2119708029197076</v>
      </c>
      <c r="AJ39" s="325">
        <f>SUM(C38-AK38)</f>
        <v>159.35999999999999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6" sqref="F26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9" t="s">
        <v>193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1"/>
    </row>
    <row r="2" spans="1:15" ht="15.75" customHeight="1" thickBot="1">
      <c r="A2" s="642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4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>
        <v>30</v>
      </c>
      <c r="C16" s="37">
        <v>26</v>
      </c>
      <c r="D16" s="26">
        <f t="shared" si="3"/>
        <v>28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>
        <v>28</v>
      </c>
      <c r="C17" s="37">
        <v>24</v>
      </c>
      <c r="D17" s="26">
        <f t="shared" si="3"/>
        <v>26</v>
      </c>
      <c r="E17" s="343">
        <v>0.64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>
        <v>27</v>
      </c>
      <c r="C18" s="37">
        <v>25</v>
      </c>
      <c r="D18" s="26">
        <f t="shared" si="3"/>
        <v>26</v>
      </c>
      <c r="E18" s="434">
        <v>0.62</v>
      </c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>
        <v>27</v>
      </c>
      <c r="C19" s="37">
        <v>24</v>
      </c>
      <c r="D19" s="26">
        <f t="shared" si="3"/>
        <v>25.5</v>
      </c>
      <c r="E19" s="343">
        <v>0.56000000000000005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>
        <v>28</v>
      </c>
      <c r="C20" s="37">
        <v>22</v>
      </c>
      <c r="D20" s="26">
        <f t="shared" si="3"/>
        <v>25</v>
      </c>
      <c r="E20" s="343">
        <v>0.65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>
        <v>28</v>
      </c>
      <c r="C21" s="37">
        <v>23</v>
      </c>
      <c r="D21" s="26">
        <f>(C21+B21)/2</f>
        <v>25.5</v>
      </c>
      <c r="E21" s="343">
        <v>0.66</v>
      </c>
      <c r="F21" s="398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>
        <v>27</v>
      </c>
      <c r="C22" s="37">
        <v>22</v>
      </c>
      <c r="D22" s="26">
        <f t="shared" si="3"/>
        <v>24.5</v>
      </c>
      <c r="E22" s="343">
        <v>0.65</v>
      </c>
      <c r="F22" s="398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>
        <v>30</v>
      </c>
      <c r="C23" s="37">
        <v>22</v>
      </c>
      <c r="D23" s="26">
        <f>(C23+B23)/2</f>
        <v>26</v>
      </c>
      <c r="E23" s="343">
        <v>0.52</v>
      </c>
      <c r="F23" s="398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>
        <v>33</v>
      </c>
      <c r="C24" s="37">
        <v>22</v>
      </c>
      <c r="D24" s="26">
        <f t="shared" si="3"/>
        <v>27.5</v>
      </c>
      <c r="E24" s="343">
        <v>0.43</v>
      </c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>
        <v>31</v>
      </c>
      <c r="C25" s="37">
        <v>23</v>
      </c>
      <c r="D25" s="26">
        <f t="shared" si="3"/>
        <v>27</v>
      </c>
      <c r="E25" s="343">
        <v>0.49</v>
      </c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26.55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abSelected="1" topLeftCell="A2" zoomScale="90" zoomScaleNormal="90" workbookViewId="0">
      <pane xSplit="1" topLeftCell="AG1" activePane="topRight" state="frozen"/>
      <selection pane="topRight" activeCell="AR31" sqref="AR3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233</v>
      </c>
      <c r="AT3" s="645" t="s">
        <v>301</v>
      </c>
      <c r="AU3" s="646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-614.35483870968164</v>
      </c>
      <c r="AT6" s="359">
        <v>1</v>
      </c>
      <c r="AU6" s="443"/>
      <c r="AV6" s="526">
        <f>IF(AT6&gt;0,AU6,AV5)</f>
        <v>0</v>
      </c>
      <c r="AW6" s="293">
        <f>-SUM('B5'!AI5)</f>
        <v>-1.7999999999883585</v>
      </c>
      <c r="AX6" s="293">
        <f>-SUM(AW6-AS6)</f>
        <v>-612.55483870969329</v>
      </c>
      <c r="AY6" s="37">
        <f>SUM(AX6+AW6)</f>
        <v>-614.35483870968164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6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227.2</v>
      </c>
      <c r="C16" s="204">
        <f t="shared" si="18"/>
        <v>4888.4645161290318</v>
      </c>
      <c r="D16">
        <f t="shared" si="19"/>
        <v>227.2</v>
      </c>
      <c r="E16" s="204">
        <f t="shared" si="18"/>
        <v>4888.4645161290318</v>
      </c>
      <c r="F16">
        <f t="shared" si="20"/>
        <v>227.2</v>
      </c>
      <c r="G16" s="204">
        <f t="shared" si="1"/>
        <v>4888.4645161290318</v>
      </c>
      <c r="H16" s="204">
        <f t="shared" si="21"/>
        <v>227.2</v>
      </c>
      <c r="I16" s="204">
        <f t="shared" si="2"/>
        <v>4888.4645161290318</v>
      </c>
      <c r="J16" s="204">
        <f t="shared" si="22"/>
        <v>227.2</v>
      </c>
      <c r="K16" s="204">
        <f t="shared" si="3"/>
        <v>4888.4645161290318</v>
      </c>
      <c r="L16" s="204">
        <f t="shared" si="23"/>
        <v>227.2</v>
      </c>
      <c r="M16" s="204">
        <f t="shared" si="4"/>
        <v>4888.4645161290318</v>
      </c>
      <c r="N16" s="204">
        <f t="shared" si="24"/>
        <v>227.2</v>
      </c>
      <c r="O16" s="204">
        <f t="shared" si="5"/>
        <v>4888.4645161290318</v>
      </c>
      <c r="P16" s="204">
        <f t="shared" si="25"/>
        <v>227.2</v>
      </c>
      <c r="Q16" s="204">
        <f t="shared" si="6"/>
        <v>4888.4645161290318</v>
      </c>
      <c r="R16" s="204">
        <f t="shared" si="26"/>
        <v>227.2</v>
      </c>
      <c r="S16" s="204">
        <f t="shared" si="7"/>
        <v>4888.4645161290318</v>
      </c>
      <c r="T16" s="204">
        <f t="shared" si="27"/>
        <v>227.2</v>
      </c>
      <c r="U16" s="204">
        <f t="shared" si="8"/>
        <v>4888.4645161290318</v>
      </c>
      <c r="V16" s="204">
        <f t="shared" si="28"/>
        <v>227.2</v>
      </c>
      <c r="W16" s="204">
        <f t="shared" si="9"/>
        <v>4888.4645161290318</v>
      </c>
      <c r="X16" s="35">
        <f t="shared" si="10"/>
        <v>0.73290322580645151</v>
      </c>
      <c r="Y16" s="36">
        <f t="shared" si="29"/>
        <v>53773.10967741935</v>
      </c>
      <c r="Z16" s="204">
        <f>'B5'!C15</f>
        <v>233</v>
      </c>
      <c r="AA16" s="204">
        <f t="shared" si="30"/>
        <v>2330</v>
      </c>
      <c r="AB16" s="204">
        <f t="shared" si="31"/>
        <v>233</v>
      </c>
      <c r="AC16" s="204">
        <f t="shared" si="30"/>
        <v>2330</v>
      </c>
      <c r="AD16" s="204">
        <f t="shared" si="32"/>
        <v>233</v>
      </c>
      <c r="AE16" s="204">
        <f t="shared" si="11"/>
        <v>2330</v>
      </c>
      <c r="AF16" s="204">
        <f t="shared" si="33"/>
        <v>233</v>
      </c>
      <c r="AG16" s="204">
        <f t="shared" si="12"/>
        <v>2330</v>
      </c>
      <c r="AH16" s="204">
        <f t="shared" si="34"/>
        <v>233</v>
      </c>
      <c r="AI16" s="204">
        <f t="shared" si="13"/>
        <v>2330</v>
      </c>
      <c r="AJ16" s="204">
        <f t="shared" si="35"/>
        <v>233</v>
      </c>
      <c r="AK16" s="204">
        <f t="shared" si="14"/>
        <v>2330</v>
      </c>
      <c r="AL16" s="204">
        <f t="shared" si="36"/>
        <v>233</v>
      </c>
      <c r="AM16" s="204">
        <f t="shared" si="15"/>
        <v>2330</v>
      </c>
      <c r="AN16" s="35">
        <f t="shared" si="16"/>
        <v>0.83214285714285718</v>
      </c>
      <c r="AO16" s="36">
        <f t="shared" si="17"/>
        <v>16310</v>
      </c>
      <c r="AQ16" s="224">
        <f t="shared" si="37"/>
        <v>0.75382499384123225</v>
      </c>
      <c r="AR16" s="38">
        <f t="shared" si="41"/>
        <v>70083.109677419357</v>
      </c>
      <c r="AS16" s="198">
        <f>SUM(AR16-AR15-AT16)</f>
        <v>-658.02258064514899</v>
      </c>
      <c r="AT16" s="359"/>
      <c r="AU16" s="443"/>
      <c r="AV16" s="526">
        <f>IF(AT16&gt;0,AU16,AV15)</f>
        <v>0</v>
      </c>
      <c r="AW16" s="293">
        <f>-SUM('B5'!AI15)</f>
        <v>-132</v>
      </c>
      <c r="AX16" s="293">
        <f>-SUM(AW16-AS16)</f>
        <v>-526.02258064514899</v>
      </c>
      <c r="AY16" s="37">
        <f t="shared" si="40"/>
        <v>-658.02258064514899</v>
      </c>
      <c r="AZ16" s="100">
        <f>ELEC!A13</f>
        <v>0</v>
      </c>
      <c r="BA16" s="118">
        <f>'General information '!D16</f>
        <v>28</v>
      </c>
      <c r="BB16" s="398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231</v>
      </c>
      <c r="AA17" s="204">
        <f t="shared" si="30"/>
        <v>2310</v>
      </c>
      <c r="AB17" s="204">
        <f t="shared" si="31"/>
        <v>231</v>
      </c>
      <c r="AC17" s="204">
        <f t="shared" si="30"/>
        <v>2310</v>
      </c>
      <c r="AD17" s="204">
        <f t="shared" si="32"/>
        <v>231</v>
      </c>
      <c r="AE17" s="204">
        <f t="shared" si="11"/>
        <v>2310</v>
      </c>
      <c r="AF17" s="204">
        <f t="shared" si="33"/>
        <v>231</v>
      </c>
      <c r="AG17" s="204">
        <f t="shared" si="12"/>
        <v>2310</v>
      </c>
      <c r="AH17" s="204">
        <f t="shared" si="34"/>
        <v>231</v>
      </c>
      <c r="AI17" s="204">
        <f t="shared" si="13"/>
        <v>2310</v>
      </c>
      <c r="AJ17" s="204">
        <f t="shared" si="35"/>
        <v>231</v>
      </c>
      <c r="AK17" s="204">
        <f t="shared" si="14"/>
        <v>2310</v>
      </c>
      <c r="AL17" s="204">
        <f t="shared" si="36"/>
        <v>231</v>
      </c>
      <c r="AM17" s="204">
        <f t="shared" si="15"/>
        <v>2310</v>
      </c>
      <c r="AN17" s="35">
        <f t="shared" si="16"/>
        <v>0.82499999999999996</v>
      </c>
      <c r="AO17" s="36">
        <f>SUM(AA17+AC17+AE17+AG17+AI17+AK17+AM17)</f>
        <v>16170</v>
      </c>
      <c r="AQ17" s="224">
        <f t="shared" si="37"/>
        <v>0.7467185044082898</v>
      </c>
      <c r="AR17" s="38">
        <f t="shared" si="41"/>
        <v>69422.419354838697</v>
      </c>
      <c r="AS17" s="198">
        <f t="shared" si="38"/>
        <v>-660.69032258065999</v>
      </c>
      <c r="AT17" s="359"/>
      <c r="AU17" s="485"/>
      <c r="AV17" s="526">
        <f t="shared" si="42"/>
        <v>0</v>
      </c>
      <c r="AW17" s="293">
        <f>-SUM('B5'!AI16)</f>
        <v>-111</v>
      </c>
      <c r="AX17" s="293">
        <f t="shared" si="39"/>
        <v>-549.69032258065999</v>
      </c>
      <c r="AY17" s="37">
        <f t="shared" si="40"/>
        <v>-660.69032258065999</v>
      </c>
      <c r="AZ17" s="100">
        <f>ELEC!A14</f>
        <v>0</v>
      </c>
      <c r="BA17" s="118">
        <f>'General information '!D17</f>
        <v>26</v>
      </c>
      <c r="BB17" s="398">
        <f>SUM('General information '!E17)</f>
        <v>0.64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222</v>
      </c>
      <c r="C18" s="204">
        <f t="shared" si="18"/>
        <v>4776.5806451612898</v>
      </c>
      <c r="D18">
        <f t="shared" si="19"/>
        <v>222</v>
      </c>
      <c r="E18" s="204">
        <f t="shared" si="18"/>
        <v>4776.5806451612898</v>
      </c>
      <c r="F18">
        <f t="shared" si="20"/>
        <v>222</v>
      </c>
      <c r="G18" s="204">
        <f t="shared" si="1"/>
        <v>4776.5806451612898</v>
      </c>
      <c r="H18" s="204">
        <f t="shared" si="21"/>
        <v>222</v>
      </c>
      <c r="I18" s="204">
        <f t="shared" si="2"/>
        <v>4776.5806451612898</v>
      </c>
      <c r="J18" s="204">
        <f t="shared" si="22"/>
        <v>222</v>
      </c>
      <c r="K18" s="204">
        <f t="shared" si="3"/>
        <v>4776.5806451612898</v>
      </c>
      <c r="L18" s="204">
        <f t="shared" si="23"/>
        <v>222</v>
      </c>
      <c r="M18" s="204">
        <f t="shared" si="4"/>
        <v>4776.5806451612898</v>
      </c>
      <c r="N18" s="204">
        <f t="shared" si="24"/>
        <v>222</v>
      </c>
      <c r="O18" s="204">
        <f t="shared" si="5"/>
        <v>4776.5806451612898</v>
      </c>
      <c r="P18" s="204">
        <f t="shared" si="25"/>
        <v>222</v>
      </c>
      <c r="Q18" s="204">
        <f t="shared" si="6"/>
        <v>4776.5806451612898</v>
      </c>
      <c r="R18" s="204">
        <f t="shared" si="26"/>
        <v>222</v>
      </c>
      <c r="S18" s="204">
        <f t="shared" si="7"/>
        <v>4776.5806451612898</v>
      </c>
      <c r="T18" s="204">
        <f t="shared" si="27"/>
        <v>222</v>
      </c>
      <c r="U18" s="204">
        <f t="shared" si="8"/>
        <v>4776.5806451612898</v>
      </c>
      <c r="V18" s="204">
        <f t="shared" si="28"/>
        <v>222</v>
      </c>
      <c r="W18" s="204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4">
        <f>'B5'!C17</f>
        <v>228</v>
      </c>
      <c r="AA18" s="204">
        <f t="shared" si="30"/>
        <v>2280</v>
      </c>
      <c r="AB18" s="204">
        <f t="shared" si="31"/>
        <v>228</v>
      </c>
      <c r="AC18" s="204">
        <f t="shared" si="30"/>
        <v>2280</v>
      </c>
      <c r="AD18" s="204">
        <f t="shared" si="32"/>
        <v>228</v>
      </c>
      <c r="AE18" s="204">
        <f t="shared" si="11"/>
        <v>2280</v>
      </c>
      <c r="AF18" s="204">
        <f t="shared" si="33"/>
        <v>228</v>
      </c>
      <c r="AG18" s="204">
        <f t="shared" si="12"/>
        <v>2280</v>
      </c>
      <c r="AH18" s="204">
        <f t="shared" si="34"/>
        <v>228</v>
      </c>
      <c r="AI18" s="204">
        <f t="shared" si="13"/>
        <v>2280</v>
      </c>
      <c r="AJ18" s="204">
        <f t="shared" si="35"/>
        <v>228</v>
      </c>
      <c r="AK18" s="204">
        <f t="shared" si="14"/>
        <v>2280</v>
      </c>
      <c r="AL18" s="204">
        <f t="shared" si="36"/>
        <v>228</v>
      </c>
      <c r="AM18" s="204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4">
        <f t="shared" si="37"/>
        <v>0.73682249216708817</v>
      </c>
      <c r="AR18" s="38">
        <f t="shared" si="41"/>
        <v>68502.387096774182</v>
      </c>
      <c r="AS18" s="198">
        <f t="shared" si="38"/>
        <v>-920.03225806451519</v>
      </c>
      <c r="AT18" s="273"/>
      <c r="AU18" s="443"/>
      <c r="AV18" s="526">
        <f>IF(AT18&gt;0,AU18,AV17)</f>
        <v>0</v>
      </c>
      <c r="AW18" s="293">
        <f>-SUM('B5'!AI17)</f>
        <v>0</v>
      </c>
      <c r="AX18" s="293">
        <f t="shared" si="39"/>
        <v>-920.03225806451519</v>
      </c>
      <c r="AY18" s="37">
        <f t="shared" si="40"/>
        <v>-920.03225806451519</v>
      </c>
      <c r="AZ18" s="100">
        <f>ELEC!A15</f>
        <v>0</v>
      </c>
      <c r="BA18" s="118">
        <f>'General information '!D18</f>
        <v>26</v>
      </c>
      <c r="BB18" s="398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219.1</v>
      </c>
      <c r="C19" s="204">
        <f t="shared" si="18"/>
        <v>4714.1838709677413</v>
      </c>
      <c r="D19">
        <f t="shared" si="19"/>
        <v>219.1</v>
      </c>
      <c r="E19" s="204">
        <f t="shared" si="18"/>
        <v>4714.1838709677413</v>
      </c>
      <c r="F19">
        <f t="shared" si="20"/>
        <v>219.1</v>
      </c>
      <c r="G19" s="204">
        <f t="shared" si="1"/>
        <v>4714.1838709677413</v>
      </c>
      <c r="H19" s="204">
        <f t="shared" si="21"/>
        <v>219.1</v>
      </c>
      <c r="I19" s="204">
        <f t="shared" si="2"/>
        <v>4714.1838709677413</v>
      </c>
      <c r="J19" s="204">
        <f t="shared" si="22"/>
        <v>219.1</v>
      </c>
      <c r="K19" s="204">
        <f t="shared" si="3"/>
        <v>4714.1838709677413</v>
      </c>
      <c r="L19" s="204">
        <f t="shared" si="23"/>
        <v>219.1</v>
      </c>
      <c r="M19" s="204">
        <f t="shared" si="4"/>
        <v>4714.1838709677413</v>
      </c>
      <c r="N19" s="204">
        <f t="shared" si="24"/>
        <v>219.1</v>
      </c>
      <c r="O19" s="204">
        <f t="shared" si="5"/>
        <v>4714.1838709677413</v>
      </c>
      <c r="P19" s="204">
        <f t="shared" si="25"/>
        <v>219.1</v>
      </c>
      <c r="Q19" s="204">
        <f t="shared" si="6"/>
        <v>4714.1838709677413</v>
      </c>
      <c r="R19" s="204">
        <f t="shared" si="26"/>
        <v>219.1</v>
      </c>
      <c r="S19" s="204">
        <f t="shared" si="7"/>
        <v>4714.1838709677413</v>
      </c>
      <c r="T19" s="204">
        <f t="shared" si="27"/>
        <v>219.1</v>
      </c>
      <c r="U19" s="204">
        <f t="shared" si="8"/>
        <v>4714.1838709677413</v>
      </c>
      <c r="V19" s="204">
        <f t="shared" si="28"/>
        <v>219.1</v>
      </c>
      <c r="W19" s="204">
        <f t="shared" si="9"/>
        <v>4714.1838709677413</v>
      </c>
      <c r="X19" s="35">
        <f t="shared" si="10"/>
        <v>0.70677419354838678</v>
      </c>
      <c r="Y19" s="36">
        <f t="shared" si="29"/>
        <v>51856.022580645142</v>
      </c>
      <c r="Z19" s="204">
        <f>'B5'!C18</f>
        <v>225.2</v>
      </c>
      <c r="AA19" s="204">
        <f t="shared" si="30"/>
        <v>2252</v>
      </c>
      <c r="AB19" s="204">
        <f t="shared" si="31"/>
        <v>225.2</v>
      </c>
      <c r="AC19" s="204">
        <f t="shared" si="30"/>
        <v>2252</v>
      </c>
      <c r="AD19" s="204">
        <f t="shared" si="32"/>
        <v>225.2</v>
      </c>
      <c r="AE19" s="204">
        <f t="shared" si="11"/>
        <v>2252</v>
      </c>
      <c r="AF19" s="204">
        <f t="shared" si="33"/>
        <v>225.2</v>
      </c>
      <c r="AG19" s="204">
        <f t="shared" si="12"/>
        <v>2252</v>
      </c>
      <c r="AH19" s="204">
        <f t="shared" si="34"/>
        <v>225.2</v>
      </c>
      <c r="AI19" s="204">
        <f t="shared" si="13"/>
        <v>2252</v>
      </c>
      <c r="AJ19" s="204">
        <f t="shared" si="35"/>
        <v>225.2</v>
      </c>
      <c r="AK19" s="204">
        <f t="shared" si="14"/>
        <v>2252</v>
      </c>
      <c r="AL19" s="204">
        <f t="shared" si="36"/>
        <v>225.2</v>
      </c>
      <c r="AM19" s="204">
        <f t="shared" si="15"/>
        <v>2252</v>
      </c>
      <c r="AN19" s="35">
        <f t="shared" si="16"/>
        <v>0.80428571428571427</v>
      </c>
      <c r="AO19" s="36">
        <f t="shared" si="17"/>
        <v>15764</v>
      </c>
      <c r="AQ19" s="224">
        <f t="shared" si="37"/>
        <v>0.72733164010589579</v>
      </c>
      <c r="AR19" s="38">
        <f t="shared" si="41"/>
        <v>67620.022580645134</v>
      </c>
      <c r="AS19" s="198">
        <f t="shared" si="38"/>
        <v>-882.36451612904784</v>
      </c>
      <c r="AT19" s="273"/>
      <c r="AU19" s="443"/>
      <c r="AV19" s="526">
        <f t="shared" si="42"/>
        <v>0</v>
      </c>
      <c r="AW19" s="293">
        <f>-SUM('B5'!AI18)</f>
        <v>-126</v>
      </c>
      <c r="AX19" s="293">
        <f t="shared" si="39"/>
        <v>-756.36451612904784</v>
      </c>
      <c r="AY19" s="37">
        <f t="shared" si="40"/>
        <v>-882.36451612904784</v>
      </c>
      <c r="AZ19" s="100">
        <f>ELEC!A16</f>
        <v>0</v>
      </c>
      <c r="BA19" s="118">
        <f>'General information '!D19</f>
        <v>25.5</v>
      </c>
      <c r="BB19" s="398">
        <f>SUM('General information '!E19)</f>
        <v>0.56000000000000005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216.3</v>
      </c>
      <c r="C20" s="204">
        <f t="shared" si="18"/>
        <v>4653.9387096774199</v>
      </c>
      <c r="D20">
        <f t="shared" si="19"/>
        <v>216.3</v>
      </c>
      <c r="E20" s="204">
        <f t="shared" si="18"/>
        <v>4653.9387096774199</v>
      </c>
      <c r="F20">
        <f t="shared" si="20"/>
        <v>216.3</v>
      </c>
      <c r="G20" s="204">
        <f t="shared" si="1"/>
        <v>4653.9387096774199</v>
      </c>
      <c r="H20" s="204">
        <f t="shared" si="21"/>
        <v>216.3</v>
      </c>
      <c r="I20" s="204">
        <f t="shared" si="2"/>
        <v>4653.9387096774199</v>
      </c>
      <c r="J20" s="204">
        <f t="shared" si="22"/>
        <v>216.3</v>
      </c>
      <c r="K20" s="204">
        <f t="shared" si="3"/>
        <v>4653.9387096774199</v>
      </c>
      <c r="L20" s="204">
        <f t="shared" si="23"/>
        <v>216.3</v>
      </c>
      <c r="M20" s="204">
        <f t="shared" si="4"/>
        <v>4653.9387096774199</v>
      </c>
      <c r="N20" s="204">
        <f t="shared" si="24"/>
        <v>216.3</v>
      </c>
      <c r="O20" s="204">
        <f t="shared" si="5"/>
        <v>4653.9387096774199</v>
      </c>
      <c r="P20" s="204">
        <f t="shared" si="25"/>
        <v>216.3</v>
      </c>
      <c r="Q20" s="204">
        <f t="shared" si="6"/>
        <v>4653.9387096774199</v>
      </c>
      <c r="R20" s="204">
        <f t="shared" si="26"/>
        <v>216.3</v>
      </c>
      <c r="S20" s="204">
        <f t="shared" si="7"/>
        <v>4653.9387096774199</v>
      </c>
      <c r="T20" s="204">
        <f t="shared" si="27"/>
        <v>216.3</v>
      </c>
      <c r="U20" s="204">
        <f t="shared" si="8"/>
        <v>4653.9387096774199</v>
      </c>
      <c r="V20" s="204">
        <f t="shared" si="28"/>
        <v>216.3</v>
      </c>
      <c r="W20" s="204">
        <f t="shared" si="9"/>
        <v>4653.9387096774199</v>
      </c>
      <c r="X20" s="35">
        <f t="shared" si="10"/>
        <v>0.6977419354838712</v>
      </c>
      <c r="Y20" s="36">
        <f t="shared" si="29"/>
        <v>51193.325806451627</v>
      </c>
      <c r="Z20" s="204">
        <f>'B5'!C19</f>
        <v>223</v>
      </c>
      <c r="AA20" s="204">
        <f t="shared" si="30"/>
        <v>2230</v>
      </c>
      <c r="AB20" s="204">
        <f t="shared" si="31"/>
        <v>223</v>
      </c>
      <c r="AC20" s="204">
        <f t="shared" si="30"/>
        <v>2230</v>
      </c>
      <c r="AD20" s="204">
        <f t="shared" si="32"/>
        <v>223</v>
      </c>
      <c r="AE20" s="204">
        <f t="shared" si="11"/>
        <v>2230</v>
      </c>
      <c r="AF20" s="204">
        <f t="shared" si="33"/>
        <v>223</v>
      </c>
      <c r="AG20" s="204">
        <f t="shared" si="12"/>
        <v>2230</v>
      </c>
      <c r="AH20" s="204">
        <f t="shared" si="34"/>
        <v>223</v>
      </c>
      <c r="AI20" s="204">
        <f t="shared" si="13"/>
        <v>2230</v>
      </c>
      <c r="AJ20" s="204">
        <f t="shared" si="35"/>
        <v>223</v>
      </c>
      <c r="AK20" s="204">
        <f t="shared" si="14"/>
        <v>2230</v>
      </c>
      <c r="AL20" s="204">
        <f t="shared" si="36"/>
        <v>223</v>
      </c>
      <c r="AM20" s="204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4">
        <f t="shared" si="37"/>
        <v>0.71854712064592474</v>
      </c>
      <c r="AR20" s="38">
        <f t="shared" si="41"/>
        <v>66803.325806451627</v>
      </c>
      <c r="AS20" s="198">
        <f t="shared" si="38"/>
        <v>-816.69677419350774</v>
      </c>
      <c r="AT20" s="273"/>
      <c r="AU20" s="443"/>
      <c r="AV20" s="526">
        <f t="shared" si="42"/>
        <v>0</v>
      </c>
      <c r="AW20" s="293">
        <f>-SUM('B5'!AI19)</f>
        <v>-211</v>
      </c>
      <c r="AX20" s="293">
        <f t="shared" si="39"/>
        <v>-605.69677419350774</v>
      </c>
      <c r="AY20" s="37">
        <f t="shared" si="40"/>
        <v>-816.69677419350774</v>
      </c>
      <c r="AZ20" s="100">
        <f>ELEC!A17</f>
        <v>0</v>
      </c>
      <c r="BA20" s="118">
        <f>'General information '!D20</f>
        <v>25</v>
      </c>
      <c r="BB20" s="398">
        <f>SUM('General information '!E20)</f>
        <v>0.65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214</v>
      </c>
      <c r="C21" s="204">
        <f t="shared" si="18"/>
        <v>4604.4516129032254</v>
      </c>
      <c r="D21">
        <f t="shared" si="19"/>
        <v>214</v>
      </c>
      <c r="E21" s="204">
        <f t="shared" si="18"/>
        <v>4604.4516129032254</v>
      </c>
      <c r="F21">
        <f t="shared" si="20"/>
        <v>214</v>
      </c>
      <c r="G21" s="204">
        <f t="shared" si="1"/>
        <v>4604.4516129032254</v>
      </c>
      <c r="H21" s="204">
        <f t="shared" si="21"/>
        <v>214</v>
      </c>
      <c r="I21" s="204">
        <f t="shared" si="2"/>
        <v>4604.4516129032254</v>
      </c>
      <c r="J21" s="204">
        <f t="shared" si="22"/>
        <v>214</v>
      </c>
      <c r="K21" s="204">
        <f t="shared" si="3"/>
        <v>4604.4516129032254</v>
      </c>
      <c r="L21" s="204">
        <f t="shared" si="23"/>
        <v>214</v>
      </c>
      <c r="M21" s="204">
        <f t="shared" si="4"/>
        <v>4604.4516129032254</v>
      </c>
      <c r="N21" s="204">
        <f t="shared" si="24"/>
        <v>214</v>
      </c>
      <c r="O21" s="204">
        <f t="shared" si="5"/>
        <v>4604.4516129032254</v>
      </c>
      <c r="P21" s="204">
        <f t="shared" si="25"/>
        <v>214</v>
      </c>
      <c r="Q21" s="204">
        <f t="shared" si="6"/>
        <v>4604.4516129032254</v>
      </c>
      <c r="R21" s="204">
        <f t="shared" si="26"/>
        <v>214</v>
      </c>
      <c r="S21" s="204">
        <f t="shared" si="7"/>
        <v>4604.4516129032254</v>
      </c>
      <c r="T21" s="204">
        <f t="shared" si="27"/>
        <v>214</v>
      </c>
      <c r="U21" s="204">
        <f t="shared" si="8"/>
        <v>4604.4516129032254</v>
      </c>
      <c r="V21" s="204">
        <f t="shared" si="28"/>
        <v>214</v>
      </c>
      <c r="W21" s="204">
        <f t="shared" si="9"/>
        <v>4604.4516129032254</v>
      </c>
      <c r="X21" s="35">
        <f t="shared" si="10"/>
        <v>0.69032258064516139</v>
      </c>
      <c r="Y21" s="36">
        <f t="shared" si="29"/>
        <v>50648.967741935492</v>
      </c>
      <c r="Z21" s="204">
        <f>'B5'!C20</f>
        <v>220</v>
      </c>
      <c r="AA21" s="204">
        <f t="shared" si="30"/>
        <v>2200</v>
      </c>
      <c r="AB21" s="204">
        <f t="shared" si="31"/>
        <v>220</v>
      </c>
      <c r="AC21" s="204">
        <f t="shared" si="30"/>
        <v>2200</v>
      </c>
      <c r="AD21" s="204">
        <f t="shared" si="32"/>
        <v>220</v>
      </c>
      <c r="AE21" s="204">
        <f t="shared" si="11"/>
        <v>2200</v>
      </c>
      <c r="AF21" s="204">
        <f t="shared" si="33"/>
        <v>220</v>
      </c>
      <c r="AG21" s="204">
        <f t="shared" si="12"/>
        <v>2200</v>
      </c>
      <c r="AH21" s="204">
        <f t="shared" si="34"/>
        <v>220</v>
      </c>
      <c r="AI21" s="204">
        <f t="shared" si="13"/>
        <v>2200</v>
      </c>
      <c r="AJ21" s="204">
        <f t="shared" si="35"/>
        <v>220</v>
      </c>
      <c r="AK21" s="204">
        <f t="shared" si="14"/>
        <v>2200</v>
      </c>
      <c r="AL21" s="204">
        <f t="shared" si="36"/>
        <v>220</v>
      </c>
      <c r="AM21" s="204">
        <f t="shared" si="15"/>
        <v>2200</v>
      </c>
      <c r="AN21" s="35">
        <f t="shared" si="16"/>
        <v>0.7857142857142857</v>
      </c>
      <c r="AO21" s="36">
        <f t="shared" si="17"/>
        <v>15400</v>
      </c>
      <c r="AQ21" s="224">
        <f t="shared" si="37"/>
        <v>0.71043312619055055</v>
      </c>
      <c r="AR21" s="38">
        <f t="shared" si="41"/>
        <v>66048.967741935485</v>
      </c>
      <c r="AS21" s="198">
        <f>SUM(AR21-AR20-AT21)</f>
        <v>-754.35806451614189</v>
      </c>
      <c r="AT21" s="273"/>
      <c r="AU21" s="443"/>
      <c r="AV21" s="526">
        <f t="shared" si="42"/>
        <v>0</v>
      </c>
      <c r="AW21" s="293">
        <f>-SUM('B5'!AI20)</f>
        <v>-79</v>
      </c>
      <c r="AX21" s="293">
        <f t="shared" si="39"/>
        <v>-675.35806451614189</v>
      </c>
      <c r="AY21" s="37">
        <f t="shared" si="40"/>
        <v>-754.35806451614189</v>
      </c>
      <c r="AZ21" s="100">
        <f>ELEC!A18</f>
        <v>0</v>
      </c>
      <c r="BA21" s="118">
        <f>'General information '!D21</f>
        <v>25.5</v>
      </c>
      <c r="BB21" s="398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212.2</v>
      </c>
      <c r="C22" s="204">
        <f t="shared" si="18"/>
        <v>4565.7225806451606</v>
      </c>
      <c r="D22">
        <f t="shared" si="19"/>
        <v>212.2</v>
      </c>
      <c r="E22" s="204">
        <f t="shared" si="18"/>
        <v>4565.7225806451606</v>
      </c>
      <c r="F22">
        <f t="shared" si="20"/>
        <v>212.2</v>
      </c>
      <c r="G22" s="204">
        <f t="shared" si="1"/>
        <v>4565.7225806451606</v>
      </c>
      <c r="H22" s="204">
        <f t="shared" si="21"/>
        <v>212.2</v>
      </c>
      <c r="I22" s="204">
        <f t="shared" si="2"/>
        <v>4565.7225806451606</v>
      </c>
      <c r="J22" s="204">
        <f t="shared" si="22"/>
        <v>212.2</v>
      </c>
      <c r="K22" s="204">
        <f t="shared" si="3"/>
        <v>4565.7225806451606</v>
      </c>
      <c r="L22" s="204">
        <f t="shared" si="23"/>
        <v>212.2</v>
      </c>
      <c r="M22" s="204">
        <f t="shared" si="4"/>
        <v>4565.7225806451606</v>
      </c>
      <c r="N22" s="204">
        <f t="shared" si="24"/>
        <v>212.2</v>
      </c>
      <c r="O22" s="204">
        <f t="shared" si="5"/>
        <v>4565.7225806451606</v>
      </c>
      <c r="P22" s="204">
        <f t="shared" si="25"/>
        <v>212.2</v>
      </c>
      <c r="Q22" s="204">
        <f t="shared" si="6"/>
        <v>4565.7225806451606</v>
      </c>
      <c r="R22" s="204">
        <f t="shared" si="26"/>
        <v>212.2</v>
      </c>
      <c r="S22" s="204">
        <f t="shared" si="7"/>
        <v>4565.7225806451606</v>
      </c>
      <c r="T22" s="204">
        <f t="shared" si="27"/>
        <v>212.2</v>
      </c>
      <c r="U22" s="204">
        <f t="shared" si="8"/>
        <v>4565.7225806451606</v>
      </c>
      <c r="V22" s="204">
        <f t="shared" si="28"/>
        <v>212.2</v>
      </c>
      <c r="W22" s="204">
        <f t="shared" si="9"/>
        <v>4565.7225806451606</v>
      </c>
      <c r="X22" s="35">
        <f t="shared" si="10"/>
        <v>0.684516129032258</v>
      </c>
      <c r="Y22" s="36">
        <f t="shared" si="29"/>
        <v>50222.948387096767</v>
      </c>
      <c r="Z22" s="204">
        <f>'B5'!C21</f>
        <v>219</v>
      </c>
      <c r="AA22" s="204">
        <f t="shared" si="30"/>
        <v>2190</v>
      </c>
      <c r="AB22" s="204">
        <f t="shared" si="31"/>
        <v>219</v>
      </c>
      <c r="AC22" s="204">
        <f t="shared" si="30"/>
        <v>2190</v>
      </c>
      <c r="AD22" s="204">
        <f t="shared" si="32"/>
        <v>219</v>
      </c>
      <c r="AE22" s="204">
        <f t="shared" si="11"/>
        <v>2190</v>
      </c>
      <c r="AF22" s="204">
        <f t="shared" si="33"/>
        <v>219</v>
      </c>
      <c r="AG22" s="204">
        <f t="shared" si="12"/>
        <v>2190</v>
      </c>
      <c r="AH22" s="204">
        <f t="shared" si="34"/>
        <v>219</v>
      </c>
      <c r="AI22" s="204">
        <f t="shared" si="13"/>
        <v>2190</v>
      </c>
      <c r="AJ22" s="204">
        <f t="shared" si="35"/>
        <v>219</v>
      </c>
      <c r="AK22" s="204">
        <f t="shared" si="14"/>
        <v>2190</v>
      </c>
      <c r="AL22" s="204">
        <f t="shared" si="36"/>
        <v>219</v>
      </c>
      <c r="AM22" s="204">
        <f t="shared" si="15"/>
        <v>2190</v>
      </c>
      <c r="AN22" s="35">
        <f t="shared" si="16"/>
        <v>0.78214285714285714</v>
      </c>
      <c r="AO22" s="36">
        <f t="shared" si="17"/>
        <v>15330</v>
      </c>
      <c r="AQ22" s="224">
        <f t="shared" si="37"/>
        <v>0.70509786368825178</v>
      </c>
      <c r="AR22" s="38">
        <f t="shared" si="41"/>
        <v>65552.948387096767</v>
      </c>
      <c r="AS22" s="198">
        <f t="shared" si="38"/>
        <v>-496.01935483871785</v>
      </c>
      <c r="AT22" s="273"/>
      <c r="AU22" s="443"/>
      <c r="AV22" s="526">
        <f t="shared" si="42"/>
        <v>0</v>
      </c>
      <c r="AW22" s="293">
        <f>-SUM('B5'!AI21)</f>
        <v>-173</v>
      </c>
      <c r="AX22" s="293">
        <f t="shared" si="39"/>
        <v>-323.01935483871785</v>
      </c>
      <c r="AY22" s="37">
        <f t="shared" si="40"/>
        <v>-496.01935483871785</v>
      </c>
      <c r="AZ22" s="100">
        <f>ELEC!A19</f>
        <v>0</v>
      </c>
      <c r="BA22" s="118">
        <f>'General information '!D22</f>
        <v>24.5</v>
      </c>
      <c r="BB22" s="398">
        <f>SUM('General information '!E22)</f>
        <v>0.65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209</v>
      </c>
      <c r="C23" s="204">
        <f t="shared" si="18"/>
        <v>4496.8709677419356</v>
      </c>
      <c r="D23">
        <f t="shared" si="19"/>
        <v>209</v>
      </c>
      <c r="E23" s="204">
        <f t="shared" si="18"/>
        <v>4496.8709677419356</v>
      </c>
      <c r="F23">
        <f t="shared" si="20"/>
        <v>209</v>
      </c>
      <c r="G23" s="204">
        <f t="shared" si="1"/>
        <v>4496.8709677419356</v>
      </c>
      <c r="H23" s="204">
        <f t="shared" si="21"/>
        <v>209</v>
      </c>
      <c r="I23" s="204">
        <f t="shared" si="2"/>
        <v>4496.8709677419356</v>
      </c>
      <c r="J23" s="204">
        <f t="shared" si="22"/>
        <v>209</v>
      </c>
      <c r="K23" s="204">
        <f t="shared" si="3"/>
        <v>4496.8709677419356</v>
      </c>
      <c r="L23" s="204">
        <f t="shared" si="23"/>
        <v>209</v>
      </c>
      <c r="M23" s="204">
        <f t="shared" si="4"/>
        <v>4496.8709677419356</v>
      </c>
      <c r="N23" s="204">
        <f t="shared" si="24"/>
        <v>209</v>
      </c>
      <c r="O23" s="204">
        <f t="shared" si="5"/>
        <v>4496.8709677419356</v>
      </c>
      <c r="P23" s="204">
        <f t="shared" si="25"/>
        <v>209</v>
      </c>
      <c r="Q23" s="204">
        <f t="shared" si="6"/>
        <v>4496.8709677419356</v>
      </c>
      <c r="R23" s="204">
        <f t="shared" si="26"/>
        <v>209</v>
      </c>
      <c r="S23" s="204">
        <f t="shared" si="7"/>
        <v>4496.8709677419356</v>
      </c>
      <c r="T23" s="204">
        <f t="shared" si="27"/>
        <v>209</v>
      </c>
      <c r="U23" s="204">
        <f t="shared" si="8"/>
        <v>4496.8709677419356</v>
      </c>
      <c r="V23" s="204">
        <f t="shared" si="28"/>
        <v>209</v>
      </c>
      <c r="W23" s="204">
        <f t="shared" si="9"/>
        <v>4496.8709677419356</v>
      </c>
      <c r="X23" s="35">
        <f t="shared" si="10"/>
        <v>0.67419354838709689</v>
      </c>
      <c r="Y23" s="36">
        <f t="shared" si="29"/>
        <v>49465.580645161303</v>
      </c>
      <c r="Z23" s="204">
        <f>'B5'!C22</f>
        <v>216</v>
      </c>
      <c r="AA23" s="204">
        <f t="shared" si="30"/>
        <v>2160</v>
      </c>
      <c r="AB23" s="204">
        <f t="shared" si="31"/>
        <v>216</v>
      </c>
      <c r="AC23" s="204">
        <f t="shared" si="30"/>
        <v>2160</v>
      </c>
      <c r="AD23" s="204">
        <f t="shared" si="32"/>
        <v>216</v>
      </c>
      <c r="AE23" s="204">
        <f t="shared" si="11"/>
        <v>2160</v>
      </c>
      <c r="AF23" s="204">
        <f t="shared" si="33"/>
        <v>216</v>
      </c>
      <c r="AG23" s="204">
        <f t="shared" si="12"/>
        <v>2160</v>
      </c>
      <c r="AH23" s="204">
        <f t="shared" si="34"/>
        <v>216</v>
      </c>
      <c r="AI23" s="204">
        <f t="shared" si="13"/>
        <v>2160</v>
      </c>
      <c r="AJ23" s="204">
        <f t="shared" si="35"/>
        <v>216</v>
      </c>
      <c r="AK23" s="204">
        <f t="shared" si="14"/>
        <v>2160</v>
      </c>
      <c r="AL23" s="204">
        <f t="shared" si="36"/>
        <v>216</v>
      </c>
      <c r="AM23" s="204">
        <f t="shared" si="15"/>
        <v>2160</v>
      </c>
      <c r="AN23" s="35">
        <f t="shared" si="16"/>
        <v>0.77142857142857146</v>
      </c>
      <c r="AO23" s="36">
        <f t="shared" si="17"/>
        <v>15120</v>
      </c>
      <c r="AQ23" s="224">
        <f t="shared" si="37"/>
        <v>0.69469270350824253</v>
      </c>
      <c r="AR23" s="38">
        <f t="shared" si="41"/>
        <v>64585.580645161303</v>
      </c>
      <c r="AS23" s="198">
        <f t="shared" si="38"/>
        <v>-967.36774193546444</v>
      </c>
      <c r="AT23" s="273"/>
      <c r="AU23" s="443"/>
      <c r="AV23" s="526">
        <f t="shared" si="42"/>
        <v>0</v>
      </c>
      <c r="AW23" s="293">
        <f>-SUM('B5'!AI22)</f>
        <v>-141</v>
      </c>
      <c r="AX23" s="293">
        <f t="shared" si="39"/>
        <v>-826.36774193546444</v>
      </c>
      <c r="AY23" s="37">
        <f t="shared" si="40"/>
        <v>-967.36774193546444</v>
      </c>
      <c r="AZ23" s="100">
        <f>ELEC!A20</f>
        <v>0</v>
      </c>
      <c r="BA23" s="118">
        <f>'General information '!D23</f>
        <v>26</v>
      </c>
      <c r="BB23" s="398">
        <f>SUM('General information '!E23)</f>
        <v>0.52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-376.67741935486265</v>
      </c>
      <c r="AT24" s="273"/>
      <c r="AU24" s="443"/>
      <c r="AV24" s="526">
        <f t="shared" si="42"/>
        <v>0</v>
      </c>
      <c r="AW24" s="293">
        <f>-SUM('B5'!AI23)</f>
        <v>-121</v>
      </c>
      <c r="AX24" s="293">
        <f t="shared" si="39"/>
        <v>-255.67741935486265</v>
      </c>
      <c r="AY24" s="37">
        <f t="shared" si="40"/>
        <v>-376.67741935486265</v>
      </c>
      <c r="AZ24" s="100">
        <f>ELEC!A21</f>
        <v>0</v>
      </c>
      <c r="BA24" s="118">
        <f>'General information '!D24</f>
        <v>27.5</v>
      </c>
      <c r="BB24" s="398">
        <f>SUM('General information '!E24)</f>
        <v>0.43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204</v>
      </c>
      <c r="C25" s="204">
        <f t="shared" si="18"/>
        <v>4389.2903225806449</v>
      </c>
      <c r="D25">
        <f t="shared" si="19"/>
        <v>204</v>
      </c>
      <c r="E25" s="204">
        <f t="shared" si="18"/>
        <v>4389.2903225806449</v>
      </c>
      <c r="F25">
        <f t="shared" si="20"/>
        <v>204</v>
      </c>
      <c r="G25" s="204">
        <f t="shared" si="1"/>
        <v>4389.2903225806449</v>
      </c>
      <c r="H25" s="204">
        <f t="shared" si="21"/>
        <v>204</v>
      </c>
      <c r="I25" s="204">
        <f t="shared" si="2"/>
        <v>4389.2903225806449</v>
      </c>
      <c r="J25" s="204">
        <f t="shared" si="22"/>
        <v>204</v>
      </c>
      <c r="K25" s="204">
        <f t="shared" si="3"/>
        <v>4389.2903225806449</v>
      </c>
      <c r="L25" s="204">
        <f t="shared" si="23"/>
        <v>204</v>
      </c>
      <c r="M25" s="204">
        <f t="shared" si="4"/>
        <v>4389.2903225806449</v>
      </c>
      <c r="N25" s="204">
        <f t="shared" si="24"/>
        <v>204</v>
      </c>
      <c r="O25" s="204">
        <f t="shared" si="5"/>
        <v>4389.2903225806449</v>
      </c>
      <c r="P25" s="204">
        <f t="shared" si="25"/>
        <v>204</v>
      </c>
      <c r="Q25" s="204">
        <f t="shared" si="6"/>
        <v>4389.2903225806449</v>
      </c>
      <c r="R25" s="204">
        <f t="shared" si="26"/>
        <v>204</v>
      </c>
      <c r="S25" s="204">
        <f t="shared" si="7"/>
        <v>4389.2903225806449</v>
      </c>
      <c r="T25" s="204">
        <f t="shared" si="27"/>
        <v>204</v>
      </c>
      <c r="U25" s="204">
        <f t="shared" si="8"/>
        <v>4389.2903225806449</v>
      </c>
      <c r="V25" s="204">
        <f t="shared" si="28"/>
        <v>204</v>
      </c>
      <c r="W25" s="204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4">
        <f>'B5'!C24</f>
        <v>211</v>
      </c>
      <c r="AA25" s="204">
        <f t="shared" si="30"/>
        <v>2110</v>
      </c>
      <c r="AB25" s="204">
        <f t="shared" si="31"/>
        <v>211</v>
      </c>
      <c r="AC25" s="204">
        <f t="shared" si="30"/>
        <v>2110</v>
      </c>
      <c r="AD25" s="204">
        <f t="shared" si="32"/>
        <v>211</v>
      </c>
      <c r="AE25" s="204">
        <f t="shared" si="11"/>
        <v>2110</v>
      </c>
      <c r="AF25" s="204">
        <f t="shared" si="33"/>
        <v>211</v>
      </c>
      <c r="AG25" s="204">
        <f t="shared" si="12"/>
        <v>2110</v>
      </c>
      <c r="AH25" s="204">
        <f t="shared" si="34"/>
        <v>211</v>
      </c>
      <c r="AI25" s="204">
        <f t="shared" si="13"/>
        <v>2110</v>
      </c>
      <c r="AJ25" s="204">
        <f t="shared" si="35"/>
        <v>211</v>
      </c>
      <c r="AK25" s="204">
        <f t="shared" si="14"/>
        <v>2110</v>
      </c>
      <c r="AL25" s="204">
        <f t="shared" si="36"/>
        <v>211</v>
      </c>
      <c r="AM25" s="204">
        <f t="shared" si="15"/>
        <v>2110</v>
      </c>
      <c r="AN25" s="35">
        <f t="shared" si="16"/>
        <v>0.75357142857142856</v>
      </c>
      <c r="AO25" s="36">
        <f t="shared" si="17"/>
        <v>14770</v>
      </c>
      <c r="AQ25" s="224">
        <f t="shared" si="37"/>
        <v>0.67819934977290619</v>
      </c>
      <c r="AR25" s="38">
        <f t="shared" si="41"/>
        <v>63052.193548387091</v>
      </c>
      <c r="AS25" s="198">
        <f t="shared" si="38"/>
        <v>-1156.7096774193487</v>
      </c>
      <c r="AT25" s="273"/>
      <c r="AU25" s="443"/>
      <c r="AV25" s="526">
        <f t="shared" si="42"/>
        <v>0</v>
      </c>
      <c r="AW25" s="293">
        <f>-SUM('B5'!AI24)</f>
        <v>-122</v>
      </c>
      <c r="AX25" s="293">
        <f t="shared" si="39"/>
        <v>-1034.7096774193487</v>
      </c>
      <c r="AY25" s="37">
        <f t="shared" si="40"/>
        <v>-1156.7096774193487</v>
      </c>
      <c r="AZ25" s="100">
        <f>ELEC!A22</f>
        <v>0</v>
      </c>
      <c r="BA25" s="118">
        <f>'General information '!D25</f>
        <v>27</v>
      </c>
      <c r="BB25" s="398">
        <f>SUM('General information '!E25)</f>
        <v>0.49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204</v>
      </c>
      <c r="C26" s="204">
        <f t="shared" si="18"/>
        <v>4389.2903225806449</v>
      </c>
      <c r="D26">
        <f t="shared" si="19"/>
        <v>204</v>
      </c>
      <c r="E26" s="204">
        <f t="shared" si="18"/>
        <v>4389.2903225806449</v>
      </c>
      <c r="F26">
        <f t="shared" si="20"/>
        <v>204</v>
      </c>
      <c r="G26" s="204">
        <f t="shared" si="1"/>
        <v>4389.2903225806449</v>
      </c>
      <c r="H26" s="204">
        <f t="shared" si="21"/>
        <v>204</v>
      </c>
      <c r="I26" s="204">
        <f t="shared" si="2"/>
        <v>4389.2903225806449</v>
      </c>
      <c r="J26" s="204">
        <f t="shared" si="22"/>
        <v>204</v>
      </c>
      <c r="K26" s="204">
        <f t="shared" si="3"/>
        <v>4389.2903225806449</v>
      </c>
      <c r="L26" s="204">
        <f t="shared" si="23"/>
        <v>204</v>
      </c>
      <c r="M26" s="204">
        <f t="shared" si="4"/>
        <v>4389.2903225806449</v>
      </c>
      <c r="N26" s="204">
        <f t="shared" si="24"/>
        <v>204</v>
      </c>
      <c r="O26" s="204">
        <f t="shared" si="5"/>
        <v>4389.2903225806449</v>
      </c>
      <c r="P26" s="204">
        <f t="shared" si="25"/>
        <v>204</v>
      </c>
      <c r="Q26" s="204">
        <f t="shared" si="6"/>
        <v>4389.2903225806449</v>
      </c>
      <c r="R26" s="204">
        <f t="shared" si="26"/>
        <v>204</v>
      </c>
      <c r="S26" s="204">
        <f t="shared" si="7"/>
        <v>4389.2903225806449</v>
      </c>
      <c r="T26" s="204">
        <f t="shared" si="27"/>
        <v>204</v>
      </c>
      <c r="U26" s="204">
        <f t="shared" si="8"/>
        <v>4389.2903225806449</v>
      </c>
      <c r="V26" s="204">
        <f t="shared" si="28"/>
        <v>204</v>
      </c>
      <c r="W26" s="204">
        <f t="shared" si="9"/>
        <v>4389.2903225806449</v>
      </c>
      <c r="X26" s="35">
        <f t="shared" si="10"/>
        <v>0.65806451612903216</v>
      </c>
      <c r="Y26" s="36">
        <f t="shared" si="29"/>
        <v>48282.193548387091</v>
      </c>
      <c r="Z26" s="204">
        <f>'B5'!C25</f>
        <v>211</v>
      </c>
      <c r="AA26" s="204">
        <f t="shared" si="30"/>
        <v>2110</v>
      </c>
      <c r="AB26" s="204">
        <f t="shared" si="31"/>
        <v>211</v>
      </c>
      <c r="AC26" s="204">
        <f t="shared" si="30"/>
        <v>2110</v>
      </c>
      <c r="AD26" s="204">
        <f t="shared" si="32"/>
        <v>211</v>
      </c>
      <c r="AE26" s="204">
        <f t="shared" si="11"/>
        <v>2110</v>
      </c>
      <c r="AF26" s="204">
        <f t="shared" si="33"/>
        <v>211</v>
      </c>
      <c r="AG26" s="204">
        <f t="shared" si="12"/>
        <v>2110</v>
      </c>
      <c r="AH26" s="204">
        <f t="shared" si="34"/>
        <v>211</v>
      </c>
      <c r="AI26" s="204">
        <f t="shared" si="13"/>
        <v>2110</v>
      </c>
      <c r="AJ26" s="204">
        <f t="shared" si="35"/>
        <v>211</v>
      </c>
      <c r="AK26" s="204">
        <f t="shared" si="14"/>
        <v>2110</v>
      </c>
      <c r="AL26" s="204">
        <f t="shared" si="36"/>
        <v>211</v>
      </c>
      <c r="AM26" s="204">
        <f t="shared" si="15"/>
        <v>2110</v>
      </c>
      <c r="AN26" s="35">
        <f t="shared" si="16"/>
        <v>0.75357142857142856</v>
      </c>
      <c r="AO26" s="36">
        <f t="shared" si="17"/>
        <v>14770</v>
      </c>
      <c r="AQ26" s="224">
        <f t="shared" si="37"/>
        <v>0.67819934977290619</v>
      </c>
      <c r="AR26" s="38">
        <f t="shared" si="41"/>
        <v>63052.193548387091</v>
      </c>
      <c r="AS26" s="198">
        <f t="shared" si="38"/>
        <v>0</v>
      </c>
      <c r="AT26" s="273"/>
      <c r="AU26" s="443"/>
      <c r="AV26" s="526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8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204</v>
      </c>
      <c r="C27" s="204">
        <f t="shared" si="18"/>
        <v>4389.2903225806449</v>
      </c>
      <c r="D27">
        <f t="shared" si="19"/>
        <v>204</v>
      </c>
      <c r="E27" s="204">
        <f t="shared" si="18"/>
        <v>4389.2903225806449</v>
      </c>
      <c r="F27">
        <f t="shared" si="20"/>
        <v>204</v>
      </c>
      <c r="G27" s="204">
        <f t="shared" si="1"/>
        <v>4389.2903225806449</v>
      </c>
      <c r="H27" s="204">
        <f t="shared" si="21"/>
        <v>204</v>
      </c>
      <c r="I27" s="204">
        <f t="shared" si="2"/>
        <v>4389.2903225806449</v>
      </c>
      <c r="J27" s="204">
        <f t="shared" si="22"/>
        <v>204</v>
      </c>
      <c r="K27" s="204">
        <f t="shared" si="3"/>
        <v>4389.2903225806449</v>
      </c>
      <c r="L27" s="204">
        <f t="shared" si="23"/>
        <v>204</v>
      </c>
      <c r="M27" s="204">
        <f t="shared" si="4"/>
        <v>4389.2903225806449</v>
      </c>
      <c r="N27" s="204">
        <f t="shared" si="24"/>
        <v>204</v>
      </c>
      <c r="O27" s="204">
        <f t="shared" si="5"/>
        <v>4389.2903225806449</v>
      </c>
      <c r="P27" s="204">
        <f t="shared" si="25"/>
        <v>204</v>
      </c>
      <c r="Q27" s="204">
        <f t="shared" si="6"/>
        <v>4389.2903225806449</v>
      </c>
      <c r="R27" s="204">
        <f t="shared" si="26"/>
        <v>204</v>
      </c>
      <c r="S27" s="204">
        <f t="shared" si="7"/>
        <v>4389.2903225806449</v>
      </c>
      <c r="T27" s="204">
        <f t="shared" si="27"/>
        <v>204</v>
      </c>
      <c r="U27" s="204">
        <f t="shared" si="8"/>
        <v>4389.2903225806449</v>
      </c>
      <c r="V27" s="204">
        <f t="shared" si="28"/>
        <v>204</v>
      </c>
      <c r="W27" s="204">
        <f t="shared" si="9"/>
        <v>4389.2903225806449</v>
      </c>
      <c r="X27" s="35">
        <f t="shared" si="10"/>
        <v>0.65806451612903216</v>
      </c>
      <c r="Y27" s="36">
        <f t="shared" si="29"/>
        <v>48282.193548387091</v>
      </c>
      <c r="Z27" s="204">
        <f>'B5'!C26</f>
        <v>211</v>
      </c>
      <c r="AA27" s="204">
        <f t="shared" si="30"/>
        <v>2110</v>
      </c>
      <c r="AB27" s="204">
        <f t="shared" si="31"/>
        <v>211</v>
      </c>
      <c r="AC27" s="204">
        <f t="shared" si="30"/>
        <v>2110</v>
      </c>
      <c r="AD27" s="204">
        <f t="shared" si="32"/>
        <v>211</v>
      </c>
      <c r="AE27" s="204">
        <f t="shared" si="11"/>
        <v>2110</v>
      </c>
      <c r="AF27" s="204">
        <f t="shared" si="33"/>
        <v>211</v>
      </c>
      <c r="AG27" s="204">
        <f t="shared" si="12"/>
        <v>2110</v>
      </c>
      <c r="AH27" s="204">
        <f t="shared" si="34"/>
        <v>211</v>
      </c>
      <c r="AI27" s="204">
        <f t="shared" si="13"/>
        <v>2110</v>
      </c>
      <c r="AJ27" s="204">
        <f t="shared" si="35"/>
        <v>211</v>
      </c>
      <c r="AK27" s="204">
        <f t="shared" si="14"/>
        <v>2110</v>
      </c>
      <c r="AL27" s="204">
        <f t="shared" si="36"/>
        <v>211</v>
      </c>
      <c r="AM27" s="204">
        <f t="shared" si="15"/>
        <v>2110</v>
      </c>
      <c r="AN27" s="35">
        <f t="shared" si="16"/>
        <v>0.75357142857142856</v>
      </c>
      <c r="AO27" s="36">
        <f t="shared" si="17"/>
        <v>14770</v>
      </c>
      <c r="AQ27" s="224">
        <f t="shared" si="37"/>
        <v>0.67819934977290619</v>
      </c>
      <c r="AR27" s="38">
        <f t="shared" si="41"/>
        <v>63052.193548387091</v>
      </c>
      <c r="AS27" s="198">
        <f t="shared" si="38"/>
        <v>0</v>
      </c>
      <c r="AT27" s="273"/>
      <c r="AU27" s="443"/>
      <c r="AV27" s="526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8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204</v>
      </c>
      <c r="C28" s="204">
        <f t="shared" si="18"/>
        <v>4389.2903225806449</v>
      </c>
      <c r="D28">
        <f t="shared" si="19"/>
        <v>204</v>
      </c>
      <c r="E28" s="204">
        <f t="shared" si="18"/>
        <v>4389.2903225806449</v>
      </c>
      <c r="F28">
        <f t="shared" si="20"/>
        <v>204</v>
      </c>
      <c r="G28" s="204">
        <f t="shared" si="1"/>
        <v>4389.2903225806449</v>
      </c>
      <c r="H28" s="204">
        <f t="shared" si="21"/>
        <v>204</v>
      </c>
      <c r="I28" s="204">
        <f t="shared" si="2"/>
        <v>4389.2903225806449</v>
      </c>
      <c r="J28" s="204">
        <f t="shared" si="22"/>
        <v>204</v>
      </c>
      <c r="K28" s="204">
        <f t="shared" si="3"/>
        <v>4389.2903225806449</v>
      </c>
      <c r="L28" s="204">
        <f t="shared" si="23"/>
        <v>204</v>
      </c>
      <c r="M28" s="204">
        <f t="shared" si="4"/>
        <v>4389.2903225806449</v>
      </c>
      <c r="N28" s="204">
        <f t="shared" si="24"/>
        <v>204</v>
      </c>
      <c r="O28" s="204">
        <f t="shared" si="5"/>
        <v>4389.2903225806449</v>
      </c>
      <c r="P28" s="204">
        <f t="shared" si="25"/>
        <v>204</v>
      </c>
      <c r="Q28" s="204">
        <f t="shared" si="6"/>
        <v>4389.2903225806449</v>
      </c>
      <c r="R28" s="204">
        <f t="shared" si="26"/>
        <v>204</v>
      </c>
      <c r="S28" s="204">
        <f t="shared" si="7"/>
        <v>4389.2903225806449</v>
      </c>
      <c r="T28" s="204">
        <f t="shared" si="27"/>
        <v>204</v>
      </c>
      <c r="U28" s="204">
        <f t="shared" si="8"/>
        <v>4389.2903225806449</v>
      </c>
      <c r="V28" s="204">
        <f t="shared" si="28"/>
        <v>204</v>
      </c>
      <c r="W28" s="204">
        <f t="shared" si="9"/>
        <v>4389.2903225806449</v>
      </c>
      <c r="X28" s="35">
        <f t="shared" si="10"/>
        <v>0.65806451612903216</v>
      </c>
      <c r="Y28" s="36">
        <f t="shared" si="29"/>
        <v>48282.193548387091</v>
      </c>
      <c r="Z28" s="204">
        <f>'B5'!C27</f>
        <v>211</v>
      </c>
      <c r="AA28" s="204">
        <f t="shared" si="30"/>
        <v>2110</v>
      </c>
      <c r="AB28" s="204">
        <f t="shared" si="31"/>
        <v>211</v>
      </c>
      <c r="AC28" s="204">
        <f t="shared" si="30"/>
        <v>2110</v>
      </c>
      <c r="AD28" s="204">
        <f t="shared" si="32"/>
        <v>211</v>
      </c>
      <c r="AE28" s="204">
        <f t="shared" si="11"/>
        <v>2110</v>
      </c>
      <c r="AF28" s="204">
        <f t="shared" si="33"/>
        <v>211</v>
      </c>
      <c r="AG28" s="204">
        <f t="shared" si="12"/>
        <v>2110</v>
      </c>
      <c r="AH28" s="204">
        <f t="shared" si="34"/>
        <v>211</v>
      </c>
      <c r="AI28" s="204">
        <f t="shared" si="13"/>
        <v>2110</v>
      </c>
      <c r="AJ28" s="204">
        <f t="shared" si="35"/>
        <v>211</v>
      </c>
      <c r="AK28" s="204">
        <f t="shared" si="14"/>
        <v>2110</v>
      </c>
      <c r="AL28" s="204">
        <f t="shared" si="36"/>
        <v>211</v>
      </c>
      <c r="AM28" s="204">
        <f t="shared" si="15"/>
        <v>2110</v>
      </c>
      <c r="AN28" s="35">
        <f t="shared" si="16"/>
        <v>0.75357142857142856</v>
      </c>
      <c r="AO28" s="36">
        <f t="shared" si="17"/>
        <v>14770</v>
      </c>
      <c r="AQ28" s="224">
        <f t="shared" si="37"/>
        <v>0.67819934977290619</v>
      </c>
      <c r="AR28" s="38">
        <f t="shared" si="41"/>
        <v>63052.193548387091</v>
      </c>
      <c r="AS28" s="198">
        <f t="shared" si="38"/>
        <v>0</v>
      </c>
      <c r="AT28" s="359"/>
      <c r="AU28" s="443"/>
      <c r="AV28" s="526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204</v>
      </c>
      <c r="C29" s="204">
        <f t="shared" si="18"/>
        <v>4389.2903225806449</v>
      </c>
      <c r="D29">
        <f t="shared" si="19"/>
        <v>204</v>
      </c>
      <c r="E29" s="204">
        <f t="shared" si="18"/>
        <v>4389.2903225806449</v>
      </c>
      <c r="F29">
        <f t="shared" si="20"/>
        <v>204</v>
      </c>
      <c r="G29" s="204">
        <f t="shared" si="1"/>
        <v>4389.2903225806449</v>
      </c>
      <c r="H29" s="204">
        <f t="shared" si="21"/>
        <v>204</v>
      </c>
      <c r="I29" s="204">
        <f t="shared" si="2"/>
        <v>4389.2903225806449</v>
      </c>
      <c r="J29" s="204">
        <f t="shared" si="22"/>
        <v>204</v>
      </c>
      <c r="K29" s="204">
        <f t="shared" si="3"/>
        <v>4389.2903225806449</v>
      </c>
      <c r="L29" s="204">
        <f t="shared" si="23"/>
        <v>204</v>
      </c>
      <c r="M29" s="204">
        <f t="shared" si="4"/>
        <v>4389.2903225806449</v>
      </c>
      <c r="N29" s="204">
        <f t="shared" si="24"/>
        <v>204</v>
      </c>
      <c r="O29" s="204">
        <f t="shared" si="5"/>
        <v>4389.2903225806449</v>
      </c>
      <c r="P29" s="204">
        <f t="shared" si="25"/>
        <v>204</v>
      </c>
      <c r="Q29" s="204">
        <f t="shared" si="6"/>
        <v>4389.2903225806449</v>
      </c>
      <c r="R29" s="204">
        <f t="shared" si="26"/>
        <v>204</v>
      </c>
      <c r="S29" s="204">
        <f t="shared" si="7"/>
        <v>4389.2903225806449</v>
      </c>
      <c r="T29" s="204">
        <f t="shared" si="27"/>
        <v>204</v>
      </c>
      <c r="U29" s="204">
        <f t="shared" si="8"/>
        <v>4389.2903225806449</v>
      </c>
      <c r="V29" s="204">
        <f t="shared" si="28"/>
        <v>204</v>
      </c>
      <c r="W29" s="204">
        <f t="shared" si="9"/>
        <v>4389.2903225806449</v>
      </c>
      <c r="X29" s="35">
        <f t="shared" si="10"/>
        <v>0.65806451612903216</v>
      </c>
      <c r="Y29" s="36">
        <f t="shared" si="29"/>
        <v>48282.193548387091</v>
      </c>
      <c r="Z29" s="204">
        <f>'B5'!C28</f>
        <v>211</v>
      </c>
      <c r="AA29" s="204">
        <f t="shared" si="30"/>
        <v>2110</v>
      </c>
      <c r="AB29" s="204">
        <f t="shared" si="31"/>
        <v>211</v>
      </c>
      <c r="AC29" s="204">
        <f t="shared" si="30"/>
        <v>2110</v>
      </c>
      <c r="AD29" s="204">
        <f t="shared" si="32"/>
        <v>211</v>
      </c>
      <c r="AE29" s="204">
        <f t="shared" si="11"/>
        <v>2110</v>
      </c>
      <c r="AF29" s="204">
        <f t="shared" si="33"/>
        <v>211</v>
      </c>
      <c r="AG29" s="204">
        <f t="shared" si="12"/>
        <v>2110</v>
      </c>
      <c r="AH29" s="204">
        <f t="shared" si="34"/>
        <v>211</v>
      </c>
      <c r="AI29" s="204">
        <f t="shared" si="13"/>
        <v>2110</v>
      </c>
      <c r="AJ29" s="204">
        <f t="shared" si="35"/>
        <v>211</v>
      </c>
      <c r="AK29" s="204">
        <f t="shared" si="14"/>
        <v>2110</v>
      </c>
      <c r="AL29" s="204">
        <f t="shared" si="36"/>
        <v>211</v>
      </c>
      <c r="AM29" s="204">
        <f t="shared" si="15"/>
        <v>2110</v>
      </c>
      <c r="AN29" s="35">
        <f t="shared" si="16"/>
        <v>0.75357142857142856</v>
      </c>
      <c r="AO29" s="36">
        <f t="shared" si="17"/>
        <v>14770</v>
      </c>
      <c r="AQ29" s="224">
        <f t="shared" si="37"/>
        <v>0.67819934977290619</v>
      </c>
      <c r="AR29" s="38">
        <f t="shared" si="41"/>
        <v>63052.193548387091</v>
      </c>
      <c r="AS29" s="198">
        <f t="shared" si="38"/>
        <v>0</v>
      </c>
      <c r="AT29" s="359"/>
      <c r="AU29" s="443"/>
      <c r="AV29" s="526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204</v>
      </c>
      <c r="C30" s="204">
        <f t="shared" si="18"/>
        <v>4389.2903225806449</v>
      </c>
      <c r="D30">
        <f t="shared" ref="D30:D35" si="44">SUM(B30)</f>
        <v>204</v>
      </c>
      <c r="E30" s="204">
        <f t="shared" si="18"/>
        <v>4389.2903225806449</v>
      </c>
      <c r="F30">
        <f t="shared" ref="F30:F35" si="45">SUM(D30)</f>
        <v>204</v>
      </c>
      <c r="G30" s="204">
        <f t="shared" si="1"/>
        <v>4389.2903225806449</v>
      </c>
      <c r="H30" s="204">
        <f t="shared" ref="H30:H35" si="46">SUM(F30)</f>
        <v>204</v>
      </c>
      <c r="I30" s="204">
        <f t="shared" si="2"/>
        <v>4389.2903225806449</v>
      </c>
      <c r="J30" s="204">
        <f t="shared" ref="J30:J35" si="47">SUM(H30)</f>
        <v>204</v>
      </c>
      <c r="K30" s="204">
        <f t="shared" si="3"/>
        <v>4389.2903225806449</v>
      </c>
      <c r="L30" s="204">
        <f t="shared" ref="L30:L35" si="48">SUM(J30)</f>
        <v>204</v>
      </c>
      <c r="M30" s="204">
        <f t="shared" si="4"/>
        <v>4389.2903225806449</v>
      </c>
      <c r="N30" s="204">
        <f t="shared" ref="N30:N35" si="49">SUM(L30)</f>
        <v>204</v>
      </c>
      <c r="O30" s="204">
        <f t="shared" si="5"/>
        <v>4389.2903225806449</v>
      </c>
      <c r="P30" s="204">
        <f t="shared" ref="P30:P35" si="50">SUM(N30)</f>
        <v>204</v>
      </c>
      <c r="Q30" s="204">
        <f t="shared" si="6"/>
        <v>4389.2903225806449</v>
      </c>
      <c r="R30" s="204">
        <f t="shared" ref="R30:R35" si="51">SUM(P30)</f>
        <v>204</v>
      </c>
      <c r="S30" s="204">
        <f t="shared" si="7"/>
        <v>4389.2903225806449</v>
      </c>
      <c r="T30" s="204">
        <f t="shared" ref="T30:T35" si="52">SUM(R30)</f>
        <v>204</v>
      </c>
      <c r="U30" s="204">
        <f t="shared" si="8"/>
        <v>4389.2903225806449</v>
      </c>
      <c r="V30" s="204">
        <f t="shared" ref="V30:V35" si="53">SUM(T30)</f>
        <v>204</v>
      </c>
      <c r="W30" s="204">
        <f t="shared" si="9"/>
        <v>4389.2903225806449</v>
      </c>
      <c r="X30" s="35">
        <f t="shared" ref="X30:X35" si="54">SUM(Y30/73370)</f>
        <v>0.65806451612903216</v>
      </c>
      <c r="Y30" s="36">
        <f t="shared" ref="Y30:Y35" si="55">SUM(C30+E30+G30+I30+K30+M30+O30+Q30+S30+U30+W30)</f>
        <v>48282.193548387091</v>
      </c>
      <c r="Z30" s="204">
        <f>'B5'!C29</f>
        <v>211</v>
      </c>
      <c r="AA30" s="204">
        <f t="shared" si="30"/>
        <v>2110</v>
      </c>
      <c r="AB30" s="204">
        <f t="shared" ref="AB30:AB35" si="56">SUM(Z30)</f>
        <v>211</v>
      </c>
      <c r="AC30" s="204">
        <f t="shared" si="30"/>
        <v>2110</v>
      </c>
      <c r="AD30" s="204">
        <f t="shared" ref="AD30:AD35" si="57">SUM(AB30)</f>
        <v>211</v>
      </c>
      <c r="AE30" s="204">
        <f t="shared" si="11"/>
        <v>2110</v>
      </c>
      <c r="AF30" s="204">
        <f t="shared" ref="AF30:AF35" si="58">SUM(AD30)</f>
        <v>211</v>
      </c>
      <c r="AG30" s="204">
        <f t="shared" si="12"/>
        <v>2110</v>
      </c>
      <c r="AH30" s="204">
        <f t="shared" ref="AH30:AH35" si="59">SUM(AF30)</f>
        <v>211</v>
      </c>
      <c r="AI30" s="204">
        <f t="shared" si="13"/>
        <v>2110</v>
      </c>
      <c r="AJ30" s="204">
        <f t="shared" ref="AJ30:AJ35" si="60">SUM(AH30)</f>
        <v>211</v>
      </c>
      <c r="AK30" s="204">
        <f t="shared" si="14"/>
        <v>2110</v>
      </c>
      <c r="AL30" s="204">
        <f t="shared" ref="AL30:AL35" si="61">SUM(AJ30)</f>
        <v>211</v>
      </c>
      <c r="AM30" s="204">
        <f t="shared" si="15"/>
        <v>2110</v>
      </c>
      <c r="AN30" s="35">
        <f t="shared" ref="AN30:AN35" si="62">SUM(AO30/19600)</f>
        <v>0.75357142857142856</v>
      </c>
      <c r="AO30" s="36">
        <f t="shared" ref="AO30:AO35" si="63">SUM(AA30+AC30+AE30+AG30+AI30+AK30+AM30)</f>
        <v>14770</v>
      </c>
      <c r="AQ30" s="224">
        <f t="shared" si="37"/>
        <v>0.67819934977290619</v>
      </c>
      <c r="AR30" s="38">
        <f t="shared" si="41"/>
        <v>63052.193548387091</v>
      </c>
      <c r="AS30" s="198">
        <f t="shared" si="38"/>
        <v>0</v>
      </c>
      <c r="AT30" s="359"/>
      <c r="AU30" s="443"/>
      <c r="AV30" s="526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204</v>
      </c>
      <c r="C31" s="204">
        <f t="shared" si="18"/>
        <v>4389.2903225806449</v>
      </c>
      <c r="D31">
        <f t="shared" si="44"/>
        <v>204</v>
      </c>
      <c r="E31" s="204">
        <f t="shared" si="18"/>
        <v>4389.2903225806449</v>
      </c>
      <c r="F31">
        <f t="shared" si="45"/>
        <v>204</v>
      </c>
      <c r="G31" s="204">
        <f t="shared" si="1"/>
        <v>4389.2903225806449</v>
      </c>
      <c r="H31" s="204">
        <f t="shared" si="46"/>
        <v>204</v>
      </c>
      <c r="I31" s="204">
        <f t="shared" si="2"/>
        <v>4389.2903225806449</v>
      </c>
      <c r="J31" s="204">
        <f t="shared" si="47"/>
        <v>204</v>
      </c>
      <c r="K31" s="204">
        <f t="shared" si="3"/>
        <v>4389.2903225806449</v>
      </c>
      <c r="L31" s="204">
        <f t="shared" si="48"/>
        <v>204</v>
      </c>
      <c r="M31" s="204">
        <f t="shared" si="4"/>
        <v>4389.2903225806449</v>
      </c>
      <c r="N31" s="204">
        <f t="shared" si="49"/>
        <v>204</v>
      </c>
      <c r="O31" s="204">
        <f t="shared" si="5"/>
        <v>4389.2903225806449</v>
      </c>
      <c r="P31" s="204">
        <f t="shared" si="50"/>
        <v>204</v>
      </c>
      <c r="Q31" s="204">
        <f t="shared" si="6"/>
        <v>4389.2903225806449</v>
      </c>
      <c r="R31" s="204">
        <f t="shared" si="51"/>
        <v>204</v>
      </c>
      <c r="S31" s="204">
        <f t="shared" si="7"/>
        <v>4389.2903225806449</v>
      </c>
      <c r="T31" s="204">
        <f t="shared" si="52"/>
        <v>204</v>
      </c>
      <c r="U31" s="204">
        <f t="shared" si="8"/>
        <v>4389.2903225806449</v>
      </c>
      <c r="V31" s="204">
        <f t="shared" si="53"/>
        <v>204</v>
      </c>
      <c r="W31" s="204">
        <f t="shared" si="9"/>
        <v>4389.2903225806449</v>
      </c>
      <c r="X31" s="35">
        <f t="shared" si="54"/>
        <v>0.65806451612903216</v>
      </c>
      <c r="Y31" s="36">
        <f t="shared" si="55"/>
        <v>48282.193548387091</v>
      </c>
      <c r="Z31" s="204">
        <f>'B5'!C30</f>
        <v>211</v>
      </c>
      <c r="AA31" s="204">
        <f t="shared" si="30"/>
        <v>2110</v>
      </c>
      <c r="AB31" s="204">
        <f t="shared" si="56"/>
        <v>211</v>
      </c>
      <c r="AC31" s="204">
        <f t="shared" si="30"/>
        <v>2110</v>
      </c>
      <c r="AD31" s="204">
        <f t="shared" si="57"/>
        <v>211</v>
      </c>
      <c r="AE31" s="204">
        <f t="shared" si="11"/>
        <v>2110</v>
      </c>
      <c r="AF31" s="204">
        <f t="shared" si="58"/>
        <v>211</v>
      </c>
      <c r="AG31" s="204">
        <f t="shared" si="12"/>
        <v>2110</v>
      </c>
      <c r="AH31" s="204">
        <f t="shared" si="59"/>
        <v>211</v>
      </c>
      <c r="AI31" s="204">
        <f t="shared" si="13"/>
        <v>2110</v>
      </c>
      <c r="AJ31" s="204">
        <f t="shared" si="60"/>
        <v>211</v>
      </c>
      <c r="AK31" s="204">
        <f t="shared" si="14"/>
        <v>2110</v>
      </c>
      <c r="AL31" s="204">
        <f t="shared" si="61"/>
        <v>211</v>
      </c>
      <c r="AM31" s="204">
        <f t="shared" si="15"/>
        <v>2110</v>
      </c>
      <c r="AN31" s="35">
        <f t="shared" si="62"/>
        <v>0.75357142857142856</v>
      </c>
      <c r="AO31" s="36">
        <f t="shared" si="63"/>
        <v>14770</v>
      </c>
      <c r="AQ31" s="224">
        <f t="shared" si="37"/>
        <v>0.67819934977290619</v>
      </c>
      <c r="AR31" s="38">
        <f t="shared" si="41"/>
        <v>63052.193548387091</v>
      </c>
      <c r="AS31" s="198">
        <f>SUM(AR31-AR30-AT31)</f>
        <v>0</v>
      </c>
      <c r="AT31" s="359"/>
      <c r="AU31" s="443"/>
      <c r="AV31" s="526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204</v>
      </c>
      <c r="C32" s="204">
        <f t="shared" si="18"/>
        <v>4389.2903225806449</v>
      </c>
      <c r="D32">
        <f t="shared" si="44"/>
        <v>204</v>
      </c>
      <c r="E32" s="204">
        <f t="shared" si="18"/>
        <v>4389.2903225806449</v>
      </c>
      <c r="F32">
        <f t="shared" si="45"/>
        <v>204</v>
      </c>
      <c r="G32" s="204">
        <f t="shared" si="1"/>
        <v>4389.2903225806449</v>
      </c>
      <c r="H32" s="204">
        <f t="shared" si="46"/>
        <v>204</v>
      </c>
      <c r="I32" s="204">
        <f t="shared" si="2"/>
        <v>4389.2903225806449</v>
      </c>
      <c r="J32" s="204">
        <f t="shared" si="47"/>
        <v>204</v>
      </c>
      <c r="K32" s="204">
        <f t="shared" si="3"/>
        <v>4389.2903225806449</v>
      </c>
      <c r="L32" s="204">
        <f t="shared" si="48"/>
        <v>204</v>
      </c>
      <c r="M32" s="204">
        <f t="shared" si="4"/>
        <v>4389.2903225806449</v>
      </c>
      <c r="N32" s="204">
        <f t="shared" si="49"/>
        <v>204</v>
      </c>
      <c r="O32" s="204">
        <f t="shared" si="5"/>
        <v>4389.2903225806449</v>
      </c>
      <c r="P32" s="204">
        <f t="shared" si="50"/>
        <v>204</v>
      </c>
      <c r="Q32" s="204">
        <f t="shared" si="6"/>
        <v>4389.2903225806449</v>
      </c>
      <c r="R32" s="204">
        <f t="shared" si="51"/>
        <v>204</v>
      </c>
      <c r="S32" s="204">
        <f t="shared" si="7"/>
        <v>4389.2903225806449</v>
      </c>
      <c r="T32" s="204">
        <f t="shared" si="52"/>
        <v>204</v>
      </c>
      <c r="U32" s="204">
        <f t="shared" si="8"/>
        <v>4389.2903225806449</v>
      </c>
      <c r="V32" s="204">
        <f t="shared" si="53"/>
        <v>204</v>
      </c>
      <c r="W32" s="204">
        <f t="shared" si="9"/>
        <v>4389.2903225806449</v>
      </c>
      <c r="X32" s="35">
        <f t="shared" si="54"/>
        <v>0.65806451612903216</v>
      </c>
      <c r="Y32" s="36">
        <f t="shared" si="55"/>
        <v>48282.193548387091</v>
      </c>
      <c r="Z32" s="204">
        <f>'B5'!C31</f>
        <v>211</v>
      </c>
      <c r="AA32" s="204">
        <f t="shared" si="30"/>
        <v>2110</v>
      </c>
      <c r="AB32" s="204">
        <f t="shared" si="56"/>
        <v>211</v>
      </c>
      <c r="AC32" s="204">
        <f t="shared" si="30"/>
        <v>2110</v>
      </c>
      <c r="AD32" s="204">
        <f t="shared" si="57"/>
        <v>211</v>
      </c>
      <c r="AE32" s="204">
        <f t="shared" si="11"/>
        <v>2110</v>
      </c>
      <c r="AF32" s="204">
        <f t="shared" si="58"/>
        <v>211</v>
      </c>
      <c r="AG32" s="204">
        <f t="shared" si="12"/>
        <v>2110</v>
      </c>
      <c r="AH32" s="204">
        <f t="shared" si="59"/>
        <v>211</v>
      </c>
      <c r="AI32" s="204">
        <f t="shared" si="13"/>
        <v>2110</v>
      </c>
      <c r="AJ32" s="204">
        <f t="shared" si="60"/>
        <v>211</v>
      </c>
      <c r="AK32" s="204">
        <f t="shared" si="14"/>
        <v>2110</v>
      </c>
      <c r="AL32" s="204">
        <f t="shared" si="61"/>
        <v>211</v>
      </c>
      <c r="AM32" s="204">
        <f t="shared" si="15"/>
        <v>2110</v>
      </c>
      <c r="AN32" s="35">
        <f t="shared" si="62"/>
        <v>0.75357142857142856</v>
      </c>
      <c r="AO32" s="36">
        <f t="shared" si="63"/>
        <v>14770</v>
      </c>
      <c r="AQ32" s="224">
        <f t="shared" si="37"/>
        <v>0.67819934977290619</v>
      </c>
      <c r="AR32" s="38">
        <f t="shared" si="41"/>
        <v>63052.193548387091</v>
      </c>
      <c r="AS32" s="198">
        <f t="shared" si="38"/>
        <v>0</v>
      </c>
      <c r="AT32" s="359"/>
      <c r="AU32" s="443"/>
      <c r="AV32" s="526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204</v>
      </c>
      <c r="C33" s="204">
        <f t="shared" si="18"/>
        <v>4389.2903225806449</v>
      </c>
      <c r="D33">
        <f t="shared" si="44"/>
        <v>204</v>
      </c>
      <c r="E33" s="204">
        <f t="shared" si="18"/>
        <v>4389.2903225806449</v>
      </c>
      <c r="F33">
        <f t="shared" si="45"/>
        <v>204</v>
      </c>
      <c r="G33" s="204">
        <f t="shared" si="1"/>
        <v>4389.2903225806449</v>
      </c>
      <c r="H33" s="204">
        <f t="shared" si="46"/>
        <v>204</v>
      </c>
      <c r="I33" s="204">
        <f t="shared" si="2"/>
        <v>4389.2903225806449</v>
      </c>
      <c r="J33" s="204">
        <f t="shared" si="47"/>
        <v>204</v>
      </c>
      <c r="K33" s="204">
        <f t="shared" si="3"/>
        <v>4389.2903225806449</v>
      </c>
      <c r="L33" s="204">
        <f t="shared" si="48"/>
        <v>204</v>
      </c>
      <c r="M33" s="204">
        <f t="shared" si="4"/>
        <v>4389.2903225806449</v>
      </c>
      <c r="N33" s="204">
        <f t="shared" si="49"/>
        <v>204</v>
      </c>
      <c r="O33" s="204">
        <f t="shared" si="5"/>
        <v>4389.2903225806449</v>
      </c>
      <c r="P33" s="204">
        <f t="shared" si="50"/>
        <v>204</v>
      </c>
      <c r="Q33" s="204">
        <f t="shared" si="6"/>
        <v>4389.2903225806449</v>
      </c>
      <c r="R33" s="204">
        <f t="shared" si="51"/>
        <v>204</v>
      </c>
      <c r="S33" s="204">
        <f t="shared" si="7"/>
        <v>4389.2903225806449</v>
      </c>
      <c r="T33" s="204">
        <f t="shared" si="52"/>
        <v>204</v>
      </c>
      <c r="U33" s="204">
        <f t="shared" si="8"/>
        <v>4389.2903225806449</v>
      </c>
      <c r="V33" s="204">
        <f t="shared" si="53"/>
        <v>204</v>
      </c>
      <c r="W33" s="204">
        <f t="shared" si="9"/>
        <v>4389.2903225806449</v>
      </c>
      <c r="X33" s="35">
        <f t="shared" si="54"/>
        <v>0.65806451612903216</v>
      </c>
      <c r="Y33" s="36">
        <f t="shared" si="55"/>
        <v>48282.193548387091</v>
      </c>
      <c r="Z33" s="204">
        <f>'B5'!C32</f>
        <v>211</v>
      </c>
      <c r="AA33" s="204">
        <f t="shared" si="30"/>
        <v>2110</v>
      </c>
      <c r="AB33" s="204">
        <f t="shared" si="56"/>
        <v>211</v>
      </c>
      <c r="AC33" s="204">
        <f t="shared" si="30"/>
        <v>2110</v>
      </c>
      <c r="AD33" s="204">
        <f t="shared" si="57"/>
        <v>211</v>
      </c>
      <c r="AE33" s="204">
        <f t="shared" si="11"/>
        <v>2110</v>
      </c>
      <c r="AF33" s="204">
        <f t="shared" si="58"/>
        <v>211</v>
      </c>
      <c r="AG33" s="204">
        <f t="shared" si="12"/>
        <v>2110</v>
      </c>
      <c r="AH33" s="204">
        <f t="shared" si="59"/>
        <v>211</v>
      </c>
      <c r="AI33" s="204">
        <f t="shared" si="13"/>
        <v>2110</v>
      </c>
      <c r="AJ33" s="204">
        <f t="shared" si="60"/>
        <v>211</v>
      </c>
      <c r="AK33" s="204">
        <f t="shared" si="14"/>
        <v>2110</v>
      </c>
      <c r="AL33" s="204">
        <f t="shared" si="61"/>
        <v>211</v>
      </c>
      <c r="AM33" s="204">
        <f t="shared" si="15"/>
        <v>2110</v>
      </c>
      <c r="AN33" s="35">
        <f t="shared" si="62"/>
        <v>0.75357142857142856</v>
      </c>
      <c r="AO33" s="36">
        <f t="shared" si="63"/>
        <v>14770</v>
      </c>
      <c r="AQ33" s="224">
        <f t="shared" si="37"/>
        <v>0.67819934977290619</v>
      </c>
      <c r="AR33" s="38">
        <f t="shared" si="41"/>
        <v>63052.193548387091</v>
      </c>
      <c r="AS33" s="198">
        <f t="shared" si="38"/>
        <v>0</v>
      </c>
      <c r="AT33" s="359"/>
      <c r="AU33" s="443"/>
      <c r="AV33" s="526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204</v>
      </c>
      <c r="C34" s="204">
        <f t="shared" si="18"/>
        <v>4389.2903225806449</v>
      </c>
      <c r="D34">
        <f t="shared" si="44"/>
        <v>204</v>
      </c>
      <c r="E34" s="204">
        <f t="shared" si="18"/>
        <v>4389.2903225806449</v>
      </c>
      <c r="F34">
        <f t="shared" si="45"/>
        <v>204</v>
      </c>
      <c r="G34" s="204">
        <f t="shared" si="1"/>
        <v>4389.2903225806449</v>
      </c>
      <c r="H34" s="204">
        <f t="shared" si="46"/>
        <v>204</v>
      </c>
      <c r="I34" s="204">
        <f t="shared" si="2"/>
        <v>4389.2903225806449</v>
      </c>
      <c r="J34" s="204">
        <f t="shared" si="47"/>
        <v>204</v>
      </c>
      <c r="K34" s="204">
        <f t="shared" si="3"/>
        <v>4389.2903225806449</v>
      </c>
      <c r="L34" s="204">
        <f t="shared" si="48"/>
        <v>204</v>
      </c>
      <c r="M34" s="204">
        <f t="shared" si="4"/>
        <v>4389.2903225806449</v>
      </c>
      <c r="N34" s="204">
        <f t="shared" si="49"/>
        <v>204</v>
      </c>
      <c r="O34" s="204">
        <f t="shared" si="5"/>
        <v>4389.2903225806449</v>
      </c>
      <c r="P34" s="204">
        <f t="shared" si="50"/>
        <v>204</v>
      </c>
      <c r="Q34" s="204">
        <f t="shared" si="6"/>
        <v>4389.2903225806449</v>
      </c>
      <c r="R34" s="204">
        <f t="shared" si="51"/>
        <v>204</v>
      </c>
      <c r="S34" s="204">
        <f t="shared" si="7"/>
        <v>4389.2903225806449</v>
      </c>
      <c r="T34" s="204">
        <f t="shared" si="52"/>
        <v>204</v>
      </c>
      <c r="U34" s="204">
        <f t="shared" si="8"/>
        <v>4389.2903225806449</v>
      </c>
      <c r="V34" s="204">
        <f t="shared" si="53"/>
        <v>204</v>
      </c>
      <c r="W34" s="204">
        <f t="shared" si="9"/>
        <v>4389.2903225806449</v>
      </c>
      <c r="X34" s="35">
        <f t="shared" si="54"/>
        <v>0.65806451612903216</v>
      </c>
      <c r="Y34" s="36">
        <f t="shared" si="55"/>
        <v>48282.193548387091</v>
      </c>
      <c r="Z34" s="204">
        <f>'B5'!C33</f>
        <v>211</v>
      </c>
      <c r="AA34" s="204">
        <f t="shared" si="30"/>
        <v>2110</v>
      </c>
      <c r="AB34" s="204">
        <f t="shared" si="56"/>
        <v>211</v>
      </c>
      <c r="AC34" s="204">
        <f t="shared" si="30"/>
        <v>2110</v>
      </c>
      <c r="AD34" s="204">
        <f t="shared" si="57"/>
        <v>211</v>
      </c>
      <c r="AE34" s="204">
        <f t="shared" si="11"/>
        <v>2110</v>
      </c>
      <c r="AF34" s="204">
        <f t="shared" si="58"/>
        <v>211</v>
      </c>
      <c r="AG34" s="204">
        <f t="shared" si="12"/>
        <v>2110</v>
      </c>
      <c r="AH34" s="204">
        <f t="shared" si="59"/>
        <v>211</v>
      </c>
      <c r="AI34" s="204">
        <f t="shared" si="13"/>
        <v>2110</v>
      </c>
      <c r="AJ34" s="204">
        <f t="shared" si="60"/>
        <v>211</v>
      </c>
      <c r="AK34" s="204">
        <f t="shared" si="14"/>
        <v>2110</v>
      </c>
      <c r="AL34" s="204">
        <f t="shared" si="61"/>
        <v>211</v>
      </c>
      <c r="AM34" s="204">
        <f t="shared" si="15"/>
        <v>2110</v>
      </c>
      <c r="AN34" s="35">
        <f t="shared" si="62"/>
        <v>0.75357142857142856</v>
      </c>
      <c r="AO34" s="36">
        <f t="shared" si="63"/>
        <v>14770</v>
      </c>
      <c r="AQ34" s="224">
        <f>SUM(AR34/92970)</f>
        <v>0.67819934977290619</v>
      </c>
      <c r="AR34" s="38">
        <f t="shared" si="41"/>
        <v>63052.193548387091</v>
      </c>
      <c r="AS34" s="198">
        <f t="shared" si="38"/>
        <v>0</v>
      </c>
      <c r="AT34" s="359"/>
      <c r="AU34" s="443"/>
      <c r="AV34" s="526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204</v>
      </c>
      <c r="C35" s="204">
        <f t="shared" si="18"/>
        <v>4389.2903225806449</v>
      </c>
      <c r="D35">
        <f t="shared" si="44"/>
        <v>204</v>
      </c>
      <c r="E35" s="204">
        <f t="shared" si="18"/>
        <v>4389.2903225806449</v>
      </c>
      <c r="F35">
        <f t="shared" si="45"/>
        <v>204</v>
      </c>
      <c r="G35" s="204">
        <f t="shared" si="1"/>
        <v>4389.2903225806449</v>
      </c>
      <c r="H35" s="204">
        <f t="shared" si="46"/>
        <v>204</v>
      </c>
      <c r="I35" s="204">
        <f t="shared" si="2"/>
        <v>4389.2903225806449</v>
      </c>
      <c r="J35" s="204">
        <f t="shared" si="47"/>
        <v>204</v>
      </c>
      <c r="K35" s="204">
        <f t="shared" si="3"/>
        <v>4389.2903225806449</v>
      </c>
      <c r="L35" s="204">
        <f t="shared" si="48"/>
        <v>204</v>
      </c>
      <c r="M35" s="204">
        <f t="shared" si="4"/>
        <v>4389.2903225806449</v>
      </c>
      <c r="N35" s="204">
        <f t="shared" si="49"/>
        <v>204</v>
      </c>
      <c r="O35" s="204">
        <f t="shared" si="5"/>
        <v>4389.2903225806449</v>
      </c>
      <c r="P35" s="204">
        <f t="shared" si="50"/>
        <v>204</v>
      </c>
      <c r="Q35" s="204">
        <f t="shared" si="6"/>
        <v>4389.2903225806449</v>
      </c>
      <c r="R35" s="204">
        <f t="shared" si="51"/>
        <v>204</v>
      </c>
      <c r="S35" s="204">
        <f t="shared" si="7"/>
        <v>4389.2903225806449</v>
      </c>
      <c r="T35" s="204">
        <f t="shared" si="52"/>
        <v>204</v>
      </c>
      <c r="U35" s="204">
        <f t="shared" si="8"/>
        <v>4389.2903225806449</v>
      </c>
      <c r="V35" s="204">
        <f t="shared" si="53"/>
        <v>204</v>
      </c>
      <c r="W35" s="204">
        <f t="shared" si="9"/>
        <v>4389.2903225806449</v>
      </c>
      <c r="X35" s="35">
        <f t="shared" si="54"/>
        <v>0.65806451612903216</v>
      </c>
      <c r="Y35" s="36">
        <f t="shared" si="55"/>
        <v>48282.193548387091</v>
      </c>
      <c r="Z35" s="204">
        <f>'B5'!C34</f>
        <v>211</v>
      </c>
      <c r="AA35" s="204">
        <f t="shared" si="30"/>
        <v>2110</v>
      </c>
      <c r="AB35" s="204">
        <f t="shared" si="56"/>
        <v>211</v>
      </c>
      <c r="AC35" s="204">
        <f t="shared" si="30"/>
        <v>2110</v>
      </c>
      <c r="AD35" s="204">
        <f t="shared" si="57"/>
        <v>211</v>
      </c>
      <c r="AE35" s="204">
        <f t="shared" si="11"/>
        <v>2110</v>
      </c>
      <c r="AF35" s="204">
        <f t="shared" si="58"/>
        <v>211</v>
      </c>
      <c r="AG35" s="204">
        <f t="shared" si="12"/>
        <v>2110</v>
      </c>
      <c r="AH35" s="204">
        <f t="shared" si="59"/>
        <v>211</v>
      </c>
      <c r="AI35" s="204">
        <f t="shared" si="13"/>
        <v>2110</v>
      </c>
      <c r="AJ35" s="204">
        <f t="shared" si="60"/>
        <v>211</v>
      </c>
      <c r="AK35" s="204">
        <f t="shared" si="14"/>
        <v>2110</v>
      </c>
      <c r="AL35" s="204">
        <f t="shared" si="61"/>
        <v>211</v>
      </c>
      <c r="AM35" s="204">
        <f t="shared" si="15"/>
        <v>2110</v>
      </c>
      <c r="AN35" s="35">
        <f t="shared" si="62"/>
        <v>0.75357142857142856</v>
      </c>
      <c r="AO35" s="36">
        <f t="shared" si="63"/>
        <v>14770</v>
      </c>
      <c r="AQ35" s="224">
        <f>SUM(AR35/92970)</f>
        <v>0.67819934977290619</v>
      </c>
      <c r="AR35" s="38">
        <f t="shared" si="41"/>
        <v>63052.193548387091</v>
      </c>
      <c r="AS35" s="198">
        <f t="shared" si="38"/>
        <v>0</v>
      </c>
      <c r="AT35" s="359"/>
      <c r="AU35" s="443"/>
      <c r="AV35" s="526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204</v>
      </c>
      <c r="C36" s="204">
        <f t="shared" ref="C36" si="64">B36*$B$4</f>
        <v>4389.2903225806449</v>
      </c>
      <c r="D36">
        <f t="shared" ref="D36" si="65">SUM(B36)</f>
        <v>204</v>
      </c>
      <c r="E36" s="204">
        <f t="shared" ref="E36" si="66">D36*$B$4</f>
        <v>4389.2903225806449</v>
      </c>
      <c r="F36">
        <f t="shared" ref="F36" si="67">SUM(D36)</f>
        <v>204</v>
      </c>
      <c r="G36" s="204">
        <f t="shared" ref="G36" si="68">F36*$B$4</f>
        <v>4389.2903225806449</v>
      </c>
      <c r="H36" s="204">
        <f t="shared" ref="H36" si="69">SUM(F36)</f>
        <v>204</v>
      </c>
      <c r="I36" s="204">
        <f t="shared" ref="I36" si="70">H36*$B$4</f>
        <v>4389.2903225806449</v>
      </c>
      <c r="J36" s="204">
        <f t="shared" ref="J36" si="71">SUM(H36)</f>
        <v>204</v>
      </c>
      <c r="K36" s="204">
        <f t="shared" ref="K36" si="72">J36*$B$4</f>
        <v>4389.2903225806449</v>
      </c>
      <c r="L36" s="204">
        <f t="shared" ref="L36" si="73">SUM(J36)</f>
        <v>204</v>
      </c>
      <c r="M36" s="204">
        <f t="shared" ref="M36" si="74">L36*$B$4</f>
        <v>4389.2903225806449</v>
      </c>
      <c r="N36" s="204">
        <f t="shared" ref="N36" si="75">SUM(L36)</f>
        <v>204</v>
      </c>
      <c r="O36" s="204">
        <f t="shared" ref="O36" si="76">N36*$B$4</f>
        <v>4389.2903225806449</v>
      </c>
      <c r="P36" s="204">
        <f t="shared" ref="P36" si="77">SUM(N36)</f>
        <v>204</v>
      </c>
      <c r="Q36" s="204">
        <f t="shared" ref="Q36" si="78">P36*$B$4</f>
        <v>4389.2903225806449</v>
      </c>
      <c r="R36" s="204">
        <f t="shared" ref="R36" si="79">SUM(P36)</f>
        <v>204</v>
      </c>
      <c r="S36" s="204">
        <f t="shared" ref="S36" si="80">R36*$B$4</f>
        <v>4389.2903225806449</v>
      </c>
      <c r="T36" s="204">
        <f t="shared" ref="T36" si="81">SUM(R36)</f>
        <v>204</v>
      </c>
      <c r="U36" s="204">
        <f t="shared" ref="U36" si="82">T36*$B$4</f>
        <v>4389.2903225806449</v>
      </c>
      <c r="V36" s="204">
        <f t="shared" ref="V36" si="83">SUM(T36)</f>
        <v>204</v>
      </c>
      <c r="W36" s="204">
        <f t="shared" ref="W36" si="84">V36*$B$4</f>
        <v>4389.2903225806449</v>
      </c>
      <c r="X36" s="35">
        <f t="shared" ref="X36" si="85">SUM(Y36/73370)</f>
        <v>0.65806451612903216</v>
      </c>
      <c r="Y36" s="36">
        <f t="shared" ref="Y36" si="86">SUM(C36+E36+G36+I36+K36+M36+O36+Q36+S36+U36+W36)</f>
        <v>48282.193548387091</v>
      </c>
      <c r="Z36" s="204">
        <f>'B5'!C35</f>
        <v>211</v>
      </c>
      <c r="AA36" s="204">
        <f t="shared" ref="AA36" si="87">SUM(Z36*$Z$4)</f>
        <v>2110</v>
      </c>
      <c r="AB36" s="204">
        <f t="shared" ref="AB36" si="88">SUM(Z36)</f>
        <v>211</v>
      </c>
      <c r="AC36" s="204">
        <f t="shared" ref="AC36" si="89">SUM(AB36*$Z$4)</f>
        <v>2110</v>
      </c>
      <c r="AD36" s="204">
        <f t="shared" ref="AD36" si="90">SUM(AB36)</f>
        <v>211</v>
      </c>
      <c r="AE36" s="204">
        <f t="shared" ref="AE36" si="91">SUM(AD36*$Z$4)</f>
        <v>2110</v>
      </c>
      <c r="AF36" s="204">
        <f t="shared" ref="AF36" si="92">SUM(AD36)</f>
        <v>211</v>
      </c>
      <c r="AG36" s="204">
        <f t="shared" ref="AG36" si="93">SUM(AF36*$Z$4)</f>
        <v>2110</v>
      </c>
      <c r="AH36" s="204">
        <f t="shared" ref="AH36" si="94">SUM(AF36)</f>
        <v>211</v>
      </c>
      <c r="AI36" s="204">
        <f t="shared" ref="AI36" si="95">SUM(AH36*$Z$4)</f>
        <v>2110</v>
      </c>
      <c r="AJ36" s="204">
        <f t="shared" ref="AJ36" si="96">SUM(AH36)</f>
        <v>211</v>
      </c>
      <c r="AK36" s="204">
        <f t="shared" ref="AK36" si="97">SUM(AJ36*$Z$4)</f>
        <v>2110</v>
      </c>
      <c r="AL36" s="204">
        <f t="shared" ref="AL36" si="98">SUM(AJ36)</f>
        <v>211</v>
      </c>
      <c r="AM36" s="204">
        <f t="shared" ref="AM36" si="99">SUM(AL36*$Z$4)</f>
        <v>2110</v>
      </c>
      <c r="AN36" s="35">
        <f t="shared" ref="AN36" si="100">SUM(AO36/19600)</f>
        <v>0.75357142857142856</v>
      </c>
      <c r="AO36" s="36">
        <f t="shared" ref="AO36" si="101">SUM(AA36+AC36+AE36+AG36+AI36+AK36+AM36)</f>
        <v>14770</v>
      </c>
      <c r="AQ36" s="224">
        <f>SUM(AR36/92970)</f>
        <v>0.67819934977290619</v>
      </c>
      <c r="AR36" s="38">
        <f t="shared" si="41"/>
        <v>63052.193548387091</v>
      </c>
      <c r="AS36" s="198">
        <f t="shared" ref="AS36" si="102">SUM(AR36-AR35-AT36)</f>
        <v>0</v>
      </c>
      <c r="AT36" s="359"/>
      <c r="AU36" s="443"/>
      <c r="AV36" s="526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-11999.038709677436</v>
      </c>
      <c r="AY37" s="204">
        <f>SUM(AY6:AY35)</f>
        <v>-14344.838709677424</v>
      </c>
    </row>
    <row r="38" spans="1:60">
      <c r="AS38" s="207"/>
      <c r="AT38">
        <f>+AT37*AU37</f>
        <v>0</v>
      </c>
    </row>
    <row r="40" spans="1:60">
      <c r="AS40" s="165">
        <f>SUM(AS6:AS35)/'EDl log'!A36</f>
        <v>-717.2419354838712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9176</v>
      </c>
      <c r="E6" s="3">
        <f>ELEC!Q24</f>
        <v>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10</v>
      </c>
      <c r="B12" s="3">
        <f>ELEC!AF13</f>
        <v>2227</v>
      </c>
      <c r="C12" s="3">
        <f>ELEC!N13</f>
        <v>10551</v>
      </c>
      <c r="D12" s="3">
        <f t="shared" si="0"/>
        <v>8551</v>
      </c>
      <c r="E12" s="3">
        <f>ELEC!Q13</f>
        <v>2000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-114.29999999999998</v>
      </c>
      <c r="J12" s="9">
        <f>'B5'!A14</f>
        <v>44114</v>
      </c>
    </row>
    <row r="13" spans="1:10">
      <c r="A13" s="3">
        <f>ELEC!T14+ELEC!X14+ELEC!AB14</f>
        <v>11</v>
      </c>
      <c r="B13" s="3">
        <f>ELEC!AF14</f>
        <v>2472</v>
      </c>
      <c r="C13" s="3">
        <f>ELEC!N14</f>
        <v>11193</v>
      </c>
      <c r="D13" s="3">
        <f t="shared" si="0"/>
        <v>9193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11.800000000000011</v>
      </c>
      <c r="J13" s="9">
        <f>'B5'!A15</f>
        <v>44115</v>
      </c>
    </row>
    <row r="14" spans="1:10">
      <c r="A14" s="3">
        <f>ELEC!T15+ELEC!X15+ELEC!AB15</f>
        <v>10</v>
      </c>
      <c r="B14" s="3">
        <f>ELEC!AF15</f>
        <v>2273</v>
      </c>
      <c r="C14" s="3">
        <f>ELEC!N15</f>
        <v>11177</v>
      </c>
      <c r="D14" s="3">
        <f t="shared" si="0"/>
        <v>9177</v>
      </c>
      <c r="E14" s="3">
        <f>ELEC!Q15</f>
        <v>2000</v>
      </c>
      <c r="F14" s="3">
        <f>GEN!Z14</f>
        <v>3</v>
      </c>
      <c r="G14" s="3">
        <f>WATER!C17+WATER!H17</f>
        <v>96</v>
      </c>
      <c r="H14" s="3">
        <f>WATER!L17</f>
        <v>0</v>
      </c>
      <c r="I14" s="15">
        <f>WATER!BC17+WATER!BD17+WATER!BE18-Sheet1!G14</f>
        <v>-97.800000000000011</v>
      </c>
      <c r="J14" s="9">
        <f>'B5'!A16</f>
        <v>44116</v>
      </c>
    </row>
    <row r="15" spans="1:10">
      <c r="A15" s="3">
        <f>ELEC!T16+ELEC!X16+ELEC!AB16</f>
        <v>8</v>
      </c>
      <c r="B15" s="3">
        <f>ELEC!AF16</f>
        <v>1960</v>
      </c>
      <c r="C15" s="3">
        <f>ELEC!N16</f>
        <v>10182</v>
      </c>
      <c r="D15" s="3">
        <f t="shared" si="0"/>
        <v>7182</v>
      </c>
      <c r="E15" s="3">
        <f>ELEC!Q16</f>
        <v>3000</v>
      </c>
      <c r="F15" s="3">
        <f>GEN!Z15</f>
        <v>3</v>
      </c>
      <c r="G15" s="3">
        <f>WATER!C18+WATER!H18</f>
        <v>0</v>
      </c>
      <c r="H15" s="3">
        <f>WATER!L18</f>
        <v>0</v>
      </c>
      <c r="I15" s="15">
        <f>WATER!BC18+WATER!BD18+WATER!BE19-Sheet1!G15</f>
        <v>138.69999999999999</v>
      </c>
      <c r="J15" s="9">
        <f>'B5'!A17</f>
        <v>44117</v>
      </c>
    </row>
    <row r="16" spans="1:10">
      <c r="A16" s="3">
        <f>ELEC!T17+ELEC!X17+ELEC!AB17</f>
        <v>8</v>
      </c>
      <c r="B16" s="3">
        <f>ELEC!AF17</f>
        <v>2085</v>
      </c>
      <c r="C16" s="3">
        <f>ELEC!N17</f>
        <v>9917</v>
      </c>
      <c r="D16" s="3">
        <f t="shared" si="0"/>
        <v>7917</v>
      </c>
      <c r="E16" s="3">
        <f>ELEC!Q17</f>
        <v>2000</v>
      </c>
      <c r="F16" s="3">
        <f>GEN!Z16</f>
        <v>5</v>
      </c>
      <c r="G16" s="3">
        <f>WATER!C19+WATER!H19</f>
        <v>239</v>
      </c>
      <c r="H16" s="3">
        <f>WATER!L19</f>
        <v>0</v>
      </c>
      <c r="I16" s="15">
        <f>WATER!BC19+WATER!BD19+WATER!BE20-Sheet1!G16</f>
        <v>-208.60000000000002</v>
      </c>
      <c r="J16" s="9">
        <f>'B5'!A18</f>
        <v>44118</v>
      </c>
    </row>
    <row r="17" spans="1:10">
      <c r="A17" s="3">
        <f>ELEC!T18+ELEC!X18+ELEC!AB18</f>
        <v>8</v>
      </c>
      <c r="B17" s="3">
        <f>ELEC!AF18</f>
        <v>1658</v>
      </c>
      <c r="C17" s="3">
        <f>ELEC!N18</f>
        <v>9359</v>
      </c>
      <c r="D17" s="3">
        <f t="shared" si="0"/>
        <v>8359</v>
      </c>
      <c r="E17" s="3">
        <f>ELEC!Q18</f>
        <v>1000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-6.0999999999999801</v>
      </c>
      <c r="J17" s="9">
        <f>'B5'!A19</f>
        <v>44119</v>
      </c>
    </row>
    <row r="18" spans="1:10">
      <c r="A18" s="3">
        <f>ELEC!T19+ELEC!X19+ELEC!AB19</f>
        <v>9</v>
      </c>
      <c r="B18" s="3">
        <f>ELEC!AF19</f>
        <v>1630</v>
      </c>
      <c r="C18" s="3">
        <f>ELEC!N19</f>
        <v>9178</v>
      </c>
      <c r="D18" s="3">
        <f t="shared" si="0"/>
        <v>8178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13</v>
      </c>
      <c r="I18" s="15">
        <f>WATER!BC21+WATER!BD21+WATER!BE22-Sheet1!G18</f>
        <v>-124.4</v>
      </c>
      <c r="J18" s="9">
        <f>'B5'!A20</f>
        <v>44120</v>
      </c>
    </row>
    <row r="19" spans="1:10">
      <c r="A19" s="3">
        <f>ELEC!T20+ELEC!X20+ELEC!AB20</f>
        <v>5</v>
      </c>
      <c r="B19" s="3">
        <f>ELEC!AF20</f>
        <v>1362</v>
      </c>
      <c r="C19" s="3">
        <f>ELEC!N20</f>
        <v>8824</v>
      </c>
      <c r="D19" s="3">
        <f t="shared" si="0"/>
        <v>6824</v>
      </c>
      <c r="E19" s="3">
        <f>ELEC!Q20</f>
        <v>2000</v>
      </c>
      <c r="F19" s="3">
        <f>GEN!Z19</f>
        <v>2</v>
      </c>
      <c r="G19" s="3">
        <f>WATER!C22+WATER!H22</f>
        <v>0</v>
      </c>
      <c r="H19" s="3">
        <f>WATER!L22</f>
        <v>3</v>
      </c>
      <c r="I19" s="15">
        <f>WATER!BC22+WATER!BD22+WATER!BE23-Sheet1!G19</f>
        <v>90.3</v>
      </c>
      <c r="J19" s="9">
        <f>'B5'!A21</f>
        <v>44121</v>
      </c>
    </row>
    <row r="20" spans="1:10">
      <c r="A20" s="3">
        <f>ELEC!T21+ELEC!X21+ELEC!AB21</f>
        <v>5</v>
      </c>
      <c r="B20" s="3">
        <f>ELEC!AF21</f>
        <v>1351</v>
      </c>
      <c r="C20" s="3">
        <f>ELEC!N21</f>
        <v>9544</v>
      </c>
      <c r="D20" s="3">
        <f t="shared" si="0"/>
        <v>7544</v>
      </c>
      <c r="E20" s="3">
        <f>ELEC!Q21</f>
        <v>2000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119.49999999999997</v>
      </c>
      <c r="J20" s="9">
        <f>'B5'!A22</f>
        <v>44122</v>
      </c>
    </row>
    <row r="21" spans="1:10">
      <c r="A21" s="3">
        <f>ELEC!T22+ELEC!X22+ELEC!AB22</f>
        <v>9</v>
      </c>
      <c r="B21" s="3">
        <f>ELEC!AF22</f>
        <v>2330</v>
      </c>
      <c r="C21" s="3">
        <f>ELEC!N22</f>
        <v>9684</v>
      </c>
      <c r="D21" s="3">
        <f t="shared" si="0"/>
        <v>7684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3</v>
      </c>
      <c r="I21" s="15">
        <f>WATER!BC24+WATER!BD24+WATER!BE25-Sheet1!G21</f>
        <v>144.29999999999998</v>
      </c>
      <c r="J21" s="9">
        <f>'B5'!A23</f>
        <v>44123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5</v>
      </c>
      <c r="G22" s="3">
        <f>WATER!C25+WATER!H25</f>
        <v>428</v>
      </c>
      <c r="H22" s="3">
        <f>WATER!L25</f>
        <v>3</v>
      </c>
      <c r="I22" s="15">
        <f>WATER!BC25+WATER!BD25+WATER!BE26-Sheet1!G22</f>
        <v>-440.4</v>
      </c>
      <c r="J22" s="9">
        <f>'B5'!A24</f>
        <v>44124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5"/>
      <c r="B1" s="653" t="s">
        <v>119</v>
      </c>
      <c r="C1" s="653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50" t="s">
        <v>115</v>
      </c>
      <c r="I1" s="651" t="s">
        <v>116</v>
      </c>
      <c r="J1" s="650" t="s">
        <v>117</v>
      </c>
      <c r="K1" s="649" t="s">
        <v>121</v>
      </c>
      <c r="L1" s="649" t="s">
        <v>122</v>
      </c>
      <c r="M1" s="649" t="s">
        <v>123</v>
      </c>
      <c r="N1" s="649" t="s">
        <v>124</v>
      </c>
    </row>
    <row r="2" spans="1:14">
      <c r="A2" s="656"/>
      <c r="B2" s="654"/>
      <c r="C2" s="654"/>
      <c r="D2" s="657"/>
      <c r="E2" s="657"/>
      <c r="F2" s="658"/>
      <c r="G2" s="659"/>
      <c r="H2" s="650"/>
      <c r="I2" s="652"/>
      <c r="J2" s="650"/>
      <c r="K2" s="649"/>
      <c r="L2" s="649"/>
      <c r="M2" s="649"/>
      <c r="N2" s="64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132</v>
      </c>
      <c r="C15" s="76">
        <f>'B5'!AH15</f>
        <v>0</v>
      </c>
      <c r="D15" s="76">
        <f>GEN!AI13</f>
        <v>514.76793248945148</v>
      </c>
      <c r="E15" s="244">
        <f t="shared" si="0"/>
        <v>646.76793248945148</v>
      </c>
      <c r="F15" s="75">
        <f>WATER!L15</f>
        <v>0</v>
      </c>
      <c r="G15" s="78">
        <f>WATER!BG15</f>
        <v>30.700000000000003</v>
      </c>
      <c r="H15" s="79">
        <f>ELEC!AF13</f>
        <v>2227</v>
      </c>
      <c r="I15" s="79">
        <f>ELEC!Q13</f>
        <v>2000</v>
      </c>
      <c r="J15" s="79">
        <f>ELEC!R13</f>
        <v>8551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111</v>
      </c>
      <c r="C16" s="76">
        <f>'B5'!AH16</f>
        <v>0</v>
      </c>
      <c r="D16" s="76">
        <f>GEN!AI14</f>
        <v>514.76793248945148</v>
      </c>
      <c r="E16" s="244">
        <f t="shared" si="0"/>
        <v>625.76793248945148</v>
      </c>
      <c r="F16" s="75">
        <f>WATER!L16</f>
        <v>0</v>
      </c>
      <c r="G16" s="78">
        <f>WATER!BG16</f>
        <v>-13.899999999999991</v>
      </c>
      <c r="H16" s="79">
        <f>ELEC!AF14</f>
        <v>2472</v>
      </c>
      <c r="I16" s="79">
        <f>ELEC!Q14</f>
        <v>2000</v>
      </c>
      <c r="J16" s="79">
        <f>ELEC!R14</f>
        <v>9193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4">
        <f t="shared" si="0"/>
        <v>514.76793248945148</v>
      </c>
      <c r="F17" s="75">
        <f>WATER!L17</f>
        <v>0</v>
      </c>
      <c r="G17" s="78">
        <f>WATER!BG17</f>
        <v>25.700000000000003</v>
      </c>
      <c r="H17" s="79">
        <f>ELEC!AF15</f>
        <v>2273</v>
      </c>
      <c r="I17" s="79">
        <f>ELEC!Q15</f>
        <v>2000</v>
      </c>
      <c r="J17" s="79">
        <f>ELEC!R15</f>
        <v>9177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126</v>
      </c>
      <c r="C18" s="76">
        <f>'B5'!AH18</f>
        <v>0</v>
      </c>
      <c r="D18" s="76">
        <f>GEN!AI16</f>
        <v>772.15189873417728</v>
      </c>
      <c r="E18" s="244">
        <f t="shared" si="0"/>
        <v>898.15189873417728</v>
      </c>
      <c r="F18" s="75">
        <f>WATER!L18</f>
        <v>0</v>
      </c>
      <c r="G18" s="78">
        <f>WATER!BG18</f>
        <v>-14.000000000000007</v>
      </c>
      <c r="H18" s="79">
        <f>ELEC!AF16</f>
        <v>1960</v>
      </c>
      <c r="I18" s="79">
        <f>ELEC!Q16</f>
        <v>3000</v>
      </c>
      <c r="J18" s="79">
        <f>ELEC!R16</f>
        <v>7182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211</v>
      </c>
      <c r="C19" s="76">
        <f>'B5'!AH19</f>
        <v>0</v>
      </c>
      <c r="D19" s="76">
        <f>GEN!AI17</f>
        <v>514.76793248945148</v>
      </c>
      <c r="E19" s="244">
        <f t="shared" si="0"/>
        <v>725.76793248945148</v>
      </c>
      <c r="F19" s="75">
        <f>WATER!L19</f>
        <v>0</v>
      </c>
      <c r="G19" s="78">
        <f>WATER!BG19</f>
        <v>120.3</v>
      </c>
      <c r="H19" s="79">
        <f>ELEC!AF17</f>
        <v>2085</v>
      </c>
      <c r="I19" s="79">
        <f>ELEC!Q17</f>
        <v>2000</v>
      </c>
      <c r="J19" s="79">
        <f>ELEC!R17</f>
        <v>7917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79</v>
      </c>
      <c r="C20" s="76">
        <f>'B5'!AH20</f>
        <v>0</v>
      </c>
      <c r="D20" s="76">
        <f>GEN!AI18</f>
        <v>257.38396624472574</v>
      </c>
      <c r="E20" s="244">
        <f t="shared" si="0"/>
        <v>336.38396624472574</v>
      </c>
      <c r="F20" s="75">
        <f>WATER!L20</f>
        <v>0</v>
      </c>
      <c r="G20" s="78">
        <f>WATER!BG20</f>
        <v>-21.5</v>
      </c>
      <c r="H20" s="79">
        <f>ELEC!AF18</f>
        <v>1658</v>
      </c>
      <c r="I20" s="79">
        <f>ELEC!Q18</f>
        <v>1000</v>
      </c>
      <c r="J20" s="79">
        <f>ELEC!R18</f>
        <v>8359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173</v>
      </c>
      <c r="C21" s="76">
        <f>'B5'!AH21</f>
        <v>0</v>
      </c>
      <c r="D21" s="76">
        <f>GEN!AI19</f>
        <v>257.38396624472574</v>
      </c>
      <c r="E21" s="244">
        <f t="shared" si="0"/>
        <v>430.38396624472574</v>
      </c>
      <c r="F21" s="75">
        <f>WATER!L21</f>
        <v>13</v>
      </c>
      <c r="G21" s="78">
        <f>WATER!BG21</f>
        <v>-33.199999999999989</v>
      </c>
      <c r="H21" s="79">
        <f>ELEC!AF19</f>
        <v>1630</v>
      </c>
      <c r="I21" s="79">
        <f>ELEC!Q19</f>
        <v>1000</v>
      </c>
      <c r="J21" s="79">
        <f>ELEC!R19</f>
        <v>8178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141</v>
      </c>
      <c r="C22" s="76">
        <f>'B5'!AH22</f>
        <v>0</v>
      </c>
      <c r="D22" s="76">
        <f>GEN!AI20</f>
        <v>514.76793248945148</v>
      </c>
      <c r="E22" s="244">
        <f t="shared" si="0"/>
        <v>655.76793248945148</v>
      </c>
      <c r="F22" s="75">
        <f>WATER!L22</f>
        <v>3</v>
      </c>
      <c r="G22" s="78">
        <f>WATER!BG22</f>
        <v>-47.1</v>
      </c>
      <c r="H22" s="79">
        <f>ELEC!AF20</f>
        <v>1362</v>
      </c>
      <c r="I22" s="79">
        <f>ELEC!Q20</f>
        <v>2000</v>
      </c>
      <c r="J22" s="79">
        <f>ELEC!R20</f>
        <v>6824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121</v>
      </c>
      <c r="C23" s="76">
        <f>'B5'!AH23</f>
        <v>0</v>
      </c>
      <c r="D23" s="76">
        <f>GEN!AI21</f>
        <v>514.76793248945148</v>
      </c>
      <c r="E23" s="244">
        <f t="shared" si="0"/>
        <v>635.76793248945148</v>
      </c>
      <c r="F23" s="75">
        <f>WATER!L23</f>
        <v>0</v>
      </c>
      <c r="G23" s="78">
        <f>WATER!BG23</f>
        <v>99.6</v>
      </c>
      <c r="H23" s="79">
        <f>ELEC!AF21</f>
        <v>1351</v>
      </c>
      <c r="I23" s="79">
        <f>ELEC!Q21</f>
        <v>2000</v>
      </c>
      <c r="J23" s="79">
        <f>ELEC!R21</f>
        <v>7544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122</v>
      </c>
      <c r="C24" s="76">
        <f>'B5'!AH24</f>
        <v>0</v>
      </c>
      <c r="D24" s="76">
        <f>GEN!AI22</f>
        <v>514.76793248945148</v>
      </c>
      <c r="E24" s="244">
        <f t="shared" si="0"/>
        <v>636.76793248945148</v>
      </c>
      <c r="F24" s="75">
        <f>WATER!L24</f>
        <v>3</v>
      </c>
      <c r="G24" s="78">
        <f>WATER!BG24</f>
        <v>68.499999999999972</v>
      </c>
      <c r="H24" s="79">
        <f>ELEC!AF22</f>
        <v>2330</v>
      </c>
      <c r="I24" s="79">
        <f>ELEC!Q22</f>
        <v>2000</v>
      </c>
      <c r="J24" s="79">
        <f>ELEC!R22</f>
        <v>7684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3</v>
      </c>
      <c r="G25" s="78">
        <f>WATER!BG25</f>
        <v>38.900000000000034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0" t="s">
        <v>151</v>
      </c>
      <c r="U3" s="66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L1" zoomScaleNormal="100" workbookViewId="0">
      <pane ySplit="1" topLeftCell="A22" activePane="bottomLeft" state="frozen"/>
      <selection pane="bottomLeft" activeCell="M48" sqref="M4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v>9230</v>
      </c>
      <c r="C10" s="290">
        <f t="shared" si="12"/>
        <v>3</v>
      </c>
      <c r="D10" s="562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1">
        <v>9234</v>
      </c>
      <c r="C11" s="290">
        <f t="shared" si="12"/>
        <v>4</v>
      </c>
      <c r="D11" s="562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1">
        <v>9237</v>
      </c>
      <c r="C12" s="290">
        <f t="shared" si="12"/>
        <v>3</v>
      </c>
      <c r="D12" s="562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1">
        <v>9240</v>
      </c>
      <c r="C13" s="290">
        <f t="shared" si="12"/>
        <v>3</v>
      </c>
      <c r="D13" s="562">
        <v>251465</v>
      </c>
      <c r="E13" s="290">
        <f t="shared" si="14"/>
        <v>765</v>
      </c>
      <c r="F13" s="290">
        <f t="shared" si="0"/>
        <v>255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3</v>
      </c>
      <c r="AA13" s="290">
        <f t="shared" si="23"/>
        <v>765</v>
      </c>
      <c r="AB13" s="290">
        <f t="shared" si="24"/>
        <v>255</v>
      </c>
      <c r="AC13" s="290">
        <f t="shared" si="25"/>
        <v>255</v>
      </c>
      <c r="AD13" s="73">
        <f>ELEC!Q13</f>
        <v>2000</v>
      </c>
      <c r="AE13" s="73">
        <f t="shared" si="28"/>
        <v>666.66666666666663</v>
      </c>
      <c r="AF13" s="407">
        <f t="shared" si="29"/>
        <v>0.41666666666666663</v>
      </c>
      <c r="AG13" s="408">
        <f t="shared" si="30"/>
        <v>133.33333333333331</v>
      </c>
      <c r="AH13" s="408">
        <f t="shared" si="26"/>
        <v>121.66666666666669</v>
      </c>
      <c r="AI13" s="73">
        <f t="shared" si="31"/>
        <v>514.76793248945148</v>
      </c>
      <c r="AJ13" s="292">
        <f t="shared" si="9"/>
        <v>0.25738396624472576</v>
      </c>
      <c r="AK13" s="292">
        <f t="shared" si="32"/>
        <v>171.58931082981715</v>
      </c>
    </row>
    <row r="14" spans="1:37" ht="15.75" thickBot="1">
      <c r="A14" s="4">
        <f>ELEC!C14</f>
        <v>44116</v>
      </c>
      <c r="B14" s="561">
        <v>9243</v>
      </c>
      <c r="C14" s="290">
        <f t="shared" si="12"/>
        <v>3</v>
      </c>
      <c r="D14" s="562">
        <v>252166</v>
      </c>
      <c r="E14" s="290">
        <f t="shared" si="14"/>
        <v>701</v>
      </c>
      <c r="F14" s="290">
        <f t="shared" si="0"/>
        <v>233.66666666666666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3</v>
      </c>
      <c r="AA14" s="290">
        <f t="shared" si="23"/>
        <v>701</v>
      </c>
      <c r="AB14" s="290">
        <f t="shared" si="24"/>
        <v>233.66666666666666</v>
      </c>
      <c r="AC14" s="290">
        <f t="shared" si="25"/>
        <v>233.66666666666666</v>
      </c>
      <c r="AD14" s="73">
        <f>ELEC!Q14</f>
        <v>2000</v>
      </c>
      <c r="AE14" s="73">
        <f t="shared" si="28"/>
        <v>666.66666666666663</v>
      </c>
      <c r="AF14" s="407">
        <f t="shared" si="29"/>
        <v>0.41666666666666663</v>
      </c>
      <c r="AG14" s="408">
        <f t="shared" si="30"/>
        <v>133.33333333333331</v>
      </c>
      <c r="AH14" s="408">
        <f t="shared" si="26"/>
        <v>100.33333333333334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171.58931082981715</v>
      </c>
    </row>
    <row r="15" spans="1:37" ht="15.75" thickBot="1">
      <c r="A15" s="4">
        <f>ELEC!C15</f>
        <v>44117</v>
      </c>
      <c r="B15" s="613">
        <v>9246</v>
      </c>
      <c r="C15" s="290">
        <f t="shared" si="12"/>
        <v>3</v>
      </c>
      <c r="D15" s="272">
        <v>252744</v>
      </c>
      <c r="E15" s="290">
        <f t="shared" si="14"/>
        <v>578</v>
      </c>
      <c r="F15" s="290">
        <f t="shared" si="0"/>
        <v>192.66666666666666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3</v>
      </c>
      <c r="AA15" s="290">
        <f t="shared" si="23"/>
        <v>578</v>
      </c>
      <c r="AB15" s="290">
        <f t="shared" si="24"/>
        <v>192.66666666666666</v>
      </c>
      <c r="AC15" s="290">
        <f t="shared" si="25"/>
        <v>192.66666666666666</v>
      </c>
      <c r="AD15" s="73">
        <f>ELEC!Q15</f>
        <v>2000</v>
      </c>
      <c r="AE15" s="73">
        <f t="shared" si="28"/>
        <v>666.66666666666663</v>
      </c>
      <c r="AF15" s="407">
        <f t="shared" si="29"/>
        <v>0.41666666666666663</v>
      </c>
      <c r="AG15" s="408">
        <f t="shared" si="30"/>
        <v>133.33333333333331</v>
      </c>
      <c r="AH15" s="408">
        <f t="shared" si="26"/>
        <v>59.333333333333343</v>
      </c>
      <c r="AI15" s="73">
        <f t="shared" si="31"/>
        <v>514.76793248945148</v>
      </c>
      <c r="AJ15" s="292">
        <f t="shared" si="9"/>
        <v>0.25738396624472576</v>
      </c>
      <c r="AK15" s="292">
        <f t="shared" si="32"/>
        <v>171.58931082981715</v>
      </c>
    </row>
    <row r="16" spans="1:37" ht="15.75" thickBot="1">
      <c r="A16" s="4">
        <f>ELEC!C16</f>
        <v>44118</v>
      </c>
      <c r="B16" s="561">
        <v>9251</v>
      </c>
      <c r="C16" s="290">
        <f t="shared" si="12"/>
        <v>5</v>
      </c>
      <c r="D16" s="562">
        <v>253512</v>
      </c>
      <c r="E16" s="290">
        <f t="shared" si="14"/>
        <v>768</v>
      </c>
      <c r="F16" s="290">
        <f t="shared" si="0"/>
        <v>153.6</v>
      </c>
      <c r="G16" s="197"/>
      <c r="H16" s="291">
        <f t="shared" si="15"/>
        <v>9298</v>
      </c>
      <c r="I16" s="290" t="str">
        <f t="shared" si="1"/>
        <v>ok</v>
      </c>
      <c r="J16" s="562">
        <f>J15</f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5</v>
      </c>
      <c r="AA16" s="290">
        <f t="shared" si="23"/>
        <v>768</v>
      </c>
      <c r="AB16" s="290">
        <f t="shared" si="24"/>
        <v>153.6</v>
      </c>
      <c r="AC16" s="290">
        <f t="shared" si="25"/>
        <v>153.6</v>
      </c>
      <c r="AD16" s="73">
        <f>ELEC!Q16</f>
        <v>3000</v>
      </c>
      <c r="AE16" s="73">
        <f t="shared" si="28"/>
        <v>600</v>
      </c>
      <c r="AF16" s="407">
        <f t="shared" si="29"/>
        <v>0.375</v>
      </c>
      <c r="AG16" s="408">
        <f t="shared" si="30"/>
        <v>120</v>
      </c>
      <c r="AH16" s="408">
        <f t="shared" si="26"/>
        <v>33.599999999999994</v>
      </c>
      <c r="AI16" s="73">
        <f t="shared" si="31"/>
        <v>772.15189873417728</v>
      </c>
      <c r="AJ16" s="292">
        <f t="shared" si="9"/>
        <v>0.25738396624472576</v>
      </c>
      <c r="AK16" s="292">
        <f t="shared" si="32"/>
        <v>154.43037974683546</v>
      </c>
    </row>
    <row r="17" spans="1:37" ht="15.75" thickBot="1">
      <c r="A17" s="4">
        <f>ELEC!C17</f>
        <v>44119</v>
      </c>
      <c r="B17" s="561">
        <v>9254</v>
      </c>
      <c r="C17" s="290">
        <f t="shared" si="12"/>
        <v>3</v>
      </c>
      <c r="D17" s="562">
        <v>254236</v>
      </c>
      <c r="E17" s="290">
        <f t="shared" si="14"/>
        <v>724</v>
      </c>
      <c r="F17" s="290">
        <f t="shared" si="0"/>
        <v>241.33333333333334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3</v>
      </c>
      <c r="AA17" s="290">
        <f t="shared" si="23"/>
        <v>724</v>
      </c>
      <c r="AB17" s="290">
        <f t="shared" si="24"/>
        <v>241.33333333333334</v>
      </c>
      <c r="AC17" s="290">
        <f t="shared" si="25"/>
        <v>241.33333333333334</v>
      </c>
      <c r="AD17" s="73">
        <f>ELEC!Q17</f>
        <v>2000</v>
      </c>
      <c r="AE17" s="73">
        <f t="shared" si="28"/>
        <v>666.66666666666663</v>
      </c>
      <c r="AF17" s="407">
        <f t="shared" si="29"/>
        <v>0.41666666666666663</v>
      </c>
      <c r="AG17" s="408">
        <f t="shared" si="30"/>
        <v>133.33333333333331</v>
      </c>
      <c r="AH17" s="408">
        <f t="shared" si="26"/>
        <v>108.00000000000003</v>
      </c>
      <c r="AI17" s="73">
        <f t="shared" si="31"/>
        <v>514.76793248945148</v>
      </c>
      <c r="AJ17" s="292">
        <f t="shared" si="9"/>
        <v>0.25738396624472576</v>
      </c>
      <c r="AK17" s="292">
        <f t="shared" ref="AK17:AK32" si="33">IF(Z17&gt;0,AI17/Z17,0)</f>
        <v>171.58931082981715</v>
      </c>
    </row>
    <row r="18" spans="1:37" ht="15.75" thickBot="1">
      <c r="A18" s="4">
        <f>ELEC!C18</f>
        <v>44120</v>
      </c>
      <c r="B18" s="561">
        <v>9257</v>
      </c>
      <c r="C18" s="290">
        <f t="shared" si="12"/>
        <v>3</v>
      </c>
      <c r="D18" s="562">
        <v>254942</v>
      </c>
      <c r="E18" s="290">
        <f t="shared" si="14"/>
        <v>706</v>
      </c>
      <c r="F18" s="290">
        <f t="shared" si="0"/>
        <v>235.33333333333334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3</v>
      </c>
      <c r="AA18" s="290">
        <f t="shared" si="23"/>
        <v>706</v>
      </c>
      <c r="AB18" s="290">
        <f t="shared" si="24"/>
        <v>235.33333333333334</v>
      </c>
      <c r="AC18" s="290">
        <f t="shared" si="25"/>
        <v>235.33333333333334</v>
      </c>
      <c r="AD18" s="73">
        <f>ELEC!Q18</f>
        <v>1000</v>
      </c>
      <c r="AE18" s="73">
        <f t="shared" si="28"/>
        <v>333.33333333333331</v>
      </c>
      <c r="AF18" s="407">
        <f t="shared" si="29"/>
        <v>0.20833333333333331</v>
      </c>
      <c r="AG18" s="408">
        <f t="shared" si="30"/>
        <v>66.666666666666657</v>
      </c>
      <c r="AH18" s="408">
        <f t="shared" si="26"/>
        <v>168.66666666666669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44121</v>
      </c>
      <c r="B19" s="561">
        <v>9259</v>
      </c>
      <c r="C19" s="290">
        <f t="shared" si="12"/>
        <v>2</v>
      </c>
      <c r="D19" s="562">
        <v>255366</v>
      </c>
      <c r="E19" s="290">
        <f t="shared" si="14"/>
        <v>424</v>
      </c>
      <c r="F19" s="290">
        <f t="shared" si="0"/>
        <v>212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2</v>
      </c>
      <c r="AA19" s="290">
        <f t="shared" si="23"/>
        <v>424</v>
      </c>
      <c r="AB19" s="290">
        <f t="shared" si="24"/>
        <v>212</v>
      </c>
      <c r="AC19" s="290">
        <f t="shared" si="25"/>
        <v>212</v>
      </c>
      <c r="AD19" s="73">
        <f>ELEC!Q19</f>
        <v>1000</v>
      </c>
      <c r="AE19" s="73">
        <f t="shared" si="28"/>
        <v>500</v>
      </c>
      <c r="AF19" s="407">
        <f t="shared" si="29"/>
        <v>0.3125</v>
      </c>
      <c r="AG19" s="408">
        <f t="shared" si="30"/>
        <v>100</v>
      </c>
      <c r="AH19" s="408">
        <f t="shared" si="26"/>
        <v>112</v>
      </c>
      <c r="AI19" s="73">
        <f t="shared" si="31"/>
        <v>257.38396624472574</v>
      </c>
      <c r="AJ19" s="292">
        <f t="shared" si="9"/>
        <v>0.25738396624472576</v>
      </c>
      <c r="AK19" s="292">
        <f t="shared" si="33"/>
        <v>128.69198312236287</v>
      </c>
    </row>
    <row r="20" spans="1:37" ht="15.75" thickBot="1">
      <c r="A20" s="4">
        <f>ELEC!C20</f>
        <v>44122</v>
      </c>
      <c r="B20" s="613">
        <v>9262</v>
      </c>
      <c r="C20" s="290">
        <f>B20-B19</f>
        <v>3</v>
      </c>
      <c r="D20" s="272">
        <v>255867</v>
      </c>
      <c r="E20" s="290">
        <f t="shared" si="14"/>
        <v>501</v>
      </c>
      <c r="F20" s="290">
        <f t="shared" si="0"/>
        <v>167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3</v>
      </c>
      <c r="AA20" s="290">
        <f t="shared" si="23"/>
        <v>501</v>
      </c>
      <c r="AB20" s="290">
        <f t="shared" si="24"/>
        <v>167</v>
      </c>
      <c r="AC20" s="290">
        <f t="shared" si="25"/>
        <v>167</v>
      </c>
      <c r="AD20" s="73">
        <f>ELEC!Q20</f>
        <v>2000</v>
      </c>
      <c r="AE20" s="73">
        <f t="shared" si="28"/>
        <v>666.66666666666663</v>
      </c>
      <c r="AF20" s="407">
        <f t="shared" si="29"/>
        <v>0.41666666666666663</v>
      </c>
      <c r="AG20" s="408">
        <f t="shared" si="30"/>
        <v>133.33333333333331</v>
      </c>
      <c r="AH20" s="408">
        <f t="shared" si="26"/>
        <v>33.666666666666686</v>
      </c>
      <c r="AI20" s="73">
        <f>AD20*AJ20</f>
        <v>514.76793248945148</v>
      </c>
      <c r="AJ20" s="292">
        <f t="shared" si="9"/>
        <v>0.25738396624472576</v>
      </c>
      <c r="AK20" s="292">
        <f t="shared" si="33"/>
        <v>171.58931082981715</v>
      </c>
    </row>
    <row r="21" spans="1:37" ht="15.75" thickBot="1">
      <c r="A21" s="4">
        <f>ELEC!C21</f>
        <v>44123</v>
      </c>
      <c r="B21" s="561">
        <v>9265</v>
      </c>
      <c r="C21" s="290">
        <f t="shared" si="12"/>
        <v>3</v>
      </c>
      <c r="D21" s="562">
        <v>256546</v>
      </c>
      <c r="E21" s="290">
        <f t="shared" si="14"/>
        <v>679</v>
      </c>
      <c r="F21" s="290">
        <f t="shared" si="0"/>
        <v>226.33333333333334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3</v>
      </c>
      <c r="AA21" s="290">
        <f t="shared" si="23"/>
        <v>679</v>
      </c>
      <c r="AB21" s="290">
        <f t="shared" si="24"/>
        <v>226.33333333333334</v>
      </c>
      <c r="AC21" s="290">
        <f t="shared" si="25"/>
        <v>226.33333333333334</v>
      </c>
      <c r="AD21" s="73">
        <f>ELEC!Q21</f>
        <v>2000</v>
      </c>
      <c r="AE21" s="73">
        <f t="shared" si="28"/>
        <v>666.66666666666663</v>
      </c>
      <c r="AF21" s="407">
        <f t="shared" si="29"/>
        <v>0.41666666666666663</v>
      </c>
      <c r="AG21" s="408">
        <f t="shared" si="30"/>
        <v>133.33333333333331</v>
      </c>
      <c r="AH21" s="408">
        <f t="shared" si="26"/>
        <v>93.000000000000028</v>
      </c>
      <c r="AI21" s="73">
        <f t="shared" si="31"/>
        <v>514.76793248945148</v>
      </c>
      <c r="AJ21" s="292">
        <f t="shared" si="9"/>
        <v>0.25738396624472576</v>
      </c>
      <c r="AK21" s="292">
        <f t="shared" si="33"/>
        <v>171.58931082981715</v>
      </c>
    </row>
    <row r="22" spans="1:37" ht="15.75" thickBot="1">
      <c r="A22" s="4">
        <f>ELEC!C22</f>
        <v>44124</v>
      </c>
      <c r="B22" s="613">
        <v>9270</v>
      </c>
      <c r="C22" s="290">
        <f t="shared" si="12"/>
        <v>5</v>
      </c>
      <c r="D22" s="272">
        <v>257813</v>
      </c>
      <c r="E22" s="290">
        <f t="shared" si="14"/>
        <v>1267</v>
      </c>
      <c r="F22" s="290">
        <f t="shared" si="0"/>
        <v>253.4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5</v>
      </c>
      <c r="AA22" s="290">
        <f t="shared" si="23"/>
        <v>1267</v>
      </c>
      <c r="AB22" s="290">
        <f t="shared" si="24"/>
        <v>253.4</v>
      </c>
      <c r="AC22" s="290">
        <f t="shared" si="25"/>
        <v>253.4</v>
      </c>
      <c r="AD22" s="73">
        <f>ELEC!Q22</f>
        <v>2000</v>
      </c>
      <c r="AE22" s="73">
        <f t="shared" si="28"/>
        <v>400</v>
      </c>
      <c r="AF22" s="407">
        <f t="shared" si="29"/>
        <v>0.25</v>
      </c>
      <c r="AG22" s="408">
        <f t="shared" si="30"/>
        <v>80</v>
      </c>
      <c r="AH22" s="408">
        <f t="shared" si="26"/>
        <v>173.4</v>
      </c>
      <c r="AI22" s="73">
        <f t="shared" si="31"/>
        <v>514.76793248945148</v>
      </c>
      <c r="AJ22" s="292">
        <f t="shared" si="9"/>
        <v>0.25738396624472576</v>
      </c>
      <c r="AK22" s="292">
        <f t="shared" si="33"/>
        <v>102.9535864978903</v>
      </c>
    </row>
    <row r="23" spans="1:37" ht="15.75" thickBot="1">
      <c r="A23" s="4">
        <f>ELEC!C23</f>
        <v>44125</v>
      </c>
      <c r="B23" s="561">
        <f t="shared" si="11"/>
        <v>9270</v>
      </c>
      <c r="C23" s="290">
        <f t="shared" si="12"/>
        <v>0</v>
      </c>
      <c r="D23" s="562">
        <f t="shared" si="13"/>
        <v>257813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ok</v>
      </c>
      <c r="J23" s="562">
        <f t="shared" si="16"/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f t="shared" si="20"/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0</v>
      </c>
      <c r="AA23" s="290">
        <f t="shared" si="23"/>
        <v>0</v>
      </c>
      <c r="AB23" s="290">
        <f t="shared" si="24"/>
        <v>0</v>
      </c>
      <c r="AC23" s="290">
        <f t="shared" si="25"/>
        <v>0</v>
      </c>
      <c r="AD23" s="73">
        <f>ELEC!Q23</f>
        <v>0</v>
      </c>
      <c r="AE23" s="73" t="e">
        <f t="shared" si="28"/>
        <v>#DIV/0!</v>
      </c>
      <c r="AF23" s="407" t="e">
        <f t="shared" si="29"/>
        <v>#DIV/0!</v>
      </c>
      <c r="AG23" s="408" t="e">
        <f t="shared" si="30"/>
        <v>#DIV/0!</v>
      </c>
      <c r="AH23" s="408" t="e">
        <f t="shared" si="26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44126</v>
      </c>
      <c r="B24" s="561">
        <f t="shared" si="11"/>
        <v>9270</v>
      </c>
      <c r="C24" s="290">
        <f t="shared" si="12"/>
        <v>0</v>
      </c>
      <c r="D24" s="562">
        <f t="shared" si="13"/>
        <v>257813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0</v>
      </c>
      <c r="AA24" s="290">
        <f t="shared" si="23"/>
        <v>0</v>
      </c>
      <c r="AB24" s="290">
        <f t="shared" si="24"/>
        <v>0</v>
      </c>
      <c r="AC24" s="290">
        <f t="shared" si="25"/>
        <v>0</v>
      </c>
      <c r="AD24" s="73">
        <f>ELEC!Q24</f>
        <v>0</v>
      </c>
      <c r="AE24" s="73" t="e">
        <f t="shared" si="28"/>
        <v>#DIV/0!</v>
      </c>
      <c r="AF24" s="407" t="e">
        <f t="shared" si="29"/>
        <v>#DIV/0!</v>
      </c>
      <c r="AG24" s="408" t="e">
        <f t="shared" si="30"/>
        <v>#DIV/0!</v>
      </c>
      <c r="AH24" s="408" t="e">
        <f t="shared" si="26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44127</v>
      </c>
      <c r="B25" s="561">
        <f t="shared" si="11"/>
        <v>9270</v>
      </c>
      <c r="C25" s="290">
        <f t="shared" si="12"/>
        <v>0</v>
      </c>
      <c r="D25" s="562">
        <f t="shared" si="13"/>
        <v>257813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9270</v>
      </c>
      <c r="C26" s="290">
        <f t="shared" si="12"/>
        <v>0</v>
      </c>
      <c r="D26" s="562">
        <f t="shared" si="13"/>
        <v>257813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9270</v>
      </c>
      <c r="C27" s="290">
        <f t="shared" si="12"/>
        <v>0</v>
      </c>
      <c r="D27" s="562">
        <f t="shared" si="13"/>
        <v>257813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9270</v>
      </c>
      <c r="C28" s="290">
        <f t="shared" si="12"/>
        <v>0</v>
      </c>
      <c r="D28" s="562">
        <f t="shared" si="13"/>
        <v>257813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9270</v>
      </c>
      <c r="C29" s="290">
        <f t="shared" si="12"/>
        <v>0</v>
      </c>
      <c r="D29" s="562">
        <f t="shared" si="13"/>
        <v>257813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9270</v>
      </c>
      <c r="C30" s="290">
        <f t="shared" si="12"/>
        <v>0</v>
      </c>
      <c r="D30" s="562">
        <f t="shared" si="13"/>
        <v>257813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9270</v>
      </c>
      <c r="C31" s="290">
        <f t="shared" si="12"/>
        <v>0</v>
      </c>
      <c r="D31" s="562">
        <f t="shared" si="13"/>
        <v>257813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9270</v>
      </c>
      <c r="C32" s="290">
        <f t="shared" si="12"/>
        <v>0</v>
      </c>
      <c r="D32" s="562">
        <f t="shared" si="13"/>
        <v>257813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9270</v>
      </c>
      <c r="C33" s="290">
        <f t="shared" ref="C33" si="38">B33-B32</f>
        <v>0</v>
      </c>
      <c r="D33" s="562">
        <f t="shared" si="13"/>
        <v>257813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62</v>
      </c>
      <c r="V34" s="40"/>
      <c r="X34">
        <v>341</v>
      </c>
      <c r="Z34" s="426">
        <f>SUM(Z3:Z32)</f>
        <v>62</v>
      </c>
    </row>
    <row r="35" spans="1:37">
      <c r="C35" s="40">
        <f>SUM(C3:C32)</f>
        <v>62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A23" zoomScale="80" zoomScaleNormal="80" workbookViewId="0">
      <selection activeCell="F23" sqref="F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99.872928110056733</v>
      </c>
      <c r="P4" s="300">
        <f>SUM(L4:O4)</f>
        <v>488.71272910508162</v>
      </c>
      <c r="Q4" s="300">
        <f>SUM(-tanks!AX6*tanks!$AU$37)</f>
        <v>0</v>
      </c>
      <c r="R4" s="300">
        <f>SUM(P4:Q4)</f>
        <v>488.71272910508162</v>
      </c>
      <c r="S4" s="302">
        <f>SUM(ELEC!N3)</f>
        <v>10203</v>
      </c>
      <c r="T4" s="339">
        <f>IF(S4&gt;0,R4/S4,0)</f>
        <v>4.7898924738320262E-2</v>
      </c>
      <c r="U4" s="252"/>
      <c r="V4" s="253" t="str">
        <f>'[5]EDl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71"/>
      <c r="AC4" s="672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99.872928110056733</v>
      </c>
      <c r="P5" s="300">
        <f t="shared" ref="P5:P32" si="9">SUM(L5:O5)</f>
        <v>564.1435748762259</v>
      </c>
      <c r="Q5" s="300">
        <f>SUM(-tanks!AX7*tanks!$AU$37)</f>
        <v>0</v>
      </c>
      <c r="R5" s="300">
        <f t="shared" ref="R5:R32" si="10">SUM(P5:Q5)</f>
        <v>564.1435748762259</v>
      </c>
      <c r="S5" s="302">
        <f>SUM(ELEC!N4)</f>
        <v>10041</v>
      </c>
      <c r="T5" s="339">
        <f>IF(S5&gt;0,R5/S5,0)</f>
        <v>5.6184003075015025E-2</v>
      </c>
      <c r="U5" s="252"/>
      <c r="V5" s="665"/>
      <c r="W5" s="666"/>
      <c r="X5" s="666"/>
      <c r="Y5" s="667"/>
      <c r="Z5" s="26" t="s">
        <v>203</v>
      </c>
      <c r="AA5" s="266">
        <f>'[6]EDl log'!AA22</f>
        <v>5000</v>
      </c>
      <c r="AB5" s="673"/>
      <c r="AC5" s="674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99.872928110056733</v>
      </c>
      <c r="P6" s="300">
        <f t="shared" si="9"/>
        <v>473.22748864073674</v>
      </c>
      <c r="Q6" s="300">
        <f>SUM(-tanks!AX8*tanks!$AU$37)</f>
        <v>0</v>
      </c>
      <c r="R6" s="300">
        <f t="shared" si="10"/>
        <v>473.22748864073674</v>
      </c>
      <c r="S6" s="302">
        <f>SUM(ELEC!N5)</f>
        <v>8684</v>
      </c>
      <c r="T6" s="339">
        <f t="shared" ref="T6:T32" si="12">IF(S6&gt;0,R6/S6,0)</f>
        <v>5.4494183399439976E-2</v>
      </c>
      <c r="V6" s="668"/>
      <c r="W6" s="669"/>
      <c r="X6" s="669"/>
      <c r="Y6" s="670"/>
      <c r="Z6" s="3"/>
      <c r="AA6" s="3"/>
      <c r="AB6" s="673"/>
      <c r="AC6" s="674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99.872928110056733</v>
      </c>
      <c r="P7" s="300">
        <f t="shared" si="9"/>
        <v>423.20559809347299</v>
      </c>
      <c r="Q7" s="300">
        <f>SUM(-tanks!AX9*tanks!$AU$37)</f>
        <v>0</v>
      </c>
      <c r="R7" s="300">
        <f t="shared" si="10"/>
        <v>423.20559809347299</v>
      </c>
      <c r="S7" s="302">
        <f>SUM(ELEC!N6)</f>
        <v>7992</v>
      </c>
      <c r="T7" s="339">
        <f t="shared" si="12"/>
        <v>5.2953653415099222E-2</v>
      </c>
      <c r="V7" s="661" t="s">
        <v>204</v>
      </c>
      <c r="W7" s="662"/>
      <c r="X7" s="663" t="s">
        <v>205</v>
      </c>
      <c r="Y7" s="664"/>
      <c r="Z7" s="662"/>
      <c r="AA7" s="26"/>
      <c r="AB7" s="675"/>
      <c r="AC7" s="676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99.872928110056733</v>
      </c>
      <c r="P8" s="300">
        <f t="shared" si="9"/>
        <v>474.1190309292939</v>
      </c>
      <c r="Q8" s="300">
        <f>SUM(-tanks!AX10*tanks!$AU$37)</f>
        <v>0</v>
      </c>
      <c r="R8" s="300">
        <f t="shared" si="10"/>
        <v>474.1190309292939</v>
      </c>
      <c r="S8" s="302">
        <f>SUM(ELEC!N7)</f>
        <v>9176</v>
      </c>
      <c r="T8" s="339">
        <f>IF(S8&gt;0,R8/S8,0)</f>
        <v>5.1669467189330201E-2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'[7]EDl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99.872928110056733</v>
      </c>
      <c r="P9" s="300">
        <f t="shared" si="9"/>
        <v>349.96115364902857</v>
      </c>
      <c r="Q9" s="300">
        <f>SUM(-tanks!AX11*tanks!$AU$37)</f>
        <v>0</v>
      </c>
      <c r="R9" s="300">
        <f>SUM(P9:Q9)</f>
        <v>349.96115364902857</v>
      </c>
      <c r="S9" s="302">
        <f>SUM(ELEC!N8)</f>
        <v>10962</v>
      </c>
      <c r="T9" s="339">
        <f t="shared" si="12"/>
        <v>3.1924936475919409E-2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99.872928110056733</v>
      </c>
      <c r="P10" s="300">
        <f t="shared" si="9"/>
        <v>693.17309394753602</v>
      </c>
      <c r="Q10" s="300">
        <f>SUM(-tanks!AX12*tanks!$AU$37)</f>
        <v>0</v>
      </c>
      <c r="R10" s="300">
        <f t="shared" si="10"/>
        <v>693.17309394753602</v>
      </c>
      <c r="S10" s="302">
        <f>SUM(ELEC!N9)</f>
        <v>11040</v>
      </c>
      <c r="T10" s="339">
        <f t="shared" si="12"/>
        <v>6.278741793003044E-2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9">
        <v>69603</v>
      </c>
      <c r="G11" s="160">
        <f t="shared" si="1"/>
        <v>1070</v>
      </c>
      <c r="H11" s="559">
        <v>259474</v>
      </c>
      <c r="I11" s="161">
        <f t="shared" si="2"/>
        <v>2021</v>
      </c>
      <c r="J11" s="559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99.872928110056733</v>
      </c>
      <c r="P11" s="300">
        <f t="shared" si="9"/>
        <v>584.24573076345644</v>
      </c>
      <c r="Q11" s="300">
        <f>SUM(-tanks!AX13*tanks!$AU$37)</f>
        <v>0</v>
      </c>
      <c r="R11" s="300">
        <f t="shared" si="10"/>
        <v>584.24573076345644</v>
      </c>
      <c r="S11" s="302">
        <f>SUM(ELEC!N10)</f>
        <v>11456</v>
      </c>
      <c r="T11" s="339">
        <f t="shared" si="12"/>
        <v>5.0999103593178809E-2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v>509352</v>
      </c>
      <c r="B12" s="559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9">
        <v>70450</v>
      </c>
      <c r="G12" s="160">
        <f t="shared" si="1"/>
        <v>847</v>
      </c>
      <c r="H12" s="559">
        <v>261501</v>
      </c>
      <c r="I12" s="161">
        <f t="shared" si="2"/>
        <v>2027</v>
      </c>
      <c r="J12" s="559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99.872928110056733</v>
      </c>
      <c r="P12" s="300">
        <f t="shared" si="9"/>
        <v>498.98669262083615</v>
      </c>
      <c r="Q12" s="300">
        <f>SUM(-tanks!AX14*tanks!$AU$37)</f>
        <v>0</v>
      </c>
      <c r="R12" s="300">
        <f t="shared" si="10"/>
        <v>498.98669262083615</v>
      </c>
      <c r="S12" s="302">
        <f>SUM(ELEC!N11)</f>
        <v>10070</v>
      </c>
      <c r="T12" s="339">
        <f t="shared" si="12"/>
        <v>4.95518066157732E-2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9">
        <v>71219</v>
      </c>
      <c r="G13" s="160">
        <f t="shared" si="1"/>
        <v>769</v>
      </c>
      <c r="H13" s="559">
        <v>263353</v>
      </c>
      <c r="I13" s="161">
        <f t="shared" si="2"/>
        <v>1852</v>
      </c>
      <c r="J13" s="559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99.872928110056733</v>
      </c>
      <c r="P13" s="300">
        <f t="shared" si="9"/>
        <v>492.24705746329062</v>
      </c>
      <c r="Q13" s="300">
        <f>SUM(-tanks!AX15*tanks!$AU$37)</f>
        <v>0</v>
      </c>
      <c r="R13" s="300">
        <f t="shared" si="10"/>
        <v>492.24705746329062</v>
      </c>
      <c r="S13" s="302">
        <f>SUM(ELEC!N12)</f>
        <v>9759</v>
      </c>
      <c r="T13" s="339">
        <f t="shared" si="12"/>
        <v>5.0440317395562109E-2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>
      <c r="A14" s="163">
        <f>ELEC!C13</f>
        <v>44115</v>
      </c>
      <c r="B14" s="559">
        <v>518268</v>
      </c>
      <c r="C14" s="266">
        <f t="shared" si="0"/>
        <v>4572</v>
      </c>
      <c r="D14" s="311">
        <f t="shared" si="8"/>
        <v>4572</v>
      </c>
      <c r="E14" s="311">
        <f t="shared" si="11"/>
        <v>518268</v>
      </c>
      <c r="F14" s="559">
        <v>71931</v>
      </c>
      <c r="G14" s="160">
        <f t="shared" si="1"/>
        <v>712</v>
      </c>
      <c r="H14" s="559">
        <v>265493</v>
      </c>
      <c r="I14" s="161">
        <f t="shared" si="2"/>
        <v>2140</v>
      </c>
      <c r="J14" s="559">
        <v>180844</v>
      </c>
      <c r="K14" s="162">
        <f t="shared" ref="K14:K17" si="13">J14-J13</f>
        <v>1720</v>
      </c>
      <c r="L14" s="299">
        <f t="shared" ref="L14:L17" si="14">SUM(G14*$Y$28)/1507.5</f>
        <v>151.13764510779436</v>
      </c>
      <c r="M14" s="299">
        <f t="shared" ref="M14:M17" si="15">SUM(I14*$Y$27)/1507.5</f>
        <v>158.99170812603649</v>
      </c>
      <c r="N14" s="299">
        <f t="shared" ref="N14:N17" si="16">SUM(K14*$Y$26)/1507.5</f>
        <v>91.276948590381423</v>
      </c>
      <c r="O14" s="299">
        <f t="shared" si="7"/>
        <v>99.872928110056733</v>
      </c>
      <c r="P14" s="300">
        <f t="shared" ref="P14:P17" si="17">SUM(L14:O14)</f>
        <v>501.27922993426898</v>
      </c>
      <c r="Q14" s="300">
        <f>SUM(-tanks!AX16*tanks!$AU$37)</f>
        <v>0</v>
      </c>
      <c r="R14" s="300">
        <f t="shared" ref="R14:R17" si="18">SUM(P14:Q14)</f>
        <v>501.27922993426898</v>
      </c>
      <c r="S14" s="302">
        <f>SUM(ELEC!N13)</f>
        <v>10551</v>
      </c>
      <c r="T14" s="339">
        <f t="shared" ref="T14:T17" si="19">IF(S14&gt;0,R14/S14,0)</f>
        <v>4.7510115622620509E-2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>
      <c r="A15" s="163">
        <f>ELEC!C14</f>
        <v>44116</v>
      </c>
      <c r="B15" s="610">
        <v>523195</v>
      </c>
      <c r="C15" s="266">
        <f t="shared" si="0"/>
        <v>4927</v>
      </c>
      <c r="D15" s="311">
        <f t="shared" si="8"/>
        <v>4928</v>
      </c>
      <c r="E15" s="311">
        <f t="shared" si="11"/>
        <v>523196</v>
      </c>
      <c r="F15" s="612">
        <v>72858</v>
      </c>
      <c r="G15" s="160">
        <f t="shared" si="1"/>
        <v>927</v>
      </c>
      <c r="H15" s="610">
        <v>267773</v>
      </c>
      <c r="I15" s="161">
        <f t="shared" si="2"/>
        <v>2280</v>
      </c>
      <c r="J15" s="610">
        <v>182565</v>
      </c>
      <c r="K15" s="162">
        <f t="shared" si="13"/>
        <v>1721</v>
      </c>
      <c r="L15" s="299">
        <f t="shared" si="14"/>
        <v>196.77611940298507</v>
      </c>
      <c r="M15" s="299">
        <f t="shared" si="15"/>
        <v>169.39303482587064</v>
      </c>
      <c r="N15" s="299">
        <f t="shared" si="16"/>
        <v>91.330016583747934</v>
      </c>
      <c r="O15" s="299">
        <f t="shared" si="7"/>
        <v>99.872928110056733</v>
      </c>
      <c r="P15" s="300">
        <f t="shared" si="17"/>
        <v>557.37209892266037</v>
      </c>
      <c r="Q15" s="300">
        <f>SUM(-tanks!AX17*tanks!$AU$37)</f>
        <v>0</v>
      </c>
      <c r="R15" s="300">
        <f t="shared" si="18"/>
        <v>557.37209892266037</v>
      </c>
      <c r="S15" s="302">
        <f>SUM(ELEC!N14)</f>
        <v>11193</v>
      </c>
      <c r="T15" s="339">
        <f t="shared" si="19"/>
        <v>4.9796488780725484E-2</v>
      </c>
      <c r="V15" s="593" t="str">
        <f>'[6]EDl log'!V32</f>
        <v>H Deg</v>
      </c>
      <c r="W15" s="590">
        <f>'[2]EDl log'!W32</f>
        <v>0</v>
      </c>
      <c r="X15" s="565">
        <f>'[8]EDl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611">
        <v>527973</v>
      </c>
      <c r="C16" s="266">
        <f t="shared" si="0"/>
        <v>4778</v>
      </c>
      <c r="D16" s="311">
        <f t="shared" si="8"/>
        <v>4777</v>
      </c>
      <c r="E16" s="311">
        <f t="shared" si="11"/>
        <v>527972</v>
      </c>
      <c r="F16" s="612">
        <v>74044</v>
      </c>
      <c r="G16" s="160">
        <f t="shared" si="1"/>
        <v>1186</v>
      </c>
      <c r="H16" s="611">
        <v>270124</v>
      </c>
      <c r="I16" s="161">
        <f t="shared" si="2"/>
        <v>2351</v>
      </c>
      <c r="J16" s="611">
        <v>183805</v>
      </c>
      <c r="K16" s="162">
        <f t="shared" si="13"/>
        <v>1240</v>
      </c>
      <c r="L16" s="299">
        <f t="shared" si="14"/>
        <v>251.75456053067992</v>
      </c>
      <c r="M16" s="299">
        <f t="shared" si="15"/>
        <v>174.66799336650084</v>
      </c>
      <c r="N16" s="299">
        <f t="shared" si="16"/>
        <v>65.804311774461027</v>
      </c>
      <c r="O16" s="299">
        <f t="shared" si="7"/>
        <v>99.872928110056733</v>
      </c>
      <c r="P16" s="300">
        <f t="shared" si="17"/>
        <v>592.09979378169851</v>
      </c>
      <c r="Q16" s="300">
        <f>SUM(-tanks!AX18*tanks!$AU$37)</f>
        <v>0</v>
      </c>
      <c r="R16" s="300">
        <f t="shared" si="18"/>
        <v>592.09979378169851</v>
      </c>
      <c r="S16" s="302">
        <f>SUM(ELEC!N15)</f>
        <v>11177</v>
      </c>
      <c r="T16" s="339">
        <f t="shared" si="19"/>
        <v>5.2974840635385032E-2</v>
      </c>
      <c r="V16" s="593" t="str">
        <f>'[6]EDl log'!V33</f>
        <v>C Deg</v>
      </c>
      <c r="W16" s="590">
        <f>'[2]EDl log'!$W$33</f>
        <v>306.99999999999983</v>
      </c>
      <c r="X16" s="565">
        <f>'[8]EDl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v>531741</v>
      </c>
      <c r="C17" s="266">
        <f t="shared" si="0"/>
        <v>3768</v>
      </c>
      <c r="D17" s="311">
        <f t="shared" si="8"/>
        <v>3767</v>
      </c>
      <c r="E17" s="311">
        <f t="shared" si="11"/>
        <v>531740</v>
      </c>
      <c r="F17" s="559">
        <v>74773</v>
      </c>
      <c r="G17" s="160">
        <f t="shared" si="1"/>
        <v>729</v>
      </c>
      <c r="H17" s="559">
        <v>271597</v>
      </c>
      <c r="I17" s="161">
        <f t="shared" si="2"/>
        <v>1473</v>
      </c>
      <c r="J17" s="559">
        <v>185370</v>
      </c>
      <c r="K17" s="162">
        <f t="shared" si="13"/>
        <v>1565</v>
      </c>
      <c r="L17" s="299">
        <f t="shared" si="14"/>
        <v>154.74626865671641</v>
      </c>
      <c r="M17" s="299">
        <f t="shared" si="15"/>
        <v>109.436815920398</v>
      </c>
      <c r="N17" s="299">
        <f t="shared" si="16"/>
        <v>83.0514096185738</v>
      </c>
      <c r="O17" s="299">
        <f t="shared" si="7"/>
        <v>99.872928110056733</v>
      </c>
      <c r="P17" s="300">
        <f t="shared" si="17"/>
        <v>447.10742230574499</v>
      </c>
      <c r="Q17" s="300">
        <f>SUM(-tanks!AX19*tanks!$AU$37)</f>
        <v>0</v>
      </c>
      <c r="R17" s="300">
        <f t="shared" si="18"/>
        <v>447.10742230574499</v>
      </c>
      <c r="S17" s="302">
        <f>SUM(ELEC!N16)</f>
        <v>10182</v>
      </c>
      <c r="T17" s="339">
        <f t="shared" si="19"/>
        <v>4.3911551984457377E-2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v>535998</v>
      </c>
      <c r="C18" s="266">
        <f t="shared" si="0"/>
        <v>4257</v>
      </c>
      <c r="D18" s="311">
        <f t="shared" si="8"/>
        <v>4257</v>
      </c>
      <c r="E18" s="311">
        <f t="shared" si="11"/>
        <v>535998</v>
      </c>
      <c r="F18" s="559">
        <v>75641</v>
      </c>
      <c r="G18" s="160">
        <f t="shared" si="1"/>
        <v>868</v>
      </c>
      <c r="H18" s="559">
        <v>273459</v>
      </c>
      <c r="I18" s="161">
        <f t="shared" si="2"/>
        <v>1862</v>
      </c>
      <c r="J18" s="559">
        <v>186897</v>
      </c>
      <c r="K18" s="162">
        <f t="shared" si="3"/>
        <v>1527</v>
      </c>
      <c r="L18" s="299">
        <f t="shared" ref="L18:L33" si="20">SUM(G18*$Y$28)/1507.5</f>
        <v>184.25207296849089</v>
      </c>
      <c r="M18" s="299">
        <f t="shared" ref="M18:M33" si="21">SUM(I18*$Y$27)/1507.5</f>
        <v>138.33764510779437</v>
      </c>
      <c r="N18" s="299">
        <f t="shared" ref="N18:N33" si="22">SUM(K18*$Y$26)/1507.5</f>
        <v>81.03482587064677</v>
      </c>
      <c r="O18" s="299">
        <f t="shared" si="7"/>
        <v>99.872928110056733</v>
      </c>
      <c r="P18" s="300">
        <f t="shared" si="9"/>
        <v>503.49747205698884</v>
      </c>
      <c r="Q18" s="300">
        <f>SUM(-tanks!AX20*tanks!$AU$37)</f>
        <v>0</v>
      </c>
      <c r="R18" s="300">
        <f t="shared" si="10"/>
        <v>503.49747205698884</v>
      </c>
      <c r="S18" s="302">
        <f>SUM(ELEC!N17)</f>
        <v>9917</v>
      </c>
      <c r="T18" s="339">
        <f t="shared" si="12"/>
        <v>5.0771147731873432E-2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v>540013</v>
      </c>
      <c r="C19" s="266">
        <f t="shared" si="0"/>
        <v>4015</v>
      </c>
      <c r="D19" s="311">
        <f t="shared" si="8"/>
        <v>4016</v>
      </c>
      <c r="E19" s="311">
        <f t="shared" si="11"/>
        <v>540014</v>
      </c>
      <c r="F19" s="559">
        <v>76611</v>
      </c>
      <c r="G19" s="160">
        <f t="shared" si="1"/>
        <v>970</v>
      </c>
      <c r="H19" s="559">
        <v>275123</v>
      </c>
      <c r="I19" s="161">
        <f t="shared" si="2"/>
        <v>1664</v>
      </c>
      <c r="J19" s="559">
        <v>188279</v>
      </c>
      <c r="K19" s="162">
        <f t="shared" si="3"/>
        <v>1382</v>
      </c>
      <c r="L19" s="299">
        <f t="shared" si="20"/>
        <v>205.90381426202322</v>
      </c>
      <c r="M19" s="299">
        <f t="shared" si="21"/>
        <v>123.62719734660033</v>
      </c>
      <c r="N19" s="299">
        <f t="shared" si="22"/>
        <v>73.339966832504146</v>
      </c>
      <c r="O19" s="299">
        <f t="shared" si="7"/>
        <v>99.872928110056733</v>
      </c>
      <c r="P19" s="300">
        <f t="shared" si="9"/>
        <v>502.74390655118441</v>
      </c>
      <c r="Q19" s="300">
        <f>SUM(-tanks!AX21*tanks!$AU$37)</f>
        <v>0</v>
      </c>
      <c r="R19" s="300">
        <f t="shared" si="10"/>
        <v>502.74390655118441</v>
      </c>
      <c r="S19" s="302">
        <f>SUM(ELEC!N18)</f>
        <v>9359</v>
      </c>
      <c r="T19" s="339">
        <f t="shared" si="12"/>
        <v>5.3717694898085734E-2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v>544297</v>
      </c>
      <c r="C20" s="266">
        <f t="shared" si="0"/>
        <v>4284</v>
      </c>
      <c r="D20" s="311">
        <f t="shared" si="8"/>
        <v>4283</v>
      </c>
      <c r="E20" s="311">
        <f t="shared" si="11"/>
        <v>544296</v>
      </c>
      <c r="F20" s="559">
        <v>77260</v>
      </c>
      <c r="G20" s="160">
        <f t="shared" si="1"/>
        <v>649</v>
      </c>
      <c r="H20" s="559">
        <v>277292</v>
      </c>
      <c r="I20" s="161">
        <f t="shared" si="2"/>
        <v>2169</v>
      </c>
      <c r="J20" s="559">
        <v>189744</v>
      </c>
      <c r="K20" s="162">
        <f t="shared" si="3"/>
        <v>1465</v>
      </c>
      <c r="L20" s="299">
        <f t="shared" si="20"/>
        <v>137.76451077943616</v>
      </c>
      <c r="M20" s="299">
        <f t="shared" si="21"/>
        <v>161.14626865671642</v>
      </c>
      <c r="N20" s="299">
        <f t="shared" si="22"/>
        <v>77.744610281923713</v>
      </c>
      <c r="O20" s="299">
        <f t="shared" si="7"/>
        <v>99.872928110056733</v>
      </c>
      <c r="P20" s="300">
        <f t="shared" si="9"/>
        <v>476.52831782813303</v>
      </c>
      <c r="Q20" s="300">
        <f>SUM(-tanks!AX22*tanks!$AU$37)</f>
        <v>0</v>
      </c>
      <c r="R20" s="300">
        <f t="shared" si="10"/>
        <v>476.52831782813303</v>
      </c>
      <c r="S20" s="302">
        <f>SUM(ELEC!N19)</f>
        <v>9178</v>
      </c>
      <c r="T20" s="339">
        <f t="shared" si="12"/>
        <v>5.1920714516031058E-2</v>
      </c>
      <c r="V20" t="s">
        <v>414</v>
      </c>
      <c r="AB20" s="592"/>
    </row>
    <row r="21" spans="1:32">
      <c r="A21" s="163">
        <f>ELEC!C20</f>
        <v>44122</v>
      </c>
      <c r="B21" s="615">
        <v>548021</v>
      </c>
      <c r="C21" s="266">
        <f t="shared" si="0"/>
        <v>3724</v>
      </c>
      <c r="D21" s="311">
        <f t="shared" si="8"/>
        <v>3724</v>
      </c>
      <c r="E21" s="311">
        <f t="shared" si="11"/>
        <v>548021</v>
      </c>
      <c r="F21" s="612">
        <v>77728</v>
      </c>
      <c r="G21" s="160">
        <f t="shared" si="1"/>
        <v>468</v>
      </c>
      <c r="H21" s="615">
        <v>279066</v>
      </c>
      <c r="I21" s="161">
        <f t="shared" si="2"/>
        <v>1774</v>
      </c>
      <c r="J21" s="615">
        <v>191226</v>
      </c>
      <c r="K21" s="162">
        <f t="shared" si="3"/>
        <v>1482</v>
      </c>
      <c r="L21" s="299">
        <f t="shared" si="20"/>
        <v>99.343283582089555</v>
      </c>
      <c r="M21" s="299">
        <f t="shared" si="21"/>
        <v>131.79966832504147</v>
      </c>
      <c r="N21" s="299">
        <f t="shared" si="22"/>
        <v>78.646766169154233</v>
      </c>
      <c r="O21" s="299">
        <f t="shared" si="7"/>
        <v>99.872928110056733</v>
      </c>
      <c r="P21" s="300">
        <f t="shared" si="9"/>
        <v>409.66264618634193</v>
      </c>
      <c r="Q21" s="300">
        <f>SUM(-tanks!AX23*tanks!$AU$37)</f>
        <v>0</v>
      </c>
      <c r="R21" s="300">
        <f t="shared" si="10"/>
        <v>409.66264618634193</v>
      </c>
      <c r="S21" s="302">
        <f>SUM(ELEC!N20)</f>
        <v>8824</v>
      </c>
      <c r="T21" s="339">
        <f t="shared" si="12"/>
        <v>4.6425957183402304E-2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71"/>
      <c r="AC21" s="672"/>
    </row>
    <row r="22" spans="1:32">
      <c r="A22" s="163">
        <f>ELEC!C21</f>
        <v>44123</v>
      </c>
      <c r="B22" s="616">
        <v>552206</v>
      </c>
      <c r="C22" s="266">
        <f t="shared" si="0"/>
        <v>4185</v>
      </c>
      <c r="D22" s="311">
        <f t="shared" si="8"/>
        <v>4185</v>
      </c>
      <c r="E22" s="311">
        <f t="shared" si="11"/>
        <v>552206</v>
      </c>
      <c r="F22" s="612">
        <v>78524</v>
      </c>
      <c r="G22" s="160">
        <f t="shared" si="1"/>
        <v>796</v>
      </c>
      <c r="H22" s="616">
        <v>280650</v>
      </c>
      <c r="I22" s="161">
        <f t="shared" si="2"/>
        <v>1584</v>
      </c>
      <c r="J22" s="616">
        <v>193031</v>
      </c>
      <c r="K22" s="162">
        <f t="shared" si="3"/>
        <v>1805</v>
      </c>
      <c r="L22" s="299">
        <f t="shared" si="20"/>
        <v>168.96849087893864</v>
      </c>
      <c r="M22" s="299">
        <f t="shared" si="21"/>
        <v>117.68358208955223</v>
      </c>
      <c r="N22" s="299">
        <f t="shared" si="22"/>
        <v>95.787728026533998</v>
      </c>
      <c r="O22" s="299">
        <f t="shared" si="7"/>
        <v>99.872928110056733</v>
      </c>
      <c r="P22" s="300">
        <f t="shared" si="9"/>
        <v>482.31272910508164</v>
      </c>
      <c r="Q22" s="300">
        <f>SUM(-tanks!AX24*tanks!$AU$37)</f>
        <v>0</v>
      </c>
      <c r="R22" s="300">
        <f t="shared" si="10"/>
        <v>482.31272910508164</v>
      </c>
      <c r="S22" s="302">
        <f>SUM(ELEC!N21)</f>
        <v>9544</v>
      </c>
      <c r="T22" s="339">
        <f t="shared" si="12"/>
        <v>5.0535700870188771E-2</v>
      </c>
      <c r="V22" s="677"/>
      <c r="W22" s="678"/>
      <c r="X22" s="678"/>
      <c r="Y22" s="679"/>
      <c r="Z22" s="26" t="s">
        <v>203</v>
      </c>
      <c r="AA22" s="26">
        <v>5000</v>
      </c>
      <c r="AB22" s="673"/>
      <c r="AC22" s="674"/>
    </row>
    <row r="23" spans="1:32" ht="15.75" thickBot="1">
      <c r="A23" s="163">
        <f>ELEC!C22</f>
        <v>44124</v>
      </c>
      <c r="B23" s="617">
        <v>555951</v>
      </c>
      <c r="C23" s="266">
        <f t="shared" si="0"/>
        <v>3745</v>
      </c>
      <c r="D23" s="311">
        <f t="shared" si="8"/>
        <v>3746</v>
      </c>
      <c r="E23" s="311">
        <f t="shared" si="11"/>
        <v>555952</v>
      </c>
      <c r="F23" s="612">
        <v>79276</v>
      </c>
      <c r="G23" s="160">
        <f t="shared" si="1"/>
        <v>752</v>
      </c>
      <c r="H23" s="617">
        <v>282384</v>
      </c>
      <c r="I23" s="161">
        <f t="shared" si="2"/>
        <v>1734</v>
      </c>
      <c r="J23" s="617">
        <v>194291</v>
      </c>
      <c r="K23" s="162">
        <f t="shared" si="3"/>
        <v>1260</v>
      </c>
      <c r="L23" s="299">
        <f t="shared" si="20"/>
        <v>159.62852404643451</v>
      </c>
      <c r="M23" s="299">
        <f t="shared" si="21"/>
        <v>128.8278606965174</v>
      </c>
      <c r="N23" s="299">
        <f t="shared" si="22"/>
        <v>66.865671641791039</v>
      </c>
      <c r="O23" s="299">
        <f t="shared" si="7"/>
        <v>99.872928110056733</v>
      </c>
      <c r="P23" s="300">
        <f t="shared" si="9"/>
        <v>455.19498449479966</v>
      </c>
      <c r="Q23" s="300">
        <f>SUM(-tanks!AX25*tanks!$AU$37)</f>
        <v>0</v>
      </c>
      <c r="R23" s="300">
        <f t="shared" si="10"/>
        <v>455.19498449479966</v>
      </c>
      <c r="S23" s="302">
        <f>SUM(ELEC!N22)</f>
        <v>9684</v>
      </c>
      <c r="T23" s="339">
        <f t="shared" si="12"/>
        <v>4.700485176526225E-2</v>
      </c>
      <c r="V23" s="680"/>
      <c r="W23" s="681"/>
      <c r="X23" s="681"/>
      <c r="Y23" s="682"/>
      <c r="Z23" s="683"/>
      <c r="AA23" s="684"/>
      <c r="AB23" s="673"/>
      <c r="AC23" s="674"/>
    </row>
    <row r="24" spans="1:32" ht="15" customHeight="1" thickBot="1">
      <c r="A24" s="163">
        <f>ELEC!C23</f>
        <v>44125</v>
      </c>
      <c r="B24" s="559">
        <f t="shared" ref="B23:B34" si="23">B23</f>
        <v>555951</v>
      </c>
      <c r="C24" s="266">
        <f t="shared" si="0"/>
        <v>0</v>
      </c>
      <c r="D24" s="311">
        <f t="shared" si="8"/>
        <v>0</v>
      </c>
      <c r="E24" s="311">
        <f t="shared" si="11"/>
        <v>555951</v>
      </c>
      <c r="F24" s="559">
        <f t="shared" ref="F23:F34" si="24">F23</f>
        <v>79276</v>
      </c>
      <c r="G24" s="160">
        <f t="shared" si="1"/>
        <v>0</v>
      </c>
      <c r="H24" s="559">
        <f t="shared" ref="H23:H34" si="25">H23</f>
        <v>282384</v>
      </c>
      <c r="I24" s="161">
        <f t="shared" si="2"/>
        <v>0</v>
      </c>
      <c r="J24" s="559">
        <f t="shared" ref="J23:J34" si="26">J23</f>
        <v>194291</v>
      </c>
      <c r="K24" s="162">
        <f t="shared" si="3"/>
        <v>0</v>
      </c>
      <c r="L24" s="299">
        <f t="shared" si="20"/>
        <v>0</v>
      </c>
      <c r="M24" s="299">
        <f t="shared" si="21"/>
        <v>0</v>
      </c>
      <c r="N24" s="299">
        <f t="shared" si="22"/>
        <v>0</v>
      </c>
      <c r="O24" s="299">
        <f t="shared" si="7"/>
        <v>99.872928110056733</v>
      </c>
      <c r="P24" s="300">
        <f t="shared" si="9"/>
        <v>99.872928110056733</v>
      </c>
      <c r="Q24" s="300">
        <f>SUM(-tanks!AX26*tanks!$AU$37)</f>
        <v>0</v>
      </c>
      <c r="R24" s="300">
        <f t="shared" si="10"/>
        <v>99.872928110056733</v>
      </c>
      <c r="S24" s="302">
        <f>SUM(ELEC!N23)</f>
        <v>0</v>
      </c>
      <c r="T24" s="339">
        <f t="shared" si="12"/>
        <v>0</v>
      </c>
      <c r="V24" s="685" t="s">
        <v>204</v>
      </c>
      <c r="W24" s="686"/>
      <c r="X24" s="687" t="s">
        <v>205</v>
      </c>
      <c r="Y24" s="688"/>
      <c r="Z24" s="689"/>
      <c r="AA24" s="170"/>
      <c r="AB24" s="675"/>
      <c r="AC24" s="676"/>
    </row>
    <row r="25" spans="1:32" ht="17.25" customHeight="1" thickBot="1">
      <c r="A25" s="163">
        <f>ELEC!C24</f>
        <v>44126</v>
      </c>
      <c r="B25" s="559">
        <f t="shared" si="23"/>
        <v>555951</v>
      </c>
      <c r="C25" s="266">
        <f t="shared" si="0"/>
        <v>0</v>
      </c>
      <c r="D25" s="311">
        <f t="shared" si="8"/>
        <v>0</v>
      </c>
      <c r="E25" s="311">
        <f t="shared" si="11"/>
        <v>555951</v>
      </c>
      <c r="F25" s="559">
        <f t="shared" si="24"/>
        <v>79276</v>
      </c>
      <c r="G25" s="160">
        <f t="shared" si="1"/>
        <v>0</v>
      </c>
      <c r="H25" s="559">
        <f t="shared" si="25"/>
        <v>282384</v>
      </c>
      <c r="I25" s="161">
        <f t="shared" si="2"/>
        <v>0</v>
      </c>
      <c r="J25" s="559">
        <f t="shared" si="26"/>
        <v>194291</v>
      </c>
      <c r="K25" s="162">
        <f t="shared" si="3"/>
        <v>0</v>
      </c>
      <c r="L25" s="299">
        <f t="shared" si="20"/>
        <v>0</v>
      </c>
      <c r="M25" s="299">
        <f t="shared" si="21"/>
        <v>0</v>
      </c>
      <c r="N25" s="299">
        <f t="shared" si="22"/>
        <v>0</v>
      </c>
      <c r="O25" s="299">
        <f t="shared" si="7"/>
        <v>99.872928110056733</v>
      </c>
      <c r="P25" s="300">
        <f t="shared" si="9"/>
        <v>99.872928110056733</v>
      </c>
      <c r="Q25" s="300">
        <f>SUM(-tanks!AX27*tanks!$AU$37)</f>
        <v>0</v>
      </c>
      <c r="R25" s="300">
        <f t="shared" si="10"/>
        <v>99.872928110056733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si="23"/>
        <v>555951</v>
      </c>
      <c r="C26" s="266">
        <f t="shared" si="0"/>
        <v>0</v>
      </c>
      <c r="D26" s="311">
        <f t="shared" si="8"/>
        <v>0</v>
      </c>
      <c r="E26" s="311">
        <f t="shared" si="11"/>
        <v>555951</v>
      </c>
      <c r="F26" s="559">
        <f t="shared" si="24"/>
        <v>79276</v>
      </c>
      <c r="G26" s="160">
        <f t="shared" si="1"/>
        <v>0</v>
      </c>
      <c r="H26" s="559">
        <f t="shared" si="25"/>
        <v>282384</v>
      </c>
      <c r="I26" s="161">
        <f t="shared" si="2"/>
        <v>0</v>
      </c>
      <c r="J26" s="559">
        <f t="shared" si="26"/>
        <v>194291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99.872928110056733</v>
      </c>
      <c r="P26" s="300">
        <f t="shared" si="9"/>
        <v>99.872928110056733</v>
      </c>
      <c r="Q26" s="300">
        <f>SUM(-tanks!AX28*tanks!$AU$37)</f>
        <v>0</v>
      </c>
      <c r="R26" s="300">
        <f t="shared" si="10"/>
        <v>99.872928110056733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194291</v>
      </c>
      <c r="X26" s="172" t="s">
        <v>199</v>
      </c>
      <c r="Y26" s="172">
        <v>80</v>
      </c>
      <c r="Z26" s="172">
        <v>1</v>
      </c>
      <c r="AA26" s="341">
        <f>(W26-V26)*Z26</f>
        <v>29963</v>
      </c>
      <c r="AB26" s="341">
        <f>AA26*Y26</f>
        <v>2397040</v>
      </c>
      <c r="AC26" s="251">
        <f>AC9</f>
        <v>1033333</v>
      </c>
      <c r="AD26" s="213">
        <f>SUM(K37)</f>
        <v>0.34761877139045189</v>
      </c>
    </row>
    <row r="27" spans="1:32" ht="15.75" thickBot="1">
      <c r="A27" s="163">
        <f>ELEC!C26</f>
        <v>44128</v>
      </c>
      <c r="B27" s="559">
        <f t="shared" si="23"/>
        <v>555951</v>
      </c>
      <c r="C27" s="266">
        <f t="shared" si="0"/>
        <v>0</v>
      </c>
      <c r="D27" s="311">
        <f t="shared" si="8"/>
        <v>0</v>
      </c>
      <c r="E27" s="311">
        <f t="shared" si="11"/>
        <v>555951</v>
      </c>
      <c r="F27" s="559">
        <f t="shared" si="24"/>
        <v>79276</v>
      </c>
      <c r="G27" s="160">
        <f t="shared" si="1"/>
        <v>0</v>
      </c>
      <c r="H27" s="559">
        <f t="shared" si="25"/>
        <v>282384</v>
      </c>
      <c r="I27" s="161">
        <f t="shared" si="2"/>
        <v>0</v>
      </c>
      <c r="J27" s="559">
        <f t="shared" si="26"/>
        <v>194291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99.872928110056733</v>
      </c>
      <c r="P27" s="300">
        <f t="shared" si="9"/>
        <v>99.872928110056733</v>
      </c>
      <c r="Q27" s="300">
        <f>SUM(-tanks!AX29*tanks!$AU$37)</f>
        <v>0</v>
      </c>
      <c r="R27" s="300">
        <f t="shared" si="10"/>
        <v>99.872928110056733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282384</v>
      </c>
      <c r="X27" s="172" t="s">
        <v>213</v>
      </c>
      <c r="Y27" s="172">
        <v>112</v>
      </c>
      <c r="Z27" s="172">
        <v>1</v>
      </c>
      <c r="AA27" s="341">
        <f>(W27-V27)*Z27</f>
        <v>40253</v>
      </c>
      <c r="AB27" s="341">
        <f>SUM(AA27*Y27)</f>
        <v>4508336</v>
      </c>
      <c r="AC27" s="251">
        <f>AC10</f>
        <v>6200000</v>
      </c>
      <c r="AD27" s="213">
        <f>SUM(I37)</f>
        <v>0.46699924589593367</v>
      </c>
    </row>
    <row r="28" spans="1:32" ht="15.75" thickBot="1">
      <c r="A28" s="163">
        <f>ELEC!C27</f>
        <v>44129</v>
      </c>
      <c r="B28" s="559">
        <f t="shared" si="23"/>
        <v>555951</v>
      </c>
      <c r="C28" s="266">
        <f t="shared" si="0"/>
        <v>0</v>
      </c>
      <c r="D28" s="311">
        <f t="shared" si="8"/>
        <v>0</v>
      </c>
      <c r="E28" s="311">
        <f t="shared" si="11"/>
        <v>555951</v>
      </c>
      <c r="F28" s="559">
        <f t="shared" si="24"/>
        <v>79276</v>
      </c>
      <c r="G28" s="160">
        <f t="shared" si="1"/>
        <v>0</v>
      </c>
      <c r="H28" s="559">
        <f t="shared" si="25"/>
        <v>282384</v>
      </c>
      <c r="I28" s="161">
        <f t="shared" si="2"/>
        <v>0</v>
      </c>
      <c r="J28" s="559">
        <f t="shared" si="26"/>
        <v>194291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99.872928110056733</v>
      </c>
      <c r="P28" s="300">
        <f t="shared" si="9"/>
        <v>99.872928110056733</v>
      </c>
      <c r="Q28" s="300">
        <f>SUM(-tanks!AX30*tanks!$AU$37)</f>
        <v>0</v>
      </c>
      <c r="R28" s="300">
        <f t="shared" si="10"/>
        <v>99.872928110056733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79276</v>
      </c>
      <c r="X28" s="172" t="s">
        <v>197</v>
      </c>
      <c r="Y28" s="172">
        <v>320</v>
      </c>
      <c r="Z28" s="172">
        <v>1</v>
      </c>
      <c r="AA28" s="341">
        <f>(W28-V28)*Z28</f>
        <v>15978</v>
      </c>
      <c r="AB28" s="341">
        <f>SUM(AA28*Y28)</f>
        <v>5112960</v>
      </c>
      <c r="AC28" s="251">
        <f>AC11</f>
        <v>1000</v>
      </c>
      <c r="AD28" s="213">
        <f>SUM(G37)</f>
        <v>0.18537038111259355</v>
      </c>
      <c r="AE28" s="40">
        <f>SUM(AB28*5%)</f>
        <v>255648</v>
      </c>
      <c r="AF28" s="82">
        <f>SUM(AE28/7)*31</f>
        <v>1132155.4285714284</v>
      </c>
    </row>
    <row r="29" spans="1:32" ht="15.75" thickBot="1">
      <c r="A29" s="163">
        <f>ELEC!C28</f>
        <v>44130</v>
      </c>
      <c r="B29" s="559">
        <f t="shared" si="23"/>
        <v>555951</v>
      </c>
      <c r="C29" s="266">
        <f t="shared" si="0"/>
        <v>0</v>
      </c>
      <c r="D29" s="311">
        <f t="shared" si="8"/>
        <v>0</v>
      </c>
      <c r="E29" s="311">
        <f t="shared" si="11"/>
        <v>555951</v>
      </c>
      <c r="F29" s="559">
        <f t="shared" si="24"/>
        <v>79276</v>
      </c>
      <c r="G29" s="160">
        <f t="shared" si="1"/>
        <v>0</v>
      </c>
      <c r="H29" s="559">
        <f t="shared" si="25"/>
        <v>282384</v>
      </c>
      <c r="I29" s="161">
        <f t="shared" si="2"/>
        <v>0</v>
      </c>
      <c r="J29" s="559">
        <f t="shared" si="26"/>
        <v>194291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99.872928110056733</v>
      </c>
      <c r="P29" s="300">
        <f t="shared" si="9"/>
        <v>99.872928110056733</v>
      </c>
      <c r="Q29" s="300">
        <f>SUM(-tanks!AX31*tanks!$AU$37)</f>
        <v>0</v>
      </c>
      <c r="R29" s="300">
        <f t="shared" si="10"/>
        <v>99.872928110056733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86194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23"/>
        <v>555951</v>
      </c>
      <c r="C30" s="266">
        <f t="shared" si="0"/>
        <v>0</v>
      </c>
      <c r="D30" s="311">
        <f t="shared" si="8"/>
        <v>0</v>
      </c>
      <c r="E30" s="311">
        <f t="shared" si="11"/>
        <v>555951</v>
      </c>
      <c r="F30" s="559">
        <f t="shared" si="24"/>
        <v>79276</v>
      </c>
      <c r="G30" s="160">
        <f t="shared" si="1"/>
        <v>0</v>
      </c>
      <c r="H30" s="559">
        <f t="shared" si="25"/>
        <v>282384</v>
      </c>
      <c r="I30" s="161">
        <f t="shared" si="2"/>
        <v>0</v>
      </c>
      <c r="J30" s="559">
        <f t="shared" si="26"/>
        <v>194291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99.872928110056733</v>
      </c>
      <c r="P30" s="300">
        <f t="shared" si="9"/>
        <v>99.872928110056733</v>
      </c>
      <c r="Q30" s="300">
        <f>SUM(-tanks!AX32*tanks!$AU$37)</f>
        <v>0</v>
      </c>
      <c r="R30" s="300">
        <f t="shared" si="10"/>
        <v>99.872928110056733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12018336</v>
      </c>
      <c r="AC30" s="251">
        <f>SUM(AC26:AC29)/A38*A36</f>
        <v>4667311.6129032262</v>
      </c>
    </row>
    <row r="31" spans="1:32" ht="15.75" thickBot="1">
      <c r="A31" s="163">
        <f>ELEC!C30</f>
        <v>44132</v>
      </c>
      <c r="B31" s="559">
        <f t="shared" si="23"/>
        <v>555951</v>
      </c>
      <c r="C31" s="266">
        <f t="shared" si="0"/>
        <v>0</v>
      </c>
      <c r="D31" s="311">
        <f t="shared" si="8"/>
        <v>0</v>
      </c>
      <c r="E31" s="311">
        <f t="shared" si="11"/>
        <v>555951</v>
      </c>
      <c r="F31" s="559">
        <f t="shared" si="24"/>
        <v>79276</v>
      </c>
      <c r="G31" s="160">
        <f t="shared" si="1"/>
        <v>0</v>
      </c>
      <c r="H31" s="559">
        <f t="shared" si="25"/>
        <v>282384</v>
      </c>
      <c r="I31" s="161">
        <f t="shared" si="2"/>
        <v>0</v>
      </c>
      <c r="J31" s="559">
        <f t="shared" si="26"/>
        <v>194291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99.872928110056733</v>
      </c>
      <c r="P31" s="300">
        <f t="shared" si="9"/>
        <v>99.872928110056733</v>
      </c>
      <c r="Q31" s="300">
        <f>SUM(-tanks!AX33*tanks!$AU$37)</f>
        <v>0</v>
      </c>
      <c r="R31" s="300">
        <f t="shared" si="10"/>
        <v>99.872928110056733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62</v>
      </c>
      <c r="X31" s="223">
        <f>SUM(W31/A36)</f>
        <v>3.1</v>
      </c>
      <c r="Y31" s="262">
        <f>SUM(X31/2)</f>
        <v>1.55</v>
      </c>
      <c r="Z31" s="3"/>
      <c r="AA31" s="3"/>
      <c r="AB31" s="563">
        <f>SUM(AB30+AC31)</f>
        <v>16685647.612903226</v>
      </c>
      <c r="AC31" s="251">
        <f>SUM(AC30)</f>
        <v>4667311.6129032262</v>
      </c>
    </row>
    <row r="32" spans="1:32" ht="15.75" thickBot="1">
      <c r="A32" s="163">
        <f>ELEC!C31</f>
        <v>44133</v>
      </c>
      <c r="B32" s="559">
        <f t="shared" si="23"/>
        <v>555951</v>
      </c>
      <c r="C32" s="266">
        <f t="shared" si="0"/>
        <v>0</v>
      </c>
      <c r="D32" s="311">
        <f t="shared" si="8"/>
        <v>0</v>
      </c>
      <c r="E32" s="311">
        <f t="shared" si="11"/>
        <v>555951</v>
      </c>
      <c r="F32" s="559">
        <f t="shared" si="24"/>
        <v>79276</v>
      </c>
      <c r="G32" s="160">
        <f t="shared" si="1"/>
        <v>0</v>
      </c>
      <c r="H32" s="559">
        <f t="shared" si="25"/>
        <v>282384</v>
      </c>
      <c r="I32" s="161">
        <f t="shared" si="2"/>
        <v>0</v>
      </c>
      <c r="J32" s="559">
        <f t="shared" si="26"/>
        <v>194291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99.872928110056733</v>
      </c>
      <c r="P32" s="300">
        <f t="shared" si="9"/>
        <v>99.872928110056733</v>
      </c>
      <c r="Q32" s="300">
        <f>SUM(-tanks!AX34*tanks!$AU$37)</f>
        <v>0</v>
      </c>
      <c r="R32" s="300">
        <f t="shared" si="10"/>
        <v>99.872928110056733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23"/>
        <v>555951</v>
      </c>
      <c r="C33" s="266">
        <f t="shared" si="0"/>
        <v>0</v>
      </c>
      <c r="D33" s="311">
        <f t="shared" si="8"/>
        <v>0</v>
      </c>
      <c r="E33" s="311">
        <f t="shared" si="11"/>
        <v>555951</v>
      </c>
      <c r="F33" s="559">
        <f t="shared" si="24"/>
        <v>79276</v>
      </c>
      <c r="G33" s="160">
        <f>F33-F32</f>
        <v>0</v>
      </c>
      <c r="H33" s="559">
        <f t="shared" si="25"/>
        <v>282384</v>
      </c>
      <c r="I33" s="161">
        <f t="shared" si="2"/>
        <v>0</v>
      </c>
      <c r="J33" s="559">
        <f t="shared" si="26"/>
        <v>194291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99.872928110056733</v>
      </c>
      <c r="P33" s="300">
        <f>SUM(L33:O33)</f>
        <v>99.872928110056733</v>
      </c>
      <c r="Q33" s="300">
        <f>SUM(-tanks!AX35*tanks!$AU$37)</f>
        <v>0</v>
      </c>
      <c r="R33" s="300">
        <f>SUM(P33:Q33)</f>
        <v>99.872928110056733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23"/>
        <v>555951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555951</v>
      </c>
      <c r="F34" s="559">
        <f t="shared" si="24"/>
        <v>79276</v>
      </c>
      <c r="G34" s="160">
        <f>F34-F33</f>
        <v>0</v>
      </c>
      <c r="H34" s="559">
        <f t="shared" si="25"/>
        <v>282384</v>
      </c>
      <c r="I34" s="161">
        <f t="shared" ref="I34" si="31">H34-H33</f>
        <v>0</v>
      </c>
      <c r="J34" s="559">
        <f t="shared" si="26"/>
        <v>194291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99.872928110056733</v>
      </c>
      <c r="P34" s="300">
        <f>SUM(L34:O34)</f>
        <v>99.872928110056733</v>
      </c>
      <c r="Q34" s="300">
        <f>SUM(-tanks!AX36*tanks!$AU$37)</f>
        <v>0</v>
      </c>
      <c r="R34" s="300">
        <f>SUM(P34:Q34)</f>
        <v>99.872928110056733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1835421.237419355</v>
      </c>
      <c r="AC35" s="602"/>
    </row>
    <row r="36" spans="1:32" ht="15.75" thickBot="1">
      <c r="A36" s="549">
        <f>A38-COUNTIF(C4:C34,0)</f>
        <v>20</v>
      </c>
      <c r="C36" s="174">
        <f>SUM(C4:C34)/A36</f>
        <v>4309.75</v>
      </c>
      <c r="D36" s="174"/>
      <c r="E36" s="174"/>
      <c r="G36" s="174">
        <f>SUM(G4:G34)/A36</f>
        <v>798.9</v>
      </c>
      <c r="I36" s="174">
        <f>SUM(I4:I34)/A36</f>
        <v>2012.65</v>
      </c>
      <c r="K36" s="174">
        <f>SUM(K4:K35)/A36</f>
        <v>1498.15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18521068.850322582</v>
      </c>
      <c r="AC36" s="602"/>
    </row>
    <row r="37" spans="1:32" ht="15.75" thickBot="1">
      <c r="A37" s="211"/>
      <c r="C37" s="213">
        <f>SUM(G37:K37)</f>
        <v>0.99998839839897902</v>
      </c>
      <c r="G37" s="226">
        <f>IF(C36&gt;0,G36/C36,0)</f>
        <v>0.18537038111259355</v>
      </c>
      <c r="H37" s="213"/>
      <c r="I37" s="226">
        <f>SUM(I36/C36)</f>
        <v>0.46699924589593367</v>
      </c>
      <c r="J37" s="213"/>
      <c r="K37" s="226">
        <f>SUM(K36/C36)</f>
        <v>0.34761877139045189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11068.422960466485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3096.0607714117587</v>
      </c>
      <c r="Z39" s="40"/>
      <c r="AA39" s="295" t="s">
        <v>215</v>
      </c>
      <c r="AB39" s="296">
        <f>SUM(AB37)</f>
        <v>11068.422960466485</v>
      </c>
    </row>
    <row r="40" spans="1:32">
      <c r="V40" s="218"/>
      <c r="W40" s="82">
        <f>(AB30+AB55)/1507.5</f>
        <v>7972.3621890547265</v>
      </c>
      <c r="X40" s="564"/>
      <c r="Z40" s="297">
        <f>SUM(AB39)</f>
        <v>11068.422960466485</v>
      </c>
      <c r="AA40" s="296"/>
      <c r="AB40" s="296"/>
    </row>
    <row r="41" spans="1:32">
      <c r="V41" s="17"/>
      <c r="W41" s="82">
        <f>SUM(W39:W40)</f>
        <v>11068.422960466485</v>
      </c>
      <c r="X41" s="564"/>
      <c r="Y41" s="82"/>
      <c r="Z41" s="297">
        <f>SUM(-tanks!AX37)*tanks!AU37</f>
        <v>0</v>
      </c>
      <c r="AA41" s="101">
        <f>SUM(AB31/A36)</f>
        <v>834282.38064516126</v>
      </c>
      <c r="AB41" s="352">
        <f>SUM(AA41*A38)</f>
        <v>25862753.800000001</v>
      </c>
    </row>
    <row r="42" spans="1:32" ht="18.75">
      <c r="W42" s="82">
        <f>(AB30+AB55)/1507.5</f>
        <v>7972.3621890547265</v>
      </c>
      <c r="Z42" s="278">
        <f>SUM(Z40:Z41)</f>
        <v>11068.422960466485</v>
      </c>
      <c r="AA42" s="296">
        <f>SUM(AA41/1507.5)</f>
        <v>553.42114802332424</v>
      </c>
      <c r="AB42" s="351">
        <f>SUM(AB41/1507.5)</f>
        <v>17156.055588723051</v>
      </c>
    </row>
    <row r="43" spans="1:32">
      <c r="D43" s="527"/>
      <c r="E43" s="527"/>
      <c r="F43" s="527"/>
      <c r="W43" s="82">
        <f>SUM(W41:W42)</f>
        <v>19040.785149521213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90"/>
      <c r="AC46" s="690"/>
      <c r="AD46" s="17"/>
      <c r="AE46" s="17"/>
      <c r="AF46" s="17"/>
    </row>
    <row r="47" spans="1:32">
      <c r="V47" s="690"/>
      <c r="W47" s="690"/>
      <c r="X47" s="690"/>
      <c r="Y47" s="690"/>
      <c r="Z47" s="568"/>
      <c r="AA47" s="568"/>
      <c r="AB47" s="690"/>
      <c r="AC47" s="690"/>
      <c r="AD47" s="17"/>
      <c r="AE47" s="17"/>
      <c r="AF47" s="17"/>
    </row>
    <row r="48" spans="1:32">
      <c r="V48" s="690"/>
      <c r="W48" s="690"/>
      <c r="X48" s="690"/>
      <c r="Y48" s="690"/>
      <c r="Z48" s="690"/>
      <c r="AA48" s="690"/>
      <c r="AB48" s="690"/>
      <c r="AC48" s="690"/>
      <c r="AD48" s="17"/>
      <c r="AE48" s="17"/>
      <c r="AF48" s="17"/>
    </row>
    <row r="49" spans="22:32">
      <c r="V49" s="691"/>
      <c r="W49" s="691"/>
      <c r="X49" s="692"/>
      <c r="Y49" s="692"/>
      <c r="Z49" s="692"/>
      <c r="AA49" s="569"/>
      <c r="AB49" s="690"/>
      <c r="AC49" s="690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4" activePane="bottomLeft" state="frozen"/>
      <selection pane="bottomLeft" activeCell="H6" sqref="H6:H28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93" t="s">
        <v>51</v>
      </c>
      <c r="B1" s="705" t="s">
        <v>320</v>
      </c>
      <c r="C1" s="706"/>
      <c r="D1" s="708"/>
      <c r="E1" s="705" t="s">
        <v>321</v>
      </c>
      <c r="F1" s="706"/>
      <c r="G1" s="707"/>
      <c r="H1" s="702" t="s">
        <v>326</v>
      </c>
      <c r="I1" s="699" t="s">
        <v>327</v>
      </c>
      <c r="J1" s="696" t="s">
        <v>43</v>
      </c>
    </row>
    <row r="2" spans="1:18" ht="38.25" thickBot="1">
      <c r="A2" s="694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3"/>
      <c r="I2" s="700"/>
      <c r="J2" s="697"/>
    </row>
    <row r="3" spans="1:18" ht="24" customHeight="1" thickBot="1">
      <c r="A3" s="695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4"/>
      <c r="I3" s="701"/>
      <c r="J3" s="698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'[9]Swimming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45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45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45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45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45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45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45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45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45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45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45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5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45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5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45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5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45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5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45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645</v>
      </c>
      <c r="O20" s="517">
        <f t="shared" si="1"/>
        <v>7200</v>
      </c>
    </row>
    <row r="21" spans="1:15" ht="15.75" thickBot="1">
      <c r="A21" s="242">
        <f>ELEC!C18</f>
        <v>44120</v>
      </c>
      <c r="B21" s="546">
        <v>1.1000000000000001</v>
      </c>
      <c r="C21" s="546">
        <v>8</v>
      </c>
      <c r="D21" s="546">
        <v>25</v>
      </c>
      <c r="E21" s="546"/>
      <c r="F21" s="546"/>
      <c r="G21" s="546"/>
      <c r="H21" s="45">
        <v>6568</v>
      </c>
      <c r="I21" s="517">
        <f t="shared" si="2"/>
        <v>13</v>
      </c>
      <c r="J21" s="614" t="s">
        <v>417</v>
      </c>
      <c r="L21" s="99">
        <f t="shared" si="0"/>
        <v>44120</v>
      </c>
      <c r="M21" s="3">
        <f t="shared" si="3"/>
        <v>6555</v>
      </c>
      <c r="N21" s="517">
        <v>645</v>
      </c>
      <c r="O21" s="517">
        <f t="shared" si="1"/>
        <v>7200</v>
      </c>
    </row>
    <row r="22" spans="1:15" ht="15.75" thickBot="1">
      <c r="A22" s="242">
        <f>ELEC!C19</f>
        <v>44121</v>
      </c>
      <c r="B22" s="546">
        <v>0.8</v>
      </c>
      <c r="C22" s="546">
        <v>8.1</v>
      </c>
      <c r="D22" s="546">
        <v>25</v>
      </c>
      <c r="E22" s="546">
        <v>2</v>
      </c>
      <c r="F22" s="546">
        <v>8.3000000000000007</v>
      </c>
      <c r="G22" s="546"/>
      <c r="H22" s="45">
        <v>6571</v>
      </c>
      <c r="I22" s="517">
        <f t="shared" si="2"/>
        <v>3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645</v>
      </c>
      <c r="O22" s="517">
        <f t="shared" si="1"/>
        <v>7200</v>
      </c>
    </row>
    <row r="23" spans="1:15" ht="15.75" thickBot="1">
      <c r="A23" s="242">
        <f>ELEC!C20</f>
        <v>44122</v>
      </c>
      <c r="B23" s="546">
        <v>1</v>
      </c>
      <c r="C23" s="546">
        <v>7.8</v>
      </c>
      <c r="D23" s="546"/>
      <c r="E23" s="546">
        <v>1.5</v>
      </c>
      <c r="F23" s="546">
        <v>8</v>
      </c>
      <c r="G23" s="546"/>
      <c r="H23" s="45">
        <v>6571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645</v>
      </c>
      <c r="O23" s="517">
        <f t="shared" si="1"/>
        <v>7200</v>
      </c>
    </row>
    <row r="24" spans="1:15" ht="15.75" thickBot="1">
      <c r="A24" s="242">
        <f>ELEC!C21</f>
        <v>44123</v>
      </c>
      <c r="B24" s="724">
        <v>1.5</v>
      </c>
      <c r="C24" s="617">
        <v>7.8</v>
      </c>
      <c r="D24" s="170">
        <v>0</v>
      </c>
      <c r="E24" s="170">
        <v>1.5</v>
      </c>
      <c r="F24" s="170">
        <v>8</v>
      </c>
      <c r="G24" s="170">
        <v>0</v>
      </c>
      <c r="H24" s="725">
        <v>6574</v>
      </c>
      <c r="I24" s="517">
        <f t="shared" si="2"/>
        <v>3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645</v>
      </c>
      <c r="O24" s="517">
        <f t="shared" si="1"/>
        <v>7200</v>
      </c>
    </row>
    <row r="25" spans="1:15" ht="15.75" thickBot="1">
      <c r="A25" s="242">
        <f>ELEC!C22</f>
        <v>44124</v>
      </c>
      <c r="B25" s="724">
        <v>1.5</v>
      </c>
      <c r="C25" s="617">
        <v>7.8</v>
      </c>
      <c r="D25" s="170">
        <v>0</v>
      </c>
      <c r="E25" s="170">
        <v>1.5</v>
      </c>
      <c r="F25" s="170">
        <v>8</v>
      </c>
      <c r="G25" s="170">
        <v>0</v>
      </c>
      <c r="H25" s="725">
        <v>6577</v>
      </c>
      <c r="I25" s="517">
        <f t="shared" si="2"/>
        <v>3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645</v>
      </c>
      <c r="O25" s="517">
        <f t="shared" si="1"/>
        <v>7200</v>
      </c>
    </row>
    <row r="26" spans="1:15" ht="15.75" thickBot="1">
      <c r="A26" s="242">
        <f>ELEC!C23</f>
        <v>44125</v>
      </c>
      <c r="B26" s="546"/>
      <c r="C26" s="546"/>
      <c r="D26" s="546"/>
      <c r="E26" s="546"/>
      <c r="F26" s="546"/>
      <c r="G26" s="546"/>
      <c r="H26" s="45">
        <f t="shared" ref="H25:H36" si="4">H25</f>
        <v>6577</v>
      </c>
      <c r="I26" s="517">
        <f t="shared" si="2"/>
        <v>0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645</v>
      </c>
      <c r="O26" s="517">
        <f t="shared" si="1"/>
        <v>7200</v>
      </c>
    </row>
    <row r="27" spans="1:15" ht="15.75" thickBot="1">
      <c r="A27" s="242">
        <f>ELEC!C24</f>
        <v>44126</v>
      </c>
      <c r="B27" s="546"/>
      <c r="C27" s="546"/>
      <c r="D27" s="546"/>
      <c r="E27" s="546"/>
      <c r="F27" s="546"/>
      <c r="G27" s="546"/>
      <c r="H27" s="45">
        <f t="shared" si="4"/>
        <v>6577</v>
      </c>
      <c r="I27" s="517">
        <f t="shared" si="2"/>
        <v>0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517">
        <v>645</v>
      </c>
      <c r="O27" s="517">
        <f t="shared" si="1"/>
        <v>7200</v>
      </c>
    </row>
    <row r="28" spans="1:15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45">
        <f t="shared" si="4"/>
        <v>6577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517">
        <v>645</v>
      </c>
      <c r="O28" s="517">
        <f t="shared" si="1"/>
        <v>7200</v>
      </c>
    </row>
    <row r="29" spans="1:15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f t="shared" si="4"/>
        <v>6577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517">
        <v>645</v>
      </c>
      <c r="O29" s="517">
        <f t="shared" si="1"/>
        <v>7200</v>
      </c>
    </row>
    <row r="30" spans="1:15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f t="shared" si="4"/>
        <v>6577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517">
        <v>645</v>
      </c>
      <c r="O30" s="517">
        <f t="shared" si="1"/>
        <v>7200</v>
      </c>
    </row>
    <row r="31" spans="1:15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f t="shared" si="4"/>
        <v>6577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517">
        <v>645</v>
      </c>
      <c r="O31" s="517">
        <f t="shared" si="1"/>
        <v>7200</v>
      </c>
    </row>
    <row r="32" spans="1:15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f t="shared" si="4"/>
        <v>6577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517">
        <v>645</v>
      </c>
      <c r="O32" s="517">
        <f t="shared" si="1"/>
        <v>7200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f t="shared" si="4"/>
        <v>6577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517">
        <v>645</v>
      </c>
      <c r="O33" s="517">
        <f t="shared" si="1"/>
        <v>7200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f t="shared" si="4"/>
        <v>6577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517">
        <v>645</v>
      </c>
      <c r="O34" s="517">
        <f t="shared" si="1"/>
        <v>7200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f t="shared" si="4"/>
        <v>6577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517">
        <v>645</v>
      </c>
      <c r="O35" s="517">
        <f t="shared" si="1"/>
        <v>7200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f t="shared" si="4"/>
        <v>6577</v>
      </c>
      <c r="I36" s="517">
        <f t="shared" ref="I36" si="5">H36-H35</f>
        <v>0</v>
      </c>
      <c r="J36" s="497">
        <v>0.29166666666666702</v>
      </c>
      <c r="L36" s="99">
        <f t="shared" ref="L36" si="6">A36</f>
        <v>44135</v>
      </c>
      <c r="M36" s="3">
        <f t="shared" si="3"/>
        <v>6555</v>
      </c>
      <c r="N36" s="517">
        <v>645</v>
      </c>
      <c r="O36" s="517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0" t="s">
        <v>161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</row>
    <row r="2" spans="1:28" ht="19.5">
      <c r="A2" s="721"/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  <c r="S2" s="721"/>
      <c r="T2" s="721"/>
      <c r="U2" s="721"/>
      <c r="V2" s="721"/>
      <c r="W2" s="721"/>
      <c r="X2" s="721"/>
    </row>
    <row r="3" spans="1:28" ht="19.5">
      <c r="A3" s="721" t="s">
        <v>162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721"/>
      <c r="O3" s="721"/>
      <c r="P3" s="721"/>
      <c r="Q3" s="721"/>
      <c r="R3" s="721"/>
      <c r="S3" s="721"/>
      <c r="T3" s="721"/>
      <c r="U3" s="721"/>
      <c r="V3" s="721"/>
      <c r="W3" s="721"/>
      <c r="X3" s="72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1" t="s">
        <v>411</v>
      </c>
      <c r="B5" s="721"/>
      <c r="C5" s="721"/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1"/>
      <c r="O5" s="721"/>
      <c r="P5" s="721"/>
      <c r="Q5" s="721"/>
      <c r="R5" s="721"/>
      <c r="S5" s="721"/>
      <c r="T5" s="721"/>
      <c r="U5" s="721"/>
      <c r="V5" s="721"/>
      <c r="W5" s="721"/>
      <c r="X5" s="721"/>
    </row>
    <row r="6" spans="1:28" ht="15.75" thickBot="1">
      <c r="A6" s="722"/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2"/>
      <c r="S6" s="722"/>
      <c r="T6" s="722"/>
      <c r="U6" s="722"/>
      <c r="V6" s="722"/>
      <c r="W6" s="722"/>
      <c r="X6" s="722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'[8]Degree Days 2020'!B10</f>
        <v>16</v>
      </c>
      <c r="C10" s="274">
        <f>'[8]Degree Days 2020'!C10</f>
        <v>11</v>
      </c>
      <c r="D10" s="274">
        <f>(B10+C10)/2-18.3</f>
        <v>-4.8000000000000007</v>
      </c>
      <c r="E10" s="274">
        <f>'[8]Degree Days 2020'!E10</f>
        <v>1</v>
      </c>
      <c r="F10" s="274">
        <f>'[8]Degree Days 2020'!F10</f>
        <v>17</v>
      </c>
      <c r="G10" s="274">
        <f>'[8]Degree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'[8]Degree Days 2020'!J10</f>
        <v>17</v>
      </c>
      <c r="K10" s="274">
        <f>'[8]Degree Days 2020'!K10</f>
        <v>10</v>
      </c>
      <c r="L10" s="274">
        <f>(J10+K10)/2-18.3</f>
        <v>-4.8000000000000007</v>
      </c>
      <c r="M10" s="274">
        <f>'[8]Degree Days 2020'!M10</f>
        <v>1</v>
      </c>
      <c r="N10" s="274">
        <f>'[8]Degree Days 2020'!N10</f>
        <v>19</v>
      </c>
      <c r="O10" s="274">
        <f>'[8]Degree Days 2020'!O10</f>
        <v>14</v>
      </c>
      <c r="P10" s="274">
        <f>(N10+O10)/2-18.3</f>
        <v>-1.8000000000000007</v>
      </c>
      <c r="Q10" s="539">
        <v>1</v>
      </c>
      <c r="R10" s="274">
        <f>'[8]Degree Days 2020'!R10</f>
        <v>22</v>
      </c>
      <c r="S10" s="274">
        <f>'[8]Degree Days 2020'!S10</f>
        <v>16</v>
      </c>
      <c r="T10" s="274">
        <f>(R10+S10)/2-18.3</f>
        <v>0.69999999999999929</v>
      </c>
      <c r="U10" s="539">
        <v>1</v>
      </c>
      <c r="V10" s="274">
        <f>'[8]Degree Days 2020'!V10</f>
        <v>25</v>
      </c>
      <c r="W10" s="274">
        <f>'[8]Degree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'[8]Degree Days 2020'!B11</f>
        <v>17</v>
      </c>
      <c r="C11" s="274">
        <f>'[8]Degree Days 2020'!C11</f>
        <v>12</v>
      </c>
      <c r="D11" s="274">
        <f t="shared" ref="D11:D40" si="0">(B11+C11)/2-18.3</f>
        <v>-3.8000000000000007</v>
      </c>
      <c r="E11" s="274">
        <f>'[8]Degree Days 2020'!E11</f>
        <v>2</v>
      </c>
      <c r="F11" s="274">
        <f>'[8]Degree Days 2020'!F11</f>
        <v>17</v>
      </c>
      <c r="G11" s="274">
        <f>'[8]Degree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'[8]Degree Days 2020'!J11</f>
        <v>18</v>
      </c>
      <c r="K11" s="274">
        <f>'[8]Degree Days 2020'!K11</f>
        <v>11</v>
      </c>
      <c r="L11" s="274">
        <f t="shared" ref="L11:L40" si="2">(J11+K11)/2-18.3</f>
        <v>-3.8000000000000007</v>
      </c>
      <c r="M11" s="274">
        <f>'[8]Degree Days 2020'!M11</f>
        <v>2</v>
      </c>
      <c r="N11" s="274">
        <f>'[8]Degree Days 2020'!N11</f>
        <v>19</v>
      </c>
      <c r="O11" s="274">
        <f>'[8]Degree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'[8]Degree Days 2020'!R11</f>
        <v>21</v>
      </c>
      <c r="S11" s="274">
        <f>'[8]Degree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'[8]Degree Days 2020'!V11</f>
        <v>24</v>
      </c>
      <c r="W11" s="274">
        <f>'[8]Degree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'[8]Degree Days 2020'!B12</f>
        <v>16</v>
      </c>
      <c r="C12" s="274">
        <f>'[8]Degree Days 2020'!C12</f>
        <v>12</v>
      </c>
      <c r="D12" s="274">
        <f t="shared" si="0"/>
        <v>-4.3000000000000007</v>
      </c>
      <c r="E12" s="274">
        <f>'[8]Degree Days 2020'!E12</f>
        <v>3</v>
      </c>
      <c r="F12" s="274">
        <f>'[8]Degree Days 2020'!F12</f>
        <v>16</v>
      </c>
      <c r="G12" s="274">
        <f>'[8]Degree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'[8]Degree Days 2020'!J12</f>
        <v>19</v>
      </c>
      <c r="K12" s="274">
        <f>'[8]Degree Days 2020'!K12</f>
        <v>12</v>
      </c>
      <c r="L12" s="274">
        <f t="shared" si="2"/>
        <v>-2.8000000000000007</v>
      </c>
      <c r="M12" s="274">
        <f>'[8]Degree Days 2020'!M12</f>
        <v>3</v>
      </c>
      <c r="N12" s="274">
        <f>'[8]Degree Days 2020'!N12</f>
        <v>20</v>
      </c>
      <c r="O12" s="274">
        <f>'[8]Degree Days 2020'!O12</f>
        <v>14</v>
      </c>
      <c r="P12" s="274">
        <f t="shared" si="3"/>
        <v>-1.3000000000000007</v>
      </c>
      <c r="Q12" s="539">
        <v>3</v>
      </c>
      <c r="R12" s="274">
        <f>'[8]Degree Days 2020'!R12</f>
        <v>24</v>
      </c>
      <c r="S12" s="274">
        <f>'[8]Degree Days 2020'!S12</f>
        <v>17</v>
      </c>
      <c r="T12" s="274">
        <f t="shared" si="4"/>
        <v>2.1999999999999993</v>
      </c>
      <c r="U12" s="539">
        <v>3</v>
      </c>
      <c r="V12" s="274">
        <f>'[8]Degree Days 2020'!V12</f>
        <v>27</v>
      </c>
      <c r="W12" s="274">
        <f>'[8]Degree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'[8]Degree Days 2020'!B13</f>
        <v>15</v>
      </c>
      <c r="C13" s="274">
        <f>'[8]Degree Days 2020'!C13</f>
        <v>11</v>
      </c>
      <c r="D13" s="274">
        <f t="shared" si="0"/>
        <v>-5.3000000000000007</v>
      </c>
      <c r="E13" s="274">
        <f>'[8]Degree Days 2020'!E13</f>
        <v>4</v>
      </c>
      <c r="F13" s="274">
        <f>'[8]Degree Days 2020'!F13</f>
        <v>17</v>
      </c>
      <c r="G13" s="274">
        <f>'[8]Degree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'[8]Degree Days 2020'!J13</f>
        <v>19</v>
      </c>
      <c r="K13" s="274">
        <f>'[8]Degree Days 2020'!K13</f>
        <v>12</v>
      </c>
      <c r="L13" s="274">
        <f t="shared" si="2"/>
        <v>-2.8000000000000007</v>
      </c>
      <c r="M13" s="274">
        <f>'[8]Degree Days 2020'!M13</f>
        <v>4</v>
      </c>
      <c r="N13" s="274">
        <f>'[8]Degree Days 2020'!N13</f>
        <v>23</v>
      </c>
      <c r="O13" s="274">
        <f>'[8]Degree Days 2020'!O13</f>
        <v>14</v>
      </c>
      <c r="P13" s="274">
        <f t="shared" si="3"/>
        <v>0.19999999999999929</v>
      </c>
      <c r="Q13" s="539">
        <v>4</v>
      </c>
      <c r="R13" s="274">
        <f>'[8]Degree Days 2020'!R13</f>
        <v>23</v>
      </c>
      <c r="S13" s="274">
        <f>'[8]Degree Days 2020'!S13</f>
        <v>17</v>
      </c>
      <c r="T13" s="274">
        <f t="shared" si="4"/>
        <v>1.6999999999999993</v>
      </c>
      <c r="U13" s="539">
        <v>4</v>
      </c>
      <c r="V13" s="274">
        <f>'[8]Degree Days 2020'!V13</f>
        <v>26</v>
      </c>
      <c r="W13" s="274">
        <f>'[8]Degree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'[8]Degree Days 2020'!B14</f>
        <v>15</v>
      </c>
      <c r="C14" s="274">
        <f>'[8]Degree Days 2020'!C14</f>
        <v>11</v>
      </c>
      <c r="D14" s="274">
        <f t="shared" si="0"/>
        <v>-5.3000000000000007</v>
      </c>
      <c r="E14" s="274">
        <f>'[8]Degree Days 2020'!E14</f>
        <v>5</v>
      </c>
      <c r="F14" s="274">
        <f>'[8]Degree Days 2020'!F14</f>
        <v>20</v>
      </c>
      <c r="G14" s="274">
        <f>'[8]Degree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'[8]Degree Days 2020'!J14</f>
        <v>19</v>
      </c>
      <c r="K14" s="274">
        <f>'[8]Degree Days 2020'!K14</f>
        <v>14</v>
      </c>
      <c r="L14" s="274">
        <f t="shared" si="2"/>
        <v>-1.8000000000000007</v>
      </c>
      <c r="M14" s="274">
        <f>'[8]Degree Days 2020'!M14</f>
        <v>5</v>
      </c>
      <c r="N14" s="274">
        <f>'[8]Degree Days 2020'!N14</f>
        <v>34</v>
      </c>
      <c r="O14" s="274">
        <f>'[8]Degree Days 2020'!O14</f>
        <v>17</v>
      </c>
      <c r="P14" s="274">
        <f t="shared" si="3"/>
        <v>7.1999999999999993</v>
      </c>
      <c r="Q14" s="539">
        <v>5</v>
      </c>
      <c r="R14" s="274">
        <f>'[8]Degree Days 2020'!R14</f>
        <v>22</v>
      </c>
      <c r="S14" s="274">
        <f>'[8]Degree Days 2020'!S14</f>
        <v>18</v>
      </c>
      <c r="T14" s="274">
        <f t="shared" si="4"/>
        <v>1.6999999999999993</v>
      </c>
      <c r="U14" s="539">
        <v>5</v>
      </c>
      <c r="V14" s="274">
        <f>'[8]Degree Days 2020'!V14</f>
        <v>25</v>
      </c>
      <c r="W14" s="274">
        <f>'[8]Degree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'[8]Degree Days 2020'!B15</f>
        <v>16</v>
      </c>
      <c r="C15" s="274">
        <f>'[8]Degree Days 2020'!C15</f>
        <v>12</v>
      </c>
      <c r="D15" s="274">
        <f t="shared" si="0"/>
        <v>-4.3000000000000007</v>
      </c>
      <c r="E15" s="274">
        <f>'[8]Degree Days 2020'!E15</f>
        <v>6</v>
      </c>
      <c r="F15" s="274">
        <f>'[8]Degree Days 2020'!F15</f>
        <v>22</v>
      </c>
      <c r="G15" s="274">
        <f>'[8]Degree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'[8]Degree Days 2020'!J15</f>
        <v>18</v>
      </c>
      <c r="K15" s="274">
        <f>'[8]Degree Days 2020'!K15</f>
        <v>12</v>
      </c>
      <c r="L15" s="274">
        <f t="shared" si="2"/>
        <v>-3.3000000000000007</v>
      </c>
      <c r="M15" s="274">
        <f>'[8]Degree Days 2020'!M15</f>
        <v>6</v>
      </c>
      <c r="N15" s="274">
        <f>'[8]Degree Days 2020'!N15</f>
        <v>19</v>
      </c>
      <c r="O15" s="274">
        <f>'[8]Degree Days 2020'!O15</f>
        <v>17</v>
      </c>
      <c r="P15" s="274">
        <f t="shared" si="3"/>
        <v>-0.30000000000000071</v>
      </c>
      <c r="Q15" s="539">
        <v>6</v>
      </c>
      <c r="R15" s="274">
        <f>'[8]Degree Days 2020'!R15</f>
        <v>23</v>
      </c>
      <c r="S15" s="274">
        <f>'[8]Degree Days 2020'!S15</f>
        <v>17</v>
      </c>
      <c r="T15" s="274">
        <f t="shared" si="4"/>
        <v>1.6999999999999993</v>
      </c>
      <c r="U15" s="539">
        <v>6</v>
      </c>
      <c r="V15" s="274">
        <f>'[8]Degree Days 2020'!V15</f>
        <v>26</v>
      </c>
      <c r="W15" s="274">
        <f>'[8]Degree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'[8]Degree Days 2020'!B16</f>
        <v>16</v>
      </c>
      <c r="C16" s="274">
        <f>'[8]Degree Days 2020'!C16</f>
        <v>12</v>
      </c>
      <c r="D16" s="274">
        <f t="shared" si="0"/>
        <v>-4.3000000000000007</v>
      </c>
      <c r="E16" s="274">
        <f>'[8]Degree Days 2020'!E16</f>
        <v>7</v>
      </c>
      <c r="F16" s="274">
        <f>'[8]Degree Days 2020'!F16</f>
        <v>16</v>
      </c>
      <c r="G16" s="274">
        <f>'[8]Degree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'[8]Degree Days 2020'!J16</f>
        <v>18</v>
      </c>
      <c r="K16" s="274">
        <f>'[8]Degree Days 2020'!K16</f>
        <v>12</v>
      </c>
      <c r="L16" s="274">
        <f t="shared" si="2"/>
        <v>-3.3000000000000007</v>
      </c>
      <c r="M16" s="274">
        <f>'[8]Degree Days 2020'!M16</f>
        <v>7</v>
      </c>
      <c r="N16" s="274">
        <f>'[8]Degree Days 2020'!N16</f>
        <v>20</v>
      </c>
      <c r="O16" s="274">
        <f>'[8]Degree Days 2020'!O16</f>
        <v>16</v>
      </c>
      <c r="P16" s="274">
        <f t="shared" si="3"/>
        <v>-0.30000000000000071</v>
      </c>
      <c r="Q16" s="539">
        <v>7</v>
      </c>
      <c r="R16" s="274">
        <f>'[8]Degree Days 2020'!R16</f>
        <v>25</v>
      </c>
      <c r="S16" s="274">
        <f>'[8]Degree Days 2020'!S16</f>
        <v>18</v>
      </c>
      <c r="T16" s="274">
        <f t="shared" si="4"/>
        <v>3.1999999999999993</v>
      </c>
      <c r="U16" s="539">
        <v>7</v>
      </c>
      <c r="V16" s="274">
        <f>'[8]Degree Days 2020'!V16</f>
        <v>27</v>
      </c>
      <c r="W16" s="274">
        <f>'[8]Degree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'[8]Degree Days 2020'!B17</f>
        <v>14</v>
      </c>
      <c r="C17" s="274">
        <f>'[8]Degree Days 2020'!C17</f>
        <v>11</v>
      </c>
      <c r="D17" s="274">
        <f t="shared" si="0"/>
        <v>-5.8000000000000007</v>
      </c>
      <c r="E17" s="274">
        <f>'[8]Degree Days 2020'!E17</f>
        <v>8</v>
      </c>
      <c r="F17" s="274">
        <f>'[8]Degree Days 2020'!F17</f>
        <v>14</v>
      </c>
      <c r="G17" s="274">
        <f>'[8]Degree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'[8]Degree Days 2020'!J17</f>
        <v>19</v>
      </c>
      <c r="K17" s="274">
        <f>'[8]Degree Days 2020'!K17</f>
        <v>13</v>
      </c>
      <c r="L17" s="274">
        <f t="shared" si="2"/>
        <v>-2.3000000000000007</v>
      </c>
      <c r="M17" s="274">
        <f>'[8]Degree Days 2020'!M17</f>
        <v>8</v>
      </c>
      <c r="N17" s="274">
        <f>'[8]Degree Days 2020'!N17</f>
        <v>19</v>
      </c>
      <c r="O17" s="274">
        <f>'[8]Degree Days 2020'!O17</f>
        <v>15</v>
      </c>
      <c r="P17" s="274">
        <f t="shared" si="3"/>
        <v>-1.3000000000000007</v>
      </c>
      <c r="Q17" s="539">
        <v>8</v>
      </c>
      <c r="R17" s="274">
        <f>'[8]Degree Days 2020'!R17</f>
        <v>23</v>
      </c>
      <c r="S17" s="274">
        <f>'[8]Degree Days 2020'!S17</f>
        <v>17</v>
      </c>
      <c r="T17" s="274">
        <f t="shared" si="4"/>
        <v>1.6999999999999993</v>
      </c>
      <c r="U17" s="539">
        <v>8</v>
      </c>
      <c r="V17" s="274">
        <f>'[8]Degree Days 2020'!V17</f>
        <v>26</v>
      </c>
      <c r="W17" s="274">
        <f>'[8]Degree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'[8]Degree Days 2020'!B18</f>
        <v>14</v>
      </c>
      <c r="C18" s="274">
        <f>'[8]Degree Days 2020'!C18</f>
        <v>11</v>
      </c>
      <c r="D18" s="274">
        <f t="shared" si="0"/>
        <v>-5.8000000000000007</v>
      </c>
      <c r="E18" s="274">
        <f>'[8]Degree Days 2020'!E18</f>
        <v>9</v>
      </c>
      <c r="F18" s="274">
        <f>'[8]Degree Days 2020'!F18</f>
        <v>9</v>
      </c>
      <c r="G18" s="274">
        <f>'[8]Degree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'[8]Degree Days 2020'!J18</f>
        <v>20</v>
      </c>
      <c r="K18" s="274">
        <f>'[8]Degree Days 2020'!K18</f>
        <v>14</v>
      </c>
      <c r="L18" s="274">
        <f t="shared" si="2"/>
        <v>-1.3000000000000007</v>
      </c>
      <c r="M18" s="274">
        <f>'[8]Degree Days 2020'!M18</f>
        <v>9</v>
      </c>
      <c r="N18" s="274">
        <f>'[8]Degree Days 2020'!N18</f>
        <v>18</v>
      </c>
      <c r="O18" s="274">
        <f>'[8]Degree Days 2020'!O18</f>
        <v>15</v>
      </c>
      <c r="P18" s="274">
        <f t="shared" si="3"/>
        <v>-1.8000000000000007</v>
      </c>
      <c r="Q18" s="539">
        <v>9</v>
      </c>
      <c r="R18" s="274">
        <f>'[8]Degree Days 2020'!R18</f>
        <v>24</v>
      </c>
      <c r="S18" s="274">
        <f>'[8]Degree Days 2020'!S18</f>
        <v>18</v>
      </c>
      <c r="T18" s="274">
        <f t="shared" si="4"/>
        <v>2.6999999999999993</v>
      </c>
      <c r="U18" s="539">
        <v>9</v>
      </c>
      <c r="V18" s="274">
        <f>'[8]Degree Days 2020'!V18</f>
        <v>28</v>
      </c>
      <c r="W18" s="274">
        <f>'[8]Degree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'[8]Degree Days 2020'!B19</f>
        <v>17</v>
      </c>
      <c r="C19" s="274">
        <f>'[8]Degree Days 2020'!C19</f>
        <v>12</v>
      </c>
      <c r="D19" s="274">
        <f t="shared" si="0"/>
        <v>-3.8000000000000007</v>
      </c>
      <c r="E19" s="274">
        <f>'[8]Degree Days 2020'!E19</f>
        <v>10</v>
      </c>
      <c r="F19" s="274">
        <f>'[8]Degree Days 2020'!F19</f>
        <v>10</v>
      </c>
      <c r="G19" s="274">
        <f>'[8]Degree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'[8]Degree Days 2020'!J19</f>
        <v>19</v>
      </c>
      <c r="K19" s="274">
        <f>'[8]Degree Days 2020'!K19</f>
        <v>16</v>
      </c>
      <c r="L19" s="274">
        <f t="shared" si="2"/>
        <v>-0.80000000000000071</v>
      </c>
      <c r="M19" s="274">
        <f>'[8]Degree Days 2020'!M19</f>
        <v>10</v>
      </c>
      <c r="N19" s="274">
        <f>'[8]Degree Days 2020'!N19</f>
        <v>16</v>
      </c>
      <c r="O19" s="274">
        <f>'[8]Degree Days 2020'!O19</f>
        <v>13</v>
      </c>
      <c r="P19" s="274">
        <f t="shared" si="3"/>
        <v>-3.8000000000000007</v>
      </c>
      <c r="Q19" s="539">
        <v>10</v>
      </c>
      <c r="R19" s="274">
        <f>'[8]Degree Days 2020'!R19</f>
        <v>23</v>
      </c>
      <c r="S19" s="274">
        <f>'[8]Degree Days 2020'!S19</f>
        <v>17</v>
      </c>
      <c r="T19" s="274">
        <f t="shared" si="4"/>
        <v>1.6999999999999993</v>
      </c>
      <c r="U19" s="539">
        <v>10</v>
      </c>
      <c r="V19" s="274">
        <f>'[8]Degree Days 2020'!V19</f>
        <v>28</v>
      </c>
      <c r="W19" s="274">
        <f>'[8]Degree Days 2020'!W19</f>
        <v>20</v>
      </c>
      <c r="X19" s="274">
        <f t="shared" si="5"/>
        <v>5.6999999999999993</v>
      </c>
      <c r="Z19" t="s">
        <v>179</v>
      </c>
      <c r="AA19" s="274">
        <f>N81</f>
        <v>-201.30000000000004</v>
      </c>
      <c r="AB19" s="274">
        <f>O81</f>
        <v>164.99999999999997</v>
      </c>
    </row>
    <row r="20" spans="1:28">
      <c r="A20" s="117">
        <v>11</v>
      </c>
      <c r="B20" s="274">
        <f>'[8]Degree Days 2020'!B20</f>
        <v>17</v>
      </c>
      <c r="C20" s="274">
        <f>'[8]Degree Days 2020'!C20</f>
        <v>13</v>
      </c>
      <c r="D20" s="274">
        <f t="shared" si="0"/>
        <v>-3.3000000000000007</v>
      </c>
      <c r="E20" s="274">
        <f>'[8]Degree Days 2020'!E20</f>
        <v>11</v>
      </c>
      <c r="F20" s="274">
        <f>'[8]Degree Days 2020'!F20</f>
        <v>14</v>
      </c>
      <c r="G20" s="274">
        <f>'[8]Degree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'[8]Degree Days 2020'!J20</f>
        <v>18</v>
      </c>
      <c r="K20" s="274">
        <f>'[8]Degree Days 2020'!K20</f>
        <v>14</v>
      </c>
      <c r="L20" s="274">
        <f t="shared" si="2"/>
        <v>-2.3000000000000007</v>
      </c>
      <c r="M20" s="274">
        <f>'[8]Degree Days 2020'!M20</f>
        <v>11</v>
      </c>
      <c r="N20" s="274">
        <f>'[8]Degree Days 2020'!N20</f>
        <v>17</v>
      </c>
      <c r="O20" s="274">
        <f>'[8]Degree Days 2020'!O20</f>
        <v>14</v>
      </c>
      <c r="P20" s="274">
        <f t="shared" si="3"/>
        <v>-2.8000000000000007</v>
      </c>
      <c r="Q20" s="539">
        <v>11</v>
      </c>
      <c r="R20" s="274">
        <f>'[8]Degree Days 2020'!R20</f>
        <v>23</v>
      </c>
      <c r="S20" s="274">
        <f>'[8]Degree Days 2020'!S20</f>
        <v>18</v>
      </c>
      <c r="T20" s="274">
        <f t="shared" si="4"/>
        <v>2.1999999999999993</v>
      </c>
      <c r="U20" s="539">
        <v>11</v>
      </c>
      <c r="V20" s="274">
        <f>'[8]Degree Days 2020'!V20</f>
        <v>28</v>
      </c>
      <c r="W20" s="274">
        <f>'[8]Degree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'[8]Degree Days 2020'!B21</f>
        <v>16</v>
      </c>
      <c r="C21" s="274">
        <f>'[8]Degree Days 2020'!C21</f>
        <v>12</v>
      </c>
      <c r="D21" s="274">
        <f t="shared" si="0"/>
        <v>-4.3000000000000007</v>
      </c>
      <c r="E21" s="274">
        <f>'[8]Degree Days 2020'!E21</f>
        <v>12</v>
      </c>
      <c r="F21" s="274">
        <f>'[8]Degree Days 2020'!F21</f>
        <v>16</v>
      </c>
      <c r="G21" s="274">
        <f>'[8]Degree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'[8]Degree Days 2020'!J21</f>
        <v>27</v>
      </c>
      <c r="K21" s="274">
        <f>'[8]Degree Days 2020'!K21</f>
        <v>16</v>
      </c>
      <c r="L21" s="274">
        <f t="shared" si="2"/>
        <v>3.1999999999999993</v>
      </c>
      <c r="M21" s="274">
        <f>'[8]Degree Days 2020'!M21</f>
        <v>12</v>
      </c>
      <c r="N21" s="274">
        <f>'[8]Degree Days 2020'!N21</f>
        <v>20</v>
      </c>
      <c r="O21" s="274">
        <f>'[8]Degree Days 2020'!O21</f>
        <v>14</v>
      </c>
      <c r="P21" s="274">
        <f t="shared" si="3"/>
        <v>-1.3000000000000007</v>
      </c>
      <c r="Q21" s="539">
        <v>12</v>
      </c>
      <c r="R21" s="274">
        <f>'[8]Degree Days 2020'!R21</f>
        <v>24</v>
      </c>
      <c r="S21" s="274">
        <f>'[8]Degree Days 2020'!S21</f>
        <v>18</v>
      </c>
      <c r="T21" s="274">
        <f t="shared" si="4"/>
        <v>2.6999999999999993</v>
      </c>
      <c r="U21" s="539">
        <v>12</v>
      </c>
      <c r="V21" s="274">
        <f>'[8]Degree Days 2020'!V21</f>
        <v>27</v>
      </c>
      <c r="W21" s="274">
        <f>'[8]Degree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'[8]Degree Days 2020'!B22</f>
        <v>17</v>
      </c>
      <c r="C22" s="274">
        <f>'[8]Degree Days 2020'!C22</f>
        <v>13</v>
      </c>
      <c r="D22" s="274">
        <f t="shared" si="0"/>
        <v>-3.3000000000000007</v>
      </c>
      <c r="E22" s="274">
        <f>'[8]Degree Days 2020'!E22</f>
        <v>13</v>
      </c>
      <c r="F22" s="274">
        <f>'[8]Degree Days 2020'!F22</f>
        <v>17</v>
      </c>
      <c r="G22" s="274">
        <f>'[8]Degree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'[8]Degree Days 2020'!J22</f>
        <v>26</v>
      </c>
      <c r="K22" s="274">
        <f>'[8]Degree Days 2020'!K22</f>
        <v>15</v>
      </c>
      <c r="L22" s="274">
        <f t="shared" si="2"/>
        <v>2.1999999999999993</v>
      </c>
      <c r="M22" s="274">
        <f>'[8]Degree Days 2020'!M22</f>
        <v>13</v>
      </c>
      <c r="N22" s="274">
        <f>'[8]Degree Days 2020'!N22</f>
        <v>21</v>
      </c>
      <c r="O22" s="274">
        <f>'[8]Degree Days 2020'!O22</f>
        <v>15</v>
      </c>
      <c r="P22" s="274">
        <f t="shared" si="3"/>
        <v>-0.30000000000000071</v>
      </c>
      <c r="Q22" s="539">
        <v>13</v>
      </c>
      <c r="R22" s="274">
        <f>'[8]Degree Days 2020'!R22</f>
        <v>27</v>
      </c>
      <c r="S22" s="274">
        <f>'[8]Degree Days 2020'!S22</f>
        <v>21</v>
      </c>
      <c r="T22" s="274">
        <f t="shared" si="4"/>
        <v>5.6999999999999993</v>
      </c>
      <c r="U22" s="539">
        <v>13</v>
      </c>
      <c r="V22" s="274">
        <f>'[8]Degree Days 2020'!V22</f>
        <v>25</v>
      </c>
      <c r="W22" s="274">
        <f>'[8]Degree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'[8]Degree Days 2020'!B23</f>
        <v>16</v>
      </c>
      <c r="C23" s="274">
        <f>'[8]Degree Days 2020'!C23</f>
        <v>12</v>
      </c>
      <c r="D23" s="274">
        <f t="shared" si="0"/>
        <v>-4.3000000000000007</v>
      </c>
      <c r="E23" s="274">
        <f>'[8]Degree Days 2020'!E23</f>
        <v>14</v>
      </c>
      <c r="F23" s="274">
        <f>'[8]Degree Days 2020'!F23</f>
        <v>17</v>
      </c>
      <c r="G23" s="274">
        <f>'[8]Degree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'[8]Degree Days 2020'!J23</f>
        <v>19</v>
      </c>
      <c r="K23" s="274">
        <f>'[8]Degree Days 2020'!K23</f>
        <v>15</v>
      </c>
      <c r="L23" s="274">
        <f t="shared" si="2"/>
        <v>-1.3000000000000007</v>
      </c>
      <c r="M23" s="274">
        <f>'[8]Degree Days 2020'!M23</f>
        <v>14</v>
      </c>
      <c r="N23" s="274">
        <f>'[8]Degree Days 2020'!N23</f>
        <v>22</v>
      </c>
      <c r="O23" s="274">
        <f>'[8]Degree Days 2020'!O23</f>
        <v>16</v>
      </c>
      <c r="P23" s="274">
        <f t="shared" si="3"/>
        <v>0.69999999999999929</v>
      </c>
      <c r="Q23" s="539">
        <v>14</v>
      </c>
      <c r="R23" s="274">
        <f>'[8]Degree Days 2020'!R23</f>
        <v>29</v>
      </c>
      <c r="S23" s="274">
        <f>'[8]Degree Days 2020'!S23</f>
        <v>22</v>
      </c>
      <c r="T23" s="274">
        <f t="shared" si="4"/>
        <v>7.1999999999999993</v>
      </c>
      <c r="U23" s="539">
        <v>14</v>
      </c>
      <c r="V23" s="274">
        <f>'[8]Degree Days 2020'!V23</f>
        <v>26</v>
      </c>
      <c r="W23" s="274">
        <f>'[8]Degree Days 2020'!W23</f>
        <v>21</v>
      </c>
      <c r="X23" s="274">
        <f t="shared" si="5"/>
        <v>5.1999999999999993</v>
      </c>
      <c r="AA23" s="134">
        <f>SUM(AA10:AA22)</f>
        <v>-609.1</v>
      </c>
      <c r="AB23" s="134">
        <f>SUM(AB10:AB22)</f>
        <v>1429.3999999999994</v>
      </c>
    </row>
    <row r="24" spans="1:28">
      <c r="A24" s="117">
        <v>15</v>
      </c>
      <c r="B24" s="274">
        <f>'[8]Degree Days 2020'!B24</f>
        <v>17</v>
      </c>
      <c r="C24" s="274">
        <f>'[8]Degree Days 2020'!C24</f>
        <v>13</v>
      </c>
      <c r="D24" s="274">
        <f t="shared" si="0"/>
        <v>-3.3000000000000007</v>
      </c>
      <c r="E24" s="274">
        <f>'[8]Degree Days 2020'!E24</f>
        <v>15</v>
      </c>
      <c r="F24" s="274">
        <f>'[8]Degree Days 2020'!F24</f>
        <v>17</v>
      </c>
      <c r="G24" s="274">
        <f>'[8]Degree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'[8]Degree Days 2020'!J24</f>
        <v>19</v>
      </c>
      <c r="K24" s="274">
        <f>'[8]Degree Days 2020'!K24</f>
        <v>15</v>
      </c>
      <c r="L24" s="274">
        <f t="shared" si="2"/>
        <v>-1.3000000000000007</v>
      </c>
      <c r="M24" s="274">
        <f>'[8]Degree Days 2020'!M24</f>
        <v>15</v>
      </c>
      <c r="N24" s="274">
        <f>'[8]Degree Days 2020'!N24</f>
        <v>20</v>
      </c>
      <c r="O24" s="274">
        <f>'[8]Degree Days 2020'!O24</f>
        <v>16</v>
      </c>
      <c r="P24" s="274">
        <f t="shared" si="3"/>
        <v>-0.30000000000000071</v>
      </c>
      <c r="Q24" s="539">
        <v>15</v>
      </c>
      <c r="R24" s="274">
        <f>'[8]Degree Days 2020'!R24</f>
        <v>30</v>
      </c>
      <c r="S24" s="274">
        <f>'[8]Degree Days 2020'!S24</f>
        <v>23</v>
      </c>
      <c r="T24" s="274">
        <f t="shared" si="4"/>
        <v>8.1999999999999993</v>
      </c>
      <c r="U24" s="539">
        <v>15</v>
      </c>
      <c r="V24" s="274">
        <f>'[8]Degree Days 2020'!V24</f>
        <v>26</v>
      </c>
      <c r="W24" s="274">
        <f>'[8]Degree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'[8]Degree Days 2020'!B25</f>
        <v>19</v>
      </c>
      <c r="C25" s="274">
        <f>'[8]Degree Days 2020'!C25</f>
        <v>13</v>
      </c>
      <c r="D25" s="274">
        <f t="shared" si="0"/>
        <v>-2.3000000000000007</v>
      </c>
      <c r="E25" s="274">
        <f>'[8]Degree Days 2020'!E25</f>
        <v>16</v>
      </c>
      <c r="F25" s="274">
        <f>'[8]Degree Days 2020'!F25</f>
        <v>17</v>
      </c>
      <c r="G25" s="274">
        <f>'[8]Degree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'[8]Degree Days 2020'!J25</f>
        <v>18</v>
      </c>
      <c r="K25" s="274">
        <f>'[8]Degree Days 2020'!K25</f>
        <v>11</v>
      </c>
      <c r="L25" s="274">
        <f t="shared" si="2"/>
        <v>-3.8000000000000007</v>
      </c>
      <c r="M25" s="274">
        <f>'[8]Degree Days 2020'!M25</f>
        <v>16</v>
      </c>
      <c r="N25" s="274">
        <f>'[8]Degree Days 2020'!N25</f>
        <v>20</v>
      </c>
      <c r="O25" s="274">
        <f>'[8]Degree Days 2020'!O25</f>
        <v>15</v>
      </c>
      <c r="P25" s="274">
        <f t="shared" si="3"/>
        <v>-0.80000000000000071</v>
      </c>
      <c r="Q25" s="539">
        <v>16</v>
      </c>
      <c r="R25" s="274">
        <f>'[8]Degree Days 2020'!R25</f>
        <v>32</v>
      </c>
      <c r="S25" s="274">
        <f>'[8]Degree Days 2020'!S25</f>
        <v>24</v>
      </c>
      <c r="T25" s="274">
        <f t="shared" si="4"/>
        <v>9.6999999999999993</v>
      </c>
      <c r="U25" s="539">
        <v>16</v>
      </c>
      <c r="V25" s="274">
        <f>'[8]Degree Days 2020'!V25</f>
        <v>26</v>
      </c>
      <c r="W25" s="274">
        <f>'[8]Degree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'[8]Degree Days 2020'!B26</f>
        <v>20</v>
      </c>
      <c r="C26" s="274">
        <f>'[8]Degree Days 2020'!C26</f>
        <v>13</v>
      </c>
      <c r="D26" s="274">
        <f t="shared" si="0"/>
        <v>-1.8000000000000007</v>
      </c>
      <c r="E26" s="274">
        <f>'[8]Degree Days 2020'!E26</f>
        <v>17</v>
      </c>
      <c r="F26" s="274">
        <f>'[8]Degree Days 2020'!F26</f>
        <v>16</v>
      </c>
      <c r="G26" s="274">
        <f>'[8]Degree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'[8]Degree Days 2020'!J26</f>
        <v>19</v>
      </c>
      <c r="K26" s="274">
        <f>'[8]Degree Days 2020'!K26</f>
        <v>12</v>
      </c>
      <c r="L26" s="274">
        <f t="shared" si="2"/>
        <v>-2.8000000000000007</v>
      </c>
      <c r="M26" s="274">
        <f>'[8]Degree Days 2020'!M26</f>
        <v>17</v>
      </c>
      <c r="N26" s="274">
        <f>'[8]Degree Days 2020'!N26</f>
        <v>22</v>
      </c>
      <c r="O26" s="274">
        <f>'[8]Degree Days 2020'!O26</f>
        <v>17</v>
      </c>
      <c r="P26" s="274">
        <f t="shared" si="3"/>
        <v>1.1999999999999993</v>
      </c>
      <c r="Q26" s="539">
        <v>17</v>
      </c>
      <c r="R26" s="274">
        <f>'[8]Degree Days 2020'!R26</f>
        <v>36</v>
      </c>
      <c r="S26" s="274">
        <f>'[8]Degree Days 2020'!S26</f>
        <v>26</v>
      </c>
      <c r="T26" s="274">
        <f t="shared" si="4"/>
        <v>12.7</v>
      </c>
      <c r="U26" s="539">
        <v>17</v>
      </c>
      <c r="V26" s="274">
        <f>'[8]Degree Days 2020'!V26</f>
        <v>27</v>
      </c>
      <c r="W26" s="274">
        <f>'[8]Degree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'[8]Degree Days 2020'!B27</f>
        <v>14</v>
      </c>
      <c r="C27" s="274">
        <f>'[8]Degree Days 2020'!C27</f>
        <v>13</v>
      </c>
      <c r="D27" s="274">
        <f t="shared" si="0"/>
        <v>-4.8000000000000007</v>
      </c>
      <c r="E27" s="274">
        <f>'[8]Degree Days 2020'!E27</f>
        <v>18</v>
      </c>
      <c r="F27" s="274">
        <f>'[8]Degree Days 2020'!F27</f>
        <v>17</v>
      </c>
      <c r="G27" s="274">
        <f>'[8]Degree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'[8]Degree Days 2020'!J27</f>
        <v>15</v>
      </c>
      <c r="K27" s="274">
        <f>'[8]Degree Days 2020'!K27</f>
        <v>13</v>
      </c>
      <c r="L27" s="274">
        <f t="shared" si="2"/>
        <v>-4.3000000000000007</v>
      </c>
      <c r="M27" s="274">
        <f>'[8]Degree Days 2020'!M27</f>
        <v>18</v>
      </c>
      <c r="N27" s="274">
        <f>'[8]Degree Days 2020'!N27</f>
        <v>24</v>
      </c>
      <c r="O27" s="274">
        <f>'[8]Degree Days 2020'!O27</f>
        <v>17</v>
      </c>
      <c r="P27" s="274">
        <f t="shared" si="3"/>
        <v>2.1999999999999993</v>
      </c>
      <c r="Q27" s="539">
        <v>18</v>
      </c>
      <c r="R27" s="274">
        <f>'[8]Degree Days 2020'!R27</f>
        <v>32</v>
      </c>
      <c r="S27" s="274">
        <f>'[8]Degree Days 2020'!S27</f>
        <v>24</v>
      </c>
      <c r="T27" s="274">
        <f t="shared" si="4"/>
        <v>9.6999999999999993</v>
      </c>
      <c r="U27" s="539">
        <v>18</v>
      </c>
      <c r="V27" s="274">
        <f>'[8]Degree Days 2020'!V27</f>
        <v>27</v>
      </c>
      <c r="W27" s="274">
        <f>'[8]Degree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'[8]Degree Days 2020'!B28</f>
        <v>15</v>
      </c>
      <c r="C28" s="274">
        <f>'[8]Degree Days 2020'!C28</f>
        <v>13</v>
      </c>
      <c r="D28" s="274">
        <f t="shared" si="0"/>
        <v>-4.3000000000000007</v>
      </c>
      <c r="E28" s="274">
        <f>'[8]Degree Days 2020'!E28</f>
        <v>19</v>
      </c>
      <c r="F28" s="274">
        <f>'[8]Degree Days 2020'!F28</f>
        <v>17</v>
      </c>
      <c r="G28" s="274">
        <f>'[8]Degree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'[8]Degree Days 2020'!J28</f>
        <v>17</v>
      </c>
      <c r="K28" s="274">
        <f>'[8]Degree Days 2020'!K28</f>
        <v>14</v>
      </c>
      <c r="L28" s="274">
        <f t="shared" si="2"/>
        <v>-2.8000000000000007</v>
      </c>
      <c r="M28" s="274">
        <f>'[8]Degree Days 2020'!M28</f>
        <v>19</v>
      </c>
      <c r="N28" s="274">
        <f>'[8]Degree Days 2020'!N28</f>
        <v>24</v>
      </c>
      <c r="O28" s="274">
        <f>'[8]Degree Days 2020'!O28</f>
        <v>17</v>
      </c>
      <c r="P28" s="274">
        <f t="shared" si="3"/>
        <v>2.1999999999999993</v>
      </c>
      <c r="Q28" s="539">
        <v>19</v>
      </c>
      <c r="R28" s="274">
        <f>'[8]Degree Days 2020'!R28</f>
        <v>34</v>
      </c>
      <c r="S28" s="274">
        <f>'[8]Degree Days 2020'!S28</f>
        <v>27</v>
      </c>
      <c r="T28" s="274">
        <f t="shared" si="4"/>
        <v>12.2</v>
      </c>
      <c r="U28" s="539">
        <v>19</v>
      </c>
      <c r="V28" s="274">
        <f>'[8]Degree Days 2020'!V28</f>
        <v>27</v>
      </c>
      <c r="W28" s="274">
        <f>'[8]Degree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'[8]Degree Days 2020'!B29</f>
        <v>15</v>
      </c>
      <c r="C29" s="274">
        <f>'[8]Degree Days 2020'!C29</f>
        <v>10</v>
      </c>
      <c r="D29" s="274">
        <f t="shared" si="0"/>
        <v>-5.8000000000000007</v>
      </c>
      <c r="E29" s="274">
        <f>'[8]Degree Days 2020'!E29</f>
        <v>20</v>
      </c>
      <c r="F29" s="274">
        <f>'[8]Degree Days 2020'!F29</f>
        <v>17</v>
      </c>
      <c r="G29" s="274">
        <f>'[8]Degree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'[8]Degree Days 2020'!J29</f>
        <v>16</v>
      </c>
      <c r="K29" s="274">
        <f>'[8]Degree Days 2020'!K29</f>
        <v>13</v>
      </c>
      <c r="L29" s="274">
        <f t="shared" si="2"/>
        <v>-3.8000000000000007</v>
      </c>
      <c r="M29" s="274">
        <f>'[8]Degree Days 2020'!M29</f>
        <v>20</v>
      </c>
      <c r="N29" s="274">
        <f>'[8]Degree Days 2020'!N29</f>
        <v>23</v>
      </c>
      <c r="O29" s="274">
        <f>'[8]Degree Days 2020'!O29</f>
        <v>18</v>
      </c>
      <c r="P29" s="274">
        <f t="shared" si="3"/>
        <v>2.1999999999999993</v>
      </c>
      <c r="Q29" s="539">
        <v>20</v>
      </c>
      <c r="R29" s="274">
        <f>'[8]Degree Days 2020'!R29</f>
        <v>30</v>
      </c>
      <c r="S29" s="274">
        <f>'[8]Degree Days 2020'!S29</f>
        <v>22</v>
      </c>
      <c r="T29" s="274">
        <f t="shared" si="4"/>
        <v>7.6999999999999993</v>
      </c>
      <c r="U29" s="539">
        <v>20</v>
      </c>
      <c r="V29" s="274">
        <f>'[8]Degree Days 2020'!V29</f>
        <v>26</v>
      </c>
      <c r="W29" s="274">
        <f>'[8]Degree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'[8]Degree Days 2020'!B30</f>
        <v>13</v>
      </c>
      <c r="C30" s="274">
        <f>'[8]Degree Days 2020'!C30</f>
        <v>9</v>
      </c>
      <c r="D30" s="274">
        <f t="shared" si="0"/>
        <v>-7.3000000000000007</v>
      </c>
      <c r="E30" s="274">
        <f>'[8]Degree Days 2020'!E30</f>
        <v>21</v>
      </c>
      <c r="F30" s="274">
        <f>'[8]Degree Days 2020'!F30</f>
        <v>16</v>
      </c>
      <c r="G30" s="274">
        <f>'[8]Degree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'[8]Degree Days 2020'!J30</f>
        <v>17</v>
      </c>
      <c r="K30" s="274">
        <f>'[8]Degree Days 2020'!K30</f>
        <v>14</v>
      </c>
      <c r="L30" s="274">
        <f t="shared" si="2"/>
        <v>-2.8000000000000007</v>
      </c>
      <c r="M30" s="274">
        <f>'[8]Degree Days 2020'!M30</f>
        <v>21</v>
      </c>
      <c r="N30" s="274">
        <f>'[8]Degree Days 2020'!N30</f>
        <v>24</v>
      </c>
      <c r="O30" s="274">
        <f>'[8]Degree Days 2020'!O30</f>
        <v>18</v>
      </c>
      <c r="P30" s="274">
        <f t="shared" si="3"/>
        <v>2.6999999999999993</v>
      </c>
      <c r="Q30" s="539">
        <v>21</v>
      </c>
      <c r="R30" s="274">
        <f>'[8]Degree Days 2020'!R30</f>
        <v>31</v>
      </c>
      <c r="S30" s="274">
        <f>'[8]Degree Days 2020'!S30</f>
        <v>23</v>
      </c>
      <c r="T30" s="274">
        <f t="shared" si="4"/>
        <v>8.6999999999999993</v>
      </c>
      <c r="U30" s="539">
        <v>21</v>
      </c>
      <c r="V30" s="274">
        <f>'[8]Degree Days 2020'!V30</f>
        <v>29</v>
      </c>
      <c r="W30" s="274">
        <f>'[8]Degree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'[8]Degree Days 2020'!B31</f>
        <v>14</v>
      </c>
      <c r="C31" s="274">
        <f>'[8]Degree Days 2020'!C31</f>
        <v>10</v>
      </c>
      <c r="D31" s="274">
        <f t="shared" si="0"/>
        <v>-6.3000000000000007</v>
      </c>
      <c r="E31" s="274">
        <f>'[8]Degree Days 2020'!E31</f>
        <v>22</v>
      </c>
      <c r="F31" s="274">
        <f>'[8]Degree Days 2020'!F31</f>
        <v>17</v>
      </c>
      <c r="G31" s="274">
        <f>'[8]Degree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'[8]Degree Days 2020'!J31</f>
        <v>19</v>
      </c>
      <c r="K31" s="274">
        <f>'[8]Degree Days 2020'!K31</f>
        <v>14</v>
      </c>
      <c r="L31" s="274">
        <f t="shared" si="2"/>
        <v>-1.8000000000000007</v>
      </c>
      <c r="M31" s="274">
        <f>'[8]Degree Days 2020'!M31</f>
        <v>22</v>
      </c>
      <c r="N31" s="274">
        <f>'[8]Degree Days 2020'!N31</f>
        <v>25</v>
      </c>
      <c r="O31" s="274">
        <f>'[8]Degree Days 2020'!O31</f>
        <v>18</v>
      </c>
      <c r="P31" s="274">
        <f t="shared" si="3"/>
        <v>3.1999999999999993</v>
      </c>
      <c r="Q31" s="539">
        <v>22</v>
      </c>
      <c r="R31" s="274">
        <f>'[8]Degree Days 2020'!R31</f>
        <v>25</v>
      </c>
      <c r="S31" s="274">
        <f>'[8]Degree Days 2020'!S31</f>
        <v>16</v>
      </c>
      <c r="T31" s="274">
        <f t="shared" si="4"/>
        <v>2.1999999999999993</v>
      </c>
      <c r="U31" s="539">
        <v>22</v>
      </c>
      <c r="V31" s="274">
        <f>'[8]Degree Days 2020'!V31</f>
        <v>29</v>
      </c>
      <c r="W31" s="274">
        <f>'[8]Degree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'[8]Degree Days 2020'!B32</f>
        <v>13</v>
      </c>
      <c r="C32" s="274">
        <f>'[8]Degree Days 2020'!C32</f>
        <v>7</v>
      </c>
      <c r="D32" s="274">
        <f t="shared" si="0"/>
        <v>-8.3000000000000007</v>
      </c>
      <c r="E32" s="274">
        <f>'[8]Degree Days 2020'!E32</f>
        <v>23</v>
      </c>
      <c r="F32" s="274">
        <f>'[8]Degree Days 2020'!F32</f>
        <v>16</v>
      </c>
      <c r="G32" s="274">
        <f>'[8]Degree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'[8]Degree Days 2020'!J32</f>
        <v>21</v>
      </c>
      <c r="K32" s="274">
        <f>'[8]Degree Days 2020'!K32</f>
        <v>14</v>
      </c>
      <c r="L32" s="274">
        <f t="shared" si="2"/>
        <v>-0.80000000000000071</v>
      </c>
      <c r="M32" s="274">
        <f>'[8]Degree Days 2020'!M32</f>
        <v>23</v>
      </c>
      <c r="N32" s="274">
        <f>'[8]Degree Days 2020'!N32</f>
        <v>23</v>
      </c>
      <c r="O32" s="274">
        <f>'[8]Degree Days 2020'!O32</f>
        <v>15</v>
      </c>
      <c r="P32" s="274">
        <f t="shared" si="3"/>
        <v>0.69999999999999929</v>
      </c>
      <c r="Q32" s="539">
        <v>23</v>
      </c>
      <c r="R32" s="274">
        <f>'[8]Degree Days 2020'!R32</f>
        <v>22</v>
      </c>
      <c r="S32" s="274">
        <f>'[8]Degree Days 2020'!S32</f>
        <v>19</v>
      </c>
      <c r="T32" s="274">
        <f t="shared" si="4"/>
        <v>2.1999999999999993</v>
      </c>
      <c r="U32" s="539">
        <v>23</v>
      </c>
      <c r="V32" s="274">
        <f>'[8]Degree Days 2020'!V32</f>
        <v>27</v>
      </c>
      <c r="W32" s="274">
        <f>'[8]Degree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'[8]Degree Days 2020'!B33</f>
        <v>14</v>
      </c>
      <c r="C33" s="274">
        <f>'[8]Degree Days 2020'!C33</f>
        <v>8</v>
      </c>
      <c r="D33" s="274">
        <f t="shared" si="0"/>
        <v>-7.3000000000000007</v>
      </c>
      <c r="E33" s="274">
        <f>'[8]Degree Days 2020'!E33</f>
        <v>24</v>
      </c>
      <c r="F33" s="274">
        <f>'[8]Degree Days 2020'!F33</f>
        <v>17</v>
      </c>
      <c r="G33" s="274">
        <f>'[8]Degree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'[8]Degree Days 2020'!J33</f>
        <v>22</v>
      </c>
      <c r="K33" s="274">
        <f>'[8]Degree Days 2020'!K33</f>
        <v>15</v>
      </c>
      <c r="L33" s="274">
        <f t="shared" si="2"/>
        <v>0.19999999999999929</v>
      </c>
      <c r="M33" s="274">
        <f>'[8]Degree Days 2020'!M33</f>
        <v>24</v>
      </c>
      <c r="N33" s="274">
        <f>'[8]Degree Days 2020'!N33</f>
        <v>23</v>
      </c>
      <c r="O33" s="274">
        <f>'[8]Degree Days 2020'!O33</f>
        <v>16</v>
      </c>
      <c r="P33" s="274">
        <f t="shared" si="3"/>
        <v>1.1999999999999993</v>
      </c>
      <c r="Q33" s="539">
        <v>24</v>
      </c>
      <c r="R33" s="274">
        <f>'[8]Degree Days 2020'!R33</f>
        <v>24</v>
      </c>
      <c r="S33" s="274">
        <f>'[8]Degree Days 2020'!S33</f>
        <v>16</v>
      </c>
      <c r="T33" s="274">
        <f t="shared" si="4"/>
        <v>1.6999999999999993</v>
      </c>
      <c r="U33" s="539">
        <v>24</v>
      </c>
      <c r="V33" s="274">
        <f>'[8]Degree Days 2020'!V33</f>
        <v>27</v>
      </c>
      <c r="W33" s="274">
        <f>'[8]Degree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'[8]Degree Days 2020'!B34</f>
        <v>16</v>
      </c>
      <c r="C34" s="274">
        <f>'[8]Degree Days 2020'!C34</f>
        <v>10</v>
      </c>
      <c r="D34" s="274">
        <f t="shared" si="0"/>
        <v>-5.3000000000000007</v>
      </c>
      <c r="E34" s="274">
        <f>'[8]Degree Days 2020'!E34</f>
        <v>25</v>
      </c>
      <c r="F34" s="274">
        <f>'[8]Degree Days 2020'!F34</f>
        <v>17</v>
      </c>
      <c r="G34" s="274">
        <f>'[8]Degree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'[8]Degree Days 2020'!J34</f>
        <v>21</v>
      </c>
      <c r="K34" s="274">
        <f>'[8]Degree Days 2020'!K34</f>
        <v>15</v>
      </c>
      <c r="L34" s="274">
        <f t="shared" si="2"/>
        <v>-0.30000000000000071</v>
      </c>
      <c r="M34" s="274">
        <f>'[8]Degree Days 2020'!M34</f>
        <v>25</v>
      </c>
      <c r="N34" s="274">
        <f>'[8]Degree Days 2020'!N34</f>
        <v>22</v>
      </c>
      <c r="O34" s="274">
        <f>'[8]Degree Days 2020'!O34</f>
        <v>14</v>
      </c>
      <c r="P34" s="274">
        <f t="shared" si="3"/>
        <v>-0.30000000000000071</v>
      </c>
      <c r="Q34" s="539">
        <v>25</v>
      </c>
      <c r="R34" s="274">
        <f>'[8]Degree Days 2020'!R34</f>
        <v>24</v>
      </c>
      <c r="S34" s="274">
        <f>'[8]Degree Days 2020'!S34</f>
        <v>18</v>
      </c>
      <c r="T34" s="274">
        <f t="shared" si="4"/>
        <v>2.6999999999999993</v>
      </c>
      <c r="U34" s="539">
        <v>25</v>
      </c>
      <c r="V34" s="274">
        <f>'[8]Degree Days 2020'!V34</f>
        <v>33</v>
      </c>
      <c r="W34" s="274">
        <f>'[8]Degree Days 2020'!W34</f>
        <v>27</v>
      </c>
      <c r="X34" s="274">
        <f t="shared" si="5"/>
        <v>11.7</v>
      </c>
    </row>
    <row r="35" spans="1:24">
      <c r="A35" s="117">
        <v>26</v>
      </c>
      <c r="B35" s="274">
        <f>'[8]Degree Days 2020'!B35</f>
        <v>15</v>
      </c>
      <c r="C35" s="274">
        <f>'[8]Degree Days 2020'!C35</f>
        <v>9</v>
      </c>
      <c r="D35" s="274">
        <f t="shared" si="0"/>
        <v>-6.3000000000000007</v>
      </c>
      <c r="E35" s="274">
        <f>'[8]Degree Days 2020'!E35</f>
        <v>26</v>
      </c>
      <c r="F35" s="274">
        <f>'[8]Degree Days 2020'!F35</f>
        <v>18</v>
      </c>
      <c r="G35" s="274">
        <f>'[8]Degree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'[8]Degree Days 2020'!J35</f>
        <v>21</v>
      </c>
      <c r="K35" s="274">
        <f>'[8]Degree Days 2020'!K35</f>
        <v>15</v>
      </c>
      <c r="L35" s="274">
        <f t="shared" si="2"/>
        <v>-0.30000000000000071</v>
      </c>
      <c r="M35" s="274">
        <f>'[8]Degree Days 2020'!M35</f>
        <v>26</v>
      </c>
      <c r="N35" s="274">
        <f>'[8]Degree Days 2020'!N35</f>
        <v>21</v>
      </c>
      <c r="O35" s="274">
        <f>'[8]Degree Days 2020'!O35</f>
        <v>17</v>
      </c>
      <c r="P35" s="274">
        <f t="shared" si="3"/>
        <v>0.69999999999999929</v>
      </c>
      <c r="Q35" s="539">
        <v>26</v>
      </c>
      <c r="R35" s="274">
        <f>'[8]Degree Days 2020'!R35</f>
        <v>25</v>
      </c>
      <c r="S35" s="274">
        <f>'[8]Degree Days 2020'!S35</f>
        <v>20</v>
      </c>
      <c r="T35" s="274">
        <f t="shared" si="4"/>
        <v>4.1999999999999993</v>
      </c>
      <c r="U35" s="539">
        <v>26</v>
      </c>
      <c r="V35" s="274">
        <f>'[8]Degree Days 2020'!V35</f>
        <v>28</v>
      </c>
      <c r="W35" s="274">
        <f>'[8]Degree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'[8]Degree Days 2020'!B36</f>
        <v>17</v>
      </c>
      <c r="C36" s="274">
        <f>'[8]Degree Days 2020'!C36</f>
        <v>11</v>
      </c>
      <c r="D36" s="274">
        <f t="shared" si="0"/>
        <v>-4.3000000000000007</v>
      </c>
      <c r="E36" s="274">
        <f>'[8]Degree Days 2020'!E36</f>
        <v>27</v>
      </c>
      <c r="F36" s="274">
        <f>'[8]Degree Days 2020'!F36</f>
        <v>19</v>
      </c>
      <c r="G36" s="274">
        <f>'[8]Degree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'[8]Degree Days 2020'!J36</f>
        <v>18</v>
      </c>
      <c r="K36" s="274">
        <f>'[8]Degree Days 2020'!K36</f>
        <v>13</v>
      </c>
      <c r="L36" s="274">
        <f t="shared" si="2"/>
        <v>-2.8000000000000007</v>
      </c>
      <c r="M36" s="274">
        <f>'[8]Degree Days 2020'!M36</f>
        <v>27</v>
      </c>
      <c r="N36" s="274">
        <f>'[8]Degree Days 2020'!N36</f>
        <v>20</v>
      </c>
      <c r="O36" s="274">
        <f>'[8]Degree Days 2020'!O36</f>
        <v>16</v>
      </c>
      <c r="P36" s="274">
        <f t="shared" si="3"/>
        <v>-0.30000000000000071</v>
      </c>
      <c r="Q36" s="539">
        <v>27</v>
      </c>
      <c r="R36" s="274">
        <f>'[8]Degree Days 2020'!R36</f>
        <v>27</v>
      </c>
      <c r="S36" s="274">
        <f>'[8]Degree Days 2020'!S36</f>
        <v>19</v>
      </c>
      <c r="T36" s="274">
        <f t="shared" si="4"/>
        <v>4.6999999999999993</v>
      </c>
      <c r="U36" s="539">
        <v>27</v>
      </c>
      <c r="V36" s="274">
        <f>'[8]Degree Days 2020'!V36</f>
        <v>29</v>
      </c>
      <c r="W36" s="274">
        <f>'[8]Degree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'[8]Degree Days 2020'!B37</f>
        <v>16</v>
      </c>
      <c r="C37" s="274">
        <f>'[8]Degree Days 2020'!C37</f>
        <v>10</v>
      </c>
      <c r="D37" s="274">
        <f t="shared" si="0"/>
        <v>-5.3000000000000007</v>
      </c>
      <c r="E37" s="274">
        <f>'[8]Degree Days 2020'!E37</f>
        <v>28</v>
      </c>
      <c r="F37" s="274">
        <f>'[8]Degree Days 2020'!F37</f>
        <v>19</v>
      </c>
      <c r="G37" s="274">
        <f>'[8]Degree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'[8]Degree Days 2020'!J37</f>
        <v>17</v>
      </c>
      <c r="K37" s="274">
        <f>'[8]Degree Days 2020'!K37</f>
        <v>13</v>
      </c>
      <c r="L37" s="274">
        <f t="shared" si="2"/>
        <v>-3.3000000000000007</v>
      </c>
      <c r="M37" s="274">
        <f>'[8]Degree Days 2020'!M37</f>
        <v>28</v>
      </c>
      <c r="N37" s="274">
        <f>'[8]Degree Days 2020'!N37</f>
        <v>21</v>
      </c>
      <c r="O37" s="274">
        <f>'[8]Degree Days 2020'!O37</f>
        <v>16</v>
      </c>
      <c r="P37" s="274">
        <f t="shared" si="3"/>
        <v>0.19999999999999929</v>
      </c>
      <c r="Q37" s="539">
        <v>28</v>
      </c>
      <c r="R37" s="274">
        <f>'[8]Degree Days 2020'!R37</f>
        <v>27</v>
      </c>
      <c r="S37" s="274">
        <f>'[8]Degree Days 2020'!S37</f>
        <v>19</v>
      </c>
      <c r="T37" s="274">
        <f t="shared" si="4"/>
        <v>4.6999999999999993</v>
      </c>
      <c r="U37" s="539">
        <v>28</v>
      </c>
      <c r="V37" s="274">
        <f>'[8]Degree Days 2020'!V37</f>
        <v>30</v>
      </c>
      <c r="W37" s="274">
        <f>'[8]Degree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'[8]Degree Days 2020'!B38</f>
        <v>16</v>
      </c>
      <c r="C38" s="274">
        <f>'[8]Degree Days 2020'!C38</f>
        <v>10</v>
      </c>
      <c r="D38" s="274">
        <f t="shared" si="0"/>
        <v>-5.3000000000000007</v>
      </c>
      <c r="E38" s="274">
        <f>'[8]Degree Days 2020'!E38</f>
        <v>29</v>
      </c>
      <c r="F38" s="274">
        <f>'[8]Degree Days 2020'!F38</f>
        <v>18</v>
      </c>
      <c r="G38" s="274">
        <f>'[8]Degree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'[8]Degree Days 2020'!J38</f>
        <v>20</v>
      </c>
      <c r="K38" s="274">
        <f>'[8]Degree Days 2020'!K38</f>
        <v>16</v>
      </c>
      <c r="L38" s="274">
        <f t="shared" si="2"/>
        <v>-0.30000000000000071</v>
      </c>
      <c r="M38" s="274">
        <f>'[8]Degree Days 2020'!M38</f>
        <v>29</v>
      </c>
      <c r="N38" s="274">
        <f>'[8]Degree Days 2020'!N38</f>
        <v>21</v>
      </c>
      <c r="O38" s="274">
        <f>'[8]Degree Days 2020'!O38</f>
        <v>17</v>
      </c>
      <c r="P38" s="274">
        <f t="shared" si="3"/>
        <v>0.69999999999999929</v>
      </c>
      <c r="Q38" s="539">
        <v>29</v>
      </c>
      <c r="R38" s="274">
        <f>'[8]Degree Days 2020'!R38</f>
        <v>23</v>
      </c>
      <c r="S38" s="274">
        <f>'[8]Degree Days 2020'!S38</f>
        <v>14</v>
      </c>
      <c r="T38" s="274">
        <f t="shared" si="4"/>
        <v>0.19999999999999929</v>
      </c>
      <c r="U38" s="539">
        <v>29</v>
      </c>
      <c r="V38" s="274">
        <f>'[8]Degree Days 2020'!V38</f>
        <v>28</v>
      </c>
      <c r="W38" s="274">
        <f>'[8]Degree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'[8]Degree Days 2020'!B39</f>
        <v>16</v>
      </c>
      <c r="C39" s="274">
        <f>'[8]Degree Days 2020'!C39</f>
        <v>11</v>
      </c>
      <c r="D39" s="274">
        <f t="shared" si="0"/>
        <v>-4.8000000000000007</v>
      </c>
      <c r="E39" s="274">
        <f>'[8]Degree Days 2020'!E39</f>
        <v>0</v>
      </c>
      <c r="F39" s="274">
        <f>'[8]Degree Days 2020'!F39</f>
        <v>0</v>
      </c>
      <c r="G39" s="274">
        <f>'[8]Degree Days 2020'!G39</f>
        <v>0</v>
      </c>
      <c r="H39" s="274">
        <f t="shared" si="1"/>
        <v>-18.3</v>
      </c>
      <c r="I39" s="274">
        <f>'[7]Degree Days 2018'!I39</f>
        <v>30</v>
      </c>
      <c r="J39" s="274">
        <f>'[8]Degree Days 2020'!J39</f>
        <v>20</v>
      </c>
      <c r="K39" s="274">
        <f>'[8]Degree Days 2020'!K39</f>
        <v>17</v>
      </c>
      <c r="L39" s="274">
        <f t="shared" si="2"/>
        <v>0.19999999999999929</v>
      </c>
      <c r="M39" s="274">
        <f>'[8]Degree Days 2020'!M39</f>
        <v>30</v>
      </c>
      <c r="N39" s="274">
        <f>'[8]Degree Days 2020'!N39</f>
        <v>0</v>
      </c>
      <c r="O39" s="274">
        <f>'[8]Degree Days 2020'!O39</f>
        <v>0</v>
      </c>
      <c r="P39" s="274">
        <f t="shared" si="3"/>
        <v>-18.3</v>
      </c>
      <c r="Q39" s="539">
        <v>30</v>
      </c>
      <c r="R39" s="274">
        <f>'[8]Degree Days 2020'!R39</f>
        <v>23</v>
      </c>
      <c r="S39" s="274">
        <f>'[8]Degree Days 2020'!S39</f>
        <v>17</v>
      </c>
      <c r="T39" s="274">
        <f t="shared" si="4"/>
        <v>1.6999999999999993</v>
      </c>
      <c r="U39" s="539">
        <v>30</v>
      </c>
      <c r="V39" s="274">
        <f>'[8]Degree Days 2020'!V39</f>
        <v>30</v>
      </c>
      <c r="W39" s="274">
        <f>'[8]Degree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'[8]Degree Days 2020'!B40</f>
        <v>17</v>
      </c>
      <c r="C40" s="274">
        <f>'[8]Degree Days 2020'!C40</f>
        <v>13</v>
      </c>
      <c r="D40" s="274">
        <f t="shared" si="0"/>
        <v>-3.3000000000000007</v>
      </c>
      <c r="E40" s="274">
        <f>'[8]Degree Days 2020'!E40</f>
        <v>0</v>
      </c>
      <c r="F40" s="274">
        <f>'[8]Degree Days 2020'!F40</f>
        <v>0</v>
      </c>
      <c r="G40" s="274">
        <f>'[8]Degree Days 2020'!G40</f>
        <v>0</v>
      </c>
      <c r="H40" s="274">
        <f t="shared" si="1"/>
        <v>-18.3</v>
      </c>
      <c r="I40" s="274">
        <f>'[7]Degree Days 2018'!I40</f>
        <v>31</v>
      </c>
      <c r="J40" s="274">
        <f>'[8]Degree Days 2020'!J40</f>
        <v>30</v>
      </c>
      <c r="K40" s="274">
        <f>'[8]Degree Days 2020'!K40</f>
        <v>18</v>
      </c>
      <c r="L40" s="274">
        <f t="shared" si="2"/>
        <v>5.6999999999999993</v>
      </c>
      <c r="M40" s="274">
        <f>'[8]Degree Days 2020'!M40</f>
        <v>0</v>
      </c>
      <c r="N40" s="274">
        <f>'[8]Degree Days 2020'!N40</f>
        <v>0</v>
      </c>
      <c r="O40" s="274">
        <f>'[8]Degree Days 2020'!O40</f>
        <v>0</v>
      </c>
      <c r="P40" s="274">
        <f t="shared" si="3"/>
        <v>-18.3</v>
      </c>
      <c r="Q40" s="539">
        <v>31</v>
      </c>
      <c r="R40" s="274">
        <f>'[8]Degree Days 2020'!R40</f>
        <v>24</v>
      </c>
      <c r="S40" s="274">
        <f>'[8]Degree Days 2020'!S40</f>
        <v>19</v>
      </c>
      <c r="T40" s="274">
        <f t="shared" si="4"/>
        <v>3.1999999999999993</v>
      </c>
      <c r="U40" s="274"/>
      <c r="V40" s="274">
        <f>'[8]Degree Days 2020'!V40</f>
        <v>0</v>
      </c>
      <c r="W40" s="274">
        <f>'[8]Degree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30</v>
      </c>
      <c r="O58" s="274">
        <f>'General information '!C16</f>
        <v>26</v>
      </c>
      <c r="P58" s="119">
        <f t="shared" si="12"/>
        <v>9.6999999999999993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28</v>
      </c>
      <c r="O59" s="274">
        <f>'General information '!C17</f>
        <v>24</v>
      </c>
      <c r="P59" s="119">
        <f t="shared" si="12"/>
        <v>7.6999999999999993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27</v>
      </c>
      <c r="O60" s="274">
        <f>'General information '!C18</f>
        <v>25</v>
      </c>
      <c r="P60" s="119">
        <f t="shared" si="12"/>
        <v>7.6999999999999993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27</v>
      </c>
      <c r="O61" s="274">
        <f>'General information '!C19</f>
        <v>24</v>
      </c>
      <c r="P61" s="119">
        <f t="shared" si="12"/>
        <v>7.1999999999999993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28</v>
      </c>
      <c r="O62" s="274">
        <f>'General information '!C20</f>
        <v>22</v>
      </c>
      <c r="P62" s="119">
        <f t="shared" si="12"/>
        <v>6.6999999999999993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28</v>
      </c>
      <c r="O63" s="274">
        <f>'General information '!C21</f>
        <v>23</v>
      </c>
      <c r="P63" s="119">
        <f t="shared" si="12"/>
        <v>7.1999999999999993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27</v>
      </c>
      <c r="O64" s="274">
        <f>'General information '!C22</f>
        <v>22</v>
      </c>
      <c r="P64" s="119">
        <f t="shared" si="12"/>
        <v>6.1999999999999993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30</v>
      </c>
      <c r="O65" s="274">
        <f>'General information '!C23</f>
        <v>22</v>
      </c>
      <c r="P65" s="119">
        <f t="shared" si="12"/>
        <v>7.6999999999999993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33</v>
      </c>
      <c r="O66" s="274">
        <f>'General information '!C24</f>
        <v>22</v>
      </c>
      <c r="P66" s="119">
        <f t="shared" si="12"/>
        <v>9.1999999999999993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31</v>
      </c>
      <c r="O67" s="274">
        <f>'General information '!C25</f>
        <v>23</v>
      </c>
      <c r="P67" s="119">
        <f t="shared" si="12"/>
        <v>8.6999999999999993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0</v>
      </c>
      <c r="O68" s="274">
        <f>'General information '!C26</f>
        <v>0</v>
      </c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0</v>
      </c>
      <c r="O69" s="274">
        <f>'General information '!C27</f>
        <v>0</v>
      </c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-201.30000000000004</v>
      </c>
      <c r="O81" s="119">
        <f>SUMIF(P48:P78,"&gt;0")</f>
        <v>164.99999999999997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-1737.1000000000004</v>
      </c>
      <c r="O86" s="142">
        <f>C43+G43+K43+O43+S43+W43+C81+G81+K81+O81+S81+W81</f>
        <v>1407.3999999999994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20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96</v>
      </c>
      <c r="C6" s="332">
        <v>1.66</v>
      </c>
      <c r="D6" s="185">
        <f>SUM(C6*B6)*D4</f>
        <v>240235.19999999998</v>
      </c>
      <c r="E6" s="442">
        <f>SUM(D6/D4)/F4</f>
        <v>7.9679999999999991</v>
      </c>
      <c r="F6" s="186">
        <f>SUM(E6*F4)</f>
        <v>159.35999999999999</v>
      </c>
      <c r="G6" s="187">
        <f>SUM(B6*C6)</f>
        <v>159.35999999999999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1137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4838.7096774193551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</v>
      </c>
      <c r="C8" s="501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8">
        <f>E8*$F$4</f>
        <v>0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16685647.612903226</v>
      </c>
      <c r="E10" s="183">
        <f>SUM(D10/D4/F4)</f>
        <v>553.42114802332424</v>
      </c>
      <c r="F10" s="183">
        <f>SUM(E10*F4)</f>
        <v>11068.422960466485</v>
      </c>
      <c r="G10" s="518">
        <f>E10*$G$4</f>
        <v>17156.055588723051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803.324631894292</v>
      </c>
      <c r="F12" s="181">
        <f>SUM(F6:F10)</f>
        <v>16066.49263788584</v>
      </c>
      <c r="G12" s="180">
        <f>SUM(G6:G10)</f>
        <v>24815.415588723052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164.99999999999997</v>
      </c>
      <c r="C14" s="439">
        <f>'[11]Utility Cost '!C14</f>
        <v>151</v>
      </c>
      <c r="D14" s="170"/>
      <c r="E14" s="170">
        <f t="shared" ref="E14:E18" si="0">B14-C14</f>
        <v>13.999999999999972</v>
      </c>
      <c r="F14" s="517">
        <v>0</v>
      </c>
      <c r="G14" s="427"/>
      <c r="H14" s="428">
        <f>SUM(G12-H12)</f>
        <v>-32684.584411276948</v>
      </c>
      <c r="I14" s="428">
        <f>SUM(G12-I12)</f>
        <v>-77284.584411276941</v>
      </c>
    </row>
    <row r="15" spans="1:11">
      <c r="A15" s="456" t="s">
        <v>303</v>
      </c>
      <c r="B15" s="97">
        <f>'Degree Days 2020'!AA19</f>
        <v>-201.30000000000004</v>
      </c>
      <c r="C15" s="439">
        <f>'[11]Utility Cost '!C15</f>
        <v>-18.3</v>
      </c>
      <c r="D15" s="170"/>
      <c r="E15" s="170">
        <f t="shared" si="0"/>
        <v>-183.00000000000003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26.55</v>
      </c>
      <c r="C16" s="439">
        <f>'[11]Utility Cost '!C16</f>
        <v>25.306451612903224</v>
      </c>
      <c r="D16" s="439"/>
      <c r="E16" s="440">
        <f t="shared" si="0"/>
        <v>1.2435483870967765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62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-185.5</v>
      </c>
      <c r="F18" s="536">
        <f>B18-D18</f>
        <v>-229.50666666666666</v>
      </c>
    </row>
    <row r="19" spans="1:10">
      <c r="A19" s="530" t="s">
        <v>413</v>
      </c>
      <c r="B19" s="528">
        <f>SUM(B18/$F$4)</f>
        <v>3.1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2020-10-21T03:27:35Z</dcterms:modified>
</cp:coreProperties>
</file>