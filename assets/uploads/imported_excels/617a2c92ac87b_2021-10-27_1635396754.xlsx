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39" i="5" l="1"/>
  <c r="L16" i="3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E30" i="3" l="1"/>
  <c r="L18" i="3" l="1"/>
  <c r="K18" i="3"/>
  <c r="I18" i="3"/>
  <c r="G18" i="3"/>
  <c r="E18" i="3"/>
  <c r="L17" i="3"/>
  <c r="K17" i="3"/>
  <c r="I17" i="3"/>
  <c r="G17" i="3"/>
  <c r="E17" i="3"/>
  <c r="L3" i="3" l="1"/>
  <c r="K3" i="3"/>
  <c r="I3" i="3"/>
  <c r="G3" i="3"/>
  <c r="E3" i="3"/>
  <c r="J3" i="2"/>
  <c r="I3" i="2"/>
  <c r="H3" i="2"/>
  <c r="F3" i="2"/>
  <c r="E3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<sst xmlns="http://schemas.openxmlformats.org/spreadsheetml/2006/main" count="107" uniqueCount="38">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</sst>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7" workbookViewId="0">
      <selection activeCell="Q22" sqref="Q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9838</v>
      </c>
      <c r="F14" s="16">
        <v>0.11799999999999999</v>
      </c>
      <c r="G14" s="18">
        <f>'10 - 2021'!D20-'10 - 2021'!D19+'10 - 2021'!E20-'10 - 2021'!E19</f>
        <v>23.829999999999927</v>
      </c>
      <c r="H14" s="16">
        <v>0.99</v>
      </c>
      <c r="I14" s="18">
        <f>'10 - 2021'!J20-'10 - 2021'!J19</f>
        <v>26262</v>
      </c>
      <c r="J14" s="16">
        <v>8.1000000000000003E-2</v>
      </c>
      <c r="K14" s="33">
        <f>'10 - 2021'!H20-'10 - 2021'!H19</f>
        <v>0</v>
      </c>
      <c r="L14" s="18">
        <f>'10 - 2021'!I20-'10 - 2021'!I19</f>
        <v>119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9979</v>
      </c>
      <c r="F15" s="16">
        <v>0.11799999999999999</v>
      </c>
      <c r="G15" s="18">
        <f>'10 - 2021'!D21-'10 - 2021'!D20+'10 - 2021'!E21-'10 - 2021'!E20</f>
        <v>25.880000000000109</v>
      </c>
      <c r="H15" s="16">
        <v>0.99</v>
      </c>
      <c r="I15" s="18">
        <f>'10 - 2021'!J21-'10 - 2021'!J20</f>
        <v>26646</v>
      </c>
      <c r="J15" s="16">
        <v>8.1000000000000003E-2</v>
      </c>
      <c r="K15" s="33">
        <f>'10 - 2021'!H21-'10 - 2021'!H20</f>
        <v>0</v>
      </c>
      <c r="L15" s="18">
        <f>'10 - 2021'!I21-'10 - 2021'!I20</f>
        <v>114</v>
      </c>
      <c r="M15" s="17">
        <v>4.393629424766913</v>
      </c>
      <c r="N15" s="18">
        <v>97</v>
      </c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9947</v>
      </c>
      <c r="F16" s="16">
        <v>0.11799999999999999</v>
      </c>
      <c r="G16" s="18">
        <f>'10 - 2021'!D22-'10 - 2021'!D21+'10 - 2021'!E22-'10 - 2021'!E21</f>
        <v>23.909999999999854</v>
      </c>
      <c r="H16" s="16">
        <v>0.99</v>
      </c>
      <c r="I16" s="18">
        <f>'10 - 2021'!J22-'10 - 2021'!J21</f>
        <v>32625</v>
      </c>
      <c r="J16" s="16">
        <v>8.1000000000000003E-2</v>
      </c>
      <c r="K16" s="33">
        <f>'10 - 2021'!H22-'10 - 2021'!H21</f>
        <v>0</v>
      </c>
      <c r="L16" s="18">
        <f>'10 - 2021'!I22-'10 - 2021'!I21</f>
        <v>119</v>
      </c>
      <c r="M16" s="17">
        <v>4.393629424766913</v>
      </c>
      <c r="N16" s="18">
        <v>97</v>
      </c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10040</v>
      </c>
      <c r="F17" s="16">
        <v>0.11799999999999999</v>
      </c>
      <c r="G17" s="18">
        <f>'10 - 2021'!D23-'10 - 2021'!D22+'10 - 2021'!E23-'10 - 2021'!E22</f>
        <v>28.840000000000146</v>
      </c>
      <c r="H17" s="16">
        <v>0.99</v>
      </c>
      <c r="I17" s="18">
        <f>'10 - 2021'!J23-'10 - 2021'!J22</f>
        <v>33048</v>
      </c>
      <c r="J17" s="16">
        <v>8.1000000000000003E-2</v>
      </c>
      <c r="K17" s="33">
        <f>'10 - 2021'!H23-'10 - 2021'!H22</f>
        <v>0</v>
      </c>
      <c r="L17" s="18">
        <f>'10 - 2021'!I23-'10 - 2021'!I22</f>
        <v>126</v>
      </c>
      <c r="M17" s="17">
        <v>4.393629424766913</v>
      </c>
      <c r="N17" s="18">
        <v>94</v>
      </c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9979</v>
      </c>
      <c r="F18" s="16">
        <v>0.11799999999999999</v>
      </c>
      <c r="G18" s="18">
        <f>'10 - 2021'!D24-'10 - 2021'!D23+'10 - 2021'!E24-'10 - 2021'!E23</f>
        <v>23.900000000000546</v>
      </c>
      <c r="H18" s="16">
        <v>0.99</v>
      </c>
      <c r="I18" s="18">
        <f>'10 - 2021'!J24-'10 - 2021'!J23</f>
        <v>33065</v>
      </c>
      <c r="J18" s="16">
        <v>8.1000000000000003E-2</v>
      </c>
      <c r="K18" s="33">
        <f>'10 - 2021'!H24-'10 - 2021'!H23</f>
        <v>0</v>
      </c>
      <c r="L18" s="18">
        <f>'10 - 2021'!I24-'10 - 2021'!I23</f>
        <v>149</v>
      </c>
      <c r="M18" s="17">
        <v>4.393629424766913</v>
      </c>
      <c r="N18" s="18">
        <v>98</v>
      </c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9614</v>
      </c>
      <c r="F19" s="16">
        <v>0.11799999999999999</v>
      </c>
      <c r="G19" s="18">
        <f>'10 - 2021'!D25-'10 - 2021'!D24+'10 - 2021'!E25-'10 - 2021'!E24</f>
        <v>22.819999999999709</v>
      </c>
      <c r="H19" s="16">
        <v>0.99</v>
      </c>
      <c r="I19" s="18">
        <f>'10 - 2021'!J25-'10 - 2021'!J24</f>
        <v>28040</v>
      </c>
      <c r="J19" s="16">
        <v>8.1000000000000003E-2</v>
      </c>
      <c r="K19" s="33">
        <f>'10 - 2021'!H25-'10 - 2021'!H24</f>
        <v>0</v>
      </c>
      <c r="L19" s="18">
        <f>'10 - 2021'!I25-'10 - 2021'!I24</f>
        <v>127</v>
      </c>
      <c r="M19" s="17">
        <v>4.393629424766913</v>
      </c>
      <c r="N19" s="18">
        <v>96</v>
      </c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9622</v>
      </c>
      <c r="F20" s="16">
        <v>0.11799999999999999</v>
      </c>
      <c r="G20" s="18">
        <f>'10 - 2021'!D26-'10 - 2021'!D25+'10 - 2021'!E26-'10 - 2021'!E25</f>
        <v>24.6200000000008</v>
      </c>
      <c r="H20" s="16">
        <v>0.99</v>
      </c>
      <c r="I20" s="18">
        <f>'10 - 2021'!J26-'10 - 2021'!J25</f>
        <v>27792</v>
      </c>
      <c r="J20" s="16">
        <v>8.1000000000000003E-2</v>
      </c>
      <c r="K20" s="33">
        <f>'10 - 2021'!H26-'10 - 2021'!H25</f>
        <v>0</v>
      </c>
      <c r="L20" s="18">
        <f>'10 - 2021'!I26-'10 - 2021'!I25</f>
        <v>109</v>
      </c>
      <c r="M20" s="17">
        <v>4.393629424766913</v>
      </c>
      <c r="N20" s="18">
        <v>104</v>
      </c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9663</v>
      </c>
      <c r="F21" s="16">
        <v>0.11799999999999999</v>
      </c>
      <c r="G21" s="18">
        <f>'10 - 2021'!D27-'10 - 2021'!D26+'10 - 2021'!E27-'10 - 2021'!E26</f>
        <v>24.489999999999782</v>
      </c>
      <c r="H21" s="16">
        <v>0.99</v>
      </c>
      <c r="I21" s="18">
        <f>'10 - 2021'!J27-'10 - 2021'!J26</f>
        <v>31704</v>
      </c>
      <c r="J21" s="16">
        <v>8.1000000000000003E-2</v>
      </c>
      <c r="K21" s="33">
        <f>'10 - 2021'!H27-'10 - 2021'!H26</f>
        <v>0</v>
      </c>
      <c r="L21" s="18">
        <f>'10 - 2021'!I27-'10 - 2021'!I26</f>
        <v>120</v>
      </c>
      <c r="M21" s="17">
        <v>4.393629424766913</v>
      </c>
      <c r="N21" s="18">
        <v>98</v>
      </c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10206</v>
      </c>
      <c r="F22" s="16">
        <v>0.11799999999999999</v>
      </c>
      <c r="G22" s="18">
        <f>'10 - 2021'!D28-'10 - 2021'!D27+'10 - 2021'!E28-'10 - 2021'!E27</f>
        <v>26.559999999999491</v>
      </c>
      <c r="H22" s="16">
        <v>0.99</v>
      </c>
      <c r="I22" s="18">
        <f>'10 - 2021'!J28-'10 - 2021'!J27</f>
        <v>32434</v>
      </c>
      <c r="J22" s="16">
        <v>8.1000000000000003E-2</v>
      </c>
      <c r="K22" s="33">
        <f>'10 - 2021'!H28-'10 - 2021'!H27</f>
        <v>0</v>
      </c>
      <c r="L22" s="18">
        <f>'10 - 2021'!I28-'10 - 2021'!I27</f>
        <v>125</v>
      </c>
      <c r="M22" s="17">
        <v>4.393629424766913</v>
      </c>
      <c r="N22" s="18">
        <v>106</v>
      </c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9613</v>
      </c>
      <c r="F23" s="16">
        <v>0.11799999999999999</v>
      </c>
      <c r="G23" s="18">
        <f>'10 - 2021'!D29-'10 - 2021'!D28+'10 - 2021'!E29-'10 - 2021'!E28</f>
        <v>23.519999999999527</v>
      </c>
      <c r="H23" s="16">
        <v>0.99</v>
      </c>
      <c r="I23" s="18">
        <f>'10 - 2021'!J29-'10 - 2021'!J28</f>
        <v>31313</v>
      </c>
      <c r="J23" s="16">
        <v>8.1000000000000003E-2</v>
      </c>
      <c r="K23" s="33">
        <f>'10 - 2021'!H29-'10 - 2021'!H28</f>
        <v>0</v>
      </c>
      <c r="L23" s="18">
        <f>'10 - 2021'!I29-'10 - 2021'!I28</f>
        <v>110</v>
      </c>
      <c r="M23" s="17">
        <v>4.393629424766913</v>
      </c>
      <c r="N23" s="18">
        <v>100</v>
      </c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10104</v>
      </c>
      <c r="F24" s="16">
        <v>0.11799999999999999</v>
      </c>
      <c r="G24" s="18">
        <f>'10 - 2021'!D30-'10 - 2021'!D29+'10 - 2021'!E30-'10 - 2021'!E29</f>
        <v>28.350000000000364</v>
      </c>
      <c r="H24" s="16">
        <v>0.99</v>
      </c>
      <c r="I24" s="18">
        <f>'10 - 2021'!J30-'10 - 2021'!J29</f>
        <v>30845</v>
      </c>
      <c r="J24" s="16">
        <v>8.1000000000000003E-2</v>
      </c>
      <c r="K24" s="33">
        <f>'10 - 2021'!H30-'10 - 2021'!H29</f>
        <v>0</v>
      </c>
      <c r="L24" s="18">
        <f>'10 - 2021'!I30-'10 - 2021'!I29</f>
        <v>133</v>
      </c>
      <c r="M24" s="17">
        <v>4.393629424766913</v>
      </c>
      <c r="N24" s="18">
        <v>102</v>
      </c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9729</v>
      </c>
      <c r="F25" s="16">
        <v>0.11799999999999999</v>
      </c>
      <c r="G25" s="18">
        <f>'10 - 2021'!D31-'10 - 2021'!D30+'10 - 2021'!E31-'10 - 2021'!E30</f>
        <v>25.550000000000182</v>
      </c>
      <c r="H25" s="16">
        <v>0.99</v>
      </c>
      <c r="I25" s="18">
        <f>'10 - 2021'!J31-'10 - 2021'!J30</f>
        <v>30270</v>
      </c>
      <c r="J25" s="16">
        <v>8.1000000000000003E-2</v>
      </c>
      <c r="K25" s="33">
        <f>'10 - 2021'!H31-'10 - 2021'!H30</f>
        <v>0</v>
      </c>
      <c r="L25" s="18">
        <f>'10 - 2021'!I31-'10 - 2021'!I30</f>
        <v>111</v>
      </c>
      <c r="M25" s="17">
        <v>4.393629424766913</v>
      </c>
      <c r="N25" s="18">
        <v>80</v>
      </c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9709</v>
      </c>
      <c r="F26" s="16">
        <v>0.11799999999999999</v>
      </c>
      <c r="G26" s="18">
        <f>'10 - 2021'!D32-'10 - 2021'!D31+'10 - 2021'!E32-'10 - 2021'!E31</f>
        <v>23.140000000000327</v>
      </c>
      <c r="H26" s="16">
        <v>0.99</v>
      </c>
      <c r="I26" s="18">
        <f>'10 - 2021'!J32-'10 - 2021'!J31</f>
        <v>29739</v>
      </c>
      <c r="J26" s="16">
        <v>8.1000000000000003E-2</v>
      </c>
      <c r="K26" s="33">
        <f>'10 - 2021'!H32-'10 - 2021'!H31</f>
        <v>0</v>
      </c>
      <c r="L26" s="18">
        <f>'10 - 2021'!I32-'10 - 2021'!I31</f>
        <v>111</v>
      </c>
      <c r="M26" s="17">
        <v>4.393629424766913</v>
      </c>
      <c r="N26" s="29">
        <v>87</v>
      </c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9880</v>
      </c>
      <c r="F27" s="16">
        <v>0.11799999999999999</v>
      </c>
      <c r="G27" s="18">
        <f>'10 - 2021'!D33-'10 - 2021'!D32+'10 - 2021'!E33-'10 - 2021'!E32</f>
        <v>24.859999999999673</v>
      </c>
      <c r="H27" s="16">
        <v>0.99</v>
      </c>
      <c r="I27" s="18">
        <f>'10 - 2021'!J33-'10 - 2021'!J32</f>
        <v>30653</v>
      </c>
      <c r="J27" s="16">
        <v>8.1000000000000003E-2</v>
      </c>
      <c r="K27" s="33">
        <f>'10 - 2021'!H33-'10 - 2021'!H32</f>
        <v>0</v>
      </c>
      <c r="L27" s="18">
        <f>'10 - 2021'!I33-'10 - 2021'!I32</f>
        <v>120</v>
      </c>
      <c r="M27" s="17">
        <v>4.393629424766913</v>
      </c>
      <c r="N27" s="29">
        <v>94</v>
      </c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9696</v>
      </c>
      <c r="F28" s="16">
        <v>0.11799999999999999</v>
      </c>
      <c r="G28" s="18">
        <f>'10 - 2021'!D34-'10 - 2021'!D33+'10 - 2021'!E34-'10 - 2021'!E33</f>
        <v>23.110000000000582</v>
      </c>
      <c r="H28" s="16">
        <v>0.99</v>
      </c>
      <c r="I28" s="18">
        <f>'10 - 2021'!J34-'10 - 2021'!J33</f>
        <v>27285</v>
      </c>
      <c r="J28" s="16">
        <v>8.1000000000000003E-2</v>
      </c>
      <c r="K28" s="33">
        <f>'10 - 2021'!H34-'10 - 2021'!H33</f>
        <v>0</v>
      </c>
      <c r="L28" s="18">
        <f>'10 - 2021'!I34-'10 - 2021'!I33</f>
        <v>110</v>
      </c>
      <c r="M28" s="17">
        <v>4.393629424766913</v>
      </c>
      <c r="N28" s="29">
        <v>88</v>
      </c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v>0</v>
      </c>
      <c r="F29" s="16">
        <v>0.11799999999999999</v>
      </c>
      <c r="G29" s="18">
        <f>'10 - 2021'!D35-'10 - 2021'!D34+'10 - 2021'!E35-'10 - 2021'!E34</f>
        <v>24.529999999999745</v>
      </c>
      <c r="H29" s="16">
        <v>0.99</v>
      </c>
      <c r="I29" s="18">
        <f>'10 - 2021'!J35-'10 - 2021'!J34</f>
        <v>26107</v>
      </c>
      <c r="J29" s="16">
        <v>8.1000000000000003E-2</v>
      </c>
      <c r="K29" s="33">
        <f>'10 - 2021'!H35-'10 - 2021'!H34</f>
        <v>0</v>
      </c>
      <c r="L29" s="18">
        <f>'10 - 2021'!I35-'10 - 2021'!I34</f>
        <v>108</v>
      </c>
      <c r="M29" s="17">
        <v>4.393629424766913</v>
      </c>
      <c r="N29" s="29">
        <v>98</v>
      </c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-1956510</v>
      </c>
      <c r="F30" s="16">
        <v>0.11799999999999999</v>
      </c>
      <c r="G30" s="18">
        <v>0</v>
      </c>
      <c r="H30" s="16">
        <v>0.99</v>
      </c>
      <c r="I30" s="18">
        <v>0</v>
      </c>
      <c r="J30" s="16">
        <v>8.1000000000000003E-2</v>
      </c>
      <c r="K30" s="33">
        <v>0</v>
      </c>
      <c r="L30" s="18"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E29" sqref="E29:K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4028</v>
      </c>
      <c r="F14" s="18">
        <f>'10 - 2021'!C20-'10 - 2021'!C19</f>
        <v>5810</v>
      </c>
      <c r="G14" s="16">
        <v>0.11799999999999999</v>
      </c>
      <c r="H14" s="18">
        <f>'10 - 2021'!E20-'10 - 2021'!E19</f>
        <v>23.909999999999854</v>
      </c>
      <c r="I14" s="18">
        <f>'10 - 2021'!F20-'10 - 2021'!F19</f>
        <v>8.25</v>
      </c>
      <c r="J14" s="18">
        <f>'10 - 2021'!G20-'10 - 2021'!G19</f>
        <v>31.659999999996217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4182</v>
      </c>
      <c r="F15" s="18">
        <f>'10 - 2021'!C21-'10 - 2021'!C20</f>
        <v>5797</v>
      </c>
      <c r="G15" s="16">
        <v>0.11799999999999999</v>
      </c>
      <c r="H15" s="18">
        <f>'10 - 2021'!E21-'10 - 2021'!E20</f>
        <v>25.960000000000036</v>
      </c>
      <c r="I15" s="18">
        <f>'10 - 2021'!F21-'10 - 2021'!F20</f>
        <v>7.5400000000000773</v>
      </c>
      <c r="J15" s="18">
        <f>'10 - 2021'!G21-'10 - 2021'!G20</f>
        <v>33.169999999998254</v>
      </c>
      <c r="K15" s="16">
        <v>0.74</v>
      </c>
      <c r="L15" s="18">
        <v>97</v>
      </c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4110</v>
      </c>
      <c r="F16" s="18">
        <f>'10 - 2021'!C22-'10 - 2021'!C21</f>
        <v>5837</v>
      </c>
      <c r="G16" s="16">
        <v>0.11799999999999999</v>
      </c>
      <c r="H16" s="18">
        <f>'10 - 2021'!E22-'10 - 2021'!E21</f>
        <v>23.979999999999563</v>
      </c>
      <c r="I16" s="18">
        <f>'10 - 2021'!F22-'10 - 2021'!F21</f>
        <v>7.0699999999999363</v>
      </c>
      <c r="J16" s="18">
        <f>'10 - 2021'!G22-'10 - 2021'!G21</f>
        <v>34.25</v>
      </c>
      <c r="K16" s="16">
        <v>0.74</v>
      </c>
      <c r="L16" s="18">
        <v>97</v>
      </c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4163</v>
      </c>
      <c r="F17" s="18">
        <f>'10 - 2021'!C23-'10 - 2021'!C22</f>
        <v>5877</v>
      </c>
      <c r="G17" s="16">
        <v>0.11799999999999999</v>
      </c>
      <c r="H17" s="18">
        <f>'10 - 2021'!E23-'10 - 2021'!E22</f>
        <v>28.460000000000036</v>
      </c>
      <c r="I17" s="18">
        <f>'10 - 2021'!F23-'10 - 2021'!F22</f>
        <v>8.0199999999999818</v>
      </c>
      <c r="J17" s="18">
        <f>'10 - 2021'!G23-'10 - 2021'!G22</f>
        <v>36.5</v>
      </c>
      <c r="K17" s="16">
        <v>0.74</v>
      </c>
      <c r="L17" s="18">
        <v>94</v>
      </c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4184</v>
      </c>
      <c r="F18" s="18">
        <f>'10 - 2021'!C24-'10 - 2021'!C23</f>
        <v>5795</v>
      </c>
      <c r="G18" s="16">
        <v>0.11799999999999999</v>
      </c>
      <c r="H18" s="18">
        <f>'10 - 2021'!E24-'10 - 2021'!E23</f>
        <v>23.980000000000473</v>
      </c>
      <c r="I18" s="18">
        <f>'10 - 2021'!F24-'10 - 2021'!F23</f>
        <v>8.1000000000000227</v>
      </c>
      <c r="J18" s="18">
        <f>'10 - 2021'!G24-'10 - 2021'!G23</f>
        <v>36.620000000002619</v>
      </c>
      <c r="K18" s="16">
        <v>0.74</v>
      </c>
      <c r="L18" s="18">
        <v>98</v>
      </c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4039</v>
      </c>
      <c r="F19" s="18">
        <f>'10 - 2021'!C25-'10 - 2021'!C24</f>
        <v>5575</v>
      </c>
      <c r="G19" s="16">
        <v>0.11799999999999999</v>
      </c>
      <c r="H19" s="18">
        <f>'10 - 2021'!E25-'10 - 2021'!E24</f>
        <v>22.899999999999636</v>
      </c>
      <c r="I19" s="18">
        <f>'10 - 2021'!F25-'10 - 2021'!F24</f>
        <v>7.3000000000000682</v>
      </c>
      <c r="J19" s="18">
        <f>'10 - 2021'!G25-'10 - 2021'!G24</f>
        <v>34.660000000003492</v>
      </c>
      <c r="K19" s="16">
        <v>0.74</v>
      </c>
      <c r="L19" s="18">
        <v>96</v>
      </c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4049</v>
      </c>
      <c r="F20" s="18">
        <f>'10 - 2021'!C26-'10 - 2021'!C25</f>
        <v>5573</v>
      </c>
      <c r="G20" s="16">
        <v>0.11799999999999999</v>
      </c>
      <c r="H20" s="18">
        <f>'10 - 2021'!E26-'10 - 2021'!E25</f>
        <v>24.690000000000509</v>
      </c>
      <c r="I20" s="18">
        <f>'10 - 2021'!F26-'10 - 2021'!F25</f>
        <v>7.5099999999999909</v>
      </c>
      <c r="J20" s="18">
        <f>'10 - 2021'!G26-'10 - 2021'!G25</f>
        <v>32.909999999996217</v>
      </c>
      <c r="K20" s="16">
        <v>0.74</v>
      </c>
      <c r="L20" s="6">
        <v>104</v>
      </c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3990</v>
      </c>
      <c r="F21" s="18">
        <f>'10 - 2021'!C27-'10 - 2021'!C26</f>
        <v>5673</v>
      </c>
      <c r="G21" s="16">
        <v>0.11799999999999999</v>
      </c>
      <c r="H21" s="18">
        <f>'10 - 2021'!E27-'10 - 2021'!E26</f>
        <v>24.539999999999964</v>
      </c>
      <c r="I21" s="18">
        <f>'10 - 2021'!F27-'10 - 2021'!F26</f>
        <v>7.1200000000000045</v>
      </c>
      <c r="J21" s="18">
        <f>'10 - 2021'!G27-'10 - 2021'!G26</f>
        <v>35.270000000004075</v>
      </c>
      <c r="K21" s="16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4180</v>
      </c>
      <c r="F22" s="18">
        <f>'10 - 2021'!C28-'10 - 2021'!C27</f>
        <v>6026</v>
      </c>
      <c r="G22" s="16">
        <v>0.11799999999999999</v>
      </c>
      <c r="H22" s="18">
        <f>'10 - 2021'!E28-'10 - 2021'!E27</f>
        <v>26.619999999999891</v>
      </c>
      <c r="I22" s="18">
        <f>'10 - 2021'!F28-'10 - 2021'!F27</f>
        <v>8.2199999999999136</v>
      </c>
      <c r="J22" s="18">
        <f>'10 - 2021'!G28-'10 - 2021'!G27</f>
        <v>34.479999999995925</v>
      </c>
      <c r="K22" s="16">
        <v>0.74</v>
      </c>
      <c r="L22" s="18">
        <v>106</v>
      </c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3930</v>
      </c>
      <c r="F23" s="18">
        <f>'10 - 2021'!C29-'10 - 2021'!C28</f>
        <v>5683</v>
      </c>
      <c r="G23" s="16">
        <v>0.11799999999999999</v>
      </c>
      <c r="H23" s="18">
        <f>'10 - 2021'!E29-'10 - 2021'!E28</f>
        <v>23.609999999999673</v>
      </c>
      <c r="I23" s="18">
        <f>'10 - 2021'!F29-'10 - 2021'!F28</f>
        <v>7.3700000000000045</v>
      </c>
      <c r="J23" s="18">
        <f>'10 - 2021'!G29-'10 - 2021'!G28</f>
        <v>31.660000000003492</v>
      </c>
      <c r="K23" s="16">
        <v>0.74</v>
      </c>
      <c r="L23" s="18">
        <v>100</v>
      </c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4157</v>
      </c>
      <c r="F24" s="18">
        <f>'10 - 2021'!C30-'10 - 2021'!C29</f>
        <v>5947</v>
      </c>
      <c r="G24" s="16">
        <v>0.11799999999999999</v>
      </c>
      <c r="H24" s="18">
        <f>'10 - 2021'!E30-'10 - 2021'!E29</f>
        <v>28.420000000000073</v>
      </c>
      <c r="I24" s="18">
        <f>'10 - 2021'!F30-'10 - 2021'!F29</f>
        <v>7.6299999999999955</v>
      </c>
      <c r="J24" s="18">
        <f>'10 - 2021'!G30-'10 - 2021'!G29</f>
        <v>35.19999999999709</v>
      </c>
      <c r="K24" s="16">
        <v>0.74</v>
      </c>
      <c r="L24" s="18">
        <v>102</v>
      </c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</f>
        <v>3972</v>
      </c>
      <c r="F25" s="18">
        <f>'10 - 2021'!C31-'10 - 2021'!C30</f>
        <v>5757</v>
      </c>
      <c r="G25" s="16">
        <v>0.11799999999999999</v>
      </c>
      <c r="H25" s="18">
        <f>'10 - 2021'!E31-'10 - 2021'!E30</f>
        <v>25.050000000000182</v>
      </c>
      <c r="I25" s="18">
        <f>'10 - 2021'!F31-'10 - 2021'!F30</f>
        <v>7.2000000000000455</v>
      </c>
      <c r="J25" s="18">
        <f>'10 - 2021'!G31-'10 - 2021'!G30</f>
        <v>37</v>
      </c>
      <c r="K25" s="16">
        <v>0.74</v>
      </c>
      <c r="L25" s="6">
        <v>80</v>
      </c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</f>
        <v>3976</v>
      </c>
      <c r="F26" s="18">
        <f>'10 - 2021'!C32-'10 - 2021'!C31</f>
        <v>5733</v>
      </c>
      <c r="G26" s="16">
        <v>0.11799999999999999</v>
      </c>
      <c r="H26" s="18">
        <f>'10 - 2021'!E32-'10 - 2021'!E31</f>
        <v>23.220000000000255</v>
      </c>
      <c r="I26" s="18">
        <f>'10 - 2021'!F32-'10 - 2021'!F31</f>
        <v>7.5099999999999909</v>
      </c>
      <c r="J26" s="18">
        <f>'10 - 2021'!G32-'10 - 2021'!G31</f>
        <v>33.19999999999709</v>
      </c>
      <c r="K26" s="16">
        <v>0.74</v>
      </c>
      <c r="L26" s="6">
        <v>87</v>
      </c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</f>
        <v>4046</v>
      </c>
      <c r="F27" s="18">
        <f>'10 - 2021'!C33-'10 - 2021'!C32</f>
        <v>5834</v>
      </c>
      <c r="G27" s="16">
        <v>0.11799999999999999</v>
      </c>
      <c r="H27" s="18">
        <f>'10 - 2021'!E33-'10 - 2021'!E32</f>
        <v>24.9399999999996</v>
      </c>
      <c r="I27" s="18">
        <f>'10 - 2021'!F33-'10 - 2021'!F32</f>
        <v>7.6000000000000227</v>
      </c>
      <c r="J27" s="18">
        <f>'10 - 2021'!G33-'10 - 2021'!G32</f>
        <v>30.25</v>
      </c>
      <c r="K27" s="16">
        <v>0.74</v>
      </c>
      <c r="L27" s="18">
        <v>94</v>
      </c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</f>
        <v>4044</v>
      </c>
      <c r="F28" s="18">
        <f>'10 - 2021'!C34-'10 - 2021'!C33</f>
        <v>5652</v>
      </c>
      <c r="G28" s="16">
        <v>0.11799999999999999</v>
      </c>
      <c r="H28" s="18">
        <f>'10 - 2021'!E34-'10 - 2021'!E33</f>
        <v>23.180000000000291</v>
      </c>
      <c r="I28" s="18">
        <f>'10 - 2021'!F34-'10 - 2021'!F33</f>
        <v>7.3600000000000136</v>
      </c>
      <c r="J28" s="18">
        <f>'10 - 2021'!G34-'10 - 2021'!G33</f>
        <v>33.060000000004948</v>
      </c>
      <c r="K28" s="16">
        <v>0.74</v>
      </c>
      <c r="L28" s="6">
        <v>88</v>
      </c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</f>
        <v>4052</v>
      </c>
      <c r="F29" s="18">
        <f>'10 - 2021'!C35-'10 - 2021'!C34</f>
        <v>5805</v>
      </c>
      <c r="G29" s="16">
        <v>0.11799999999999999</v>
      </c>
      <c r="H29" s="18">
        <f>'10 - 2021'!E35-'10 - 2021'!E34</f>
        <v>24.599999999999454</v>
      </c>
      <c r="I29" s="18">
        <f>'10 - 2021'!F35-'10 - 2021'!F34</f>
        <v>7.7300000000000182</v>
      </c>
      <c r="J29" s="18">
        <f>'10 - 2021'!G35-'10 - 2021'!G34</f>
        <v>32.629999999997381</v>
      </c>
      <c r="K29" s="16">
        <v>0.74</v>
      </c>
      <c r="L29" s="6">
        <v>98</v>
      </c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2">
        <v>0</v>
      </c>
      <c r="F30" s="18">
        <v>0</v>
      </c>
      <c r="G30" s="16">
        <v>0.11799999999999999</v>
      </c>
      <c r="H30" s="18">
        <v>0</v>
      </c>
      <c r="I30" s="18">
        <v>0</v>
      </c>
      <c r="J30" s="18"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2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opLeftCell="A4" zoomScaleNormal="100" workbookViewId="0">
      <selection activeCell="B35" sqref="B35:J35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x14ac:dyDescent="0.25">
      <c r="A7" s="43">
        <v>44469</v>
      </c>
      <c r="B7" s="53">
        <v>1165260</v>
      </c>
      <c r="C7" s="61">
        <v>514463</v>
      </c>
      <c r="D7" s="52">
        <v>0.48</v>
      </c>
      <c r="E7" s="41">
        <v>5812.95</v>
      </c>
      <c r="F7" s="37">
        <v>432.49</v>
      </c>
      <c r="G7" s="37">
        <v>33374.9</v>
      </c>
      <c r="H7" s="53">
        <v>14528</v>
      </c>
      <c r="I7" s="53">
        <v>132398</v>
      </c>
      <c r="J7" s="53">
        <v>50981856</v>
      </c>
      <c r="K7" s="83"/>
      <c r="L7" s="68"/>
      <c r="M7" s="26"/>
    </row>
    <row r="8" spans="1:17" s="50" customFormat="1" ht="12.95" customHeight="1" x14ac:dyDescent="0.25">
      <c r="A8" s="25">
        <f>A7+1</f>
        <v>44470</v>
      </c>
      <c r="B8" s="84">
        <v>1169308</v>
      </c>
      <c r="C8" s="84">
        <v>520265</v>
      </c>
      <c r="D8" s="47">
        <v>0.38</v>
      </c>
      <c r="E8" s="81">
        <v>5838</v>
      </c>
      <c r="F8" s="48">
        <v>440.06</v>
      </c>
      <c r="G8" s="84">
        <v>33408.53</v>
      </c>
      <c r="H8" s="84">
        <v>14528</v>
      </c>
      <c r="I8" s="84">
        <v>132511</v>
      </c>
      <c r="J8" s="84">
        <v>51019892</v>
      </c>
      <c r="K8" s="85"/>
      <c r="L8" s="69"/>
      <c r="M8" s="49"/>
    </row>
    <row r="9" spans="1:17" s="50" customFormat="1" ht="12.95" customHeight="1" x14ac:dyDescent="0.25">
      <c r="A9" s="25">
        <f t="shared" ref="A9:A37" si="0">A8+1</f>
        <v>44471</v>
      </c>
      <c r="B9" s="53">
        <v>1173490</v>
      </c>
      <c r="C9" s="37">
        <v>526173</v>
      </c>
      <c r="D9" s="52">
        <v>0.28000000000000003</v>
      </c>
      <c r="E9" s="81">
        <v>5865</v>
      </c>
      <c r="F9" s="37">
        <v>447.57</v>
      </c>
      <c r="G9" s="37">
        <v>33443.29</v>
      </c>
      <c r="H9" s="53">
        <v>14528</v>
      </c>
      <c r="I9" s="53">
        <v>132630</v>
      </c>
      <c r="J9" s="53">
        <v>51061606</v>
      </c>
      <c r="K9" s="83">
        <v>3600</v>
      </c>
      <c r="L9" s="63"/>
      <c r="M9" s="49"/>
    </row>
    <row r="10" spans="1:17" s="50" customFormat="1" ht="12.95" customHeight="1" x14ac:dyDescent="0.25">
      <c r="A10" s="25">
        <f t="shared" si="0"/>
        <v>44472</v>
      </c>
      <c r="B10" s="53">
        <v>1177574</v>
      </c>
      <c r="C10" s="53">
        <v>531990</v>
      </c>
      <c r="D10" s="52">
        <v>0.8</v>
      </c>
      <c r="E10" s="82">
        <v>5892.2</v>
      </c>
      <c r="F10" s="37">
        <v>455.29</v>
      </c>
      <c r="G10" s="37">
        <v>33477.870000000003</v>
      </c>
      <c r="H10" s="53">
        <v>14528</v>
      </c>
      <c r="I10" s="53">
        <v>132743</v>
      </c>
      <c r="J10" s="40">
        <v>51102031</v>
      </c>
      <c r="K10" s="83"/>
      <c r="L10" s="44"/>
      <c r="M10" s="49"/>
    </row>
    <row r="11" spans="1:17" s="50" customFormat="1" ht="12.95" customHeight="1" x14ac:dyDescent="0.25">
      <c r="A11" s="25">
        <f t="shared" si="0"/>
        <v>44473</v>
      </c>
      <c r="B11" s="53">
        <v>1181836</v>
      </c>
      <c r="C11" s="53">
        <v>537663</v>
      </c>
      <c r="D11" s="52">
        <v>0.7</v>
      </c>
      <c r="E11" s="82">
        <v>5920.05</v>
      </c>
      <c r="F11" s="37">
        <v>462.26</v>
      </c>
      <c r="G11" s="37">
        <v>33509.4</v>
      </c>
      <c r="H11" s="53">
        <v>14528</v>
      </c>
      <c r="I11" s="53">
        <v>132846</v>
      </c>
      <c r="J11" s="53">
        <v>51135966</v>
      </c>
      <c r="K11" s="54"/>
      <c r="L11" s="44"/>
      <c r="M11" s="49"/>
    </row>
    <row r="12" spans="1:17" s="50" customFormat="1" ht="12.95" customHeight="1" x14ac:dyDescent="0.25">
      <c r="A12" s="25">
        <f t="shared" si="0"/>
        <v>44474</v>
      </c>
      <c r="B12" s="51">
        <v>1185899</v>
      </c>
      <c r="C12" s="51">
        <v>543342</v>
      </c>
      <c r="D12" s="52">
        <v>0.6</v>
      </c>
      <c r="E12" s="86">
        <f>E11+27</f>
        <v>5947.05</v>
      </c>
      <c r="F12" s="51">
        <v>470</v>
      </c>
      <c r="G12" s="51">
        <v>33541.58</v>
      </c>
      <c r="H12" s="51">
        <v>14528</v>
      </c>
      <c r="I12" s="51">
        <v>132957</v>
      </c>
      <c r="J12" s="51">
        <v>51169548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44475</v>
      </c>
      <c r="B13" s="64">
        <v>1189633</v>
      </c>
      <c r="C13" s="37">
        <v>548697</v>
      </c>
      <c r="D13" s="52">
        <v>0.52</v>
      </c>
      <c r="E13" s="82">
        <f>E12+27</f>
        <v>5974.05</v>
      </c>
      <c r="F13" s="37">
        <v>478.89</v>
      </c>
      <c r="G13" s="37">
        <v>33574.22</v>
      </c>
      <c r="H13" s="53">
        <v>14528</v>
      </c>
      <c r="I13" s="37">
        <v>133070</v>
      </c>
      <c r="J13" s="37">
        <v>51205104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44476</v>
      </c>
      <c r="B14" s="53">
        <v>1193590</v>
      </c>
      <c r="C14" s="53">
        <v>554654</v>
      </c>
      <c r="D14" s="52">
        <v>0.46</v>
      </c>
      <c r="E14" s="82">
        <f>E13+27</f>
        <v>6001.05</v>
      </c>
      <c r="F14" s="37">
        <v>485.84</v>
      </c>
      <c r="G14" s="37">
        <v>33605</v>
      </c>
      <c r="H14" s="53">
        <v>14528</v>
      </c>
      <c r="I14" s="53">
        <v>133185</v>
      </c>
      <c r="J14" s="53">
        <v>51239200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25">
        <f t="shared" si="0"/>
        <v>44477</v>
      </c>
      <c r="B15" s="53">
        <v>1198278</v>
      </c>
      <c r="C15" s="53">
        <v>560360</v>
      </c>
      <c r="D15" s="52">
        <v>0.4</v>
      </c>
      <c r="E15" s="37">
        <v>6025.2</v>
      </c>
      <c r="F15" s="87">
        <v>493.31</v>
      </c>
      <c r="G15" s="37">
        <v>33644</v>
      </c>
      <c r="H15" s="53">
        <v>14528</v>
      </c>
      <c r="I15" s="53">
        <v>133311</v>
      </c>
      <c r="J15" s="53">
        <v>51270587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44478</v>
      </c>
      <c r="B16" s="88">
        <v>1202499</v>
      </c>
      <c r="C16" s="53">
        <v>566299</v>
      </c>
      <c r="D16" s="52">
        <v>0.35</v>
      </c>
      <c r="E16" s="37">
        <v>6050.31</v>
      </c>
      <c r="F16" s="87">
        <v>500.19</v>
      </c>
      <c r="G16" s="37">
        <v>33677.599999999999</v>
      </c>
      <c r="H16" s="53">
        <v>14528</v>
      </c>
      <c r="I16" s="53">
        <v>133431</v>
      </c>
      <c r="J16" s="53">
        <v>51308635</v>
      </c>
      <c r="K16" s="54">
        <v>3600</v>
      </c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2">
        <v>0.78</v>
      </c>
      <c r="E17" s="37">
        <v>6074.2</v>
      </c>
      <c r="F17" s="87">
        <v>507.35</v>
      </c>
      <c r="G17" s="37">
        <v>33709.1</v>
      </c>
      <c r="H17" s="53">
        <v>14528</v>
      </c>
      <c r="I17" s="37">
        <v>133548</v>
      </c>
      <c r="J17" s="37">
        <v>51348636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44480</v>
      </c>
      <c r="B18" s="53">
        <v>1210602</v>
      </c>
      <c r="C18" s="53">
        <v>578390</v>
      </c>
      <c r="D18" s="52">
        <v>0.72</v>
      </c>
      <c r="E18" s="37">
        <v>6098.84</v>
      </c>
      <c r="F18" s="37">
        <v>514.61</v>
      </c>
      <c r="G18" s="37">
        <v>33740.65</v>
      </c>
      <c r="H18" s="53">
        <v>14528</v>
      </c>
      <c r="I18" s="53">
        <v>133643</v>
      </c>
      <c r="J18" s="53">
        <v>51385440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44481</v>
      </c>
      <c r="B19" s="39">
        <v>1214623</v>
      </c>
      <c r="C19" s="39">
        <v>584411</v>
      </c>
      <c r="D19" s="52">
        <v>0.63</v>
      </c>
      <c r="E19" s="37">
        <v>6127.93</v>
      </c>
      <c r="F19" s="37">
        <v>521.66</v>
      </c>
      <c r="G19" s="38">
        <v>33772.620000000003</v>
      </c>
      <c r="H19" s="53">
        <v>14528</v>
      </c>
      <c r="I19" s="39">
        <v>133742</v>
      </c>
      <c r="J19" s="39">
        <v>51418298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44482</v>
      </c>
      <c r="B20" s="39">
        <v>1218651</v>
      </c>
      <c r="C20" s="39">
        <v>590221</v>
      </c>
      <c r="D20" s="52">
        <v>0.55000000000000004</v>
      </c>
      <c r="E20" s="53">
        <v>6151.84</v>
      </c>
      <c r="F20" s="53">
        <v>529.91</v>
      </c>
      <c r="G20" s="38">
        <v>33804.28</v>
      </c>
      <c r="H20" s="53">
        <v>14528</v>
      </c>
      <c r="I20" s="39">
        <v>133861</v>
      </c>
      <c r="J20" s="39">
        <v>51444560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44483</v>
      </c>
      <c r="B21" s="39">
        <v>1222833</v>
      </c>
      <c r="C21" s="39">
        <v>596018</v>
      </c>
      <c r="D21" s="52">
        <v>0.47</v>
      </c>
      <c r="E21" s="38">
        <v>6177.8</v>
      </c>
      <c r="F21" s="37">
        <v>537.45000000000005</v>
      </c>
      <c r="G21" s="38">
        <v>33837.449999999997</v>
      </c>
      <c r="H21" s="53">
        <v>14528</v>
      </c>
      <c r="I21" s="39">
        <v>133975</v>
      </c>
      <c r="J21" s="39">
        <v>51471206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44484</v>
      </c>
      <c r="B22" s="53">
        <v>1226943</v>
      </c>
      <c r="C22" s="88">
        <v>601855</v>
      </c>
      <c r="D22" s="52">
        <v>0.4</v>
      </c>
      <c r="E22" s="37">
        <v>6201.78</v>
      </c>
      <c r="F22" s="37">
        <v>544.52</v>
      </c>
      <c r="G22" s="38">
        <v>33871.699999999997</v>
      </c>
      <c r="H22" s="53">
        <v>14528</v>
      </c>
      <c r="I22" s="38">
        <v>134094</v>
      </c>
      <c r="J22" s="39">
        <v>51503831</v>
      </c>
      <c r="K22" s="54">
        <v>3200</v>
      </c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44485</v>
      </c>
      <c r="B23" s="39">
        <v>1231106</v>
      </c>
      <c r="C23" s="39">
        <v>607732</v>
      </c>
      <c r="D23" s="52">
        <v>0.78</v>
      </c>
      <c r="E23" s="38">
        <v>6230.24</v>
      </c>
      <c r="F23" s="37">
        <v>552.54</v>
      </c>
      <c r="G23" s="38">
        <v>33908.199999999997</v>
      </c>
      <c r="H23" s="53">
        <v>14528</v>
      </c>
      <c r="I23" s="39">
        <v>134220</v>
      </c>
      <c r="J23" s="39">
        <v>51536879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44486</v>
      </c>
      <c r="B24" s="39">
        <v>1235290</v>
      </c>
      <c r="C24" s="39">
        <v>613527</v>
      </c>
      <c r="D24" s="52">
        <v>0.7</v>
      </c>
      <c r="E24" s="38">
        <v>6254.22</v>
      </c>
      <c r="F24" s="37">
        <v>560.64</v>
      </c>
      <c r="G24" s="38">
        <v>33944.82</v>
      </c>
      <c r="H24" s="53">
        <v>14528</v>
      </c>
      <c r="I24" s="39">
        <v>134369</v>
      </c>
      <c r="J24" s="39">
        <v>51569944</v>
      </c>
      <c r="K24" s="54"/>
      <c r="L24" s="70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44487</v>
      </c>
      <c r="B25" s="38">
        <v>1239329</v>
      </c>
      <c r="C25" s="38">
        <v>619102</v>
      </c>
      <c r="D25" s="52">
        <v>0.62</v>
      </c>
      <c r="E25" s="38">
        <v>6277.12</v>
      </c>
      <c r="F25" s="37">
        <v>567.94000000000005</v>
      </c>
      <c r="G25" s="38">
        <v>33979.480000000003</v>
      </c>
      <c r="H25" s="53">
        <v>14528</v>
      </c>
      <c r="I25" s="39">
        <v>134496</v>
      </c>
      <c r="J25" s="39">
        <v>51597984</v>
      </c>
      <c r="K25" s="60"/>
      <c r="L25" s="70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44488</v>
      </c>
      <c r="B26" s="38">
        <v>1243378</v>
      </c>
      <c r="C26" s="38">
        <v>624675</v>
      </c>
      <c r="D26" s="56">
        <v>0.55000000000000004</v>
      </c>
      <c r="E26" s="38">
        <v>6301.81</v>
      </c>
      <c r="F26" s="37">
        <v>575.45000000000005</v>
      </c>
      <c r="G26" s="38">
        <v>34012.39</v>
      </c>
      <c r="H26" s="53">
        <v>14528</v>
      </c>
      <c r="I26" s="39">
        <v>134605</v>
      </c>
      <c r="J26" s="39">
        <v>51625776</v>
      </c>
      <c r="K26" s="54"/>
      <c r="L26" s="70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44489</v>
      </c>
      <c r="B27" s="39">
        <v>1247368</v>
      </c>
      <c r="C27" s="39">
        <v>630348</v>
      </c>
      <c r="D27" s="52">
        <v>0.5</v>
      </c>
      <c r="E27" s="38">
        <v>6326.35</v>
      </c>
      <c r="F27" s="37">
        <v>582.57000000000005</v>
      </c>
      <c r="G27" s="38">
        <v>34047.660000000003</v>
      </c>
      <c r="H27" s="53">
        <v>14528</v>
      </c>
      <c r="I27" s="39">
        <v>134725</v>
      </c>
      <c r="J27" s="39">
        <v>51657480</v>
      </c>
      <c r="K27" s="66"/>
      <c r="L27" s="65"/>
      <c r="M27" s="49"/>
    </row>
    <row r="28" spans="1:19" s="50" customFormat="1" ht="12.95" customHeight="1" x14ac:dyDescent="0.25">
      <c r="A28" s="25">
        <f t="shared" si="0"/>
        <v>44490</v>
      </c>
      <c r="B28" s="39">
        <v>1251548</v>
      </c>
      <c r="C28" s="39">
        <v>636374</v>
      </c>
      <c r="D28" s="52">
        <v>0.44</v>
      </c>
      <c r="E28" s="38">
        <v>6352.97</v>
      </c>
      <c r="F28" s="37">
        <v>590.79</v>
      </c>
      <c r="G28" s="38">
        <v>34082.14</v>
      </c>
      <c r="H28" s="53">
        <v>14528</v>
      </c>
      <c r="I28" s="39">
        <v>134850</v>
      </c>
      <c r="J28" s="39">
        <v>51689914</v>
      </c>
      <c r="K28" s="54"/>
      <c r="L28" s="65"/>
      <c r="M28" s="49"/>
    </row>
    <row r="29" spans="1:19" s="50" customFormat="1" ht="12.95" customHeight="1" x14ac:dyDescent="0.25">
      <c r="A29" s="25">
        <f t="shared" si="0"/>
        <v>44491</v>
      </c>
      <c r="B29" s="39">
        <v>1255478</v>
      </c>
      <c r="C29" s="39">
        <v>642057</v>
      </c>
      <c r="D29" s="52">
        <v>0.35</v>
      </c>
      <c r="E29" s="38">
        <v>6376.58</v>
      </c>
      <c r="F29" s="37">
        <v>598.16</v>
      </c>
      <c r="G29" s="38">
        <v>34113.800000000003</v>
      </c>
      <c r="H29" s="53">
        <v>14528</v>
      </c>
      <c r="I29" s="39">
        <v>134960</v>
      </c>
      <c r="J29" s="39">
        <v>51721227</v>
      </c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44492</v>
      </c>
      <c r="B30" s="39">
        <v>1259635</v>
      </c>
      <c r="C30" s="39">
        <v>648004</v>
      </c>
      <c r="D30" s="52">
        <v>0.28000000000000003</v>
      </c>
      <c r="E30" s="38">
        <v>6405</v>
      </c>
      <c r="F30" s="37">
        <v>605.79</v>
      </c>
      <c r="G30" s="38">
        <v>34149</v>
      </c>
      <c r="H30" s="53">
        <v>14528</v>
      </c>
      <c r="I30" s="39">
        <v>135093</v>
      </c>
      <c r="J30" s="39">
        <v>51752072</v>
      </c>
      <c r="K30" s="54">
        <v>4100</v>
      </c>
      <c r="L30" s="65"/>
      <c r="M30" s="49"/>
    </row>
    <row r="31" spans="1:19" s="50" customFormat="1" ht="12.95" customHeight="1" x14ac:dyDescent="0.25">
      <c r="A31" s="25">
        <f t="shared" si="0"/>
        <v>44493</v>
      </c>
      <c r="B31" s="39">
        <v>1263607</v>
      </c>
      <c r="C31" s="39">
        <v>653761</v>
      </c>
      <c r="D31" s="52">
        <v>0.78</v>
      </c>
      <c r="E31" s="38">
        <v>6430.05</v>
      </c>
      <c r="F31" s="37">
        <v>612.99</v>
      </c>
      <c r="G31" s="38">
        <v>34186</v>
      </c>
      <c r="H31" s="53">
        <v>14528</v>
      </c>
      <c r="I31" s="39">
        <v>135204</v>
      </c>
      <c r="J31" s="39">
        <v>51782342</v>
      </c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44494</v>
      </c>
      <c r="B32" s="39">
        <v>1267583</v>
      </c>
      <c r="C32" s="39">
        <v>659494</v>
      </c>
      <c r="D32" s="52">
        <v>0.7</v>
      </c>
      <c r="E32" s="38">
        <v>6453.27</v>
      </c>
      <c r="F32" s="37">
        <v>620.5</v>
      </c>
      <c r="G32" s="38">
        <v>34219.199999999997</v>
      </c>
      <c r="H32" s="53">
        <v>14528</v>
      </c>
      <c r="I32" s="39">
        <v>135315</v>
      </c>
      <c r="J32" s="39">
        <v>51812081</v>
      </c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44495</v>
      </c>
      <c r="B33" s="39">
        <v>1271629</v>
      </c>
      <c r="C33" s="39">
        <v>665328</v>
      </c>
      <c r="D33" s="52">
        <v>0.62</v>
      </c>
      <c r="E33" s="38">
        <v>6478.21</v>
      </c>
      <c r="F33" s="37">
        <v>628.1</v>
      </c>
      <c r="G33" s="38">
        <v>34249.449999999997</v>
      </c>
      <c r="H33" s="53">
        <v>14528</v>
      </c>
      <c r="I33" s="39">
        <v>135435</v>
      </c>
      <c r="J33" s="39">
        <v>51842734</v>
      </c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44496</v>
      </c>
      <c r="B34" s="39">
        <v>1275673</v>
      </c>
      <c r="C34" s="39">
        <v>670980</v>
      </c>
      <c r="D34" s="52">
        <v>0.55000000000000004</v>
      </c>
      <c r="E34" s="38">
        <v>6501.39</v>
      </c>
      <c r="F34" s="37">
        <v>635.46</v>
      </c>
      <c r="G34" s="38">
        <v>34282.51</v>
      </c>
      <c r="H34" s="53">
        <v>14528</v>
      </c>
      <c r="I34" s="38">
        <v>135545</v>
      </c>
      <c r="J34" s="38">
        <v>51870019</v>
      </c>
      <c r="K34" s="54"/>
      <c r="L34" s="71"/>
      <c r="N34" s="49"/>
      <c r="P34" s="49"/>
    </row>
    <row r="35" spans="1:16" s="50" customFormat="1" ht="12.95" customHeight="1" x14ac:dyDescent="0.25">
      <c r="A35" s="25">
        <f>A34+1</f>
        <v>44497</v>
      </c>
      <c r="B35" s="53">
        <v>1279725</v>
      </c>
      <c r="C35" s="61">
        <v>676785</v>
      </c>
      <c r="D35" s="52">
        <v>0.48</v>
      </c>
      <c r="E35" s="38">
        <v>6525.99</v>
      </c>
      <c r="F35" s="37">
        <v>643.19000000000005</v>
      </c>
      <c r="G35" s="37">
        <v>34315.14</v>
      </c>
      <c r="H35" s="53">
        <v>14528</v>
      </c>
      <c r="I35" s="53">
        <v>135653</v>
      </c>
      <c r="J35" s="53">
        <v>51896126</v>
      </c>
      <c r="K35" s="54"/>
      <c r="L35" s="65"/>
      <c r="M35" s="49"/>
      <c r="N35" s="49"/>
      <c r="O35" s="49"/>
    </row>
    <row r="36" spans="1:16" s="62" customFormat="1" x14ac:dyDescent="0.25">
      <c r="A36" s="43">
        <f t="shared" si="0"/>
        <v>44498</v>
      </c>
      <c r="B36" s="53"/>
      <c r="C36" s="61"/>
      <c r="D36" s="52"/>
      <c r="E36" s="41"/>
      <c r="F36" s="37"/>
      <c r="G36" s="37"/>
      <c r="H36" s="53"/>
      <c r="I36" s="53"/>
      <c r="J36" s="53"/>
      <c r="K36" s="54"/>
      <c r="L36" s="72"/>
    </row>
    <row r="37" spans="1:16" s="62" customFormat="1" x14ac:dyDescent="0.25">
      <c r="A37" s="43">
        <f t="shared" si="0"/>
        <v>44499</v>
      </c>
      <c r="B37" s="53"/>
      <c r="C37" s="61"/>
      <c r="D37" s="52"/>
      <c r="E37" s="41"/>
      <c r="F37" s="37"/>
      <c r="G37" s="37"/>
      <c r="H37" s="53"/>
      <c r="I37" s="53"/>
      <c r="J37" s="53"/>
      <c r="K37" s="54"/>
      <c r="L37" s="65"/>
    </row>
    <row r="38" spans="1:16" ht="15.75" thickBot="1" x14ac:dyDescent="0.3">
      <c r="A38" s="73">
        <f>A37+1</f>
        <v>44500</v>
      </c>
      <c r="B38" s="74"/>
      <c r="C38" s="75"/>
      <c r="D38" s="76"/>
      <c r="E38" s="77"/>
      <c r="F38" s="78"/>
      <c r="G38" s="78"/>
      <c r="H38" s="74"/>
      <c r="I38" s="74"/>
      <c r="J38" s="74"/>
      <c r="K38" s="79"/>
      <c r="L38" s="80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14500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7"/>
      <c r="C41" s="67"/>
      <c r="D41" s="34"/>
      <c r="E41" s="67"/>
      <c r="F41" s="67"/>
      <c r="G41" s="67"/>
      <c r="H41" s="67"/>
      <c r="I41" s="67"/>
      <c r="J41" s="67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2021-10-28T04:41:24Z</dcterms:modified>
</cp:coreProperties>
</file>