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5516" documentId="8_{5B502D95-7A37-4D5A-8B6B-374537CC2F26}" xr6:coauthVersionLast="47" xr6:coauthVersionMax="47" xr10:uidLastSave="{AC60B6E0-2AE9-47F7-BA2D-C9317FE7D93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8" i="2" l="1"/>
  <c r="N39" i="2"/>
  <c r="M39" i="2"/>
  <c r="L39" i="2"/>
  <c r="F39" i="2"/>
  <c r="K38" i="6"/>
  <c r="I38" i="6"/>
  <c r="G38" i="6"/>
  <c r="E38" i="6"/>
  <c r="C38" i="6"/>
  <c r="V37" i="2"/>
  <c r="N38" i="2"/>
  <c r="M38" i="2"/>
  <c r="L38" i="2"/>
  <c r="F38" i="2"/>
  <c r="K37" i="6"/>
  <c r="I37" i="6"/>
  <c r="G37" i="6"/>
  <c r="E37" i="6"/>
  <c r="C37" i="6"/>
  <c r="D29" i="10"/>
  <c r="V36" i="2"/>
  <c r="N37" i="2"/>
  <c r="M37" i="2"/>
  <c r="L37" i="2"/>
  <c r="F37" i="2"/>
  <c r="K36" i="6"/>
  <c r="I36" i="6"/>
  <c r="G36" i="6"/>
  <c r="E36" i="6"/>
  <c r="C36" i="6"/>
  <c r="V35" i="2"/>
  <c r="N36" i="2"/>
  <c r="M36" i="2"/>
  <c r="L36" i="2"/>
  <c r="F36" i="2"/>
  <c r="K35" i="6"/>
  <c r="I35" i="6"/>
  <c r="G35" i="6"/>
  <c r="E35" i="6"/>
  <c r="C35" i="6"/>
  <c r="V29" i="2"/>
  <c r="V30" i="2"/>
  <c r="V31" i="2"/>
  <c r="V32" i="2"/>
  <c r="V33" i="2"/>
  <c r="V34" i="2"/>
  <c r="N30" i="2"/>
  <c r="N31" i="2"/>
  <c r="N32" i="2"/>
  <c r="N33" i="2"/>
  <c r="N34" i="2"/>
  <c r="N35" i="2"/>
  <c r="M30" i="2"/>
  <c r="M31" i="2"/>
  <c r="M32" i="2"/>
  <c r="M33" i="2"/>
  <c r="M34" i="2"/>
  <c r="M35" i="2"/>
  <c r="L30" i="2"/>
  <c r="L31" i="2"/>
  <c r="L32" i="2"/>
  <c r="L33" i="2"/>
  <c r="L34" i="2"/>
  <c r="L35" i="2"/>
  <c r="F30" i="2"/>
  <c r="F31" i="2"/>
  <c r="F32" i="2"/>
  <c r="F33" i="2"/>
  <c r="F34" i="2"/>
  <c r="F35" i="2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V28" i="2"/>
  <c r="N29" i="2"/>
  <c r="M29" i="2"/>
  <c r="L29" i="2"/>
  <c r="F29" i="2"/>
  <c r="K28" i="6"/>
  <c r="I28" i="6"/>
  <c r="G28" i="6"/>
  <c r="E28" i="6"/>
  <c r="C28" i="6"/>
  <c r="V26" i="2"/>
  <c r="V27" i="2"/>
  <c r="N27" i="2"/>
  <c r="N28" i="2"/>
  <c r="M27" i="2"/>
  <c r="M28" i="2"/>
  <c r="L27" i="2"/>
  <c r="L28" i="2"/>
  <c r="F27" i="2"/>
  <c r="F28" i="2"/>
  <c r="K27" i="6"/>
  <c r="I27" i="6"/>
  <c r="G27" i="6"/>
  <c r="E27" i="6"/>
  <c r="C27" i="6"/>
  <c r="K26" i="6"/>
  <c r="I26" i="6"/>
  <c r="G26" i="6"/>
  <c r="E26" i="6"/>
  <c r="C26" i="6"/>
  <c r="V23" i="2"/>
  <c r="V24" i="2"/>
  <c r="V25" i="2"/>
  <c r="N24" i="2"/>
  <c r="N25" i="2"/>
  <c r="N26" i="2"/>
  <c r="M24" i="2"/>
  <c r="M25" i="2"/>
  <c r="M26" i="2"/>
  <c r="L24" i="2"/>
  <c r="L25" i="2"/>
  <c r="L26" i="2"/>
  <c r="F24" i="2"/>
  <c r="F25" i="2"/>
  <c r="F26" i="2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V18" i="2"/>
  <c r="V19" i="2"/>
  <c r="V20" i="2"/>
  <c r="V21" i="2"/>
  <c r="V22" i="2"/>
  <c r="N22" i="2"/>
  <c r="N23" i="2"/>
  <c r="M22" i="2"/>
  <c r="M23" i="2"/>
  <c r="L22" i="2"/>
  <c r="L23" i="2"/>
  <c r="F22" i="2"/>
  <c r="F23" i="2"/>
  <c r="K22" i="6"/>
  <c r="I22" i="6"/>
  <c r="G22" i="6"/>
  <c r="E22" i="6"/>
  <c r="C22" i="6"/>
  <c r="K21" i="6"/>
  <c r="I21" i="6"/>
  <c r="G21" i="6"/>
  <c r="E21" i="6"/>
  <c r="C21" i="6"/>
  <c r="N19" i="2"/>
  <c r="N20" i="2"/>
  <c r="N21" i="2"/>
  <c r="M19" i="2"/>
  <c r="M20" i="2"/>
  <c r="M21" i="2"/>
  <c r="L20" i="2"/>
  <c r="L21" i="2"/>
  <c r="F19" i="2"/>
  <c r="F20" i="2"/>
  <c r="F21" i="2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V17" i="2"/>
  <c r="N18" i="2"/>
  <c r="M18" i="2"/>
  <c r="L18" i="2"/>
  <c r="L19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V15" i="2"/>
  <c r="N16" i="2"/>
  <c r="M16" i="2"/>
  <c r="L16" i="2"/>
  <c r="F16" i="2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1" i="2"/>
  <c r="V12" i="2"/>
  <c r="V13" i="2"/>
  <c r="N12" i="2"/>
  <c r="N13" i="2"/>
  <c r="N14" i="2"/>
  <c r="M12" i="2"/>
  <c r="M13" i="2"/>
  <c r="M14" i="2"/>
  <c r="L12" i="2"/>
  <c r="L13" i="2"/>
  <c r="L14" i="2"/>
  <c r="F12" i="2"/>
  <c r="F13" i="2"/>
  <c r="F14" i="2"/>
  <c r="K13" i="6"/>
  <c r="I13" i="6"/>
  <c r="G13" i="6"/>
  <c r="E13" i="6"/>
  <c r="C13" i="6"/>
  <c r="K11" i="6"/>
  <c r="K12" i="6"/>
  <c r="I11" i="6"/>
  <c r="I12" i="6"/>
  <c r="G11" i="6"/>
  <c r="G12" i="6"/>
  <c r="E11" i="6"/>
  <c r="E12" i="6"/>
  <c r="C11" i="6"/>
  <c r="C12" i="6"/>
  <c r="V10" i="2"/>
  <c r="N11" i="2"/>
  <c r="M11" i="2"/>
  <c r="L11" i="2"/>
  <c r="F11" i="2"/>
  <c r="K10" i="6"/>
  <c r="I10" i="6"/>
  <c r="G10" i="6"/>
  <c r="E10" i="6"/>
  <c r="C10" i="6"/>
  <c r="P34" i="4"/>
  <c r="P35" i="4"/>
  <c r="P36" i="4"/>
  <c r="P37" i="4"/>
  <c r="P38" i="4"/>
  <c r="P39" i="4"/>
  <c r="P40" i="4"/>
  <c r="P41" i="4"/>
  <c r="P42" i="4"/>
  <c r="N10" i="2"/>
  <c r="M10" i="2"/>
  <c r="L10" i="2"/>
  <c r="F10" i="2"/>
  <c r="L31" i="22"/>
  <c r="K31" i="22"/>
  <c r="I31" i="22"/>
  <c r="G32" i="22"/>
  <c r="B31" i="22"/>
  <c r="B32" i="22"/>
  <c r="I31" i="21"/>
  <c r="H31" i="21"/>
  <c r="G31" i="21"/>
  <c r="F31" i="21"/>
  <c r="E31" i="21"/>
  <c r="E31" i="22" s="1"/>
  <c r="B31" i="21"/>
  <c r="B32" i="21"/>
  <c r="C31" i="4"/>
  <c r="L28" i="22"/>
  <c r="L29" i="22"/>
  <c r="L30" i="22"/>
  <c r="K28" i="22"/>
  <c r="K29" i="22"/>
  <c r="K30" i="22"/>
  <c r="G27" i="22"/>
  <c r="G28" i="22"/>
  <c r="G29" i="22"/>
  <c r="G30" i="22"/>
  <c r="X39" i="2"/>
  <c r="O39" i="2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C35" i="4"/>
  <c r="I30" i="4"/>
  <c r="Q39" i="2"/>
  <c r="H39" i="2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G4" i="4"/>
  <c r="E4" i="4"/>
  <c r="C4" i="4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G28" i="21"/>
  <c r="G29" i="21"/>
  <c r="G30" i="21"/>
  <c r="F23" i="21"/>
  <c r="F24" i="21"/>
  <c r="F25" i="21"/>
  <c r="F26" i="21"/>
  <c r="F27" i="21"/>
  <c r="F28" i="21"/>
  <c r="F29" i="21"/>
  <c r="F30" i="21"/>
  <c r="E23" i="21"/>
  <c r="E24" i="21"/>
  <c r="E25" i="21"/>
  <c r="E26" i="21"/>
  <c r="E27" i="21"/>
  <c r="E28" i="21"/>
  <c r="E29" i="21"/>
  <c r="E30" i="21"/>
  <c r="E30" i="22" s="1"/>
  <c r="E28" i="22"/>
  <c r="E29" i="22"/>
  <c r="O38" i="2"/>
  <c r="E23" i="22"/>
  <c r="E24" i="22"/>
  <c r="E25" i="22"/>
  <c r="E26" i="22"/>
  <c r="E27" i="2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X38" i="2"/>
  <c r="F40" i="2"/>
  <c r="I32" i="22" s="1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E19" i="22" s="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P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E9" i="22" s="1"/>
  <c r="H32" i="2"/>
  <c r="G17" i="21"/>
  <c r="E20" i="21"/>
  <c r="E20" i="22"/>
  <c r="I23" i="22"/>
  <c r="E11" i="21"/>
  <c r="E11" i="22" s="1"/>
  <c r="J11" i="21"/>
  <c r="H24" i="2"/>
  <c r="F22" i="21"/>
  <c r="E22" i="22" s="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/>
  <c r="I26" i="22"/>
  <c r="H15" i="2"/>
  <c r="Q17" i="2"/>
  <c r="O21" i="2"/>
  <c r="O22" i="2"/>
  <c r="H29" i="2"/>
  <c r="O30" i="2"/>
  <c r="Q35" i="2"/>
  <c r="Q30" i="2"/>
  <c r="E10" i="21"/>
  <c r="E10" i="22"/>
  <c r="O18" i="2"/>
  <c r="O29" i="2"/>
  <c r="O19" i="2"/>
  <c r="I13" i="22"/>
  <c r="E15" i="21"/>
  <c r="E15" i="22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18" i="2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E16" i="22"/>
  <c r="J24" i="21"/>
  <c r="J10" i="21"/>
  <c r="J30" i="21"/>
  <c r="J20" i="21"/>
  <c r="J12" i="21"/>
  <c r="E13" i="22"/>
  <c r="H10" i="2"/>
  <c r="E2" i="22"/>
  <c r="J19" i="21"/>
  <c r="M40" i="2"/>
  <c r="F32" i="21" s="1"/>
  <c r="I44" i="2"/>
  <c r="L44" i="2"/>
  <c r="N40" i="2"/>
  <c r="G32" i="21" s="1"/>
  <c r="I45" i="2"/>
  <c r="L45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G10" i="4" l="1"/>
  <c r="E10" i="4"/>
  <c r="C10" i="4"/>
  <c r="L32" i="22"/>
  <c r="I32" i="21"/>
  <c r="K32" i="22"/>
  <c r="H32" i="21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E8" i="22"/>
  <c r="X37" i="2"/>
  <c r="Q14" i="2"/>
  <c r="O14" i="2"/>
  <c r="L8" i="4"/>
  <c r="N8" i="4" s="1"/>
  <c r="O8" i="4" s="1"/>
  <c r="P8" i="4" s="1"/>
  <c r="X14" i="2"/>
  <c r="X13" i="2"/>
  <c r="X21" i="2"/>
  <c r="X26" i="2"/>
  <c r="X25" i="2"/>
  <c r="X31" i="2"/>
  <c r="X32" i="2"/>
  <c r="X17" i="2"/>
  <c r="X18" i="2"/>
  <c r="X30" i="2"/>
  <c r="X35" i="2"/>
  <c r="X27" i="2"/>
  <c r="X24" i="2"/>
  <c r="X33" i="2"/>
  <c r="X20" i="2"/>
  <c r="X22" i="2"/>
  <c r="X34" i="2"/>
  <c r="X16" i="2"/>
  <c r="X19" i="2"/>
  <c r="X23" i="2"/>
  <c r="X29" i="2"/>
  <c r="X28" i="2"/>
  <c r="G8" i="22"/>
  <c r="G5" i="22"/>
  <c r="J14" i="21"/>
  <c r="E14" i="22"/>
  <c r="X12" i="2"/>
  <c r="X11" i="2"/>
  <c r="I4" i="4"/>
  <c r="L4" i="4"/>
  <c r="N4" i="4" s="1"/>
  <c r="X15" i="2" l="1"/>
  <c r="G7" i="22"/>
  <c r="X36" i="2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Q12" i="2"/>
  <c r="Q40" i="2" s="1"/>
  <c r="L40" i="2"/>
  <c r="E32" i="21" s="1"/>
  <c r="E32" i="22" s="1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G3" i="22"/>
  <c r="M3" i="22" s="1"/>
  <c r="G4" i="22"/>
  <c r="I47" i="2" l="1"/>
  <c r="L47" i="2" s="1"/>
  <c r="N47" i="2" s="1"/>
  <c r="I43" i="2"/>
  <c r="L43" i="2" s="1"/>
  <c r="N43" i="2" s="1"/>
  <c r="N46" i="2" s="1"/>
  <c r="J4" i="21"/>
  <c r="E4" i="22"/>
  <c r="M4" i="22" s="1"/>
  <c r="J5" i="21"/>
  <c r="M5" i="22"/>
  <c r="M6" i="22"/>
  <c r="J6" i="21"/>
  <c r="M7" i="22"/>
  <c r="J7" i="21"/>
  <c r="O43" i="4"/>
  <c r="P43" i="4" s="1"/>
  <c r="K47" i="4"/>
  <c r="X10" i="2"/>
  <c r="X40" i="2" s="1"/>
  <c r="G2" i="22" l="1"/>
  <c r="M2" i="22" s="1"/>
  <c r="V40" i="2"/>
  <c r="G31" i="22" s="1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<sst xmlns="http://schemas.openxmlformats.org/spreadsheetml/2006/main" count="478" uniqueCount="185">
  <si>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</si>
  <si>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</si>
  <si>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</si>
  <si>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</si>
  <si>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</si>
  <si>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</si>
  <si>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</si>
  <si>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</si>
  <si>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</si>
  <si>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</si>
  <si>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</si>
  <si>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</si>
  <si>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</si>
  <si>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</si>
  <si>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</si>
  <si>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</si>
  <si>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</si>
  <si>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</si>
  <si>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</si>
  <si>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</si>
  <si>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</si>
  <si>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</si>
  <si>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</si>
  <si>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</si>
  <si>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</si>
  <si>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</si>
  <si>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</si>
  <si>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</si>
  <si>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</si>
  <si>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</si>
  <si>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</si>
  <si>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</si>
  <si>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</si>
  <si>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</si>
  <si>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</si>
  <si>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</si>
  <si>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</si>
  <si>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</si>
  <si>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</si>
  <si>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</si>
  <si>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</si>
  <si>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juillet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</si>
  <si>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</si>
  <si>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</si>
  <si>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</si>
  <si>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</si>
  <si>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</si>
  <si>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</si>
  <si>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</si>
  <si>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</si>
  <si>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</si>
  <si>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</si>
  <si>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</si>
  <si>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</si>
  <si>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</si>
  <si>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</si>
  <si>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</si>
  <si>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Juillet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</si>
  <si>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</si>
  <si>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</si>
  <si>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</si>
  <si>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</si>
  <si>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</si>
  <si>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</si>
  <si>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</si>
  <si>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</si>
  <si>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</si>
  <si>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</si>
  <si>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</si>
  <si>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</si>
  <si>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</si>
  <si>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</si>
  <si>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</si>
  <si>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</si>
  <si>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</si>
  <si>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</si>
  <si>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</si>
  <si>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</si>
  <si>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</si>
  <si>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</si>
  <si>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</si>
  <si>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</si>
  <si>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</si>
  <si>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</si>
  <si>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</si>
  <si>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</si>
  <si>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</si>
  <si>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Juillet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</si>
  <si>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</si>
  <si>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</si>
  <si>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</si>
  <si>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</si>
  <si>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</si>
  <si>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</si>
  <si>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</si>
  <si>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</si>
  <si>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</si>
  <si>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</si>
  <si>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</si>
  <si>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</si>
  <si>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</si>
  <si>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</si>
  <si>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</si>
  <si>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</si>
  <si>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</si>
  <si>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</si>
  <si>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</si>
  <si>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</si>
  <si>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</si>
  <si>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</si>
  <si>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</si>
  <si>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</si>
  <si>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</si>
  <si>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</si>
  <si>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</si>
  <si>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</si>
  <si>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</si>
  <si>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</si>
  <si>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</si>
  <si>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</si>
  <si>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</si>
  <si>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</si>
  <si>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</si>
  <si>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</si>
  <si>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</si>
  <si>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</si>
  <si>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</si>
  <si>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</si>
  <si>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</si>
  <si>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</si>
  <si>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</si>
  <si>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</si>
  <si>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Juillet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</si>
  <si>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</si>
  <si>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</si>
  <si>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</si>
  <si>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</si>
  <si>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</si>
  <si>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</si>
  <si>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</si>
  <si>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</si>
  <si>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</si>
  <si>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</si>
  <si>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</si>
  <si>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</si>
  <si>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</si>
  <si>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</si>
  <si>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</si>
  <si>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</si>
  <si>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</si>
  <si>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</si>
  <si>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</si>
  <si>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</si>
  <si>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</si>
  <si>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Juillet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</si>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</sst>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106.70000000001164</c:v>
                </c:pt>
                <c:pt idx="1">
                  <c:v>112.29999999998836</c:v>
                </c:pt>
                <c:pt idx="2">
                  <c:v>113.90000000000873</c:v>
                </c:pt>
                <c:pt idx="3">
                  <c:v>113.19999999999709</c:v>
                </c:pt>
                <c:pt idx="4">
                  <c:v>98</c:v>
                </c:pt>
                <c:pt idx="5">
                  <c:v>81.80000000000291</c:v>
                </c:pt>
                <c:pt idx="6">
                  <c:v>129</c:v>
                </c:pt>
                <c:pt idx="7">
                  <c:v>101.19999999999709</c:v>
                </c:pt>
                <c:pt idx="8">
                  <c:v>114.60000000000582</c:v>
                </c:pt>
                <c:pt idx="9">
                  <c:v>119.09999999999127</c:v>
                </c:pt>
                <c:pt idx="10">
                  <c:v>137.30000000000291</c:v>
                </c:pt>
                <c:pt idx="11">
                  <c:v>104</c:v>
                </c:pt>
                <c:pt idx="12">
                  <c:v>178.10000000000582</c:v>
                </c:pt>
                <c:pt idx="13">
                  <c:v>97.399999999994179</c:v>
                </c:pt>
                <c:pt idx="14">
                  <c:v>154.60000000000582</c:v>
                </c:pt>
                <c:pt idx="15">
                  <c:v>116.29999999998836</c:v>
                </c:pt>
                <c:pt idx="16">
                  <c:v>153.60000000000582</c:v>
                </c:pt>
                <c:pt idx="17">
                  <c:v>128.89999999999418</c:v>
                </c:pt>
                <c:pt idx="18">
                  <c:v>108</c:v>
                </c:pt>
                <c:pt idx="19">
                  <c:v>127.90000000000873</c:v>
                </c:pt>
                <c:pt idx="20">
                  <c:v>113.5</c:v>
                </c:pt>
                <c:pt idx="21">
                  <c:v>88.599999999991269</c:v>
                </c:pt>
                <c:pt idx="22">
                  <c:v>111.10000000000582</c:v>
                </c:pt>
                <c:pt idx="23">
                  <c:v>175</c:v>
                </c:pt>
                <c:pt idx="24">
                  <c:v>157</c:v>
                </c:pt>
                <c:pt idx="25">
                  <c:v>112</c:v>
                </c:pt>
                <c:pt idx="26">
                  <c:v>144.80000000000291</c:v>
                </c:pt>
                <c:pt idx="27">
                  <c:v>130.5</c:v>
                </c:pt>
                <c:pt idx="28">
                  <c:v>148.80000000000291</c:v>
                </c:pt>
                <c:pt idx="29">
                  <c:v>113.19999999999709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2905</c:v>
                </c:pt>
                <c:pt idx="1">
                  <c:v>3394</c:v>
                </c:pt>
                <c:pt idx="2">
                  <c:v>3137</c:v>
                </c:pt>
                <c:pt idx="3">
                  <c:v>3601</c:v>
                </c:pt>
                <c:pt idx="4">
                  <c:v>3388</c:v>
                </c:pt>
                <c:pt idx="5">
                  <c:v>3014</c:v>
                </c:pt>
                <c:pt idx="6">
                  <c:v>2931</c:v>
                </c:pt>
                <c:pt idx="7">
                  <c:v>3354</c:v>
                </c:pt>
                <c:pt idx="8">
                  <c:v>3227</c:v>
                </c:pt>
                <c:pt idx="9">
                  <c:v>3693</c:v>
                </c:pt>
                <c:pt idx="10">
                  <c:v>4104</c:v>
                </c:pt>
                <c:pt idx="11">
                  <c:v>4367</c:v>
                </c:pt>
                <c:pt idx="12">
                  <c:v>3634</c:v>
                </c:pt>
                <c:pt idx="13">
                  <c:v>3077</c:v>
                </c:pt>
                <c:pt idx="14">
                  <c:v>3434</c:v>
                </c:pt>
                <c:pt idx="15">
                  <c:v>4002</c:v>
                </c:pt>
                <c:pt idx="16">
                  <c:v>4421</c:v>
                </c:pt>
                <c:pt idx="17">
                  <c:v>3833</c:v>
                </c:pt>
                <c:pt idx="18">
                  <c:v>3485</c:v>
                </c:pt>
                <c:pt idx="19">
                  <c:v>3232</c:v>
                </c:pt>
                <c:pt idx="20">
                  <c:v>3932</c:v>
                </c:pt>
                <c:pt idx="21">
                  <c:v>2673</c:v>
                </c:pt>
                <c:pt idx="22">
                  <c:v>5431</c:v>
                </c:pt>
                <c:pt idx="23">
                  <c:v>4160</c:v>
                </c:pt>
                <c:pt idx="24">
                  <c:v>3634</c:v>
                </c:pt>
                <c:pt idx="25">
                  <c:v>3466</c:v>
                </c:pt>
                <c:pt idx="26">
                  <c:v>3454</c:v>
                </c:pt>
                <c:pt idx="27">
                  <c:v>4184</c:v>
                </c:pt>
                <c:pt idx="28">
                  <c:v>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7908</c:v>
                </c:pt>
                <c:pt idx="1">
                  <c:v>6748</c:v>
                </c:pt>
                <c:pt idx="2">
                  <c:v>7196</c:v>
                </c:pt>
                <c:pt idx="3">
                  <c:v>7362</c:v>
                </c:pt>
                <c:pt idx="4">
                  <c:v>7632</c:v>
                </c:pt>
                <c:pt idx="5">
                  <c:v>8451</c:v>
                </c:pt>
                <c:pt idx="6">
                  <c:v>7346</c:v>
                </c:pt>
                <c:pt idx="7">
                  <c:v>7945</c:v>
                </c:pt>
                <c:pt idx="8">
                  <c:v>7523</c:v>
                </c:pt>
                <c:pt idx="9">
                  <c:v>8398</c:v>
                </c:pt>
                <c:pt idx="10">
                  <c:v>9608</c:v>
                </c:pt>
                <c:pt idx="11">
                  <c:v>10753</c:v>
                </c:pt>
                <c:pt idx="12">
                  <c:v>10022</c:v>
                </c:pt>
                <c:pt idx="13">
                  <c:v>8393</c:v>
                </c:pt>
                <c:pt idx="14">
                  <c:v>8854</c:v>
                </c:pt>
                <c:pt idx="15">
                  <c:v>9368</c:v>
                </c:pt>
                <c:pt idx="16">
                  <c:v>8673</c:v>
                </c:pt>
                <c:pt idx="17">
                  <c:v>8198</c:v>
                </c:pt>
                <c:pt idx="18">
                  <c:v>8713</c:v>
                </c:pt>
                <c:pt idx="19">
                  <c:v>7923</c:v>
                </c:pt>
                <c:pt idx="20">
                  <c:v>7662</c:v>
                </c:pt>
                <c:pt idx="21">
                  <c:v>7893</c:v>
                </c:pt>
                <c:pt idx="22">
                  <c:v>8092</c:v>
                </c:pt>
                <c:pt idx="23">
                  <c:v>9619</c:v>
                </c:pt>
                <c:pt idx="24">
                  <c:v>8419</c:v>
                </c:pt>
                <c:pt idx="25">
                  <c:v>8320</c:v>
                </c:pt>
                <c:pt idx="26">
                  <c:v>9029</c:v>
                </c:pt>
                <c:pt idx="27">
                  <c:v>10300</c:v>
                </c:pt>
                <c:pt idx="28">
                  <c:v>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2680</c:v>
                </c:pt>
                <c:pt idx="1">
                  <c:v>2940</c:v>
                </c:pt>
                <c:pt idx="2">
                  <c:v>3009</c:v>
                </c:pt>
                <c:pt idx="3">
                  <c:v>2878</c:v>
                </c:pt>
                <c:pt idx="4">
                  <c:v>2677</c:v>
                </c:pt>
                <c:pt idx="5">
                  <c:v>2868</c:v>
                </c:pt>
                <c:pt idx="6">
                  <c:v>2741</c:v>
                </c:pt>
                <c:pt idx="7">
                  <c:v>2883</c:v>
                </c:pt>
                <c:pt idx="8">
                  <c:v>2978</c:v>
                </c:pt>
                <c:pt idx="9">
                  <c:v>3851</c:v>
                </c:pt>
                <c:pt idx="10">
                  <c:v>3590</c:v>
                </c:pt>
                <c:pt idx="11">
                  <c:v>4494</c:v>
                </c:pt>
                <c:pt idx="12">
                  <c:v>3371</c:v>
                </c:pt>
                <c:pt idx="13">
                  <c:v>2894</c:v>
                </c:pt>
                <c:pt idx="14">
                  <c:v>3298</c:v>
                </c:pt>
                <c:pt idx="15">
                  <c:v>3239</c:v>
                </c:pt>
                <c:pt idx="16">
                  <c:v>3371</c:v>
                </c:pt>
                <c:pt idx="17">
                  <c:v>3471</c:v>
                </c:pt>
                <c:pt idx="18">
                  <c:v>3460</c:v>
                </c:pt>
                <c:pt idx="19">
                  <c:v>2914</c:v>
                </c:pt>
                <c:pt idx="20">
                  <c:v>2845</c:v>
                </c:pt>
                <c:pt idx="21">
                  <c:v>2885</c:v>
                </c:pt>
                <c:pt idx="22">
                  <c:v>3367</c:v>
                </c:pt>
                <c:pt idx="23">
                  <c:v>3904</c:v>
                </c:pt>
                <c:pt idx="24">
                  <c:v>3103</c:v>
                </c:pt>
                <c:pt idx="25">
                  <c:v>3342</c:v>
                </c:pt>
                <c:pt idx="26">
                  <c:v>3397</c:v>
                </c:pt>
                <c:pt idx="27">
                  <c:v>3833</c:v>
                </c:pt>
                <c:pt idx="28">
                  <c:v>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370.3</c:v>
                </c:pt>
                <c:pt idx="1">
                  <c:v>148.12</c:v>
                </c:pt>
                <c:pt idx="2">
                  <c:v>703.57</c:v>
                </c:pt>
                <c:pt idx="3">
                  <c:v>148.4</c:v>
                </c:pt>
                <c:pt idx="4">
                  <c:v>255.99368000000001</c:v>
                </c:pt>
                <c:pt idx="5">
                  <c:v>255.99368000000001</c:v>
                </c:pt>
                <c:pt idx="6">
                  <c:v>31.999210000000001</c:v>
                </c:pt>
                <c:pt idx="7">
                  <c:v>95.997630000000001</c:v>
                </c:pt>
                <c:pt idx="8">
                  <c:v>223.99447000000001</c:v>
                </c:pt>
                <c:pt idx="9">
                  <c:v>223.99447000000001</c:v>
                </c:pt>
                <c:pt idx="10">
                  <c:v>255.99368000000001</c:v>
                </c:pt>
                <c:pt idx="11">
                  <c:v>191.99526</c:v>
                </c:pt>
                <c:pt idx="12">
                  <c:v>287.99288999999999</c:v>
                </c:pt>
                <c:pt idx="13">
                  <c:v>127.99684000000001</c:v>
                </c:pt>
                <c:pt idx="14">
                  <c:v>191.99526</c:v>
                </c:pt>
                <c:pt idx="15">
                  <c:v>223.99447000000001</c:v>
                </c:pt>
                <c:pt idx="16">
                  <c:v>159.99605</c:v>
                </c:pt>
                <c:pt idx="17">
                  <c:v>383.99052</c:v>
                </c:pt>
                <c:pt idx="18">
                  <c:v>287.99288999999999</c:v>
                </c:pt>
                <c:pt idx="19">
                  <c:v>191.99526</c:v>
                </c:pt>
                <c:pt idx="20">
                  <c:v>255.99368000000001</c:v>
                </c:pt>
                <c:pt idx="21">
                  <c:v>287.99288999999999</c:v>
                </c:pt>
                <c:pt idx="22">
                  <c:v>127.99684000000001</c:v>
                </c:pt>
                <c:pt idx="23">
                  <c:v>319.99209999999999</c:v>
                </c:pt>
                <c:pt idx="24">
                  <c:v>255.99368000000001</c:v>
                </c:pt>
                <c:pt idx="25">
                  <c:v>255.99368000000001</c:v>
                </c:pt>
                <c:pt idx="26">
                  <c:v>383.99052</c:v>
                </c:pt>
                <c:pt idx="27">
                  <c:v>255.99368000000001</c:v>
                </c:pt>
                <c:pt idx="28">
                  <c:v>223.99447000000001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3" workbookViewId="0">
      <selection activeCell="C12" sqref="C1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6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6" t="s">
        <v>10</v>
      </c>
      <c r="L1" s="146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7</v>
      </c>
      <c r="D2" s="141">
        <v>2021</v>
      </c>
      <c r="E2" s="137">
        <f>submetering!E2+submetering!F2+submetering!G2</f>
        <v>13493</v>
      </c>
      <c r="F2" s="134">
        <v>1.05</v>
      </c>
      <c r="G2" s="134">
        <f>'Consommation mensuel énergie'!V10</f>
        <v>370.3</v>
      </c>
      <c r="H2" s="134">
        <v>8.6999999999999993</v>
      </c>
      <c r="I2" s="134">
        <f>'Consommation mensuel énergie'!F10</f>
        <v>106.70000000001164</v>
      </c>
      <c r="J2" s="134">
        <v>11.4</v>
      </c>
      <c r="K2" s="137">
        <f>'Consommation mensuel énergie'!D10</f>
        <v>60</v>
      </c>
      <c r="L2" s="137">
        <f>'Consommation mensuel énergie'!E10</f>
        <v>88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7</v>
      </c>
      <c r="D3" s="141">
        <v>2021</v>
      </c>
      <c r="E3" s="137">
        <f>submetering!E3+submetering!F3+submetering!G3</f>
        <v>12819</v>
      </c>
      <c r="F3" s="134">
        <v>1.05</v>
      </c>
      <c r="G3" s="134">
        <f>'Consommation mensuel énergie'!V11</f>
        <v>148.12</v>
      </c>
      <c r="H3" s="134">
        <v>8.6999999999999993</v>
      </c>
      <c r="I3" s="134">
        <f>'Consommation mensuel énergie'!F11</f>
        <v>112.29999999998836</v>
      </c>
      <c r="J3" s="134">
        <v>11.4</v>
      </c>
      <c r="K3" s="137">
        <f>'Consommation mensuel énergie'!D11</f>
        <v>62</v>
      </c>
      <c r="L3" s="137">
        <f>'Consommation mensuel énergie'!E11</f>
        <v>103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7</v>
      </c>
      <c r="D4" s="141">
        <v>2021</v>
      </c>
      <c r="E4" s="137">
        <f>submetering!E4+submetering!F4+submetering!G4</f>
        <v>13342</v>
      </c>
      <c r="F4" s="134">
        <v>1.05</v>
      </c>
      <c r="G4" s="134">
        <f>'Consommation mensuel énergie'!V12</f>
        <v>703.57</v>
      </c>
      <c r="H4" s="134">
        <v>8.6999999999999993</v>
      </c>
      <c r="I4" s="134">
        <f>'Consommation mensuel énergie'!F12</f>
        <v>113.90000000000873</v>
      </c>
      <c r="J4" s="134">
        <v>11.4</v>
      </c>
      <c r="K4" s="137">
        <f>'Consommation mensuel énergie'!D12</f>
        <v>68</v>
      </c>
      <c r="L4" s="137">
        <f>'Consommation mensuel énergie'!E12</f>
        <v>118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7</v>
      </c>
      <c r="D5" s="141">
        <v>2021</v>
      </c>
      <c r="E5" s="137">
        <f>submetering!E5+submetering!F5+submetering!G5</f>
        <v>13841</v>
      </c>
      <c r="F5" s="134">
        <v>1.05</v>
      </c>
      <c r="G5" s="134">
        <f>'Consommation mensuel énergie'!V13</f>
        <v>148.4</v>
      </c>
      <c r="H5" s="134">
        <v>8.6999999999999993</v>
      </c>
      <c r="I5" s="134">
        <f>'Consommation mensuel énergie'!F13</f>
        <v>113.19999999999709</v>
      </c>
      <c r="J5" s="134">
        <v>11.4</v>
      </c>
      <c r="K5" s="137">
        <f>'Consommation mensuel énergie'!D13</f>
        <v>59</v>
      </c>
      <c r="L5" s="137">
        <f>'Consommation mensuel énergie'!E13</f>
        <v>86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7</v>
      </c>
      <c r="D6" s="141">
        <v>2021</v>
      </c>
      <c r="E6" s="137">
        <f>submetering!E6+submetering!F6+submetering!G6</f>
        <v>13697</v>
      </c>
      <c r="F6" s="134">
        <v>1.05</v>
      </c>
      <c r="G6" s="134">
        <f>'Consommation mensuel énergie'!V14</f>
        <v>255.99368000000001</v>
      </c>
      <c r="H6" s="134">
        <v>8.6999999999999993</v>
      </c>
      <c r="I6" s="134">
        <f>'Consommation mensuel énergie'!F14</f>
        <v>98</v>
      </c>
      <c r="J6" s="134">
        <v>11.4</v>
      </c>
      <c r="K6" s="137">
        <f>'Consommation mensuel énergie'!D14</f>
        <v>59</v>
      </c>
      <c r="L6" s="137">
        <f>'Consommation mensuel énergie'!E14</f>
        <v>96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7</v>
      </c>
      <c r="D7" s="141">
        <v>2021</v>
      </c>
      <c r="E7" s="137">
        <f>submetering!E7+submetering!F7+submetering!G7</f>
        <v>14333</v>
      </c>
      <c r="F7" s="134">
        <v>1.05</v>
      </c>
      <c r="G7" s="134">
        <f>'Consommation mensuel énergie'!V15</f>
        <v>255.99368000000001</v>
      </c>
      <c r="H7" s="134">
        <v>8.6999999999999993</v>
      </c>
      <c r="I7" s="134">
        <f>'Consommation mensuel énergie'!F15</f>
        <v>81.80000000000291</v>
      </c>
      <c r="J7" s="134">
        <v>11.4</v>
      </c>
      <c r="K7" s="137">
        <f>'Consommation mensuel énergie'!D15</f>
        <v>65</v>
      </c>
      <c r="L7" s="137">
        <f>'Consommation mensuel énergie'!E15</f>
        <v>108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7</v>
      </c>
      <c r="D8" s="141">
        <v>2021</v>
      </c>
      <c r="E8" s="137">
        <f>submetering!E8+submetering!F8+submetering!G8</f>
        <v>13018</v>
      </c>
      <c r="F8" s="134">
        <v>1.05</v>
      </c>
      <c r="G8" s="134">
        <f>'Consommation mensuel énergie'!V16</f>
        <v>31.999210000000001</v>
      </c>
      <c r="H8" s="134">
        <v>8.6999999999999993</v>
      </c>
      <c r="I8" s="134">
        <f>'Consommation mensuel énergie'!F16</f>
        <v>129</v>
      </c>
      <c r="J8" s="134">
        <v>11.4</v>
      </c>
      <c r="K8" s="137">
        <f>'Consommation mensuel énergie'!D16</f>
        <v>79</v>
      </c>
      <c r="L8" s="137">
        <f>'Consommation mensuel énergie'!E16</f>
        <v>121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7</v>
      </c>
      <c r="D9" s="141">
        <v>2021</v>
      </c>
      <c r="E9" s="137">
        <f>submetering!E9+submetering!F9+submetering!G9</f>
        <v>14182</v>
      </c>
      <c r="F9" s="134">
        <v>1.05</v>
      </c>
      <c r="G9" s="134">
        <f>'Consommation mensuel énergie'!V17</f>
        <v>95.997630000000001</v>
      </c>
      <c r="H9" s="134">
        <v>8.6999999999999993</v>
      </c>
      <c r="I9" s="134">
        <f>'Consommation mensuel énergie'!F17</f>
        <v>101.19999999999709</v>
      </c>
      <c r="J9" s="134">
        <v>11.4</v>
      </c>
      <c r="K9" s="137">
        <f>'Consommation mensuel énergie'!D17</f>
        <v>93</v>
      </c>
      <c r="L9" s="137">
        <f>'Consommation mensuel énergie'!E17</f>
        <v>156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7</v>
      </c>
      <c r="D10" s="141">
        <v>2021</v>
      </c>
      <c r="E10" s="137">
        <f>submetering!E10+submetering!F10+submetering!G10</f>
        <v>13728</v>
      </c>
      <c r="F10" s="134">
        <v>1.05</v>
      </c>
      <c r="G10" s="134">
        <f>'Consommation mensuel énergie'!V19</f>
        <v>223.99447000000001</v>
      </c>
      <c r="H10" s="134">
        <v>8.6999999999999993</v>
      </c>
      <c r="I10" s="134">
        <f>'Consommation mensuel énergie'!F18</f>
        <v>114.60000000000582</v>
      </c>
      <c r="J10" s="134">
        <v>11.4</v>
      </c>
      <c r="K10" s="137">
        <f>'Consommation mensuel énergie'!D18</f>
        <v>99</v>
      </c>
      <c r="L10" s="137">
        <f>'Consommation mensuel énergie'!E18</f>
        <v>183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7</v>
      </c>
      <c r="D11" s="141">
        <v>2021</v>
      </c>
      <c r="E11" s="137">
        <f>submetering!E11+submetering!F11+submetering!G11</f>
        <v>15942</v>
      </c>
      <c r="F11" s="134">
        <v>1.05</v>
      </c>
      <c r="G11" s="134">
        <f>'Consommation mensuel énergie'!V20</f>
        <v>255.99368000000001</v>
      </c>
      <c r="H11" s="134">
        <v>8.6999999999999993</v>
      </c>
      <c r="I11" s="134">
        <f>'Consommation mensuel énergie'!F19</f>
        <v>119.09999999999127</v>
      </c>
      <c r="J11" s="134">
        <v>11.4</v>
      </c>
      <c r="K11" s="137">
        <f>'Consommation mensuel énergie'!D19</f>
        <v>98</v>
      </c>
      <c r="L11" s="137">
        <f>'Consommation mensuel énergie'!E19</f>
        <v>183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7</v>
      </c>
      <c r="D12" s="141">
        <v>2021</v>
      </c>
      <c r="E12" s="137">
        <f>submetering!E12+submetering!F12+submetering!G12</f>
        <v>17302</v>
      </c>
      <c r="F12" s="134">
        <v>1.05</v>
      </c>
      <c r="G12" s="134">
        <f>'Consommation mensuel énergie'!V21</f>
        <v>191.99526</v>
      </c>
      <c r="H12" s="134">
        <v>8.6999999999999993</v>
      </c>
      <c r="I12" s="134">
        <f>'Consommation mensuel énergie'!F20</f>
        <v>137.30000000000291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156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7</v>
      </c>
      <c r="D13" s="141">
        <v>2021</v>
      </c>
      <c r="E13" s="137">
        <f>submetering!E13+submetering!F13+submetering!G13</f>
        <v>19614</v>
      </c>
      <c r="F13" s="134">
        <v>1.05</v>
      </c>
      <c r="G13" s="134">
        <f>'Consommation mensuel énergie'!V22</f>
        <v>287.99288999999999</v>
      </c>
      <c r="H13" s="134">
        <v>8.6999999999999993</v>
      </c>
      <c r="I13" s="134">
        <f>'Consommation mensuel énergie'!F21</f>
        <v>104</v>
      </c>
      <c r="J13" s="134">
        <v>11.4</v>
      </c>
      <c r="K13" s="137">
        <f>'Consommation mensuel énergie'!D21</f>
        <v>96</v>
      </c>
      <c r="L13" s="137">
        <f>'Consommation mensuel énergie'!E21</f>
        <v>150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7</v>
      </c>
      <c r="D14" s="141">
        <v>2021</v>
      </c>
      <c r="E14" s="137">
        <f>submetering!E14+submetering!F14+submetering!G14</f>
        <v>17027</v>
      </c>
      <c r="F14" s="134">
        <v>1.05</v>
      </c>
      <c r="G14" s="134">
        <f>'Consommation mensuel énergie'!V23</f>
        <v>127.99684000000001</v>
      </c>
      <c r="H14" s="134">
        <v>8.6999999999999993</v>
      </c>
      <c r="I14" s="134">
        <f>'Consommation mensuel énergie'!F22</f>
        <v>178.10000000000582</v>
      </c>
      <c r="J14" s="134">
        <v>11.4</v>
      </c>
      <c r="K14" s="137">
        <f>'Consommation mensuel énergie'!D22</f>
        <v>102</v>
      </c>
      <c r="L14" s="137">
        <f>'Consommation mensuel énergie'!E22</f>
        <v>149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7</v>
      </c>
      <c r="D15" s="141">
        <v>2021</v>
      </c>
      <c r="E15" s="137">
        <f>submetering!E15+submetering!F15+submetering!G15</f>
        <v>14364</v>
      </c>
      <c r="F15" s="134">
        <v>1.05</v>
      </c>
      <c r="G15" s="134">
        <f>'Consommation mensuel énergie'!V24</f>
        <v>191.99526</v>
      </c>
      <c r="H15" s="134">
        <v>8.6999999999999993</v>
      </c>
      <c r="I15" s="134">
        <f>'Consommation mensuel énergie'!F23</f>
        <v>97.399999999994179</v>
      </c>
      <c r="J15" s="134">
        <v>11.4</v>
      </c>
      <c r="K15" s="137">
        <f>'Consommation mensuel énergie'!D23</f>
        <v>99</v>
      </c>
      <c r="L15" s="137">
        <f>'Consommation mensuel énergie'!E23</f>
        <v>147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7</v>
      </c>
      <c r="D16" s="141">
        <v>2021</v>
      </c>
      <c r="E16" s="137">
        <f>submetering!E16+submetering!F16+submetering!G16</f>
        <v>15586</v>
      </c>
      <c r="F16" s="134">
        <v>1.05</v>
      </c>
      <c r="G16" s="134">
        <f>'Consommation mensuel énergie'!V25</f>
        <v>223.99447000000001</v>
      </c>
      <c r="H16" s="134">
        <v>8.6999999999999993</v>
      </c>
      <c r="I16" s="134">
        <f>'Consommation mensuel énergie'!F24</f>
        <v>154.60000000000582</v>
      </c>
      <c r="J16" s="134">
        <v>11.4</v>
      </c>
      <c r="K16" s="137">
        <f>'Consommation mensuel énergie'!D24</f>
        <v>94</v>
      </c>
      <c r="L16" s="137">
        <f>'Consommation mensuel énergie'!E24</f>
        <v>155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7</v>
      </c>
      <c r="D17" s="141">
        <v>2021</v>
      </c>
      <c r="E17" s="137">
        <f>submetering!E17+submetering!F17+submetering!G17</f>
        <v>16609</v>
      </c>
      <c r="F17" s="134">
        <v>1.05</v>
      </c>
      <c r="G17" s="134">
        <f>'Consommation mensuel énergie'!V26</f>
        <v>159.99605</v>
      </c>
      <c r="H17" s="134">
        <v>8.6999999999999993</v>
      </c>
      <c r="I17" s="134">
        <f>'Consommation mensuel énergie'!F25</f>
        <v>116.29999999998836</v>
      </c>
      <c r="J17" s="134">
        <v>11.4</v>
      </c>
      <c r="K17" s="137">
        <f>'Consommation mensuel énergie'!D25</f>
        <v>95</v>
      </c>
      <c r="L17" s="137">
        <f>'Consommation mensuel énergie'!E25</f>
        <v>174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7</v>
      </c>
      <c r="D18" s="141">
        <v>2021</v>
      </c>
      <c r="E18" s="137">
        <f>submetering!E18+submetering!F18+submetering!G18</f>
        <v>16465</v>
      </c>
      <c r="F18" s="134">
        <v>1.05</v>
      </c>
      <c r="G18" s="134">
        <f>'Consommation mensuel énergie'!V27</f>
        <v>383.99052</v>
      </c>
      <c r="H18" s="134">
        <v>8.6999999999999993</v>
      </c>
      <c r="I18" s="134">
        <f>'Consommation mensuel énergie'!F26</f>
        <v>153.60000000000582</v>
      </c>
      <c r="J18" s="134">
        <v>11.4</v>
      </c>
      <c r="K18" s="137">
        <f>'Consommation mensuel énergie'!D26</f>
        <v>106</v>
      </c>
      <c r="L18" s="137">
        <f>'Consommation mensuel énergie'!E26</f>
        <v>201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7</v>
      </c>
      <c r="D19" s="141">
        <v>2021</v>
      </c>
      <c r="E19" s="137">
        <f>submetering!E19+submetering!F19+submetering!G19</f>
        <v>15502</v>
      </c>
      <c r="F19" s="134">
        <v>1.05</v>
      </c>
      <c r="G19" s="134">
        <f>'Consommation mensuel énergie'!V28</f>
        <v>287.99288999999999</v>
      </c>
      <c r="H19" s="134">
        <v>8.6999999999999993</v>
      </c>
      <c r="I19" s="134">
        <f>'Consommation mensuel énergie'!F27</f>
        <v>128.89999999999418</v>
      </c>
      <c r="J19" s="134">
        <v>11.4</v>
      </c>
      <c r="K19" s="137">
        <f>'Consommation mensuel énergie'!D27</f>
        <v>80</v>
      </c>
      <c r="L19" s="137">
        <f>'Consommation mensuel énergie'!E27</f>
        <v>144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7</v>
      </c>
      <c r="D20" s="141">
        <v>2021</v>
      </c>
      <c r="E20" s="137">
        <f>submetering!E20+submetering!F20+submetering!G20</f>
        <v>15658</v>
      </c>
      <c r="F20" s="134">
        <v>1.05</v>
      </c>
      <c r="G20" s="134">
        <f>'Consommation mensuel énergie'!V29</f>
        <v>191.99526</v>
      </c>
      <c r="H20" s="134">
        <v>8.6999999999999993</v>
      </c>
      <c r="I20" s="134">
        <f>'Consommation mensuel énergie'!F28</f>
        <v>108</v>
      </c>
      <c r="J20" s="134">
        <v>11.4</v>
      </c>
      <c r="K20" s="137">
        <f>'Consommation mensuel énergie'!D28</f>
        <v>70</v>
      </c>
      <c r="L20" s="137">
        <f>'Consommation mensuel énergie'!E28</f>
        <v>122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7</v>
      </c>
      <c r="D21" s="141">
        <v>2021</v>
      </c>
      <c r="E21" s="137">
        <f>submetering!E21+submetering!F21+submetering!G21</f>
        <v>14069</v>
      </c>
      <c r="F21" s="134">
        <v>1.05</v>
      </c>
      <c r="G21" s="134">
        <f>'Consommation mensuel énergie'!V30</f>
        <v>255.99368000000001</v>
      </c>
      <c r="H21" s="134">
        <v>8.6999999999999993</v>
      </c>
      <c r="I21" s="134">
        <f>'Consommation mensuel énergie'!F29</f>
        <v>127.90000000000873</v>
      </c>
      <c r="J21" s="134">
        <v>11.4</v>
      </c>
      <c r="K21" s="137">
        <f>'Consommation mensuel énergie'!D29</f>
        <v>75</v>
      </c>
      <c r="L21" s="137">
        <f>'Consommation mensuel énergie'!E29</f>
        <v>130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7</v>
      </c>
      <c r="D22" s="141">
        <v>2021</v>
      </c>
      <c r="E22" s="137">
        <f>submetering!E22+submetering!F22+submetering!G22</f>
        <v>14439</v>
      </c>
      <c r="F22" s="134">
        <v>1.05</v>
      </c>
      <c r="G22" s="134">
        <f>'Consommation mensuel énergie'!V31</f>
        <v>287.99288999999999</v>
      </c>
      <c r="H22" s="134">
        <v>8.6999999999999993</v>
      </c>
      <c r="I22" s="134">
        <f>'Consommation mensuel énergie'!F30</f>
        <v>113.5</v>
      </c>
      <c r="J22" s="134">
        <v>11.4</v>
      </c>
      <c r="K22" s="137">
        <f>'Consommation mensuel énergie'!D30</f>
        <v>79</v>
      </c>
      <c r="L22" s="137">
        <f>'Consommation mensuel énergie'!E30</f>
        <v>145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7</v>
      </c>
      <c r="D23" s="141">
        <v>2021</v>
      </c>
      <c r="E23" s="137">
        <f>submetering!E23+submetering!F23+submetering!G23</f>
        <v>13451</v>
      </c>
      <c r="F23" s="134">
        <v>1.05</v>
      </c>
      <c r="G23" s="134">
        <f>'Consommation mensuel énergie'!V32</f>
        <v>127.99684000000001</v>
      </c>
      <c r="H23" s="134">
        <v>8.6999999999999993</v>
      </c>
      <c r="I23" s="134">
        <f>'Consommation mensuel énergie'!F31</f>
        <v>88.599999999991269</v>
      </c>
      <c r="J23" s="134">
        <v>11.4</v>
      </c>
      <c r="K23" s="137">
        <f>'Consommation mensuel énergie'!D31</f>
        <v>101</v>
      </c>
      <c r="L23" s="137">
        <f>'Consommation mensuel énergie'!E31</f>
        <v>174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7</v>
      </c>
      <c r="D24" s="141">
        <v>2021</v>
      </c>
      <c r="E24" s="137">
        <f>submetering!E24+submetering!F24+submetering!G24</f>
        <v>16890</v>
      </c>
      <c r="F24" s="134">
        <v>1.05</v>
      </c>
      <c r="G24" s="134">
        <f>'Consommation mensuel énergie'!V33</f>
        <v>319.99209999999999</v>
      </c>
      <c r="H24" s="134">
        <v>8.6999999999999993</v>
      </c>
      <c r="I24" s="134">
        <f>'Consommation mensuel énergie'!F32</f>
        <v>111.10000000000582</v>
      </c>
      <c r="J24" s="134">
        <v>11.4</v>
      </c>
      <c r="K24" s="137">
        <f>'Consommation mensuel énergie'!D32</f>
        <v>116</v>
      </c>
      <c r="L24" s="137">
        <f>'Consommation mensuel énergie'!E32</f>
        <v>193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7</v>
      </c>
      <c r="D25" s="141">
        <v>2021</v>
      </c>
      <c r="E25" s="137">
        <f>submetering!E25+submetering!F25+submetering!G25</f>
        <v>17683</v>
      </c>
      <c r="F25" s="134">
        <v>1.05</v>
      </c>
      <c r="G25" s="134">
        <f>'Consommation mensuel énergie'!V34</f>
        <v>255.99368000000001</v>
      </c>
      <c r="H25" s="134">
        <v>8.6999999999999993</v>
      </c>
      <c r="I25" s="134">
        <f>'Consommation mensuel énergie'!F33</f>
        <v>175</v>
      </c>
      <c r="J25" s="134">
        <v>11.4</v>
      </c>
      <c r="K25" s="137">
        <f>'Consommation mensuel énergie'!D33</f>
        <v>112</v>
      </c>
      <c r="L25" s="137">
        <f>'Consommation mensuel énergie'!E33</f>
        <v>196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7</v>
      </c>
      <c r="D26" s="141">
        <v>2021</v>
      </c>
      <c r="E26" s="137">
        <f>submetering!E26+submetering!F26+submetering!G26</f>
        <v>15156</v>
      </c>
      <c r="F26" s="134">
        <v>1.05</v>
      </c>
      <c r="G26" s="134">
        <f>'Consommation mensuel énergie'!V35</f>
        <v>255.99368000000001</v>
      </c>
      <c r="H26" s="134">
        <v>8.6999999999999993</v>
      </c>
      <c r="I26" s="134">
        <f>'Consommation mensuel énergie'!F34</f>
        <v>157</v>
      </c>
      <c r="J26" s="134">
        <v>11.4</v>
      </c>
      <c r="K26" s="137">
        <f>'Consommation mensuel énergie'!D34</f>
        <v>116</v>
      </c>
      <c r="L26" s="137">
        <f>'Consommation mensuel énergie'!E34</f>
        <v>187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7</v>
      </c>
      <c r="D27" s="141">
        <v>2021</v>
      </c>
      <c r="E27" s="137">
        <f>submetering!E27+submetering!F27+submetering!G27</f>
        <v>15128</v>
      </c>
      <c r="F27" s="134">
        <v>1.05</v>
      </c>
      <c r="G27" s="134">
        <f>'Consommation mensuel énergie'!V36</f>
        <v>383.99052</v>
      </c>
      <c r="H27" s="134">
        <v>8.6999999999999993</v>
      </c>
      <c r="I27" s="134">
        <f>'Consommation mensuel énergie'!F35</f>
        <v>112</v>
      </c>
      <c r="J27" s="134">
        <v>11.4</v>
      </c>
      <c r="K27" s="137">
        <f>'Consommation mensuel énergie'!D35</f>
        <v>108</v>
      </c>
      <c r="L27" s="137">
        <f>'Consommation mensuel énergie'!E35</f>
        <v>193</v>
      </c>
      <c r="M27" s="133"/>
    </row>
    <row r="28" spans="1:13">
      <c r="A28" s="136" t="s">
        <v>13</v>
      </c>
      <c r="B28" s="140">
        <f t="shared" si="1"/>
        <v>27</v>
      </c>
      <c r="C28" s="140">
        <v>7</v>
      </c>
      <c r="D28" s="141">
        <v>2021</v>
      </c>
      <c r="E28" s="137">
        <f>submetering!E28+submetering!F28+submetering!G28</f>
        <v>15880</v>
      </c>
      <c r="F28" s="134">
        <v>1.05</v>
      </c>
      <c r="G28" s="134">
        <f>'Consommation mensuel énergie'!V37</f>
        <v>255.99368000000001</v>
      </c>
      <c r="H28" s="134">
        <v>8.6999999999999993</v>
      </c>
      <c r="I28" s="134">
        <f>'Consommation mensuel énergie'!F36</f>
        <v>144.80000000000291</v>
      </c>
      <c r="J28" s="134">
        <v>11.4</v>
      </c>
      <c r="K28" s="137">
        <f>'Consommation mensuel énergie'!D36</f>
        <v>135</v>
      </c>
      <c r="L28" s="137">
        <f>'Consommation mensuel énergie'!E36</f>
        <v>234</v>
      </c>
      <c r="M28" s="133"/>
    </row>
    <row r="29" spans="1:13">
      <c r="A29" s="136" t="s">
        <v>13</v>
      </c>
      <c r="B29" s="140">
        <f t="shared" si="1"/>
        <v>28</v>
      </c>
      <c r="C29" s="140">
        <v>7</v>
      </c>
      <c r="D29" s="141">
        <v>2021</v>
      </c>
      <c r="E29" s="137">
        <f>submetering!E29+submetering!F29+submetering!G29</f>
        <v>18317</v>
      </c>
      <c r="F29" s="134">
        <v>1.05</v>
      </c>
      <c r="G29" s="134">
        <f>'Consommation mensuel énergie'!V38</f>
        <v>223.99447000000001</v>
      </c>
      <c r="H29" s="134">
        <v>8.6999999999999993</v>
      </c>
      <c r="I29" s="134">
        <f>'Consommation mensuel énergie'!F37</f>
        <v>130.5</v>
      </c>
      <c r="J29" s="134">
        <v>11.4</v>
      </c>
      <c r="K29" s="137">
        <f>'Consommation mensuel énergie'!D37</f>
        <v>102</v>
      </c>
      <c r="L29" s="137">
        <f>'Consommation mensuel énergie'!E37</f>
        <v>171</v>
      </c>
      <c r="M29" s="133"/>
    </row>
    <row r="30" spans="1:13">
      <c r="A30" s="136" t="s">
        <v>13</v>
      </c>
      <c r="B30" s="140">
        <f t="shared" si="1"/>
        <v>29</v>
      </c>
      <c r="C30" s="140">
        <v>7</v>
      </c>
      <c r="D30" s="141">
        <v>2021</v>
      </c>
      <c r="E30" s="137">
        <f>submetering!E30+submetering!F30+submetering!G30</f>
        <v>16007</v>
      </c>
      <c r="F30" s="134">
        <v>1.05</v>
      </c>
      <c r="G30" s="134">
        <f>'Consommation mensuel énergie'!V39</f>
        <v>0</v>
      </c>
      <c r="H30" s="134">
        <v>8.6999999999999993</v>
      </c>
      <c r="I30" s="134">
        <f>'Consommation mensuel énergie'!F38</f>
        <v>148.80000000000291</v>
      </c>
      <c r="J30" s="134">
        <v>11.4</v>
      </c>
      <c r="K30" s="137">
        <f>'Consommation mensuel énergie'!D38</f>
        <v>80</v>
      </c>
      <c r="L30" s="137">
        <f>'Consommation mensuel énergie'!E38</f>
        <v>139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7</v>
      </c>
      <c r="D31" s="141">
        <v>2021</v>
      </c>
      <c r="E31" s="137">
        <f>submetering!E31+submetering!F31+submetering!G31</f>
        <v>15567</v>
      </c>
      <c r="F31" s="134">
        <v>1.05</v>
      </c>
      <c r="G31" s="134">
        <f>'Consommation mensuel énergie'!V40</f>
        <v>7130.2477999999992</v>
      </c>
      <c r="H31" s="134">
        <v>8.6999999999999993</v>
      </c>
      <c r="I31" s="134">
        <f>'Consommation mensuel énergie'!F39</f>
        <v>113.19999999999709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7</v>
      </c>
      <c r="D32" s="141">
        <v>2021</v>
      </c>
      <c r="E32" s="137">
        <f>submetering!E32+submetering!F32+submetering!G32</f>
        <v>459372</v>
      </c>
      <c r="F32" s="134">
        <v>1.05</v>
      </c>
      <c r="G32" s="134">
        <f>'Consommation mensuel énergie'!V41</f>
        <v>0</v>
      </c>
      <c r="H32" s="134">
        <v>8.6999999999999993</v>
      </c>
      <c r="I32" s="134">
        <f>'Consommation mensuel énergie'!F40</f>
        <v>3690.4000000000087</v>
      </c>
      <c r="J32" s="134">
        <v>11.4</v>
      </c>
      <c r="K32" s="137">
        <f>'Consommation mensuel énergie'!D40</f>
        <v>2601</v>
      </c>
      <c r="L32" s="137">
        <f>'Consommation mensuel énergie'!E40</f>
        <v>4402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A35" s="166"/>
      <c r="F35" s="134"/>
      <c r="G35" s="134"/>
      <c r="H35" s="134"/>
      <c r="I35" s="134"/>
      <c r="J35" s="134"/>
    </row>
    <row r="36" spans="1:13">
      <c r="A36" s="166"/>
      <c r="F36" s="134"/>
      <c r="G36" s="134"/>
      <c r="H36" s="134"/>
      <c r="I36" s="134"/>
      <c r="J36" s="134"/>
    </row>
    <row r="37" spans="1:13">
      <c r="A37" s="166"/>
      <c r="F37" s="134"/>
      <c r="G37" s="134"/>
      <c r="H37" s="134"/>
      <c r="I37" s="134"/>
      <c r="J37" s="134"/>
    </row>
    <row r="38" spans="1:13">
      <c r="A38" s="166"/>
      <c r="F38" s="134"/>
      <c r="G38" s="134"/>
      <c r="H38" s="134"/>
      <c r="I38" s="134"/>
      <c r="J38" s="134"/>
    </row>
    <row r="39" spans="1:13">
      <c r="A39" s="166"/>
      <c r="F39" s="134"/>
      <c r="G39" s="134"/>
      <c r="H39" s="134"/>
      <c r="I39" s="134"/>
      <c r="J39" s="134"/>
    </row>
    <row r="40" spans="1:13">
      <c r="A40" s="166"/>
      <c r="F40" s="134"/>
      <c r="G40" s="134"/>
      <c r="H40" s="134"/>
      <c r="I40" s="134"/>
      <c r="J40" s="134"/>
    </row>
    <row r="41" spans="1:13">
      <c r="A41" s="166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I30" sqref="I30:I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7</v>
      </c>
      <c r="D2" s="141">
        <v>2021</v>
      </c>
      <c r="E2" s="137">
        <f>'Consommation mensuel énergie'!L10</f>
        <v>2905</v>
      </c>
      <c r="F2" s="137">
        <f>'Consommation mensuel énergie'!M10</f>
        <v>7908</v>
      </c>
      <c r="G2" s="137">
        <f>'Consommation mensuel énergie'!N10</f>
        <v>2680</v>
      </c>
      <c r="H2" s="137">
        <f>'Consommation mensuel énergie'!D10</f>
        <v>60</v>
      </c>
      <c r="I2" s="137">
        <f>'Consommation mensuel énergie'!E10</f>
        <v>88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7</v>
      </c>
      <c r="D3" s="141">
        <v>2021</v>
      </c>
      <c r="E3" s="137">
        <f>'Consommation mensuel énergie'!L11</f>
        <v>3394</v>
      </c>
      <c r="F3" s="137">
        <f>'Consommation mensuel énergie'!M11</f>
        <v>6748</v>
      </c>
      <c r="G3" s="137">
        <f>'Consommation mensuel énergie'!N14</f>
        <v>2677</v>
      </c>
      <c r="H3" s="137">
        <f>'Consommation mensuel énergie'!D11</f>
        <v>62</v>
      </c>
      <c r="I3" s="137">
        <f>'Consommation mensuel énergie'!E11</f>
        <v>103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7</v>
      </c>
      <c r="D4" s="141">
        <v>2021</v>
      </c>
      <c r="E4" s="137">
        <f>'Consommation mensuel énergie'!L12</f>
        <v>3137</v>
      </c>
      <c r="F4" s="137">
        <f>'Consommation mensuel énergie'!M12</f>
        <v>7196</v>
      </c>
      <c r="G4" s="137">
        <f>'Consommation mensuel énergie'!N12</f>
        <v>3009</v>
      </c>
      <c r="H4" s="137">
        <f>'Consommation mensuel énergie'!D12</f>
        <v>68</v>
      </c>
      <c r="I4" s="137">
        <f>'Consommation mensuel énergie'!E12</f>
        <v>118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7</v>
      </c>
      <c r="D5" s="141">
        <v>2021</v>
      </c>
      <c r="E5" s="137">
        <f>'Consommation mensuel énergie'!L13</f>
        <v>3601</v>
      </c>
      <c r="F5" s="137">
        <f>'Consommation mensuel énergie'!M13</f>
        <v>7362</v>
      </c>
      <c r="G5" s="137">
        <f>'Consommation mensuel énergie'!N13</f>
        <v>2878</v>
      </c>
      <c r="H5" s="137">
        <f>'Consommation mensuel énergie'!D13</f>
        <v>59</v>
      </c>
      <c r="I5" s="137">
        <f>'Consommation mensuel énergie'!E13</f>
        <v>86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7</v>
      </c>
      <c r="D6" s="141">
        <v>2021</v>
      </c>
      <c r="E6" s="137">
        <f>'Consommation mensuel énergie'!L14</f>
        <v>3388</v>
      </c>
      <c r="F6" s="137">
        <f>'Consommation mensuel énergie'!M14</f>
        <v>7632</v>
      </c>
      <c r="G6" s="137">
        <f>'Consommation mensuel énergie'!N14</f>
        <v>2677</v>
      </c>
      <c r="H6" s="137">
        <f>'Consommation mensuel énergie'!D14</f>
        <v>59</v>
      </c>
      <c r="I6" s="137">
        <f>'Consommation mensuel énergie'!E14</f>
        <v>96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7</v>
      </c>
      <c r="D7" s="141">
        <v>2021</v>
      </c>
      <c r="E7" s="137">
        <f>'Consommation mensuel énergie'!L15</f>
        <v>3014</v>
      </c>
      <c r="F7" s="137">
        <f>'Consommation mensuel énergie'!M15</f>
        <v>8451</v>
      </c>
      <c r="G7" s="137">
        <f>'Consommation mensuel énergie'!N15</f>
        <v>2868</v>
      </c>
      <c r="H7" s="137">
        <f>'Consommation mensuel énergie'!D15</f>
        <v>65</v>
      </c>
      <c r="I7" s="137">
        <f>'Consommation mensuel énergie'!E15</f>
        <v>108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7</v>
      </c>
      <c r="D8" s="141">
        <v>2021</v>
      </c>
      <c r="E8" s="137">
        <f>'Consommation mensuel énergie'!L16</f>
        <v>2931</v>
      </c>
      <c r="F8" s="137">
        <f>'Consommation mensuel énergie'!M16</f>
        <v>7346</v>
      </c>
      <c r="G8" s="137">
        <f>'Consommation mensuel énergie'!N16</f>
        <v>2741</v>
      </c>
      <c r="H8" s="137">
        <f>'Consommation mensuel énergie'!D16</f>
        <v>79</v>
      </c>
      <c r="I8" s="137">
        <f>'Consommation mensuel énergie'!E16</f>
        <v>121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7</v>
      </c>
      <c r="D9" s="141">
        <v>2021</v>
      </c>
      <c r="E9" s="137">
        <f>'Consommation mensuel énergie'!L17</f>
        <v>3354</v>
      </c>
      <c r="F9" s="137">
        <f>'Consommation mensuel énergie'!M17</f>
        <v>7945</v>
      </c>
      <c r="G9" s="137">
        <f>'Consommation mensuel énergie'!N17</f>
        <v>2883</v>
      </c>
      <c r="H9" s="137">
        <f>'Consommation mensuel énergie'!D17</f>
        <v>93</v>
      </c>
      <c r="I9" s="137">
        <f>'Consommation mensuel énergie'!E17</f>
        <v>156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7</v>
      </c>
      <c r="D10" s="141">
        <v>2021</v>
      </c>
      <c r="E10" s="137">
        <f>'Consommation mensuel énergie'!L18</f>
        <v>3227</v>
      </c>
      <c r="F10" s="137">
        <f>'Consommation mensuel énergie'!M18</f>
        <v>7523</v>
      </c>
      <c r="G10" s="137">
        <f>'Consommation mensuel énergie'!N18</f>
        <v>2978</v>
      </c>
      <c r="H10" s="137">
        <f>'Consommation mensuel énergie'!D18</f>
        <v>99</v>
      </c>
      <c r="I10" s="137">
        <f>'Consommation mensuel énergie'!E18</f>
        <v>183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7</v>
      </c>
      <c r="D11" s="141">
        <v>2021</v>
      </c>
      <c r="E11" s="137">
        <f>'Consommation mensuel énergie'!L19</f>
        <v>3693</v>
      </c>
      <c r="F11" s="137">
        <f>'Consommation mensuel énergie'!M19</f>
        <v>8398</v>
      </c>
      <c r="G11" s="137">
        <f>'Consommation mensuel énergie'!N19</f>
        <v>3851</v>
      </c>
      <c r="H11" s="137">
        <f>'Consommation mensuel énergie'!D19</f>
        <v>98</v>
      </c>
      <c r="I11" s="137">
        <f>'Consommation mensuel énergie'!E19</f>
        <v>183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7</v>
      </c>
      <c r="D12" s="141">
        <v>2021</v>
      </c>
      <c r="E12" s="137">
        <f>'Consommation mensuel énergie'!L20</f>
        <v>4104</v>
      </c>
      <c r="F12" s="137">
        <f>'Consommation mensuel énergie'!M20</f>
        <v>9608</v>
      </c>
      <c r="G12" s="137">
        <f>'Consommation mensuel énergie'!N20</f>
        <v>3590</v>
      </c>
      <c r="H12" s="137">
        <f>'Consommation mensuel énergie'!D20</f>
        <v>93</v>
      </c>
      <c r="I12" s="137">
        <f>'Consommation mensuel énergie'!E20</f>
        <v>156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7</v>
      </c>
      <c r="D13" s="141">
        <v>2021</v>
      </c>
      <c r="E13" s="137">
        <f>'Consommation mensuel énergie'!L21</f>
        <v>4367</v>
      </c>
      <c r="F13" s="137">
        <f>'Consommation mensuel énergie'!M21</f>
        <v>10753</v>
      </c>
      <c r="G13" s="137">
        <f>'Consommation mensuel énergie'!N21</f>
        <v>4494</v>
      </c>
      <c r="H13" s="137">
        <f>'Consommation mensuel énergie'!D21</f>
        <v>96</v>
      </c>
      <c r="I13" s="137">
        <f>'Consommation mensuel énergie'!E21</f>
        <v>150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7</v>
      </c>
      <c r="D14" s="141">
        <v>2021</v>
      </c>
      <c r="E14" s="137">
        <f>'Consommation mensuel énergie'!L22</f>
        <v>3634</v>
      </c>
      <c r="F14" s="137">
        <f>'Consommation mensuel énergie'!M22</f>
        <v>10022</v>
      </c>
      <c r="G14" s="137">
        <f>'Consommation mensuel énergie'!N22</f>
        <v>3371</v>
      </c>
      <c r="H14" s="137">
        <f>'Consommation mensuel énergie'!D22</f>
        <v>102</v>
      </c>
      <c r="I14" s="137">
        <f>'Consommation mensuel énergie'!E22</f>
        <v>149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7</v>
      </c>
      <c r="D15" s="141">
        <v>2021</v>
      </c>
      <c r="E15" s="137">
        <f>'Consommation mensuel énergie'!L23</f>
        <v>3077</v>
      </c>
      <c r="F15" s="137">
        <f>'Consommation mensuel énergie'!M23</f>
        <v>8393</v>
      </c>
      <c r="G15" s="137">
        <f>'Consommation mensuel énergie'!N23</f>
        <v>2894</v>
      </c>
      <c r="H15" s="137">
        <f>'Consommation mensuel énergie'!D23</f>
        <v>99</v>
      </c>
      <c r="I15" s="137">
        <f>'Consommation mensuel énergie'!E23</f>
        <v>147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7</v>
      </c>
      <c r="D16" s="141">
        <v>2021</v>
      </c>
      <c r="E16" s="137">
        <f>'Consommation mensuel énergie'!L24</f>
        <v>3434</v>
      </c>
      <c r="F16" s="137">
        <f>'Consommation mensuel énergie'!M24</f>
        <v>8854</v>
      </c>
      <c r="G16" s="137">
        <f>'Consommation mensuel énergie'!N24</f>
        <v>3298</v>
      </c>
      <c r="H16" s="137">
        <f>'Consommation mensuel énergie'!D24</f>
        <v>94</v>
      </c>
      <c r="I16" s="137">
        <f>'Consommation mensuel énergie'!E24</f>
        <v>155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7</v>
      </c>
      <c r="D17" s="141">
        <v>2021</v>
      </c>
      <c r="E17" s="137">
        <f>'Consommation mensuel énergie'!L25</f>
        <v>4002</v>
      </c>
      <c r="F17" s="137">
        <f>'Consommation mensuel énergie'!M25</f>
        <v>9368</v>
      </c>
      <c r="G17" s="137">
        <f>'Consommation mensuel énergie'!N25</f>
        <v>3239</v>
      </c>
      <c r="H17" s="137">
        <f>'Consommation mensuel énergie'!D25</f>
        <v>95</v>
      </c>
      <c r="I17" s="137">
        <f>'Consommation mensuel énergie'!E25</f>
        <v>174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7</v>
      </c>
      <c r="D18" s="141">
        <v>2021</v>
      </c>
      <c r="E18" s="137">
        <f>'Consommation mensuel énergie'!L26</f>
        <v>4421</v>
      </c>
      <c r="F18" s="137">
        <f>'Consommation mensuel énergie'!M26</f>
        <v>8673</v>
      </c>
      <c r="G18" s="137">
        <f>'Consommation mensuel énergie'!N26</f>
        <v>3371</v>
      </c>
      <c r="H18" s="137">
        <f>'Consommation mensuel énergie'!D26</f>
        <v>106</v>
      </c>
      <c r="I18" s="137">
        <f>'Consommation mensuel énergie'!E26</f>
        <v>201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7</v>
      </c>
      <c r="D19" s="141">
        <v>2021</v>
      </c>
      <c r="E19" s="137">
        <f>'Consommation mensuel énergie'!L27</f>
        <v>3833</v>
      </c>
      <c r="F19" s="137">
        <f>'Consommation mensuel énergie'!M27</f>
        <v>8198</v>
      </c>
      <c r="G19" s="137">
        <f>'Consommation mensuel énergie'!N27</f>
        <v>3471</v>
      </c>
      <c r="H19" s="137">
        <f>'Consommation mensuel énergie'!D27</f>
        <v>80</v>
      </c>
      <c r="I19" s="137">
        <f>'Consommation mensuel énergie'!E27</f>
        <v>144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7</v>
      </c>
      <c r="D20" s="141">
        <v>2021</v>
      </c>
      <c r="E20" s="137">
        <f>'Consommation mensuel énergie'!L28</f>
        <v>3485</v>
      </c>
      <c r="F20" s="137">
        <f>'Consommation mensuel énergie'!M28</f>
        <v>8713</v>
      </c>
      <c r="G20" s="137">
        <f>'Consommation mensuel énergie'!N28</f>
        <v>3460</v>
      </c>
      <c r="H20" s="137">
        <f>'Consommation mensuel énergie'!D28</f>
        <v>70</v>
      </c>
      <c r="I20" s="137">
        <f>'Consommation mensuel énergie'!E28</f>
        <v>122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7</v>
      </c>
      <c r="D21" s="141">
        <v>2021</v>
      </c>
      <c r="E21" s="137">
        <f>'Consommation mensuel énergie'!L29</f>
        <v>3232</v>
      </c>
      <c r="F21" s="137">
        <f>'Consommation mensuel énergie'!M29</f>
        <v>7923</v>
      </c>
      <c r="G21" s="137">
        <f>'Consommation mensuel énergie'!N29</f>
        <v>2914</v>
      </c>
      <c r="H21" s="137">
        <f>'Consommation mensuel énergie'!D29</f>
        <v>75</v>
      </c>
      <c r="I21" s="137">
        <f>'Consommation mensuel énergie'!E29</f>
        <v>130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7</v>
      </c>
      <c r="D22" s="141">
        <v>2021</v>
      </c>
      <c r="E22" s="137">
        <f>'Consommation mensuel énergie'!L30</f>
        <v>3932</v>
      </c>
      <c r="F22" s="137">
        <f>'Consommation mensuel énergie'!M30</f>
        <v>7662</v>
      </c>
      <c r="G22" s="137">
        <f>'Consommation mensuel énergie'!N30</f>
        <v>2845</v>
      </c>
      <c r="H22" s="137">
        <f>'Consommation mensuel énergie'!D30</f>
        <v>79</v>
      </c>
      <c r="I22" s="137">
        <f>'Consommation mensuel énergie'!E30</f>
        <v>145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7</v>
      </c>
      <c r="D23" s="141">
        <v>2021</v>
      </c>
      <c r="E23" s="137">
        <f>'Consommation mensuel énergie'!L31</f>
        <v>2673</v>
      </c>
      <c r="F23" s="137">
        <f>'Consommation mensuel énergie'!M31</f>
        <v>7893</v>
      </c>
      <c r="G23" s="137">
        <f>'Consommation mensuel énergie'!N31</f>
        <v>2885</v>
      </c>
      <c r="H23" s="137">
        <f>'Consommation mensuel énergie'!D31</f>
        <v>101</v>
      </c>
      <c r="I23" s="137">
        <f>'Consommation mensuel énergie'!E31</f>
        <v>174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7</v>
      </c>
      <c r="D24" s="141">
        <v>2021</v>
      </c>
      <c r="E24" s="137">
        <f>'Consommation mensuel énergie'!L32</f>
        <v>5431</v>
      </c>
      <c r="F24" s="137">
        <f>'Consommation mensuel énergie'!M32</f>
        <v>8092</v>
      </c>
      <c r="G24" s="137">
        <f>'Consommation mensuel énergie'!N32</f>
        <v>3367</v>
      </c>
      <c r="H24" s="137">
        <f>'Consommation mensuel énergie'!D32</f>
        <v>116</v>
      </c>
      <c r="I24" s="137">
        <f>'Consommation mensuel énergie'!E32</f>
        <v>193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7</v>
      </c>
      <c r="D25" s="141">
        <v>2021</v>
      </c>
      <c r="E25" s="137">
        <f>'Consommation mensuel énergie'!L33</f>
        <v>4160</v>
      </c>
      <c r="F25" s="137">
        <f>'Consommation mensuel énergie'!M33</f>
        <v>9619</v>
      </c>
      <c r="G25" s="137">
        <f>'Consommation mensuel énergie'!N33</f>
        <v>3904</v>
      </c>
      <c r="H25" s="137">
        <f>'Consommation mensuel énergie'!D33</f>
        <v>112</v>
      </c>
      <c r="I25" s="137">
        <f>'Consommation mensuel énergie'!E33</f>
        <v>196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7</v>
      </c>
      <c r="D26" s="141">
        <v>2021</v>
      </c>
      <c r="E26" s="137">
        <f>'Consommation mensuel énergie'!L34</f>
        <v>3634</v>
      </c>
      <c r="F26" s="137">
        <f>'Consommation mensuel énergie'!M34</f>
        <v>8419</v>
      </c>
      <c r="G26" s="137">
        <f>'Consommation mensuel énergie'!N34</f>
        <v>3103</v>
      </c>
      <c r="H26" s="137">
        <f>'Consommation mensuel énergie'!D34</f>
        <v>116</v>
      </c>
      <c r="I26" s="137">
        <f>'Consommation mensuel énergie'!E34</f>
        <v>187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7</v>
      </c>
      <c r="D27" s="141">
        <v>2021</v>
      </c>
      <c r="E27" s="137">
        <f>'Consommation mensuel énergie'!L35</f>
        <v>3466</v>
      </c>
      <c r="F27" s="137">
        <f>'Consommation mensuel énergie'!M35</f>
        <v>8320</v>
      </c>
      <c r="G27" s="137">
        <f>'Consommation mensuel énergie'!N35</f>
        <v>3342</v>
      </c>
      <c r="H27" s="137">
        <f>'Consommation mensuel énergie'!D35</f>
        <v>108</v>
      </c>
      <c r="I27" s="137">
        <f>'Consommation mensuel énergie'!E35</f>
        <v>193</v>
      </c>
      <c r="J27" s="133"/>
    </row>
    <row r="28" spans="1:10">
      <c r="A28" s="136" t="s">
        <v>13</v>
      </c>
      <c r="B28" s="140">
        <f t="shared" si="1"/>
        <v>27</v>
      </c>
      <c r="C28" s="140">
        <v>7</v>
      </c>
      <c r="D28" s="141">
        <v>2021</v>
      </c>
      <c r="E28" s="137">
        <f>'Consommation mensuel énergie'!L36</f>
        <v>3454</v>
      </c>
      <c r="F28" s="137">
        <f>'Consommation mensuel énergie'!M36</f>
        <v>9029</v>
      </c>
      <c r="G28" s="137">
        <f>'Consommation mensuel énergie'!N36</f>
        <v>3397</v>
      </c>
      <c r="H28" s="137">
        <f>'Consommation mensuel énergie'!D36</f>
        <v>135</v>
      </c>
      <c r="I28" s="137">
        <f>'Consommation mensuel énergie'!E36</f>
        <v>234</v>
      </c>
      <c r="J28" s="133"/>
    </row>
    <row r="29" spans="1:10">
      <c r="A29" s="136" t="s">
        <v>13</v>
      </c>
      <c r="B29" s="140">
        <f t="shared" si="1"/>
        <v>28</v>
      </c>
      <c r="C29" s="140">
        <v>7</v>
      </c>
      <c r="D29" s="141">
        <v>2021</v>
      </c>
      <c r="E29" s="137">
        <f>'Consommation mensuel énergie'!L37</f>
        <v>4184</v>
      </c>
      <c r="F29" s="137">
        <f>'Consommation mensuel énergie'!M37</f>
        <v>10300</v>
      </c>
      <c r="G29" s="137">
        <f>'Consommation mensuel énergie'!N37</f>
        <v>3833</v>
      </c>
      <c r="H29" s="137">
        <f>'Consommation mensuel énergie'!D37</f>
        <v>102</v>
      </c>
      <c r="I29" s="137">
        <f>'Consommation mensuel énergie'!E37</f>
        <v>171</v>
      </c>
      <c r="J29" s="133"/>
    </row>
    <row r="30" spans="1:10">
      <c r="A30" s="136" t="s">
        <v>13</v>
      </c>
      <c r="B30" s="140">
        <f t="shared" si="1"/>
        <v>29</v>
      </c>
      <c r="C30" s="140">
        <v>7</v>
      </c>
      <c r="D30" s="141">
        <v>2021</v>
      </c>
      <c r="E30" s="137">
        <f>'Consommation mensuel énergie'!L38</f>
        <v>3985</v>
      </c>
      <c r="F30" s="137">
        <f>'Consommation mensuel énergie'!M38</f>
        <v>8983</v>
      </c>
      <c r="G30" s="137">
        <f>'Consommation mensuel énergie'!N38</f>
        <v>3039</v>
      </c>
      <c r="H30" s="137">
        <f>'Consommation mensuel énergie'!D38</f>
        <v>80</v>
      </c>
      <c r="I30" s="137">
        <f>'Consommation mensuel énergie'!E38</f>
        <v>139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7</v>
      </c>
      <c r="D31" s="141">
        <v>2021</v>
      </c>
      <c r="E31" s="137">
        <f>'Consommation mensuel énergie'!L39</f>
        <v>3751</v>
      </c>
      <c r="F31" s="137">
        <f>'Consommation mensuel énergie'!M39</f>
        <v>8548</v>
      </c>
      <c r="G31" s="137">
        <f>'Consommation mensuel énergie'!N39</f>
        <v>3268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7</v>
      </c>
      <c r="D32" s="141">
        <v>2021</v>
      </c>
      <c r="E32" s="137">
        <f>'Consommation mensuel énergie'!L40</f>
        <v>108903</v>
      </c>
      <c r="F32" s="137">
        <f>'Consommation mensuel énergie'!M40</f>
        <v>253879</v>
      </c>
      <c r="G32" s="137">
        <f>'Consommation mensuel énergie'!N40</f>
        <v>96590</v>
      </c>
      <c r="H32" s="137">
        <f>'Consommation mensuel énergie'!D40</f>
        <v>2601</v>
      </c>
      <c r="I32" s="137">
        <f>'Consommation mensuel énergie'!E40</f>
        <v>4402</v>
      </c>
      <c r="J32" s="133"/>
    </row>
    <row r="33" spans="1:9">
      <c r="A33" s="166"/>
      <c r="E33" s="134"/>
      <c r="F33" s="134"/>
      <c r="G33" s="134"/>
      <c r="H33" s="133"/>
      <c r="I33" s="133"/>
    </row>
    <row r="34" spans="1:9">
      <c r="A34" s="166"/>
      <c r="E34" s="134"/>
      <c r="F34" s="134"/>
      <c r="G34" s="134"/>
      <c r="H34" s="133"/>
      <c r="I34" s="133"/>
    </row>
    <row r="35" spans="1:9">
      <c r="A35" s="166"/>
      <c r="E35" s="134"/>
      <c r="F35" s="134"/>
      <c r="G35" s="134"/>
      <c r="H35" s="133"/>
      <c r="I35" s="133"/>
    </row>
    <row r="36" spans="1:9">
      <c r="A36" s="166"/>
      <c r="E36" s="134"/>
      <c r="F36" s="134"/>
      <c r="G36" s="134"/>
      <c r="H36" s="133"/>
      <c r="I36" s="133"/>
    </row>
    <row r="37" spans="1:9">
      <c r="A37" s="166"/>
      <c r="E37" s="134"/>
      <c r="F37" s="134"/>
      <c r="G37" s="134"/>
      <c r="H37" s="133"/>
      <c r="I37" s="133"/>
    </row>
    <row r="38" spans="1:9">
      <c r="A38" s="166"/>
      <c r="E38" s="134"/>
      <c r="F38" s="134"/>
      <c r="G38" s="134"/>
      <c r="H38" s="133"/>
      <c r="I38" s="133"/>
    </row>
    <row r="39" spans="1:9">
      <c r="A39" s="166"/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D34" activePane="bottomRight" state="frozen"/>
      <selection pane="bottomRight" activeCell="E39" sqref="E3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</row>
    <row r="2" spans="1:24" ht="100.5" customHeight="1" thickBot="1">
      <c r="A2" s="236"/>
      <c r="B2" s="237"/>
      <c r="C2" s="237"/>
      <c r="D2" s="237"/>
      <c r="E2" s="237"/>
      <c r="F2" s="237"/>
      <c r="G2" s="237"/>
      <c r="H2" s="238"/>
      <c r="I2" s="247" t="s">
        <v>17</v>
      </c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</row>
    <row r="3" spans="1:24" ht="15" hidden="1" customHeight="1" thickBot="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</row>
    <row r="4" spans="1:24" ht="39" hidden="1" customHeight="1" thickBot="1">
      <c r="A4" s="239"/>
      <c r="B4" s="239"/>
      <c r="C4" s="239"/>
      <c r="D4" s="157"/>
      <c r="E4" s="157"/>
      <c r="F4" s="157"/>
      <c r="G4" s="157"/>
      <c r="H4" s="157"/>
      <c r="I4" s="157"/>
      <c r="J4" s="157"/>
      <c r="K4" s="157"/>
      <c r="L4" s="157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9"/>
      <c r="B5" s="239"/>
      <c r="C5" s="239"/>
      <c r="D5" s="157"/>
      <c r="E5" s="157"/>
      <c r="F5" s="157"/>
      <c r="G5" s="157"/>
      <c r="H5" s="157"/>
      <c r="I5" s="157"/>
      <c r="J5" s="157"/>
      <c r="K5" s="157"/>
      <c r="L5" s="157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s="5" customFormat="1" ht="44.25" hidden="1" customHeight="1" thickBot="1">
      <c r="A6" s="3"/>
      <c r="B6" s="3"/>
      <c r="C6" s="3"/>
      <c r="D6" s="157"/>
      <c r="E6" s="157"/>
      <c r="F6" s="157"/>
      <c r="G6" s="157"/>
      <c r="H6" s="157"/>
      <c r="I6" s="157"/>
      <c r="J6" s="157"/>
      <c r="K6" s="157"/>
      <c r="L6" s="157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</row>
    <row r="7" spans="1:24" s="5" customFormat="1" ht="18.75" hidden="1" customHeight="1" thickBot="1">
      <c r="A7" s="157"/>
      <c r="B7" s="157"/>
      <c r="C7" s="157"/>
      <c r="D7" s="157"/>
      <c r="E7" s="157"/>
      <c r="F7" s="240"/>
      <c r="G7" s="240"/>
      <c r="H7" s="240"/>
      <c r="I7" s="240"/>
      <c r="J7" s="240"/>
      <c r="K7" s="240"/>
      <c r="L7" s="240"/>
      <c r="M7" s="240"/>
      <c r="N7" s="249"/>
      <c r="O7" s="249"/>
      <c r="P7" s="240"/>
      <c r="Q7" s="240"/>
      <c r="R7" s="240"/>
      <c r="S7" s="240"/>
      <c r="T7" s="240"/>
      <c r="U7" s="240"/>
      <c r="V7" s="240"/>
      <c r="W7" s="240"/>
      <c r="X7" s="240"/>
    </row>
    <row r="8" spans="1:24" ht="18.75" customHeight="1" thickBot="1">
      <c r="A8" s="240"/>
      <c r="B8" s="251" t="s">
        <v>19</v>
      </c>
      <c r="C8" s="4"/>
      <c r="D8" s="211" t="s">
        <v>20</v>
      </c>
      <c r="E8" s="211" t="s">
        <v>21</v>
      </c>
      <c r="F8" s="234" t="s">
        <v>22</v>
      </c>
      <c r="G8" s="2"/>
      <c r="H8" s="241" t="s">
        <v>23</v>
      </c>
      <c r="I8" s="242"/>
      <c r="J8" s="243"/>
      <c r="K8" s="252" t="s">
        <v>24</v>
      </c>
      <c r="L8" s="233" t="s">
        <v>25</v>
      </c>
      <c r="M8" s="233"/>
      <c r="N8" s="233"/>
      <c r="O8" s="233" t="s">
        <v>26</v>
      </c>
      <c r="P8" s="2"/>
      <c r="Q8" s="213" t="s">
        <v>23</v>
      </c>
      <c r="R8" s="2"/>
      <c r="S8" s="213" t="s">
        <v>27</v>
      </c>
      <c r="T8" s="2"/>
      <c r="U8" s="213" t="s">
        <v>28</v>
      </c>
      <c r="V8" s="215" t="s">
        <v>29</v>
      </c>
      <c r="W8" s="2"/>
      <c r="X8" s="213" t="s">
        <v>23</v>
      </c>
    </row>
    <row r="9" spans="1:24" ht="59.25" customHeight="1" thickBot="1">
      <c r="A9" s="240"/>
      <c r="B9" s="251"/>
      <c r="C9" s="4"/>
      <c r="D9" s="212"/>
      <c r="E9" s="212"/>
      <c r="F9" s="235"/>
      <c r="G9" s="2"/>
      <c r="H9" s="244"/>
      <c r="I9" s="245"/>
      <c r="J9" s="246"/>
      <c r="K9" s="253"/>
      <c r="L9" s="156" t="s">
        <v>30</v>
      </c>
      <c r="M9" s="156" t="s">
        <v>31</v>
      </c>
      <c r="N9" s="156" t="s">
        <v>32</v>
      </c>
      <c r="O9" s="250"/>
      <c r="P9" s="2"/>
      <c r="Q9" s="214"/>
      <c r="R9" s="2"/>
      <c r="S9" s="214"/>
      <c r="T9" s="2"/>
      <c r="U9" s="214"/>
      <c r="V9" s="216"/>
      <c r="W9" s="2"/>
      <c r="X9" s="214"/>
    </row>
    <row r="10" spans="1:24" ht="32.25" customHeight="1">
      <c r="A10" s="2"/>
      <c r="B10" s="6">
        <v>44378</v>
      </c>
      <c r="C10" s="7"/>
      <c r="D10" s="143">
        <v>60</v>
      </c>
      <c r="E10" s="143">
        <v>88</v>
      </c>
      <c r="F10" s="13">
        <f>'Suivi EAU-ELEC'!E9</f>
        <v>106.70000000001164</v>
      </c>
      <c r="G10" s="11"/>
      <c r="H10" s="170">
        <f>F10*8.79</f>
        <v>937.89300000010223</v>
      </c>
      <c r="I10" s="171"/>
      <c r="J10" s="171"/>
      <c r="K10" s="60">
        <v>42278</v>
      </c>
      <c r="L10" s="90">
        <f>'Suivi EAU-ELEC'!G9</f>
        <v>2905</v>
      </c>
      <c r="M10" s="91">
        <f>'Suivi EAU-ELEC'!I9</f>
        <v>7908</v>
      </c>
      <c r="N10" s="91">
        <f>'Suivi EAU-ELEC'!K9</f>
        <v>2680</v>
      </c>
      <c r="O10" s="91">
        <f>L10+M10+N10</f>
        <v>13493</v>
      </c>
      <c r="P10" s="11"/>
      <c r="Q10" s="34">
        <f>L10*0.6985+M10*0.9514+N10*1.3304</f>
        <v>13118.285699999999</v>
      </c>
      <c r="R10" s="11"/>
      <c r="S10" s="28"/>
      <c r="T10" s="11"/>
      <c r="U10" s="28"/>
      <c r="V10" s="147">
        <f>'Suvi Gaz'!O4</f>
        <v>370.3</v>
      </c>
      <c r="W10" s="11"/>
      <c r="X10" s="34">
        <f>V10*9.8209</f>
        <v>3636.6792700000001</v>
      </c>
    </row>
    <row r="11" spans="1:24" ht="32.25" customHeight="1">
      <c r="A11" s="2"/>
      <c r="B11" s="6">
        <v>44379</v>
      </c>
      <c r="C11" s="7"/>
      <c r="D11" s="143">
        <v>62</v>
      </c>
      <c r="E11" s="143">
        <v>103</v>
      </c>
      <c r="F11" s="13">
        <f>'Suivi EAU-ELEC'!E10</f>
        <v>112.29999999998836</v>
      </c>
      <c r="G11" s="11"/>
      <c r="H11" s="170">
        <f t="shared" ref="H11:H21" si="0">F11*8.79</f>
        <v>987.11699999989753</v>
      </c>
      <c r="I11" s="171"/>
      <c r="J11" s="171"/>
      <c r="K11" s="60">
        <v>42279</v>
      </c>
      <c r="L11" s="90">
        <f>'Suivi EAU-ELEC'!G10</f>
        <v>3394</v>
      </c>
      <c r="M11" s="91">
        <f>'Suivi EAU-ELEC'!I10</f>
        <v>6748</v>
      </c>
      <c r="N11" s="91">
        <f>'Suivi EAU-ELEC'!K10</f>
        <v>2940</v>
      </c>
      <c r="O11" s="91">
        <f>L11+M11+N11</f>
        <v>13082</v>
      </c>
      <c r="P11" s="11"/>
      <c r="Q11" s="34">
        <f>L11*0.6985+M11*0.9514+N14*1.3304</f>
        <v>12352.237000000001</v>
      </c>
      <c r="R11" s="11"/>
      <c r="S11" s="28"/>
      <c r="T11" s="11"/>
      <c r="U11" s="28"/>
      <c r="V11" s="147">
        <f>'Suvi Gaz'!O5</f>
        <v>148.12</v>
      </c>
      <c r="W11" s="11"/>
      <c r="X11" s="34">
        <f t="shared" ref="X11:X39" si="1">V11*9.8209</f>
        <v>1454.6717080000001</v>
      </c>
    </row>
    <row r="12" spans="1:24" ht="32.25" customHeight="1">
      <c r="A12" s="2"/>
      <c r="B12" s="6">
        <v>44380</v>
      </c>
      <c r="C12" s="7"/>
      <c r="D12" s="143">
        <v>68</v>
      </c>
      <c r="E12" s="143">
        <v>118</v>
      </c>
      <c r="F12" s="13">
        <f>'Suivi EAU-ELEC'!E11</f>
        <v>113.90000000000873</v>
      </c>
      <c r="G12" s="11"/>
      <c r="H12" s="170">
        <f t="shared" si="0"/>
        <v>1001.1810000000767</v>
      </c>
      <c r="I12" s="171"/>
      <c r="J12" s="171"/>
      <c r="K12" s="60">
        <v>42280</v>
      </c>
      <c r="L12" s="90">
        <f>'Suivi EAU-ELEC'!G11</f>
        <v>3137</v>
      </c>
      <c r="M12" s="91">
        <f>'Suivi EAU-ELEC'!I11</f>
        <v>7196</v>
      </c>
      <c r="N12" s="91">
        <f>'Suivi EAU-ELEC'!K11</f>
        <v>3009</v>
      </c>
      <c r="O12" s="91">
        <f>L12+M12+N12</f>
        <v>13342</v>
      </c>
      <c r="P12" s="11"/>
      <c r="Q12" s="34">
        <f>L12*0.6985+M12*0.9514+N12*1.3304</f>
        <v>13040.6425</v>
      </c>
      <c r="R12" s="11"/>
      <c r="S12" s="28"/>
      <c r="T12" s="11"/>
      <c r="U12" s="28"/>
      <c r="V12" s="147">
        <f>'Suvi Gaz'!O6</f>
        <v>703.57</v>
      </c>
      <c r="W12" s="11"/>
      <c r="X12" s="34">
        <f t="shared" si="1"/>
        <v>6909.6906130000007</v>
      </c>
    </row>
    <row r="13" spans="1:24" ht="32.25" customHeight="1">
      <c r="A13" s="2"/>
      <c r="B13" s="6">
        <v>44381</v>
      </c>
      <c r="C13" s="7"/>
      <c r="D13" s="143">
        <v>59</v>
      </c>
      <c r="E13" s="143">
        <v>86</v>
      </c>
      <c r="F13" s="13">
        <f>'Suivi EAU-ELEC'!E12</f>
        <v>113.19999999999709</v>
      </c>
      <c r="G13" s="11"/>
      <c r="H13" s="170">
        <f t="shared" si="0"/>
        <v>995.02799999997433</v>
      </c>
      <c r="I13" s="171"/>
      <c r="J13" s="171"/>
      <c r="K13" s="60">
        <v>42281</v>
      </c>
      <c r="L13" s="90">
        <f>'Suivi EAU-ELEC'!G12</f>
        <v>3601</v>
      </c>
      <c r="M13" s="91">
        <f>'Suivi EAU-ELEC'!I12</f>
        <v>7362</v>
      </c>
      <c r="N13" s="91">
        <f>'Suivi EAU-ELEC'!K12</f>
        <v>2878</v>
      </c>
      <c r="O13" s="91">
        <f t="shared" ref="O13:O39" si="2">L13+M13+N13</f>
        <v>13841</v>
      </c>
      <c r="P13" s="11"/>
      <c r="Q13" s="34">
        <f t="shared" ref="Q13:Q39" si="3">L13*0.6985+M13*0.9514+N13*1.3304</f>
        <v>13348.396500000001</v>
      </c>
      <c r="R13" s="11"/>
      <c r="S13" s="28"/>
      <c r="T13" s="11"/>
      <c r="U13" s="28"/>
      <c r="V13" s="147">
        <f>'Suvi Gaz'!O7</f>
        <v>148.4</v>
      </c>
      <c r="W13" s="11"/>
      <c r="X13" s="34">
        <f t="shared" si="1"/>
        <v>1457.42156</v>
      </c>
    </row>
    <row r="14" spans="1:24" ht="32.25" customHeight="1">
      <c r="A14" s="2"/>
      <c r="B14" s="6">
        <v>44382</v>
      </c>
      <c r="C14" s="7"/>
      <c r="D14" s="143">
        <v>59</v>
      </c>
      <c r="E14" s="143">
        <v>96</v>
      </c>
      <c r="F14" s="13">
        <f>'Suivi EAU-ELEC'!E13</f>
        <v>98</v>
      </c>
      <c r="G14" s="12"/>
      <c r="H14" s="170">
        <f t="shared" si="0"/>
        <v>861.42</v>
      </c>
      <c r="I14" s="171"/>
      <c r="J14" s="171"/>
      <c r="K14" s="60">
        <v>42282</v>
      </c>
      <c r="L14" s="90">
        <f>'Suivi EAU-ELEC'!G13</f>
        <v>3388</v>
      </c>
      <c r="M14" s="91">
        <f>'Suivi EAU-ELEC'!I13</f>
        <v>7632</v>
      </c>
      <c r="N14" s="91">
        <f>'Suivi EAU-ELEC'!K13</f>
        <v>2677</v>
      </c>
      <c r="O14" s="91">
        <f t="shared" si="2"/>
        <v>13697</v>
      </c>
      <c r="P14" s="12"/>
      <c r="Q14" s="34">
        <f t="shared" si="3"/>
        <v>13189.083600000002</v>
      </c>
      <c r="R14" s="12"/>
      <c r="S14" s="28"/>
      <c r="T14" s="12"/>
      <c r="U14" s="28"/>
      <c r="V14" s="147">
        <f>'Suvi Gaz'!O8</f>
        <v>255.99368000000001</v>
      </c>
      <c r="W14" s="11"/>
      <c r="X14" s="34">
        <f t="shared" si="1"/>
        <v>2514.0883319120003</v>
      </c>
    </row>
    <row r="15" spans="1:24" ht="32.25" customHeight="1">
      <c r="A15" s="157"/>
      <c r="B15" s="6">
        <v>44383</v>
      </c>
      <c r="C15" s="7"/>
      <c r="D15" s="143">
        <v>65</v>
      </c>
      <c r="E15" s="143">
        <v>108</v>
      </c>
      <c r="F15" s="13">
        <f>'Suivi EAU-ELEC'!E14</f>
        <v>81.80000000000291</v>
      </c>
      <c r="G15" s="11"/>
      <c r="H15" s="170">
        <f t="shared" si="0"/>
        <v>719.02200000002551</v>
      </c>
      <c r="I15" s="171"/>
      <c r="J15" s="171"/>
      <c r="K15" s="60">
        <v>42283</v>
      </c>
      <c r="L15" s="90">
        <f>'Suivi EAU-ELEC'!G14</f>
        <v>3014</v>
      </c>
      <c r="M15" s="91">
        <f>'Suivi EAU-ELEC'!I14</f>
        <v>8451</v>
      </c>
      <c r="N15" s="91">
        <f>'Suivi EAU-ELEC'!K14</f>
        <v>2868</v>
      </c>
      <c r="O15" s="91">
        <f t="shared" si="2"/>
        <v>14333</v>
      </c>
      <c r="P15" s="12"/>
      <c r="Q15" s="34">
        <f>L15*0.6985+M15*0.9514+N15*1.3304</f>
        <v>13961.1476</v>
      </c>
      <c r="R15" s="12"/>
      <c r="S15" s="28"/>
      <c r="T15" s="12"/>
      <c r="U15" s="28"/>
      <c r="V15" s="147">
        <f>'Suvi Gaz'!O9</f>
        <v>255.99368000000001</v>
      </c>
      <c r="W15" s="11"/>
      <c r="X15" s="34">
        <f t="shared" si="1"/>
        <v>2514.0883319120003</v>
      </c>
    </row>
    <row r="16" spans="1:24" ht="32.25" customHeight="1">
      <c r="A16" s="157"/>
      <c r="B16" s="6">
        <v>44384</v>
      </c>
      <c r="C16" s="7"/>
      <c r="D16" s="143">
        <v>79</v>
      </c>
      <c r="E16" s="143">
        <v>121</v>
      </c>
      <c r="F16" s="13">
        <f>'Suivi EAU-ELEC'!E15</f>
        <v>129</v>
      </c>
      <c r="G16" s="11"/>
      <c r="H16" s="170">
        <f t="shared" si="0"/>
        <v>1133.9099999999999</v>
      </c>
      <c r="I16" s="171"/>
      <c r="J16" s="171"/>
      <c r="K16" s="60">
        <v>42284</v>
      </c>
      <c r="L16" s="90">
        <f>'Suivi EAU-ELEC'!G15</f>
        <v>2931</v>
      </c>
      <c r="M16" s="91">
        <f>'Suivi EAU-ELEC'!I15</f>
        <v>7346</v>
      </c>
      <c r="N16" s="91">
        <f>'Suivi EAU-ELEC'!K15</f>
        <v>2741</v>
      </c>
      <c r="O16" s="91">
        <f t="shared" si="2"/>
        <v>13018</v>
      </c>
      <c r="P16" s="11"/>
      <c r="Q16" s="34">
        <f t="shared" si="3"/>
        <v>12682.9143</v>
      </c>
      <c r="R16" s="11"/>
      <c r="S16" s="28"/>
      <c r="T16" s="11"/>
      <c r="U16" s="28"/>
      <c r="V16" s="147">
        <f>'Suvi Gaz'!O10</f>
        <v>31.999210000000001</v>
      </c>
      <c r="W16" s="11"/>
      <c r="X16" s="34">
        <f t="shared" si="1"/>
        <v>314.26104148900004</v>
      </c>
    </row>
    <row r="17" spans="1:24" s="5" customFormat="1" ht="32.25" customHeight="1">
      <c r="A17" s="2"/>
      <c r="B17" s="6">
        <v>44385</v>
      </c>
      <c r="C17" s="7"/>
      <c r="D17" s="143">
        <v>93</v>
      </c>
      <c r="E17" s="143">
        <v>156</v>
      </c>
      <c r="F17" s="13">
        <f>'Suivi EAU-ELEC'!E16</f>
        <v>101.19999999999709</v>
      </c>
      <c r="G17" s="11"/>
      <c r="H17" s="170">
        <f t="shared" si="0"/>
        <v>889.54799999997431</v>
      </c>
      <c r="I17" s="171"/>
      <c r="J17" s="171"/>
      <c r="K17" s="60">
        <v>42285</v>
      </c>
      <c r="L17" s="90">
        <f>'Suivi EAU-ELEC'!G16</f>
        <v>3354</v>
      </c>
      <c r="M17" s="91">
        <f>'Suivi EAU-ELEC'!I16</f>
        <v>7945</v>
      </c>
      <c r="N17" s="91">
        <f>'Suivi EAU-ELEC'!K16</f>
        <v>2883</v>
      </c>
      <c r="O17" s="91">
        <f t="shared" si="2"/>
        <v>14182</v>
      </c>
      <c r="P17" s="12"/>
      <c r="Q17" s="34">
        <f t="shared" si="3"/>
        <v>13737.1852</v>
      </c>
      <c r="R17" s="12"/>
      <c r="S17" s="28"/>
      <c r="T17" s="12"/>
      <c r="U17" s="28"/>
      <c r="V17" s="147">
        <f>'Suvi Gaz'!O11</f>
        <v>95.997630000000001</v>
      </c>
      <c r="W17" s="11"/>
      <c r="X17" s="34">
        <f t="shared" si="1"/>
        <v>942.78312446699999</v>
      </c>
    </row>
    <row r="18" spans="1:24" ht="32.25" customHeight="1">
      <c r="A18" s="2"/>
      <c r="B18" s="6">
        <v>44386</v>
      </c>
      <c r="C18" s="7"/>
      <c r="D18" s="143">
        <v>99</v>
      </c>
      <c r="E18" s="143">
        <v>183</v>
      </c>
      <c r="F18" s="13">
        <f>'Suivi EAU-ELEC'!E17</f>
        <v>114.60000000000582</v>
      </c>
      <c r="G18" s="11"/>
      <c r="H18" s="170">
        <f t="shared" si="0"/>
        <v>1007.3340000000511</v>
      </c>
      <c r="I18" s="171"/>
      <c r="J18" s="171"/>
      <c r="K18" s="60">
        <v>42286</v>
      </c>
      <c r="L18" s="90">
        <f>'Suivi EAU-ELEC'!G17</f>
        <v>3227</v>
      </c>
      <c r="M18" s="91">
        <f>'Suivi EAU-ELEC'!I17</f>
        <v>7523</v>
      </c>
      <c r="N18" s="91">
        <f>'Suivi EAU-ELEC'!K17</f>
        <v>2978</v>
      </c>
      <c r="O18" s="91">
        <f t="shared" si="2"/>
        <v>13728</v>
      </c>
      <c r="P18" s="12"/>
      <c r="Q18" s="34">
        <f t="shared" si="3"/>
        <v>13373.372899999998</v>
      </c>
      <c r="R18" s="12"/>
      <c r="S18" s="28"/>
      <c r="T18" s="12"/>
      <c r="U18" s="28"/>
      <c r="V18" s="147">
        <f>'Suvi Gaz'!O12</f>
        <v>223.99447000000001</v>
      </c>
      <c r="W18" s="11"/>
      <c r="X18" s="34">
        <f t="shared" si="1"/>
        <v>2199.8272904230002</v>
      </c>
    </row>
    <row r="19" spans="1:24" ht="32.25" customHeight="1">
      <c r="A19" s="2"/>
      <c r="B19" s="6">
        <v>44387</v>
      </c>
      <c r="C19" s="7"/>
      <c r="D19" s="143">
        <v>98</v>
      </c>
      <c r="E19" s="143">
        <v>183</v>
      </c>
      <c r="F19" s="13">
        <f>'Suivi EAU-ELEC'!E18</f>
        <v>119.09999999999127</v>
      </c>
      <c r="G19" s="12"/>
      <c r="H19" s="170">
        <f t="shared" si="0"/>
        <v>1046.888999999923</v>
      </c>
      <c r="I19" s="171"/>
      <c r="J19" s="171"/>
      <c r="K19" s="60">
        <v>42287</v>
      </c>
      <c r="L19" s="90">
        <f>'Suivi EAU-ELEC'!G18</f>
        <v>3693</v>
      </c>
      <c r="M19" s="91">
        <f>'Suivi EAU-ELEC'!I18</f>
        <v>8398</v>
      </c>
      <c r="N19" s="91">
        <f>'Suivi EAU-ELEC'!K18</f>
        <v>3851</v>
      </c>
      <c r="O19" s="91">
        <f t="shared" si="2"/>
        <v>15942</v>
      </c>
      <c r="P19" s="12"/>
      <c r="Q19" s="34">
        <f t="shared" si="3"/>
        <v>15692.7881</v>
      </c>
      <c r="R19" s="12"/>
      <c r="S19" s="28"/>
      <c r="T19" s="12"/>
      <c r="U19" s="28"/>
      <c r="V19" s="147">
        <f>'Suvi Gaz'!O13</f>
        <v>223.99447000000001</v>
      </c>
      <c r="W19" s="11"/>
      <c r="X19" s="34">
        <f t="shared" si="1"/>
        <v>2199.8272904230002</v>
      </c>
    </row>
    <row r="20" spans="1:24" ht="32.25" customHeight="1">
      <c r="A20" s="2"/>
      <c r="B20" s="6">
        <v>44388</v>
      </c>
      <c r="C20" s="7"/>
      <c r="D20" s="143">
        <v>93</v>
      </c>
      <c r="E20" s="143">
        <v>156</v>
      </c>
      <c r="F20" s="13">
        <f>'Suivi EAU-ELEC'!E19</f>
        <v>137.30000000000291</v>
      </c>
      <c r="G20" s="12"/>
      <c r="H20" s="170">
        <f t="shared" si="0"/>
        <v>1206.8670000000254</v>
      </c>
      <c r="I20" s="171"/>
      <c r="J20" s="171"/>
      <c r="K20" s="60">
        <v>42288</v>
      </c>
      <c r="L20" s="90">
        <f>'Suivi EAU-ELEC'!G19</f>
        <v>4104</v>
      </c>
      <c r="M20" s="91">
        <f>'Suivi EAU-ELEC'!I19</f>
        <v>9608</v>
      </c>
      <c r="N20" s="91">
        <f>'Suivi EAU-ELEC'!K19</f>
        <v>3590</v>
      </c>
      <c r="O20" s="91">
        <f t="shared" si="2"/>
        <v>17302</v>
      </c>
      <c r="P20" s="12"/>
      <c r="Q20" s="34">
        <f t="shared" si="3"/>
        <v>16783.831200000001</v>
      </c>
      <c r="R20" s="12"/>
      <c r="S20" s="28"/>
      <c r="T20" s="12"/>
      <c r="U20" s="28"/>
      <c r="V20" s="147">
        <f>'Suvi Gaz'!O14</f>
        <v>255.99368000000001</v>
      </c>
      <c r="W20" s="11"/>
      <c r="X20" s="34">
        <f t="shared" si="1"/>
        <v>2514.0883319120003</v>
      </c>
    </row>
    <row r="21" spans="1:24" ht="32.25" customHeight="1">
      <c r="A21" s="2"/>
      <c r="B21" s="6">
        <v>44389</v>
      </c>
      <c r="C21" s="7"/>
      <c r="D21" s="143">
        <v>96</v>
      </c>
      <c r="E21" s="143">
        <v>150</v>
      </c>
      <c r="F21" s="13">
        <f>'Suivi EAU-ELEC'!E20</f>
        <v>104</v>
      </c>
      <c r="G21" s="12"/>
      <c r="H21" s="170">
        <f t="shared" si="0"/>
        <v>914.15999999999985</v>
      </c>
      <c r="I21" s="171"/>
      <c r="J21" s="171"/>
      <c r="K21" s="60">
        <v>42289</v>
      </c>
      <c r="L21" s="90">
        <f>'Suivi EAU-ELEC'!G20</f>
        <v>4367</v>
      </c>
      <c r="M21" s="91">
        <f>'Suivi EAU-ELEC'!I20</f>
        <v>10753</v>
      </c>
      <c r="N21" s="91">
        <f>'Suivi EAU-ELEC'!K20</f>
        <v>4494</v>
      </c>
      <c r="O21" s="91">
        <f>L21+M21+N21</f>
        <v>19614</v>
      </c>
      <c r="P21" s="12"/>
      <c r="Q21" s="34">
        <f t="shared" si="3"/>
        <v>19259.571300000003</v>
      </c>
      <c r="R21" s="12"/>
      <c r="S21" s="28"/>
      <c r="T21" s="12"/>
      <c r="U21" s="28"/>
      <c r="V21" s="147">
        <f>'Suvi Gaz'!O15</f>
        <v>191.99526</v>
      </c>
      <c r="W21" s="11"/>
      <c r="X21" s="34">
        <f t="shared" si="1"/>
        <v>1885.566248934</v>
      </c>
    </row>
    <row r="22" spans="1:24" ht="32.25" customHeight="1">
      <c r="A22" s="2"/>
      <c r="B22" s="6">
        <v>44390</v>
      </c>
      <c r="C22" s="7"/>
      <c r="D22" s="143">
        <v>102</v>
      </c>
      <c r="E22" s="143">
        <v>149</v>
      </c>
      <c r="F22" s="13">
        <f>'Suivi EAU-ELEC'!E21</f>
        <v>178.10000000000582</v>
      </c>
      <c r="G22" s="12"/>
      <c r="H22" s="170">
        <f t="shared" ref="H22:H35" si="4">F22*8.79</f>
        <v>1565.499000000051</v>
      </c>
      <c r="I22" s="171"/>
      <c r="J22" s="171"/>
      <c r="K22" s="60">
        <v>42290</v>
      </c>
      <c r="L22" s="90">
        <f>'Suivi EAU-ELEC'!G21</f>
        <v>3634</v>
      </c>
      <c r="M22" s="91">
        <f>'Suivi EAU-ELEC'!I21</f>
        <v>10022</v>
      </c>
      <c r="N22" s="91">
        <f>'Suivi EAU-ELEC'!K21</f>
        <v>3371</v>
      </c>
      <c r="O22" s="91">
        <f t="shared" si="2"/>
        <v>17027</v>
      </c>
      <c r="P22" s="12"/>
      <c r="Q22" s="34">
        <f t="shared" si="3"/>
        <v>16558.058199999999</v>
      </c>
      <c r="R22" s="12"/>
      <c r="S22" s="28"/>
      <c r="T22" s="12"/>
      <c r="U22" s="28"/>
      <c r="V22" s="147">
        <f>'Suvi Gaz'!O16</f>
        <v>287.99288999999999</v>
      </c>
      <c r="W22" s="11"/>
      <c r="X22" s="34">
        <f t="shared" si="1"/>
        <v>2828.3493734009999</v>
      </c>
    </row>
    <row r="23" spans="1:24" ht="32.25" customHeight="1">
      <c r="A23" s="2"/>
      <c r="B23" s="6">
        <v>44391</v>
      </c>
      <c r="C23" s="7"/>
      <c r="D23" s="143">
        <v>99</v>
      </c>
      <c r="E23" s="143">
        <v>147</v>
      </c>
      <c r="F23" s="13">
        <f>'Suivi EAU-ELEC'!E22</f>
        <v>97.399999999994179</v>
      </c>
      <c r="G23" s="14"/>
      <c r="H23" s="170">
        <f t="shared" si="4"/>
        <v>856.1459999999488</v>
      </c>
      <c r="I23" s="171"/>
      <c r="J23" s="171"/>
      <c r="K23" s="60">
        <v>42291</v>
      </c>
      <c r="L23" s="90">
        <f>'Suivi EAU-ELEC'!G22</f>
        <v>3077</v>
      </c>
      <c r="M23" s="91">
        <f>'Suivi EAU-ELEC'!I22</f>
        <v>8393</v>
      </c>
      <c r="N23" s="91">
        <f>'Suivi EAU-ELEC'!K22</f>
        <v>2894</v>
      </c>
      <c r="O23" s="91">
        <f t="shared" si="2"/>
        <v>14364</v>
      </c>
      <c r="P23" s="12"/>
      <c r="Q23" s="34">
        <f t="shared" si="3"/>
        <v>13984.562300000001</v>
      </c>
      <c r="R23" s="12"/>
      <c r="S23" s="28"/>
      <c r="T23" s="14"/>
      <c r="U23" s="28"/>
      <c r="V23" s="147">
        <f>'Suvi Gaz'!O17</f>
        <v>127.99684000000001</v>
      </c>
      <c r="W23" s="11"/>
      <c r="X23" s="34">
        <f t="shared" si="1"/>
        <v>1257.0441659560001</v>
      </c>
    </row>
    <row r="24" spans="1:24" ht="32.25" customHeight="1">
      <c r="A24" s="2"/>
      <c r="B24" s="6">
        <v>44392</v>
      </c>
      <c r="C24" s="7"/>
      <c r="D24" s="143">
        <v>94</v>
      </c>
      <c r="E24" s="143">
        <v>155</v>
      </c>
      <c r="F24" s="13">
        <f>'Suivi EAU-ELEC'!E23</f>
        <v>154.60000000000582</v>
      </c>
      <c r="G24" s="14"/>
      <c r="H24" s="170">
        <f t="shared" si="4"/>
        <v>1358.9340000000511</v>
      </c>
      <c r="I24" s="171"/>
      <c r="J24" s="171"/>
      <c r="K24" s="60">
        <v>42292</v>
      </c>
      <c r="L24" s="90">
        <f>'Suivi EAU-ELEC'!G23</f>
        <v>3434</v>
      </c>
      <c r="M24" s="91">
        <f>'Suivi EAU-ELEC'!I23</f>
        <v>8854</v>
      </c>
      <c r="N24" s="91">
        <f>'Suivi EAU-ELEC'!K23</f>
        <v>3298</v>
      </c>
      <c r="O24" s="91">
        <f t="shared" si="2"/>
        <v>15586</v>
      </c>
      <c r="P24" s="12"/>
      <c r="Q24" s="34">
        <f t="shared" si="3"/>
        <v>15210.0038</v>
      </c>
      <c r="R24" s="12"/>
      <c r="S24" s="28"/>
      <c r="T24" s="14"/>
      <c r="U24" s="28"/>
      <c r="V24" s="147">
        <f>'Suvi Gaz'!O18</f>
        <v>191.99526</v>
      </c>
      <c r="W24" s="11"/>
      <c r="X24" s="34">
        <f t="shared" si="1"/>
        <v>1885.566248934</v>
      </c>
    </row>
    <row r="25" spans="1:24" ht="32.25" customHeight="1">
      <c r="A25" s="2"/>
      <c r="B25" s="6">
        <v>44393</v>
      </c>
      <c r="C25" s="7"/>
      <c r="D25" s="143">
        <v>95</v>
      </c>
      <c r="E25" s="143">
        <v>174</v>
      </c>
      <c r="F25" s="13">
        <f>'Suivi EAU-ELEC'!E24</f>
        <v>116.29999999998836</v>
      </c>
      <c r="G25" s="14"/>
      <c r="H25" s="170">
        <f t="shared" si="4"/>
        <v>1022.2769999998976</v>
      </c>
      <c r="I25" s="171"/>
      <c r="J25" s="171"/>
      <c r="K25" s="60">
        <v>42293</v>
      </c>
      <c r="L25" s="90">
        <f>'Suivi EAU-ELEC'!G24</f>
        <v>4002</v>
      </c>
      <c r="M25" s="91">
        <f>'Suivi EAU-ELEC'!I24</f>
        <v>9368</v>
      </c>
      <c r="N25" s="91">
        <f>'Suivi EAU-ELEC'!K24</f>
        <v>3239</v>
      </c>
      <c r="O25" s="91">
        <f t="shared" si="2"/>
        <v>16609</v>
      </c>
      <c r="P25" s="12"/>
      <c r="Q25" s="34">
        <f t="shared" si="3"/>
        <v>16017.2778</v>
      </c>
      <c r="R25" s="12"/>
      <c r="S25" s="28"/>
      <c r="T25" s="14"/>
      <c r="U25" s="28"/>
      <c r="V25" s="147">
        <f>'Suvi Gaz'!O19</f>
        <v>223.99447000000001</v>
      </c>
      <c r="W25" s="11"/>
      <c r="X25" s="34">
        <f t="shared" si="1"/>
        <v>2199.8272904230002</v>
      </c>
    </row>
    <row r="26" spans="1:24" ht="32.25" customHeight="1">
      <c r="A26" s="2"/>
      <c r="B26" s="6">
        <v>44394</v>
      </c>
      <c r="C26" s="7"/>
      <c r="D26" s="143">
        <v>106</v>
      </c>
      <c r="E26" s="143">
        <v>201</v>
      </c>
      <c r="F26" s="13">
        <f>'Suivi EAU-ELEC'!E25</f>
        <v>153.60000000000582</v>
      </c>
      <c r="G26" s="14"/>
      <c r="H26" s="170">
        <f t="shared" si="4"/>
        <v>1350.1440000000509</v>
      </c>
      <c r="I26" s="171"/>
      <c r="J26" s="171"/>
      <c r="K26" s="60">
        <v>42294</v>
      </c>
      <c r="L26" s="90">
        <f>'Suivi EAU-ELEC'!G25</f>
        <v>4421</v>
      </c>
      <c r="M26" s="91">
        <f>'Suivi EAU-ELEC'!I25</f>
        <v>8673</v>
      </c>
      <c r="N26" s="91">
        <f>'Suivi EAU-ELEC'!K25</f>
        <v>3371</v>
      </c>
      <c r="O26" s="91">
        <f t="shared" si="2"/>
        <v>16465</v>
      </c>
      <c r="P26" s="14"/>
      <c r="Q26" s="34">
        <f t="shared" si="3"/>
        <v>15824.339100000001</v>
      </c>
      <c r="R26" s="14"/>
      <c r="S26" s="28"/>
      <c r="T26" s="14"/>
      <c r="U26" s="28"/>
      <c r="V26" s="147">
        <f>'Suvi Gaz'!O20</f>
        <v>159.99605</v>
      </c>
      <c r="W26" s="11"/>
      <c r="X26" s="34">
        <f t="shared" si="1"/>
        <v>1571.305207445</v>
      </c>
    </row>
    <row r="27" spans="1:24" ht="32.25" customHeight="1">
      <c r="A27" s="2"/>
      <c r="B27" s="6">
        <v>44395</v>
      </c>
      <c r="C27" s="7"/>
      <c r="D27" s="143">
        <v>80</v>
      </c>
      <c r="E27" s="143">
        <v>144</v>
      </c>
      <c r="F27" s="13">
        <f>'Suivi EAU-ELEC'!E26</f>
        <v>128.89999999999418</v>
      </c>
      <c r="G27" s="14"/>
      <c r="H27" s="170">
        <f t="shared" si="4"/>
        <v>1133.0309999999488</v>
      </c>
      <c r="I27" s="171"/>
      <c r="J27" s="171"/>
      <c r="K27" s="60">
        <v>42295</v>
      </c>
      <c r="L27" s="90">
        <f>'Suivi EAU-ELEC'!G26</f>
        <v>3833</v>
      </c>
      <c r="M27" s="91">
        <f>'Suivi EAU-ELEC'!I26</f>
        <v>8198</v>
      </c>
      <c r="N27" s="91">
        <f>'Suivi EAU-ELEC'!K26</f>
        <v>3471</v>
      </c>
      <c r="O27" s="91">
        <f t="shared" si="2"/>
        <v>15502</v>
      </c>
      <c r="P27" s="14"/>
      <c r="Q27" s="34">
        <f t="shared" si="3"/>
        <v>15094.7461</v>
      </c>
      <c r="R27" s="14"/>
      <c r="S27" s="28"/>
      <c r="T27" s="14"/>
      <c r="U27" s="28"/>
      <c r="V27" s="147">
        <f>'Suvi Gaz'!O21</f>
        <v>383.99052</v>
      </c>
      <c r="W27" s="11"/>
      <c r="X27" s="34">
        <f t="shared" si="1"/>
        <v>3771.132497868</v>
      </c>
    </row>
    <row r="28" spans="1:24" ht="32.25" customHeight="1">
      <c r="A28" s="2"/>
      <c r="B28" s="6">
        <v>44396</v>
      </c>
      <c r="C28" s="7"/>
      <c r="D28" s="143">
        <v>70</v>
      </c>
      <c r="E28" s="143">
        <v>122</v>
      </c>
      <c r="F28" s="13">
        <f>'Suivi EAU-ELEC'!E27</f>
        <v>108</v>
      </c>
      <c r="G28" s="11"/>
      <c r="H28" s="170">
        <f t="shared" si="4"/>
        <v>949.31999999999994</v>
      </c>
      <c r="I28" s="171"/>
      <c r="J28" s="171"/>
      <c r="K28" s="60">
        <v>42296</v>
      </c>
      <c r="L28" s="90">
        <f>'Suivi EAU-ELEC'!G27</f>
        <v>3485</v>
      </c>
      <c r="M28" s="91">
        <f>'Suivi EAU-ELEC'!I27</f>
        <v>8713</v>
      </c>
      <c r="N28" s="91">
        <f>'Suivi EAU-ELEC'!K27</f>
        <v>3460</v>
      </c>
      <c r="O28" s="91">
        <f t="shared" si="2"/>
        <v>15658</v>
      </c>
      <c r="P28" s="11"/>
      <c r="Q28" s="34">
        <f>L28*0.6985+M28*0.9514+N28*1.3304</f>
        <v>15327.004700000001</v>
      </c>
      <c r="R28" s="11"/>
      <c r="S28" s="28"/>
      <c r="T28" s="11"/>
      <c r="U28" s="28"/>
      <c r="V28" s="147">
        <f>'Suvi Gaz'!O22</f>
        <v>287.99288999999999</v>
      </c>
      <c r="W28" s="11"/>
      <c r="X28" s="34">
        <f t="shared" si="1"/>
        <v>2828.3493734009999</v>
      </c>
    </row>
    <row r="29" spans="1:24" ht="32.25" customHeight="1">
      <c r="A29" s="2"/>
      <c r="B29" s="6">
        <v>44397</v>
      </c>
      <c r="C29" s="7"/>
      <c r="D29" s="143">
        <v>75</v>
      </c>
      <c r="E29" s="143">
        <v>130</v>
      </c>
      <c r="F29" s="13">
        <f>'Suivi EAU-ELEC'!E28</f>
        <v>127.90000000000873</v>
      </c>
      <c r="G29" s="11"/>
      <c r="H29" s="170">
        <f t="shared" si="4"/>
        <v>1124.2410000000766</v>
      </c>
      <c r="I29" s="171"/>
      <c r="J29" s="171"/>
      <c r="K29" s="60">
        <v>42297</v>
      </c>
      <c r="L29" s="90">
        <f>'Suivi EAU-ELEC'!G28</f>
        <v>3232</v>
      </c>
      <c r="M29" s="91">
        <f>'Suivi EAU-ELEC'!I28</f>
        <v>7923</v>
      </c>
      <c r="N29" s="91">
        <f>'Suivi EAU-ELEC'!K28</f>
        <v>2914</v>
      </c>
      <c r="O29" s="91">
        <f>L29+M29+N29</f>
        <v>14069</v>
      </c>
      <c r="P29" s="11"/>
      <c r="Q29" s="34">
        <f t="shared" si="3"/>
        <v>13672.2798</v>
      </c>
      <c r="R29" s="11"/>
      <c r="S29" s="28"/>
      <c r="T29" s="11"/>
      <c r="U29" s="28"/>
      <c r="V29" s="147">
        <f>'Suvi Gaz'!O23</f>
        <v>191.99526</v>
      </c>
      <c r="W29" s="11"/>
      <c r="X29" s="34">
        <f t="shared" si="1"/>
        <v>1885.566248934</v>
      </c>
    </row>
    <row r="30" spans="1:24" ht="32.25" customHeight="1">
      <c r="A30" s="2"/>
      <c r="B30" s="6">
        <v>44398</v>
      </c>
      <c r="C30" s="7"/>
      <c r="D30" s="143">
        <v>79</v>
      </c>
      <c r="E30" s="143">
        <v>145</v>
      </c>
      <c r="F30" s="13">
        <f>'Suivi EAU-ELEC'!E29</f>
        <v>113.5</v>
      </c>
      <c r="G30" s="11"/>
      <c r="H30" s="170">
        <f t="shared" si="4"/>
        <v>997.66499999999985</v>
      </c>
      <c r="I30" s="171"/>
      <c r="J30" s="171"/>
      <c r="K30" s="60">
        <v>42298</v>
      </c>
      <c r="L30" s="90">
        <f>'Suivi EAU-ELEC'!G29</f>
        <v>3932</v>
      </c>
      <c r="M30" s="91">
        <f>'Suivi EAU-ELEC'!I29</f>
        <v>7662</v>
      </c>
      <c r="N30" s="91">
        <f>'Suivi EAU-ELEC'!K29</f>
        <v>2845</v>
      </c>
      <c r="O30" s="91">
        <f>L30+M30+N30</f>
        <v>14439</v>
      </c>
      <c r="P30" s="11"/>
      <c r="Q30" s="34">
        <f>L30*0.6985+M30*0.9514+N30*1.3304</f>
        <v>13821.1168</v>
      </c>
      <c r="R30" s="11"/>
      <c r="S30" s="28"/>
      <c r="T30" s="11"/>
      <c r="U30" s="28"/>
      <c r="V30" s="147">
        <f>'Suvi Gaz'!O24</f>
        <v>255.99368000000001</v>
      </c>
      <c r="W30" s="11"/>
      <c r="X30" s="34">
        <f t="shared" si="1"/>
        <v>2514.0883319120003</v>
      </c>
    </row>
    <row r="31" spans="1:24" ht="27.75" customHeight="1">
      <c r="A31" s="2"/>
      <c r="B31" s="6">
        <v>44399</v>
      </c>
      <c r="C31" s="7"/>
      <c r="D31" s="143">
        <v>101</v>
      </c>
      <c r="E31" s="143">
        <v>174</v>
      </c>
      <c r="F31" s="13">
        <f>'Suivi EAU-ELEC'!E30</f>
        <v>88.599999999991269</v>
      </c>
      <c r="G31" s="11"/>
      <c r="H31" s="170">
        <f t="shared" si="4"/>
        <v>778.79399999992313</v>
      </c>
      <c r="I31" s="171"/>
      <c r="J31" s="171"/>
      <c r="K31" s="60">
        <v>42299</v>
      </c>
      <c r="L31" s="90">
        <f>'Suivi EAU-ELEC'!G30</f>
        <v>2673</v>
      </c>
      <c r="M31" s="91">
        <f>'Suivi EAU-ELEC'!I30</f>
        <v>7893</v>
      </c>
      <c r="N31" s="91">
        <f>'Suivi EAU-ELEC'!K30</f>
        <v>2885</v>
      </c>
      <c r="O31" s="91">
        <f>L31+M31+N31</f>
        <v>13451</v>
      </c>
      <c r="P31" s="11"/>
      <c r="Q31" s="34">
        <f>L31*0.6985+M31*0.9514+N31*1.3304</f>
        <v>13214.6947</v>
      </c>
      <c r="R31" s="11"/>
      <c r="S31" s="28"/>
      <c r="T31" s="11"/>
      <c r="U31" s="28"/>
      <c r="V31" s="147">
        <f>'Suvi Gaz'!O25</f>
        <v>287.99288999999999</v>
      </c>
      <c r="W31" s="11"/>
      <c r="X31" s="34">
        <f t="shared" si="1"/>
        <v>2828.3493734009999</v>
      </c>
    </row>
    <row r="32" spans="1:24" ht="37.5" customHeight="1">
      <c r="A32" s="2"/>
      <c r="B32" s="6">
        <v>44400</v>
      </c>
      <c r="C32" s="7"/>
      <c r="D32" s="143">
        <v>116</v>
      </c>
      <c r="E32" s="143">
        <v>193</v>
      </c>
      <c r="F32" s="13">
        <f>'Suivi EAU-ELEC'!E31</f>
        <v>111.10000000000582</v>
      </c>
      <c r="G32" s="11"/>
      <c r="H32" s="170">
        <f t="shared" si="4"/>
        <v>976.56900000005112</v>
      </c>
      <c r="I32" s="171"/>
      <c r="J32" s="171"/>
      <c r="K32" s="60">
        <v>42300</v>
      </c>
      <c r="L32" s="90">
        <f>'Suivi EAU-ELEC'!G31</f>
        <v>5431</v>
      </c>
      <c r="M32" s="91">
        <f>'Suivi EAU-ELEC'!I31</f>
        <v>8092</v>
      </c>
      <c r="N32" s="91">
        <f>'Suivi EAU-ELEC'!K31</f>
        <v>3367</v>
      </c>
      <c r="O32" s="91">
        <f t="shared" si="2"/>
        <v>16890</v>
      </c>
      <c r="P32" s="11"/>
      <c r="Q32" s="34">
        <f t="shared" si="3"/>
        <v>15971.739099999999</v>
      </c>
      <c r="R32" s="11"/>
      <c r="S32" s="28"/>
      <c r="T32" s="11"/>
      <c r="U32" s="28"/>
      <c r="V32" s="147">
        <f>'Suvi Gaz'!O26</f>
        <v>127.99684000000001</v>
      </c>
      <c r="W32" s="11"/>
      <c r="X32" s="34">
        <f t="shared" si="1"/>
        <v>1257.0441659560001</v>
      </c>
    </row>
    <row r="33" spans="1:24" ht="37.5" customHeight="1">
      <c r="A33" s="2"/>
      <c r="B33" s="6">
        <v>44401</v>
      </c>
      <c r="C33" s="7"/>
      <c r="D33" s="143">
        <v>112</v>
      </c>
      <c r="E33" s="143">
        <v>196</v>
      </c>
      <c r="F33" s="13">
        <f>'Suivi EAU-ELEC'!E32</f>
        <v>175</v>
      </c>
      <c r="G33" s="11"/>
      <c r="H33" s="170">
        <f t="shared" si="4"/>
        <v>1538.2499999999998</v>
      </c>
      <c r="I33" s="171"/>
      <c r="J33" s="171"/>
      <c r="K33" s="60">
        <v>42301</v>
      </c>
      <c r="L33" s="90">
        <f>'Suivi EAU-ELEC'!G32</f>
        <v>4160</v>
      </c>
      <c r="M33" s="91">
        <f>'Suivi EAU-ELEC'!I32</f>
        <v>9619</v>
      </c>
      <c r="N33" s="91">
        <f>'Suivi EAU-ELEC'!K32</f>
        <v>3904</v>
      </c>
      <c r="O33" s="91">
        <f t="shared" si="2"/>
        <v>17683</v>
      </c>
      <c r="P33" s="11"/>
      <c r="Q33" s="34">
        <f t="shared" si="3"/>
        <v>17251.158200000002</v>
      </c>
      <c r="R33" s="11"/>
      <c r="S33" s="28"/>
      <c r="T33" s="11"/>
      <c r="U33" s="28"/>
      <c r="V33" s="147">
        <f>'Suvi Gaz'!O27</f>
        <v>319.99209999999999</v>
      </c>
      <c r="W33" s="11"/>
      <c r="X33" s="34">
        <f t="shared" si="1"/>
        <v>3142.6104148899999</v>
      </c>
    </row>
    <row r="34" spans="1:24" ht="37.5" customHeight="1">
      <c r="A34" s="2"/>
      <c r="B34" s="6">
        <v>44402</v>
      </c>
      <c r="C34" s="7"/>
      <c r="D34" s="143">
        <v>116</v>
      </c>
      <c r="E34" s="143">
        <v>187</v>
      </c>
      <c r="F34" s="13">
        <f>'Suivi EAU-ELEC'!E33</f>
        <v>157</v>
      </c>
      <c r="G34" s="11"/>
      <c r="H34" s="170">
        <f t="shared" si="4"/>
        <v>1380.03</v>
      </c>
      <c r="I34" s="171"/>
      <c r="J34" s="171"/>
      <c r="K34" s="60">
        <v>42302</v>
      </c>
      <c r="L34" s="90">
        <f>'Suivi EAU-ELEC'!G33</f>
        <v>3634</v>
      </c>
      <c r="M34" s="91">
        <f>'Suivi EAU-ELEC'!I33</f>
        <v>8419</v>
      </c>
      <c r="N34" s="91">
        <f>'Suivi EAU-ELEC'!K33</f>
        <v>3103</v>
      </c>
      <c r="O34" s="91">
        <f t="shared" si="2"/>
        <v>15156</v>
      </c>
      <c r="P34" s="11"/>
      <c r="Q34" s="34">
        <f t="shared" si="3"/>
        <v>14676.416800000001</v>
      </c>
      <c r="R34" s="11"/>
      <c r="S34" s="28"/>
      <c r="T34" s="11"/>
      <c r="U34" s="28"/>
      <c r="V34" s="147">
        <f>'Suvi Gaz'!O28</f>
        <v>255.99368000000001</v>
      </c>
      <c r="W34" s="11"/>
      <c r="X34" s="34">
        <f t="shared" si="1"/>
        <v>2514.0883319120003</v>
      </c>
    </row>
    <row r="35" spans="1:24" ht="33.75" customHeight="1">
      <c r="A35" s="2"/>
      <c r="B35" s="6">
        <v>44403</v>
      </c>
      <c r="C35" s="7"/>
      <c r="D35" s="143">
        <v>108</v>
      </c>
      <c r="E35" s="143">
        <v>193</v>
      </c>
      <c r="F35" s="13">
        <f>'Suivi EAU-ELEC'!E34</f>
        <v>112</v>
      </c>
      <c r="G35" s="11"/>
      <c r="H35" s="170">
        <f t="shared" si="4"/>
        <v>984.4799999999999</v>
      </c>
      <c r="I35" s="171"/>
      <c r="J35" s="171"/>
      <c r="K35" s="60">
        <v>42303</v>
      </c>
      <c r="L35" s="90">
        <f>'Suivi EAU-ELEC'!G34</f>
        <v>3466</v>
      </c>
      <c r="M35" s="91">
        <f>'Suivi EAU-ELEC'!I34</f>
        <v>8320</v>
      </c>
      <c r="N35" s="91">
        <f>'Suivi EAU-ELEC'!K34</f>
        <v>3342</v>
      </c>
      <c r="O35" s="91">
        <f t="shared" si="2"/>
        <v>15128</v>
      </c>
      <c r="P35" s="11"/>
      <c r="Q35" s="34">
        <f t="shared" si="3"/>
        <v>14782.845800000001</v>
      </c>
      <c r="R35" s="11"/>
      <c r="S35" s="28"/>
      <c r="T35" s="11"/>
      <c r="U35" s="28"/>
      <c r="V35" s="147">
        <f>'Suvi Gaz'!O29</f>
        <v>255.99368000000001</v>
      </c>
      <c r="W35" s="11"/>
      <c r="X35" s="34">
        <f t="shared" si="1"/>
        <v>2514.0883319120003</v>
      </c>
    </row>
    <row r="36" spans="1:24" ht="33.75" customHeight="1">
      <c r="A36" s="2"/>
      <c r="B36" s="6">
        <v>44404</v>
      </c>
      <c r="C36" s="7"/>
      <c r="D36" s="143">
        <v>135</v>
      </c>
      <c r="E36" s="143">
        <v>234</v>
      </c>
      <c r="F36" s="13">
        <f>'Suivi EAU-ELEC'!E35</f>
        <v>144.80000000000291</v>
      </c>
      <c r="G36" s="11"/>
      <c r="H36" s="170">
        <f>F36*8.79</f>
        <v>1272.7920000000254</v>
      </c>
      <c r="I36" s="171"/>
      <c r="J36" s="171"/>
      <c r="K36" s="60">
        <v>42304</v>
      </c>
      <c r="L36" s="90">
        <f>'Suivi EAU-ELEC'!G35</f>
        <v>3454</v>
      </c>
      <c r="M36" s="91">
        <f>'Suivi EAU-ELEC'!I35</f>
        <v>9029</v>
      </c>
      <c r="N36" s="91">
        <f>'Suivi EAU-ELEC'!K35</f>
        <v>3397</v>
      </c>
      <c r="O36" s="91">
        <f t="shared" si="2"/>
        <v>15880</v>
      </c>
      <c r="P36" s="11"/>
      <c r="Q36" s="34">
        <f t="shared" si="3"/>
        <v>15522.178400000001</v>
      </c>
      <c r="R36" s="11"/>
      <c r="S36" s="28"/>
      <c r="T36" s="11"/>
      <c r="U36" s="28"/>
      <c r="V36" s="147">
        <f>'Suvi Gaz'!O30</f>
        <v>383.99052</v>
      </c>
      <c r="W36" s="11"/>
      <c r="X36" s="34">
        <f t="shared" si="1"/>
        <v>3771.132497868</v>
      </c>
    </row>
    <row r="37" spans="1:24" ht="33.75" customHeight="1">
      <c r="A37" s="2"/>
      <c r="B37" s="6">
        <v>44405</v>
      </c>
      <c r="C37" s="7"/>
      <c r="D37" s="143">
        <v>102</v>
      </c>
      <c r="E37" s="143">
        <v>171</v>
      </c>
      <c r="F37" s="13">
        <f>'Suivi EAU-ELEC'!E36</f>
        <v>130.5</v>
      </c>
      <c r="G37" s="11"/>
      <c r="H37" s="170">
        <f t="shared" ref="H37:H38" si="5">F37*8.79</f>
        <v>1147.0949999999998</v>
      </c>
      <c r="I37" s="171"/>
      <c r="J37" s="171"/>
      <c r="K37" s="60"/>
      <c r="L37" s="90">
        <f>'Suivi EAU-ELEC'!G36</f>
        <v>4184</v>
      </c>
      <c r="M37" s="91">
        <f>'Suivi EAU-ELEC'!I36</f>
        <v>10300</v>
      </c>
      <c r="N37" s="91">
        <f>'Suivi EAU-ELEC'!K36</f>
        <v>3833</v>
      </c>
      <c r="O37" s="91">
        <f t="shared" si="2"/>
        <v>18317</v>
      </c>
      <c r="P37" s="11"/>
      <c r="Q37" s="34">
        <f t="shared" si="3"/>
        <v>17821.367200000001</v>
      </c>
      <c r="R37" s="11"/>
      <c r="S37" s="28"/>
      <c r="T37" s="11"/>
      <c r="U37" s="28"/>
      <c r="V37" s="147">
        <f>'Suvi Gaz'!O31</f>
        <v>255.99368000000001</v>
      </c>
      <c r="W37" s="11"/>
      <c r="X37" s="34">
        <f t="shared" si="1"/>
        <v>2514.0883319120003</v>
      </c>
    </row>
    <row r="38" spans="1:24" ht="33.75" customHeight="1">
      <c r="A38" s="2"/>
      <c r="B38" s="6">
        <v>44406</v>
      </c>
      <c r="C38" s="7"/>
      <c r="D38" s="143">
        <v>80</v>
      </c>
      <c r="E38" s="143">
        <v>139</v>
      </c>
      <c r="F38" s="13">
        <f>'Suivi EAU-ELEC'!E37</f>
        <v>148.80000000000291</v>
      </c>
      <c r="G38" s="11"/>
      <c r="H38" s="170">
        <f t="shared" si="5"/>
        <v>1307.9520000000255</v>
      </c>
      <c r="I38" s="171"/>
      <c r="J38" s="171"/>
      <c r="K38" s="60"/>
      <c r="L38" s="90">
        <f>'Suivi EAU-ELEC'!G37</f>
        <v>3985</v>
      </c>
      <c r="M38" s="91">
        <f>'Suivi EAU-ELEC'!I37</f>
        <v>8983</v>
      </c>
      <c r="N38" s="91">
        <f>'Suivi EAU-ELEC'!K37</f>
        <v>3039</v>
      </c>
      <c r="O38" s="91">
        <f t="shared" si="2"/>
        <v>16007</v>
      </c>
      <c r="P38" s="11"/>
      <c r="Q38" s="34">
        <f t="shared" si="3"/>
        <v>15373.034300000001</v>
      </c>
      <c r="R38" s="11"/>
      <c r="S38" s="28"/>
      <c r="T38" s="11"/>
      <c r="U38" s="28"/>
      <c r="V38" s="147">
        <f>'Suvi Gaz'!O32</f>
        <v>223.99447000000001</v>
      </c>
      <c r="W38" s="11"/>
      <c r="X38" s="34">
        <f t="shared" si="1"/>
        <v>2199.8272904230002</v>
      </c>
    </row>
    <row r="39" spans="1:24" ht="33.75" customHeight="1">
      <c r="A39" s="2"/>
      <c r="B39" s="6">
        <v>44407</v>
      </c>
      <c r="C39" s="7"/>
      <c r="D39" s="143"/>
      <c r="E39" s="143"/>
      <c r="F39" s="13">
        <f>'Suivi EAU-ELEC'!E38</f>
        <v>113.19999999999709</v>
      </c>
      <c r="G39" s="11"/>
      <c r="H39" s="170">
        <f t="shared" ref="H39" si="6">F39*8.79</f>
        <v>995.02799999997433</v>
      </c>
      <c r="I39" s="171"/>
      <c r="J39" s="171"/>
      <c r="K39" s="60"/>
      <c r="L39" s="90">
        <f>'Suivi EAU-ELEC'!G38</f>
        <v>3751</v>
      </c>
      <c r="M39" s="91">
        <f>'Suivi EAU-ELEC'!I38</f>
        <v>8548</v>
      </c>
      <c r="N39" s="91">
        <f>'Suivi EAU-ELEC'!K38</f>
        <v>3268</v>
      </c>
      <c r="O39" s="91">
        <f t="shared" si="2"/>
        <v>15567</v>
      </c>
      <c r="P39" s="11"/>
      <c r="Q39" s="34">
        <f t="shared" si="3"/>
        <v>15100.3879</v>
      </c>
      <c r="R39" s="11"/>
      <c r="S39" s="28"/>
      <c r="T39" s="11"/>
      <c r="U39" s="28"/>
      <c r="V39" s="147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2601</v>
      </c>
      <c r="E40" s="8">
        <f>SUM(E10:E39)</f>
        <v>4402</v>
      </c>
      <c r="F40" s="153">
        <f>SUM(F10:F39)</f>
        <v>3690.4000000000087</v>
      </c>
      <c r="G40" s="1"/>
      <c r="H40" s="208">
        <f>SUM(H10:H39)</f>
        <v>32438.616000000075</v>
      </c>
      <c r="I40" s="209"/>
      <c r="J40" s="210"/>
      <c r="K40" s="1"/>
      <c r="L40" s="53">
        <f>SUM(L10:L39)</f>
        <v>108903</v>
      </c>
      <c r="M40" s="53">
        <f>SUM(M10:M39)</f>
        <v>253879</v>
      </c>
      <c r="N40" s="54">
        <f>SUM(N10:N39)</f>
        <v>96590</v>
      </c>
      <c r="O40" s="55">
        <f>SUM(O10:O39)</f>
        <v>459372</v>
      </c>
      <c r="P40" s="31"/>
      <c r="Q40" s="32">
        <f>SUM(Q10:Q39)</f>
        <v>445762.66690000001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7130.2477999999992</v>
      </c>
      <c r="W40" s="31"/>
      <c r="X40" s="32">
        <f>SUM(X10:X39)</f>
        <v>70025.450619020005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L41" s="157"/>
      <c r="M41" s="157"/>
      <c r="N41" s="157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188" t="s">
        <v>33</v>
      </c>
      <c r="B42" s="189"/>
      <c r="C42" s="189"/>
      <c r="D42" s="189"/>
      <c r="E42" s="189"/>
      <c r="F42" s="190"/>
      <c r="G42" s="26"/>
      <c r="H42" s="27" t="s">
        <v>34</v>
      </c>
      <c r="I42" s="200" t="s">
        <v>35</v>
      </c>
      <c r="J42" s="201"/>
      <c r="K42" s="202"/>
      <c r="L42" s="231" t="s">
        <v>36</v>
      </c>
      <c r="M42" s="232"/>
      <c r="N42" s="188" t="s">
        <v>37</v>
      </c>
      <c r="O42" s="189"/>
      <c r="P42" s="189"/>
      <c r="Q42" s="189"/>
      <c r="R42" s="189"/>
      <c r="S42" s="189"/>
      <c r="T42" s="189"/>
      <c r="U42" s="189"/>
      <c r="V42" s="189"/>
      <c r="W42" s="189"/>
      <c r="X42" s="190"/>
    </row>
    <row r="43" spans="1:24" s="18" customFormat="1" ht="29.25" customHeight="1" thickBot="1">
      <c r="A43" s="225" t="s">
        <v>38</v>
      </c>
      <c r="B43" s="226"/>
      <c r="C43" s="227"/>
      <c r="D43" s="159" t="s">
        <v>30</v>
      </c>
      <c r="E43" s="159" t="s">
        <v>30</v>
      </c>
      <c r="F43" s="159" t="s">
        <v>30</v>
      </c>
      <c r="G43" s="16"/>
      <c r="H43" s="17">
        <v>0.69850000000000001</v>
      </c>
      <c r="I43" s="222">
        <f>L40</f>
        <v>108903</v>
      </c>
      <c r="J43" s="223"/>
      <c r="K43" s="224"/>
      <c r="L43" s="206">
        <f>I43*H43</f>
        <v>76068.745500000005</v>
      </c>
      <c r="M43" s="207"/>
      <c r="N43" s="179">
        <f>L43+L44+L45</f>
        <v>446112.56210000004</v>
      </c>
      <c r="O43" s="180"/>
      <c r="P43" s="180"/>
      <c r="Q43" s="180"/>
      <c r="R43" s="180"/>
      <c r="S43" s="180"/>
      <c r="T43" s="180"/>
      <c r="U43" s="180"/>
      <c r="V43" s="180"/>
      <c r="W43" s="180"/>
      <c r="X43" s="181"/>
    </row>
    <row r="44" spans="1:24" s="18" customFormat="1" ht="29.25" customHeight="1" thickBot="1">
      <c r="A44" s="228"/>
      <c r="B44" s="229"/>
      <c r="C44" s="230"/>
      <c r="D44" s="158" t="s">
        <v>31</v>
      </c>
      <c r="E44" s="158" t="s">
        <v>31</v>
      </c>
      <c r="F44" s="158" t="s">
        <v>31</v>
      </c>
      <c r="G44" s="16"/>
      <c r="H44" s="19">
        <v>0.95140000000000002</v>
      </c>
      <c r="I44" s="222">
        <f>M40</f>
        <v>253879</v>
      </c>
      <c r="J44" s="223"/>
      <c r="K44" s="224"/>
      <c r="L44" s="206">
        <f>I44*H44</f>
        <v>241540.48060000001</v>
      </c>
      <c r="M44" s="207"/>
      <c r="N44" s="182"/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18" customFormat="1" ht="24.75" customHeight="1" thickBot="1">
      <c r="A45" s="228"/>
      <c r="B45" s="229"/>
      <c r="C45" s="230"/>
      <c r="D45" s="165" t="s">
        <v>32</v>
      </c>
      <c r="E45" s="165" t="s">
        <v>32</v>
      </c>
      <c r="F45" s="165" t="s">
        <v>32</v>
      </c>
      <c r="G45" s="20"/>
      <c r="H45" s="20">
        <v>1.3304</v>
      </c>
      <c r="I45" s="197">
        <f>N40</f>
        <v>96590</v>
      </c>
      <c r="J45" s="198"/>
      <c r="K45" s="199"/>
      <c r="L45" s="206">
        <f>I45*H45</f>
        <v>128503.336</v>
      </c>
      <c r="M45" s="207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18" customFormat="1" ht="43.5" customHeight="1" thickBot="1">
      <c r="A46" s="160"/>
      <c r="B46" s="161"/>
      <c r="C46" s="161"/>
      <c r="D46" s="165"/>
      <c r="E46" s="165"/>
      <c r="F46" s="165"/>
      <c r="G46" s="16"/>
      <c r="H46" s="16"/>
      <c r="I46" s="163"/>
      <c r="J46" s="164"/>
      <c r="K46" s="165"/>
      <c r="L46" s="154"/>
      <c r="M46" s="155"/>
      <c r="N46" s="203">
        <f>N43*1.3</f>
        <v>579946.33073000005</v>
      </c>
      <c r="O46" s="204"/>
      <c r="P46" s="204"/>
      <c r="Q46" s="204"/>
      <c r="R46" s="204"/>
      <c r="S46" s="204"/>
      <c r="T46" s="204"/>
      <c r="U46" s="204"/>
      <c r="V46" s="204"/>
      <c r="W46" s="204"/>
      <c r="X46" s="205"/>
    </row>
    <row r="47" spans="1:24" s="23" customFormat="1" ht="32.25" customHeight="1" thickBot="1">
      <c r="A47" s="217" t="s">
        <v>39</v>
      </c>
      <c r="B47" s="218"/>
      <c r="C47" s="218"/>
      <c r="D47" s="218"/>
      <c r="E47" s="218"/>
      <c r="F47" s="219"/>
      <c r="G47" s="21"/>
      <c r="H47" s="22">
        <v>8.7899999999999991</v>
      </c>
      <c r="I47" s="217">
        <f>F40</f>
        <v>3690.4000000000087</v>
      </c>
      <c r="J47" s="218"/>
      <c r="K47" s="219"/>
      <c r="L47" s="220">
        <f>I47*H47</f>
        <v>32438.616000000075</v>
      </c>
      <c r="M47" s="221"/>
      <c r="N47" s="176">
        <f>L47</f>
        <v>32438.616000000075</v>
      </c>
      <c r="O47" s="177"/>
      <c r="P47" s="177"/>
      <c r="Q47" s="177"/>
      <c r="R47" s="177"/>
      <c r="S47" s="177"/>
      <c r="T47" s="177"/>
      <c r="U47" s="177"/>
      <c r="V47" s="177"/>
      <c r="W47" s="177"/>
      <c r="X47" s="178"/>
    </row>
    <row r="48" spans="1:24" s="23" customFormat="1" ht="36.75" customHeight="1">
      <c r="A48" s="191" t="s">
        <v>40</v>
      </c>
      <c r="B48" s="192"/>
      <c r="C48" s="192"/>
      <c r="D48" s="192"/>
      <c r="E48" s="192"/>
      <c r="F48" s="193"/>
      <c r="G48" s="24"/>
      <c r="H48" s="25">
        <v>9.8209</v>
      </c>
      <c r="I48" s="194">
        <f>V40</f>
        <v>7130.2477999999992</v>
      </c>
      <c r="J48" s="195"/>
      <c r="K48" s="196"/>
      <c r="L48" s="194">
        <f>I48*H48</f>
        <v>70025.45061901999</v>
      </c>
      <c r="M48" s="196"/>
      <c r="N48" s="173">
        <f>L48</f>
        <v>70025.45061901999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>
      <c r="A50" s="162"/>
      <c r="B50" s="162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</row>
    <row r="54" spans="1:24" ht="39" customHeight="1">
      <c r="A54" s="16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</row>
  </sheetData>
  <mergeCells count="72">
    <mergeCell ref="H36:J36"/>
    <mergeCell ref="L43:M43"/>
    <mergeCell ref="H33:J33"/>
    <mergeCell ref="H31:J31"/>
    <mergeCell ref="H35:J35"/>
    <mergeCell ref="H37:J37"/>
    <mergeCell ref="H38:J38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36" activePane="bottomRight" state="frozen"/>
      <selection pane="bottomRight" activeCell="K37" sqref="K37:K3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3"/>
      <c r="B1" s="274"/>
      <c r="C1" s="274"/>
      <c r="D1" s="275"/>
      <c r="E1" s="256" t="s">
        <v>41</v>
      </c>
      <c r="F1" s="257"/>
      <c r="G1" s="257"/>
      <c r="H1" s="257"/>
      <c r="I1" s="258"/>
      <c r="J1" s="265" t="s">
        <v>42</v>
      </c>
      <c r="K1" s="266"/>
      <c r="L1" s="49"/>
    </row>
    <row r="2" spans="1:12" ht="16.5" customHeight="1">
      <c r="A2" s="276"/>
      <c r="B2" s="277"/>
      <c r="C2" s="277"/>
      <c r="D2" s="278"/>
      <c r="E2" s="259"/>
      <c r="F2" s="260"/>
      <c r="G2" s="260"/>
      <c r="H2" s="260"/>
      <c r="I2" s="261"/>
      <c r="J2" s="267"/>
      <c r="K2" s="268"/>
      <c r="L2" s="49"/>
    </row>
    <row r="3" spans="1:12" ht="48" customHeight="1">
      <c r="A3" s="279"/>
      <c r="B3" s="280"/>
      <c r="C3" s="280"/>
      <c r="D3" s="281"/>
      <c r="E3" s="262"/>
      <c r="F3" s="263"/>
      <c r="G3" s="263"/>
      <c r="H3" s="263"/>
      <c r="I3" s="264"/>
      <c r="J3" s="269"/>
      <c r="K3" s="270"/>
      <c r="L3" s="49"/>
    </row>
    <row r="6" spans="1:12" ht="10.5" customHeight="1">
      <c r="A6" s="166"/>
      <c r="B6" s="166"/>
      <c r="C6" s="166"/>
    </row>
    <row r="7" spans="1:12" ht="16.5" customHeight="1">
      <c r="A7" s="254" t="s">
        <v>43</v>
      </c>
      <c r="B7" s="282" t="s">
        <v>44</v>
      </c>
      <c r="C7" s="283"/>
      <c r="D7" s="271" t="s">
        <v>45</v>
      </c>
      <c r="E7" s="271"/>
      <c r="F7" s="272" t="s">
        <v>46</v>
      </c>
      <c r="G7" s="272"/>
      <c r="H7" s="272"/>
      <c r="I7" s="272"/>
      <c r="J7" s="272"/>
      <c r="K7" s="272"/>
    </row>
    <row r="8" spans="1:12" s="29" customFormat="1" ht="28.5" customHeight="1">
      <c r="A8" s="255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44378</v>
      </c>
      <c r="B9" s="116">
        <v>2559</v>
      </c>
      <c r="C9" s="115">
        <v>0</v>
      </c>
      <c r="D9" s="57">
        <v>113929.60000000001</v>
      </c>
      <c r="E9" s="50">
        <v>106.70000000001164</v>
      </c>
      <c r="F9" s="51">
        <v>10695332</v>
      </c>
      <c r="G9" s="50">
        <v>2905</v>
      </c>
      <c r="H9" s="51">
        <v>18050934</v>
      </c>
      <c r="I9" s="50">
        <v>7908</v>
      </c>
      <c r="J9" s="51">
        <v>7972266</v>
      </c>
      <c r="K9" s="50">
        <v>2680</v>
      </c>
    </row>
    <row r="10" spans="1:12" ht="19.5">
      <c r="A10" s="59">
        <v>44379</v>
      </c>
      <c r="B10" s="116">
        <v>2559</v>
      </c>
      <c r="C10" s="115">
        <f>B10-B9</f>
        <v>0</v>
      </c>
      <c r="D10" s="57">
        <v>114041.9</v>
      </c>
      <c r="E10" s="50">
        <f>D10-D9</f>
        <v>112.29999999998836</v>
      </c>
      <c r="F10" s="51">
        <v>10698726</v>
      </c>
      <c r="G10" s="50">
        <f>F10-F9</f>
        <v>3394</v>
      </c>
      <c r="H10" s="51">
        <v>18057682</v>
      </c>
      <c r="I10" s="50">
        <f>H10-H9</f>
        <v>6748</v>
      </c>
      <c r="J10" s="51">
        <v>7975206</v>
      </c>
      <c r="K10" s="50">
        <f>J10-J9</f>
        <v>2940</v>
      </c>
    </row>
    <row r="11" spans="1:12" ht="19.5">
      <c r="A11" s="59">
        <v>44380</v>
      </c>
      <c r="B11" s="116">
        <v>2559</v>
      </c>
      <c r="C11" s="115">
        <f t="shared" ref="C11:D38" si="0">B11-B10</f>
        <v>0</v>
      </c>
      <c r="D11" s="57">
        <v>114155.8</v>
      </c>
      <c r="E11" s="50">
        <f t="shared" ref="E11:E38" si="1">D11-D10</f>
        <v>113.90000000000873</v>
      </c>
      <c r="F11" s="51">
        <v>10701863</v>
      </c>
      <c r="G11" s="50">
        <f t="shared" ref="G11:G38" si="2">F11-F10</f>
        <v>3137</v>
      </c>
      <c r="H11" s="51">
        <v>18064878</v>
      </c>
      <c r="I11" s="50">
        <f t="shared" ref="I11:I38" si="3">H11-H10</f>
        <v>7196</v>
      </c>
      <c r="J11" s="51">
        <v>7978215</v>
      </c>
      <c r="K11" s="50">
        <f t="shared" ref="K11:K38" si="4">J11-J10</f>
        <v>3009</v>
      </c>
    </row>
    <row r="12" spans="1:12" ht="19.5">
      <c r="A12" s="59">
        <v>44381</v>
      </c>
      <c r="B12" s="116">
        <v>2559</v>
      </c>
      <c r="C12" s="115">
        <f t="shared" si="0"/>
        <v>0</v>
      </c>
      <c r="D12" s="57">
        <v>114269</v>
      </c>
      <c r="E12" s="50">
        <f t="shared" si="1"/>
        <v>113.19999999999709</v>
      </c>
      <c r="F12" s="51">
        <v>10705464</v>
      </c>
      <c r="G12" s="50">
        <f t="shared" si="2"/>
        <v>3601</v>
      </c>
      <c r="H12" s="51">
        <v>18072240</v>
      </c>
      <c r="I12" s="50">
        <f t="shared" si="3"/>
        <v>7362</v>
      </c>
      <c r="J12" s="51">
        <v>7981093</v>
      </c>
      <c r="K12" s="50">
        <f t="shared" si="4"/>
        <v>2878</v>
      </c>
    </row>
    <row r="13" spans="1:12" ht="19.5">
      <c r="A13" s="59">
        <v>44382</v>
      </c>
      <c r="B13" s="116">
        <v>2559</v>
      </c>
      <c r="C13" s="115">
        <f t="shared" si="0"/>
        <v>0</v>
      </c>
      <c r="D13" s="57">
        <v>114367</v>
      </c>
      <c r="E13" s="50">
        <f t="shared" si="1"/>
        <v>98</v>
      </c>
      <c r="F13" s="51">
        <v>10708852</v>
      </c>
      <c r="G13" s="50">
        <f t="shared" si="2"/>
        <v>3388</v>
      </c>
      <c r="H13" s="51">
        <v>18079872</v>
      </c>
      <c r="I13" s="50">
        <f t="shared" si="3"/>
        <v>7632</v>
      </c>
      <c r="J13" s="51">
        <v>7983770</v>
      </c>
      <c r="K13" s="50">
        <f t="shared" si="4"/>
        <v>2677</v>
      </c>
    </row>
    <row r="14" spans="1:12" ht="19.5">
      <c r="A14" s="59">
        <v>44383</v>
      </c>
      <c r="B14" s="116">
        <v>2559</v>
      </c>
      <c r="C14" s="115">
        <f t="shared" si="0"/>
        <v>0</v>
      </c>
      <c r="D14" s="57">
        <v>114448.8</v>
      </c>
      <c r="E14" s="50">
        <f t="shared" si="1"/>
        <v>81.80000000000291</v>
      </c>
      <c r="F14" s="51">
        <v>10711866</v>
      </c>
      <c r="G14" s="50">
        <f t="shared" si="2"/>
        <v>3014</v>
      </c>
      <c r="H14" s="51">
        <v>18088323</v>
      </c>
      <c r="I14" s="50">
        <f t="shared" si="3"/>
        <v>8451</v>
      </c>
      <c r="J14" s="51">
        <v>7986638</v>
      </c>
      <c r="K14" s="50">
        <f t="shared" si="4"/>
        <v>2868</v>
      </c>
    </row>
    <row r="15" spans="1:12" ht="19.5">
      <c r="A15" s="59">
        <v>44384</v>
      </c>
      <c r="B15" s="116">
        <v>2559</v>
      </c>
      <c r="C15" s="115">
        <f t="shared" si="0"/>
        <v>0</v>
      </c>
      <c r="D15" s="57">
        <v>114577.8</v>
      </c>
      <c r="E15" s="50">
        <f t="shared" si="1"/>
        <v>129</v>
      </c>
      <c r="F15" s="51">
        <v>10714797</v>
      </c>
      <c r="G15" s="50">
        <f t="shared" si="2"/>
        <v>2931</v>
      </c>
      <c r="H15" s="51">
        <v>18095669</v>
      </c>
      <c r="I15" s="50">
        <f t="shared" si="3"/>
        <v>7346</v>
      </c>
      <c r="J15" s="51">
        <v>7989379</v>
      </c>
      <c r="K15" s="50">
        <f t="shared" si="4"/>
        <v>2741</v>
      </c>
    </row>
    <row r="16" spans="1:12" ht="19.5">
      <c r="A16" s="59">
        <v>44385</v>
      </c>
      <c r="B16" s="116">
        <v>2559</v>
      </c>
      <c r="C16" s="115">
        <f t="shared" si="0"/>
        <v>0</v>
      </c>
      <c r="D16" s="57">
        <v>114679</v>
      </c>
      <c r="E16" s="50">
        <f t="shared" si="1"/>
        <v>101.19999999999709</v>
      </c>
      <c r="F16" s="51">
        <v>10718151</v>
      </c>
      <c r="G16" s="50">
        <f t="shared" si="2"/>
        <v>3354</v>
      </c>
      <c r="H16" s="51">
        <v>18103614</v>
      </c>
      <c r="I16" s="50">
        <f t="shared" si="3"/>
        <v>7945</v>
      </c>
      <c r="J16" s="51">
        <v>7992262</v>
      </c>
      <c r="K16" s="50">
        <f t="shared" si="4"/>
        <v>2883</v>
      </c>
    </row>
    <row r="17" spans="1:29" ht="19.5">
      <c r="A17" s="59">
        <v>44386</v>
      </c>
      <c r="B17" s="116">
        <v>2559</v>
      </c>
      <c r="C17" s="115">
        <f t="shared" si="0"/>
        <v>0</v>
      </c>
      <c r="D17" s="57">
        <v>114793.60000000001</v>
      </c>
      <c r="E17" s="50">
        <f t="shared" si="1"/>
        <v>114.60000000000582</v>
      </c>
      <c r="F17" s="51">
        <v>10721378</v>
      </c>
      <c r="G17" s="50">
        <f t="shared" si="2"/>
        <v>3227</v>
      </c>
      <c r="H17" s="51">
        <v>18111137</v>
      </c>
      <c r="I17" s="50">
        <f t="shared" si="3"/>
        <v>7523</v>
      </c>
      <c r="J17" s="51">
        <v>7995240</v>
      </c>
      <c r="K17" s="50">
        <f t="shared" si="4"/>
        <v>2978</v>
      </c>
    </row>
    <row r="18" spans="1:29" ht="19.5">
      <c r="A18" s="59">
        <v>44387</v>
      </c>
      <c r="B18" s="116">
        <v>2559</v>
      </c>
      <c r="C18" s="115">
        <f t="shared" si="0"/>
        <v>0</v>
      </c>
      <c r="D18" s="57">
        <v>114912.7</v>
      </c>
      <c r="E18" s="50">
        <f t="shared" si="1"/>
        <v>119.09999999999127</v>
      </c>
      <c r="F18" s="51">
        <v>10725071</v>
      </c>
      <c r="G18" s="50">
        <f t="shared" si="2"/>
        <v>3693</v>
      </c>
      <c r="H18" s="51">
        <v>18119535</v>
      </c>
      <c r="I18" s="50">
        <f t="shared" si="3"/>
        <v>8398</v>
      </c>
      <c r="J18" s="51">
        <v>7999091</v>
      </c>
      <c r="K18" s="50">
        <f t="shared" si="4"/>
        <v>3851</v>
      </c>
    </row>
    <row r="19" spans="1:29" ht="19.5">
      <c r="A19" s="59">
        <v>44388</v>
      </c>
      <c r="B19" s="116">
        <v>2559</v>
      </c>
      <c r="C19" s="115">
        <f t="shared" si="0"/>
        <v>0</v>
      </c>
      <c r="D19" s="57">
        <v>115050</v>
      </c>
      <c r="E19" s="50">
        <f t="shared" si="1"/>
        <v>137.30000000000291</v>
      </c>
      <c r="F19" s="51">
        <v>10729175</v>
      </c>
      <c r="G19" s="50">
        <f t="shared" si="2"/>
        <v>4104</v>
      </c>
      <c r="H19" s="51">
        <v>18129143</v>
      </c>
      <c r="I19" s="50">
        <f t="shared" si="3"/>
        <v>9608</v>
      </c>
      <c r="J19" s="51">
        <v>8002681</v>
      </c>
      <c r="K19" s="50">
        <f t="shared" si="4"/>
        <v>3590</v>
      </c>
    </row>
    <row r="20" spans="1:29" ht="25.5">
      <c r="A20" s="59">
        <v>44389</v>
      </c>
      <c r="B20" s="116">
        <v>2559</v>
      </c>
      <c r="C20" s="115">
        <f t="shared" si="0"/>
        <v>0</v>
      </c>
      <c r="D20" s="57">
        <v>115154</v>
      </c>
      <c r="E20" s="50">
        <f t="shared" si="1"/>
        <v>104</v>
      </c>
      <c r="F20" s="51">
        <v>10733542</v>
      </c>
      <c r="G20" s="50">
        <f t="shared" si="2"/>
        <v>4367</v>
      </c>
      <c r="H20" s="51">
        <v>18139896</v>
      </c>
      <c r="I20" s="50">
        <f t="shared" si="3"/>
        <v>10753</v>
      </c>
      <c r="J20" s="51">
        <v>8007175</v>
      </c>
      <c r="K20" s="50">
        <f t="shared" si="4"/>
        <v>4494</v>
      </c>
      <c r="L20" s="117" t="s">
        <v>18</v>
      </c>
      <c r="AC20" t="s">
        <v>56</v>
      </c>
    </row>
    <row r="21" spans="1:29" ht="19.5">
      <c r="A21" s="59">
        <v>44390</v>
      </c>
      <c r="B21" s="116">
        <v>2559</v>
      </c>
      <c r="C21" s="115">
        <f t="shared" si="0"/>
        <v>0</v>
      </c>
      <c r="D21" s="57">
        <v>115332.1</v>
      </c>
      <c r="E21" s="50">
        <f t="shared" si="1"/>
        <v>178.10000000000582</v>
      </c>
      <c r="F21" s="51">
        <v>10737176</v>
      </c>
      <c r="G21" s="50">
        <f t="shared" si="2"/>
        <v>3634</v>
      </c>
      <c r="H21" s="51">
        <v>18149918</v>
      </c>
      <c r="I21" s="50">
        <f t="shared" si="3"/>
        <v>10022</v>
      </c>
      <c r="J21" s="51">
        <v>8010546</v>
      </c>
      <c r="K21" s="50">
        <f t="shared" si="4"/>
        <v>3371</v>
      </c>
    </row>
    <row r="22" spans="1:29" ht="19.5">
      <c r="A22" s="59">
        <v>44391</v>
      </c>
      <c r="B22" s="116">
        <v>2559</v>
      </c>
      <c r="C22" s="115">
        <f t="shared" si="0"/>
        <v>0</v>
      </c>
      <c r="D22" s="57">
        <v>115429.5</v>
      </c>
      <c r="E22" s="50">
        <f t="shared" si="1"/>
        <v>97.399999999994179</v>
      </c>
      <c r="F22" s="51">
        <v>10740253</v>
      </c>
      <c r="G22" s="50">
        <f t="shared" si="2"/>
        <v>3077</v>
      </c>
      <c r="H22" s="51">
        <v>18158311</v>
      </c>
      <c r="I22" s="50">
        <f t="shared" si="3"/>
        <v>8393</v>
      </c>
      <c r="J22" s="51">
        <v>8013440</v>
      </c>
      <c r="K22" s="50">
        <f t="shared" si="4"/>
        <v>2894</v>
      </c>
    </row>
    <row r="23" spans="1:29" ht="19.5">
      <c r="A23" s="59">
        <v>44392</v>
      </c>
      <c r="B23" s="116">
        <v>2559</v>
      </c>
      <c r="C23" s="115">
        <f t="shared" si="0"/>
        <v>0</v>
      </c>
      <c r="D23" s="57">
        <v>115584.1</v>
      </c>
      <c r="E23" s="50">
        <f t="shared" si="1"/>
        <v>154.60000000000582</v>
      </c>
      <c r="F23" s="51">
        <v>10743687</v>
      </c>
      <c r="G23" s="50">
        <f t="shared" si="2"/>
        <v>3434</v>
      </c>
      <c r="H23" s="51">
        <v>18167165</v>
      </c>
      <c r="I23" s="50">
        <f t="shared" si="3"/>
        <v>8854</v>
      </c>
      <c r="J23" s="51">
        <v>8016738</v>
      </c>
      <c r="K23" s="50">
        <f t="shared" si="4"/>
        <v>3298</v>
      </c>
    </row>
    <row r="24" spans="1:29" ht="19.5">
      <c r="A24" s="59">
        <v>44393</v>
      </c>
      <c r="B24" s="116">
        <v>2559</v>
      </c>
      <c r="C24" s="115">
        <f t="shared" si="0"/>
        <v>0</v>
      </c>
      <c r="D24" s="57">
        <v>115700.4</v>
      </c>
      <c r="E24" s="50">
        <f t="shared" si="1"/>
        <v>116.29999999998836</v>
      </c>
      <c r="F24" s="51">
        <v>10747689</v>
      </c>
      <c r="G24" s="50">
        <f t="shared" si="2"/>
        <v>4002</v>
      </c>
      <c r="H24" s="51">
        <v>18176533</v>
      </c>
      <c r="I24" s="50">
        <f t="shared" si="3"/>
        <v>9368</v>
      </c>
      <c r="J24" s="51">
        <v>8019977</v>
      </c>
      <c r="K24" s="50">
        <f t="shared" si="4"/>
        <v>3239</v>
      </c>
    </row>
    <row r="25" spans="1:29" ht="19.5">
      <c r="A25" s="59">
        <v>44394</v>
      </c>
      <c r="B25" s="116">
        <v>2559</v>
      </c>
      <c r="C25" s="115">
        <f t="shared" si="0"/>
        <v>0</v>
      </c>
      <c r="D25" s="57">
        <v>115854</v>
      </c>
      <c r="E25" s="50">
        <f t="shared" si="1"/>
        <v>153.60000000000582</v>
      </c>
      <c r="F25" s="51">
        <v>10752110</v>
      </c>
      <c r="G25" s="50">
        <f t="shared" si="2"/>
        <v>4421</v>
      </c>
      <c r="H25" s="51">
        <v>18185206</v>
      </c>
      <c r="I25" s="50">
        <f t="shared" si="3"/>
        <v>8673</v>
      </c>
      <c r="J25" s="51">
        <v>8023348</v>
      </c>
      <c r="K25" s="50">
        <f t="shared" si="4"/>
        <v>3371</v>
      </c>
    </row>
    <row r="26" spans="1:29" ht="19.5">
      <c r="A26" s="59">
        <v>44395</v>
      </c>
      <c r="B26" s="116">
        <v>2559</v>
      </c>
      <c r="C26" s="115">
        <f t="shared" si="0"/>
        <v>0</v>
      </c>
      <c r="D26" s="57">
        <v>115982.9</v>
      </c>
      <c r="E26" s="50">
        <f t="shared" si="1"/>
        <v>128.89999999999418</v>
      </c>
      <c r="F26" s="51">
        <v>10755943</v>
      </c>
      <c r="G26" s="50">
        <f t="shared" si="2"/>
        <v>3833</v>
      </c>
      <c r="H26" s="51">
        <v>18193404</v>
      </c>
      <c r="I26" s="50">
        <f t="shared" si="3"/>
        <v>8198</v>
      </c>
      <c r="J26" s="51">
        <v>8026819</v>
      </c>
      <c r="K26" s="50">
        <f t="shared" si="4"/>
        <v>3471</v>
      </c>
    </row>
    <row r="27" spans="1:29" ht="19.5">
      <c r="A27" s="59">
        <v>44396</v>
      </c>
      <c r="B27" s="116">
        <v>2559</v>
      </c>
      <c r="C27" s="115">
        <f t="shared" si="0"/>
        <v>0</v>
      </c>
      <c r="D27" s="57">
        <v>116090.9</v>
      </c>
      <c r="E27" s="50">
        <f t="shared" si="1"/>
        <v>108</v>
      </c>
      <c r="F27" s="51">
        <v>10759428</v>
      </c>
      <c r="G27" s="50">
        <f t="shared" si="2"/>
        <v>3485</v>
      </c>
      <c r="H27" s="51">
        <v>18202117</v>
      </c>
      <c r="I27" s="50">
        <f t="shared" si="3"/>
        <v>8713</v>
      </c>
      <c r="J27" s="51">
        <v>8030279</v>
      </c>
      <c r="K27" s="50">
        <f t="shared" si="4"/>
        <v>3460</v>
      </c>
    </row>
    <row r="28" spans="1:29" ht="19.5">
      <c r="A28" s="59">
        <v>44397</v>
      </c>
      <c r="B28" s="116">
        <v>2559</v>
      </c>
      <c r="C28" s="115">
        <f t="shared" si="0"/>
        <v>0</v>
      </c>
      <c r="D28" s="57">
        <v>116218.8</v>
      </c>
      <c r="E28" s="50">
        <f t="shared" si="1"/>
        <v>127.90000000000873</v>
      </c>
      <c r="F28" s="51">
        <v>10762660</v>
      </c>
      <c r="G28" s="50">
        <f t="shared" si="2"/>
        <v>3232</v>
      </c>
      <c r="H28" s="51">
        <v>18210040</v>
      </c>
      <c r="I28" s="50">
        <f t="shared" si="3"/>
        <v>7923</v>
      </c>
      <c r="J28" s="51">
        <v>8033193</v>
      </c>
      <c r="K28" s="50">
        <f t="shared" si="4"/>
        <v>2914</v>
      </c>
    </row>
    <row r="29" spans="1:29" ht="19.5">
      <c r="A29" s="59">
        <v>44398</v>
      </c>
      <c r="B29" s="116">
        <v>2559</v>
      </c>
      <c r="C29" s="115">
        <f t="shared" si="0"/>
        <v>0</v>
      </c>
      <c r="D29" s="57">
        <v>116332.3</v>
      </c>
      <c r="E29" s="50">
        <f t="shared" si="1"/>
        <v>113.5</v>
      </c>
      <c r="F29" s="51">
        <v>10766592</v>
      </c>
      <c r="G29" s="50">
        <f t="shared" si="2"/>
        <v>3932</v>
      </c>
      <c r="H29" s="51">
        <v>18217702</v>
      </c>
      <c r="I29" s="50">
        <f t="shared" si="3"/>
        <v>7662</v>
      </c>
      <c r="J29" s="51">
        <v>8036038</v>
      </c>
      <c r="K29" s="50">
        <f t="shared" si="4"/>
        <v>2845</v>
      </c>
    </row>
    <row r="30" spans="1:29" ht="19.5">
      <c r="A30" s="59">
        <v>44399</v>
      </c>
      <c r="B30" s="116">
        <v>2559</v>
      </c>
      <c r="C30" s="115">
        <f t="shared" si="0"/>
        <v>0</v>
      </c>
      <c r="D30" s="57">
        <v>116420.9</v>
      </c>
      <c r="E30" s="50">
        <f t="shared" si="1"/>
        <v>88.599999999991269</v>
      </c>
      <c r="F30" s="51">
        <v>10769265</v>
      </c>
      <c r="G30" s="50">
        <f t="shared" si="2"/>
        <v>2673</v>
      </c>
      <c r="H30" s="51">
        <v>18225595</v>
      </c>
      <c r="I30" s="50">
        <f t="shared" si="3"/>
        <v>7893</v>
      </c>
      <c r="J30" s="51">
        <v>8038923</v>
      </c>
      <c r="K30" s="50">
        <f t="shared" si="4"/>
        <v>2885</v>
      </c>
    </row>
    <row r="31" spans="1:29" ht="19.5">
      <c r="A31" s="59">
        <v>44400</v>
      </c>
      <c r="B31" s="116">
        <v>2559</v>
      </c>
      <c r="C31" s="115">
        <f t="shared" si="0"/>
        <v>0</v>
      </c>
      <c r="D31" s="57">
        <v>116532</v>
      </c>
      <c r="E31" s="50">
        <f t="shared" si="1"/>
        <v>111.10000000000582</v>
      </c>
      <c r="F31" s="51">
        <v>10774696</v>
      </c>
      <c r="G31" s="50">
        <f t="shared" si="2"/>
        <v>5431</v>
      </c>
      <c r="H31" s="51">
        <v>18233687</v>
      </c>
      <c r="I31" s="50">
        <f t="shared" si="3"/>
        <v>8092</v>
      </c>
      <c r="J31" s="51">
        <v>8042290</v>
      </c>
      <c r="K31" s="50">
        <f t="shared" si="4"/>
        <v>3367</v>
      </c>
    </row>
    <row r="32" spans="1:29" ht="19.5">
      <c r="A32" s="59">
        <v>44401</v>
      </c>
      <c r="B32" s="116">
        <v>2559</v>
      </c>
      <c r="C32" s="115">
        <f t="shared" si="0"/>
        <v>0</v>
      </c>
      <c r="D32" s="57">
        <v>116707</v>
      </c>
      <c r="E32" s="50">
        <f t="shared" si="1"/>
        <v>175</v>
      </c>
      <c r="F32" s="51">
        <v>10778856</v>
      </c>
      <c r="G32" s="50">
        <f t="shared" si="2"/>
        <v>4160</v>
      </c>
      <c r="H32" s="51">
        <v>18243306</v>
      </c>
      <c r="I32" s="50">
        <f t="shared" si="3"/>
        <v>9619</v>
      </c>
      <c r="J32" s="51">
        <v>8046194</v>
      </c>
      <c r="K32" s="50">
        <f t="shared" si="4"/>
        <v>3904</v>
      </c>
    </row>
    <row r="33" spans="1:11" ht="19.5">
      <c r="A33" s="59">
        <v>44402</v>
      </c>
      <c r="B33" s="116">
        <v>2559</v>
      </c>
      <c r="C33" s="115">
        <f t="shared" si="0"/>
        <v>0</v>
      </c>
      <c r="D33" s="57">
        <v>116864</v>
      </c>
      <c r="E33" s="50">
        <f t="shared" si="1"/>
        <v>157</v>
      </c>
      <c r="F33" s="51">
        <v>10782490</v>
      </c>
      <c r="G33" s="50">
        <f t="shared" si="2"/>
        <v>3634</v>
      </c>
      <c r="H33" s="51">
        <v>18251725</v>
      </c>
      <c r="I33" s="50">
        <f t="shared" si="3"/>
        <v>8419</v>
      </c>
      <c r="J33" s="51">
        <v>8049297</v>
      </c>
      <c r="K33" s="50">
        <f t="shared" si="4"/>
        <v>3103</v>
      </c>
    </row>
    <row r="34" spans="1:11" ht="19.5">
      <c r="A34" s="59">
        <v>44403</v>
      </c>
      <c r="B34" s="116">
        <v>2559</v>
      </c>
      <c r="C34" s="115">
        <f t="shared" si="0"/>
        <v>0</v>
      </c>
      <c r="D34" s="57">
        <v>116976</v>
      </c>
      <c r="E34" s="50">
        <f t="shared" si="1"/>
        <v>112</v>
      </c>
      <c r="F34" s="51">
        <v>10785956</v>
      </c>
      <c r="G34" s="50">
        <f t="shared" si="2"/>
        <v>3466</v>
      </c>
      <c r="H34" s="51">
        <v>18260045</v>
      </c>
      <c r="I34" s="50">
        <f t="shared" si="3"/>
        <v>8320</v>
      </c>
      <c r="J34" s="51">
        <v>8052639</v>
      </c>
      <c r="K34" s="50">
        <f t="shared" si="4"/>
        <v>3342</v>
      </c>
    </row>
    <row r="35" spans="1:11" ht="19.5">
      <c r="A35" s="59">
        <v>44404</v>
      </c>
      <c r="B35" s="116">
        <v>2559</v>
      </c>
      <c r="C35" s="115">
        <f t="shared" si="0"/>
        <v>0</v>
      </c>
      <c r="D35" s="57">
        <v>117120.8</v>
      </c>
      <c r="E35" s="50">
        <f t="shared" si="1"/>
        <v>144.80000000000291</v>
      </c>
      <c r="F35" s="51">
        <v>10789410</v>
      </c>
      <c r="G35" s="50">
        <f t="shared" si="2"/>
        <v>3454</v>
      </c>
      <c r="H35" s="51">
        <v>18269074</v>
      </c>
      <c r="I35" s="50">
        <f t="shared" si="3"/>
        <v>9029</v>
      </c>
      <c r="J35" s="51">
        <v>8056036</v>
      </c>
      <c r="K35" s="50">
        <f t="shared" si="4"/>
        <v>3397</v>
      </c>
    </row>
    <row r="36" spans="1:11" ht="19.5">
      <c r="A36" s="59">
        <v>44405</v>
      </c>
      <c r="B36" s="116">
        <v>2559</v>
      </c>
      <c r="C36" s="115">
        <f t="shared" si="0"/>
        <v>0</v>
      </c>
      <c r="D36" s="57">
        <v>117251.3</v>
      </c>
      <c r="E36" s="50">
        <f t="shared" si="1"/>
        <v>130.5</v>
      </c>
      <c r="F36" s="51">
        <v>10793594</v>
      </c>
      <c r="G36" s="50">
        <f t="shared" si="2"/>
        <v>4184</v>
      </c>
      <c r="H36" s="51">
        <v>18279374</v>
      </c>
      <c r="I36" s="50">
        <f t="shared" si="3"/>
        <v>10300</v>
      </c>
      <c r="J36" s="51">
        <v>8059869</v>
      </c>
      <c r="K36" s="50">
        <f t="shared" si="4"/>
        <v>3833</v>
      </c>
    </row>
    <row r="37" spans="1:11" ht="19.5">
      <c r="A37" s="59">
        <v>44406</v>
      </c>
      <c r="B37" s="116">
        <v>2559</v>
      </c>
      <c r="C37" s="115">
        <f t="shared" si="0"/>
        <v>0</v>
      </c>
      <c r="D37" s="57">
        <v>117400.1</v>
      </c>
      <c r="E37" s="50">
        <f t="shared" si="1"/>
        <v>148.80000000000291</v>
      </c>
      <c r="F37" s="51">
        <v>10797579</v>
      </c>
      <c r="G37" s="50">
        <f t="shared" si="2"/>
        <v>3985</v>
      </c>
      <c r="H37" s="51">
        <v>18288357</v>
      </c>
      <c r="I37" s="50">
        <f t="shared" si="3"/>
        <v>8983</v>
      </c>
      <c r="J37" s="51">
        <v>8062908</v>
      </c>
      <c r="K37" s="50">
        <f t="shared" si="4"/>
        <v>3039</v>
      </c>
    </row>
    <row r="38" spans="1:11" ht="19.5">
      <c r="A38" s="59">
        <v>44407</v>
      </c>
      <c r="B38" s="116">
        <v>2559</v>
      </c>
      <c r="C38" s="115">
        <f t="shared" si="0"/>
        <v>0</v>
      </c>
      <c r="D38" s="57">
        <v>117513.3</v>
      </c>
      <c r="E38" s="50">
        <f t="shared" si="1"/>
        <v>113.19999999999709</v>
      </c>
      <c r="F38" s="51">
        <v>10801330</v>
      </c>
      <c r="G38" s="50">
        <f t="shared" si="2"/>
        <v>3751</v>
      </c>
      <c r="H38" s="51">
        <v>18296905</v>
      </c>
      <c r="I38" s="50">
        <f t="shared" si="3"/>
        <v>8548</v>
      </c>
      <c r="J38" s="51">
        <v>8066176</v>
      </c>
      <c r="K38" s="50">
        <f t="shared" si="4"/>
        <v>3268</v>
      </c>
    </row>
    <row r="39" spans="1:11" ht="19.5">
      <c r="A39" s="59">
        <v>44408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1.75" customHeight="1">
      <c r="A40" s="52"/>
      <c r="B40" s="52"/>
      <c r="C40" s="52"/>
      <c r="E40" s="145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3">
    <cfRule type="cellIs" dxfId="4" priority="55" stopIfTrue="1" operator="lessThanOrEqual">
      <formula>0</formula>
    </cfRule>
  </conditionalFormatting>
  <conditionalFormatting sqref="E39">
    <cfRule type="cellIs" dxfId="3" priority="22" stopIfTrue="1" operator="lessThanOrEqual">
      <formula>0</formula>
    </cfRule>
  </conditionalFormatting>
  <conditionalFormatting sqref="E39">
    <cfRule type="cellIs" dxfId="2" priority="17" stopIfTrue="1" operator="lessThanOrEqual">
      <formula>0</formula>
    </cfRule>
  </conditionalFormatting>
  <conditionalFormatting sqref="E9:E38">
    <cfRule type="cellIs" dxfId="1" priority="2" stopIfTrue="1" operator="lessThanOrEqual">
      <formula>0</formula>
    </cfRule>
  </conditionalFormatting>
  <conditionalFormatting sqref="E9:E38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2" activePane="bottomRight" state="frozen"/>
      <selection pane="bottomRight" activeCell="I33" sqref="I3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7" t="s">
        <v>57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31" ht="41.25" customHeight="1" thickBot="1">
      <c r="Q2" s="292">
        <v>803</v>
      </c>
      <c r="R2" s="293"/>
      <c r="S2" s="294"/>
      <c r="T2" s="295">
        <v>519</v>
      </c>
      <c r="U2" s="293"/>
      <c r="V2" s="294"/>
      <c r="W2" s="295">
        <v>800</v>
      </c>
      <c r="X2" s="293"/>
      <c r="Y2" s="294"/>
      <c r="Z2" s="295">
        <v>802</v>
      </c>
      <c r="AA2" s="293"/>
      <c r="AB2" s="296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44378</v>
      </c>
      <c r="B4" s="41">
        <v>65</v>
      </c>
      <c r="C4" s="39">
        <f t="shared" ref="C4:C35" si="0">IF(AC4&gt;0,((B4-R4)+(S4-B5)),IF(B5=0, ,(B4-B5)))</f>
        <v>1</v>
      </c>
      <c r="D4" s="41">
        <v>64</v>
      </c>
      <c r="E4" s="39">
        <f t="shared" ref="E4:E35" si="1">IF(AC4&gt;0,((D4-U4)+(V4-D5)),IF(D5=0, ,(D4-D5)))</f>
        <v>4</v>
      </c>
      <c r="F4" s="41">
        <v>64</v>
      </c>
      <c r="G4" s="39">
        <f t="shared" ref="G4:G35" si="2">IF(AC4&gt;0,((F4-X4)+(Y4-F5)),IF(F5=0, ,(F4-F5)))</f>
        <v>4</v>
      </c>
      <c r="H4" s="41">
        <v>61</v>
      </c>
      <c r="I4" s="39">
        <f>IF(AC4&gt;0,((H4-AA4)+(AB4-H5)),IF(H5=0, ,(H4-H5)))</f>
        <v>1</v>
      </c>
      <c r="J4" s="39">
        <f>B4+D4+F4+H4</f>
        <v>254</v>
      </c>
      <c r="K4" s="39">
        <f>J4/4</f>
        <v>63.5</v>
      </c>
      <c r="L4" s="39">
        <f>IF(AC4&gt;0,((K4-AD4)+(AE4-K5)),IF(K5=0, ,(K4-K5)))</f>
        <v>2.5</v>
      </c>
      <c r="M4" s="150">
        <f>7000*4</f>
        <v>28000</v>
      </c>
      <c r="N4" s="39">
        <f>L4*M4/100</f>
        <v>700</v>
      </c>
      <c r="O4" s="39">
        <f>N4*0.529</f>
        <v>370.3</v>
      </c>
      <c r="P4" s="42">
        <f>O4*8.41</f>
        <v>3114.223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44379</v>
      </c>
      <c r="B5" s="41">
        <v>64</v>
      </c>
      <c r="C5" s="39">
        <f t="shared" si="0"/>
        <v>3</v>
      </c>
      <c r="D5" s="41">
        <v>60</v>
      </c>
      <c r="E5" s="39">
        <f t="shared" si="1"/>
        <v>0</v>
      </c>
      <c r="F5" s="41">
        <v>60</v>
      </c>
      <c r="G5" s="39">
        <f t="shared" si="2"/>
        <v>0</v>
      </c>
      <c r="H5" s="41">
        <v>60</v>
      </c>
      <c r="I5" s="39">
        <f>IF(AC5&gt;0,((H5-AA5)+(AB5-H6)),IF(H6=0, ,(H5-H6)))</f>
        <v>1</v>
      </c>
      <c r="J5" s="39">
        <f>B5+D5+F5+H5</f>
        <v>244</v>
      </c>
      <c r="K5" s="39">
        <f>J5/4</f>
        <v>61</v>
      </c>
      <c r="L5" s="39">
        <f>IF(AC5&gt;0,((K5-AD5)+(AE5-K6)),IF(K6=0, ,(K5-K6)))</f>
        <v>1</v>
      </c>
      <c r="M5" s="150">
        <f t="shared" ref="M5:M42" si="6">7000*4</f>
        <v>28000</v>
      </c>
      <c r="N5" s="39">
        <f>L5*M5/100</f>
        <v>280</v>
      </c>
      <c r="O5" s="39">
        <f>N5*0.529</f>
        <v>148.12</v>
      </c>
      <c r="P5" s="42">
        <f t="shared" ref="P5:P42" si="7">O5*8.41</f>
        <v>1245.6892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44380</v>
      </c>
      <c r="B6" s="41">
        <v>61</v>
      </c>
      <c r="C6" s="39">
        <f t="shared" si="0"/>
        <v>4</v>
      </c>
      <c r="D6" s="41">
        <v>60</v>
      </c>
      <c r="E6" s="39">
        <f t="shared" si="1"/>
        <v>5</v>
      </c>
      <c r="F6" s="41">
        <v>60</v>
      </c>
      <c r="G6" s="39">
        <f t="shared" si="2"/>
        <v>5</v>
      </c>
      <c r="H6" s="41">
        <v>59</v>
      </c>
      <c r="I6" s="39">
        <f t="shared" ref="I6:I36" si="8">IF(AC6&gt;0,((H6-AA6)+(AB6-H7)),IF(H7=0, ,(H6-H7)))</f>
        <v>5</v>
      </c>
      <c r="J6" s="39">
        <f t="shared" ref="J6:J42" si="9">B6+D6+F6+H6</f>
        <v>240</v>
      </c>
      <c r="K6" s="39">
        <f t="shared" ref="K6:K42" si="10">J6/4</f>
        <v>60</v>
      </c>
      <c r="L6" s="39">
        <f t="shared" ref="L6:L19" si="11">IF(AC6&gt;0,((K6-AD6)+(AE6-K7)),IF(K7=0, ,(K6-K7)))</f>
        <v>4.75</v>
      </c>
      <c r="M6" s="150">
        <f t="shared" si="6"/>
        <v>28000</v>
      </c>
      <c r="N6" s="39">
        <f t="shared" ref="N6:N42" si="12">L6*M6/100</f>
        <v>1330</v>
      </c>
      <c r="O6" s="39">
        <f>N6*0.529</f>
        <v>703.57</v>
      </c>
      <c r="P6" s="42">
        <f t="shared" si="7"/>
        <v>5917.0237000000006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>
      <c r="A7" s="40">
        <v>44381</v>
      </c>
      <c r="B7" s="41">
        <v>57</v>
      </c>
      <c r="C7" s="39">
        <f t="shared" si="0"/>
        <v>3</v>
      </c>
      <c r="D7" s="41">
        <v>55</v>
      </c>
      <c r="E7" s="39">
        <f t="shared" si="1"/>
        <v>0</v>
      </c>
      <c r="F7" s="41">
        <v>55</v>
      </c>
      <c r="G7" s="39">
        <f t="shared" si="2"/>
        <v>1</v>
      </c>
      <c r="H7" s="41">
        <v>54</v>
      </c>
      <c r="I7" s="39">
        <f t="shared" si="8"/>
        <v>0</v>
      </c>
      <c r="J7" s="39">
        <f t="shared" si="9"/>
        <v>221</v>
      </c>
      <c r="K7" s="39">
        <f t="shared" si="10"/>
        <v>55.25</v>
      </c>
      <c r="L7" s="39">
        <f t="shared" si="11"/>
        <v>1</v>
      </c>
      <c r="M7" s="150">
        <f t="shared" si="6"/>
        <v>28000</v>
      </c>
      <c r="N7" s="39">
        <f t="shared" si="12"/>
        <v>280</v>
      </c>
      <c r="O7" s="39">
        <f>N7*0.53</f>
        <v>148.4</v>
      </c>
      <c r="P7" s="42">
        <f t="shared" si="7"/>
        <v>1248.0440000000001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44382</v>
      </c>
      <c r="B8" s="41">
        <v>54</v>
      </c>
      <c r="C8" s="39">
        <f t="shared" si="0"/>
        <v>2</v>
      </c>
      <c r="D8" s="41">
        <v>55</v>
      </c>
      <c r="E8" s="39">
        <f t="shared" si="1"/>
        <v>3</v>
      </c>
      <c r="F8" s="41">
        <v>54</v>
      </c>
      <c r="G8" s="39">
        <f t="shared" si="2"/>
        <v>0</v>
      </c>
      <c r="H8" s="41">
        <v>54</v>
      </c>
      <c r="I8" s="39">
        <f t="shared" si="8"/>
        <v>3</v>
      </c>
      <c r="J8" s="39">
        <f t="shared" si="9"/>
        <v>217</v>
      </c>
      <c r="K8" s="39">
        <f t="shared" si="10"/>
        <v>54.25</v>
      </c>
      <c r="L8" s="39">
        <f t="shared" si="11"/>
        <v>2</v>
      </c>
      <c r="M8" s="150">
        <f>6049*4</f>
        <v>24196</v>
      </c>
      <c r="N8" s="39">
        <f t="shared" si="12"/>
        <v>483.92</v>
      </c>
      <c r="O8" s="149">
        <f t="shared" ref="O8:O37" si="13">N8*0.529</f>
        <v>255.99368000000001</v>
      </c>
      <c r="P8" s="42">
        <f t="shared" si="7"/>
        <v>2152.9068488000003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44383</v>
      </c>
      <c r="B9" s="41">
        <v>52</v>
      </c>
      <c r="C9" s="39">
        <f t="shared" si="0"/>
        <v>1</v>
      </c>
      <c r="D9" s="41">
        <v>52</v>
      </c>
      <c r="E9" s="39">
        <f t="shared" si="1"/>
        <v>2</v>
      </c>
      <c r="F9" s="41">
        <v>54</v>
      </c>
      <c r="G9" s="39">
        <f t="shared" si="2"/>
        <v>4</v>
      </c>
      <c r="H9" s="41">
        <v>51</v>
      </c>
      <c r="I9" s="39">
        <f t="shared" si="8"/>
        <v>1</v>
      </c>
      <c r="J9" s="39">
        <f t="shared" si="9"/>
        <v>209</v>
      </c>
      <c r="K9" s="39">
        <f t="shared" si="10"/>
        <v>52.25</v>
      </c>
      <c r="L9" s="39">
        <f t="shared" si="11"/>
        <v>2</v>
      </c>
      <c r="M9" s="150">
        <f t="shared" ref="M9:M42" si="14">6049*4</f>
        <v>24196</v>
      </c>
      <c r="N9" s="39">
        <f t="shared" si="12"/>
        <v>483.92</v>
      </c>
      <c r="O9" s="39">
        <f t="shared" si="13"/>
        <v>255.99368000000001</v>
      </c>
      <c r="P9" s="42">
        <f t="shared" si="7"/>
        <v>2152.9068488000003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44384</v>
      </c>
      <c r="B10" s="41">
        <v>51</v>
      </c>
      <c r="C10" s="39">
        <f t="shared" si="0"/>
        <v>1</v>
      </c>
      <c r="D10" s="41">
        <v>50</v>
      </c>
      <c r="E10" s="39">
        <f t="shared" si="1"/>
        <v>0</v>
      </c>
      <c r="F10" s="41">
        <v>50</v>
      </c>
      <c r="G10" s="39">
        <f t="shared" si="2"/>
        <v>0</v>
      </c>
      <c r="H10" s="41">
        <v>50</v>
      </c>
      <c r="I10" s="39">
        <f t="shared" si="8"/>
        <v>0</v>
      </c>
      <c r="J10" s="39">
        <f t="shared" si="9"/>
        <v>201</v>
      </c>
      <c r="K10" s="39">
        <f t="shared" si="10"/>
        <v>50.25</v>
      </c>
      <c r="L10" s="39">
        <f t="shared" si="11"/>
        <v>0.25</v>
      </c>
      <c r="M10" s="150">
        <f t="shared" si="14"/>
        <v>24196</v>
      </c>
      <c r="N10" s="39">
        <f t="shared" si="12"/>
        <v>60.49</v>
      </c>
      <c r="O10" s="149">
        <f t="shared" si="13"/>
        <v>31.999210000000001</v>
      </c>
      <c r="P10" s="42">
        <f t="shared" si="7"/>
        <v>269.11335610000003</v>
      </c>
      <c r="Q10" s="39">
        <v>2865</v>
      </c>
      <c r="R10" s="39">
        <v>50</v>
      </c>
      <c r="S10" s="39">
        <v>85</v>
      </c>
      <c r="T10" s="39">
        <v>2559</v>
      </c>
      <c r="U10" s="39">
        <v>50</v>
      </c>
      <c r="V10" s="39">
        <v>85</v>
      </c>
      <c r="W10" s="39">
        <v>2742</v>
      </c>
      <c r="X10" s="39">
        <v>50</v>
      </c>
      <c r="Y10" s="39">
        <v>85</v>
      </c>
      <c r="Z10" s="39">
        <v>2720</v>
      </c>
      <c r="AA10" s="39">
        <v>50</v>
      </c>
      <c r="AB10" s="39">
        <v>85</v>
      </c>
      <c r="AC10" s="39">
        <f t="shared" si="3"/>
        <v>10886</v>
      </c>
      <c r="AD10" s="38">
        <f t="shared" si="4"/>
        <v>50</v>
      </c>
      <c r="AE10" s="38">
        <f t="shared" si="5"/>
        <v>85</v>
      </c>
    </row>
    <row r="11" spans="1:31" ht="32.25" customHeight="1">
      <c r="A11" s="40">
        <v>44385</v>
      </c>
      <c r="B11" s="41">
        <v>85</v>
      </c>
      <c r="C11" s="39">
        <f t="shared" si="0"/>
        <v>1</v>
      </c>
      <c r="D11" s="41">
        <v>85</v>
      </c>
      <c r="E11" s="39">
        <f t="shared" si="1"/>
        <v>0</v>
      </c>
      <c r="F11" s="41">
        <v>85</v>
      </c>
      <c r="G11" s="39">
        <f t="shared" si="2"/>
        <v>1</v>
      </c>
      <c r="H11" s="41">
        <v>85</v>
      </c>
      <c r="I11" s="39">
        <f t="shared" si="8"/>
        <v>1</v>
      </c>
      <c r="J11" s="39">
        <f t="shared" si="9"/>
        <v>340</v>
      </c>
      <c r="K11" s="39">
        <f t="shared" si="10"/>
        <v>85</v>
      </c>
      <c r="L11" s="39">
        <f t="shared" si="11"/>
        <v>0.75</v>
      </c>
      <c r="M11" s="150">
        <f t="shared" si="14"/>
        <v>24196</v>
      </c>
      <c r="N11" s="39">
        <f t="shared" si="12"/>
        <v>181.47</v>
      </c>
      <c r="O11" s="39">
        <f t="shared" si="13"/>
        <v>95.997630000000001</v>
      </c>
      <c r="P11" s="42">
        <f t="shared" si="7"/>
        <v>807.34006829999998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44386</v>
      </c>
      <c r="B12" s="41">
        <v>84</v>
      </c>
      <c r="C12" s="39">
        <f t="shared" si="0"/>
        <v>2</v>
      </c>
      <c r="D12" s="41">
        <v>85</v>
      </c>
      <c r="E12" s="39">
        <f t="shared" si="1"/>
        <v>2</v>
      </c>
      <c r="F12" s="41">
        <v>84</v>
      </c>
      <c r="G12" s="39">
        <f t="shared" si="2"/>
        <v>2</v>
      </c>
      <c r="H12" s="41">
        <v>84</v>
      </c>
      <c r="I12" s="39">
        <f t="shared" si="8"/>
        <v>1</v>
      </c>
      <c r="J12" s="39">
        <f t="shared" si="9"/>
        <v>337</v>
      </c>
      <c r="K12" s="39">
        <f t="shared" si="10"/>
        <v>84.25</v>
      </c>
      <c r="L12" s="39">
        <f t="shared" si="11"/>
        <v>1.75</v>
      </c>
      <c r="M12" s="150">
        <f t="shared" si="14"/>
        <v>24196</v>
      </c>
      <c r="N12" s="39">
        <f t="shared" si="12"/>
        <v>423.43</v>
      </c>
      <c r="O12" s="39">
        <f t="shared" si="13"/>
        <v>223.99447000000001</v>
      </c>
      <c r="P12" s="42">
        <f t="shared" si="7"/>
        <v>1883.7934927000001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44387</v>
      </c>
      <c r="B13" s="41">
        <v>82</v>
      </c>
      <c r="C13" s="39">
        <f t="shared" si="0"/>
        <v>2</v>
      </c>
      <c r="D13" s="41">
        <v>83</v>
      </c>
      <c r="E13" s="39">
        <f t="shared" si="1"/>
        <v>2</v>
      </c>
      <c r="F13" s="41">
        <v>82</v>
      </c>
      <c r="G13" s="39">
        <f t="shared" si="2"/>
        <v>2</v>
      </c>
      <c r="H13" s="41">
        <v>83</v>
      </c>
      <c r="I13" s="39">
        <f t="shared" si="8"/>
        <v>1</v>
      </c>
      <c r="J13" s="39">
        <f t="shared" si="9"/>
        <v>330</v>
      </c>
      <c r="K13" s="39">
        <f t="shared" si="10"/>
        <v>82.5</v>
      </c>
      <c r="L13" s="39">
        <f t="shared" si="11"/>
        <v>1.75</v>
      </c>
      <c r="M13" s="150">
        <f t="shared" si="14"/>
        <v>24196</v>
      </c>
      <c r="N13" s="39">
        <f t="shared" si="12"/>
        <v>423.43</v>
      </c>
      <c r="O13" s="39">
        <f t="shared" si="13"/>
        <v>223.99447000000001</v>
      </c>
      <c r="P13" s="42">
        <f t="shared" si="7"/>
        <v>1883.7934927000001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44388</v>
      </c>
      <c r="B14" s="41">
        <v>80</v>
      </c>
      <c r="C14" s="39">
        <f t="shared" si="0"/>
        <v>2</v>
      </c>
      <c r="D14" s="41">
        <v>81</v>
      </c>
      <c r="E14" s="39">
        <f t="shared" si="1"/>
        <v>2</v>
      </c>
      <c r="F14" s="41">
        <v>80</v>
      </c>
      <c r="G14" s="39">
        <f t="shared" si="2"/>
        <v>2</v>
      </c>
      <c r="H14" s="41">
        <v>82</v>
      </c>
      <c r="I14" s="39">
        <f>IF(AC14&gt;0,((H14-AA14)+(AB14-H15)),IF(H15=0, ,(H14-H15)))</f>
        <v>2</v>
      </c>
      <c r="J14" s="39">
        <f t="shared" si="9"/>
        <v>323</v>
      </c>
      <c r="K14" s="39">
        <f t="shared" si="10"/>
        <v>80.75</v>
      </c>
      <c r="L14" s="39">
        <f t="shared" si="11"/>
        <v>2</v>
      </c>
      <c r="M14" s="150">
        <f t="shared" si="14"/>
        <v>24196</v>
      </c>
      <c r="N14" s="39">
        <f t="shared" si="12"/>
        <v>483.92</v>
      </c>
      <c r="O14" s="39">
        <f t="shared" si="13"/>
        <v>255.99368000000001</v>
      </c>
      <c r="P14" s="42">
        <f t="shared" si="7"/>
        <v>2152.9068488000003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44389</v>
      </c>
      <c r="B15" s="41">
        <v>78</v>
      </c>
      <c r="C15" s="39">
        <f t="shared" si="0"/>
        <v>1</v>
      </c>
      <c r="D15" s="41">
        <v>79</v>
      </c>
      <c r="E15" s="39">
        <f t="shared" si="1"/>
        <v>1</v>
      </c>
      <c r="F15" s="41">
        <v>78</v>
      </c>
      <c r="G15" s="39">
        <f t="shared" si="2"/>
        <v>1</v>
      </c>
      <c r="H15" s="41">
        <v>80</v>
      </c>
      <c r="I15" s="39">
        <f>IF(AC15&gt;0,((H15-AA15)+(AB15-H16)),IF(H16=0, ,(H15-H16)))</f>
        <v>3</v>
      </c>
      <c r="J15" s="39">
        <f t="shared" si="9"/>
        <v>315</v>
      </c>
      <c r="K15" s="39">
        <f t="shared" si="10"/>
        <v>78.75</v>
      </c>
      <c r="L15" s="39">
        <f t="shared" si="11"/>
        <v>1.5</v>
      </c>
      <c r="M15" s="150">
        <f t="shared" si="14"/>
        <v>24196</v>
      </c>
      <c r="N15" s="39">
        <f t="shared" si="12"/>
        <v>362.94</v>
      </c>
      <c r="O15" s="39">
        <f t="shared" si="13"/>
        <v>191.99526</v>
      </c>
      <c r="P15" s="42">
        <f t="shared" si="7"/>
        <v>1614.6801366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44390</v>
      </c>
      <c r="B16" s="41">
        <v>77</v>
      </c>
      <c r="C16" s="39">
        <f t="shared" si="0"/>
        <v>2</v>
      </c>
      <c r="D16" s="41">
        <v>78</v>
      </c>
      <c r="E16" s="39">
        <f t="shared" si="1"/>
        <v>3</v>
      </c>
      <c r="F16" s="41">
        <v>77</v>
      </c>
      <c r="G16" s="39">
        <f t="shared" si="2"/>
        <v>2</v>
      </c>
      <c r="H16" s="41">
        <v>77</v>
      </c>
      <c r="I16" s="39">
        <f t="shared" si="8"/>
        <v>2</v>
      </c>
      <c r="J16" s="39">
        <f t="shared" si="9"/>
        <v>309</v>
      </c>
      <c r="K16" s="39">
        <f t="shared" si="10"/>
        <v>77.25</v>
      </c>
      <c r="L16" s="39">
        <f t="shared" si="11"/>
        <v>2.25</v>
      </c>
      <c r="M16" s="150">
        <f t="shared" si="14"/>
        <v>24196</v>
      </c>
      <c r="N16" s="39">
        <f t="shared" si="12"/>
        <v>544.41</v>
      </c>
      <c r="O16" s="39">
        <f t="shared" si="13"/>
        <v>287.99288999999999</v>
      </c>
      <c r="P16" s="42">
        <f t="shared" si="7"/>
        <v>2422.0202049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44391</v>
      </c>
      <c r="B17" s="41">
        <v>75</v>
      </c>
      <c r="C17" s="39">
        <f t="shared" si="0"/>
        <v>2</v>
      </c>
      <c r="D17" s="41">
        <v>75</v>
      </c>
      <c r="E17" s="39">
        <f t="shared" si="1"/>
        <v>1</v>
      </c>
      <c r="F17" s="41">
        <v>75</v>
      </c>
      <c r="G17" s="39">
        <f t="shared" si="2"/>
        <v>1</v>
      </c>
      <c r="H17" s="41">
        <v>75</v>
      </c>
      <c r="I17" s="39">
        <f t="shared" si="8"/>
        <v>0</v>
      </c>
      <c r="J17" s="39">
        <f t="shared" si="9"/>
        <v>300</v>
      </c>
      <c r="K17" s="39">
        <f t="shared" si="10"/>
        <v>75</v>
      </c>
      <c r="L17" s="39">
        <f t="shared" si="11"/>
        <v>1</v>
      </c>
      <c r="M17" s="150">
        <f t="shared" si="14"/>
        <v>24196</v>
      </c>
      <c r="N17" s="39">
        <f t="shared" si="12"/>
        <v>241.96</v>
      </c>
      <c r="O17" s="39">
        <f t="shared" si="13"/>
        <v>127.99684000000001</v>
      </c>
      <c r="P17" s="42">
        <f t="shared" si="7"/>
        <v>1076.4534244000001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44392</v>
      </c>
      <c r="B18" s="41">
        <v>73</v>
      </c>
      <c r="C18" s="39">
        <f t="shared" si="0"/>
        <v>2</v>
      </c>
      <c r="D18" s="41">
        <v>74</v>
      </c>
      <c r="E18" s="39">
        <f t="shared" si="1"/>
        <v>1</v>
      </c>
      <c r="F18" s="41">
        <v>74</v>
      </c>
      <c r="G18" s="39">
        <f t="shared" si="2"/>
        <v>1</v>
      </c>
      <c r="H18" s="41">
        <v>75</v>
      </c>
      <c r="I18" s="39">
        <f t="shared" si="8"/>
        <v>2</v>
      </c>
      <c r="J18" s="39">
        <f t="shared" si="9"/>
        <v>296</v>
      </c>
      <c r="K18" s="39">
        <f t="shared" si="10"/>
        <v>74</v>
      </c>
      <c r="L18" s="39">
        <f t="shared" si="11"/>
        <v>1.5</v>
      </c>
      <c r="M18" s="150">
        <f t="shared" si="14"/>
        <v>24196</v>
      </c>
      <c r="N18" s="39">
        <f t="shared" si="12"/>
        <v>362.94</v>
      </c>
      <c r="O18" s="39">
        <f t="shared" si="13"/>
        <v>191.99526</v>
      </c>
      <c r="P18" s="42">
        <f t="shared" si="7"/>
        <v>1614.6801366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44393</v>
      </c>
      <c r="B19" s="41">
        <v>71</v>
      </c>
      <c r="C19" s="39">
        <f t="shared" si="0"/>
        <v>1</v>
      </c>
      <c r="D19" s="41">
        <v>73</v>
      </c>
      <c r="E19" s="39">
        <f t="shared" si="1"/>
        <v>1</v>
      </c>
      <c r="F19" s="41">
        <v>73</v>
      </c>
      <c r="G19" s="39">
        <f t="shared" si="2"/>
        <v>2</v>
      </c>
      <c r="H19" s="41">
        <v>73</v>
      </c>
      <c r="I19" s="39">
        <f t="shared" si="8"/>
        <v>3</v>
      </c>
      <c r="J19" s="39">
        <f t="shared" si="9"/>
        <v>290</v>
      </c>
      <c r="K19" s="39">
        <f t="shared" si="10"/>
        <v>72.5</v>
      </c>
      <c r="L19" s="39">
        <f t="shared" si="11"/>
        <v>1.75</v>
      </c>
      <c r="M19" s="150">
        <f t="shared" si="14"/>
        <v>24196</v>
      </c>
      <c r="N19" s="39">
        <f t="shared" si="12"/>
        <v>423.43</v>
      </c>
      <c r="O19" s="39">
        <f t="shared" si="13"/>
        <v>223.99447000000001</v>
      </c>
      <c r="P19" s="42">
        <f t="shared" si="7"/>
        <v>1883.7934927000001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44394</v>
      </c>
      <c r="B20" s="41">
        <v>70</v>
      </c>
      <c r="C20" s="39">
        <f t="shared" si="0"/>
        <v>1</v>
      </c>
      <c r="D20" s="41">
        <v>72</v>
      </c>
      <c r="E20" s="39">
        <f t="shared" si="1"/>
        <v>2</v>
      </c>
      <c r="F20" s="41">
        <v>71</v>
      </c>
      <c r="G20" s="39">
        <f t="shared" si="2"/>
        <v>1</v>
      </c>
      <c r="H20" s="41">
        <v>70</v>
      </c>
      <c r="I20" s="39">
        <f t="shared" si="8"/>
        <v>1</v>
      </c>
      <c r="J20" s="39">
        <f t="shared" si="9"/>
        <v>283</v>
      </c>
      <c r="K20" s="39">
        <f t="shared" si="10"/>
        <v>70.75</v>
      </c>
      <c r="L20" s="39">
        <f t="shared" ref="L20:L42" si="15">IF(AC20&gt;0,((K20-AD20)+(AE20-K21)),IF(K21=0, ,(K20-K21)))</f>
        <v>1.25</v>
      </c>
      <c r="M20" s="150">
        <f t="shared" si="14"/>
        <v>24196</v>
      </c>
      <c r="N20" s="39">
        <f t="shared" si="12"/>
        <v>302.45</v>
      </c>
      <c r="O20" s="39">
        <f t="shared" si="13"/>
        <v>159.99605</v>
      </c>
      <c r="P20" s="42">
        <f t="shared" si="7"/>
        <v>1345.5667805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44395</v>
      </c>
      <c r="B21" s="41">
        <v>69</v>
      </c>
      <c r="C21" s="39">
        <f t="shared" si="0"/>
        <v>4</v>
      </c>
      <c r="D21" s="41">
        <v>70</v>
      </c>
      <c r="E21" s="39">
        <f t="shared" si="1"/>
        <v>3</v>
      </c>
      <c r="F21" s="41">
        <v>70</v>
      </c>
      <c r="G21" s="39">
        <f t="shared" si="2"/>
        <v>4</v>
      </c>
      <c r="H21" s="41">
        <v>69</v>
      </c>
      <c r="I21" s="39">
        <f t="shared" si="8"/>
        <v>1</v>
      </c>
      <c r="J21" s="39">
        <f t="shared" si="9"/>
        <v>278</v>
      </c>
      <c r="K21" s="39">
        <f t="shared" si="10"/>
        <v>69.5</v>
      </c>
      <c r="L21" s="39">
        <f>IF(AC21&gt;0,((K21-AD21)+(AE21-K22)),IF(K22=0, ,(K21-K22)))</f>
        <v>3</v>
      </c>
      <c r="M21" s="150">
        <f t="shared" si="14"/>
        <v>24196</v>
      </c>
      <c r="N21" s="39">
        <f t="shared" si="12"/>
        <v>725.88</v>
      </c>
      <c r="O21" s="39">
        <f t="shared" si="13"/>
        <v>383.99052</v>
      </c>
      <c r="P21" s="42">
        <f t="shared" si="7"/>
        <v>3229.3602731999999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44396</v>
      </c>
      <c r="B22" s="41">
        <v>65</v>
      </c>
      <c r="C22" s="39">
        <f t="shared" si="0"/>
        <v>2</v>
      </c>
      <c r="D22" s="41">
        <v>67</v>
      </c>
      <c r="E22" s="39">
        <f t="shared" si="1"/>
        <v>3</v>
      </c>
      <c r="F22" s="41">
        <v>66</v>
      </c>
      <c r="G22" s="39">
        <f t="shared" si="2"/>
        <v>1</v>
      </c>
      <c r="H22" s="41">
        <v>68</v>
      </c>
      <c r="I22" s="39">
        <f t="shared" si="8"/>
        <v>3</v>
      </c>
      <c r="J22" s="39">
        <f t="shared" si="9"/>
        <v>266</v>
      </c>
      <c r="K22" s="39">
        <f t="shared" si="10"/>
        <v>66.5</v>
      </c>
      <c r="L22" s="39">
        <f>IF(AC22&gt;0,((K22-AD22)+(AE22-K23)),IF(K23=0, ,(K22-K23)))</f>
        <v>2.25</v>
      </c>
      <c r="M22" s="150">
        <f t="shared" si="14"/>
        <v>24196</v>
      </c>
      <c r="N22" s="39">
        <f t="shared" si="12"/>
        <v>544.41</v>
      </c>
      <c r="O22" s="39">
        <f t="shared" si="13"/>
        <v>287.99288999999999</v>
      </c>
      <c r="P22" s="42">
        <f t="shared" si="7"/>
        <v>2422.0202049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44397</v>
      </c>
      <c r="B23" s="41">
        <v>63</v>
      </c>
      <c r="C23" s="39">
        <f t="shared" si="0"/>
        <v>3</v>
      </c>
      <c r="D23" s="41">
        <v>64</v>
      </c>
      <c r="E23" s="39">
        <f t="shared" si="1"/>
        <v>4</v>
      </c>
      <c r="F23" s="41">
        <v>65</v>
      </c>
      <c r="G23" s="39">
        <f t="shared" si="2"/>
        <v>0</v>
      </c>
      <c r="H23" s="41">
        <v>65</v>
      </c>
      <c r="I23" s="39">
        <f t="shared" si="8"/>
        <v>-1</v>
      </c>
      <c r="J23" s="39">
        <f t="shared" si="9"/>
        <v>257</v>
      </c>
      <c r="K23" s="39">
        <f t="shared" si="10"/>
        <v>64.25</v>
      </c>
      <c r="L23" s="39">
        <f t="shared" si="15"/>
        <v>1.5</v>
      </c>
      <c r="M23" s="150">
        <f t="shared" si="14"/>
        <v>24196</v>
      </c>
      <c r="N23" s="39">
        <f t="shared" si="12"/>
        <v>362.94</v>
      </c>
      <c r="O23" s="39">
        <f t="shared" si="13"/>
        <v>191.99526</v>
      </c>
      <c r="P23" s="42">
        <f t="shared" si="7"/>
        <v>1614.6801366</v>
      </c>
      <c r="Q23" s="39">
        <v>1862</v>
      </c>
      <c r="R23" s="39">
        <v>60</v>
      </c>
      <c r="S23" s="39">
        <v>85</v>
      </c>
      <c r="T23" s="39">
        <v>1807</v>
      </c>
      <c r="U23" s="39">
        <v>60</v>
      </c>
      <c r="V23" s="39">
        <v>85</v>
      </c>
      <c r="W23" s="39">
        <v>1705</v>
      </c>
      <c r="X23" s="39">
        <v>65</v>
      </c>
      <c r="Y23" s="39">
        <v>85</v>
      </c>
      <c r="Z23" s="39">
        <v>1601</v>
      </c>
      <c r="AA23" s="39">
        <v>66</v>
      </c>
      <c r="AB23" s="39">
        <v>85</v>
      </c>
      <c r="AC23" s="39">
        <f t="shared" si="3"/>
        <v>6975</v>
      </c>
      <c r="AD23" s="38">
        <f t="shared" si="4"/>
        <v>62.75</v>
      </c>
      <c r="AE23" s="38">
        <f t="shared" si="5"/>
        <v>85</v>
      </c>
    </row>
    <row r="24" spans="1:31" ht="32.25" customHeight="1">
      <c r="A24" s="40">
        <v>44398</v>
      </c>
      <c r="B24" s="41">
        <v>85</v>
      </c>
      <c r="C24" s="39">
        <f t="shared" si="0"/>
        <v>2</v>
      </c>
      <c r="D24" s="41">
        <v>85</v>
      </c>
      <c r="E24" s="39">
        <f t="shared" si="1"/>
        <v>1</v>
      </c>
      <c r="F24" s="41">
        <v>85</v>
      </c>
      <c r="G24" s="39">
        <f t="shared" si="2"/>
        <v>2</v>
      </c>
      <c r="H24" s="41">
        <v>85</v>
      </c>
      <c r="I24" s="39">
        <f t="shared" si="8"/>
        <v>3</v>
      </c>
      <c r="J24" s="39">
        <f t="shared" si="9"/>
        <v>340</v>
      </c>
      <c r="K24" s="39">
        <f t="shared" si="10"/>
        <v>85</v>
      </c>
      <c r="L24" s="39">
        <f t="shared" si="15"/>
        <v>2</v>
      </c>
      <c r="M24" s="150">
        <f t="shared" si="14"/>
        <v>24196</v>
      </c>
      <c r="N24" s="39">
        <f t="shared" si="12"/>
        <v>483.92</v>
      </c>
      <c r="O24" s="39">
        <f t="shared" si="13"/>
        <v>255.99368000000001</v>
      </c>
      <c r="P24" s="42">
        <f t="shared" si="7"/>
        <v>2152.9068488000003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44399</v>
      </c>
      <c r="B25" s="41">
        <v>83</v>
      </c>
      <c r="C25" s="39">
        <f t="shared" si="0"/>
        <v>3</v>
      </c>
      <c r="D25" s="41">
        <v>84</v>
      </c>
      <c r="E25" s="39">
        <f t="shared" si="1"/>
        <v>1</v>
      </c>
      <c r="F25" s="41">
        <v>83</v>
      </c>
      <c r="G25" s="39">
        <f t="shared" si="2"/>
        <v>3</v>
      </c>
      <c r="H25" s="41">
        <v>82</v>
      </c>
      <c r="I25" s="39">
        <f t="shared" si="8"/>
        <v>2</v>
      </c>
      <c r="J25" s="39">
        <f t="shared" si="9"/>
        <v>332</v>
      </c>
      <c r="K25" s="39">
        <f t="shared" si="10"/>
        <v>83</v>
      </c>
      <c r="L25" s="39">
        <f t="shared" si="15"/>
        <v>2.25</v>
      </c>
      <c r="M25" s="150">
        <f t="shared" si="14"/>
        <v>24196</v>
      </c>
      <c r="N25" s="39">
        <f t="shared" si="12"/>
        <v>544.41</v>
      </c>
      <c r="O25" s="39">
        <f t="shared" si="13"/>
        <v>287.99288999999999</v>
      </c>
      <c r="P25" s="42">
        <f t="shared" si="7"/>
        <v>2422.0202049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44400</v>
      </c>
      <c r="B26" s="41">
        <v>80</v>
      </c>
      <c r="C26" s="39">
        <f t="shared" si="0"/>
        <v>1</v>
      </c>
      <c r="D26" s="41">
        <v>83</v>
      </c>
      <c r="E26" s="39">
        <f t="shared" si="1"/>
        <v>3</v>
      </c>
      <c r="F26" s="41">
        <v>80</v>
      </c>
      <c r="G26" s="39">
        <f t="shared" si="2"/>
        <v>0</v>
      </c>
      <c r="H26" s="41">
        <v>80</v>
      </c>
      <c r="I26" s="39">
        <f t="shared" si="8"/>
        <v>0</v>
      </c>
      <c r="J26" s="39">
        <f t="shared" si="9"/>
        <v>323</v>
      </c>
      <c r="K26" s="39">
        <f t="shared" si="10"/>
        <v>80.75</v>
      </c>
      <c r="L26" s="39">
        <f t="shared" si="15"/>
        <v>1</v>
      </c>
      <c r="M26" s="150">
        <f t="shared" si="14"/>
        <v>24196</v>
      </c>
      <c r="N26" s="39">
        <f t="shared" si="12"/>
        <v>241.96</v>
      </c>
      <c r="O26" s="39">
        <f t="shared" si="13"/>
        <v>127.99684000000001</v>
      </c>
      <c r="P26" s="42">
        <f t="shared" si="7"/>
        <v>1076.4534244000001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44401</v>
      </c>
      <c r="B27" s="41">
        <v>79</v>
      </c>
      <c r="C27" s="39">
        <f t="shared" si="0"/>
        <v>2</v>
      </c>
      <c r="D27" s="41">
        <v>80</v>
      </c>
      <c r="E27" s="39">
        <f t="shared" si="1"/>
        <v>0</v>
      </c>
      <c r="F27" s="41">
        <v>80</v>
      </c>
      <c r="G27" s="39">
        <f t="shared" si="2"/>
        <v>4</v>
      </c>
      <c r="H27" s="41">
        <v>80</v>
      </c>
      <c r="I27" s="39">
        <f t="shared" si="8"/>
        <v>4</v>
      </c>
      <c r="J27" s="39">
        <f t="shared" si="9"/>
        <v>319</v>
      </c>
      <c r="K27" s="39">
        <f t="shared" si="10"/>
        <v>79.75</v>
      </c>
      <c r="L27" s="39">
        <f t="shared" si="15"/>
        <v>2.5</v>
      </c>
      <c r="M27" s="150">
        <f t="shared" si="14"/>
        <v>24196</v>
      </c>
      <c r="N27" s="39">
        <f t="shared" si="12"/>
        <v>604.9</v>
      </c>
      <c r="O27" s="39">
        <f t="shared" si="13"/>
        <v>319.99209999999999</v>
      </c>
      <c r="P27" s="42">
        <f t="shared" si="7"/>
        <v>2691.1335610000001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44402</v>
      </c>
      <c r="B28" s="41">
        <v>77</v>
      </c>
      <c r="C28" s="39">
        <f t="shared" si="0"/>
        <v>2</v>
      </c>
      <c r="D28" s="41">
        <v>80</v>
      </c>
      <c r="E28" s="39">
        <f t="shared" si="1"/>
        <v>4</v>
      </c>
      <c r="F28" s="41">
        <v>76</v>
      </c>
      <c r="G28" s="39">
        <f t="shared" si="2"/>
        <v>1</v>
      </c>
      <c r="H28" s="41">
        <v>76</v>
      </c>
      <c r="I28" s="39">
        <f>IF(AC28&gt;0,((H28-AA28)+(AB28-H29)),IF(H29=0, ,(H28-H29)))</f>
        <v>1</v>
      </c>
      <c r="J28" s="39">
        <f t="shared" si="9"/>
        <v>309</v>
      </c>
      <c r="K28" s="39">
        <f t="shared" si="10"/>
        <v>77.25</v>
      </c>
      <c r="L28" s="39">
        <f t="shared" si="15"/>
        <v>2</v>
      </c>
      <c r="M28" s="150">
        <f t="shared" si="14"/>
        <v>24196</v>
      </c>
      <c r="N28" s="39">
        <f t="shared" si="12"/>
        <v>483.92</v>
      </c>
      <c r="O28" s="39">
        <f t="shared" si="13"/>
        <v>255.99368000000001</v>
      </c>
      <c r="P28" s="42">
        <f t="shared" si="7"/>
        <v>2152.9068488000003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44403</v>
      </c>
      <c r="B29" s="41">
        <v>75</v>
      </c>
      <c r="C29" s="39">
        <f t="shared" si="0"/>
        <v>2</v>
      </c>
      <c r="D29" s="41">
        <v>76</v>
      </c>
      <c r="E29" s="39">
        <f t="shared" si="1"/>
        <v>3</v>
      </c>
      <c r="F29" s="41">
        <v>75</v>
      </c>
      <c r="G29" s="39">
        <f t="shared" si="2"/>
        <v>1</v>
      </c>
      <c r="H29" s="41">
        <v>75</v>
      </c>
      <c r="I29" s="39">
        <f t="shared" si="8"/>
        <v>2</v>
      </c>
      <c r="J29" s="39">
        <f t="shared" si="9"/>
        <v>301</v>
      </c>
      <c r="K29" s="39">
        <f t="shared" si="10"/>
        <v>75.25</v>
      </c>
      <c r="L29" s="39">
        <f t="shared" si="15"/>
        <v>2</v>
      </c>
      <c r="M29" s="150">
        <f t="shared" si="14"/>
        <v>24196</v>
      </c>
      <c r="N29" s="39">
        <f t="shared" si="12"/>
        <v>483.92</v>
      </c>
      <c r="O29" s="39">
        <f t="shared" si="13"/>
        <v>255.99368000000001</v>
      </c>
      <c r="P29" s="42">
        <f t="shared" si="7"/>
        <v>2152.9068488000003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44404</v>
      </c>
      <c r="B30" s="41">
        <v>73</v>
      </c>
      <c r="C30" s="39">
        <f t="shared" si="0"/>
        <v>2</v>
      </c>
      <c r="D30" s="41">
        <v>73</v>
      </c>
      <c r="E30" s="39">
        <f t="shared" si="1"/>
        <v>3</v>
      </c>
      <c r="F30" s="41">
        <v>74</v>
      </c>
      <c r="G30" s="39">
        <f t="shared" si="2"/>
        <v>4</v>
      </c>
      <c r="H30" s="41">
        <v>73</v>
      </c>
      <c r="I30" s="39">
        <f t="shared" si="8"/>
        <v>3</v>
      </c>
      <c r="J30" s="39">
        <f t="shared" si="9"/>
        <v>293</v>
      </c>
      <c r="K30" s="39">
        <f t="shared" si="10"/>
        <v>73.25</v>
      </c>
      <c r="L30" s="39">
        <f t="shared" si="15"/>
        <v>3</v>
      </c>
      <c r="M30" s="150">
        <f t="shared" si="14"/>
        <v>24196</v>
      </c>
      <c r="N30" s="39">
        <f t="shared" si="12"/>
        <v>725.88</v>
      </c>
      <c r="O30" s="39">
        <f t="shared" si="13"/>
        <v>383.99052</v>
      </c>
      <c r="P30" s="42">
        <f t="shared" si="7"/>
        <v>3229.3602731999999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18">(S30+V30+Y30+AB30)/4</f>
        <v>0</v>
      </c>
    </row>
    <row r="31" spans="1:31" ht="32.25" customHeight="1">
      <c r="A31" s="40">
        <v>44405</v>
      </c>
      <c r="B31" s="41">
        <v>71</v>
      </c>
      <c r="C31" s="39">
        <f t="shared" si="0"/>
        <v>3</v>
      </c>
      <c r="D31" s="41">
        <v>70</v>
      </c>
      <c r="E31" s="39">
        <f t="shared" si="1"/>
        <v>2</v>
      </c>
      <c r="F31" s="41">
        <v>70</v>
      </c>
      <c r="G31" s="39">
        <f t="shared" si="2"/>
        <v>2</v>
      </c>
      <c r="H31" s="41">
        <v>70</v>
      </c>
      <c r="I31" s="39">
        <f t="shared" si="8"/>
        <v>1</v>
      </c>
      <c r="J31" s="39">
        <f t="shared" si="9"/>
        <v>281</v>
      </c>
      <c r="K31" s="39">
        <f t="shared" si="10"/>
        <v>70.25</v>
      </c>
      <c r="L31" s="39">
        <f t="shared" si="15"/>
        <v>2</v>
      </c>
      <c r="M31" s="150">
        <f t="shared" si="14"/>
        <v>24196</v>
      </c>
      <c r="N31" s="39">
        <f t="shared" si="12"/>
        <v>483.92</v>
      </c>
      <c r="O31" s="39">
        <f t="shared" si="13"/>
        <v>255.99368000000001</v>
      </c>
      <c r="P31" s="42">
        <f t="shared" si="7"/>
        <v>2152.9068488000003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18"/>
        <v>0</v>
      </c>
    </row>
    <row r="32" spans="1:31" ht="32.25" customHeight="1">
      <c r="A32" s="40">
        <v>44406</v>
      </c>
      <c r="B32" s="41">
        <v>68</v>
      </c>
      <c r="C32" s="39">
        <f t="shared" si="0"/>
        <v>1</v>
      </c>
      <c r="D32" s="41">
        <v>68</v>
      </c>
      <c r="E32" s="39">
        <f t="shared" si="1"/>
        <v>1</v>
      </c>
      <c r="F32" s="41">
        <v>68</v>
      </c>
      <c r="G32" s="39">
        <f t="shared" si="2"/>
        <v>2</v>
      </c>
      <c r="H32" s="41">
        <v>69</v>
      </c>
      <c r="I32" s="39">
        <f t="shared" si="8"/>
        <v>3</v>
      </c>
      <c r="J32" s="39">
        <f t="shared" si="9"/>
        <v>273</v>
      </c>
      <c r="K32" s="39">
        <f t="shared" si="10"/>
        <v>68.25</v>
      </c>
      <c r="L32" s="39">
        <f t="shared" si="15"/>
        <v>1.75</v>
      </c>
      <c r="M32" s="150">
        <f t="shared" si="14"/>
        <v>24196</v>
      </c>
      <c r="N32" s="39">
        <f t="shared" si="12"/>
        <v>423.43</v>
      </c>
      <c r="O32" s="150">
        <f t="shared" si="13"/>
        <v>223.99447000000001</v>
      </c>
      <c r="P32" s="42">
        <f t="shared" si="7"/>
        <v>1883.7934927000001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18"/>
        <v>0</v>
      </c>
    </row>
    <row r="33" spans="1:31" ht="32.25" customHeight="1">
      <c r="A33" s="40">
        <v>44407</v>
      </c>
      <c r="B33" s="41">
        <v>67</v>
      </c>
      <c r="C33" s="39">
        <f t="shared" si="0"/>
        <v>0</v>
      </c>
      <c r="D33" s="41">
        <v>67</v>
      </c>
      <c r="E33" s="39">
        <f t="shared" si="1"/>
        <v>0</v>
      </c>
      <c r="F33" s="41">
        <v>66</v>
      </c>
      <c r="G33" s="39">
        <f t="shared" si="2"/>
        <v>0</v>
      </c>
      <c r="H33" s="41">
        <v>66</v>
      </c>
      <c r="I33" s="39">
        <f t="shared" si="8"/>
        <v>0</v>
      </c>
      <c r="J33" s="39">
        <f t="shared" si="9"/>
        <v>266</v>
      </c>
      <c r="K33" s="39">
        <f t="shared" si="10"/>
        <v>66.5</v>
      </c>
      <c r="L33" s="39">
        <f t="shared" si="15"/>
        <v>0</v>
      </c>
      <c r="M33" s="150">
        <f t="shared" si="14"/>
        <v>24196</v>
      </c>
      <c r="N33" s="39">
        <f t="shared" si="12"/>
        <v>0</v>
      </c>
      <c r="O33" s="39">
        <f t="shared" si="13"/>
        <v>0</v>
      </c>
      <c r="P33" s="42">
        <f t="shared" si="7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18"/>
        <v>0</v>
      </c>
    </row>
    <row r="34" spans="1:31" ht="32.25" customHeight="1">
      <c r="A34" s="40">
        <v>44408</v>
      </c>
      <c r="B34" s="41"/>
      <c r="C34" s="39">
        <f t="shared" si="0"/>
        <v>0</v>
      </c>
      <c r="D34" s="41"/>
      <c r="E34" s="39">
        <f t="shared" si="1"/>
        <v>0</v>
      </c>
      <c r="F34" s="41"/>
      <c r="G34" s="39">
        <f t="shared" si="2"/>
        <v>0</v>
      </c>
      <c r="H34" s="41"/>
      <c r="I34" s="39">
        <f t="shared" si="8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50">
        <f t="shared" si="14"/>
        <v>24196</v>
      </c>
      <c r="N34" s="39">
        <f>L34*M34/100</f>
        <v>0</v>
      </c>
      <c r="O34" s="39">
        <f>N34*0.529</f>
        <v>0</v>
      </c>
      <c r="P34" s="42">
        <f t="shared" si="7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18"/>
        <v>0</v>
      </c>
    </row>
    <row r="35" spans="1:31" ht="32.25" customHeight="1">
      <c r="A35" s="40">
        <v>44409</v>
      </c>
      <c r="B35" s="41"/>
      <c r="C35" s="39">
        <f t="shared" si="0"/>
        <v>0</v>
      </c>
      <c r="D35" s="41"/>
      <c r="E35" s="39">
        <f t="shared" si="1"/>
        <v>0</v>
      </c>
      <c r="F35" s="41"/>
      <c r="G35" s="39">
        <f t="shared" si="2"/>
        <v>0</v>
      </c>
      <c r="H35" s="41"/>
      <c r="I35" s="39">
        <f t="shared" si="8"/>
        <v>0</v>
      </c>
      <c r="J35" s="39">
        <f>B35+D35+F35+H35</f>
        <v>0</v>
      </c>
      <c r="K35" s="39">
        <f>J35/4</f>
        <v>0</v>
      </c>
      <c r="L35" s="39">
        <f t="shared" si="15"/>
        <v>0</v>
      </c>
      <c r="M35" s="150">
        <f t="shared" si="14"/>
        <v>24196</v>
      </c>
      <c r="N35" s="39">
        <f t="shared" si="12"/>
        <v>0</v>
      </c>
      <c r="O35" s="39">
        <f t="shared" si="13"/>
        <v>0</v>
      </c>
      <c r="P35" s="42">
        <f t="shared" si="7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18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19">IF(AC36&gt;0,((D36-U36)+(V36-D37)),IF(D37=0, ,(D36-D37)))</f>
        <v>0</v>
      </c>
      <c r="F36" s="41"/>
      <c r="G36" s="39">
        <f t="shared" ref="G27:G36" si="20">IF(AC36&gt;0,((F36-X36)+(Y36-F37)),IF(F37=0, ,(F36-F37)))</f>
        <v>0</v>
      </c>
      <c r="H36" s="41"/>
      <c r="I36" s="39">
        <f t="shared" si="8"/>
        <v>0</v>
      </c>
      <c r="J36" s="39">
        <f t="shared" si="9"/>
        <v>0</v>
      </c>
      <c r="K36" s="39">
        <f t="shared" si="10"/>
        <v>0</v>
      </c>
      <c r="L36" s="39">
        <f t="shared" si="15"/>
        <v>0</v>
      </c>
      <c r="M36" s="150">
        <f t="shared" si="14"/>
        <v>24196</v>
      </c>
      <c r="N36" s="39">
        <f t="shared" si="12"/>
        <v>0</v>
      </c>
      <c r="O36" s="39">
        <f t="shared" si="13"/>
        <v>0</v>
      </c>
      <c r="P36" s="42">
        <f t="shared" si="7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18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9"/>
        <v>0</v>
      </c>
      <c r="K37" s="39">
        <f t="shared" si="10"/>
        <v>0</v>
      </c>
      <c r="L37" s="39">
        <f t="shared" si="15"/>
        <v>0</v>
      </c>
      <c r="M37" s="150">
        <f t="shared" si="14"/>
        <v>24196</v>
      </c>
      <c r="N37" s="39">
        <f t="shared" si="12"/>
        <v>0</v>
      </c>
      <c r="O37" s="39">
        <f t="shared" si="13"/>
        <v>0</v>
      </c>
      <c r="P37" s="42">
        <f t="shared" si="7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18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9"/>
        <v>0</v>
      </c>
      <c r="K38" s="39">
        <f t="shared" si="10"/>
        <v>0</v>
      </c>
      <c r="L38" s="39">
        <f t="shared" si="15"/>
        <v>0</v>
      </c>
      <c r="M38" s="150">
        <f t="shared" si="14"/>
        <v>24196</v>
      </c>
      <c r="N38" s="39">
        <f t="shared" si="12"/>
        <v>0</v>
      </c>
      <c r="O38" s="39">
        <f>N38*0.53</f>
        <v>0</v>
      </c>
      <c r="P38" s="42">
        <f t="shared" si="7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18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9"/>
        <v>0</v>
      </c>
      <c r="K39" s="39">
        <f t="shared" si="10"/>
        <v>0</v>
      </c>
      <c r="L39" s="39">
        <f t="shared" si="15"/>
        <v>0</v>
      </c>
      <c r="M39" s="150">
        <f t="shared" si="14"/>
        <v>24196</v>
      </c>
      <c r="N39" s="39">
        <f t="shared" si="12"/>
        <v>0</v>
      </c>
      <c r="O39" s="39">
        <f>N39*0.53</f>
        <v>0</v>
      </c>
      <c r="P39" s="42">
        <f t="shared" si="7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18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9"/>
        <v>0</v>
      </c>
      <c r="K40" s="39">
        <f t="shared" si="10"/>
        <v>0</v>
      </c>
      <c r="L40" s="39">
        <f t="shared" si="15"/>
        <v>0</v>
      </c>
      <c r="M40" s="150">
        <f t="shared" si="14"/>
        <v>24196</v>
      </c>
      <c r="N40" s="39">
        <f t="shared" si="12"/>
        <v>0</v>
      </c>
      <c r="O40" s="39">
        <f>N40*0.53</f>
        <v>0</v>
      </c>
      <c r="P40" s="42">
        <f t="shared" si="7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18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9"/>
        <v>0</v>
      </c>
      <c r="K41" s="39">
        <f t="shared" si="10"/>
        <v>0</v>
      </c>
      <c r="L41" s="39">
        <f t="shared" si="15"/>
        <v>0</v>
      </c>
      <c r="M41" s="150">
        <f t="shared" si="14"/>
        <v>24196</v>
      </c>
      <c r="N41" s="39">
        <f t="shared" si="12"/>
        <v>0</v>
      </c>
      <c r="O41" s="39">
        <f>N41*0.53</f>
        <v>0</v>
      </c>
      <c r="P41" s="42">
        <f t="shared" si="7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18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9"/>
        <v>0</v>
      </c>
      <c r="K42" s="39">
        <f t="shared" si="10"/>
        <v>0</v>
      </c>
      <c r="L42" s="39">
        <f t="shared" si="15"/>
        <v>0</v>
      </c>
      <c r="M42" s="150">
        <f t="shared" si="14"/>
        <v>24196</v>
      </c>
      <c r="N42" s="39">
        <f t="shared" si="12"/>
        <v>0</v>
      </c>
      <c r="O42" s="39">
        <f>N42*0.53</f>
        <v>0</v>
      </c>
      <c r="P42" s="42">
        <f t="shared" si="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18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13478.199999999999</v>
      </c>
      <c r="O43" s="39">
        <f>N43*0.529</f>
        <v>7129.9677999999994</v>
      </c>
      <c r="P43" s="42">
        <f>O43*8.41</f>
        <v>59963.029197999997</v>
      </c>
      <c r="Q43" s="288">
        <f>SUM(Q4:Q42)</f>
        <v>4727</v>
      </c>
      <c r="R43" s="289"/>
      <c r="S43" s="290"/>
      <c r="T43" s="291">
        <f>SUM(T4:T42)</f>
        <v>4366</v>
      </c>
      <c r="U43" s="289"/>
      <c r="V43" s="290"/>
      <c r="W43" s="291">
        <f>SUM(W4:W42)</f>
        <v>4447</v>
      </c>
      <c r="X43" s="289"/>
      <c r="Y43" s="290"/>
      <c r="Z43" s="291">
        <f>SUM(Z4:Z42)</f>
        <v>4321</v>
      </c>
      <c r="AA43" s="289"/>
      <c r="AB43" s="290"/>
      <c r="AC43" s="39">
        <f t="shared" si="17"/>
        <v>17861</v>
      </c>
    </row>
    <row r="44" spans="1:31" ht="35.25" customHeight="1" thickBot="1">
      <c r="B44" s="297"/>
      <c r="C44" s="298"/>
      <c r="D44" s="298"/>
      <c r="E44" s="298"/>
      <c r="F44" s="298"/>
      <c r="G44" s="298"/>
      <c r="H44" s="298"/>
      <c r="I44" s="299"/>
      <c r="J44" s="37"/>
      <c r="K44" s="37"/>
      <c r="L44" s="37"/>
      <c r="M44" s="37"/>
      <c r="N44" s="37"/>
      <c r="O44" s="37"/>
      <c r="P44" s="37"/>
      <c r="Q44" s="300">
        <f>Q43+T43+W43+Z43</f>
        <v>17861</v>
      </c>
      <c r="R44" s="301"/>
      <c r="S44" s="301"/>
      <c r="T44" s="301"/>
      <c r="U44" s="301"/>
      <c r="V44" s="301"/>
      <c r="W44" s="301"/>
      <c r="X44" s="301"/>
      <c r="Y44" s="301"/>
      <c r="Z44" s="301"/>
      <c r="AA44" s="301"/>
      <c r="AB44" s="302"/>
      <c r="AC44" s="39">
        <f>Q44+T44+W44+Z44</f>
        <v>17861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4" t="s">
        <v>85</v>
      </c>
      <c r="I47" s="285"/>
      <c r="J47" s="286"/>
      <c r="K47" s="45">
        <f>N43</f>
        <v>13478.199999999999</v>
      </c>
      <c r="L47" s="46">
        <f>O43</f>
        <v>7129.9677999999994</v>
      </c>
      <c r="M47" s="46">
        <f>P43</f>
        <v>59963.029197999997</v>
      </c>
    </row>
    <row r="48" spans="1:31" ht="54.75" customHeight="1" thickBot="1">
      <c r="H48" s="284" t="s">
        <v>86</v>
      </c>
      <c r="I48" s="285"/>
      <c r="J48" s="286"/>
      <c r="K48" s="43">
        <f>AC44</f>
        <v>17861</v>
      </c>
      <c r="L48" s="44">
        <f>K48*0.529</f>
        <v>9448.469000000001</v>
      </c>
      <c r="M48" s="44">
        <f>L48*8.41</f>
        <v>79461.624290000007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5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3"/>
      <c r="B1" s="275"/>
      <c r="C1" s="361" t="s">
        <v>87</v>
      </c>
      <c r="D1" s="362"/>
      <c r="E1" s="362"/>
      <c r="F1" s="362"/>
      <c r="G1" s="362"/>
      <c r="H1" s="367" t="s">
        <v>88</v>
      </c>
      <c r="I1" s="368"/>
      <c r="J1" s="369"/>
    </row>
    <row r="2" spans="1:10" ht="16.5" customHeight="1" thickBot="1">
      <c r="A2" s="276"/>
      <c r="B2" s="278"/>
      <c r="C2" s="363"/>
      <c r="D2" s="364"/>
      <c r="E2" s="364"/>
      <c r="F2" s="364"/>
      <c r="G2" s="364"/>
      <c r="H2" s="370"/>
      <c r="I2" s="371"/>
      <c r="J2" s="372"/>
    </row>
    <row r="3" spans="1:10" ht="15" customHeight="1">
      <c r="A3" s="276"/>
      <c r="B3" s="278"/>
      <c r="C3" s="363"/>
      <c r="D3" s="364"/>
      <c r="E3" s="364"/>
      <c r="F3" s="364"/>
      <c r="G3" s="364"/>
      <c r="H3" s="373" t="s">
        <v>89</v>
      </c>
      <c r="I3" s="374"/>
      <c r="J3" s="375"/>
    </row>
    <row r="4" spans="1:10" ht="15.75" customHeight="1" thickBot="1">
      <c r="A4" s="279"/>
      <c r="B4" s="281"/>
      <c r="C4" s="365"/>
      <c r="D4" s="366"/>
      <c r="E4" s="366"/>
      <c r="F4" s="366"/>
      <c r="G4" s="366"/>
      <c r="H4" s="376"/>
      <c r="I4" s="377"/>
      <c r="J4" s="378"/>
    </row>
    <row r="6" spans="1:10" ht="33" customHeight="1" thickBot="1"/>
    <row r="7" spans="1:10" ht="36.75" thickTop="1">
      <c r="A7" s="379" t="s">
        <v>90</v>
      </c>
      <c r="B7" s="379"/>
      <c r="C7" s="380" t="s">
        <v>91</v>
      </c>
      <c r="D7" s="381"/>
      <c r="E7" s="61" t="s">
        <v>92</v>
      </c>
      <c r="F7" s="61" t="s">
        <v>93</v>
      </c>
      <c r="G7" s="61" t="s">
        <v>94</v>
      </c>
      <c r="H7" s="61" t="s">
        <v>95</v>
      </c>
      <c r="I7" s="382" t="s">
        <v>96</v>
      </c>
      <c r="J7" s="383"/>
    </row>
    <row r="8" spans="1:10">
      <c r="A8" s="349">
        <v>95670781</v>
      </c>
      <c r="B8" s="349"/>
      <c r="C8" s="354">
        <v>44375</v>
      </c>
      <c r="D8" s="355"/>
      <c r="E8" s="113">
        <v>44405</v>
      </c>
      <c r="F8" s="167" t="s">
        <v>97</v>
      </c>
      <c r="G8" s="62"/>
      <c r="H8" s="62"/>
      <c r="I8" s="356"/>
      <c r="J8" s="357"/>
    </row>
    <row r="10" spans="1:10" ht="23.25" customHeight="1" thickBot="1"/>
    <row r="11" spans="1:10" ht="24.75" customHeight="1" thickTop="1">
      <c r="A11" s="333" t="s">
        <v>98</v>
      </c>
      <c r="B11" s="333"/>
      <c r="C11" s="358" t="s">
        <v>99</v>
      </c>
      <c r="D11" s="359"/>
      <c r="E11" s="333" t="s">
        <v>100</v>
      </c>
      <c r="F11" s="333"/>
      <c r="G11" s="358" t="s">
        <v>101</v>
      </c>
      <c r="H11" s="359"/>
      <c r="I11" s="360" t="s">
        <v>102</v>
      </c>
      <c r="J11" s="360"/>
    </row>
    <row r="12" spans="1:10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0">
        <v>1155</v>
      </c>
      <c r="H12" s="350"/>
      <c r="I12" s="351"/>
      <c r="J12" s="351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46" t="s">
        <v>108</v>
      </c>
      <c r="H16" s="346"/>
      <c r="I16" s="347" t="s">
        <v>109</v>
      </c>
      <c r="J16" s="348"/>
    </row>
    <row r="17" spans="1:10">
      <c r="A17" s="338" t="s">
        <v>110</v>
      </c>
      <c r="B17" s="339"/>
      <c r="C17" s="66">
        <v>18279374</v>
      </c>
      <c r="D17" s="66">
        <v>18027836</v>
      </c>
      <c r="E17" s="67">
        <f>MIN(C17-D17)</f>
        <v>251538</v>
      </c>
      <c r="F17" s="67">
        <f>+E17</f>
        <v>251538</v>
      </c>
      <c r="G17" s="340"/>
      <c r="H17" s="341"/>
      <c r="I17" s="340">
        <f>+E17</f>
        <v>251538</v>
      </c>
      <c r="J17" s="341"/>
    </row>
    <row r="18" spans="1:10">
      <c r="A18" s="338" t="s">
        <v>111</v>
      </c>
      <c r="B18" s="339"/>
      <c r="C18" s="66">
        <v>10791230</v>
      </c>
      <c r="D18" s="66">
        <v>10683972</v>
      </c>
      <c r="E18" s="67">
        <f>MIN(C18-D18)</f>
        <v>107258</v>
      </c>
      <c r="F18" s="67">
        <f>+E18</f>
        <v>107258</v>
      </c>
      <c r="G18" s="340"/>
      <c r="H18" s="341"/>
      <c r="I18" s="340">
        <f>+E18</f>
        <v>107258</v>
      </c>
      <c r="J18" s="341"/>
    </row>
    <row r="19" spans="1:10">
      <c r="A19" s="338" t="s">
        <v>112</v>
      </c>
      <c r="B19" s="339"/>
      <c r="C19" s="66">
        <v>8059869</v>
      </c>
      <c r="D19" s="66">
        <v>7964067</v>
      </c>
      <c r="E19" s="67">
        <f>AVERAGE(C19-D19)</f>
        <v>95802</v>
      </c>
      <c r="F19" s="67">
        <f>+E19</f>
        <v>95802</v>
      </c>
      <c r="G19" s="340"/>
      <c r="H19" s="341"/>
      <c r="I19" s="340">
        <f>+E19</f>
        <v>95802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454598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25"/>
      <c r="H21" s="325"/>
    </row>
    <row r="22" spans="1:10" ht="13.5" thickBot="1">
      <c r="G22" s="326"/>
      <c r="H22" s="326"/>
    </row>
    <row r="23" spans="1:10" ht="13.5" thickTop="1">
      <c r="A23" s="327" t="s">
        <v>115</v>
      </c>
      <c r="B23" s="328"/>
      <c r="C23" s="329"/>
      <c r="D23" s="333" t="s">
        <v>116</v>
      </c>
      <c r="E23" s="333" t="s">
        <v>117</v>
      </c>
      <c r="F23" s="335" t="s">
        <v>118</v>
      </c>
      <c r="G23" s="337" t="s">
        <v>119</v>
      </c>
      <c r="H23" s="337"/>
      <c r="I23" s="321" t="s">
        <v>120</v>
      </c>
      <c r="J23" s="321"/>
    </row>
    <row r="24" spans="1:10">
      <c r="A24" s="330"/>
      <c r="B24" s="331"/>
      <c r="C24" s="332"/>
      <c r="D24" s="334"/>
      <c r="E24" s="334"/>
      <c r="F24" s="336"/>
      <c r="G24" s="168" t="s">
        <v>121</v>
      </c>
      <c r="H24" s="71" t="s">
        <v>122</v>
      </c>
      <c r="I24" s="321"/>
      <c r="J24" s="321"/>
    </row>
    <row r="25" spans="1:10" ht="15">
      <c r="A25" s="322" t="s">
        <v>123</v>
      </c>
      <c r="B25" s="323"/>
      <c r="C25" s="324"/>
      <c r="D25" s="67">
        <f>+E17</f>
        <v>251538</v>
      </c>
      <c r="E25" s="72">
        <v>0.95140000000000002</v>
      </c>
      <c r="F25" s="73">
        <f>PRODUCT(D25*E25)</f>
        <v>239313.25320000001</v>
      </c>
      <c r="G25" s="152">
        <v>14</v>
      </c>
      <c r="H25" s="65">
        <f>PRODUCT(0.14,F25)</f>
        <v>33503.855448000002</v>
      </c>
      <c r="I25" s="306">
        <f>SUM(H25,F25)</f>
        <v>272817.10864799999</v>
      </c>
      <c r="J25" s="307"/>
    </row>
    <row r="26" spans="1:10" ht="15">
      <c r="A26" s="303" t="s">
        <v>124</v>
      </c>
      <c r="B26" s="304"/>
      <c r="C26" s="305"/>
      <c r="D26" s="67">
        <f>+E18</f>
        <v>107258</v>
      </c>
      <c r="E26" s="74">
        <v>0.69850000000000001</v>
      </c>
      <c r="F26" s="73">
        <f>PRODUCT(D26*E26)</f>
        <v>74919.713000000003</v>
      </c>
      <c r="G26">
        <v>14</v>
      </c>
      <c r="H26" s="67">
        <f>PRODUCT(0.14,F26)</f>
        <v>10488.759820000001</v>
      </c>
      <c r="I26" s="306">
        <f t="shared" ref="I26:I31" si="0">SUM(H26,F26)</f>
        <v>85408.47282000001</v>
      </c>
      <c r="J26" s="307"/>
    </row>
    <row r="27" spans="1:10" ht="15">
      <c r="A27" s="303" t="s">
        <v>125</v>
      </c>
      <c r="B27" s="304"/>
      <c r="C27" s="305"/>
      <c r="D27" s="67">
        <f>+E19</f>
        <v>95802</v>
      </c>
      <c r="E27" s="74">
        <v>1.3304</v>
      </c>
      <c r="F27" s="73">
        <f>PRODUCT(D27*E27)</f>
        <v>127454.9808</v>
      </c>
      <c r="G27">
        <v>14</v>
      </c>
      <c r="H27" s="67">
        <f>PRODUCT(0.14,F27)</f>
        <v>17843.697312000004</v>
      </c>
      <c r="I27" s="306">
        <f>SUM(H27,F27)</f>
        <v>145298.67811199999</v>
      </c>
      <c r="J27" s="307"/>
    </row>
    <row r="28" spans="1:10" ht="15">
      <c r="A28" s="303" t="s">
        <v>126</v>
      </c>
      <c r="B28" s="304"/>
      <c r="C28" s="30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6">
        <f t="shared" si="0"/>
        <v>50025.103799999997</v>
      </c>
      <c r="J28" s="307"/>
    </row>
    <row r="29" spans="1:10" ht="15">
      <c r="A29" s="316" t="s">
        <v>127</v>
      </c>
      <c r="B29" s="317"/>
      <c r="C29" s="318"/>
      <c r="D29" s="75">
        <f>G12-E12</f>
        <v>155</v>
      </c>
      <c r="E29" s="76">
        <f>E28*1.5</f>
        <v>65.822505000000007</v>
      </c>
      <c r="F29" s="77">
        <f>PRODUCT(D29,E29)</f>
        <v>10202.488275000002</v>
      </c>
      <c r="G29" s="78">
        <v>14</v>
      </c>
      <c r="H29" s="75">
        <f>PRODUCT(0.14,F29)</f>
        <v>1428.3483585000004</v>
      </c>
      <c r="I29" s="319">
        <f t="shared" si="0"/>
        <v>11630.836633500003</v>
      </c>
      <c r="J29" s="320"/>
    </row>
    <row r="30" spans="1:10" ht="15">
      <c r="A30" s="303" t="s">
        <v>128</v>
      </c>
      <c r="B30" s="304"/>
      <c r="C30" s="30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6">
        <f>SUM(H30,F30)</f>
        <v>1009.2</v>
      </c>
      <c r="J30" s="307"/>
    </row>
    <row r="31" spans="1:10" ht="15.75" thickBot="1">
      <c r="A31" s="308" t="s">
        <v>129</v>
      </c>
      <c r="B31" s="309"/>
      <c r="C31" s="31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6">
        <f t="shared" si="0"/>
        <v>1596.44</v>
      </c>
      <c r="J31" s="307"/>
    </row>
    <row r="32" spans="1:10" ht="21">
      <c r="A32" s="311" t="s">
        <v>130</v>
      </c>
      <c r="B32" s="312"/>
      <c r="C32" s="312"/>
      <c r="D32" s="312"/>
      <c r="E32" s="312"/>
      <c r="F32" s="84">
        <f>SUM(F25:F31)</f>
        <v>498105.10527500004</v>
      </c>
      <c r="G32" s="85"/>
      <c r="H32" s="86"/>
      <c r="I32" s="315">
        <f>SUM(I25:J31)</f>
        <v>567785.84001349984</v>
      </c>
      <c r="J32" s="315"/>
    </row>
    <row r="33" spans="1:10" ht="21.75" thickBot="1">
      <c r="A33" s="313"/>
      <c r="B33" s="314"/>
      <c r="C33" s="314"/>
      <c r="D33" s="314"/>
      <c r="E33" s="314"/>
      <c r="F33" s="87"/>
      <c r="G33" s="88"/>
      <c r="H33" s="89"/>
      <c r="I33" s="315"/>
      <c r="J33" s="31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20" sqref="D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3"/>
      <c r="B1" s="275"/>
      <c r="C1" s="361" t="s">
        <v>87</v>
      </c>
      <c r="D1" s="362"/>
      <c r="E1" s="362"/>
      <c r="F1" s="362"/>
      <c r="G1" s="362"/>
      <c r="H1" s="367" t="s">
        <v>88</v>
      </c>
      <c r="I1" s="368"/>
      <c r="J1" s="369"/>
    </row>
    <row r="2" spans="1:10" ht="16.5" customHeight="1" thickBot="1">
      <c r="A2" s="276"/>
      <c r="B2" s="278"/>
      <c r="C2" s="363"/>
      <c r="D2" s="364"/>
      <c r="E2" s="364"/>
      <c r="F2" s="364"/>
      <c r="G2" s="364"/>
      <c r="H2" s="370"/>
      <c r="I2" s="371"/>
      <c r="J2" s="372"/>
    </row>
    <row r="3" spans="1:10" ht="15" customHeight="1">
      <c r="A3" s="276"/>
      <c r="B3" s="278"/>
      <c r="C3" s="363"/>
      <c r="D3" s="364"/>
      <c r="E3" s="364"/>
      <c r="F3" s="364"/>
      <c r="G3" s="364"/>
      <c r="H3" s="373" t="s">
        <v>89</v>
      </c>
      <c r="I3" s="374"/>
      <c r="J3" s="375"/>
    </row>
    <row r="4" spans="1:10" ht="15.75" customHeight="1" thickBot="1">
      <c r="A4" s="279"/>
      <c r="B4" s="281"/>
      <c r="C4" s="365"/>
      <c r="D4" s="366"/>
      <c r="E4" s="366"/>
      <c r="F4" s="366"/>
      <c r="G4" s="366"/>
      <c r="H4" s="376"/>
      <c r="I4" s="377"/>
      <c r="J4" s="378"/>
    </row>
    <row r="6" spans="1:10" ht="33" customHeight="1" thickBot="1"/>
    <row r="7" spans="1:10" ht="36.75" thickTop="1">
      <c r="A7" s="379" t="s">
        <v>90</v>
      </c>
      <c r="B7" s="379"/>
      <c r="C7" s="380" t="s">
        <v>91</v>
      </c>
      <c r="D7" s="381"/>
      <c r="E7" s="61" t="s">
        <v>92</v>
      </c>
      <c r="F7" s="61" t="s">
        <v>93</v>
      </c>
      <c r="G7" s="61" t="s">
        <v>94</v>
      </c>
      <c r="H7" s="61" t="s">
        <v>95</v>
      </c>
      <c r="I7" s="382" t="s">
        <v>96</v>
      </c>
      <c r="J7" s="383"/>
    </row>
    <row r="8" spans="1:10">
      <c r="A8" s="349">
        <v>95670781</v>
      </c>
      <c r="B8" s="349"/>
      <c r="C8" s="354">
        <v>44293</v>
      </c>
      <c r="D8" s="355"/>
      <c r="E8" s="113">
        <v>44323</v>
      </c>
      <c r="F8" s="167" t="s">
        <v>131</v>
      </c>
      <c r="G8" s="62"/>
      <c r="H8" s="62"/>
      <c r="I8" s="356"/>
      <c r="J8" s="357"/>
    </row>
    <row r="10" spans="1:10" ht="23.25" customHeight="1" thickBot="1"/>
    <row r="11" spans="1:10" ht="24.75" customHeight="1" thickTop="1">
      <c r="A11" s="333" t="s">
        <v>98</v>
      </c>
      <c r="B11" s="333"/>
      <c r="C11" s="358" t="s">
        <v>99</v>
      </c>
      <c r="D11" s="359"/>
      <c r="E11" s="333" t="s">
        <v>100</v>
      </c>
      <c r="F11" s="333"/>
      <c r="G11" s="358" t="s">
        <v>101</v>
      </c>
      <c r="H11" s="359"/>
      <c r="I11" s="360" t="s">
        <v>102</v>
      </c>
      <c r="J11" s="360"/>
    </row>
    <row r="12" spans="1:10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0">
        <v>712</v>
      </c>
      <c r="H12" s="350"/>
      <c r="I12" s="351"/>
      <c r="J12" s="351"/>
    </row>
    <row r="13" spans="1:10">
      <c r="A13" s="352"/>
      <c r="B13" s="353"/>
      <c r="C13" s="353"/>
      <c r="D13" s="353"/>
      <c r="E13" s="353"/>
      <c r="F13" s="353"/>
      <c r="G13" s="353"/>
      <c r="H13" s="353"/>
      <c r="I13" s="353"/>
      <c r="J13" s="353"/>
    </row>
    <row r="15" spans="1:10" ht="13.5" thickBot="1"/>
    <row r="16" spans="1:10" ht="26.25" thickTop="1">
      <c r="A16" s="333" t="s">
        <v>104</v>
      </c>
      <c r="B16" s="333"/>
      <c r="C16" s="63" t="s">
        <v>105</v>
      </c>
      <c r="D16" s="64" t="s">
        <v>106</v>
      </c>
      <c r="E16" s="64" t="s">
        <v>48</v>
      </c>
      <c r="F16" s="64" t="s">
        <v>107</v>
      </c>
      <c r="G16" s="346" t="s">
        <v>108</v>
      </c>
      <c r="H16" s="346"/>
      <c r="I16" s="347" t="s">
        <v>109</v>
      </c>
      <c r="J16" s="348"/>
    </row>
    <row r="17" spans="1:10">
      <c r="A17" s="338" t="s">
        <v>110</v>
      </c>
      <c r="B17" s="339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0"/>
      <c r="H17" s="341"/>
      <c r="I17" s="340">
        <f>+E17</f>
        <v>7632</v>
      </c>
      <c r="J17" s="341"/>
    </row>
    <row r="18" spans="1:10">
      <c r="A18" s="338" t="s">
        <v>111</v>
      </c>
      <c r="B18" s="339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0"/>
      <c r="H18" s="341"/>
      <c r="I18" s="340">
        <f>+E18</f>
        <v>3388</v>
      </c>
      <c r="J18" s="341"/>
    </row>
    <row r="19" spans="1:10">
      <c r="A19" s="338" t="s">
        <v>112</v>
      </c>
      <c r="B19" s="339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0"/>
      <c r="H19" s="341"/>
      <c r="I19" s="340">
        <f>+E19</f>
        <v>2677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13697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25"/>
      <c r="H21" s="325"/>
    </row>
    <row r="22" spans="1:10" ht="13.5" thickBot="1">
      <c r="G22" s="326"/>
      <c r="H22" s="326"/>
    </row>
    <row r="23" spans="1:10" ht="13.5" thickTop="1">
      <c r="A23" s="327" t="s">
        <v>115</v>
      </c>
      <c r="B23" s="328"/>
      <c r="C23" s="329"/>
      <c r="D23" s="333" t="s">
        <v>116</v>
      </c>
      <c r="E23" s="333" t="s">
        <v>117</v>
      </c>
      <c r="F23" s="335" t="s">
        <v>118</v>
      </c>
      <c r="G23" s="337" t="s">
        <v>119</v>
      </c>
      <c r="H23" s="337"/>
      <c r="I23" s="321" t="s">
        <v>120</v>
      </c>
      <c r="J23" s="321"/>
    </row>
    <row r="24" spans="1:10">
      <c r="A24" s="330"/>
      <c r="B24" s="331"/>
      <c r="C24" s="332"/>
      <c r="D24" s="334"/>
      <c r="E24" s="334"/>
      <c r="F24" s="336"/>
      <c r="G24" s="168" t="s">
        <v>121</v>
      </c>
      <c r="H24" s="71" t="s">
        <v>122</v>
      </c>
      <c r="I24" s="321"/>
      <c r="J24" s="321"/>
    </row>
    <row r="25" spans="1:10" ht="15">
      <c r="A25" s="322" t="s">
        <v>123</v>
      </c>
      <c r="B25" s="323"/>
      <c r="C25" s="324"/>
      <c r="D25" s="67">
        <f>+E17</f>
        <v>7632</v>
      </c>
      <c r="E25" s="72">
        <v>0.95140000000000002</v>
      </c>
      <c r="F25" s="73">
        <f>PRODUCT(D25*E25)</f>
        <v>7261.0848000000005</v>
      </c>
      <c r="G25" s="152">
        <v>14</v>
      </c>
      <c r="H25" s="65">
        <f>PRODUCT(0.14,F25)</f>
        <v>1016.5518720000001</v>
      </c>
      <c r="I25" s="306">
        <f>SUM(H25,F25)</f>
        <v>8277.6366720000005</v>
      </c>
      <c r="J25" s="307"/>
    </row>
    <row r="26" spans="1:10" ht="15">
      <c r="A26" s="303" t="s">
        <v>124</v>
      </c>
      <c r="B26" s="304"/>
      <c r="C26" s="305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6">
        <f t="shared" ref="I26:I31" si="0">SUM(H26,F26)</f>
        <v>2697.83052</v>
      </c>
      <c r="J26" s="307"/>
    </row>
    <row r="27" spans="1:10" ht="15">
      <c r="A27" s="303" t="s">
        <v>125</v>
      </c>
      <c r="B27" s="304"/>
      <c r="C27" s="305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6">
        <f>SUM(H27,F27)</f>
        <v>4060.0881120000004</v>
      </c>
      <c r="J27" s="307"/>
    </row>
    <row r="28" spans="1:10" ht="15">
      <c r="A28" s="303" t="s">
        <v>126</v>
      </c>
      <c r="B28" s="304"/>
      <c r="C28" s="30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6">
        <f t="shared" si="0"/>
        <v>50025.103799999997</v>
      </c>
      <c r="J28" s="307"/>
    </row>
    <row r="29" spans="1:10" ht="15">
      <c r="A29" s="316" t="s">
        <v>127</v>
      </c>
      <c r="B29" s="317"/>
      <c r="C29" s="31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9">
        <f t="shared" si="0"/>
        <v>0</v>
      </c>
      <c r="J29" s="320"/>
    </row>
    <row r="30" spans="1:10" ht="15">
      <c r="A30" s="303" t="s">
        <v>128</v>
      </c>
      <c r="B30" s="304"/>
      <c r="C30" s="30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6">
        <f>SUM(H30,F30)</f>
        <v>1009.2</v>
      </c>
      <c r="J30" s="307"/>
    </row>
    <row r="31" spans="1:10" ht="15.75" thickBot="1">
      <c r="A31" s="308" t="s">
        <v>129</v>
      </c>
      <c r="B31" s="309"/>
      <c r="C31" s="31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6">
        <f t="shared" si="0"/>
        <v>1596.44</v>
      </c>
      <c r="J31" s="307"/>
    </row>
    <row r="32" spans="1:10" ht="21">
      <c r="A32" s="311" t="s">
        <v>130</v>
      </c>
      <c r="B32" s="312"/>
      <c r="C32" s="312"/>
      <c r="D32" s="312"/>
      <c r="E32" s="312"/>
      <c r="F32" s="84">
        <f>SUM(F25:F31)</f>
        <v>59403.753599999996</v>
      </c>
      <c r="G32" s="85"/>
      <c r="H32" s="86"/>
      <c r="I32" s="315">
        <f>SUM(I25:J31)</f>
        <v>67666.299104000005</v>
      </c>
      <c r="J32" s="315"/>
    </row>
    <row r="33" spans="1:10" ht="21.75" thickBot="1">
      <c r="A33" s="313"/>
      <c r="B33" s="314"/>
      <c r="C33" s="314"/>
      <c r="D33" s="314"/>
      <c r="E33" s="314"/>
      <c r="F33" s="87"/>
      <c r="G33" s="88"/>
      <c r="H33" s="89"/>
      <c r="I33" s="315"/>
      <c r="J33" s="31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132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111004.4</v>
      </c>
      <c r="D8" s="97">
        <v>43983</v>
      </c>
      <c r="E8" s="96">
        <v>113929.60000000001</v>
      </c>
      <c r="F8" s="97">
        <v>44378</v>
      </c>
      <c r="G8" s="98">
        <f>E8-C8</f>
        <v>2925.2000000000116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142</v>
      </c>
      <c r="B13" s="399">
        <f>G8</f>
        <v>2925.2000000000116</v>
      </c>
      <c r="C13" s="399"/>
      <c r="D13" s="399">
        <v>8.7899999999999991</v>
      </c>
      <c r="E13" s="399"/>
      <c r="F13" s="406">
        <f>PRODUCT(D13,B13)</f>
        <v>25712.5080000001</v>
      </c>
      <c r="G13" s="406"/>
      <c r="H13" s="406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f>G8</f>
        <v>2925.2000000000116</v>
      </c>
      <c r="C19" s="399"/>
      <c r="D19" s="399">
        <v>2.61</v>
      </c>
      <c r="E19" s="399"/>
      <c r="F19" s="399">
        <f>PRODUCT(D19,B19)</f>
        <v>7634.7720000000299</v>
      </c>
      <c r="G19" s="399"/>
      <c r="H19" s="399"/>
    </row>
    <row r="20" spans="1:8" ht="18.75">
      <c r="A20" s="395" t="s">
        <v>148</v>
      </c>
      <c r="B20" s="396"/>
      <c r="C20" s="396"/>
      <c r="D20" s="396"/>
      <c r="E20" s="397"/>
      <c r="F20" s="398">
        <f>SUM(F11+F13+F16+F17+F18+F19)</f>
        <v>33370.28000000013</v>
      </c>
      <c r="G20" s="398"/>
      <c r="H20" s="398"/>
    </row>
    <row r="21" spans="1:8" ht="15">
      <c r="A21" s="384" t="s">
        <v>149</v>
      </c>
      <c r="B21" s="385"/>
      <c r="C21" s="385"/>
      <c r="D21" s="385"/>
      <c r="E21" s="386"/>
      <c r="F21" s="399">
        <f>PRODUCT(F20,0.07)</f>
        <v>2335.9196000000093</v>
      </c>
      <c r="G21" s="399"/>
      <c r="H21" s="399"/>
    </row>
    <row r="22" spans="1:8" ht="15">
      <c r="A22" s="400" t="s">
        <v>150</v>
      </c>
      <c r="B22" s="401"/>
      <c r="C22" s="401"/>
      <c r="D22" s="401"/>
      <c r="E22" s="402"/>
      <c r="F22" s="399">
        <v>208.26</v>
      </c>
      <c r="G22" s="399"/>
      <c r="H22" s="399"/>
    </row>
    <row r="23" spans="1:8" ht="15.75">
      <c r="A23" s="384" t="s">
        <v>151</v>
      </c>
      <c r="B23" s="385"/>
      <c r="C23" s="385"/>
      <c r="D23" s="385"/>
      <c r="E23" s="386"/>
      <c r="F23" s="387">
        <f>SUM(F21:H22)</f>
        <v>2544.1796000000095</v>
      </c>
      <c r="G23" s="387"/>
      <c r="H23" s="387"/>
    </row>
    <row r="24" spans="1:8">
      <c r="A24" s="388" t="s">
        <v>152</v>
      </c>
      <c r="B24" s="389"/>
      <c r="C24" s="389"/>
      <c r="D24" s="389"/>
      <c r="E24" s="390"/>
      <c r="F24" s="394">
        <f>SUM(F20,F23)</f>
        <v>35914.45960000014</v>
      </c>
      <c r="G24" s="394"/>
      <c r="H24" s="394"/>
    </row>
    <row r="25" spans="1:8">
      <c r="A25" s="391"/>
      <c r="B25" s="392"/>
      <c r="C25" s="392"/>
      <c r="D25" s="392"/>
      <c r="E25" s="393"/>
      <c r="F25" s="394"/>
      <c r="G25" s="394"/>
      <c r="H25" s="394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132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23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142</v>
      </c>
      <c r="B13" s="399">
        <f>G8</f>
        <v>98</v>
      </c>
      <c r="C13" s="399"/>
      <c r="D13" s="399">
        <v>8.5</v>
      </c>
      <c r="E13" s="399"/>
      <c r="F13" s="406">
        <f>PRODUCT(D13,B13)</f>
        <v>833</v>
      </c>
      <c r="G13" s="406"/>
      <c r="H13" s="406"/>
    </row>
    <row r="14" spans="1:8" ht="45" customHeight="1">
      <c r="A14" s="403" t="s">
        <v>143</v>
      </c>
      <c r="B14" s="403"/>
      <c r="C14" s="403"/>
      <c r="D14" s="403"/>
      <c r="E14" s="403"/>
      <c r="F14" s="403"/>
      <c r="G14" s="403"/>
      <c r="H14" s="403"/>
    </row>
    <row r="15" spans="1:8">
      <c r="A15" s="404"/>
      <c r="B15" s="404"/>
      <c r="C15" s="404"/>
      <c r="D15" s="404"/>
      <c r="E15" s="404"/>
      <c r="F15" s="404"/>
      <c r="G15" s="404"/>
      <c r="H15" s="404"/>
    </row>
    <row r="16" spans="1:8" ht="15">
      <c r="A16" s="103" t="s">
        <v>144</v>
      </c>
      <c r="B16" s="399">
        <v>0</v>
      </c>
      <c r="C16" s="399"/>
      <c r="D16" s="399">
        <v>0</v>
      </c>
      <c r="E16" s="399"/>
      <c r="F16" s="399">
        <f>PRODUCT(D16,B16)</f>
        <v>0</v>
      </c>
      <c r="G16" s="399"/>
      <c r="H16" s="399"/>
    </row>
    <row r="17" spans="1:8" ht="15">
      <c r="A17" s="103" t="s">
        <v>145</v>
      </c>
      <c r="B17" s="399">
        <v>0</v>
      </c>
      <c r="C17" s="399"/>
      <c r="D17" s="399">
        <v>0</v>
      </c>
      <c r="E17" s="399"/>
      <c r="F17" s="399">
        <f>PRODUCT(D17,B17)</f>
        <v>0</v>
      </c>
      <c r="G17" s="399"/>
      <c r="H17" s="399"/>
    </row>
    <row r="18" spans="1:8" ht="15">
      <c r="A18" s="103" t="s">
        <v>146</v>
      </c>
      <c r="B18" s="399">
        <v>0</v>
      </c>
      <c r="C18" s="399"/>
      <c r="D18" s="399">
        <v>0</v>
      </c>
      <c r="E18" s="399"/>
      <c r="F18" s="399">
        <f>PRODUCT(D18,B18)</f>
        <v>0</v>
      </c>
      <c r="G18" s="399"/>
      <c r="H18" s="399"/>
    </row>
    <row r="19" spans="1:8" ht="15">
      <c r="A19" s="103" t="s">
        <v>147</v>
      </c>
      <c r="B19" s="399">
        <v>0</v>
      </c>
      <c r="C19" s="399"/>
      <c r="D19" s="423">
        <v>0</v>
      </c>
      <c r="E19" s="424"/>
      <c r="F19" s="423">
        <v>0</v>
      </c>
      <c r="G19" s="424"/>
      <c r="H19" s="169"/>
    </row>
    <row r="20" spans="1:8" ht="15">
      <c r="A20" s="103" t="s">
        <v>153</v>
      </c>
      <c r="B20" s="399">
        <f>G8</f>
        <v>98</v>
      </c>
      <c r="C20" s="399"/>
      <c r="D20" s="399">
        <v>2.54</v>
      </c>
      <c r="E20" s="399"/>
      <c r="F20" s="399">
        <f>PRODUCT(D20,B20)</f>
        <v>248.92000000000002</v>
      </c>
      <c r="G20" s="399"/>
      <c r="H20" s="399"/>
    </row>
    <row r="21" spans="1:8" ht="18.75">
      <c r="A21" s="395" t="s">
        <v>148</v>
      </c>
      <c r="B21" s="396"/>
      <c r="C21" s="396"/>
      <c r="D21" s="396"/>
      <c r="E21" s="397"/>
      <c r="F21" s="398">
        <f>SUM(F11+F13+F16+F17+F18+F20)</f>
        <v>1104.92</v>
      </c>
      <c r="G21" s="398"/>
      <c r="H21" s="398"/>
    </row>
    <row r="22" spans="1:8" ht="15">
      <c r="A22" s="384" t="s">
        <v>149</v>
      </c>
      <c r="B22" s="385"/>
      <c r="C22" s="385"/>
      <c r="D22" s="385"/>
      <c r="E22" s="386"/>
      <c r="F22" s="399">
        <f>PRODUCT(F21,0.07)</f>
        <v>77.344400000000007</v>
      </c>
      <c r="G22" s="399"/>
      <c r="H22" s="399"/>
    </row>
    <row r="23" spans="1:8" ht="15">
      <c r="A23" s="400" t="s">
        <v>150</v>
      </c>
      <c r="B23" s="401"/>
      <c r="C23" s="401"/>
      <c r="D23" s="401"/>
      <c r="E23" s="402"/>
      <c r="F23" s="399">
        <v>208.26</v>
      </c>
      <c r="G23" s="399"/>
      <c r="H23" s="399"/>
    </row>
    <row r="24" spans="1:8" ht="15.75">
      <c r="A24" s="384" t="s">
        <v>151</v>
      </c>
      <c r="B24" s="385"/>
      <c r="C24" s="385"/>
      <c r="D24" s="385"/>
      <c r="E24" s="386"/>
      <c r="F24" s="387">
        <f>SUM(F22:H23)</f>
        <v>285.6044</v>
      </c>
      <c r="G24" s="387"/>
      <c r="H24" s="387"/>
    </row>
    <row r="25" spans="1:8">
      <c r="A25" s="388" t="s">
        <v>152</v>
      </c>
      <c r="B25" s="389"/>
      <c r="C25" s="389"/>
      <c r="D25" s="389"/>
      <c r="E25" s="390"/>
      <c r="F25" s="394">
        <f>SUM(F21,F24)</f>
        <v>1390.5244</v>
      </c>
      <c r="G25" s="394"/>
      <c r="H25" s="394"/>
    </row>
    <row r="26" spans="1:8">
      <c r="A26" s="391"/>
      <c r="B26" s="392"/>
      <c r="C26" s="392"/>
      <c r="D26" s="392"/>
      <c r="E26" s="393"/>
      <c r="F26" s="394"/>
      <c r="G26" s="394"/>
      <c r="H26" s="394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7"/>
      <c r="B1" s="361" t="s">
        <v>154</v>
      </c>
      <c r="C1" s="362"/>
      <c r="D1" s="362"/>
      <c r="E1" s="362"/>
      <c r="F1" s="410" t="s">
        <v>88</v>
      </c>
      <c r="G1" s="411"/>
      <c r="H1" s="412"/>
    </row>
    <row r="2" spans="1:8" ht="15.75" customHeight="1" thickBot="1">
      <c r="A2" s="408"/>
      <c r="B2" s="363"/>
      <c r="C2" s="364"/>
      <c r="D2" s="364"/>
      <c r="E2" s="364"/>
      <c r="F2" s="413"/>
      <c r="G2" s="414"/>
      <c r="H2" s="415"/>
    </row>
    <row r="3" spans="1:8" ht="15" customHeight="1">
      <c r="A3" s="408"/>
      <c r="B3" s="363"/>
      <c r="C3" s="364"/>
      <c r="D3" s="364"/>
      <c r="E3" s="364"/>
      <c r="F3" s="410" t="s">
        <v>89</v>
      </c>
      <c r="G3" s="411"/>
      <c r="H3" s="412"/>
    </row>
    <row r="4" spans="1:8" ht="15.75" customHeight="1" thickBot="1">
      <c r="A4" s="409"/>
      <c r="B4" s="365"/>
      <c r="C4" s="366"/>
      <c r="D4" s="366"/>
      <c r="E4" s="366"/>
      <c r="F4" s="416"/>
      <c r="G4" s="417"/>
      <c r="H4" s="41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9"/>
      <c r="B8" s="95" t="s">
        <v>137</v>
      </c>
      <c r="C8" s="96">
        <v>2559</v>
      </c>
      <c r="D8" s="97">
        <v>44348</v>
      </c>
      <c r="E8" s="96">
        <v>2559</v>
      </c>
      <c r="F8" s="97">
        <v>44378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9" t="s">
        <v>116</v>
      </c>
      <c r="C10" s="420"/>
      <c r="D10" s="421" t="s">
        <v>138</v>
      </c>
      <c r="E10" s="421"/>
      <c r="F10" s="419" t="s">
        <v>139</v>
      </c>
      <c r="G10" s="422"/>
      <c r="H10" s="420"/>
    </row>
    <row r="11" spans="1:8" ht="15">
      <c r="A11" s="102" t="s">
        <v>140</v>
      </c>
      <c r="B11" s="399"/>
      <c r="C11" s="399"/>
      <c r="D11" s="399"/>
      <c r="E11" s="399"/>
      <c r="F11" s="399">
        <v>15</v>
      </c>
      <c r="G11" s="399"/>
      <c r="H11" s="399"/>
    </row>
    <row r="12" spans="1:8" ht="21">
      <c r="A12" s="405" t="s">
        <v>141</v>
      </c>
      <c r="B12" s="405"/>
      <c r="C12" s="405"/>
      <c r="D12" s="405"/>
      <c r="E12" s="405"/>
      <c r="F12" s="405"/>
      <c r="G12" s="405"/>
      <c r="H12" s="405"/>
    </row>
    <row r="13" spans="1:8" ht="15">
      <c r="A13" s="102" t="s">
        <v>155</v>
      </c>
      <c r="B13" s="399">
        <f>G8</f>
        <v>0</v>
      </c>
      <c r="C13" s="399"/>
      <c r="D13" s="399">
        <v>16.48</v>
      </c>
      <c r="E13" s="399"/>
      <c r="F13" s="406">
        <f>PRODUCT(D13,B13)</f>
        <v>0</v>
      </c>
      <c r="G13" s="406"/>
      <c r="H13" s="406"/>
    </row>
    <row r="14" spans="1:8" ht="15">
      <c r="A14" s="102" t="s">
        <v>156</v>
      </c>
      <c r="B14" s="423"/>
      <c r="C14" s="424"/>
      <c r="D14" s="423"/>
      <c r="E14" s="424"/>
      <c r="F14" s="423"/>
      <c r="G14" s="424"/>
      <c r="H14" s="111"/>
    </row>
    <row r="15" spans="1:8" ht="15">
      <c r="A15" s="102" t="s">
        <v>157</v>
      </c>
      <c r="B15" s="423"/>
      <c r="C15" s="424"/>
      <c r="D15" s="423"/>
      <c r="E15" s="424"/>
      <c r="F15" s="423"/>
      <c r="G15" s="424"/>
      <c r="H15" s="111"/>
    </row>
    <row r="16" spans="1:8" ht="15">
      <c r="A16" s="102" t="s">
        <v>158</v>
      </c>
      <c r="B16" s="423"/>
      <c r="C16" s="424"/>
      <c r="D16" s="423"/>
      <c r="E16" s="424"/>
      <c r="F16" s="423"/>
      <c r="G16" s="424"/>
      <c r="H16" s="111"/>
    </row>
    <row r="17" spans="1:8" ht="15">
      <c r="A17" s="102" t="s">
        <v>159</v>
      </c>
      <c r="B17" s="423"/>
      <c r="C17" s="424"/>
      <c r="D17" s="423"/>
      <c r="E17" s="424"/>
      <c r="F17" s="423"/>
      <c r="G17" s="424"/>
      <c r="H17" s="111"/>
    </row>
    <row r="18" spans="1:8" ht="45" customHeight="1">
      <c r="A18" s="403" t="s">
        <v>143</v>
      </c>
      <c r="B18" s="403"/>
      <c r="C18" s="403"/>
      <c r="D18" s="403"/>
      <c r="E18" s="403"/>
      <c r="F18" s="403"/>
      <c r="G18" s="403"/>
      <c r="H18" s="403"/>
    </row>
    <row r="19" spans="1:8">
      <c r="A19" s="404"/>
      <c r="B19" s="404"/>
      <c r="C19" s="404"/>
      <c r="D19" s="404"/>
      <c r="E19" s="404"/>
      <c r="F19" s="404"/>
      <c r="G19" s="404"/>
      <c r="H19" s="404"/>
    </row>
    <row r="20" spans="1:8" ht="15">
      <c r="A20" s="103" t="s">
        <v>144</v>
      </c>
      <c r="B20" s="399">
        <v>0</v>
      </c>
      <c r="C20" s="399"/>
      <c r="D20" s="399">
        <v>0</v>
      </c>
      <c r="E20" s="399"/>
      <c r="F20" s="399">
        <f>PRODUCT(D20,B20)</f>
        <v>0</v>
      </c>
      <c r="G20" s="399"/>
      <c r="H20" s="399"/>
    </row>
    <row r="21" spans="1:8" ht="15">
      <c r="A21" s="103" t="s">
        <v>145</v>
      </c>
      <c r="B21" s="399">
        <v>0</v>
      </c>
      <c r="C21" s="399"/>
      <c r="D21" s="399">
        <v>0</v>
      </c>
      <c r="E21" s="399"/>
      <c r="F21" s="399">
        <f>PRODUCT(D21,B21)</f>
        <v>0</v>
      </c>
      <c r="G21" s="399"/>
      <c r="H21" s="399"/>
    </row>
    <row r="22" spans="1:8" ht="15">
      <c r="A22" s="103" t="s">
        <v>146</v>
      </c>
      <c r="B22" s="399">
        <v>0</v>
      </c>
      <c r="C22" s="399"/>
      <c r="D22" s="399">
        <v>0</v>
      </c>
      <c r="E22" s="399"/>
      <c r="F22" s="399">
        <f>PRODUCT(D22,B22)</f>
        <v>0</v>
      </c>
      <c r="G22" s="399"/>
      <c r="H22" s="399"/>
    </row>
    <row r="23" spans="1:8" ht="15">
      <c r="A23" s="103" t="s">
        <v>147</v>
      </c>
      <c r="B23" s="399">
        <f>G8</f>
        <v>0</v>
      </c>
      <c r="C23" s="399"/>
      <c r="D23" s="399">
        <v>0</v>
      </c>
      <c r="E23" s="399"/>
      <c r="F23" s="399">
        <f>PRODUCT(D23,B23)</f>
        <v>0</v>
      </c>
      <c r="G23" s="399"/>
      <c r="H23" s="399"/>
    </row>
    <row r="24" spans="1:8" ht="15">
      <c r="A24" s="103" t="s">
        <v>153</v>
      </c>
      <c r="B24" s="423">
        <v>0</v>
      </c>
      <c r="C24" s="424"/>
      <c r="D24" s="423">
        <v>2.54</v>
      </c>
      <c r="E24" s="424"/>
      <c r="F24" s="423">
        <f>B24*D24</f>
        <v>0</v>
      </c>
      <c r="G24" s="424"/>
      <c r="H24" s="169"/>
    </row>
    <row r="25" spans="1:8" ht="18.75">
      <c r="A25" s="395" t="s">
        <v>148</v>
      </c>
      <c r="B25" s="396"/>
      <c r="C25" s="396"/>
      <c r="D25" s="396"/>
      <c r="E25" s="397"/>
      <c r="F25" s="425">
        <f>SUM(F11+F13+F20+F21+F22+F23)</f>
        <v>15</v>
      </c>
      <c r="G25" s="398"/>
      <c r="H25" s="398"/>
    </row>
    <row r="26" spans="1:8" ht="15">
      <c r="A26" s="384" t="s">
        <v>149</v>
      </c>
      <c r="B26" s="385"/>
      <c r="C26" s="385"/>
      <c r="D26" s="385"/>
      <c r="E26" s="386"/>
      <c r="F26" s="399">
        <v>63.63</v>
      </c>
      <c r="G26" s="399"/>
      <c r="H26" s="399"/>
    </row>
    <row r="27" spans="1:8" ht="15">
      <c r="A27" s="400" t="s">
        <v>150</v>
      </c>
      <c r="B27" s="401"/>
      <c r="C27" s="401"/>
      <c r="D27" s="401"/>
      <c r="E27" s="402"/>
      <c r="F27" s="399">
        <v>2.4300000000000002</v>
      </c>
      <c r="G27" s="399"/>
      <c r="H27" s="399"/>
    </row>
    <row r="28" spans="1:8" ht="15.75">
      <c r="A28" s="384" t="s">
        <v>151</v>
      </c>
      <c r="B28" s="385"/>
      <c r="C28" s="385"/>
      <c r="D28" s="385"/>
      <c r="E28" s="386"/>
      <c r="F28" s="387">
        <f>SUM(F26:H27)</f>
        <v>66.06</v>
      </c>
      <c r="G28" s="387"/>
      <c r="H28" s="387"/>
    </row>
    <row r="29" spans="1:8">
      <c r="A29" s="388" t="s">
        <v>152</v>
      </c>
      <c r="B29" s="389"/>
      <c r="C29" s="389"/>
      <c r="D29" s="389"/>
      <c r="E29" s="390"/>
      <c r="F29" s="394">
        <f>SUM(F25,F28)</f>
        <v>81.06</v>
      </c>
      <c r="G29" s="394"/>
      <c r="H29" s="394"/>
    </row>
    <row r="30" spans="1:8">
      <c r="A30" s="391"/>
      <c r="B30" s="392"/>
      <c r="C30" s="392"/>
      <c r="D30" s="392"/>
      <c r="E30" s="393"/>
      <c r="F30" s="394"/>
      <c r="G30" s="394"/>
      <c r="H30" s="394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8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6" t="s">
        <v>160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8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1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/>
      <c r="K14" s="104"/>
      <c r="L14" s="104"/>
      <c r="M14" s="104"/>
      <c r="N14" s="104"/>
    </row>
    <row r="15" spans="2:14" ht="21" thickBot="1">
      <c r="C15" s="429" t="s">
        <v>180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8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1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H24" sqref="H24:J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181</v>
      </c>
      <c r="D5" s="435"/>
      <c r="E5" s="435"/>
      <c r="F5" s="435"/>
      <c r="G5" s="435"/>
      <c r="H5" s="435"/>
      <c r="I5" s="435"/>
      <c r="J5" s="435"/>
      <c r="K5" s="435"/>
      <c r="L5" s="435"/>
      <c r="M5" s="435"/>
      <c r="N5" s="436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8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1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182</v>
      </c>
      <c r="D15" s="437"/>
      <c r="E15" s="437"/>
      <c r="F15" s="437"/>
      <c r="G15" s="437"/>
      <c r="H15" s="437"/>
      <c r="I15" s="437"/>
      <c r="J15" s="437"/>
      <c r="K15" s="437"/>
      <c r="L15" s="437"/>
      <c r="M15" s="437"/>
      <c r="N15" s="438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8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1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/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H24" sqref="H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6" t="s">
        <v>183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2"/>
      <c r="D8" s="433"/>
      <c r="E8" s="433"/>
      <c r="F8" s="433"/>
      <c r="G8" s="433"/>
      <c r="H8" s="433"/>
      <c r="I8" s="433"/>
      <c r="J8" s="433"/>
      <c r="K8" s="434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8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1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/>
      <c r="J14" s="104"/>
      <c r="K14" s="104"/>
      <c r="L14" s="104"/>
      <c r="M14" s="104"/>
      <c r="N14" s="104"/>
    </row>
    <row r="15" spans="2:14" ht="21" thickBot="1">
      <c r="C15" s="429" t="s">
        <v>184</v>
      </c>
      <c r="D15" s="430"/>
      <c r="E15" s="430"/>
      <c r="F15" s="430"/>
      <c r="G15" s="430"/>
      <c r="H15" s="430"/>
      <c r="I15" s="430"/>
      <c r="J15" s="430"/>
      <c r="K15" s="430"/>
      <c r="L15" s="430"/>
      <c r="M15" s="430"/>
      <c r="N15" s="431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2"/>
      <c r="D18" s="433"/>
      <c r="E18" s="433"/>
      <c r="F18" s="433"/>
      <c r="G18" s="433"/>
      <c r="H18" s="433"/>
      <c r="I18" s="433"/>
      <c r="J18" s="433"/>
      <c r="K18" s="434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8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1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/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2021-07-30T11:22:39Z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