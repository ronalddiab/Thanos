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2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17" l="1"/>
  <c r="K33" i="117"/>
  <c r="I33" i="117"/>
  <c r="G33" i="117"/>
  <c r="E33" i="117"/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L2" i="117" l="1"/>
  <c r="H6" i="119"/>
  <c r="I3" i="117" s="1"/>
  <c r="H7" i="119"/>
  <c r="I4" i="117" s="1"/>
  <c r="H8" i="119"/>
  <c r="H9" i="119"/>
  <c r="I6" i="117" s="1"/>
  <c r="H10" i="119"/>
  <c r="I7" i="117" s="1"/>
  <c r="H11" i="119"/>
  <c r="H12" i="119"/>
  <c r="I9" i="117" s="1"/>
  <c r="H13" i="119"/>
  <c r="H14" i="119"/>
  <c r="I11" i="117" s="1"/>
  <c r="H15" i="119"/>
  <c r="I12" i="117" s="1"/>
  <c r="H16" i="119"/>
  <c r="H17" i="119"/>
  <c r="H18" i="119"/>
  <c r="I15" i="117" s="1"/>
  <c r="H19" i="119"/>
  <c r="H20" i="119"/>
  <c r="H21" i="119"/>
  <c r="H22" i="119"/>
  <c r="I19" i="117" s="1"/>
  <c r="H23" i="119"/>
  <c r="H24" i="119"/>
  <c r="H25" i="119"/>
  <c r="H26" i="119"/>
  <c r="I23" i="117" s="1"/>
  <c r="H27" i="119"/>
  <c r="H28" i="119"/>
  <c r="H29" i="119"/>
  <c r="H30" i="119"/>
  <c r="I27" i="117" s="1"/>
  <c r="H31" i="119"/>
  <c r="H32" i="119"/>
  <c r="H33" i="119"/>
  <c r="H34" i="119"/>
  <c r="I31" i="117" s="1"/>
  <c r="H35" i="119"/>
  <c r="H5" i="119"/>
  <c r="I2" i="117" s="1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F35" i="119"/>
  <c r="F8" i="119"/>
  <c r="F9" i="119"/>
  <c r="F10" i="119"/>
  <c r="F6" i="119"/>
  <c r="F7" i="119"/>
  <c r="F5" i="119"/>
  <c r="I32" i="117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D18" i="119"/>
  <c r="D26" i="119"/>
  <c r="D33" i="119"/>
  <c r="D34" i="119"/>
  <c r="I30" i="117"/>
  <c r="I29" i="117"/>
  <c r="D32" i="119"/>
  <c r="I28" i="117"/>
  <c r="D31" i="119"/>
  <c r="D30" i="119"/>
  <c r="I26" i="117"/>
  <c r="D29" i="119"/>
  <c r="I25" i="117"/>
  <c r="D28" i="119"/>
  <c r="I24" i="117"/>
  <c r="D27" i="119"/>
  <c r="I22" i="117"/>
  <c r="D25" i="119"/>
  <c r="I21" i="117"/>
  <c r="D24" i="119"/>
  <c r="I20" i="117"/>
  <c r="D23" i="119"/>
  <c r="D22" i="119"/>
  <c r="I18" i="117"/>
  <c r="D21" i="119"/>
  <c r="I17" i="117"/>
  <c r="D20" i="119"/>
  <c r="I16" i="117"/>
  <c r="D19" i="119"/>
  <c r="I14" i="117"/>
  <c r="D17" i="119"/>
  <c r="I13" i="117"/>
  <c r="D16" i="119"/>
  <c r="D15" i="119"/>
  <c r="D14" i="119"/>
  <c r="I10" i="117"/>
  <c r="D13" i="119"/>
  <c r="D12" i="119"/>
  <c r="I8" i="117"/>
  <c r="D11" i="119"/>
  <c r="D10" i="119"/>
  <c r="D9" i="119"/>
  <c r="I5" i="117"/>
  <c r="D8" i="119"/>
  <c r="D7" i="119"/>
  <c r="D6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<sst xmlns="http://schemas.openxmlformats.org/spreadsheetml/2006/main" count="56" uniqueCount="25">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</sst>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Q15" sqref="Q15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>
      <c r="A2" s="6" t="s">
        <v>21</v>
      </c>
      <c r="B2" s="7">
        <v>1</v>
      </c>
      <c r="C2" s="8">
        <v>1</v>
      </c>
      <c r="D2" s="7">
        <v>2022</v>
      </c>
      <c r="E2" s="9">
        <v>20175.000000000662</v>
      </c>
      <c r="F2" s="30">
        <v>0.79600000000000004</v>
      </c>
      <c r="G2" s="9">
        <v>1917</v>
      </c>
      <c r="H2" s="30">
        <v>4.3899999999999997</v>
      </c>
      <c r="I2" s="9">
        <f>'Shenzhen Daily'!H5</f>
        <v>477</v>
      </c>
      <c r="J2" s="30">
        <v>5.09</v>
      </c>
      <c r="K2" s="9">
        <f>'Shenzhen Daily'!I5</f>
        <v>199</v>
      </c>
      <c r="L2" s="9">
        <f>'Shenzhen Daily'!J5</f>
        <v>473</v>
      </c>
    </row>
    <row r="3" spans="1:12" ht="15">
      <c r="A3" s="6" t="s">
        <v>21</v>
      </c>
      <c r="B3" s="7">
        <f>B2+1</f>
        <v>2</v>
      </c>
      <c r="C3" s="8">
        <v>1</v>
      </c>
      <c r="D3" s="7">
        <v>2022</v>
      </c>
      <c r="E3" s="9">
        <v>18557.999999999331</v>
      </c>
      <c r="F3" s="30">
        <v>0.79600000000000004</v>
      </c>
      <c r="G3" s="9">
        <v>1705</v>
      </c>
      <c r="H3" s="30">
        <v>4.3899999999999997</v>
      </c>
      <c r="I3" s="9">
        <f>'Shenzhen Daily'!H6</f>
        <v>423</v>
      </c>
      <c r="J3" s="30">
        <v>5.09</v>
      </c>
      <c r="K3" s="9">
        <f>'Shenzhen Daily'!I6</f>
        <v>165</v>
      </c>
      <c r="L3" s="9">
        <v>345</v>
      </c>
    </row>
    <row r="4" spans="1:12" ht="15">
      <c r="A4" s="6" t="s">
        <v>21</v>
      </c>
      <c r="B4" s="7">
        <f t="shared" ref="B4:B32" si="0">B3+1</f>
        <v>3</v>
      </c>
      <c r="C4" s="8">
        <v>1</v>
      </c>
      <c r="D4" s="7">
        <v>2022</v>
      </c>
      <c r="E4" s="9">
        <v>19320.000000000608</v>
      </c>
      <c r="F4" s="30">
        <v>0.79600000000000004</v>
      </c>
      <c r="G4" s="9">
        <v>1647</v>
      </c>
      <c r="H4" s="30">
        <v>4.3899999999999997</v>
      </c>
      <c r="I4" s="9">
        <f>'Shenzhen Daily'!H7</f>
        <v>379</v>
      </c>
      <c r="J4" s="30">
        <v>5.09</v>
      </c>
      <c r="K4" s="9">
        <f>'Shenzhen Daily'!I7</f>
        <v>99</v>
      </c>
      <c r="L4" s="9">
        <v>335</v>
      </c>
    </row>
    <row r="5" spans="1:12" ht="15">
      <c r="A5" s="6" t="s">
        <v>21</v>
      </c>
      <c r="B5" s="7">
        <f t="shared" si="0"/>
        <v>4</v>
      </c>
      <c r="C5" s="8">
        <v>1</v>
      </c>
      <c r="D5" s="7">
        <v>2022</v>
      </c>
      <c r="E5" s="9">
        <v>17751.999999999407</v>
      </c>
      <c r="F5" s="30">
        <v>0.79600000000000004</v>
      </c>
      <c r="G5" s="9">
        <v>1465</v>
      </c>
      <c r="H5" s="30">
        <v>4.3899999999999997</v>
      </c>
      <c r="I5" s="9">
        <f>'Shenzhen Daily'!H8</f>
        <v>333</v>
      </c>
      <c r="J5" s="30">
        <v>5.09</v>
      </c>
      <c r="K5" s="9">
        <f>'Shenzhen Daily'!I8</f>
        <v>133</v>
      </c>
      <c r="L5" s="9">
        <v>209</v>
      </c>
    </row>
    <row r="6" spans="1:12" ht="15">
      <c r="A6" s="6" t="s">
        <v>21</v>
      </c>
      <c r="B6" s="7">
        <f t="shared" si="0"/>
        <v>5</v>
      </c>
      <c r="C6" s="8">
        <v>1</v>
      </c>
      <c r="D6" s="7">
        <v>2022</v>
      </c>
      <c r="E6" s="9">
        <v>19630.000000000586</v>
      </c>
      <c r="F6" s="30">
        <v>0.79600000000000004</v>
      </c>
      <c r="G6" s="9">
        <v>1447</v>
      </c>
      <c r="H6" s="30">
        <v>4.3899999999999997</v>
      </c>
      <c r="I6" s="9">
        <f>'Shenzhen Daily'!H9</f>
        <v>305</v>
      </c>
      <c r="J6" s="30">
        <v>5.09</v>
      </c>
      <c r="K6" s="9">
        <f>'Shenzhen Daily'!I9</f>
        <v>188</v>
      </c>
      <c r="L6" s="9">
        <v>247</v>
      </c>
    </row>
    <row r="7" spans="1:12" ht="15">
      <c r="A7" s="6" t="s">
        <v>21</v>
      </c>
      <c r="B7" s="7">
        <f t="shared" si="0"/>
        <v>6</v>
      </c>
      <c r="C7" s="8">
        <v>1</v>
      </c>
      <c r="D7" s="7">
        <v>2022</v>
      </c>
      <c r="E7" s="9">
        <v>20999.000000000844</v>
      </c>
      <c r="F7" s="30">
        <v>0.79600000000000004</v>
      </c>
      <c r="G7" s="9">
        <v>1669</v>
      </c>
      <c r="H7" s="30">
        <v>4.3899999999999997</v>
      </c>
      <c r="I7" s="9">
        <f>'Shenzhen Daily'!H10</f>
        <v>383</v>
      </c>
      <c r="J7" s="30">
        <v>5.09</v>
      </c>
      <c r="K7" s="9">
        <f>'Shenzhen Daily'!I10</f>
        <v>238</v>
      </c>
      <c r="L7" s="9">
        <v>375</v>
      </c>
    </row>
    <row r="8" spans="1:12" ht="15">
      <c r="A8" s="6" t="s">
        <v>21</v>
      </c>
      <c r="B8" s="7">
        <f t="shared" si="0"/>
        <v>7</v>
      </c>
      <c r="C8" s="8">
        <v>1</v>
      </c>
      <c r="D8" s="7">
        <v>2022</v>
      </c>
      <c r="E8" s="9">
        <v>19142.999999998719</v>
      </c>
      <c r="F8" s="30">
        <v>0.79600000000000004</v>
      </c>
      <c r="G8" s="9">
        <v>1789</v>
      </c>
      <c r="H8" s="30">
        <v>4.3899999999999997</v>
      </c>
      <c r="I8" s="9">
        <f>'Shenzhen Daily'!H11</f>
        <v>506</v>
      </c>
      <c r="J8" s="30">
        <v>5.09</v>
      </c>
      <c r="K8" s="9">
        <f>'Shenzhen Daily'!I11</f>
        <v>200</v>
      </c>
      <c r="L8" s="9">
        <v>455</v>
      </c>
    </row>
    <row r="9" spans="1:12" ht="15">
      <c r="A9" s="6" t="s">
        <v>21</v>
      </c>
      <c r="B9" s="7">
        <f t="shared" si="0"/>
        <v>8</v>
      </c>
      <c r="C9" s="8">
        <v>1</v>
      </c>
      <c r="D9" s="7">
        <v>2022</v>
      </c>
      <c r="E9" s="9">
        <v>22336.000000000651</v>
      </c>
      <c r="F9" s="30">
        <v>0.79600000000000004</v>
      </c>
      <c r="G9" s="9">
        <v>1866</v>
      </c>
      <c r="H9" s="30">
        <v>4.3899999999999997</v>
      </c>
      <c r="I9" s="9">
        <f>'Shenzhen Daily'!H12</f>
        <v>411</v>
      </c>
      <c r="J9" s="30">
        <v>5.09</v>
      </c>
      <c r="K9" s="9">
        <f>'Shenzhen Daily'!I12</f>
        <v>153</v>
      </c>
      <c r="L9" s="9">
        <v>295</v>
      </c>
    </row>
    <row r="10" spans="1:12" ht="15">
      <c r="A10" s="6" t="s">
        <v>21</v>
      </c>
      <c r="B10" s="7">
        <f t="shared" si="0"/>
        <v>9</v>
      </c>
      <c r="C10" s="8">
        <v>1</v>
      </c>
      <c r="D10" s="7">
        <v>2022</v>
      </c>
      <c r="E10" s="9">
        <v>19287.999999999716</v>
      </c>
      <c r="F10" s="30">
        <v>0.79600000000000004</v>
      </c>
      <c r="G10" s="9">
        <v>1588</v>
      </c>
      <c r="H10" s="30">
        <v>4.3899999999999997</v>
      </c>
      <c r="I10" s="9">
        <f>'Shenzhen Daily'!H13</f>
        <v>341</v>
      </c>
      <c r="J10" s="30">
        <v>5.09</v>
      </c>
      <c r="K10" s="9">
        <f>'Shenzhen Daily'!I13</f>
        <v>103</v>
      </c>
      <c r="L10" s="9">
        <v>241</v>
      </c>
    </row>
    <row r="11" spans="1:12" ht="15">
      <c r="A11" s="6" t="s">
        <v>21</v>
      </c>
      <c r="B11" s="7">
        <f t="shared" si="0"/>
        <v>10</v>
      </c>
      <c r="C11" s="8">
        <v>1</v>
      </c>
      <c r="D11" s="7">
        <v>2022</v>
      </c>
      <c r="E11" s="9">
        <v>15916.000000000669</v>
      </c>
      <c r="F11" s="30">
        <v>0.79600000000000004</v>
      </c>
      <c r="G11" s="9">
        <v>1422</v>
      </c>
      <c r="H11" s="30">
        <v>4.3899999999999997</v>
      </c>
      <c r="I11" s="9">
        <f>'Shenzhen Daily'!H14</f>
        <v>357</v>
      </c>
      <c r="J11" s="30">
        <v>5.09</v>
      </c>
      <c r="K11" s="9">
        <f>'Shenzhen Daily'!I14</f>
        <v>97</v>
      </c>
      <c r="L11" s="9">
        <v>205</v>
      </c>
    </row>
    <row r="12" spans="1:12" ht="15">
      <c r="A12" s="6" t="s">
        <v>21</v>
      </c>
      <c r="B12" s="7">
        <f t="shared" si="0"/>
        <v>11</v>
      </c>
      <c r="C12" s="8">
        <v>1</v>
      </c>
      <c r="D12" s="7">
        <v>2022</v>
      </c>
      <c r="E12" s="9">
        <v>19049.999999998876</v>
      </c>
      <c r="F12" s="30">
        <v>0.79600000000000004</v>
      </c>
      <c r="G12" s="9">
        <v>1445</v>
      </c>
      <c r="H12" s="30">
        <v>4.3899999999999997</v>
      </c>
      <c r="I12" s="9">
        <f>'Shenzhen Daily'!H15</f>
        <v>314</v>
      </c>
      <c r="J12" s="30">
        <v>5.09</v>
      </c>
      <c r="K12" s="9">
        <f>'Shenzhen Daily'!I15</f>
        <v>88</v>
      </c>
      <c r="L12" s="9">
        <v>307</v>
      </c>
    </row>
    <row r="13" spans="1:12" ht="15">
      <c r="A13" s="6" t="s">
        <v>21</v>
      </c>
      <c r="B13" s="7">
        <f t="shared" si="0"/>
        <v>12</v>
      </c>
      <c r="C13" s="8">
        <v>1</v>
      </c>
      <c r="D13" s="7">
        <v>2022</v>
      </c>
      <c r="E13" s="9">
        <v>16297.000000000366</v>
      </c>
      <c r="F13" s="30">
        <v>0.79600000000000004</v>
      </c>
      <c r="G13" s="9">
        <v>1419</v>
      </c>
      <c r="H13" s="30">
        <v>4.3899999999999997</v>
      </c>
      <c r="I13" s="9">
        <f>'Shenzhen Daily'!H16</f>
        <v>305</v>
      </c>
      <c r="J13" s="30">
        <v>5.09</v>
      </c>
      <c r="K13" s="9">
        <f>'Shenzhen Daily'!I16</f>
        <v>84</v>
      </c>
      <c r="L13" s="9">
        <v>217</v>
      </c>
    </row>
    <row r="14" spans="1:12" ht="15">
      <c r="A14" s="6" t="s">
        <v>21</v>
      </c>
      <c r="B14" s="7">
        <f t="shared" si="0"/>
        <v>13</v>
      </c>
      <c r="C14" s="8">
        <v>1</v>
      </c>
      <c r="D14" s="7">
        <v>2022</v>
      </c>
      <c r="E14" s="9">
        <v>17696.000000000207</v>
      </c>
      <c r="F14" s="30">
        <v>0.79600000000000004</v>
      </c>
      <c r="G14" s="9">
        <v>1516</v>
      </c>
      <c r="H14" s="30">
        <v>4.3899999999999997</v>
      </c>
      <c r="I14" s="9">
        <f>'Shenzhen Daily'!H17</f>
        <v>332</v>
      </c>
      <c r="J14" s="30">
        <v>5.09</v>
      </c>
      <c r="K14" s="9">
        <f>'Shenzhen Daily'!I17</f>
        <v>69</v>
      </c>
      <c r="L14" s="9">
        <v>199</v>
      </c>
    </row>
    <row r="15" spans="1:12" ht="15">
      <c r="A15" s="6" t="s">
        <v>21</v>
      </c>
      <c r="B15" s="7">
        <f t="shared" si="0"/>
        <v>14</v>
      </c>
      <c r="C15" s="8">
        <v>1</v>
      </c>
      <c r="D15" s="7">
        <v>2022</v>
      </c>
      <c r="E15" s="9">
        <v>14856.999999999789</v>
      </c>
      <c r="F15" s="30">
        <v>0.79600000000000004</v>
      </c>
      <c r="G15" s="9">
        <v>1413</v>
      </c>
      <c r="H15" s="30">
        <v>4.3899999999999997</v>
      </c>
      <c r="I15" s="9">
        <f>'Shenzhen Daily'!H18</f>
        <v>306</v>
      </c>
      <c r="J15" s="30">
        <v>5.09</v>
      </c>
      <c r="K15" s="9">
        <f>'Shenzhen Daily'!I18</f>
        <v>73</v>
      </c>
      <c r="L15" s="9">
        <v>275</v>
      </c>
    </row>
    <row r="16" spans="1:12" ht="15">
      <c r="A16" s="6" t="s">
        <v>21</v>
      </c>
      <c r="B16" s="7">
        <f t="shared" si="0"/>
        <v>15</v>
      </c>
      <c r="C16" s="8">
        <v>1</v>
      </c>
      <c r="D16" s="7">
        <v>2022</v>
      </c>
      <c r="E16" s="9">
        <v>16938.000000000146</v>
      </c>
      <c r="F16" s="30">
        <v>0.79600000000000004</v>
      </c>
      <c r="G16" s="9">
        <v>1300</v>
      </c>
      <c r="H16" s="30">
        <v>4.3899999999999997</v>
      </c>
      <c r="I16" s="9">
        <f>'Shenzhen Daily'!H19</f>
        <v>256</v>
      </c>
      <c r="J16" s="30">
        <v>5.09</v>
      </c>
      <c r="K16" s="9">
        <f>'Shenzhen Daily'!I19</f>
        <v>68</v>
      </c>
      <c r="L16" s="9">
        <v>233</v>
      </c>
    </row>
    <row r="17" spans="1:12" ht="15">
      <c r="A17" s="6" t="s">
        <v>21</v>
      </c>
      <c r="B17" s="7">
        <f t="shared" si="0"/>
        <v>16</v>
      </c>
      <c r="C17" s="8">
        <v>1</v>
      </c>
      <c r="D17" s="7">
        <v>2022</v>
      </c>
      <c r="E17" s="9">
        <v>16820.999999999629</v>
      </c>
      <c r="F17" s="30">
        <v>0.79600000000000004</v>
      </c>
      <c r="G17" s="9">
        <v>1395</v>
      </c>
      <c r="H17" s="30">
        <v>4.3899999999999997</v>
      </c>
      <c r="I17" s="9">
        <f>'Shenzhen Daily'!H20</f>
        <v>249</v>
      </c>
      <c r="J17" s="30">
        <v>5.09</v>
      </c>
      <c r="K17" s="9">
        <f>'Shenzhen Daily'!I20</f>
        <v>49</v>
      </c>
      <c r="L17" s="9">
        <v>166</v>
      </c>
    </row>
    <row r="18" spans="1:12" ht="15">
      <c r="A18" s="6" t="s">
        <v>21</v>
      </c>
      <c r="B18" s="7">
        <f t="shared" si="0"/>
        <v>17</v>
      </c>
      <c r="C18" s="8">
        <v>1</v>
      </c>
      <c r="D18" s="7">
        <v>2022</v>
      </c>
      <c r="E18" s="9">
        <v>15656.000000000471</v>
      </c>
      <c r="F18" s="30">
        <v>0.79600000000000004</v>
      </c>
      <c r="G18" s="9">
        <v>1309</v>
      </c>
      <c r="H18" s="30">
        <v>4.3899999999999997</v>
      </c>
      <c r="I18" s="9">
        <f>'Shenzhen Daily'!H21</f>
        <v>298</v>
      </c>
      <c r="J18" s="30">
        <v>5.09</v>
      </c>
      <c r="K18" s="9">
        <f>'Shenzhen Daily'!I21</f>
        <v>57</v>
      </c>
      <c r="L18" s="9">
        <v>186</v>
      </c>
    </row>
    <row r="19" spans="1:12" ht="15">
      <c r="A19" s="6" t="s">
        <v>21</v>
      </c>
      <c r="B19" s="7">
        <f t="shared" si="0"/>
        <v>18</v>
      </c>
      <c r="C19" s="8">
        <v>1</v>
      </c>
      <c r="D19" s="7">
        <v>2022</v>
      </c>
      <c r="E19" s="9">
        <v>15098.999999999569</v>
      </c>
      <c r="F19" s="30">
        <v>0.79600000000000004</v>
      </c>
      <c r="G19" s="9">
        <v>1257</v>
      </c>
      <c r="H19" s="30">
        <v>4.3899999999999997</v>
      </c>
      <c r="I19" s="9">
        <f>'Shenzhen Daily'!H22</f>
        <v>252</v>
      </c>
      <c r="J19" s="30">
        <v>5.09</v>
      </c>
      <c r="K19" s="9">
        <f>'Shenzhen Daily'!I22</f>
        <v>48</v>
      </c>
      <c r="L19" s="9">
        <v>228</v>
      </c>
    </row>
    <row r="20" spans="1:12" ht="15">
      <c r="A20" s="6" t="s">
        <v>21</v>
      </c>
      <c r="B20" s="7">
        <f t="shared" si="0"/>
        <v>19</v>
      </c>
      <c r="C20" s="8">
        <v>1</v>
      </c>
      <c r="D20" s="7">
        <v>2022</v>
      </c>
      <c r="E20" s="9">
        <v>15166.999999999996</v>
      </c>
      <c r="F20" s="30">
        <v>0.79600000000000004</v>
      </c>
      <c r="G20" s="9">
        <v>1331</v>
      </c>
      <c r="H20" s="30">
        <v>4.3899999999999997</v>
      </c>
      <c r="I20" s="9">
        <f>'Shenzhen Daily'!H23</f>
        <v>292</v>
      </c>
      <c r="J20" s="30">
        <v>5.09</v>
      </c>
      <c r="K20" s="9">
        <f>'Shenzhen Daily'!I23</f>
        <v>56</v>
      </c>
      <c r="L20" s="9">
        <v>258</v>
      </c>
    </row>
    <row r="21" spans="1:12" ht="15">
      <c r="A21" s="6" t="s">
        <v>21</v>
      </c>
      <c r="B21" s="7">
        <f t="shared" si="0"/>
        <v>20</v>
      </c>
      <c r="C21" s="8">
        <v>1</v>
      </c>
      <c r="D21" s="7">
        <v>2022</v>
      </c>
      <c r="E21" s="9">
        <v>16138.000000000193</v>
      </c>
      <c r="F21" s="30">
        <v>0.79600000000000004</v>
      </c>
      <c r="G21" s="9">
        <v>1338</v>
      </c>
      <c r="H21" s="30">
        <v>4.3899999999999997</v>
      </c>
      <c r="I21" s="9">
        <f>'Shenzhen Daily'!H24</f>
        <v>255</v>
      </c>
      <c r="J21" s="30">
        <v>5.09</v>
      </c>
      <c r="K21" s="9">
        <f>'Shenzhen Daily'!I24</f>
        <v>69</v>
      </c>
      <c r="L21" s="9">
        <v>227</v>
      </c>
    </row>
    <row r="22" spans="1:12" ht="15">
      <c r="A22" s="6" t="s">
        <v>21</v>
      </c>
      <c r="B22" s="7">
        <f t="shared" si="0"/>
        <v>21</v>
      </c>
      <c r="C22" s="8">
        <v>1</v>
      </c>
      <c r="D22" s="7">
        <v>2022</v>
      </c>
      <c r="E22" s="9">
        <v>15982.999999999311</v>
      </c>
      <c r="F22" s="30">
        <v>0.79600000000000004</v>
      </c>
      <c r="G22" s="9">
        <v>1482</v>
      </c>
      <c r="H22" s="30">
        <v>4.3899999999999997</v>
      </c>
      <c r="I22" s="9">
        <f>'Shenzhen Daily'!H25</f>
        <v>373</v>
      </c>
      <c r="J22" s="30">
        <v>5.09</v>
      </c>
      <c r="K22" s="9">
        <f>'Shenzhen Daily'!I25</f>
        <v>67</v>
      </c>
      <c r="L22" s="9">
        <v>375</v>
      </c>
    </row>
    <row r="23" spans="1:12" ht="15">
      <c r="A23" s="6" t="s">
        <v>21</v>
      </c>
      <c r="B23" s="7">
        <f t="shared" si="0"/>
        <v>22</v>
      </c>
      <c r="C23" s="8">
        <v>1</v>
      </c>
      <c r="D23" s="7">
        <v>2022</v>
      </c>
      <c r="E23" s="9">
        <v>16556.000000000335</v>
      </c>
      <c r="F23" s="30">
        <v>0.79600000000000004</v>
      </c>
      <c r="G23" s="9">
        <v>1396</v>
      </c>
      <c r="H23" s="30">
        <v>4.3899999999999997</v>
      </c>
      <c r="I23" s="9">
        <f>'Shenzhen Daily'!H26</f>
        <v>308</v>
      </c>
      <c r="J23" s="30">
        <v>5.09</v>
      </c>
      <c r="K23" s="9">
        <f>'Shenzhen Daily'!I26</f>
        <v>60</v>
      </c>
      <c r="L23" s="9">
        <v>248</v>
      </c>
    </row>
    <row r="24" spans="1:12" ht="15">
      <c r="A24" s="6" t="s">
        <v>21</v>
      </c>
      <c r="B24" s="7">
        <f t="shared" si="0"/>
        <v>23</v>
      </c>
      <c r="C24" s="8">
        <v>1</v>
      </c>
      <c r="D24" s="7">
        <v>2022</v>
      </c>
      <c r="E24" s="9">
        <v>17444.000000000422</v>
      </c>
      <c r="F24" s="30">
        <v>0.79600000000000004</v>
      </c>
      <c r="G24" s="9">
        <v>1255</v>
      </c>
      <c r="H24" s="30">
        <v>4.3899999999999997</v>
      </c>
      <c r="I24" s="9">
        <f>'Shenzhen Daily'!H27</f>
        <v>260</v>
      </c>
      <c r="J24" s="30">
        <v>5.09</v>
      </c>
      <c r="K24" s="9">
        <f>'Shenzhen Daily'!I27</f>
        <v>56</v>
      </c>
      <c r="L24" s="9">
        <v>271</v>
      </c>
    </row>
    <row r="25" spans="1:12" ht="15">
      <c r="A25" s="6" t="s">
        <v>21</v>
      </c>
      <c r="B25" s="7">
        <f t="shared" si="0"/>
        <v>24</v>
      </c>
      <c r="C25" s="8">
        <v>1</v>
      </c>
      <c r="D25" s="7">
        <v>2022</v>
      </c>
      <c r="E25" s="9">
        <v>16067.000000000029</v>
      </c>
      <c r="F25" s="30">
        <v>0.79600000000000004</v>
      </c>
      <c r="G25" s="9">
        <v>1352</v>
      </c>
      <c r="H25" s="30">
        <v>4.3899999999999997</v>
      </c>
      <c r="I25" s="9">
        <f>'Shenzhen Daily'!H28</f>
        <v>296</v>
      </c>
      <c r="J25" s="30">
        <v>5.09</v>
      </c>
      <c r="K25" s="9">
        <f>'Shenzhen Daily'!I28</f>
        <v>50</v>
      </c>
      <c r="L25" s="9">
        <v>198</v>
      </c>
    </row>
    <row r="26" spans="1:12" ht="15">
      <c r="A26" s="6" t="s">
        <v>21</v>
      </c>
      <c r="B26" s="7">
        <f>B25+1</f>
        <v>25</v>
      </c>
      <c r="C26" s="8">
        <v>1</v>
      </c>
      <c r="D26" s="7">
        <v>2022</v>
      </c>
      <c r="E26" s="9">
        <v>15784.000000000469</v>
      </c>
      <c r="F26" s="30">
        <v>0.79600000000000004</v>
      </c>
      <c r="G26" s="9">
        <v>1272</v>
      </c>
      <c r="H26" s="30">
        <v>4.3899999999999997</v>
      </c>
      <c r="I26" s="9">
        <f>'Shenzhen Daily'!H29</f>
        <v>279</v>
      </c>
      <c r="J26" s="30">
        <v>5.09</v>
      </c>
      <c r="K26" s="9">
        <f>'Shenzhen Daily'!I29</f>
        <v>48</v>
      </c>
      <c r="L26" s="9">
        <v>259</v>
      </c>
    </row>
    <row r="27" spans="1:12" ht="15">
      <c r="A27" s="6" t="s">
        <v>21</v>
      </c>
      <c r="B27" s="7">
        <f t="shared" si="0"/>
        <v>26</v>
      </c>
      <c r="C27" s="8">
        <v>1</v>
      </c>
      <c r="D27" s="7">
        <v>2022</v>
      </c>
      <c r="E27" s="9">
        <v>17072.999999999342</v>
      </c>
      <c r="F27" s="30">
        <v>0.79600000000000004</v>
      </c>
      <c r="G27" s="9">
        <v>1330</v>
      </c>
      <c r="H27" s="30">
        <v>4.3899999999999997</v>
      </c>
      <c r="I27" s="9">
        <f>'Shenzhen Daily'!H30</f>
        <v>293</v>
      </c>
      <c r="J27" s="30">
        <v>5.09</v>
      </c>
      <c r="K27" s="9">
        <f>'Shenzhen Daily'!I30</f>
        <v>56</v>
      </c>
      <c r="L27" s="9">
        <v>367</v>
      </c>
    </row>
    <row r="28" spans="1:12" ht="15">
      <c r="A28" s="6" t="s">
        <v>21</v>
      </c>
      <c r="B28" s="7">
        <f t="shared" si="0"/>
        <v>27</v>
      </c>
      <c r="C28" s="8">
        <v>1</v>
      </c>
      <c r="D28" s="7">
        <v>2022</v>
      </c>
      <c r="E28" s="9">
        <v>16681.999999999302</v>
      </c>
      <c r="F28" s="30">
        <v>0.79600000000000004</v>
      </c>
      <c r="G28" s="9">
        <v>1383</v>
      </c>
      <c r="H28" s="30">
        <v>4.3899999999999997</v>
      </c>
      <c r="I28" s="9">
        <f>'Shenzhen Daily'!H31</f>
        <v>273</v>
      </c>
      <c r="J28" s="30">
        <v>5.09</v>
      </c>
      <c r="K28" s="9">
        <f>'Shenzhen Daily'!I31</f>
        <v>49</v>
      </c>
      <c r="L28" s="9">
        <v>289</v>
      </c>
    </row>
    <row r="29" spans="1:12" ht="15">
      <c r="A29" s="6" t="s">
        <v>21</v>
      </c>
      <c r="B29" s="7">
        <f t="shared" si="0"/>
        <v>28</v>
      </c>
      <c r="C29" s="8">
        <v>1</v>
      </c>
      <c r="D29" s="7">
        <v>2022</v>
      </c>
      <c r="E29" s="9">
        <v>14862.000000001695</v>
      </c>
      <c r="F29" s="30">
        <v>0.79600000000000004</v>
      </c>
      <c r="G29" s="9">
        <v>1388</v>
      </c>
      <c r="H29" s="30">
        <v>4.3899999999999997</v>
      </c>
      <c r="I29" s="9">
        <f>'Shenzhen Daily'!H32</f>
        <v>281</v>
      </c>
      <c r="J29" s="30">
        <v>5.09</v>
      </c>
      <c r="K29" s="9">
        <f>'Shenzhen Daily'!I32</f>
        <v>56</v>
      </c>
      <c r="L29" s="9">
        <v>179</v>
      </c>
    </row>
    <row r="30" spans="1:12" ht="15">
      <c r="A30" s="6" t="s">
        <v>21</v>
      </c>
      <c r="B30" s="7">
        <f t="shared" si="0"/>
        <v>29</v>
      </c>
      <c r="C30" s="8">
        <v>1</v>
      </c>
      <c r="D30" s="7">
        <v>2022</v>
      </c>
      <c r="E30" s="9">
        <v>17701.999999999614</v>
      </c>
      <c r="F30" s="30">
        <v>0.79600000000000004</v>
      </c>
      <c r="G30" s="9">
        <v>1322</v>
      </c>
      <c r="H30" s="30">
        <v>4.3899999999999997</v>
      </c>
      <c r="I30" s="9">
        <f>'Shenzhen Daily'!H33</f>
        <v>247</v>
      </c>
      <c r="J30" s="30">
        <v>5.09</v>
      </c>
      <c r="K30" s="9">
        <f>'Shenzhen Daily'!I33</f>
        <v>45</v>
      </c>
      <c r="L30" s="9">
        <v>172</v>
      </c>
    </row>
    <row r="31" spans="1:12" ht="15">
      <c r="A31" s="6" t="s">
        <v>21</v>
      </c>
      <c r="B31" s="7">
        <f t="shared" si="0"/>
        <v>30</v>
      </c>
      <c r="C31" s="8">
        <v>1</v>
      </c>
      <c r="D31" s="7">
        <v>2022</v>
      </c>
      <c r="E31" s="9">
        <v>15271.999999999662</v>
      </c>
      <c r="F31" s="30">
        <v>0.79600000000000004</v>
      </c>
      <c r="G31" s="9">
        <v>1421</v>
      </c>
      <c r="H31" s="30">
        <v>4.3899999999999997</v>
      </c>
      <c r="I31" s="9">
        <f>'Shenzhen Daily'!H34</f>
        <v>275</v>
      </c>
      <c r="J31" s="30">
        <v>5.09</v>
      </c>
      <c r="K31" s="9">
        <f>'Shenzhen Daily'!I34</f>
        <v>40</v>
      </c>
      <c r="L31" s="9">
        <v>141</v>
      </c>
    </row>
    <row r="32" spans="1:12" ht="15">
      <c r="A32" s="6" t="s">
        <v>21</v>
      </c>
      <c r="B32" s="7">
        <f t="shared" si="0"/>
        <v>31</v>
      </c>
      <c r="C32" s="8">
        <v>1</v>
      </c>
      <c r="D32" s="7">
        <v>2022</v>
      </c>
      <c r="E32" s="9">
        <v>18023</v>
      </c>
      <c r="F32" s="30">
        <v>0.79600000000000004</v>
      </c>
      <c r="G32" s="9">
        <v>1511</v>
      </c>
      <c r="H32" s="30">
        <v>4.3899999999999997</v>
      </c>
      <c r="I32" s="9">
        <f>'Shenzhen Daily'!H35</f>
        <v>291</v>
      </c>
      <c r="J32" s="30">
        <v>5.09</v>
      </c>
      <c r="K32" s="9">
        <f>'Shenzhen Daily'!I35</f>
        <v>56</v>
      </c>
      <c r="L32" s="9">
        <v>381</v>
      </c>
    </row>
    <row r="33" spans="5:12">
      <c r="E33" s="49">
        <f>SUM(E2:E32)</f>
        <v>538284.0000000007</v>
      </c>
      <c r="G33" s="49">
        <f>SUM(G2:G32)</f>
        <v>45350</v>
      </c>
      <c r="I33" s="49">
        <f>SUM(I2:I32)</f>
        <v>9950</v>
      </c>
      <c r="K33" s="49">
        <f>SUM(K2:K32)</f>
        <v>2819</v>
      </c>
      <c r="L33" s="49">
        <f>SUM(L2:L32)</f>
        <v>8356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P5" sqref="P5"/>
    </sheetView>
  </sheetViews>
  <sheetFormatPr defaultRowHeight="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>
      <c r="A2" s="14" t="s">
        <v>9</v>
      </c>
      <c r="B2" s="50"/>
      <c r="C2" s="53" t="s">
        <v>18</v>
      </c>
      <c r="D2" s="54"/>
      <c r="E2" s="55" t="s">
        <v>19</v>
      </c>
      <c r="F2" s="55"/>
      <c r="G2" s="56" t="s">
        <v>10</v>
      </c>
      <c r="H2" s="57"/>
      <c r="I2" s="15"/>
      <c r="J2" s="15"/>
    </row>
    <row r="3" spans="1:10" ht="44.25" customHeight="1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23</v>
      </c>
    </row>
    <row r="4" spans="1:10" s="22" customFormat="1" ht="35.25" customHeight="1">
      <c r="A4" s="21">
        <v>44561</v>
      </c>
      <c r="B4" s="51"/>
      <c r="C4" s="40">
        <v>27108.190000000002</v>
      </c>
      <c r="D4" s="41"/>
      <c r="E4" s="40">
        <v>3008640</v>
      </c>
      <c r="F4" s="44"/>
      <c r="G4" s="40">
        <v>548721</v>
      </c>
      <c r="H4" s="45"/>
      <c r="I4" s="23">
        <v>255</v>
      </c>
      <c r="J4" s="23">
        <v>450</v>
      </c>
    </row>
    <row r="5" spans="1:10" ht="33" customHeight="1">
      <c r="A5" s="24">
        <v>44562</v>
      </c>
      <c r="B5" s="51"/>
      <c r="C5" s="40">
        <v>27127.13</v>
      </c>
      <c r="D5" s="42">
        <f t="shared" ref="D5:D22" si="0">IF((C5-C4&lt;0), "0",C5-C4)</f>
        <v>18.93999999999869</v>
      </c>
      <c r="E5" s="40">
        <v>3010559</v>
      </c>
      <c r="F5" s="42">
        <f>IF((E5-E4&lt;0), "0",E5-E4)</f>
        <v>1919</v>
      </c>
      <c r="G5" s="40">
        <v>549198</v>
      </c>
      <c r="H5" s="38">
        <f>IF((G5-G4&lt;0), "0",G5-G4)</f>
        <v>477</v>
      </c>
      <c r="I5" s="26">
        <v>199</v>
      </c>
      <c r="J5" s="26">
        <v>473</v>
      </c>
    </row>
    <row r="6" spans="1:10" ht="45" customHeight="1">
      <c r="A6" s="24">
        <v>44563</v>
      </c>
      <c r="B6" s="51"/>
      <c r="C6" s="40">
        <v>27144.629999999997</v>
      </c>
      <c r="D6" s="42">
        <f t="shared" si="0"/>
        <v>17.499999999996362</v>
      </c>
      <c r="E6" s="40">
        <v>3012265</v>
      </c>
      <c r="F6" s="42">
        <f>IF((E6-E5&lt;0), "0",E6-E5)</f>
        <v>1706</v>
      </c>
      <c r="G6" s="40">
        <v>549621</v>
      </c>
      <c r="H6" s="38">
        <f t="shared" ref="H6:H35" si="1">IF((G6-G5&lt;0), "0",G6-G5)</f>
        <v>423</v>
      </c>
      <c r="I6" s="37">
        <v>165</v>
      </c>
      <c r="J6" s="37">
        <v>345</v>
      </c>
    </row>
    <row r="7" spans="1:10" ht="45" customHeight="1">
      <c r="A7" s="24">
        <v>44564</v>
      </c>
      <c r="B7" s="51"/>
      <c r="C7" s="40">
        <v>27162.78</v>
      </c>
      <c r="D7" s="42">
        <f t="shared" si="0"/>
        <v>18.150000000001455</v>
      </c>
      <c r="E7" s="40">
        <v>3013913</v>
      </c>
      <c r="F7" s="42">
        <f t="shared" ref="F7:F32" si="2">IF((E7-E6&lt;0), "0",E7-E6)</f>
        <v>1648</v>
      </c>
      <c r="G7" s="40">
        <v>550000</v>
      </c>
      <c r="H7" s="38">
        <f t="shared" si="1"/>
        <v>379</v>
      </c>
      <c r="I7" s="12">
        <v>99</v>
      </c>
      <c r="J7" s="12">
        <v>335</v>
      </c>
    </row>
    <row r="8" spans="1:10" ht="45" customHeight="1">
      <c r="A8" s="24">
        <v>44565</v>
      </c>
      <c r="B8" s="50"/>
      <c r="C8" s="31">
        <v>27179.499999999996</v>
      </c>
      <c r="D8" s="36">
        <f t="shared" si="0"/>
        <v>16.719999999997526</v>
      </c>
      <c r="E8" s="31">
        <v>3015379</v>
      </c>
      <c r="F8" s="42">
        <f>IF((E8-E7&lt;0), "0",E8-E7)</f>
        <v>1466</v>
      </c>
      <c r="G8" s="40">
        <v>550333</v>
      </c>
      <c r="H8" s="38">
        <f t="shared" si="1"/>
        <v>333</v>
      </c>
      <c r="I8" s="12">
        <v>133</v>
      </c>
      <c r="J8" s="12">
        <v>209</v>
      </c>
    </row>
    <row r="9" spans="1:10" ht="45" customHeight="1">
      <c r="A9" s="24">
        <v>44566</v>
      </c>
      <c r="B9" s="50"/>
      <c r="C9" s="31">
        <v>27197.07</v>
      </c>
      <c r="D9" s="25">
        <f t="shared" si="0"/>
        <v>17.570000000003347</v>
      </c>
      <c r="E9" s="31">
        <v>3016827</v>
      </c>
      <c r="F9" s="42">
        <f t="shared" si="2"/>
        <v>1448</v>
      </c>
      <c r="G9" s="31">
        <v>550638</v>
      </c>
      <c r="H9" s="38">
        <f t="shared" si="1"/>
        <v>305</v>
      </c>
      <c r="I9" s="12">
        <v>188</v>
      </c>
      <c r="J9" s="12">
        <v>247</v>
      </c>
    </row>
    <row r="10" spans="1:10" ht="45" customHeight="1">
      <c r="A10" s="24">
        <v>44567</v>
      </c>
      <c r="B10" s="50"/>
      <c r="C10" s="31">
        <v>27216.340000000004</v>
      </c>
      <c r="D10" s="25">
        <f t="shared" si="0"/>
        <v>19.270000000004075</v>
      </c>
      <c r="E10" s="31">
        <v>3018498</v>
      </c>
      <c r="F10" s="42">
        <f t="shared" si="2"/>
        <v>1671</v>
      </c>
      <c r="G10" s="31">
        <v>551021</v>
      </c>
      <c r="H10" s="38">
        <f t="shared" si="1"/>
        <v>383</v>
      </c>
      <c r="I10" s="12">
        <v>238</v>
      </c>
      <c r="J10" s="12">
        <v>375</v>
      </c>
    </row>
    <row r="11" spans="1:10" ht="45" customHeight="1">
      <c r="A11" s="24">
        <v>44568</v>
      </c>
      <c r="B11" s="50"/>
      <c r="C11" s="31">
        <v>27234.58</v>
      </c>
      <c r="D11" s="25">
        <f t="shared" si="0"/>
        <v>18.239999999997963</v>
      </c>
      <c r="E11" s="31">
        <v>3020288</v>
      </c>
      <c r="F11" s="42">
        <f t="shared" si="2"/>
        <v>1790</v>
      </c>
      <c r="G11" s="31">
        <v>551527</v>
      </c>
      <c r="H11" s="38">
        <f t="shared" si="1"/>
        <v>506</v>
      </c>
      <c r="I11" s="12">
        <v>200</v>
      </c>
      <c r="J11" s="12">
        <v>455</v>
      </c>
    </row>
    <row r="12" spans="1:10" ht="45" customHeight="1">
      <c r="A12" s="24">
        <v>44569</v>
      </c>
      <c r="B12" s="50"/>
      <c r="C12" s="31">
        <v>27253.560000000005</v>
      </c>
      <c r="D12" s="25">
        <f t="shared" si="0"/>
        <v>18.980000000003201</v>
      </c>
      <c r="E12" s="31">
        <v>3022156</v>
      </c>
      <c r="F12" s="42">
        <f t="shared" si="2"/>
        <v>1868</v>
      </c>
      <c r="G12" s="31">
        <v>551938</v>
      </c>
      <c r="H12" s="38">
        <f t="shared" si="1"/>
        <v>411</v>
      </c>
      <c r="I12" s="12">
        <v>153</v>
      </c>
      <c r="J12" s="12">
        <v>295</v>
      </c>
    </row>
    <row r="13" spans="1:10" ht="45" customHeight="1">
      <c r="A13" s="24">
        <v>44570</v>
      </c>
      <c r="B13" s="50"/>
      <c r="C13" s="31">
        <v>27270.05</v>
      </c>
      <c r="D13" s="25">
        <f t="shared" si="0"/>
        <v>16.489999999994325</v>
      </c>
      <c r="E13" s="31">
        <v>3023748</v>
      </c>
      <c r="F13" s="42">
        <f t="shared" si="2"/>
        <v>1592</v>
      </c>
      <c r="G13" s="31">
        <v>552279</v>
      </c>
      <c r="H13" s="38">
        <f t="shared" si="1"/>
        <v>341</v>
      </c>
      <c r="I13" s="12">
        <v>103</v>
      </c>
      <c r="J13" s="12">
        <v>241</v>
      </c>
    </row>
    <row r="14" spans="1:10" ht="45" customHeight="1">
      <c r="A14" s="24">
        <v>44571</v>
      </c>
      <c r="B14" s="50"/>
      <c r="C14" s="31">
        <v>27285.86</v>
      </c>
      <c r="D14" s="25">
        <f t="shared" si="0"/>
        <v>15.81000000000131</v>
      </c>
      <c r="E14" s="31">
        <v>3025173</v>
      </c>
      <c r="F14" s="42">
        <f t="shared" si="2"/>
        <v>1425</v>
      </c>
      <c r="G14" s="31">
        <v>552636</v>
      </c>
      <c r="H14" s="38">
        <f t="shared" si="1"/>
        <v>357</v>
      </c>
      <c r="I14" s="12">
        <v>97</v>
      </c>
      <c r="J14" s="12">
        <v>205</v>
      </c>
    </row>
    <row r="15" spans="1:10" ht="45" customHeight="1">
      <c r="A15" s="24">
        <v>44572</v>
      </c>
      <c r="B15" s="50"/>
      <c r="C15" s="31">
        <v>27304.5</v>
      </c>
      <c r="D15" s="25">
        <f t="shared" si="0"/>
        <v>18.639999999999418</v>
      </c>
      <c r="E15" s="31">
        <v>3026620</v>
      </c>
      <c r="F15" s="42">
        <f t="shared" si="2"/>
        <v>1447</v>
      </c>
      <c r="G15" s="31">
        <v>552950</v>
      </c>
      <c r="H15" s="38">
        <f t="shared" si="1"/>
        <v>314</v>
      </c>
      <c r="I15" s="12">
        <v>88</v>
      </c>
      <c r="J15" s="12">
        <v>307</v>
      </c>
    </row>
    <row r="16" spans="1:10" ht="45" customHeight="1">
      <c r="A16" s="24">
        <v>44573</v>
      </c>
      <c r="B16" s="50"/>
      <c r="C16" s="31">
        <v>27320.370000000006</v>
      </c>
      <c r="D16" s="25">
        <f t="shared" si="0"/>
        <v>15.870000000006257</v>
      </c>
      <c r="E16" s="31">
        <v>3028041</v>
      </c>
      <c r="F16" s="42">
        <f t="shared" si="2"/>
        <v>1421</v>
      </c>
      <c r="G16" s="31">
        <v>553255</v>
      </c>
      <c r="H16" s="38">
        <f t="shared" si="1"/>
        <v>305</v>
      </c>
      <c r="I16" s="12">
        <v>84</v>
      </c>
      <c r="J16" s="12">
        <v>217</v>
      </c>
    </row>
    <row r="17" spans="1:15" ht="45" customHeight="1">
      <c r="A17" s="24">
        <v>44574</v>
      </c>
      <c r="B17" s="50"/>
      <c r="C17" s="31">
        <v>27334.940000000002</v>
      </c>
      <c r="D17" s="25">
        <f t="shared" si="0"/>
        <v>14.569999999996071</v>
      </c>
      <c r="E17" s="31">
        <v>3029559</v>
      </c>
      <c r="F17" s="42">
        <f t="shared" si="2"/>
        <v>1518</v>
      </c>
      <c r="G17" s="31">
        <v>553587</v>
      </c>
      <c r="H17" s="38">
        <f t="shared" si="1"/>
        <v>332</v>
      </c>
      <c r="I17" s="12">
        <v>69</v>
      </c>
      <c r="J17" s="12">
        <v>199</v>
      </c>
    </row>
    <row r="18" spans="1:15" ht="45" customHeight="1">
      <c r="A18" s="24">
        <v>44575</v>
      </c>
      <c r="B18" s="50"/>
      <c r="C18" s="31">
        <v>27349.08</v>
      </c>
      <c r="D18" s="25">
        <f t="shared" si="0"/>
        <v>14.139999999999418</v>
      </c>
      <c r="E18" s="31">
        <v>3030974</v>
      </c>
      <c r="F18" s="42">
        <f t="shared" si="2"/>
        <v>1415</v>
      </c>
      <c r="G18" s="31">
        <v>553893</v>
      </c>
      <c r="H18" s="38">
        <f t="shared" si="1"/>
        <v>306</v>
      </c>
      <c r="I18" s="12">
        <v>73</v>
      </c>
      <c r="J18" s="12">
        <v>275</v>
      </c>
    </row>
    <row r="19" spans="1:15" ht="45" customHeight="1">
      <c r="A19" s="24">
        <v>44576</v>
      </c>
      <c r="B19" s="50"/>
      <c r="C19" s="31">
        <v>27363.58</v>
      </c>
      <c r="D19" s="25">
        <f t="shared" si="0"/>
        <v>14.5</v>
      </c>
      <c r="E19" s="31">
        <v>3032275</v>
      </c>
      <c r="F19" s="42">
        <f t="shared" si="2"/>
        <v>1301</v>
      </c>
      <c r="G19" s="31">
        <v>554149</v>
      </c>
      <c r="H19" s="38">
        <f t="shared" si="1"/>
        <v>256</v>
      </c>
      <c r="I19" s="12">
        <v>68</v>
      </c>
      <c r="J19" s="12">
        <v>233</v>
      </c>
    </row>
    <row r="20" spans="1:15" ht="45" customHeight="1">
      <c r="A20" s="24">
        <v>44577</v>
      </c>
      <c r="B20" s="50"/>
      <c r="C20" s="31">
        <v>27379.550000000007</v>
      </c>
      <c r="D20" s="25">
        <f t="shared" si="0"/>
        <v>15.970000000004802</v>
      </c>
      <c r="E20" s="31">
        <v>3033672</v>
      </c>
      <c r="F20" s="42">
        <f t="shared" si="2"/>
        <v>1397</v>
      </c>
      <c r="G20" s="31">
        <v>554398</v>
      </c>
      <c r="H20" s="38">
        <f t="shared" si="1"/>
        <v>249</v>
      </c>
      <c r="I20" s="12">
        <v>49</v>
      </c>
      <c r="J20" s="12">
        <v>166</v>
      </c>
    </row>
    <row r="21" spans="1:15" ht="45" customHeight="1">
      <c r="A21" s="24">
        <v>44578</v>
      </c>
      <c r="B21" s="50"/>
      <c r="C21" s="31">
        <v>27393.699999999997</v>
      </c>
      <c r="D21" s="25">
        <f t="shared" si="0"/>
        <v>14.149999999990541</v>
      </c>
      <c r="E21" s="31">
        <v>3034982</v>
      </c>
      <c r="F21" s="42">
        <f t="shared" si="2"/>
        <v>1310</v>
      </c>
      <c r="G21" s="31">
        <v>554696</v>
      </c>
      <c r="H21" s="38">
        <f t="shared" si="1"/>
        <v>298</v>
      </c>
      <c r="I21" s="12">
        <v>57</v>
      </c>
      <c r="J21" s="12">
        <v>186</v>
      </c>
    </row>
    <row r="22" spans="1:15" ht="45" customHeight="1">
      <c r="A22" s="24">
        <v>44579</v>
      </c>
      <c r="B22" s="50"/>
      <c r="C22" s="31">
        <v>27406.720000000001</v>
      </c>
      <c r="D22" s="25">
        <f t="shared" si="0"/>
        <v>13.020000000004075</v>
      </c>
      <c r="E22" s="31">
        <v>3036241</v>
      </c>
      <c r="F22" s="42">
        <f t="shared" si="2"/>
        <v>1259</v>
      </c>
      <c r="G22" s="31">
        <v>554948</v>
      </c>
      <c r="H22" s="38">
        <f t="shared" si="1"/>
        <v>252</v>
      </c>
      <c r="I22" s="12">
        <v>48</v>
      </c>
      <c r="J22" s="12">
        <v>228</v>
      </c>
    </row>
    <row r="23" spans="1:15" ht="45" customHeight="1">
      <c r="A23" s="24">
        <v>44580</v>
      </c>
      <c r="B23" s="50"/>
      <c r="C23" s="31">
        <v>27419.95</v>
      </c>
      <c r="D23" s="25">
        <f>IF((C23-C22&lt;0), "0",C23-C22)</f>
        <v>13.229999999999563</v>
      </c>
      <c r="E23" s="31">
        <v>3037573</v>
      </c>
      <c r="F23" s="42">
        <f t="shared" si="2"/>
        <v>1332</v>
      </c>
      <c r="G23" s="31">
        <v>555240</v>
      </c>
      <c r="H23" s="38">
        <f t="shared" si="1"/>
        <v>292</v>
      </c>
      <c r="I23" s="12">
        <v>56</v>
      </c>
      <c r="J23" s="12">
        <v>258</v>
      </c>
    </row>
    <row r="24" spans="1:15" ht="45" customHeight="1">
      <c r="A24" s="24">
        <v>44581</v>
      </c>
      <c r="B24" s="50"/>
      <c r="C24" s="31">
        <v>27433.03</v>
      </c>
      <c r="D24" s="25">
        <f t="shared" ref="D24:D35" si="3">IF((C24-C23&lt;0), "0",C24-C23)</f>
        <v>13.079999999998108</v>
      </c>
      <c r="E24" s="31">
        <v>3038912</v>
      </c>
      <c r="F24" s="42">
        <f t="shared" si="2"/>
        <v>1339</v>
      </c>
      <c r="G24" s="31">
        <v>555495</v>
      </c>
      <c r="H24" s="38">
        <f t="shared" si="1"/>
        <v>255</v>
      </c>
      <c r="I24" s="12">
        <v>69</v>
      </c>
      <c r="J24" s="12">
        <v>227</v>
      </c>
    </row>
    <row r="25" spans="1:15" ht="45" customHeight="1">
      <c r="A25" s="24">
        <v>44582</v>
      </c>
      <c r="B25" s="50"/>
      <c r="C25" s="31">
        <v>27446.48</v>
      </c>
      <c r="D25" s="25">
        <f t="shared" si="3"/>
        <v>13.450000000000728</v>
      </c>
      <c r="E25" s="31">
        <v>3040395</v>
      </c>
      <c r="F25" s="42">
        <f t="shared" si="2"/>
        <v>1483</v>
      </c>
      <c r="G25" s="31">
        <v>555868</v>
      </c>
      <c r="H25" s="38">
        <f t="shared" si="1"/>
        <v>373</v>
      </c>
      <c r="I25" s="12">
        <v>67</v>
      </c>
      <c r="J25" s="12">
        <v>375</v>
      </c>
    </row>
    <row r="26" spans="1:15" ht="45" customHeight="1">
      <c r="A26" s="24">
        <v>44583</v>
      </c>
      <c r="B26" s="50"/>
      <c r="C26" s="31">
        <v>27459.510000000002</v>
      </c>
      <c r="D26" s="25">
        <f t="shared" si="3"/>
        <v>13.030000000002474</v>
      </c>
      <c r="E26" s="31">
        <v>3041795</v>
      </c>
      <c r="F26" s="42">
        <f t="shared" si="2"/>
        <v>1400</v>
      </c>
      <c r="G26" s="31">
        <v>556176</v>
      </c>
      <c r="H26" s="38">
        <f t="shared" si="1"/>
        <v>308</v>
      </c>
      <c r="I26" s="12">
        <v>60</v>
      </c>
      <c r="J26" s="12">
        <v>248</v>
      </c>
    </row>
    <row r="27" spans="1:15" ht="45" customHeight="1">
      <c r="A27" s="24">
        <v>44584</v>
      </c>
      <c r="B27" s="50"/>
      <c r="C27" s="31">
        <v>27473.940000000006</v>
      </c>
      <c r="D27" s="25">
        <f t="shared" si="3"/>
        <v>14.430000000003929</v>
      </c>
      <c r="E27" s="31">
        <v>3043052</v>
      </c>
      <c r="F27" s="42">
        <f t="shared" si="2"/>
        <v>1257</v>
      </c>
      <c r="G27" s="31">
        <v>556436</v>
      </c>
      <c r="H27" s="38">
        <f t="shared" si="1"/>
        <v>260</v>
      </c>
      <c r="I27" s="12">
        <v>56</v>
      </c>
      <c r="J27" s="12">
        <v>271</v>
      </c>
    </row>
    <row r="28" spans="1:15" ht="45" customHeight="1">
      <c r="A28" s="24">
        <v>44585</v>
      </c>
      <c r="B28" s="50"/>
      <c r="C28" s="31">
        <v>27487.329999999998</v>
      </c>
      <c r="D28" s="25">
        <f t="shared" si="3"/>
        <v>13.389999999992142</v>
      </c>
      <c r="E28" s="31">
        <v>3044404</v>
      </c>
      <c r="F28" s="42">
        <f t="shared" si="2"/>
        <v>1352</v>
      </c>
      <c r="G28" s="31">
        <v>556732</v>
      </c>
      <c r="H28" s="38">
        <f t="shared" si="1"/>
        <v>296</v>
      </c>
      <c r="I28" s="12">
        <v>50</v>
      </c>
      <c r="J28" s="12">
        <v>198</v>
      </c>
    </row>
    <row r="29" spans="1:15" ht="45" customHeight="1">
      <c r="A29" s="24">
        <v>44586</v>
      </c>
      <c r="B29" s="50"/>
      <c r="C29" s="31">
        <v>27501.06</v>
      </c>
      <c r="D29" s="25">
        <f t="shared" si="3"/>
        <v>13.730000000003201</v>
      </c>
      <c r="E29" s="31">
        <v>3045678</v>
      </c>
      <c r="F29" s="42">
        <f t="shared" si="2"/>
        <v>1274</v>
      </c>
      <c r="G29" s="31">
        <v>557011</v>
      </c>
      <c r="H29" s="38">
        <f t="shared" si="1"/>
        <v>279</v>
      </c>
      <c r="I29" s="12">
        <v>48</v>
      </c>
      <c r="J29" s="12">
        <v>259</v>
      </c>
    </row>
    <row r="30" spans="1:15" ht="45" customHeight="1">
      <c r="A30" s="24">
        <v>44587</v>
      </c>
      <c r="B30" s="50"/>
      <c r="C30" s="31">
        <v>27515.18</v>
      </c>
      <c r="D30" s="25">
        <f t="shared" si="3"/>
        <v>14.119999999998981</v>
      </c>
      <c r="E30" s="31">
        <v>3047010</v>
      </c>
      <c r="F30" s="42">
        <f t="shared" si="2"/>
        <v>1332</v>
      </c>
      <c r="G30" s="31">
        <v>557304</v>
      </c>
      <c r="H30" s="38">
        <f t="shared" si="1"/>
        <v>293</v>
      </c>
      <c r="I30" s="12">
        <v>56</v>
      </c>
      <c r="J30" s="12">
        <v>367</v>
      </c>
      <c r="O30" s="33"/>
    </row>
    <row r="31" spans="1:15" ht="45" customHeight="1">
      <c r="A31" s="24">
        <v>44588</v>
      </c>
      <c r="B31" s="50"/>
      <c r="C31" s="31">
        <v>27529.66</v>
      </c>
      <c r="D31" s="25">
        <f t="shared" si="3"/>
        <v>14.479999999999563</v>
      </c>
      <c r="E31" s="31">
        <v>3048405</v>
      </c>
      <c r="F31" s="42">
        <f t="shared" si="2"/>
        <v>1395</v>
      </c>
      <c r="G31" s="31">
        <v>557577</v>
      </c>
      <c r="H31" s="38">
        <f t="shared" si="1"/>
        <v>273</v>
      </c>
      <c r="I31" s="12">
        <v>49</v>
      </c>
      <c r="J31" s="12">
        <v>289</v>
      </c>
    </row>
    <row r="32" spans="1:15" ht="45" customHeight="1">
      <c r="A32" s="24">
        <v>44589</v>
      </c>
      <c r="B32" s="50"/>
      <c r="C32" s="31">
        <v>27543.24</v>
      </c>
      <c r="D32" s="25">
        <f t="shared" si="3"/>
        <v>13.580000000001746</v>
      </c>
      <c r="E32" s="31">
        <v>3049795</v>
      </c>
      <c r="F32" s="42">
        <f t="shared" si="2"/>
        <v>1390</v>
      </c>
      <c r="G32" s="31">
        <v>557858</v>
      </c>
      <c r="H32" s="38">
        <f t="shared" si="1"/>
        <v>281</v>
      </c>
      <c r="I32" s="12">
        <v>56</v>
      </c>
      <c r="J32" s="12">
        <v>179</v>
      </c>
    </row>
    <row r="33" spans="1:10" ht="36" customHeight="1">
      <c r="A33" s="24">
        <v>44590</v>
      </c>
      <c r="B33" s="35"/>
      <c r="C33" s="31">
        <v>27557.570000000003</v>
      </c>
      <c r="D33" s="25">
        <f t="shared" si="3"/>
        <v>14.330000000001746</v>
      </c>
      <c r="E33" s="31">
        <v>3051119</v>
      </c>
      <c r="F33" s="42">
        <f>IF((E33-E32&lt;0), "0",E33-E32)</f>
        <v>1324</v>
      </c>
      <c r="G33" s="31">
        <v>558105</v>
      </c>
      <c r="H33" s="38">
        <f t="shared" si="1"/>
        <v>247</v>
      </c>
      <c r="I33" s="12">
        <v>45</v>
      </c>
      <c r="J33" s="12">
        <v>172</v>
      </c>
    </row>
    <row r="34" spans="1:10" ht="45.6" customHeight="1">
      <c r="A34" s="24">
        <v>44591</v>
      </c>
      <c r="B34" s="46"/>
      <c r="C34" s="40">
        <v>27574</v>
      </c>
      <c r="D34" s="47">
        <f t="shared" si="3"/>
        <v>16.429999999996653</v>
      </c>
      <c r="E34" s="31">
        <v>3052541</v>
      </c>
      <c r="F34" s="42">
        <f>IF((E34-E33&lt;0), "0",E34-E33)</f>
        <v>1422</v>
      </c>
      <c r="G34" s="31">
        <v>558380</v>
      </c>
      <c r="H34" s="38">
        <f t="shared" si="1"/>
        <v>275</v>
      </c>
      <c r="I34" s="32">
        <v>40</v>
      </c>
      <c r="J34" s="32">
        <v>141</v>
      </c>
    </row>
    <row r="35" spans="1:10" ht="36.75" customHeight="1">
      <c r="A35" s="24">
        <v>44592</v>
      </c>
      <c r="B35" s="46"/>
      <c r="C35" s="48">
        <v>27680.950000000004</v>
      </c>
      <c r="D35" s="25">
        <f t="shared" si="3"/>
        <v>106.95000000000437</v>
      </c>
      <c r="E35" s="34">
        <v>3054054</v>
      </c>
      <c r="F35" s="42">
        <f>IF((E35-E34&lt;0), "0",E35-E34)</f>
        <v>1513</v>
      </c>
      <c r="G35" s="34">
        <v>558671</v>
      </c>
      <c r="H35" s="38">
        <f t="shared" si="1"/>
        <v>291</v>
      </c>
      <c r="I35" s="12">
        <v>56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Domi Su</cp:lastModifiedBy>
  <cp:lastPrinted>2020-10-01T03:34:29Z</cp:lastPrinted>
  <dcterms:created xsi:type="dcterms:W3CDTF">2009-02-11T09:03:59Z</dcterms:created>
  <dcterms:modified xsi:type="dcterms:W3CDTF">2023-03-24T05:35:30Z</dcterms:modified>
</cp:coreProperties>
</file>