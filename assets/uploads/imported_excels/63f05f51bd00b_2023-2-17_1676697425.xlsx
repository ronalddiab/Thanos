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19\"/>
    </mc:Choice>
  </mc:AlternateContent>
  <xr:revisionPtr revIDLastSave="1" documentId="11_68C5CE01E08A01E8883ED6B5F1E9AF0D55E43D20" xr6:coauthVersionLast="47" xr6:coauthVersionMax="47" xr10:uidLastSave="{62EAFCC9-B0E8-48C4-9888-A3FBA3EF8DFD}"/>
  <bookViews>
    <workbookView xWindow="0" yWindow="0" windowWidth="28800" windowHeight="12435" tabRatio="762" firstSheet="1" xr2:uid="{00000000-000D-0000-FFFF-FFFF00000000}"/>
  </bookViews>
  <sheets>
    <sheet name="TOTAL" sheetId="11" r:id="rId1"/>
    <sheet name="FS Jimbaran December 2019" sheetId="12" r:id="rId2"/>
    <sheet name="RNs &amp; Covers Dec 2019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2" l="1"/>
  <c r="O12" i="12"/>
  <c r="P12" i="12"/>
  <c r="V12" i="12"/>
  <c r="AA12" i="12"/>
  <c r="AB12" i="12" s="1"/>
  <c r="AG12" i="12"/>
  <c r="I13" i="12"/>
  <c r="O13" i="12" s="1"/>
  <c r="P13" i="12"/>
  <c r="V13" i="12"/>
  <c r="AA13" i="12"/>
  <c r="AB13" i="12" s="1"/>
  <c r="AG13" i="12"/>
  <c r="B38" i="10" l="1"/>
  <c r="C38" i="10"/>
  <c r="I14" i="12"/>
  <c r="I15" i="12"/>
  <c r="I16" i="12"/>
  <c r="I18" i="12"/>
  <c r="I19" i="12"/>
  <c r="I21" i="12"/>
  <c r="I22" i="12"/>
  <c r="I23" i="12"/>
  <c r="I24" i="12"/>
  <c r="I26" i="12"/>
  <c r="I27" i="12"/>
  <c r="O27" i="12" s="1"/>
  <c r="I29" i="12"/>
  <c r="O29" i="12" s="1"/>
  <c r="I30" i="12"/>
  <c r="O30" i="12" s="1"/>
  <c r="I31" i="12"/>
  <c r="I32" i="12"/>
  <c r="I34" i="12"/>
  <c r="I35" i="12"/>
  <c r="I37" i="12"/>
  <c r="I38" i="12"/>
  <c r="I39" i="12"/>
  <c r="O39" i="12" s="1"/>
  <c r="I40" i="12"/>
  <c r="O40" i="12" s="1"/>
  <c r="I42" i="12"/>
  <c r="I17" i="12"/>
  <c r="I20" i="12"/>
  <c r="O20" i="12" s="1"/>
  <c r="I25" i="12"/>
  <c r="I28" i="12"/>
  <c r="O28" i="12" s="1"/>
  <c r="I33" i="12"/>
  <c r="I36" i="12"/>
  <c r="O36" i="12" s="1"/>
  <c r="I41" i="12"/>
  <c r="V14" i="12"/>
  <c r="K4" i="11" s="1"/>
  <c r="V15" i="12"/>
  <c r="K5" i="11" s="1"/>
  <c r="V16" i="12"/>
  <c r="V17" i="12"/>
  <c r="K7" i="11" s="1"/>
  <c r="V18" i="12"/>
  <c r="K8" i="11" s="1"/>
  <c r="V19" i="12"/>
  <c r="V20" i="12"/>
  <c r="V21" i="12"/>
  <c r="K11" i="11" s="1"/>
  <c r="V22" i="12"/>
  <c r="K12" i="11" s="1"/>
  <c r="V23" i="12"/>
  <c r="K13" i="11" s="1"/>
  <c r="V24" i="12"/>
  <c r="V25" i="12"/>
  <c r="K15" i="11" s="1"/>
  <c r="V26" i="12"/>
  <c r="K16" i="11" s="1"/>
  <c r="V27" i="12"/>
  <c r="V28" i="12"/>
  <c r="V29" i="12"/>
  <c r="K19" i="11" s="1"/>
  <c r="V30" i="12"/>
  <c r="K20" i="11" s="1"/>
  <c r="V31" i="12"/>
  <c r="V32" i="12"/>
  <c r="V33" i="12"/>
  <c r="K23" i="11" s="1"/>
  <c r="V34" i="12"/>
  <c r="K24" i="11" s="1"/>
  <c r="V35" i="12"/>
  <c r="V36" i="12"/>
  <c r="K26" i="11" s="1"/>
  <c r="V37" i="12"/>
  <c r="K27" i="11" s="1"/>
  <c r="V38" i="12"/>
  <c r="K28" i="11" s="1"/>
  <c r="V39" i="12"/>
  <c r="V40" i="12"/>
  <c r="V41" i="12"/>
  <c r="V42" i="12"/>
  <c r="K32" i="11" s="1"/>
  <c r="R47" i="12"/>
  <c r="Q47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5" i="11"/>
  <c r="I26" i="11"/>
  <c r="I27" i="11"/>
  <c r="I28" i="11"/>
  <c r="I29" i="11"/>
  <c r="I30" i="11"/>
  <c r="I31" i="11"/>
  <c r="I32" i="11"/>
  <c r="I2" i="11"/>
  <c r="AF47" i="12"/>
  <c r="AE47" i="12"/>
  <c r="AD47" i="12"/>
  <c r="AC47" i="12"/>
  <c r="D47" i="12"/>
  <c r="C47" i="12"/>
  <c r="S44" i="12"/>
  <c r="AL42" i="12"/>
  <c r="AG42" i="12"/>
  <c r="H32" i="11" s="1"/>
  <c r="AI42" i="12"/>
  <c r="P42" i="12"/>
  <c r="E32" i="11" s="1"/>
  <c r="O42" i="12"/>
  <c r="AL41" i="12"/>
  <c r="AG41" i="12"/>
  <c r="AI41" i="12"/>
  <c r="K31" i="11"/>
  <c r="AL40" i="12"/>
  <c r="AG40" i="12"/>
  <c r="H30" i="11" s="1"/>
  <c r="K30" i="11"/>
  <c r="P40" i="12"/>
  <c r="E30" i="11" s="1"/>
  <c r="AL39" i="12"/>
  <c r="AG39" i="12"/>
  <c r="H29" i="11" s="1"/>
  <c r="AI39" i="12"/>
  <c r="P39" i="12"/>
  <c r="E29" i="11" s="1"/>
  <c r="AL38" i="12"/>
  <c r="AG38" i="12"/>
  <c r="H28" i="11" s="1"/>
  <c r="AI38" i="12"/>
  <c r="P38" i="12"/>
  <c r="E28" i="11" s="1"/>
  <c r="AL37" i="12"/>
  <c r="AG37" i="12"/>
  <c r="G27" i="11" s="1"/>
  <c r="AI37" i="12"/>
  <c r="AL36" i="12"/>
  <c r="AG36" i="12"/>
  <c r="H26" i="11" s="1"/>
  <c r="AL35" i="12"/>
  <c r="AG35" i="12"/>
  <c r="G25" i="11" s="1"/>
  <c r="AI35" i="12"/>
  <c r="AJ47" i="12"/>
  <c r="AG34" i="12"/>
  <c r="H24" i="11" s="1"/>
  <c r="AL33" i="12"/>
  <c r="J23" i="11"/>
  <c r="AG33" i="12"/>
  <c r="G23" i="11" s="1"/>
  <c r="AL32" i="12"/>
  <c r="AI32" i="12"/>
  <c r="AG32" i="12"/>
  <c r="G22" i="11" s="1"/>
  <c r="K22" i="11"/>
  <c r="P32" i="12"/>
  <c r="E22" i="11" s="1"/>
  <c r="AL31" i="12"/>
  <c r="AG31" i="12"/>
  <c r="G21" i="11" s="1"/>
  <c r="AA31" i="12"/>
  <c r="AB31" i="12" s="1"/>
  <c r="K21" i="11"/>
  <c r="AL30" i="12"/>
  <c r="AG30" i="12"/>
  <c r="H20" i="11" s="1"/>
  <c r="AI30" i="12"/>
  <c r="AL29" i="12"/>
  <c r="AG29" i="12"/>
  <c r="G19" i="11" s="1"/>
  <c r="J18" i="11"/>
  <c r="AG28" i="12"/>
  <c r="G18" i="11" s="1"/>
  <c r="K18" i="11"/>
  <c r="J17" i="11"/>
  <c r="AG27" i="12"/>
  <c r="G17" i="11" s="1"/>
  <c r="AL26" i="12"/>
  <c r="J16" i="11"/>
  <c r="AG26" i="12"/>
  <c r="G16" i="11" s="1"/>
  <c r="J15" i="11"/>
  <c r="AG25" i="12"/>
  <c r="H15" i="11" s="1"/>
  <c r="J14" i="11"/>
  <c r="AG24" i="12"/>
  <c r="G14" i="11" s="1"/>
  <c r="K14" i="11"/>
  <c r="J13" i="11"/>
  <c r="AG23" i="12"/>
  <c r="G13" i="11" s="1"/>
  <c r="AI23" i="12"/>
  <c r="AL22" i="12"/>
  <c r="AG22" i="12"/>
  <c r="G12" i="11" s="1"/>
  <c r="J11" i="11"/>
  <c r="AG21" i="12"/>
  <c r="G11" i="11" s="1"/>
  <c r="AI21" i="12"/>
  <c r="J10" i="11"/>
  <c r="AG20" i="12"/>
  <c r="G10" i="11" s="1"/>
  <c r="J9" i="11"/>
  <c r="AG19" i="12"/>
  <c r="G9" i="11" s="1"/>
  <c r="AI19" i="12"/>
  <c r="P19" i="12"/>
  <c r="E9" i="11" s="1"/>
  <c r="AL18" i="12"/>
  <c r="AG18" i="12"/>
  <c r="G8" i="11" s="1"/>
  <c r="P18" i="12"/>
  <c r="E8" i="11" s="1"/>
  <c r="AL17" i="12"/>
  <c r="AG17" i="12"/>
  <c r="H7" i="11" s="1"/>
  <c r="AI17" i="12"/>
  <c r="AL16" i="12"/>
  <c r="J6" i="11"/>
  <c r="AG16" i="12"/>
  <c r="H6" i="11" s="1"/>
  <c r="K6" i="11"/>
  <c r="J5" i="11"/>
  <c r="AG15" i="12"/>
  <c r="H5" i="11" s="1"/>
  <c r="AI15" i="12"/>
  <c r="AL14" i="12"/>
  <c r="J4" i="11"/>
  <c r="AG14" i="12"/>
  <c r="H4" i="11" s="1"/>
  <c r="AL13" i="12"/>
  <c r="G3" i="11"/>
  <c r="AI13" i="12"/>
  <c r="K3" i="11"/>
  <c r="J2" i="11"/>
  <c r="G2" i="11"/>
  <c r="M47" i="12"/>
  <c r="J47" i="12"/>
  <c r="G47" i="12"/>
  <c r="AI40" i="12"/>
  <c r="AL19" i="12"/>
  <c r="AL21" i="12"/>
  <c r="AL23" i="12"/>
  <c r="AL12" i="12"/>
  <c r="AI20" i="12"/>
  <c r="AL27" i="12"/>
  <c r="AI24" i="12"/>
  <c r="AI18" i="12"/>
  <c r="AI22" i="12"/>
  <c r="AI33" i="12"/>
  <c r="AL28" i="12"/>
  <c r="AI36" i="12"/>
  <c r="AA20" i="12"/>
  <c r="AB20" i="12" s="1"/>
  <c r="AI34" i="12"/>
  <c r="AI16" i="12"/>
  <c r="AI25" i="12"/>
  <c r="AI26" i="12"/>
  <c r="AI27" i="12"/>
  <c r="J29" i="11"/>
  <c r="J20" i="11"/>
  <c r="J12" i="11"/>
  <c r="H31" i="11"/>
  <c r="H23" i="11"/>
  <c r="J28" i="11"/>
  <c r="J19" i="11"/>
  <c r="J3" i="11"/>
  <c r="AL20" i="12"/>
  <c r="AL24" i="12"/>
  <c r="AL25" i="12"/>
  <c r="G31" i="11"/>
  <c r="G15" i="11"/>
  <c r="J27" i="11"/>
  <c r="AL15" i="12"/>
  <c r="AA35" i="12"/>
  <c r="AB35" i="12" s="1"/>
  <c r="J26" i="11"/>
  <c r="G29" i="11"/>
  <c r="J25" i="11"/>
  <c r="J8" i="11"/>
  <c r="H27" i="11"/>
  <c r="H11" i="11"/>
  <c r="J32" i="11"/>
  <c r="J7" i="11"/>
  <c r="J31" i="11"/>
  <c r="J22" i="11"/>
  <c r="AA14" i="12"/>
  <c r="AB14" i="12" s="1"/>
  <c r="G26" i="11"/>
  <c r="J30" i="11"/>
  <c r="J21" i="11"/>
  <c r="AA18" i="12"/>
  <c r="AB18" i="12" s="1"/>
  <c r="AA32" i="12"/>
  <c r="AB32" i="12" s="1"/>
  <c r="AA33" i="12"/>
  <c r="AB33" i="12" s="1"/>
  <c r="AA22" i="12"/>
  <c r="AA30" i="12"/>
  <c r="O35" i="12"/>
  <c r="F32" i="11"/>
  <c r="O38" i="12"/>
  <c r="E3" i="11"/>
  <c r="P20" i="12"/>
  <c r="E10" i="11" s="1"/>
  <c r="P21" i="12"/>
  <c r="E11" i="11" s="1"/>
  <c r="P31" i="12"/>
  <c r="E21" i="11" s="1"/>
  <c r="AA34" i="12"/>
  <c r="AB34" i="12" s="1"/>
  <c r="P35" i="12"/>
  <c r="E25" i="11" s="1"/>
  <c r="K29" i="11"/>
  <c r="O16" i="12"/>
  <c r="AA16" i="12"/>
  <c r="O24" i="12"/>
  <c r="AA24" i="12"/>
  <c r="L14" i="11" s="1"/>
  <c r="AA26" i="12"/>
  <c r="AB26" i="12" s="1"/>
  <c r="AA28" i="12"/>
  <c r="P25" i="12"/>
  <c r="E15" i="11" s="1"/>
  <c r="P27" i="12"/>
  <c r="P28" i="12"/>
  <c r="E18" i="11" s="1"/>
  <c r="P29" i="12"/>
  <c r="E19" i="11" s="1"/>
  <c r="O14" i="12"/>
  <c r="O22" i="12"/>
  <c r="P34" i="12"/>
  <c r="E24" i="11" s="1"/>
  <c r="P16" i="12"/>
  <c r="E6" i="11" s="1"/>
  <c r="P17" i="12"/>
  <c r="E7" i="11" s="1"/>
  <c r="P23" i="12"/>
  <c r="E13" i="11" s="1"/>
  <c r="P24" i="12"/>
  <c r="E14" i="11" s="1"/>
  <c r="P26" i="12"/>
  <c r="K47" i="12"/>
  <c r="O34" i="12"/>
  <c r="O41" i="12"/>
  <c r="P41" i="12"/>
  <c r="E31" i="11" s="1"/>
  <c r="P14" i="12"/>
  <c r="E4" i="11" s="1"/>
  <c r="P15" i="12"/>
  <c r="E5" i="11" s="1"/>
  <c r="P22" i="12"/>
  <c r="E12" i="11" s="1"/>
  <c r="E47" i="12"/>
  <c r="P37" i="12"/>
  <c r="E27" i="11" s="1"/>
  <c r="P36" i="12"/>
  <c r="E26" i="11" s="1"/>
  <c r="I24" i="11"/>
  <c r="O23" i="12"/>
  <c r="O25" i="12"/>
  <c r="F15" i="11" s="1"/>
  <c r="AA36" i="12"/>
  <c r="H47" i="12"/>
  <c r="W47" i="12"/>
  <c r="O21" i="12"/>
  <c r="L47" i="12"/>
  <c r="AK47" i="12"/>
  <c r="AL47" i="12" s="1"/>
  <c r="AA17" i="12"/>
  <c r="AB17" i="12" s="1"/>
  <c r="O18" i="12"/>
  <c r="AA19" i="12"/>
  <c r="AA21" i="12"/>
  <c r="AB21" i="12" s="1"/>
  <c r="AA23" i="12"/>
  <c r="AA25" i="12"/>
  <c r="AB25" i="12" s="1"/>
  <c r="O26" i="12"/>
  <c r="AA27" i="12"/>
  <c r="AA29" i="12"/>
  <c r="AB29" i="12" s="1"/>
  <c r="AA39" i="12"/>
  <c r="AB39" i="12" s="1"/>
  <c r="O15" i="12"/>
  <c r="F47" i="12"/>
  <c r="F2" i="11"/>
  <c r="O32" i="12"/>
  <c r="O17" i="12"/>
  <c r="F7" i="11" s="1"/>
  <c r="P33" i="12"/>
  <c r="E23" i="11" s="1"/>
  <c r="AA38" i="12"/>
  <c r="AI12" i="12"/>
  <c r="AA15" i="12"/>
  <c r="P30" i="12"/>
  <c r="E20" i="11" s="1"/>
  <c r="O33" i="12"/>
  <c r="L22" i="11"/>
  <c r="AA41" i="12"/>
  <c r="AB41" i="12" s="1"/>
  <c r="AA40" i="12"/>
  <c r="L30" i="11" s="1"/>
  <c r="AI14" i="12"/>
  <c r="AI31" i="12"/>
  <c r="AH47" i="12"/>
  <c r="AI47" i="12" s="1"/>
  <c r="AI28" i="12"/>
  <c r="AI29" i="12"/>
  <c r="AA42" i="12"/>
  <c r="AB42" i="12" s="1"/>
  <c r="O37" i="12"/>
  <c r="AB19" i="12"/>
  <c r="X47" i="12"/>
  <c r="L3" i="11"/>
  <c r="AB27" i="12"/>
  <c r="AB36" i="12"/>
  <c r="O31" i="12"/>
  <c r="AB23" i="12"/>
  <c r="AB16" i="12"/>
  <c r="L6" i="11"/>
  <c r="Z47" i="12"/>
  <c r="AL34" i="12"/>
  <c r="J24" i="11"/>
  <c r="N47" i="12"/>
  <c r="Y47" i="12"/>
  <c r="AA37" i="12"/>
  <c r="AB37" i="12" s="1"/>
  <c r="AB40" i="12"/>
  <c r="L3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F30" i="11" l="1"/>
  <c r="V47" i="12"/>
  <c r="L20" i="11"/>
  <c r="L28" i="11"/>
  <c r="L12" i="11"/>
  <c r="L26" i="11"/>
  <c r="L18" i="11"/>
  <c r="AB30" i="12"/>
  <c r="L16" i="11"/>
  <c r="K10" i="11"/>
  <c r="L17" i="11"/>
  <c r="L9" i="11"/>
  <c r="L4" i="11"/>
  <c r="H10" i="11"/>
  <c r="H14" i="11"/>
  <c r="H25" i="11"/>
  <c r="G4" i="11"/>
  <c r="H21" i="11"/>
  <c r="H3" i="11"/>
  <c r="G20" i="11"/>
  <c r="H17" i="11"/>
  <c r="AB24" i="12"/>
  <c r="AB28" i="12"/>
  <c r="L25" i="11"/>
  <c r="L15" i="11"/>
  <c r="L7" i="11"/>
  <c r="L11" i="11"/>
  <c r="L10" i="11"/>
  <c r="L23" i="11"/>
  <c r="E2" i="11"/>
  <c r="F3" i="11"/>
  <c r="F16" i="11"/>
  <c r="F27" i="11"/>
  <c r="F10" i="11"/>
  <c r="F17" i="11"/>
  <c r="G6" i="11"/>
  <c r="H12" i="11"/>
  <c r="H8" i="11"/>
  <c r="H19" i="11"/>
  <c r="G5" i="11"/>
  <c r="H9" i="11"/>
  <c r="G28" i="11"/>
  <c r="AG47" i="12"/>
  <c r="G7" i="11"/>
  <c r="H2" i="11"/>
  <c r="G24" i="11"/>
  <c r="H13" i="11"/>
  <c r="G32" i="11"/>
  <c r="H22" i="11"/>
  <c r="H16" i="11"/>
  <c r="G30" i="11"/>
  <c r="H18" i="11"/>
  <c r="F26" i="11"/>
  <c r="F13" i="11"/>
  <c r="F29" i="11"/>
  <c r="F31" i="11"/>
  <c r="F19" i="11"/>
  <c r="F28" i="11"/>
  <c r="F20" i="11"/>
  <c r="E16" i="11"/>
  <c r="E17" i="11"/>
  <c r="F11" i="11"/>
  <c r="F14" i="11"/>
  <c r="F8" i="11"/>
  <c r="F12" i="11"/>
  <c r="F6" i="11"/>
  <c r="I47" i="12"/>
  <c r="F21" i="11"/>
  <c r="F23" i="11"/>
  <c r="F22" i="11"/>
  <c r="F4" i="11"/>
  <c r="F5" i="11"/>
  <c r="O19" i="12"/>
  <c r="F9" i="11" s="1"/>
  <c r="F24" i="11"/>
  <c r="F18" i="11"/>
  <c r="P47" i="12"/>
  <c r="S47" i="12" s="1"/>
  <c r="F25" i="11"/>
  <c r="L13" i="11"/>
  <c r="L8" i="11"/>
  <c r="AB22" i="12"/>
  <c r="L29" i="11"/>
  <c r="AB38" i="12"/>
  <c r="AA47" i="12"/>
  <c r="AB47" i="12" s="1"/>
  <c r="L5" i="11"/>
  <c r="L2" i="11"/>
  <c r="L19" i="11"/>
  <c r="L24" i="11"/>
  <c r="AB15" i="12"/>
  <c r="K17" i="11"/>
  <c r="K2" i="11"/>
  <c r="K9" i="11"/>
  <c r="K25" i="11"/>
  <c r="L31" i="11"/>
  <c r="L21" i="11"/>
  <c r="L27" i="11"/>
  <c r="O47" i="12" l="1"/>
  <c r="T47" i="12" s="1"/>
  <c r="U47" i="12" s="1"/>
  <c r="U48" i="12" s="1"/>
</calcChain>
</file>

<file path=xl/sharedStrings.xml><?xml version="1.0" encoding="utf-8"?>
<sst xmlns="http://schemas.openxmlformats.org/spreadsheetml/2006/main" count="102" uniqueCount="55">
  <si>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</si>
  <si>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</si>
  <si>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</si>
  <si>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</si>
  <si>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</si>
  <si>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</si>
  <si>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</si>
  <si>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</si>
  <si>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</si>
  <si>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</si>
  <si>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</si>
  <si>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</si>
  <si>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</si>
  <si>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</si>
  <si>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</si>
  <si>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</si>
  <si>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</si>
  <si>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DECEMBER 2019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</si>
  <si>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</si>
  <si>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</si>
  <si>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</si>
  <si>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</si>
  <si>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</si>
  <si>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</si>
  <si>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</si>
  <si>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</si>
  <si>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</si>
  <si>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 (daily reading N/A), monthly report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</si>
  <si>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</si>
  <si>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</si>
  <si>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</si>
  <si>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</si>
  <si>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</si>
  <si>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</si>
  <si>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</si>
  <si>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</si>
  <si>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</si>
  <si>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</si>
  <si>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</si>
  <si>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</si>
  <si>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</si>
  <si>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</si>
  <si>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</si>
  <si>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</si>
  <si>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</si>
  <si>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</si>
  <si>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</si>
  <si>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</si>
  <si>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</si>
  <si>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</si>
  <si>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</si>
  <si>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</si>
  <si>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</si>
  <si>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`</t>
  </si>
  <si>
    <t>kWh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</si>
</sst>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41" fontId="18" fillId="0" borderId="0" applyFont="0" applyFill="0" applyBorder="0" applyAlignment="0" applyProtection="0"/>
    <xf numFmtId="0" fontId="18" fillId="0" borderId="0"/>
  </cellStyleXfs>
  <cellXfs count="255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164" fontId="0" fillId="3" borderId="12" xfId="2" applyFont="1" applyFill="1" applyBorder="1"/>
    <xf numFmtId="164" fontId="0" fillId="3" borderId="15" xfId="2" applyFont="1" applyFill="1" applyBorder="1"/>
    <xf numFmtId="164" fontId="0" fillId="3" borderId="24" xfId="2" applyFont="1" applyFill="1" applyBorder="1"/>
    <xf numFmtId="164" fontId="0" fillId="3" borderId="11" xfId="2" applyFont="1" applyFill="1" applyBorder="1"/>
    <xf numFmtId="0" fontId="8" fillId="0" borderId="0" xfId="0" applyFont="1"/>
    <xf numFmtId="0" fontId="0" fillId="0" borderId="22" xfId="0" applyBorder="1"/>
    <xf numFmtId="0" fontId="0" fillId="0" borderId="34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165" fontId="0" fillId="0" borderId="36" xfId="2" applyNumberFormat="1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0" fillId="3" borderId="42" xfId="2" applyFont="1" applyFill="1" applyBorder="1"/>
    <xf numFmtId="164" fontId="0" fillId="3" borderId="5" xfId="2" applyFont="1" applyFill="1" applyBorder="1"/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40" xfId="0" applyFont="1" applyFill="1" applyBorder="1" applyAlignment="1">
      <alignment horizontal="center" vertical="center"/>
    </xf>
    <xf numFmtId="167" fontId="6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5" fontId="0" fillId="0" borderId="47" xfId="2" applyNumberFormat="1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167" fontId="0" fillId="0" borderId="27" xfId="0" applyNumberFormat="1" applyBorder="1" applyAlignment="1">
      <alignment horizontal="center" vertical="center" wrapText="1"/>
    </xf>
    <xf numFmtId="167" fontId="0" fillId="0" borderId="48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8" xfId="0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0" fillId="5" borderId="36" xfId="0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2" fillId="11" borderId="49" xfId="0" applyFont="1" applyFill="1" applyBorder="1" applyAlignment="1">
      <alignment horizontal="center" vertical="center" shrinkToFit="1"/>
    </xf>
    <xf numFmtId="0" fontId="12" fillId="11" borderId="50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9" xfId="2" applyFont="1" applyBorder="1" applyAlignment="1">
      <alignment horizontal="center" vertical="center" wrapText="1"/>
    </xf>
    <xf numFmtId="164" fontId="8" fillId="0" borderId="8" xfId="2" applyFont="1" applyBorder="1"/>
    <xf numFmtId="164" fontId="8" fillId="3" borderId="0" xfId="2" applyFont="1" applyFill="1" applyBorder="1"/>
    <xf numFmtId="164" fontId="13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3" fillId="0" borderId="0" xfId="2" applyNumberFormat="1" applyFont="1" applyBorder="1"/>
    <xf numFmtId="165" fontId="8" fillId="0" borderId="0" xfId="2" applyNumberFormat="1" applyFont="1"/>
    <xf numFmtId="165" fontId="0" fillId="3" borderId="44" xfId="0" applyNumberFormat="1" applyFill="1" applyBorder="1"/>
    <xf numFmtId="165" fontId="1" fillId="0" borderId="44" xfId="0" applyNumberFormat="1" applyFont="1" applyBorder="1"/>
    <xf numFmtId="0" fontId="0" fillId="3" borderId="51" xfId="0" applyFill="1" applyBorder="1"/>
    <xf numFmtId="165" fontId="0" fillId="3" borderId="51" xfId="2" applyNumberFormat="1" applyFont="1" applyFill="1" applyBorder="1"/>
    <xf numFmtId="164" fontId="8" fillId="3" borderId="51" xfId="2" applyFont="1" applyFill="1" applyBorder="1"/>
    <xf numFmtId="165" fontId="8" fillId="3" borderId="51" xfId="2" applyNumberFormat="1" applyFont="1" applyFill="1" applyBorder="1"/>
    <xf numFmtId="164" fontId="0" fillId="3" borderId="51" xfId="0" applyNumberFormat="1" applyFill="1" applyBorder="1"/>
    <xf numFmtId="0" fontId="0" fillId="3" borderId="53" xfId="0" applyFill="1" applyBorder="1"/>
    <xf numFmtId="43" fontId="0" fillId="3" borderId="51" xfId="0" applyNumberFormat="1" applyFill="1" applyBorder="1"/>
    <xf numFmtId="165" fontId="0" fillId="3" borderId="51" xfId="0" applyNumberFormat="1" applyFill="1" applyBorder="1"/>
    <xf numFmtId="165" fontId="0" fillId="0" borderId="51" xfId="2" applyNumberFormat="1" applyFont="1" applyBorder="1"/>
    <xf numFmtId="167" fontId="0" fillId="3" borderId="53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165" fontId="1" fillId="6" borderId="23" xfId="0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51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165" fontId="9" fillId="0" borderId="58" xfId="2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165" fontId="8" fillId="0" borderId="60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31" xfId="0" applyBorder="1"/>
    <xf numFmtId="165" fontId="0" fillId="0" borderId="31" xfId="2" applyNumberFormat="1" applyFont="1" applyBorder="1"/>
    <xf numFmtId="164" fontId="8" fillId="0" borderId="31" xfId="2" applyFont="1" applyBorder="1"/>
    <xf numFmtId="165" fontId="8" fillId="0" borderId="34" xfId="2" applyNumberFormat="1" applyFont="1" applyBorder="1"/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62" xfId="2" applyNumberFormat="1" applyFont="1" applyBorder="1"/>
    <xf numFmtId="0" fontId="0" fillId="0" borderId="34" xfId="0" applyBorder="1"/>
    <xf numFmtId="165" fontId="0" fillId="0" borderId="10" xfId="2" applyNumberFormat="1" applyFont="1" applyBorder="1"/>
    <xf numFmtId="0" fontId="0" fillId="0" borderId="63" xfId="0" applyBorder="1"/>
    <xf numFmtId="164" fontId="0" fillId="0" borderId="50" xfId="2" applyFont="1" applyBorder="1"/>
    <xf numFmtId="164" fontId="0" fillId="0" borderId="64" xfId="2" applyFont="1" applyBorder="1"/>
    <xf numFmtId="0" fontId="0" fillId="0" borderId="40" xfId="0" applyBorder="1" applyAlignment="1">
      <alignment horizontal="center" vertical="center" wrapText="1"/>
    </xf>
    <xf numFmtId="165" fontId="8" fillId="0" borderId="49" xfId="2" applyNumberFormat="1" applyFont="1" applyBorder="1" applyAlignment="1">
      <alignment horizontal="center" vertical="center" wrapText="1"/>
    </xf>
    <xf numFmtId="165" fontId="8" fillId="0" borderId="50" xfId="2" applyNumberFormat="1" applyFont="1" applyBorder="1"/>
    <xf numFmtId="165" fontId="8" fillId="0" borderId="64" xfId="2" applyNumberFormat="1" applyFont="1" applyBorder="1"/>
    <xf numFmtId="165" fontId="10" fillId="0" borderId="23" xfId="0" applyNumberFormat="1" applyFont="1" applyBorder="1"/>
    <xf numFmtId="168" fontId="0" fillId="0" borderId="37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6" xfId="0" applyFill="1" applyBorder="1"/>
    <xf numFmtId="0" fontId="0" fillId="3" borderId="15" xfId="0" applyFill="1" applyBorder="1"/>
    <xf numFmtId="0" fontId="0" fillId="3" borderId="67" xfId="0" applyFill="1" applyBorder="1"/>
    <xf numFmtId="0" fontId="0" fillId="3" borderId="68" xfId="0" applyFill="1" applyBorder="1"/>
    <xf numFmtId="165" fontId="0" fillId="3" borderId="52" xfId="2" applyNumberFormat="1" applyFont="1" applyFill="1" applyBorder="1"/>
    <xf numFmtId="0" fontId="12" fillId="11" borderId="64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4" xfId="0" applyFill="1" applyBorder="1"/>
    <xf numFmtId="43" fontId="0" fillId="3" borderId="5" xfId="0" applyNumberFormat="1" applyFill="1" applyBorder="1"/>
    <xf numFmtId="0" fontId="0" fillId="3" borderId="70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8" fontId="0" fillId="0" borderId="24" xfId="2" applyNumberFormat="1" applyFont="1" applyBorder="1"/>
    <xf numFmtId="165" fontId="1" fillId="0" borderId="22" xfId="2" applyNumberFormat="1" applyFont="1" applyBorder="1"/>
    <xf numFmtId="165" fontId="15" fillId="3" borderId="8" xfId="2" applyNumberFormat="1" applyFont="1" applyFill="1" applyBorder="1" applyProtection="1">
      <protection locked="0"/>
    </xf>
    <xf numFmtId="168" fontId="0" fillId="3" borderId="11" xfId="2" applyNumberFormat="1" applyFont="1" applyFill="1" applyBorder="1"/>
    <xf numFmtId="168" fontId="7" fillId="3" borderId="11" xfId="2" applyNumberFormat="1" applyFont="1" applyFill="1" applyBorder="1" applyAlignment="1">
      <alignment vertical="top" wrapText="1"/>
    </xf>
    <xf numFmtId="168" fontId="7" fillId="3" borderId="0" xfId="2" applyNumberFormat="1" applyFont="1" applyFill="1" applyBorder="1" applyAlignment="1">
      <alignment vertical="top" wrapText="1"/>
    </xf>
    <xf numFmtId="0" fontId="7" fillId="3" borderId="66" xfId="4" applyFill="1" applyBorder="1" applyAlignment="1">
      <alignment vertical="top" wrapText="1"/>
    </xf>
    <xf numFmtId="0" fontId="0" fillId="3" borderId="57" xfId="0" applyFill="1" applyBorder="1" applyAlignment="1">
      <alignment wrapText="1"/>
    </xf>
    <xf numFmtId="0" fontId="0" fillId="3" borderId="66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46" xfId="2" applyNumberFormat="1" applyFont="1" applyBorder="1" applyAlignment="1">
      <alignment horizontal="center" vertical="center" wrapText="1"/>
    </xf>
    <xf numFmtId="168" fontId="0" fillId="0" borderId="26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51" xfId="2" applyNumberFormat="1" applyFont="1" applyBorder="1"/>
    <xf numFmtId="167" fontId="1" fillId="12" borderId="7" xfId="0" applyNumberFormat="1" applyFont="1" applyFill="1" applyBorder="1"/>
    <xf numFmtId="164" fontId="5" fillId="0" borderId="0" xfId="2" applyFont="1" applyBorder="1"/>
    <xf numFmtId="164" fontId="0" fillId="3" borderId="33" xfId="2" applyFont="1" applyFill="1" applyBorder="1"/>
    <xf numFmtId="164" fontId="0" fillId="3" borderId="55" xfId="2" applyFont="1" applyFill="1" applyBorder="1"/>
    <xf numFmtId="164" fontId="0" fillId="3" borderId="7" xfId="2" applyFont="1" applyFill="1" applyBorder="1"/>
    <xf numFmtId="0" fontId="7" fillId="0" borderId="23" xfId="4" quotePrefix="1" applyBorder="1"/>
    <xf numFmtId="166" fontId="0" fillId="0" borderId="61" xfId="2" applyNumberFormat="1" applyFont="1" applyBorder="1"/>
    <xf numFmtId="165" fontId="0" fillId="0" borderId="64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2" fontId="14" fillId="0" borderId="8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0" fillId="5" borderId="29" xfId="0" applyFill="1" applyBorder="1" applyAlignment="1">
      <alignment horizontal="center" vertical="center"/>
    </xf>
    <xf numFmtId="9" fontId="8" fillId="0" borderId="0" xfId="5" applyFont="1"/>
    <xf numFmtId="9" fontId="0" fillId="0" borderId="0" xfId="0" applyNumberFormat="1"/>
    <xf numFmtId="0" fontId="7" fillId="3" borderId="0" xfId="4" applyFill="1" applyBorder="1" applyAlignment="1">
      <alignment vertical="top" wrapText="1"/>
    </xf>
    <xf numFmtId="0" fontId="7" fillId="0" borderId="71" xfId="4" quotePrefix="1" applyBorder="1"/>
    <xf numFmtId="165" fontId="1" fillId="5" borderId="6" xfId="0" applyNumberFormat="1" applyFont="1" applyFill="1" applyBorder="1"/>
    <xf numFmtId="164" fontId="17" fillId="0" borderId="0" xfId="2" applyFont="1"/>
    <xf numFmtId="0" fontId="7" fillId="3" borderId="66" xfId="4" quotePrefix="1" applyFill="1" applyBorder="1" applyAlignment="1"/>
    <xf numFmtId="165" fontId="0" fillId="0" borderId="8" xfId="2" applyNumberFormat="1" applyFont="1" applyFill="1" applyBorder="1"/>
    <xf numFmtId="165" fontId="9" fillId="0" borderId="0" xfId="2" applyNumberFormat="1" applyFont="1"/>
    <xf numFmtId="9" fontId="0" fillId="0" borderId="0" xfId="5" applyFont="1"/>
    <xf numFmtId="164" fontId="9" fillId="3" borderId="23" xfId="0" applyNumberFormat="1" applyFont="1" applyFill="1" applyBorder="1"/>
    <xf numFmtId="165" fontId="9" fillId="12" borderId="33" xfId="2" applyNumberFormat="1" applyFont="1" applyFill="1" applyBorder="1"/>
    <xf numFmtId="167" fontId="1" fillId="3" borderId="35" xfId="2" applyNumberFormat="1" applyFont="1" applyFill="1" applyBorder="1"/>
    <xf numFmtId="168" fontId="9" fillId="0" borderId="6" xfId="2" applyNumberFormat="1" applyFont="1" applyBorder="1"/>
    <xf numFmtId="165" fontId="9" fillId="12" borderId="6" xfId="2" applyNumberFormat="1" applyFont="1" applyFill="1" applyBorder="1"/>
    <xf numFmtId="166" fontId="19" fillId="0" borderId="8" xfId="0" applyNumberFormat="1" applyFont="1" applyBorder="1"/>
    <xf numFmtId="37" fontId="19" fillId="0" borderId="8" xfId="0" applyNumberFormat="1" applyFont="1" applyBorder="1"/>
    <xf numFmtId="0" fontId="1" fillId="6" borderId="12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5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1" fillId="10" borderId="28" xfId="0" applyFont="1" applyFill="1" applyBorder="1" applyAlignment="1">
      <alignment horizontal="center" vertical="center" wrapText="1"/>
    </xf>
    <xf numFmtId="0" fontId="11" fillId="10" borderId="43" xfId="0" applyFont="1" applyFill="1" applyBorder="1" applyAlignment="1">
      <alignment horizontal="center" vertical="center" wrapText="1"/>
    </xf>
    <xf numFmtId="0" fontId="11" fillId="10" borderId="44" xfId="0" applyFont="1" applyFill="1" applyBorder="1" applyAlignment="1">
      <alignment horizontal="center" vertical="center" wrapText="1"/>
    </xf>
    <xf numFmtId="164" fontId="0" fillId="0" borderId="28" xfId="2" applyFont="1" applyBorder="1" applyAlignment="1">
      <alignment horizontal="center" vertical="center" wrapText="1"/>
    </xf>
    <xf numFmtId="164" fontId="0" fillId="0" borderId="43" xfId="2" applyFont="1" applyBorder="1" applyAlignment="1">
      <alignment horizontal="center" vertical="center" wrapText="1"/>
    </xf>
    <xf numFmtId="164" fontId="0" fillId="0" borderId="44" xfId="2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" fillId="8" borderId="40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0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8" xfId="2" applyNumberFormat="1" applyFont="1" applyBorder="1" applyAlignment="1">
      <alignment horizontal="center" vertical="center" wrapText="1"/>
    </xf>
    <xf numFmtId="165" fontId="9" fillId="0" borderId="44" xfId="2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168" fontId="1" fillId="0" borderId="12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17" fontId="6" fillId="3" borderId="65" xfId="0" applyNumberFormat="1" applyFont="1" applyFill="1" applyBorder="1" applyAlignment="1">
      <alignment horizontal="center"/>
    </xf>
    <xf numFmtId="0" fontId="6" fillId="3" borderId="65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1" fillId="10" borderId="8" xfId="0" applyFont="1" applyFill="1" applyBorder="1" applyAlignment="1">
      <alignment horizontal="center" vertical="center" wrapText="1"/>
    </xf>
  </cellXfs>
  <cellStyles count="10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urrency" xfId="1" builtinId="4"/>
    <cellStyle name="Hyperlink" xfId="4" builtinId="8"/>
    <cellStyle name="Hyperlink 2" xfId="7" xr:uid="{00000000-0005-0000-0000-000006000000}"/>
    <cellStyle name="Normal" xfId="0" builtinId="0"/>
    <cellStyle name="Normal 2" xfId="9" xr:uid="{00000000-0005-0000-0000-000008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159668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2"/>
  <sheetViews>
    <sheetView tabSelected="1" workbookViewId="0">
      <selection activeCell="I2" sqref="I2"/>
    </sheetView>
  </sheetViews>
  <sheetFormatPr defaultColWidth="11.5703125" defaultRowHeight="15"/>
  <cols>
    <col min="1" max="1" width="18.42578125" style="189" customWidth="1"/>
    <col min="2" max="2" width="11.5703125" style="190"/>
    <col min="3" max="3" width="11.5703125" style="191"/>
    <col min="4" max="4" width="13.42578125" style="190" customWidth="1"/>
    <col min="5" max="5" width="12.5703125" style="188" customWidth="1"/>
    <col min="6" max="6" width="12.5703125" style="192" customWidth="1"/>
    <col min="7" max="7" width="11.5703125" style="188"/>
    <col min="8" max="8" width="11.5703125" style="192"/>
    <col min="9" max="9" width="11.5703125" style="193"/>
    <col min="10" max="10" width="11.5703125" style="194"/>
    <col min="11" max="11" width="11.5703125" style="188"/>
    <col min="12" max="12" width="11.5703125" style="194"/>
    <col min="13" max="26" width="11.5703125" style="188"/>
  </cols>
  <sheetData>
    <row r="1" spans="1:15" s="182" customFormat="1" ht="60.75">
      <c r="A1" s="178" t="s">
        <v>0</v>
      </c>
      <c r="B1" s="178" t="s">
        <v>1</v>
      </c>
      <c r="C1" s="179" t="s">
        <v>2</v>
      </c>
      <c r="D1" s="178" t="s">
        <v>3</v>
      </c>
      <c r="E1" s="177" t="s">
        <v>4</v>
      </c>
      <c r="F1" s="180" t="s">
        <v>5</v>
      </c>
      <c r="G1" s="177" t="s">
        <v>6</v>
      </c>
      <c r="H1" s="180" t="s">
        <v>7</v>
      </c>
      <c r="I1" s="177" t="s">
        <v>8</v>
      </c>
      <c r="J1" s="180" t="s">
        <v>9</v>
      </c>
      <c r="K1" s="177" t="s">
        <v>10</v>
      </c>
      <c r="L1" s="181" t="s">
        <v>11</v>
      </c>
      <c r="M1" s="177" t="s">
        <v>12</v>
      </c>
      <c r="N1" s="177" t="s">
        <v>13</v>
      </c>
    </row>
    <row r="2" spans="1:15">
      <c r="A2" s="183" t="s">
        <v>14</v>
      </c>
      <c r="B2" s="184">
        <v>1</v>
      </c>
      <c r="C2" s="185">
        <v>12</v>
      </c>
      <c r="D2" s="184">
        <v>2019</v>
      </c>
      <c r="E2" s="186">
        <f>'FS Jimbaran December 2019'!P12</f>
        <v>22739.999999998872</v>
      </c>
      <c r="F2" s="195">
        <f>'FS Jimbaran December 2019'!O12/'FS Jimbaran December 2019'!P12</f>
        <v>1121.8900303429871</v>
      </c>
      <c r="G2" s="186">
        <f>'FS Jimbaran December 2019'!AG12</f>
        <v>116.65087999996716</v>
      </c>
      <c r="H2" s="195">
        <f>'FS Jimbaran December 2019'!AH12/'FS Jimbaran December 2019'!AG12</f>
        <v>9196</v>
      </c>
      <c r="I2" s="186">
        <f>'FS Jimbaran December 2019'!AJ12</f>
        <v>445</v>
      </c>
      <c r="J2" s="187">
        <f>'FS Jimbaran December 2019'!AK12/'FS Jimbaran December 2019'!AJ12</f>
        <v>10300</v>
      </c>
      <c r="K2" s="186">
        <f>'FS Jimbaran December 2019'!V12</f>
        <v>851.73000000000013</v>
      </c>
      <c r="L2" s="195">
        <f>'FS Jimbaran December 2019'!AA12/'FS Jimbaran December 2019'!V12</f>
        <v>1528.8517032392895</v>
      </c>
      <c r="M2" s="186">
        <f>'FS Jimbaran December 2019'!C12</f>
        <v>47</v>
      </c>
      <c r="N2" s="186">
        <f>'FS Jimbaran December 2019'!D12</f>
        <v>403</v>
      </c>
    </row>
    <row r="3" spans="1:15">
      <c r="A3" s="183" t="s">
        <v>14</v>
      </c>
      <c r="B3" s="184">
        <f>B2+1</f>
        <v>2</v>
      </c>
      <c r="C3" s="185">
        <v>12</v>
      </c>
      <c r="D3" s="184">
        <v>2019</v>
      </c>
      <c r="E3" s="186">
        <f>'FS Jimbaran December 2019'!P13</f>
        <v>24280.00000000111</v>
      </c>
      <c r="F3" s="195">
        <f>'FS Jimbaran December 2019'!O13/'FS Jimbaran December 2019'!P13</f>
        <v>1087.2490514826957</v>
      </c>
      <c r="G3" s="186">
        <f>'FS Jimbaran December 2019'!AG13</f>
        <v>137.67016000000467</v>
      </c>
      <c r="H3" s="195">
        <f>'FS Jimbaran December 2019'!AH13/'FS Jimbaran December 2019'!AG13</f>
        <v>9619.4468820258371</v>
      </c>
      <c r="I3" s="186">
        <f>'FS Jimbaran December 2019'!AJ13</f>
        <v>398.39999999999418</v>
      </c>
      <c r="J3" s="187">
        <f>'FS Jimbaran December 2019'!AK13/'FS Jimbaran December 2019'!AJ13</f>
        <v>10300</v>
      </c>
      <c r="K3" s="186">
        <f>'FS Jimbaran December 2019'!V13</f>
        <v>830.36999999999989</v>
      </c>
      <c r="L3" s="195">
        <f>'FS Jimbaran December 2019'!AA13/'FS Jimbaran December 2019'!V13</f>
        <v>1757.3242658092179</v>
      </c>
      <c r="M3" s="186">
        <f>'FS Jimbaran December 2019'!C13</f>
        <v>39</v>
      </c>
      <c r="N3" s="186">
        <f>'FS Jimbaran December 2019'!D13</f>
        <v>293</v>
      </c>
    </row>
    <row r="4" spans="1:15">
      <c r="A4" s="183" t="s">
        <v>14</v>
      </c>
      <c r="B4" s="184">
        <f t="shared" ref="B4:B31" si="0">B3+1</f>
        <v>3</v>
      </c>
      <c r="C4" s="185">
        <v>12</v>
      </c>
      <c r="D4" s="184">
        <v>2019</v>
      </c>
      <c r="E4" s="186">
        <f>'FS Jimbaran December 2019'!P14</f>
        <v>24499.999999999545</v>
      </c>
      <c r="F4" s="195">
        <f>'FS Jimbaran December 2019'!O14/'FS Jimbaran December 2019'!P14</f>
        <v>1095.9313381224654</v>
      </c>
      <c r="G4" s="186">
        <f>'FS Jimbaran December 2019'!AG14</f>
        <v>299.39508000000234</v>
      </c>
      <c r="H4" s="195">
        <f>'FS Jimbaran December 2019'!AH14/'FS Jimbaran December 2019'!AG14</f>
        <v>9941.6635559943006</v>
      </c>
      <c r="I4" s="186">
        <f>'FS Jimbaran December 2019'!AJ14</f>
        <v>326.10000000000036</v>
      </c>
      <c r="J4" s="187">
        <f>'FS Jimbaran December 2019'!AK14/'FS Jimbaran December 2019'!AJ14</f>
        <v>10300</v>
      </c>
      <c r="K4" s="186">
        <f>'FS Jimbaran December 2019'!V14</f>
        <v>923.81999999999994</v>
      </c>
      <c r="L4" s="195">
        <f>'FS Jimbaran December 2019'!AA14/'FS Jimbaran December 2019'!V14</f>
        <v>1417.7498073217728</v>
      </c>
      <c r="M4" s="186">
        <f>'FS Jimbaran December 2019'!C14</f>
        <v>46</v>
      </c>
      <c r="N4" s="186">
        <f>'FS Jimbaran December 2019'!D14</f>
        <v>261</v>
      </c>
    </row>
    <row r="5" spans="1:15">
      <c r="A5" s="183" t="s">
        <v>14</v>
      </c>
      <c r="B5" s="184">
        <f t="shared" si="0"/>
        <v>4</v>
      </c>
      <c r="C5" s="185">
        <v>12</v>
      </c>
      <c r="D5" s="184">
        <v>2019</v>
      </c>
      <c r="E5" s="186">
        <f>'FS Jimbaran December 2019'!P15</f>
        <v>25500.000000000909</v>
      </c>
      <c r="F5" s="195">
        <f>'FS Jimbaran December 2019'!O15/'FS Jimbaran December 2019'!P15</f>
        <v>1072.986842352931</v>
      </c>
      <c r="G5" s="186">
        <f>'FS Jimbaran December 2019'!AG15</f>
        <v>0</v>
      </c>
      <c r="H5" s="195" t="e">
        <f>'FS Jimbaran December 2019'!AH15/'FS Jimbaran December 2019'!AG15</f>
        <v>#DIV/0!</v>
      </c>
      <c r="I5" s="186">
        <f>'FS Jimbaran December 2019'!AJ15</f>
        <v>428.39999999999964</v>
      </c>
      <c r="J5" s="187">
        <f>'FS Jimbaran December 2019'!AK15/'FS Jimbaran December 2019'!AJ15</f>
        <v>10300</v>
      </c>
      <c r="K5" s="186">
        <f>'FS Jimbaran December 2019'!V15</f>
        <v>890.8900000000001</v>
      </c>
      <c r="L5" s="195">
        <f>'FS Jimbaran December 2019'!AA15/'FS Jimbaran December 2019'!V15</f>
        <v>3054.6365034965033</v>
      </c>
      <c r="M5" s="186">
        <f>'FS Jimbaran December 2019'!C15</f>
        <v>48</v>
      </c>
      <c r="N5" s="186">
        <f>'FS Jimbaran December 2019'!D15</f>
        <v>294</v>
      </c>
    </row>
    <row r="6" spans="1:15">
      <c r="A6" s="183" t="s">
        <v>14</v>
      </c>
      <c r="B6" s="184">
        <f t="shared" si="0"/>
        <v>5</v>
      </c>
      <c r="C6" s="185">
        <v>12</v>
      </c>
      <c r="D6" s="184">
        <v>2019</v>
      </c>
      <c r="E6" s="186">
        <f>'FS Jimbaran December 2019'!P16</f>
        <v>25959.999999997992</v>
      </c>
      <c r="F6" s="195">
        <f>'FS Jimbaran December 2019'!O16/'FS Jimbaran December 2019'!P16</f>
        <v>1101.2344333590374</v>
      </c>
      <c r="G6" s="186">
        <f>'FS Jimbaran December 2019'!AG16</f>
        <v>433.7033200000094</v>
      </c>
      <c r="H6" s="195">
        <f>'FS Jimbaran December 2019'!AH16/'FS Jimbaran December 2019'!AG16</f>
        <v>10210.730530538687</v>
      </c>
      <c r="I6" s="186">
        <f>'FS Jimbaran December 2019'!AJ16</f>
        <v>632.10000000000582</v>
      </c>
      <c r="J6" s="187">
        <f>'FS Jimbaran December 2019'!AK16/'FS Jimbaran December 2019'!AJ16</f>
        <v>10300</v>
      </c>
      <c r="K6" s="186">
        <f>'FS Jimbaran December 2019'!V16</f>
        <v>894.45</v>
      </c>
      <c r="L6" s="195">
        <f>'FS Jimbaran December 2019'!AA16/'FS Jimbaran December 2019'!V16</f>
        <v>844.78919402985071</v>
      </c>
      <c r="M6" s="186">
        <f>'FS Jimbaran December 2019'!C16</f>
        <v>49</v>
      </c>
      <c r="N6" s="186">
        <f>'FS Jimbaran December 2019'!D16</f>
        <v>356</v>
      </c>
    </row>
    <row r="7" spans="1:15">
      <c r="A7" s="183" t="s">
        <v>14</v>
      </c>
      <c r="B7" s="184">
        <f t="shared" si="0"/>
        <v>6</v>
      </c>
      <c r="C7" s="185">
        <v>12</v>
      </c>
      <c r="D7" s="184">
        <v>2019</v>
      </c>
      <c r="E7" s="186">
        <f>'FS Jimbaran December 2019'!P17</f>
        <v>27159.999999999854</v>
      </c>
      <c r="F7" s="195">
        <f>'FS Jimbaran December 2019'!O17/'FS Jimbaran December 2019'!P17</f>
        <v>1094.414453240061</v>
      </c>
      <c r="G7" s="186">
        <f>'FS Jimbaran December 2019'!AG17</f>
        <v>133.08511999997418</v>
      </c>
      <c r="H7" s="195">
        <f>'FS Jimbaran December 2019'!AH17/'FS Jimbaran December 2019'!AG17</f>
        <v>9196</v>
      </c>
      <c r="I7" s="186">
        <f>'FS Jimbaran December 2019'!AJ17</f>
        <v>449.21999999999935</v>
      </c>
      <c r="J7" s="187">
        <f>'FS Jimbaran December 2019'!AK17/'FS Jimbaran December 2019'!AJ17</f>
        <v>10300</v>
      </c>
      <c r="K7" s="186">
        <f>'FS Jimbaran December 2019'!V17</f>
        <v>949.63</v>
      </c>
      <c r="L7" s="195">
        <f>'FS Jimbaran December 2019'!AA17/'FS Jimbaran December 2019'!V17</f>
        <v>1354.4174695407685</v>
      </c>
      <c r="M7" s="186">
        <f>'FS Jimbaran December 2019'!C17</f>
        <v>71</v>
      </c>
      <c r="N7" s="186">
        <f>'FS Jimbaran December 2019'!D17</f>
        <v>452</v>
      </c>
    </row>
    <row r="8" spans="1:15">
      <c r="A8" s="183" t="s">
        <v>14</v>
      </c>
      <c r="B8" s="184">
        <f t="shared" si="0"/>
        <v>7</v>
      </c>
      <c r="C8" s="185">
        <v>12</v>
      </c>
      <c r="D8" s="184">
        <v>2019</v>
      </c>
      <c r="E8" s="186">
        <f>'FS Jimbaran December 2019'!P18</f>
        <v>28220.000000000255</v>
      </c>
      <c r="F8" s="195">
        <f>'FS Jimbaran December 2019'!O18/'FS Jimbaran December 2019'!P18</f>
        <v>1083.788513111261</v>
      </c>
      <c r="G8" s="186">
        <f>'FS Jimbaran December 2019'!AG18</f>
        <v>316.51064000001873</v>
      </c>
      <c r="H8" s="195">
        <f>'FS Jimbaran December 2019'!AH18/'FS Jimbaran December 2019'!AG18</f>
        <v>9993.4329077846651</v>
      </c>
      <c r="I8" s="186">
        <f>'FS Jimbaran December 2019'!AJ18</f>
        <v>359.38000000000102</v>
      </c>
      <c r="J8" s="187">
        <f>'FS Jimbaran December 2019'!AK18/'FS Jimbaran December 2019'!AJ18</f>
        <v>10300</v>
      </c>
      <c r="K8" s="186">
        <f>'FS Jimbaran December 2019'!V18</f>
        <v>906.02</v>
      </c>
      <c r="L8" s="195">
        <f>'FS Jimbaran December 2019'!AA18/'FS Jimbaran December 2019'!V18</f>
        <v>1586.9547151277015</v>
      </c>
      <c r="M8" s="186">
        <f>'FS Jimbaran December 2019'!C18</f>
        <v>82</v>
      </c>
      <c r="N8" s="186">
        <f>'FS Jimbaran December 2019'!D18</f>
        <v>572</v>
      </c>
    </row>
    <row r="9" spans="1:15">
      <c r="A9" s="183" t="s">
        <v>14</v>
      </c>
      <c r="B9" s="184">
        <f t="shared" si="0"/>
        <v>8</v>
      </c>
      <c r="C9" s="185">
        <v>12</v>
      </c>
      <c r="D9" s="184">
        <v>2019</v>
      </c>
      <c r="E9" s="186">
        <f>'FS Jimbaran December 2019'!P19</f>
        <v>26100.000000001273</v>
      </c>
      <c r="F9" s="195">
        <f>'FS Jimbaran December 2019'!O19/'FS Jimbaran December 2019'!P19</f>
        <v>1099.4149896551644</v>
      </c>
      <c r="G9" s="186">
        <f>'FS Jimbaran December 2019'!AG19</f>
        <v>132.03440000001171</v>
      </c>
      <c r="H9" s="195">
        <f>'FS Jimbaran December 2019'!AH19/'FS Jimbaran December 2019'!AG19</f>
        <v>9416.7606502547624</v>
      </c>
      <c r="I9" s="186">
        <f>'FS Jimbaran December 2019'!AJ19</f>
        <v>388.5</v>
      </c>
      <c r="J9" s="187">
        <f>'FS Jimbaran December 2019'!AK19/'FS Jimbaran December 2019'!AJ19</f>
        <v>10300</v>
      </c>
      <c r="K9" s="186">
        <f>'FS Jimbaran December 2019'!V19</f>
        <v>895.34</v>
      </c>
      <c r="L9" s="195">
        <f>'FS Jimbaran December 2019'!AA19/'FS Jimbaran December 2019'!V19</f>
        <v>1026.6489662027832</v>
      </c>
      <c r="M9" s="186">
        <f>'FS Jimbaran December 2019'!C19</f>
        <v>35</v>
      </c>
      <c r="N9" s="186">
        <f>'FS Jimbaran December 2019'!D19</f>
        <v>487</v>
      </c>
      <c r="O9" s="188" t="s">
        <v>15</v>
      </c>
    </row>
    <row r="10" spans="1:15">
      <c r="A10" s="183" t="s">
        <v>14</v>
      </c>
      <c r="B10" s="184">
        <f t="shared" si="0"/>
        <v>9</v>
      </c>
      <c r="C10" s="185">
        <v>12</v>
      </c>
      <c r="D10" s="184">
        <v>2019</v>
      </c>
      <c r="E10" s="186">
        <f>'FS Jimbaran December 2019'!P20</f>
        <v>25479.999999998654</v>
      </c>
      <c r="F10" s="195">
        <f>'FS Jimbaran December 2019'!O20/'FS Jimbaran December 2019'!P20</f>
        <v>1107.4675208006392</v>
      </c>
      <c r="G10" s="186">
        <f>'FS Jimbaran December 2019'!AG20</f>
        <v>132.2357999999648</v>
      </c>
      <c r="H10" s="195">
        <f>'FS Jimbaran December 2019'!AH20/'FS Jimbaran December 2019'!AG20</f>
        <v>9416.4244236432787</v>
      </c>
      <c r="I10" s="186">
        <f>'FS Jimbaran December 2019'!AJ20</f>
        <v>424</v>
      </c>
      <c r="J10" s="187">
        <f>'FS Jimbaran December 2019'!AK20/'FS Jimbaran December 2019'!AJ20</f>
        <v>10300</v>
      </c>
      <c r="K10" s="186">
        <f>'FS Jimbaran December 2019'!V20</f>
        <v>874.87</v>
      </c>
      <c r="L10" s="195">
        <f>'FS Jimbaran December 2019'!AA20/'FS Jimbaran December 2019'!V20</f>
        <v>1398.0146083418108</v>
      </c>
      <c r="M10" s="186">
        <f>'FS Jimbaran December 2019'!C20</f>
        <v>24</v>
      </c>
      <c r="N10" s="186">
        <f>'FS Jimbaran December 2019'!D20</f>
        <v>275</v>
      </c>
    </row>
    <row r="11" spans="1:15">
      <c r="A11" s="183" t="s">
        <v>14</v>
      </c>
      <c r="B11" s="184">
        <f t="shared" si="0"/>
        <v>10</v>
      </c>
      <c r="C11" s="185">
        <v>12</v>
      </c>
      <c r="D11" s="184">
        <v>2019</v>
      </c>
      <c r="E11" s="186">
        <f>'FS Jimbaran December 2019'!P21</f>
        <v>25380.000000000564</v>
      </c>
      <c r="F11" s="195">
        <f>'FS Jimbaran December 2019'!O21/'FS Jimbaran December 2019'!P21</f>
        <v>1106.4644349881485</v>
      </c>
      <c r="G11" s="186">
        <f>'FS Jimbaran December 2019'!AG21</f>
        <v>389.00284000005388</v>
      </c>
      <c r="H11" s="195">
        <f>'FS Jimbaran December 2019'!AH21/'FS Jimbaran December 2019'!AG21</f>
        <v>10102.543510067822</v>
      </c>
      <c r="I11" s="186">
        <f>'FS Jimbaran December 2019'!AJ21</f>
        <v>289.89999999999782</v>
      </c>
      <c r="J11" s="187">
        <f>'FS Jimbaran December 2019'!AK21/'FS Jimbaran December 2019'!AJ21</f>
        <v>10300</v>
      </c>
      <c r="K11" s="186">
        <f>'FS Jimbaran December 2019'!V21</f>
        <v>946.95999999999992</v>
      </c>
      <c r="L11" s="195">
        <f>'FS Jimbaran December 2019'!AA21/'FS Jimbaran December 2019'!V21</f>
        <v>445.51678571428579</v>
      </c>
      <c r="M11" s="186">
        <f>'FS Jimbaran December 2019'!C21</f>
        <v>28</v>
      </c>
      <c r="N11" s="186">
        <f>'FS Jimbaran December 2019'!D21</f>
        <v>188</v>
      </c>
    </row>
    <row r="12" spans="1:15">
      <c r="A12" s="183" t="s">
        <v>14</v>
      </c>
      <c r="B12" s="184">
        <f t="shared" si="0"/>
        <v>11</v>
      </c>
      <c r="C12" s="185">
        <v>12</v>
      </c>
      <c r="D12" s="184">
        <v>2019</v>
      </c>
      <c r="E12" s="186">
        <f>'FS Jimbaran December 2019'!P22</f>
        <v>26119.999999999665</v>
      </c>
      <c r="F12" s="195">
        <f>'FS Jimbaran December 2019'!O22/'FS Jimbaran December 2019'!P22</f>
        <v>1097.5818043644922</v>
      </c>
      <c r="G12" s="186">
        <f>'FS Jimbaran December 2019'!AG22</f>
        <v>117.33563999996014</v>
      </c>
      <c r="H12" s="195">
        <f>'FS Jimbaran December 2019'!AH22/'FS Jimbaran December 2019'!AG22</f>
        <v>9195.9999999999982</v>
      </c>
      <c r="I12" s="186">
        <f>'FS Jimbaran December 2019'!AJ22</f>
        <v>454.70000000000073</v>
      </c>
      <c r="J12" s="187">
        <f>'FS Jimbaran December 2019'!AK22/'FS Jimbaran December 2019'!AJ22</f>
        <v>10300</v>
      </c>
      <c r="K12" s="186">
        <f>'FS Jimbaran December 2019'!V22</f>
        <v>849.95</v>
      </c>
      <c r="L12" s="195">
        <f>'FS Jimbaran December 2019'!AA22/'FS Jimbaran December 2019'!V22</f>
        <v>2069.487120418848</v>
      </c>
      <c r="M12" s="186">
        <f>'FS Jimbaran December 2019'!C22</f>
        <v>73</v>
      </c>
      <c r="N12" s="186">
        <f>'FS Jimbaran December 2019'!D22</f>
        <v>240</v>
      </c>
    </row>
    <row r="13" spans="1:15">
      <c r="A13" s="183" t="s">
        <v>14</v>
      </c>
      <c r="B13" s="184">
        <f t="shared" si="0"/>
        <v>12</v>
      </c>
      <c r="C13" s="185">
        <v>12</v>
      </c>
      <c r="D13" s="184">
        <v>2019</v>
      </c>
      <c r="E13" s="186">
        <f>'FS Jimbaran December 2019'!P23</f>
        <v>27360.000000000127</v>
      </c>
      <c r="F13" s="195">
        <f>'FS Jimbaran December 2019'!O23/'FS Jimbaran December 2019'!P23</f>
        <v>1094.9322752192852</v>
      </c>
      <c r="G13" s="186">
        <f>'FS Jimbaran December 2019'!AG23</f>
        <v>137.63332000000935</v>
      </c>
      <c r="H13" s="195">
        <f>'FS Jimbaran December 2019'!AH23/'FS Jimbaran December 2019'!AG23</f>
        <v>9407.7801125483147</v>
      </c>
      <c r="I13" s="186">
        <f>'FS Jimbaran December 2019'!AJ23</f>
        <v>639.60000000000218</v>
      </c>
      <c r="J13" s="187">
        <f>'FS Jimbaran December 2019'!AK23/'FS Jimbaran December 2019'!AJ23</f>
        <v>10300</v>
      </c>
      <c r="K13" s="186">
        <f>'FS Jimbaran December 2019'!V23</f>
        <v>887.33</v>
      </c>
      <c r="L13" s="195">
        <f>'FS Jimbaran December 2019'!AA23/'FS Jimbaran December 2019'!V23</f>
        <v>1433.6049147442329</v>
      </c>
      <c r="M13" s="186">
        <f>'FS Jimbaran December 2019'!C23</f>
        <v>78</v>
      </c>
      <c r="N13" s="186">
        <f>'FS Jimbaran December 2019'!D23</f>
        <v>408</v>
      </c>
    </row>
    <row r="14" spans="1:15">
      <c r="A14" s="183" t="s">
        <v>14</v>
      </c>
      <c r="B14" s="184">
        <f t="shared" si="0"/>
        <v>13</v>
      </c>
      <c r="C14" s="185">
        <v>12</v>
      </c>
      <c r="D14" s="184">
        <v>2019</v>
      </c>
      <c r="E14" s="186">
        <f>'FS Jimbaran December 2019'!P24</f>
        <v>25820.000000001073</v>
      </c>
      <c r="F14" s="195">
        <f>'FS Jimbaran December 2019'!O24/'FS Jimbaran December 2019'!P24</f>
        <v>1084.7408632842985</v>
      </c>
      <c r="G14" s="186">
        <f>'FS Jimbaran December 2019'!AG24</f>
        <v>133.52475999999297</v>
      </c>
      <c r="H14" s="195">
        <f>'FS Jimbaran December 2019'!AH24/'FS Jimbaran December 2019'!AG24</f>
        <v>9414.2965915834739</v>
      </c>
      <c r="I14" s="186">
        <f>'FS Jimbaran December 2019'!AJ24</f>
        <v>389.79999999999927</v>
      </c>
      <c r="J14" s="187">
        <f>'FS Jimbaran December 2019'!AK24/'FS Jimbaran December 2019'!AJ24</f>
        <v>10300</v>
      </c>
      <c r="K14" s="186">
        <f>'FS Jimbaran December 2019'!V24</f>
        <v>861.5200000000001</v>
      </c>
      <c r="L14" s="195">
        <f>'FS Jimbaran December 2019'!AA24/'FS Jimbaran December 2019'!V24</f>
        <v>452.4351859504132</v>
      </c>
      <c r="M14" s="186">
        <f>'FS Jimbaran December 2019'!C24</f>
        <v>43</v>
      </c>
      <c r="N14" s="186">
        <f>'FS Jimbaran December 2019'!D24</f>
        <v>433</v>
      </c>
    </row>
    <row r="15" spans="1:15">
      <c r="A15" s="183" t="s">
        <v>14</v>
      </c>
      <c r="B15" s="184">
        <f t="shared" si="0"/>
        <v>14</v>
      </c>
      <c r="C15" s="185">
        <v>12</v>
      </c>
      <c r="D15" s="184">
        <v>2019</v>
      </c>
      <c r="E15" s="186">
        <f>'FS Jimbaran December 2019'!P25</f>
        <v>25160.000000000309</v>
      </c>
      <c r="F15" s="195">
        <f>'FS Jimbaran December 2019'!O25/'FS Jimbaran December 2019'!P25</f>
        <v>1105.4152094594565</v>
      </c>
      <c r="G15" s="186">
        <f>'FS Jimbaran December 2019'!AG25</f>
        <v>139.19736000003985</v>
      </c>
      <c r="H15" s="195">
        <f>'FS Jimbaran December 2019'!AH25/'FS Jimbaran December 2019'!AG25</f>
        <v>9824.201569339928</v>
      </c>
      <c r="I15" s="186">
        <f>'FS Jimbaran December 2019'!AJ25</f>
        <v>414.29999999997744</v>
      </c>
      <c r="J15" s="187">
        <f>'FS Jimbaran December 2019'!AK25/'FS Jimbaran December 2019'!AJ25</f>
        <v>10300.000000000002</v>
      </c>
      <c r="K15" s="186">
        <f>'FS Jimbaran December 2019'!V25</f>
        <v>825.92</v>
      </c>
      <c r="L15" s="195">
        <f>'FS Jimbaran December 2019'!AA25/'FS Jimbaran December 2019'!V25</f>
        <v>381.82058189655174</v>
      </c>
      <c r="M15" s="186">
        <f>'FS Jimbaran December 2019'!C25</f>
        <v>43</v>
      </c>
      <c r="N15" s="186">
        <f>'FS Jimbaran December 2019'!D25</f>
        <v>332</v>
      </c>
    </row>
    <row r="16" spans="1:15">
      <c r="A16" s="183" t="s">
        <v>14</v>
      </c>
      <c r="B16" s="184">
        <f t="shared" si="0"/>
        <v>15</v>
      </c>
      <c r="C16" s="185">
        <v>12</v>
      </c>
      <c r="D16" s="184">
        <v>2019</v>
      </c>
      <c r="E16" s="186">
        <f>'FS Jimbaran December 2019'!P26</f>
        <v>23859.999999998308</v>
      </c>
      <c r="F16" s="195">
        <f>'FS Jimbaran December 2019'!O26/'FS Jimbaran December 2019'!P26</f>
        <v>1086.6573746856704</v>
      </c>
      <c r="G16" s="186">
        <f>'FS Jimbaran December 2019'!AG26</f>
        <v>277.88555999995776</v>
      </c>
      <c r="H16" s="195">
        <f>'FS Jimbaran December 2019'!AH26/'FS Jimbaran December 2019'!AG26</f>
        <v>9999.3810752888148</v>
      </c>
      <c r="I16" s="186">
        <f>'FS Jimbaran December 2019'!AJ26</f>
        <v>401.69999999999709</v>
      </c>
      <c r="J16" s="187">
        <f>'FS Jimbaran December 2019'!AK26/'FS Jimbaran December 2019'!AJ26</f>
        <v>10300</v>
      </c>
      <c r="K16" s="186">
        <f>'FS Jimbaran December 2019'!V26</f>
        <v>815.24000000000012</v>
      </c>
      <c r="L16" s="195">
        <f>'FS Jimbaran December 2019'!AA26/'FS Jimbaran December 2019'!V26</f>
        <v>792.01447598253276</v>
      </c>
      <c r="M16" s="186">
        <f>'FS Jimbaran December 2019'!C26</f>
        <v>37</v>
      </c>
      <c r="N16" s="186">
        <f>'FS Jimbaran December 2019'!D26</f>
        <v>325</v>
      </c>
    </row>
    <row r="17" spans="1:14">
      <c r="A17" s="183" t="s">
        <v>14</v>
      </c>
      <c r="B17" s="184">
        <f t="shared" si="0"/>
        <v>16</v>
      </c>
      <c r="C17" s="185">
        <v>12</v>
      </c>
      <c r="D17" s="184">
        <v>2019</v>
      </c>
      <c r="E17" s="186">
        <f>'FS Jimbaran December 2019'!P27</f>
        <v>22700.000000001637</v>
      </c>
      <c r="F17" s="195">
        <f>'FS Jimbaran December 2019'!O27/'FS Jimbaran December 2019'!P27</f>
        <v>1083.120165198216</v>
      </c>
      <c r="G17" s="186">
        <f>'FS Jimbaran December 2019'!AG27</f>
        <v>126.79799999999999</v>
      </c>
      <c r="H17" s="195">
        <f>'FS Jimbaran December 2019'!AH27/'FS Jimbaran December 2019'!AG27</f>
        <v>9425.8774428618744</v>
      </c>
      <c r="I17" s="186">
        <f>'FS Jimbaran December 2019'!AJ27</f>
        <v>396.39000000000306</v>
      </c>
      <c r="J17" s="187">
        <f>'FS Jimbaran December 2019'!AK27/'FS Jimbaran December 2019'!AJ27</f>
        <v>10300</v>
      </c>
      <c r="K17" s="186">
        <f>'FS Jimbaran December 2019'!V27</f>
        <v>769.85000000000014</v>
      </c>
      <c r="L17" s="195">
        <f>'FS Jimbaran December 2019'!AA27/'FS Jimbaran December 2019'!V27</f>
        <v>1348.2744508670517</v>
      </c>
      <c r="M17" s="186">
        <f>'FS Jimbaran December 2019'!C27</f>
        <v>31</v>
      </c>
      <c r="N17" s="186">
        <f>'FS Jimbaran December 2019'!D27</f>
        <v>249</v>
      </c>
    </row>
    <row r="18" spans="1:14">
      <c r="A18" s="183" t="s">
        <v>14</v>
      </c>
      <c r="B18" s="184">
        <f t="shared" si="0"/>
        <v>17</v>
      </c>
      <c r="C18" s="185">
        <v>12</v>
      </c>
      <c r="D18" s="184">
        <v>2019</v>
      </c>
      <c r="E18" s="186">
        <f>'FS Jimbaran December 2019'!P28</f>
        <v>23819.999999999709</v>
      </c>
      <c r="F18" s="195">
        <f>'FS Jimbaran December 2019'!O28/'FS Jimbaran December 2019'!P28</f>
        <v>1080.916005037788</v>
      </c>
      <c r="G18" s="186">
        <f>'FS Jimbaran December 2019'!AG28</f>
        <v>128.41264000001874</v>
      </c>
      <c r="H18" s="195">
        <f>'FS Jimbaran December 2019'!AH28/'FS Jimbaran December 2019'!AG28</f>
        <v>9196</v>
      </c>
      <c r="I18" s="186">
        <f>'FS Jimbaran December 2019'!AJ28</f>
        <v>337.5099999999984</v>
      </c>
      <c r="J18" s="187">
        <f>'FS Jimbaran December 2019'!AK28/'FS Jimbaran December 2019'!AJ28</f>
        <v>10300</v>
      </c>
      <c r="K18" s="186">
        <f>'FS Jimbaran December 2019'!V28</f>
        <v>884.66</v>
      </c>
      <c r="L18" s="195">
        <f>'FS Jimbaran December 2019'!AA28/'FS Jimbaran December 2019'!V28</f>
        <v>840.46219315895382</v>
      </c>
      <c r="M18" s="186">
        <f>'FS Jimbaran December 2019'!C28</f>
        <v>54</v>
      </c>
      <c r="N18" s="186">
        <f>'FS Jimbaran December 2019'!D28</f>
        <v>260</v>
      </c>
    </row>
    <row r="19" spans="1:14">
      <c r="A19" s="183" t="s">
        <v>14</v>
      </c>
      <c r="B19" s="184">
        <f t="shared" si="0"/>
        <v>18</v>
      </c>
      <c r="C19" s="185">
        <v>12</v>
      </c>
      <c r="D19" s="184">
        <v>2019</v>
      </c>
      <c r="E19" s="186">
        <f>'FS Jimbaran December 2019'!P29</f>
        <v>25779.999999998836</v>
      </c>
      <c r="F19" s="195">
        <f>'FS Jimbaran December 2019'!O29/'FS Jimbaran December 2019'!P29</f>
        <v>1104.1221947245929</v>
      </c>
      <c r="G19" s="186">
        <f>'FS Jimbaran December 2019'!AG29</f>
        <v>119.71216000000467</v>
      </c>
      <c r="H19" s="195">
        <f>'FS Jimbaran December 2019'!AH29/'FS Jimbaran December 2019'!AG29</f>
        <v>9196</v>
      </c>
      <c r="I19" s="186">
        <f>'FS Jimbaran December 2019'!AJ29</f>
        <v>457.59999999999854</v>
      </c>
      <c r="J19" s="187">
        <f>'FS Jimbaran December 2019'!AK29/'FS Jimbaran December 2019'!AJ29</f>
        <v>10300</v>
      </c>
      <c r="K19" s="186">
        <f>'FS Jimbaran December 2019'!V29</f>
        <v>852.62</v>
      </c>
      <c r="L19" s="195">
        <f>'FS Jimbaran December 2019'!AA29/'FS Jimbaran December 2019'!V29</f>
        <v>805.57590814196249</v>
      </c>
      <c r="M19" s="186">
        <f>'FS Jimbaran December 2019'!C29</f>
        <v>72</v>
      </c>
      <c r="N19" s="186">
        <f>'FS Jimbaran December 2019'!D29</f>
        <v>419</v>
      </c>
    </row>
    <row r="20" spans="1:14">
      <c r="A20" s="183" t="s">
        <v>14</v>
      </c>
      <c r="B20" s="184">
        <f t="shared" si="0"/>
        <v>19</v>
      </c>
      <c r="C20" s="185">
        <v>12</v>
      </c>
      <c r="D20" s="184">
        <v>2019</v>
      </c>
      <c r="E20" s="186">
        <f>'FS Jimbaran December 2019'!P30</f>
        <v>27939.9999999996</v>
      </c>
      <c r="F20" s="195">
        <f>'FS Jimbaran December 2019'!O30/'FS Jimbaran December 2019'!P30</f>
        <v>1096.67007337153</v>
      </c>
      <c r="G20" s="186">
        <f>'FS Jimbaran December 2019'!AG30</f>
        <v>289.24451999998593</v>
      </c>
      <c r="H20" s="195">
        <f>'FS Jimbaran December 2019'!AH30/'FS Jimbaran December 2019'!AG30</f>
        <v>9967.8313902714945</v>
      </c>
      <c r="I20" s="186">
        <f>'FS Jimbaran December 2019'!AJ30</f>
        <v>672.25000000000728</v>
      </c>
      <c r="J20" s="187">
        <f>'FS Jimbaran December 2019'!AK30/'FS Jimbaran December 2019'!AJ30</f>
        <v>10300</v>
      </c>
      <c r="K20" s="186">
        <f>'FS Jimbaran December 2019'!V30</f>
        <v>890.89</v>
      </c>
      <c r="L20" s="195">
        <f>'FS Jimbaran December 2019'!AA30/'FS Jimbaran December 2019'!V30</f>
        <v>998.28965034965029</v>
      </c>
      <c r="M20" s="186">
        <f>'FS Jimbaran December 2019'!C30</f>
        <v>73</v>
      </c>
      <c r="N20" s="186">
        <f>'FS Jimbaran December 2019'!D30</f>
        <v>540</v>
      </c>
    </row>
    <row r="21" spans="1:14">
      <c r="A21" s="183" t="s">
        <v>14</v>
      </c>
      <c r="B21" s="184">
        <f t="shared" si="0"/>
        <v>20</v>
      </c>
      <c r="C21" s="185">
        <v>12</v>
      </c>
      <c r="D21" s="184">
        <v>2019</v>
      </c>
      <c r="E21" s="186">
        <f>'FS Jimbaran December 2019'!P31</f>
        <v>28040.000000000418</v>
      </c>
      <c r="F21" s="195">
        <f>'FS Jimbaran December 2019'!O31/'FS Jimbaran December 2019'!P31</f>
        <v>1100.7194165477727</v>
      </c>
      <c r="G21" s="186">
        <f>'FS Jimbaran December 2019'!AG31</f>
        <v>139.76816000000468</v>
      </c>
      <c r="H21" s="195">
        <f>'FS Jimbaran December 2019'!AH31/'FS Jimbaran December 2019'!AG31</f>
        <v>9404.5453511014148</v>
      </c>
      <c r="I21" s="186">
        <f>'FS Jimbaran December 2019'!AJ31</f>
        <v>444.83000000000175</v>
      </c>
      <c r="J21" s="187">
        <f>'FS Jimbaran December 2019'!AK31/'FS Jimbaran December 2019'!AJ31</f>
        <v>10300</v>
      </c>
      <c r="K21" s="186">
        <f>'FS Jimbaran December 2019'!V31</f>
        <v>897.12</v>
      </c>
      <c r="L21" s="195">
        <f>'FS Jimbaran December 2019'!AA31/'FS Jimbaran December 2019'!V31</f>
        <v>547.49345238095248</v>
      </c>
      <c r="M21" s="186">
        <f>'FS Jimbaran December 2019'!C31</f>
        <v>76</v>
      </c>
      <c r="N21" s="186">
        <f>'FS Jimbaran December 2019'!D31</f>
        <v>566</v>
      </c>
    </row>
    <row r="22" spans="1:14">
      <c r="A22" s="183" t="s">
        <v>14</v>
      </c>
      <c r="B22" s="184">
        <f t="shared" si="0"/>
        <v>21</v>
      </c>
      <c r="C22" s="185">
        <v>12</v>
      </c>
      <c r="D22" s="184">
        <v>2019</v>
      </c>
      <c r="E22" s="186">
        <f>'FS Jimbaran December 2019'!P32</f>
        <v>29200.000000000273</v>
      </c>
      <c r="F22" s="195">
        <f>'FS Jimbaran December 2019'!O32/'FS Jimbaran December 2019'!P32</f>
        <v>1118.6601359589217</v>
      </c>
      <c r="G22" s="186">
        <f>'FS Jimbaran December 2019'!AG32</f>
        <v>306.48091999999764</v>
      </c>
      <c r="H22" s="195">
        <f>'FS Jimbaran December 2019'!AH32/'FS Jimbaran December 2019'!AG32</f>
        <v>10019.529242864455</v>
      </c>
      <c r="I22" s="186">
        <f>'FS Jimbaran December 2019'!AJ32</f>
        <v>950.36999999998807</v>
      </c>
      <c r="J22" s="187">
        <f>'FS Jimbaran December 2019'!AK32/'FS Jimbaran December 2019'!AJ32</f>
        <v>10300</v>
      </c>
      <c r="K22" s="186">
        <f>'FS Jimbaran December 2019'!V32</f>
        <v>896.23</v>
      </c>
      <c r="L22" s="195">
        <f>'FS Jimbaran December 2019'!AA32/'FS Jimbaran December 2019'!V32</f>
        <v>1145.3726514399207</v>
      </c>
      <c r="M22" s="186">
        <f>'FS Jimbaran December 2019'!C32</f>
        <v>82</v>
      </c>
      <c r="N22" s="186">
        <f>'FS Jimbaran December 2019'!D32</f>
        <v>603</v>
      </c>
    </row>
    <row r="23" spans="1:14">
      <c r="A23" s="183" t="s">
        <v>14</v>
      </c>
      <c r="B23" s="184">
        <f t="shared" si="0"/>
        <v>22</v>
      </c>
      <c r="C23" s="185">
        <v>12</v>
      </c>
      <c r="D23" s="184">
        <v>2019</v>
      </c>
      <c r="E23" s="186">
        <f>'FS Jimbaran December 2019'!P33</f>
        <v>27140.000000000782</v>
      </c>
      <c r="F23" s="195">
        <f>'FS Jimbaran December 2019'!O33/'FS Jimbaran December 2019'!P33</f>
        <v>1087.5308356668991</v>
      </c>
      <c r="G23" s="186">
        <f>'FS Jimbaran December 2019'!AG33</f>
        <v>136.02211999997419</v>
      </c>
      <c r="H23" s="195">
        <f>'FS Jimbaran December 2019'!AH33/'FS Jimbaran December 2019'!AG33</f>
        <v>9410.288675988917</v>
      </c>
      <c r="I23" s="186">
        <f>'FS Jimbaran December 2019'!AJ33</f>
        <v>465.5</v>
      </c>
      <c r="J23" s="187">
        <f>'FS Jimbaran December 2019'!AK33/'FS Jimbaran December 2019'!AJ33</f>
        <v>10300</v>
      </c>
      <c r="K23" s="186">
        <f>'FS Jimbaran December 2019'!V33</f>
        <v>865.07999999999993</v>
      </c>
      <c r="L23" s="195">
        <f>'FS Jimbaran December 2019'!AA33/'FS Jimbaran December 2019'!V33</f>
        <v>1497.5651851851853</v>
      </c>
      <c r="M23" s="186">
        <f>'FS Jimbaran December 2019'!C33</f>
        <v>78</v>
      </c>
      <c r="N23" s="186">
        <f>'FS Jimbaran December 2019'!D33</f>
        <v>576</v>
      </c>
    </row>
    <row r="24" spans="1:14">
      <c r="A24" s="183" t="s">
        <v>14</v>
      </c>
      <c r="B24" s="184">
        <f t="shared" si="0"/>
        <v>23</v>
      </c>
      <c r="C24" s="185">
        <v>12</v>
      </c>
      <c r="D24" s="184">
        <v>2019</v>
      </c>
      <c r="E24" s="186">
        <f>'FS Jimbaran December 2019'!P34</f>
        <v>26679.999999999382</v>
      </c>
      <c r="F24" s="195">
        <f>'FS Jimbaran December 2019'!O34/'FS Jimbaran December 2019'!P34</f>
        <v>1092.0141577961015</v>
      </c>
      <c r="G24" s="186">
        <f>'FS Jimbaran December 2019'!AG34</f>
        <v>140.21468000004921</v>
      </c>
      <c r="H24" s="195">
        <f>'FS Jimbaran December 2019'!AH34/'FS Jimbaran December 2019'!AG34</f>
        <v>9196</v>
      </c>
      <c r="I24" s="186">
        <f>'FS Jimbaran December 2019'!AJ34</f>
        <v>446</v>
      </c>
      <c r="J24" s="187">
        <f>'FS Jimbaran December 2019'!AK34/'FS Jimbaran December 2019'!AJ34</f>
        <v>10300</v>
      </c>
      <c r="K24" s="186">
        <f>'FS Jimbaran December 2019'!V34</f>
        <v>833.04</v>
      </c>
      <c r="L24" s="195">
        <f>'FS Jimbaran December 2019'!AA34/'FS Jimbaran December 2019'!V34</f>
        <v>645.98361111111126</v>
      </c>
      <c r="M24" s="186">
        <f>'FS Jimbaran December 2019'!C34</f>
        <v>77</v>
      </c>
      <c r="N24" s="186">
        <f>'FS Jimbaran December 2019'!D34</f>
        <v>588</v>
      </c>
    </row>
    <row r="25" spans="1:14">
      <c r="A25" s="183" t="s">
        <v>14</v>
      </c>
      <c r="B25" s="184">
        <f t="shared" si="0"/>
        <v>24</v>
      </c>
      <c r="C25" s="185">
        <v>12</v>
      </c>
      <c r="D25" s="184">
        <v>2019</v>
      </c>
      <c r="E25" s="186">
        <f>'FS Jimbaran December 2019'!P35</f>
        <v>27639.999999999873</v>
      </c>
      <c r="F25" s="195">
        <f>'FS Jimbaran December 2019'!O35/'FS Jimbaran December 2019'!P35</f>
        <v>1107.9923031837773</v>
      </c>
      <c r="G25" s="186">
        <f>'FS Jimbaran December 2019'!AG35</f>
        <v>178.67175999999296</v>
      </c>
      <c r="H25" s="195">
        <f>'FS Jimbaran December 2019'!AH35/'FS Jimbaran December 2019'!AG35</f>
        <v>9685.4114212565182</v>
      </c>
      <c r="I25" s="186">
        <f>'FS Jimbaran December 2019'!AJ35</f>
        <v>479</v>
      </c>
      <c r="J25" s="187">
        <f>'FS Jimbaran December 2019'!AK35/'FS Jimbaran December 2019'!AJ35</f>
        <v>10300</v>
      </c>
      <c r="K25" s="186">
        <f>'FS Jimbaran December 2019'!V35</f>
        <v>887.33</v>
      </c>
      <c r="L25" s="195">
        <f>'FS Jimbaran December 2019'!AA35/'FS Jimbaran December 2019'!V35</f>
        <v>557.79195586760284</v>
      </c>
      <c r="M25" s="186">
        <f>'FS Jimbaran December 2019'!C35</f>
        <v>67</v>
      </c>
      <c r="N25" s="186">
        <f>'FS Jimbaran December 2019'!D35</f>
        <v>550</v>
      </c>
    </row>
    <row r="26" spans="1:14">
      <c r="A26" s="183" t="s">
        <v>14</v>
      </c>
      <c r="B26" s="184">
        <f>B25+1</f>
        <v>25</v>
      </c>
      <c r="C26" s="185">
        <v>12</v>
      </c>
      <c r="D26" s="184">
        <v>2019</v>
      </c>
      <c r="E26" s="186">
        <f>'FS Jimbaran December 2019'!P36</f>
        <v>26980.000000000473</v>
      </c>
      <c r="F26" s="195">
        <f>'FS Jimbaran December 2019'!O36/'FS Jimbaran December 2019'!P36</f>
        <v>1118.7230203854722</v>
      </c>
      <c r="G26" s="186">
        <f>'FS Jimbaran December 2019'!AG36</f>
        <v>140.05011999997419</v>
      </c>
      <c r="H26" s="195">
        <f>'FS Jimbaran December 2019'!AH36/'FS Jimbaran December 2019'!AG36</f>
        <v>9404.1254910742337</v>
      </c>
      <c r="I26" s="186">
        <f>'FS Jimbaran December 2019'!AJ36</f>
        <v>467.94999999999709</v>
      </c>
      <c r="J26" s="187">
        <f>'FS Jimbaran December 2019'!AK36/'FS Jimbaran December 2019'!AJ36</f>
        <v>10300</v>
      </c>
      <c r="K26" s="186">
        <f>'FS Jimbaran December 2019'!V36</f>
        <v>941.62</v>
      </c>
      <c r="L26" s="195">
        <f>'FS Jimbaran December 2019'!AA36/'FS Jimbaran December 2019'!V36</f>
        <v>775.46419659735352</v>
      </c>
      <c r="M26" s="186">
        <f>'FS Jimbaran December 2019'!C36</f>
        <v>81</v>
      </c>
      <c r="N26" s="186">
        <f>'FS Jimbaran December 2019'!D36</f>
        <v>566</v>
      </c>
    </row>
    <row r="27" spans="1:14">
      <c r="A27" s="183" t="s">
        <v>14</v>
      </c>
      <c r="B27" s="184">
        <f t="shared" si="0"/>
        <v>26</v>
      </c>
      <c r="C27" s="185">
        <v>12</v>
      </c>
      <c r="D27" s="184">
        <v>2019</v>
      </c>
      <c r="E27" s="186">
        <f>'FS Jimbaran December 2019'!P37</f>
        <v>26360.000000000127</v>
      </c>
      <c r="F27" s="195">
        <f>'FS Jimbaran December 2019'!O37/'FS Jimbaran December 2019'!P37</f>
        <v>1079.0815766312546</v>
      </c>
      <c r="G27" s="186">
        <f>'FS Jimbaran December 2019'!AG37</f>
        <v>405.91699999999997</v>
      </c>
      <c r="H27" s="195">
        <f>'FS Jimbaran December 2019'!AH37/'FS Jimbaran December 2019'!AG37</f>
        <v>10136.576521801255</v>
      </c>
      <c r="I27" s="186">
        <f>'FS Jimbaran December 2019'!AJ37</f>
        <v>987.21000000001732</v>
      </c>
      <c r="J27" s="187">
        <f>'FS Jimbaran December 2019'!AK37/'FS Jimbaran December 2019'!AJ37</f>
        <v>10300</v>
      </c>
      <c r="K27" s="186">
        <f>'FS Jimbaran December 2019'!V37</f>
        <v>905.13</v>
      </c>
      <c r="L27" s="195">
        <f>'FS Jimbaran December 2019'!AA37/'FS Jimbaran December 2019'!V37</f>
        <v>783.90920353982301</v>
      </c>
      <c r="M27" s="186">
        <f>'FS Jimbaran December 2019'!C37</f>
        <v>95</v>
      </c>
      <c r="N27" s="186">
        <f>'FS Jimbaran December 2019'!D37</f>
        <v>664</v>
      </c>
    </row>
    <row r="28" spans="1:14">
      <c r="A28" s="183" t="s">
        <v>14</v>
      </c>
      <c r="B28" s="184">
        <f t="shared" si="0"/>
        <v>27</v>
      </c>
      <c r="C28" s="185">
        <v>12</v>
      </c>
      <c r="D28" s="184">
        <v>2019</v>
      </c>
      <c r="E28" s="186">
        <f>'FS Jimbaran December 2019'!P38</f>
        <v>26259.999999998854</v>
      </c>
      <c r="F28" s="195">
        <f>'FS Jimbaran December 2019'!O38/'FS Jimbaran December 2019'!P38</f>
        <v>1103.8393446306452</v>
      </c>
      <c r="G28" s="186">
        <f>'FS Jimbaran December 2019'!AG38</f>
        <v>146.05183999999531</v>
      </c>
      <c r="H28" s="195">
        <f>'FS Jimbaran December 2019'!AH38/'FS Jimbaran December 2019'!AG38</f>
        <v>9395.5729735414552</v>
      </c>
      <c r="I28" s="186">
        <f>'FS Jimbaran December 2019'!AJ38</f>
        <v>527.99000000001979</v>
      </c>
      <c r="J28" s="187">
        <f>'FS Jimbaran December 2019'!AK38/'FS Jimbaran December 2019'!AJ38</f>
        <v>10300</v>
      </c>
      <c r="K28" s="186">
        <f>'FS Jimbaran December 2019'!V38</f>
        <v>912.25</v>
      </c>
      <c r="L28" s="195">
        <f>'FS Jimbaran December 2019'!AA38/'FS Jimbaran December 2019'!V38</f>
        <v>677.98407804878059</v>
      </c>
      <c r="M28" s="186">
        <f>'FS Jimbaran December 2019'!C38</f>
        <v>108</v>
      </c>
      <c r="N28" s="186">
        <f>'FS Jimbaran December 2019'!D38</f>
        <v>797</v>
      </c>
    </row>
    <row r="29" spans="1:14">
      <c r="A29" s="183" t="s">
        <v>14</v>
      </c>
      <c r="B29" s="184">
        <f t="shared" si="0"/>
        <v>28</v>
      </c>
      <c r="C29" s="185">
        <v>12</v>
      </c>
      <c r="D29" s="184">
        <v>2019</v>
      </c>
      <c r="E29" s="186">
        <f>'FS Jimbaran December 2019'!P39</f>
        <v>28020.000000000891</v>
      </c>
      <c r="F29" s="195">
        <f>'FS Jimbaran December 2019'!O39/'FS Jimbaran December 2019'!P39</f>
        <v>1106.4030438971927</v>
      </c>
      <c r="G29" s="186">
        <f>'FS Jimbaran December 2019'!AG39</f>
        <v>453.94328000003748</v>
      </c>
      <c r="H29" s="195">
        <f>'FS Jimbaran December 2019'!AH39/'FS Jimbaran December 2019'!AG39</f>
        <v>10179.59424992471</v>
      </c>
      <c r="I29" s="186">
        <f>'FS Jimbaran December 2019'!AJ39</f>
        <v>206.09999999999854</v>
      </c>
      <c r="J29" s="187">
        <f>'FS Jimbaran December 2019'!AK39/'FS Jimbaran December 2019'!AJ39</f>
        <v>10300</v>
      </c>
      <c r="K29" s="186">
        <f>'FS Jimbaran December 2019'!V39</f>
        <v>906.91</v>
      </c>
      <c r="L29" s="195">
        <f>'FS Jimbaran December 2019'!AA39/'FS Jimbaran December 2019'!V39</f>
        <v>690.30818449460264</v>
      </c>
      <c r="M29" s="186">
        <f>'FS Jimbaran December 2019'!C39</f>
        <v>133</v>
      </c>
      <c r="N29" s="186">
        <f>'FS Jimbaran December 2019'!D39</f>
        <v>922</v>
      </c>
    </row>
    <row r="30" spans="1:14">
      <c r="A30" s="183" t="s">
        <v>14</v>
      </c>
      <c r="B30" s="184">
        <f t="shared" si="0"/>
        <v>29</v>
      </c>
      <c r="C30" s="185">
        <v>12</v>
      </c>
      <c r="D30" s="184">
        <v>2019</v>
      </c>
      <c r="E30" s="186">
        <f>'FS Jimbaran December 2019'!P40</f>
        <v>26819.999999999709</v>
      </c>
      <c r="F30" s="195">
        <f>'FS Jimbaran December 2019'!O40/'FS Jimbaran December 2019'!P40</f>
        <v>1114.4483020134469</v>
      </c>
      <c r="G30" s="186">
        <f>'FS Jimbaran December 2019'!AG40</f>
        <v>137.83471999996249</v>
      </c>
      <c r="H30" s="195">
        <f>'FS Jimbaran December 2019'!AH40/'FS Jimbaran December 2019'!AG40</f>
        <v>9407.4706657365277</v>
      </c>
      <c r="I30" s="186">
        <f>'FS Jimbaran December 2019'!AJ40</f>
        <v>647.29999999999927</v>
      </c>
      <c r="J30" s="187">
        <f>'FS Jimbaran December 2019'!AK40/'FS Jimbaran December 2019'!AJ40</f>
        <v>10300</v>
      </c>
      <c r="K30" s="186">
        <f>'FS Jimbaran December 2019'!V40</f>
        <v>964.76</v>
      </c>
      <c r="L30" s="195">
        <f>'FS Jimbaran December 2019'!AA40/'FS Jimbaran December 2019'!V40</f>
        <v>248.93317343173433</v>
      </c>
      <c r="M30" s="186">
        <f>'FS Jimbaran December 2019'!C40</f>
        <v>139</v>
      </c>
      <c r="N30" s="186">
        <f>'FS Jimbaran December 2019'!D40</f>
        <v>973</v>
      </c>
    </row>
    <row r="31" spans="1:14">
      <c r="A31" s="183" t="s">
        <v>14</v>
      </c>
      <c r="B31" s="184">
        <f t="shared" si="0"/>
        <v>30</v>
      </c>
      <c r="C31" s="185">
        <v>12</v>
      </c>
      <c r="D31" s="184">
        <v>2019</v>
      </c>
      <c r="E31" s="186">
        <f>'FS Jimbaran December 2019'!P41</f>
        <v>27559.999999999945</v>
      </c>
      <c r="F31" s="195">
        <f>'FS Jimbaran December 2019'!O41/'FS Jimbaran December 2019'!P41</f>
        <v>1097.3405094339512</v>
      </c>
      <c r="G31" s="186">
        <f>'FS Jimbaran December 2019'!AG41</f>
        <v>152.62091999999765</v>
      </c>
      <c r="H31" s="195">
        <f>'FS Jimbaran December 2019'!AH41/'FS Jimbaran December 2019'!AG41</f>
        <v>9196</v>
      </c>
      <c r="I31" s="186">
        <f>'FS Jimbaran December 2019'!AJ41</f>
        <v>442</v>
      </c>
      <c r="J31" s="187">
        <f>'FS Jimbaran December 2019'!AK41/'FS Jimbaran December 2019'!AJ41</f>
        <v>10300</v>
      </c>
      <c r="K31" s="186">
        <f>'FS Jimbaran December 2019'!V41</f>
        <v>869.53000000000009</v>
      </c>
      <c r="L31" s="195">
        <f>'FS Jimbaran December 2019'!AA41/'FS Jimbaran December 2019'!V41</f>
        <v>426.54182190378714</v>
      </c>
      <c r="M31" s="186">
        <f>'FS Jimbaran December 2019'!C41</f>
        <v>131</v>
      </c>
      <c r="N31" s="186">
        <f>'FS Jimbaran December 2019'!D41</f>
        <v>1092</v>
      </c>
    </row>
    <row r="32" spans="1:14">
      <c r="A32" s="183" t="s">
        <v>14</v>
      </c>
      <c r="B32" s="184">
        <v>31</v>
      </c>
      <c r="C32" s="185">
        <v>12</v>
      </c>
      <c r="D32" s="184">
        <v>2019</v>
      </c>
      <c r="E32" s="186">
        <f>'FS Jimbaran December 2019'!P42</f>
        <v>24299.999999999727</v>
      </c>
      <c r="F32" s="195">
        <f>'FS Jimbaran December 2019'!O42/'FS Jimbaran December 2019'!P42</f>
        <v>1198.1161370370555</v>
      </c>
      <c r="G32" s="186">
        <f>'FS Jimbaran December 2019'!AG42</f>
        <v>145.24624000000702</v>
      </c>
      <c r="H32" s="195">
        <f>'FS Jimbaran December 2019'!AH42/'FS Jimbaran December 2019'!AG42</f>
        <v>9396.6798936757223</v>
      </c>
      <c r="I32" s="186">
        <f>'FS Jimbaran December 2019'!AJ42</f>
        <v>258.80000000000291</v>
      </c>
      <c r="J32" s="187">
        <f>'FS Jimbaran December 2019'!AK42/'FS Jimbaran December 2019'!AJ42</f>
        <v>10300</v>
      </c>
      <c r="K32" s="186">
        <f>'FS Jimbaran December 2019'!V42</f>
        <v>993.24000000000012</v>
      </c>
      <c r="L32" s="195">
        <f>'FS Jimbaran December 2019'!AA42/'FS Jimbaran December 2019'!V42</f>
        <v>605.45460573476703</v>
      </c>
      <c r="M32" s="186">
        <f>'FS Jimbaran December 2019'!C42</f>
        <v>142</v>
      </c>
      <c r="N32" s="186">
        <f>'FS Jimbaran December 2019'!D42</f>
        <v>1035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M52"/>
  <sheetViews>
    <sheetView zoomScale="62" zoomScaleNormal="62" workbookViewId="0">
      <pane xSplit="4" ySplit="10" topLeftCell="S11" activePane="bottomRight" state="frozen"/>
      <selection pane="bottomRight" activeCell="Y12" sqref="Y12:Y42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11.42578125" style="3" customWidth="1"/>
    <col min="4" max="4" width="11.425781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76" bestFit="1" customWidth="1"/>
    <col min="14" max="14" width="20.42578125" style="80" customWidth="1"/>
    <col min="15" max="15" width="18.85546875" customWidth="1"/>
    <col min="16" max="16" width="15.140625" style="80" customWidth="1"/>
    <col min="17" max="17" width="19.7109375" customWidth="1"/>
    <col min="18" max="18" width="18.140625" style="102" customWidth="1"/>
    <col min="19" max="19" width="22.85546875" customWidth="1"/>
    <col min="20" max="20" width="17.140625" customWidth="1"/>
    <col min="21" max="21" width="18.85546875" customWidth="1"/>
    <col min="22" max="22" width="17.42578125" bestFit="1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6" bestFit="1" customWidth="1"/>
    <col min="28" max="28" width="9.85546875" customWidth="1"/>
    <col min="29" max="29" width="15.85546875" bestFit="1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6" bestFit="1" customWidth="1"/>
    <col min="34" max="34" width="19" style="3" customWidth="1"/>
    <col min="35" max="35" width="10.5703125" customWidth="1"/>
    <col min="36" max="36" width="16" style="102" bestFit="1" customWidth="1"/>
    <col min="37" max="37" width="20.7109375" bestFit="1" customWidth="1"/>
    <col min="38" max="38" width="9.42578125" style="50" bestFit="1" customWidth="1"/>
    <col min="39" max="39" width="2.28515625" style="7" customWidth="1"/>
  </cols>
  <sheetData>
    <row r="2" spans="1:39">
      <c r="L2" s="3" t="s">
        <v>15</v>
      </c>
    </row>
    <row r="5" spans="1:39">
      <c r="N5" s="197"/>
      <c r="X5" s="198"/>
    </row>
    <row r="6" spans="1:39" s="35" customFormat="1" ht="19.5" thickBot="1">
      <c r="B6" s="35" t="s">
        <v>16</v>
      </c>
      <c r="C6" s="43"/>
      <c r="E6" s="43"/>
      <c r="F6" s="43"/>
      <c r="H6" s="43"/>
      <c r="L6" s="43"/>
      <c r="M6" s="70"/>
      <c r="N6" s="77"/>
      <c r="P6" s="77"/>
      <c r="R6" s="98"/>
      <c r="AD6" s="43"/>
      <c r="AH6" s="43"/>
      <c r="AJ6" s="98"/>
      <c r="AL6" s="46"/>
    </row>
    <row r="7" spans="1:39" s="15" customFormat="1" ht="16.5" thickBot="1">
      <c r="A7" s="39"/>
      <c r="B7" s="220" t="s">
        <v>17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2"/>
      <c r="AM7" s="39"/>
    </row>
    <row r="8" spans="1:39" s="7" customFormat="1" ht="15.75" customHeight="1" thickBot="1">
      <c r="A8" s="36"/>
      <c r="B8" s="223" t="s">
        <v>18</v>
      </c>
      <c r="C8" s="226" t="s">
        <v>19</v>
      </c>
      <c r="D8" s="229" t="s">
        <v>13</v>
      </c>
      <c r="E8" s="232" t="s">
        <v>20</v>
      </c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3"/>
      <c r="R8" s="233"/>
      <c r="S8" s="233"/>
      <c r="T8" s="233"/>
      <c r="U8" s="234"/>
      <c r="V8" s="235" t="s">
        <v>21</v>
      </c>
      <c r="W8" s="236"/>
      <c r="X8" s="236"/>
      <c r="Y8" s="236"/>
      <c r="Z8" s="236"/>
      <c r="AA8" s="236"/>
      <c r="AB8" s="237"/>
      <c r="AC8" s="238" t="s">
        <v>22</v>
      </c>
      <c r="AD8" s="238"/>
      <c r="AE8" s="238"/>
      <c r="AF8" s="238"/>
      <c r="AG8" s="238"/>
      <c r="AH8" s="238"/>
      <c r="AI8" s="238"/>
      <c r="AJ8" s="238"/>
      <c r="AK8" s="238"/>
      <c r="AL8" s="239"/>
      <c r="AM8" s="38"/>
    </row>
    <row r="9" spans="1:39" ht="15" customHeight="1" thickBot="1">
      <c r="B9" s="224"/>
      <c r="C9" s="227"/>
      <c r="D9" s="230"/>
      <c r="E9" s="240" t="s">
        <v>23</v>
      </c>
      <c r="F9" s="241"/>
      <c r="G9" s="241"/>
      <c r="H9" s="241"/>
      <c r="I9" s="242"/>
      <c r="J9" s="243" t="s">
        <v>24</v>
      </c>
      <c r="K9" s="243"/>
      <c r="L9" s="243"/>
      <c r="M9" s="243"/>
      <c r="N9" s="244"/>
      <c r="O9" s="229" t="s">
        <v>25</v>
      </c>
      <c r="P9" s="245" t="s">
        <v>26</v>
      </c>
      <c r="Q9" s="247" t="s">
        <v>27</v>
      </c>
      <c r="R9" s="249" t="s">
        <v>28</v>
      </c>
      <c r="S9" s="214" t="s">
        <v>29</v>
      </c>
      <c r="T9" s="216" t="s">
        <v>30</v>
      </c>
      <c r="U9" s="217"/>
      <c r="V9" s="62"/>
      <c r="W9" s="63" t="s">
        <v>31</v>
      </c>
      <c r="X9" s="63"/>
      <c r="Y9" s="64"/>
      <c r="Z9" s="196"/>
      <c r="AA9" s="218" t="s">
        <v>32</v>
      </c>
      <c r="AB9" s="219"/>
      <c r="AC9" s="238" t="s">
        <v>33</v>
      </c>
      <c r="AD9" s="238"/>
      <c r="AE9" s="238"/>
      <c r="AF9" s="238"/>
      <c r="AG9" s="238"/>
      <c r="AH9" s="238"/>
      <c r="AI9" s="239"/>
      <c r="AJ9" s="163" t="s">
        <v>34</v>
      </c>
      <c r="AK9" s="45"/>
      <c r="AL9" s="47"/>
    </row>
    <row r="10" spans="1:39" ht="61.5" customHeight="1" thickBot="1">
      <c r="A10" s="37"/>
      <c r="B10" s="225"/>
      <c r="C10" s="228"/>
      <c r="D10" s="231"/>
      <c r="E10" s="113" t="s">
        <v>35</v>
      </c>
      <c r="F10" s="96" t="s">
        <v>36</v>
      </c>
      <c r="G10" s="149" t="s">
        <v>37</v>
      </c>
      <c r="H10" s="22" t="s">
        <v>36</v>
      </c>
      <c r="I10" s="114" t="s">
        <v>38</v>
      </c>
      <c r="J10" s="113" t="s">
        <v>35</v>
      </c>
      <c r="K10" s="97" t="s">
        <v>36</v>
      </c>
      <c r="L10" s="149" t="s">
        <v>37</v>
      </c>
      <c r="M10" s="71" t="s">
        <v>36</v>
      </c>
      <c r="N10" s="105" t="s">
        <v>39</v>
      </c>
      <c r="O10" s="231"/>
      <c r="P10" s="246"/>
      <c r="Q10" s="248"/>
      <c r="R10" s="250"/>
      <c r="S10" s="215"/>
      <c r="T10" s="28" t="s">
        <v>40</v>
      </c>
      <c r="U10" s="30" t="s">
        <v>41</v>
      </c>
      <c r="V10" s="66" t="s">
        <v>42</v>
      </c>
      <c r="W10" s="65" t="s">
        <v>43</v>
      </c>
      <c r="X10" s="65" t="s">
        <v>44</v>
      </c>
      <c r="Y10" s="29" t="s">
        <v>45</v>
      </c>
      <c r="Z10" s="29" t="s">
        <v>46</v>
      </c>
      <c r="AA10" s="29" t="s">
        <v>40</v>
      </c>
      <c r="AB10" s="17" t="s">
        <v>41</v>
      </c>
      <c r="AC10" s="141" t="s">
        <v>47</v>
      </c>
      <c r="AD10" s="57" t="s">
        <v>48</v>
      </c>
      <c r="AE10" s="56" t="s">
        <v>49</v>
      </c>
      <c r="AF10" s="56" t="s">
        <v>50</v>
      </c>
      <c r="AG10" s="56" t="s">
        <v>51</v>
      </c>
      <c r="AH10" s="57" t="s">
        <v>40</v>
      </c>
      <c r="AI10" s="58" t="s">
        <v>41</v>
      </c>
      <c r="AJ10" s="164" t="s">
        <v>52</v>
      </c>
      <c r="AK10" s="56" t="s">
        <v>40</v>
      </c>
      <c r="AL10" s="60" t="s">
        <v>41</v>
      </c>
      <c r="AM10" s="37"/>
    </row>
    <row r="11" spans="1:39">
      <c r="A11" s="37"/>
      <c r="B11" s="68"/>
      <c r="C11" s="115"/>
      <c r="D11" s="67" t="s">
        <v>53</v>
      </c>
      <c r="E11" s="103"/>
      <c r="F11" s="103"/>
      <c r="G11" s="23"/>
      <c r="H11" s="24"/>
      <c r="I11" s="116"/>
      <c r="J11" s="104"/>
      <c r="K11" s="23"/>
      <c r="L11" s="24"/>
      <c r="M11" s="72"/>
      <c r="N11" s="107"/>
      <c r="O11" s="67"/>
      <c r="P11" s="125"/>
      <c r="Q11" s="124"/>
      <c r="R11" s="129"/>
      <c r="S11" s="26"/>
      <c r="T11" s="27"/>
      <c r="U11" s="31"/>
      <c r="V11" s="106"/>
      <c r="W11" s="23"/>
      <c r="X11" s="23"/>
      <c r="Y11" s="25"/>
      <c r="Z11" s="25"/>
      <c r="AA11" s="25"/>
      <c r="AB11" s="116"/>
      <c r="AC11" s="142"/>
      <c r="AD11" s="54"/>
      <c r="AE11" s="51"/>
      <c r="AF11" s="51"/>
      <c r="AG11" s="51"/>
      <c r="AH11" s="54"/>
      <c r="AI11" s="55"/>
      <c r="AJ11" s="165"/>
      <c r="AK11" s="51"/>
      <c r="AL11" s="59"/>
      <c r="AM11" s="37"/>
    </row>
    <row r="12" spans="1:39">
      <c r="A12" s="42"/>
      <c r="B12" s="69">
        <v>1</v>
      </c>
      <c r="C12" s="212">
        <v>47</v>
      </c>
      <c r="D12" s="213">
        <v>403</v>
      </c>
      <c r="E12" s="120">
        <v>16519.999999998618</v>
      </c>
      <c r="F12" s="2">
        <v>17111085.599998567</v>
      </c>
      <c r="G12" s="44">
        <v>3719.9999999997999</v>
      </c>
      <c r="H12" s="2">
        <v>5779652.3999996893</v>
      </c>
      <c r="I12" s="117">
        <f>F12+H12</f>
        <v>22890737.999998257</v>
      </c>
      <c r="J12" s="120">
        <v>1980.0000000004729</v>
      </c>
      <c r="K12" s="2">
        <v>2050844.4000004898</v>
      </c>
      <c r="L12" s="2">
        <v>519.99999999998181</v>
      </c>
      <c r="M12" s="73">
        <v>807908.39999997173</v>
      </c>
      <c r="N12" s="108">
        <v>2621041.2900000014</v>
      </c>
      <c r="O12" s="122">
        <f>N12+I12</f>
        <v>25511779.289998259</v>
      </c>
      <c r="P12" s="126">
        <f>L12+J12+G12+E12</f>
        <v>22739.999999998872</v>
      </c>
      <c r="Q12" s="157"/>
      <c r="R12" s="150"/>
      <c r="S12" s="11"/>
      <c r="T12" s="13"/>
      <c r="U12" s="32"/>
      <c r="V12" s="151">
        <f>W12+Y12</f>
        <v>851.73000000000013</v>
      </c>
      <c r="W12" s="2">
        <v>71.2</v>
      </c>
      <c r="X12" s="2">
        <v>1279499.6000000001</v>
      </c>
      <c r="Y12" s="40">
        <v>780.53000000000009</v>
      </c>
      <c r="Z12" s="40">
        <v>22669.261200000001</v>
      </c>
      <c r="AA12" s="40">
        <f t="shared" ref="AA12:AA42" si="0">Z12+X12</f>
        <v>1302168.8612000002</v>
      </c>
      <c r="AB12" s="144">
        <f t="shared" ref="AB12:AB42" si="1">AA12/$AL$48</f>
        <v>100.35140486849275</v>
      </c>
      <c r="AC12" s="152">
        <v>116.65087999996716</v>
      </c>
      <c r="AD12" s="2">
        <v>0</v>
      </c>
      <c r="AE12" s="2">
        <v>0</v>
      </c>
      <c r="AF12" s="2">
        <v>0</v>
      </c>
      <c r="AG12" s="2">
        <f t="shared" ref="AG12:AG42" si="2">SUM(AC12:AF12)</f>
        <v>116.65087999996716</v>
      </c>
      <c r="AH12" s="2">
        <v>1072721.492479698</v>
      </c>
      <c r="AI12" s="52">
        <f t="shared" ref="AI12:AI42" si="3">AH12/$AL$48</f>
        <v>82.669085408601362</v>
      </c>
      <c r="AJ12" s="166">
        <v>445</v>
      </c>
      <c r="AK12" s="2">
        <v>4583500</v>
      </c>
      <c r="AL12" s="48">
        <f t="shared" ref="AL12:AL42" si="4">AK12/$AL$48</f>
        <v>353.22658828661019</v>
      </c>
      <c r="AM12" s="6"/>
    </row>
    <row r="13" spans="1:39">
      <c r="A13" s="42"/>
      <c r="B13" s="69">
        <v>2</v>
      </c>
      <c r="C13" s="212">
        <v>39</v>
      </c>
      <c r="D13" s="213">
        <v>293</v>
      </c>
      <c r="E13" s="120">
        <v>18120.0000000008</v>
      </c>
      <c r="F13" s="2">
        <v>18768333.600000829</v>
      </c>
      <c r="G13" s="44">
        <v>3840.0000000001455</v>
      </c>
      <c r="H13" s="2">
        <v>5966092.8000002261</v>
      </c>
      <c r="I13" s="117">
        <f t="shared" ref="I13:I42" si="5">F13+H13</f>
        <v>24734426.400001056</v>
      </c>
      <c r="J13" s="120">
        <v>1880.0000000001091</v>
      </c>
      <c r="K13" s="2">
        <v>1947266.4000001131</v>
      </c>
      <c r="L13" s="2">
        <v>440.00000000005457</v>
      </c>
      <c r="M13" s="73">
        <v>683614.8000000848</v>
      </c>
      <c r="N13" s="108">
        <v>1663980.57</v>
      </c>
      <c r="O13" s="122">
        <f t="shared" ref="O13:O42" si="6">N13+I13</f>
        <v>26398406.970001057</v>
      </c>
      <c r="P13" s="126">
        <f t="shared" ref="P13:P42" si="7">L13+J13+G13+E13</f>
        <v>24280.00000000111</v>
      </c>
      <c r="Q13" s="158"/>
      <c r="R13" s="153"/>
      <c r="S13" s="12"/>
      <c r="T13" s="14"/>
      <c r="U13" s="33"/>
      <c r="V13" s="151">
        <f t="shared" ref="V13:V42" si="8">W13+Y13</f>
        <v>830.36999999999989</v>
      </c>
      <c r="W13" s="2">
        <v>54.29</v>
      </c>
      <c r="X13" s="2">
        <v>975618.44499999995</v>
      </c>
      <c r="Y13" s="40">
        <v>776.07999999999993</v>
      </c>
      <c r="Z13" s="40">
        <v>483610.90560000006</v>
      </c>
      <c r="AA13" s="40">
        <f t="shared" si="0"/>
        <v>1459229.3506</v>
      </c>
      <c r="AB13" s="144">
        <f t="shared" si="1"/>
        <v>112.45524272720057</v>
      </c>
      <c r="AC13" s="152">
        <v>113.67016000000467</v>
      </c>
      <c r="AD13" s="2">
        <v>0</v>
      </c>
      <c r="AE13" s="2">
        <v>0</v>
      </c>
      <c r="AF13" s="2">
        <v>24</v>
      </c>
      <c r="AG13" s="2">
        <f t="shared" si="2"/>
        <v>137.67016000000467</v>
      </c>
      <c r="AH13" s="2">
        <v>1324310.791360043</v>
      </c>
      <c r="AI13" s="52">
        <f t="shared" si="3"/>
        <v>102.05776866221204</v>
      </c>
      <c r="AJ13" s="166">
        <v>398.39999999999418</v>
      </c>
      <c r="AK13" s="2">
        <v>4103519.9999999399</v>
      </c>
      <c r="AL13" s="48">
        <f t="shared" si="4"/>
        <v>316.23701746827743</v>
      </c>
      <c r="AM13" s="6"/>
    </row>
    <row r="14" spans="1:39">
      <c r="A14" s="42"/>
      <c r="B14" s="69">
        <v>3</v>
      </c>
      <c r="C14" s="212">
        <v>46</v>
      </c>
      <c r="D14" s="213">
        <v>261</v>
      </c>
      <c r="E14" s="120">
        <v>18159.999999999854</v>
      </c>
      <c r="F14" s="2">
        <v>18809764.799999848</v>
      </c>
      <c r="G14" s="44">
        <v>3960.0000000000364</v>
      </c>
      <c r="H14" s="2">
        <v>6152533.200000057</v>
      </c>
      <c r="I14" s="117">
        <f t="shared" si="5"/>
        <v>24962297.999999903</v>
      </c>
      <c r="J14" s="120">
        <v>1899.9999999996362</v>
      </c>
      <c r="K14" s="2">
        <v>1967981.999999623</v>
      </c>
      <c r="L14" s="2">
        <v>480.00000000001819</v>
      </c>
      <c r="M14" s="73">
        <v>745761.60000002827</v>
      </c>
      <c r="N14" s="108">
        <v>1888019.7840000021</v>
      </c>
      <c r="O14" s="122">
        <f t="shared" si="6"/>
        <v>26850317.783999905</v>
      </c>
      <c r="P14" s="126">
        <f t="shared" si="7"/>
        <v>24499.999999999545</v>
      </c>
      <c r="Q14" s="158"/>
      <c r="R14" s="153"/>
      <c r="S14" s="12"/>
      <c r="T14" s="14"/>
      <c r="U14" s="33"/>
      <c r="V14" s="151">
        <f t="shared" si="8"/>
        <v>923.81999999999994</v>
      </c>
      <c r="W14" s="2">
        <v>44.5</v>
      </c>
      <c r="X14" s="2">
        <v>799687.25</v>
      </c>
      <c r="Y14" s="40">
        <v>879.31999999999994</v>
      </c>
      <c r="Z14" s="40">
        <v>510058.37700000004</v>
      </c>
      <c r="AA14" s="40">
        <f t="shared" si="0"/>
        <v>1309745.6270000001</v>
      </c>
      <c r="AB14" s="144">
        <f t="shared" si="1"/>
        <v>100.93530693760601</v>
      </c>
      <c r="AC14" s="152">
        <v>137.39508000000234</v>
      </c>
      <c r="AD14" s="2">
        <v>0</v>
      </c>
      <c r="AE14" s="2">
        <v>150</v>
      </c>
      <c r="AF14" s="2">
        <v>12</v>
      </c>
      <c r="AG14" s="2">
        <f t="shared" si="2"/>
        <v>299.39508000000234</v>
      </c>
      <c r="AH14" s="2">
        <v>2976485.1556800213</v>
      </c>
      <c r="AI14" s="52">
        <f t="shared" si="3"/>
        <v>229.38228354458246</v>
      </c>
      <c r="AJ14" s="166">
        <v>326.10000000000036</v>
      </c>
      <c r="AK14" s="2">
        <v>3358830.0000000037</v>
      </c>
      <c r="AL14" s="48">
        <f t="shared" si="4"/>
        <v>258.84761896688474</v>
      </c>
      <c r="AM14" s="6"/>
    </row>
    <row r="15" spans="1:39">
      <c r="A15" s="42"/>
      <c r="B15" s="69">
        <v>4</v>
      </c>
      <c r="C15" s="212">
        <v>48</v>
      </c>
      <c r="D15" s="213">
        <v>294</v>
      </c>
      <c r="E15" s="120">
        <v>19120.0000000008</v>
      </c>
      <c r="F15" s="2">
        <v>19804113.600000829</v>
      </c>
      <c r="G15" s="44">
        <v>4079.9999999999272</v>
      </c>
      <c r="H15" s="2">
        <v>6338973.5999998869</v>
      </c>
      <c r="I15" s="117">
        <f t="shared" si="5"/>
        <v>26143087.200000715</v>
      </c>
      <c r="J15" s="120">
        <v>1880.0000000001091</v>
      </c>
      <c r="K15" s="2">
        <v>1947266.4000001131</v>
      </c>
      <c r="L15" s="2">
        <v>420.00000000007276</v>
      </c>
      <c r="M15" s="73">
        <v>652541.40000011306</v>
      </c>
      <c r="N15" s="108">
        <v>1218077.2799999998</v>
      </c>
      <c r="O15" s="122">
        <f t="shared" si="6"/>
        <v>27361164.480000716</v>
      </c>
      <c r="P15" s="126">
        <f t="shared" si="7"/>
        <v>25500.000000000909</v>
      </c>
      <c r="Q15" s="158"/>
      <c r="R15" s="153"/>
      <c r="S15" s="12"/>
      <c r="T15" s="14"/>
      <c r="U15" s="33"/>
      <c r="V15" s="151">
        <f t="shared" si="8"/>
        <v>890.8900000000001</v>
      </c>
      <c r="W15" s="2">
        <v>130.83000000000001</v>
      </c>
      <c r="X15" s="2">
        <v>2351080.5150000001</v>
      </c>
      <c r="Y15" s="40">
        <v>760.06000000000006</v>
      </c>
      <c r="Z15" s="40">
        <v>370264.59960000002</v>
      </c>
      <c r="AA15" s="40">
        <f t="shared" si="0"/>
        <v>2721345.1146</v>
      </c>
      <c r="AB15" s="144">
        <f t="shared" si="1"/>
        <v>209.71996299347492</v>
      </c>
      <c r="AC15" s="152">
        <v>0</v>
      </c>
      <c r="AD15" s="2">
        <v>0</v>
      </c>
      <c r="AE15" s="2">
        <v>0</v>
      </c>
      <c r="AF15" s="2">
        <v>0</v>
      </c>
      <c r="AG15" s="2">
        <f t="shared" si="2"/>
        <v>0</v>
      </c>
      <c r="AH15" s="2">
        <v>0</v>
      </c>
      <c r="AI15" s="52">
        <f t="shared" si="3"/>
        <v>0</v>
      </c>
      <c r="AJ15" s="166">
        <v>428.39999999999964</v>
      </c>
      <c r="AK15" s="2">
        <v>4412519.9999999963</v>
      </c>
      <c r="AL15" s="48">
        <f t="shared" si="4"/>
        <v>340.05004589209818</v>
      </c>
      <c r="AM15" s="6"/>
    </row>
    <row r="16" spans="1:39">
      <c r="A16" s="42"/>
      <c r="B16" s="69">
        <v>5</v>
      </c>
      <c r="C16" s="212">
        <v>49</v>
      </c>
      <c r="D16" s="213">
        <v>356</v>
      </c>
      <c r="E16" s="120">
        <v>19519.999999998618</v>
      </c>
      <c r="F16" s="2">
        <v>20218425.599998567</v>
      </c>
      <c r="G16" s="44">
        <v>4119.9999999998909</v>
      </c>
      <c r="H16" s="2">
        <v>6401120.3999998309</v>
      </c>
      <c r="I16" s="117">
        <f t="shared" si="5"/>
        <v>26619545.999998398</v>
      </c>
      <c r="J16" s="120">
        <v>1859.9999999996726</v>
      </c>
      <c r="K16" s="2">
        <v>1926550.7999996608</v>
      </c>
      <c r="L16" s="2">
        <v>459.99999999980901</v>
      </c>
      <c r="M16" s="73">
        <v>714688.19999970333</v>
      </c>
      <c r="N16" s="108">
        <v>1968499.89</v>
      </c>
      <c r="O16" s="122">
        <f t="shared" si="6"/>
        <v>28588045.889998399</v>
      </c>
      <c r="P16" s="126">
        <f t="shared" si="7"/>
        <v>25959.999999997992</v>
      </c>
      <c r="Q16" s="158"/>
      <c r="R16" s="153"/>
      <c r="S16" s="12"/>
      <c r="T16" s="14"/>
      <c r="U16" s="33"/>
      <c r="V16" s="151">
        <f t="shared" si="8"/>
        <v>894.45</v>
      </c>
      <c r="W16" s="2">
        <v>26.7</v>
      </c>
      <c r="X16" s="2">
        <v>479812.35</v>
      </c>
      <c r="Y16" s="40">
        <v>867.75</v>
      </c>
      <c r="Z16" s="40">
        <v>275809.34460000001</v>
      </c>
      <c r="AA16" s="40">
        <f t="shared" si="0"/>
        <v>755621.69460000005</v>
      </c>
      <c r="AB16" s="144">
        <f t="shared" si="1"/>
        <v>58.231847544214013</v>
      </c>
      <c r="AC16" s="152">
        <v>135.70332000000937</v>
      </c>
      <c r="AD16" s="2">
        <v>0</v>
      </c>
      <c r="AE16" s="2">
        <v>250</v>
      </c>
      <c r="AF16" s="2">
        <v>48</v>
      </c>
      <c r="AG16" s="2">
        <f t="shared" si="2"/>
        <v>433.7033200000094</v>
      </c>
      <c r="AH16" s="2">
        <v>4428427.730720086</v>
      </c>
      <c r="AI16" s="52">
        <f t="shared" si="3"/>
        <v>341.27597224742476</v>
      </c>
      <c r="AJ16" s="166">
        <v>632.10000000000582</v>
      </c>
      <c r="AK16" s="2">
        <v>6510630.0000000596</v>
      </c>
      <c r="AL16" s="48">
        <f t="shared" si="4"/>
        <v>501.74050888981657</v>
      </c>
      <c r="AM16" s="6"/>
    </row>
    <row r="17" spans="1:39">
      <c r="A17" s="42"/>
      <c r="B17" s="69">
        <v>6</v>
      </c>
      <c r="C17" s="212">
        <v>71</v>
      </c>
      <c r="D17" s="213">
        <v>452</v>
      </c>
      <c r="E17" s="120">
        <v>20319.999999999709</v>
      </c>
      <c r="F17" s="2">
        <v>21047049.5999997</v>
      </c>
      <c r="G17" s="44">
        <v>4360.0000000001273</v>
      </c>
      <c r="H17" s="2">
        <v>6774001.2000001986</v>
      </c>
      <c r="I17" s="117">
        <f t="shared" si="5"/>
        <v>27821050.7999999</v>
      </c>
      <c r="J17" s="120">
        <v>2000</v>
      </c>
      <c r="K17" s="2">
        <v>2071560</v>
      </c>
      <c r="L17" s="2">
        <v>480.00000000001819</v>
      </c>
      <c r="M17" s="73">
        <v>745761.60000002827</v>
      </c>
      <c r="N17" s="108">
        <v>1903245.75</v>
      </c>
      <c r="O17" s="122">
        <f t="shared" si="6"/>
        <v>29724296.5499999</v>
      </c>
      <c r="P17" s="126">
        <f t="shared" si="7"/>
        <v>27159.999999999854</v>
      </c>
      <c r="Q17" s="158"/>
      <c r="R17" s="153"/>
      <c r="S17" s="12"/>
      <c r="T17" s="14"/>
      <c r="U17" s="33"/>
      <c r="V17" s="151">
        <f t="shared" si="8"/>
        <v>949.63</v>
      </c>
      <c r="W17" s="2">
        <v>43.61</v>
      </c>
      <c r="X17" s="2">
        <v>783693.505</v>
      </c>
      <c r="Y17" s="40">
        <v>906.02</v>
      </c>
      <c r="Z17" s="40">
        <v>502501.95660000003</v>
      </c>
      <c r="AA17" s="40">
        <f t="shared" si="0"/>
        <v>1286195.4616</v>
      </c>
      <c r="AB17" s="144">
        <f t="shared" si="1"/>
        <v>99.120417752959483</v>
      </c>
      <c r="AC17" s="152">
        <v>133.08511999997418</v>
      </c>
      <c r="AD17" s="2">
        <v>0</v>
      </c>
      <c r="AE17" s="2">
        <v>0</v>
      </c>
      <c r="AF17" s="2">
        <v>0</v>
      </c>
      <c r="AG17" s="2">
        <f t="shared" si="2"/>
        <v>133.08511999997418</v>
      </c>
      <c r="AH17" s="2">
        <v>1223850.7635197625</v>
      </c>
      <c r="AI17" s="52">
        <f t="shared" si="3"/>
        <v>94.315835010373888</v>
      </c>
      <c r="AJ17" s="166">
        <v>449.21999999999935</v>
      </c>
      <c r="AK17" s="2">
        <v>4626965.9999999935</v>
      </c>
      <c r="AL17" s="48">
        <f t="shared" si="4"/>
        <v>356.57628761822656</v>
      </c>
      <c r="AM17" s="6"/>
    </row>
    <row r="18" spans="1:39">
      <c r="A18" s="42"/>
      <c r="B18" s="69">
        <v>7</v>
      </c>
      <c r="C18" s="212">
        <v>82</v>
      </c>
      <c r="D18" s="213">
        <v>572</v>
      </c>
      <c r="E18" s="120">
        <v>21079.999999999927</v>
      </c>
      <c r="F18" s="2">
        <v>21834242.399999924</v>
      </c>
      <c r="G18" s="44">
        <v>4400.0000000000909</v>
      </c>
      <c r="H18" s="2">
        <v>6836148.0000001416</v>
      </c>
      <c r="I18" s="117">
        <f t="shared" si="5"/>
        <v>28670390.400000066</v>
      </c>
      <c r="J18" s="120">
        <v>2260.0000000002183</v>
      </c>
      <c r="K18" s="2">
        <v>2340862.8000002261</v>
      </c>
      <c r="L18" s="2">
        <v>480.00000000001819</v>
      </c>
      <c r="M18" s="73">
        <v>745761.60000002827</v>
      </c>
      <c r="N18" s="108">
        <v>1914121.4399999995</v>
      </c>
      <c r="O18" s="122">
        <f t="shared" si="6"/>
        <v>30584511.840000063</v>
      </c>
      <c r="P18" s="126">
        <f t="shared" si="7"/>
        <v>28220.000000000255</v>
      </c>
      <c r="Q18" s="158"/>
      <c r="R18" s="153"/>
      <c r="S18" s="12"/>
      <c r="T18" s="14"/>
      <c r="U18" s="33"/>
      <c r="V18" s="151">
        <f t="shared" si="8"/>
        <v>906.02</v>
      </c>
      <c r="W18" s="2">
        <v>63.19</v>
      </c>
      <c r="X18" s="2">
        <v>1135555.895</v>
      </c>
      <c r="Y18" s="40">
        <v>842.83</v>
      </c>
      <c r="Z18" s="40">
        <v>302256.81600000005</v>
      </c>
      <c r="AA18" s="40">
        <f t="shared" si="0"/>
        <v>1437812.7110000001</v>
      </c>
      <c r="AB18" s="144">
        <f t="shared" si="1"/>
        <v>110.80477331769433</v>
      </c>
      <c r="AC18" s="152">
        <v>142.51064000001875</v>
      </c>
      <c r="AD18" s="2">
        <v>0</v>
      </c>
      <c r="AE18" s="2">
        <v>150</v>
      </c>
      <c r="AF18" s="2">
        <v>24</v>
      </c>
      <c r="AG18" s="2">
        <f t="shared" si="2"/>
        <v>316.51064000001873</v>
      </c>
      <c r="AH18" s="2">
        <v>3163027.8454401726</v>
      </c>
      <c r="AI18" s="52">
        <f t="shared" si="3"/>
        <v>243.75816177601826</v>
      </c>
      <c r="AJ18" s="166">
        <v>359.38000000000102</v>
      </c>
      <c r="AK18" s="2">
        <v>3701614.0000000107</v>
      </c>
      <c r="AL18" s="48">
        <f t="shared" si="4"/>
        <v>285.26420516503896</v>
      </c>
      <c r="AM18" s="6"/>
    </row>
    <row r="19" spans="1:39">
      <c r="A19" s="42"/>
      <c r="B19" s="69">
        <v>8</v>
      </c>
      <c r="C19" s="212">
        <v>35</v>
      </c>
      <c r="D19" s="213">
        <v>487</v>
      </c>
      <c r="E19" s="120">
        <v>19560.00000000131</v>
      </c>
      <c r="F19" s="2">
        <v>20259856.800001357</v>
      </c>
      <c r="G19" s="44">
        <v>4119.9999999998909</v>
      </c>
      <c r="H19" s="2">
        <v>6401120.3999998309</v>
      </c>
      <c r="I19" s="117">
        <f t="shared" si="5"/>
        <v>26660977.200001188</v>
      </c>
      <c r="J19" s="120">
        <v>1960.0000000000364</v>
      </c>
      <c r="K19" s="2">
        <v>2030128.8000000375</v>
      </c>
      <c r="L19" s="2">
        <v>460.00000000003638</v>
      </c>
      <c r="M19" s="73">
        <v>714688.20000005653</v>
      </c>
      <c r="N19" s="108">
        <v>2033754.0300000007</v>
      </c>
      <c r="O19" s="122">
        <f t="shared" si="6"/>
        <v>28694731.230001189</v>
      </c>
      <c r="P19" s="126">
        <f t="shared" si="7"/>
        <v>26100.000000001273</v>
      </c>
      <c r="Q19" s="156"/>
      <c r="R19" s="153"/>
      <c r="S19" s="12"/>
      <c r="T19" s="14"/>
      <c r="U19" s="33"/>
      <c r="V19" s="151">
        <f t="shared" si="8"/>
        <v>895.34</v>
      </c>
      <c r="W19" s="2">
        <v>50.730000000000004</v>
      </c>
      <c r="X19" s="2">
        <v>911643.46500000008</v>
      </c>
      <c r="Y19" s="40">
        <v>844.61</v>
      </c>
      <c r="Z19" s="40">
        <v>7556.4204000000009</v>
      </c>
      <c r="AA19" s="40">
        <f t="shared" si="0"/>
        <v>919199.88540000003</v>
      </c>
      <c r="AB19" s="144">
        <f t="shared" si="1"/>
        <v>70.837970867957921</v>
      </c>
      <c r="AC19" s="152">
        <v>120.03440000001171</v>
      </c>
      <c r="AD19" s="2">
        <v>0</v>
      </c>
      <c r="AE19" s="2">
        <v>0</v>
      </c>
      <c r="AF19" s="2">
        <v>12</v>
      </c>
      <c r="AG19" s="2">
        <f t="shared" si="2"/>
        <v>132.03440000001171</v>
      </c>
      <c r="AH19" s="2">
        <v>1243336.3424001078</v>
      </c>
      <c r="AI19" s="52">
        <f t="shared" si="3"/>
        <v>95.817487579086446</v>
      </c>
      <c r="AJ19" s="166">
        <v>388.5</v>
      </c>
      <c r="AK19" s="2">
        <v>4001550</v>
      </c>
      <c r="AL19" s="48">
        <f t="shared" si="4"/>
        <v>308.3787180884226</v>
      </c>
      <c r="AM19" s="6"/>
    </row>
    <row r="20" spans="1:39">
      <c r="A20" s="42"/>
      <c r="B20" s="69">
        <v>9</v>
      </c>
      <c r="C20" s="212">
        <v>24</v>
      </c>
      <c r="D20" s="213">
        <v>275</v>
      </c>
      <c r="E20" s="120">
        <v>19279.999999998836</v>
      </c>
      <c r="F20" s="2">
        <v>19969838.399998795</v>
      </c>
      <c r="G20" s="44">
        <v>4000</v>
      </c>
      <c r="H20" s="2">
        <v>6214680</v>
      </c>
      <c r="I20" s="117">
        <f t="shared" si="5"/>
        <v>26184518.399998795</v>
      </c>
      <c r="J20" s="120">
        <v>1779.9999999997453</v>
      </c>
      <c r="K20" s="2">
        <v>1843688.3999997361</v>
      </c>
      <c r="L20" s="2">
        <v>420.00000000007276</v>
      </c>
      <c r="M20" s="73">
        <v>652541.40000011306</v>
      </c>
      <c r="N20" s="108">
        <v>2033754.0299999998</v>
      </c>
      <c r="O20" s="122">
        <f t="shared" si="6"/>
        <v>28218272.429998796</v>
      </c>
      <c r="P20" s="126">
        <f t="shared" si="7"/>
        <v>25479.999999998654</v>
      </c>
      <c r="Q20" s="156"/>
      <c r="R20" s="153"/>
      <c r="S20" s="12"/>
      <c r="T20" s="14"/>
      <c r="U20" s="33"/>
      <c r="V20" s="151">
        <f t="shared" si="8"/>
        <v>874.87</v>
      </c>
      <c r="W20" s="2">
        <v>67.64</v>
      </c>
      <c r="X20" s="2">
        <v>1215524.6200000001</v>
      </c>
      <c r="Y20" s="40">
        <v>807.23</v>
      </c>
      <c r="Z20" s="40">
        <v>7556.4204000000009</v>
      </c>
      <c r="AA20" s="40">
        <f t="shared" si="0"/>
        <v>1223081.0404000001</v>
      </c>
      <c r="AB20" s="144">
        <f t="shared" si="1"/>
        <v>94.256516439081423</v>
      </c>
      <c r="AC20" s="152">
        <v>120.23579999996481</v>
      </c>
      <c r="AD20" s="2">
        <v>0</v>
      </c>
      <c r="AE20" s="2">
        <v>0</v>
      </c>
      <c r="AF20" s="2">
        <v>12</v>
      </c>
      <c r="AG20" s="2">
        <f t="shared" si="2"/>
        <v>132.2357999999648</v>
      </c>
      <c r="AH20" s="2">
        <v>1245188.4167996764</v>
      </c>
      <c r="AI20" s="52">
        <f t="shared" si="3"/>
        <v>95.960217353584653</v>
      </c>
      <c r="AJ20" s="166">
        <v>424</v>
      </c>
      <c r="AK20" s="2">
        <v>4367200</v>
      </c>
      <c r="AL20" s="48">
        <f t="shared" si="4"/>
        <v>336.55746838993872</v>
      </c>
      <c r="AM20" s="6"/>
    </row>
    <row r="21" spans="1:39">
      <c r="A21" s="42"/>
      <c r="B21" s="69">
        <v>10</v>
      </c>
      <c r="C21" s="212">
        <v>28</v>
      </c>
      <c r="D21" s="213">
        <v>188</v>
      </c>
      <c r="E21" s="120">
        <v>19000</v>
      </c>
      <c r="F21" s="2">
        <v>19679820</v>
      </c>
      <c r="G21" s="44">
        <v>4119.9999999998909</v>
      </c>
      <c r="H21" s="2">
        <v>6401120.3999998309</v>
      </c>
      <c r="I21" s="117">
        <f t="shared" si="5"/>
        <v>26080940.399999831</v>
      </c>
      <c r="J21" s="120">
        <v>1820.0000000006185</v>
      </c>
      <c r="K21" s="2">
        <v>1885119.6000006406</v>
      </c>
      <c r="L21" s="2">
        <v>440.00000000005457</v>
      </c>
      <c r="M21" s="73">
        <v>683614.8000000848</v>
      </c>
      <c r="N21" s="108">
        <v>2001126.9599999993</v>
      </c>
      <c r="O21" s="122">
        <f t="shared" si="6"/>
        <v>28082067.359999832</v>
      </c>
      <c r="P21" s="126">
        <f t="shared" si="7"/>
        <v>25380.000000000564</v>
      </c>
      <c r="Q21" s="156"/>
      <c r="R21" s="153"/>
      <c r="S21" s="12"/>
      <c r="T21" s="14"/>
      <c r="U21" s="33"/>
      <c r="V21" s="151">
        <f t="shared" si="8"/>
        <v>946.95999999999992</v>
      </c>
      <c r="W21" s="2">
        <v>17.8</v>
      </c>
      <c r="X21" s="2">
        <v>319874.90000000002</v>
      </c>
      <c r="Y21" s="40">
        <v>929.16</v>
      </c>
      <c r="Z21" s="40">
        <v>102011.67540000001</v>
      </c>
      <c r="AA21" s="40">
        <f t="shared" si="0"/>
        <v>421886.57540000003</v>
      </c>
      <c r="AB21" s="144">
        <f t="shared" si="1"/>
        <v>32.512611688112521</v>
      </c>
      <c r="AC21" s="152">
        <v>127.00284000005391</v>
      </c>
      <c r="AD21" s="2">
        <v>0</v>
      </c>
      <c r="AE21" s="2">
        <v>250</v>
      </c>
      <c r="AF21" s="2">
        <v>12</v>
      </c>
      <c r="AG21" s="2">
        <f t="shared" si="2"/>
        <v>389.00284000005388</v>
      </c>
      <c r="AH21" s="2">
        <v>3929918.1166404961</v>
      </c>
      <c r="AI21" s="52">
        <f t="shared" si="3"/>
        <v>302.8584201127224</v>
      </c>
      <c r="AJ21" s="166">
        <v>289.89999999999782</v>
      </c>
      <c r="AK21" s="2">
        <v>2985969.9999999776</v>
      </c>
      <c r="AL21" s="48">
        <f t="shared" si="4"/>
        <v>230.11323133547759</v>
      </c>
      <c r="AM21" s="6"/>
    </row>
    <row r="22" spans="1:39">
      <c r="A22" s="42"/>
      <c r="B22" s="69">
        <v>11</v>
      </c>
      <c r="C22" s="212">
        <v>73</v>
      </c>
      <c r="D22" s="213">
        <v>240</v>
      </c>
      <c r="E22" s="120">
        <v>19520.000000000437</v>
      </c>
      <c r="F22" s="2">
        <v>20218425.600000452</v>
      </c>
      <c r="G22" s="44">
        <v>4199.9999999998181</v>
      </c>
      <c r="H22" s="2">
        <v>6525413.9999997178</v>
      </c>
      <c r="I22" s="117">
        <f t="shared" si="5"/>
        <v>26743839.600000169</v>
      </c>
      <c r="J22" s="120">
        <v>1939.9999999995998</v>
      </c>
      <c r="K22" s="2">
        <v>2009413.1999995855</v>
      </c>
      <c r="L22" s="2">
        <v>459.99999999980901</v>
      </c>
      <c r="M22" s="73">
        <v>714688.19999970333</v>
      </c>
      <c r="N22" s="108">
        <v>1924997.1300000006</v>
      </c>
      <c r="O22" s="122">
        <f t="shared" si="6"/>
        <v>28668836.730000168</v>
      </c>
      <c r="P22" s="126">
        <f t="shared" si="7"/>
        <v>26119.999999999665</v>
      </c>
      <c r="Q22" s="156"/>
      <c r="R22" s="153"/>
      <c r="S22" s="12"/>
      <c r="T22" s="14"/>
      <c r="U22" s="33"/>
      <c r="V22" s="151">
        <f t="shared" si="8"/>
        <v>849.95</v>
      </c>
      <c r="W22" s="2">
        <v>63.19</v>
      </c>
      <c r="X22" s="2">
        <v>1135555.895</v>
      </c>
      <c r="Y22" s="40">
        <v>786.76</v>
      </c>
      <c r="Z22" s="40">
        <v>623404.68299999996</v>
      </c>
      <c r="AA22" s="40">
        <f t="shared" si="0"/>
        <v>1758960.578</v>
      </c>
      <c r="AB22" s="144">
        <f t="shared" si="1"/>
        <v>135.55397488765877</v>
      </c>
      <c r="AC22" s="152">
        <v>117.33563999996014</v>
      </c>
      <c r="AD22" s="2">
        <v>0</v>
      </c>
      <c r="AE22" s="2">
        <v>0</v>
      </c>
      <c r="AF22" s="2">
        <v>0</v>
      </c>
      <c r="AG22" s="2">
        <f t="shared" si="2"/>
        <v>117.33563999996014</v>
      </c>
      <c r="AH22" s="2">
        <v>1079018.5454396333</v>
      </c>
      <c r="AI22" s="52">
        <f t="shared" si="3"/>
        <v>83.154366642003353</v>
      </c>
      <c r="AJ22" s="166">
        <v>454.70000000000073</v>
      </c>
      <c r="AK22" s="2">
        <v>4683410.0000000075</v>
      </c>
      <c r="AL22" s="48">
        <f t="shared" si="4"/>
        <v>360.92613414364479</v>
      </c>
      <c r="AM22" s="6"/>
    </row>
    <row r="23" spans="1:39">
      <c r="A23" s="42"/>
      <c r="B23" s="69">
        <v>12</v>
      </c>
      <c r="C23" s="212">
        <v>78</v>
      </c>
      <c r="D23" s="213">
        <v>408</v>
      </c>
      <c r="E23" s="120">
        <v>20559.999999999491</v>
      </c>
      <c r="F23" s="2">
        <v>21295636.799999472</v>
      </c>
      <c r="G23" s="44">
        <v>4280.0000000002001</v>
      </c>
      <c r="H23" s="2">
        <v>6649707.6000003116</v>
      </c>
      <c r="I23" s="117">
        <f t="shared" si="5"/>
        <v>27945344.399999782</v>
      </c>
      <c r="J23" s="120">
        <v>2020.0000000004366</v>
      </c>
      <c r="K23" s="2">
        <v>2092275.600000452</v>
      </c>
      <c r="L23" s="2">
        <v>500</v>
      </c>
      <c r="M23" s="73">
        <v>776835</v>
      </c>
      <c r="N23" s="108">
        <v>2012002.6499999997</v>
      </c>
      <c r="O23" s="122">
        <f t="shared" si="6"/>
        <v>29957347.049999781</v>
      </c>
      <c r="P23" s="126">
        <f t="shared" si="7"/>
        <v>27360.000000000127</v>
      </c>
      <c r="Q23" s="156"/>
      <c r="R23" s="154"/>
      <c r="S23" s="12"/>
      <c r="T23" s="14"/>
      <c r="U23" s="33"/>
      <c r="V23" s="151">
        <f t="shared" si="8"/>
        <v>887.33</v>
      </c>
      <c r="W23" s="2">
        <v>56.07</v>
      </c>
      <c r="X23" s="2">
        <v>1007605.9350000001</v>
      </c>
      <c r="Y23" s="40">
        <v>831.26</v>
      </c>
      <c r="Z23" s="40">
        <v>264474.71400000004</v>
      </c>
      <c r="AA23" s="40">
        <f t="shared" si="0"/>
        <v>1272080.6490000002</v>
      </c>
      <c r="AB23" s="144">
        <f t="shared" si="1"/>
        <v>98.032662304284273</v>
      </c>
      <c r="AC23" s="152">
        <v>125.63332000000936</v>
      </c>
      <c r="AD23" s="2">
        <v>0</v>
      </c>
      <c r="AE23" s="2">
        <v>0</v>
      </c>
      <c r="AF23" s="2">
        <v>12</v>
      </c>
      <c r="AG23" s="2">
        <f t="shared" si="2"/>
        <v>137.63332000000935</v>
      </c>
      <c r="AH23" s="2">
        <v>1294824.0107200861</v>
      </c>
      <c r="AI23" s="52">
        <f t="shared" si="3"/>
        <v>99.785375311059497</v>
      </c>
      <c r="AJ23" s="166">
        <v>639.60000000000218</v>
      </c>
      <c r="AK23" s="2">
        <v>6587880.0000000224</v>
      </c>
      <c r="AL23" s="48">
        <f t="shared" si="4"/>
        <v>507.69376599576776</v>
      </c>
      <c r="AM23" s="6"/>
    </row>
    <row r="24" spans="1:39">
      <c r="A24" s="42"/>
      <c r="B24" s="69">
        <v>13</v>
      </c>
      <c r="C24" s="212">
        <v>43</v>
      </c>
      <c r="D24" s="213">
        <v>433</v>
      </c>
      <c r="E24" s="120">
        <v>19320.000000001528</v>
      </c>
      <c r="F24" s="2">
        <v>20011269.600001581</v>
      </c>
      <c r="G24" s="44">
        <v>3880.0000000001091</v>
      </c>
      <c r="H24" s="2">
        <v>6028239.6000001701</v>
      </c>
      <c r="I24" s="117">
        <f t="shared" si="5"/>
        <v>26039509.20000175</v>
      </c>
      <c r="J24" s="120">
        <v>2139.9999999994179</v>
      </c>
      <c r="K24" s="2">
        <v>2216569.1999993972</v>
      </c>
      <c r="L24" s="2">
        <v>480.00000000001819</v>
      </c>
      <c r="M24" s="73">
        <v>745761.60000002827</v>
      </c>
      <c r="N24" s="108">
        <v>1968499.8900000006</v>
      </c>
      <c r="O24" s="122">
        <f t="shared" si="6"/>
        <v>28008009.090001751</v>
      </c>
      <c r="P24" s="126">
        <f t="shared" si="7"/>
        <v>25820.000000001073</v>
      </c>
      <c r="Q24" s="156"/>
      <c r="R24" s="155"/>
      <c r="S24" s="12"/>
      <c r="T24" s="14"/>
      <c r="U24" s="33"/>
      <c r="V24" s="151">
        <f t="shared" si="8"/>
        <v>861.5200000000001</v>
      </c>
      <c r="W24" s="2">
        <v>4.45</v>
      </c>
      <c r="X24" s="2">
        <v>79968.725000000006</v>
      </c>
      <c r="Y24" s="40">
        <v>857.07</v>
      </c>
      <c r="Z24" s="40">
        <v>309813.23640000005</v>
      </c>
      <c r="AA24" s="40">
        <f t="shared" si="0"/>
        <v>389781.96140000003</v>
      </c>
      <c r="AB24" s="144">
        <f t="shared" si="1"/>
        <v>30.038475488379014</v>
      </c>
      <c r="AC24" s="152">
        <v>121.52475999999295</v>
      </c>
      <c r="AD24" s="2">
        <v>0</v>
      </c>
      <c r="AE24" s="2">
        <v>0</v>
      </c>
      <c r="AF24" s="2">
        <v>12</v>
      </c>
      <c r="AG24" s="2">
        <f t="shared" si="2"/>
        <v>133.52475999999297</v>
      </c>
      <c r="AH24" s="2">
        <v>1257041.6929599352</v>
      </c>
      <c r="AI24" s="52">
        <f t="shared" si="3"/>
        <v>96.87368791060598</v>
      </c>
      <c r="AJ24" s="166">
        <v>389.79999999999927</v>
      </c>
      <c r="AK24" s="2">
        <v>4014939.9999999925</v>
      </c>
      <c r="AL24" s="48">
        <f t="shared" si="4"/>
        <v>309.41061598678743</v>
      </c>
      <c r="AM24" s="6"/>
    </row>
    <row r="25" spans="1:39">
      <c r="A25" s="42"/>
      <c r="B25" s="69">
        <v>14</v>
      </c>
      <c r="C25" s="212">
        <v>43</v>
      </c>
      <c r="D25" s="213">
        <v>332</v>
      </c>
      <c r="E25" s="120">
        <v>18840.000000000146</v>
      </c>
      <c r="F25" s="2">
        <v>19514095.200000152</v>
      </c>
      <c r="G25" s="44">
        <v>3920.0000000000728</v>
      </c>
      <c r="H25" s="2">
        <v>6090386.4000001131</v>
      </c>
      <c r="I25" s="117">
        <f t="shared" si="5"/>
        <v>25604481.600000266</v>
      </c>
      <c r="J25" s="120">
        <v>1920.0000000000728</v>
      </c>
      <c r="K25" s="2">
        <v>1988697.6000000753</v>
      </c>
      <c r="L25" s="2">
        <v>480.00000000001819</v>
      </c>
      <c r="M25" s="73">
        <v>745761.60000002827</v>
      </c>
      <c r="N25" s="108">
        <v>2207765.0700000003</v>
      </c>
      <c r="O25" s="122">
        <f t="shared" si="6"/>
        <v>27812246.670000266</v>
      </c>
      <c r="P25" s="126">
        <f t="shared" si="7"/>
        <v>25160.000000000309</v>
      </c>
      <c r="Q25" s="156"/>
      <c r="R25" s="155"/>
      <c r="S25" s="12"/>
      <c r="T25" s="14"/>
      <c r="U25" s="33"/>
      <c r="V25" s="151">
        <f t="shared" si="8"/>
        <v>825.92</v>
      </c>
      <c r="W25" s="2">
        <v>1.78</v>
      </c>
      <c r="X25" s="2">
        <v>31987.49</v>
      </c>
      <c r="Y25" s="40">
        <v>824.14</v>
      </c>
      <c r="Z25" s="40">
        <v>283365.76500000001</v>
      </c>
      <c r="AA25" s="40">
        <f t="shared" si="0"/>
        <v>315353.255</v>
      </c>
      <c r="AB25" s="144">
        <f t="shared" si="1"/>
        <v>24.302640857145718</v>
      </c>
      <c r="AC25" s="152">
        <v>103.19736000003985</v>
      </c>
      <c r="AD25" s="2">
        <v>0</v>
      </c>
      <c r="AE25" s="2">
        <v>0</v>
      </c>
      <c r="AF25" s="2">
        <v>36</v>
      </c>
      <c r="AG25" s="2">
        <f t="shared" si="2"/>
        <v>139.19736000003985</v>
      </c>
      <c r="AH25" s="2">
        <v>1367502.9225603663</v>
      </c>
      <c r="AI25" s="52">
        <f t="shared" si="3"/>
        <v>105.38636234492566</v>
      </c>
      <c r="AJ25" s="166">
        <v>414.29999999997744</v>
      </c>
      <c r="AK25" s="2">
        <v>4267289.9999997681</v>
      </c>
      <c r="AL25" s="48">
        <f t="shared" si="4"/>
        <v>328.8579225328869</v>
      </c>
      <c r="AM25" s="6"/>
    </row>
    <row r="26" spans="1:39">
      <c r="A26" s="42"/>
      <c r="B26" s="69">
        <v>15</v>
      </c>
      <c r="C26" s="212">
        <v>37</v>
      </c>
      <c r="D26" s="213">
        <v>325</v>
      </c>
      <c r="E26" s="120">
        <v>17759.999999998399</v>
      </c>
      <c r="F26" s="2">
        <v>18395452.799998343</v>
      </c>
      <c r="G26" s="44">
        <v>3559.9999999999454</v>
      </c>
      <c r="H26" s="2">
        <v>5531065.1999999154</v>
      </c>
      <c r="I26" s="117">
        <f t="shared" si="5"/>
        <v>23926517.999998257</v>
      </c>
      <c r="J26" s="120">
        <v>2079.9999999999272</v>
      </c>
      <c r="K26" s="2">
        <v>2154422.3999999245</v>
      </c>
      <c r="L26" s="2">
        <v>460.00000000003638</v>
      </c>
      <c r="M26" s="73">
        <v>714688.20000005653</v>
      </c>
      <c r="N26" s="108">
        <v>2001126.9600000007</v>
      </c>
      <c r="O26" s="122">
        <f t="shared" si="6"/>
        <v>25927644.959998257</v>
      </c>
      <c r="P26" s="126">
        <f t="shared" si="7"/>
        <v>23859.999999998308</v>
      </c>
      <c r="Q26" s="156"/>
      <c r="R26" s="155"/>
      <c r="S26" s="12"/>
      <c r="T26" s="14"/>
      <c r="U26" s="33"/>
      <c r="V26" s="151">
        <f t="shared" si="8"/>
        <v>815.24000000000012</v>
      </c>
      <c r="W26" s="2">
        <v>18.690000000000001</v>
      </c>
      <c r="X26" s="2">
        <v>335868.64500000002</v>
      </c>
      <c r="Y26" s="40">
        <v>796.55000000000007</v>
      </c>
      <c r="Z26" s="40">
        <v>309813.23640000005</v>
      </c>
      <c r="AA26" s="40">
        <f t="shared" si="0"/>
        <v>645681.88140000007</v>
      </c>
      <c r="AB26" s="144">
        <f t="shared" si="1"/>
        <v>49.759355969325128</v>
      </c>
      <c r="AC26" s="152">
        <v>115.88555999995779</v>
      </c>
      <c r="AD26" s="2">
        <v>0</v>
      </c>
      <c r="AE26" s="2">
        <v>150</v>
      </c>
      <c r="AF26" s="2">
        <v>12</v>
      </c>
      <c r="AG26" s="2">
        <f t="shared" si="2"/>
        <v>277.88555999995776</v>
      </c>
      <c r="AH26" s="2">
        <v>2778683.609759612</v>
      </c>
      <c r="AI26" s="52">
        <f t="shared" si="3"/>
        <v>214.13874362459046</v>
      </c>
      <c r="AJ26" s="166">
        <v>401.69999999999709</v>
      </c>
      <c r="AK26" s="2">
        <v>4137509.9999999702</v>
      </c>
      <c r="AL26" s="48">
        <f t="shared" si="4"/>
        <v>318.85645059489957</v>
      </c>
      <c r="AM26" s="6"/>
    </row>
    <row r="27" spans="1:39">
      <c r="A27" s="42"/>
      <c r="B27" s="69">
        <v>16</v>
      </c>
      <c r="C27" s="212">
        <v>31</v>
      </c>
      <c r="D27" s="213">
        <v>249</v>
      </c>
      <c r="E27" s="120">
        <v>16560.00000000131</v>
      </c>
      <c r="F27" s="2">
        <v>17152516.800001357</v>
      </c>
      <c r="G27" s="44">
        <v>3559.9999999999454</v>
      </c>
      <c r="H27" s="2">
        <v>5531065.1999999154</v>
      </c>
      <c r="I27" s="117">
        <f t="shared" si="5"/>
        <v>22683582.000001274</v>
      </c>
      <c r="J27" s="120">
        <v>2100.0000000003638</v>
      </c>
      <c r="K27" s="2">
        <v>2175138.0000003767</v>
      </c>
      <c r="L27" s="2">
        <v>480.00000000001819</v>
      </c>
      <c r="M27" s="73">
        <v>745761.60000002827</v>
      </c>
      <c r="N27" s="108">
        <v>1903245.7499999986</v>
      </c>
      <c r="O27" s="122">
        <f t="shared" si="6"/>
        <v>24586827.750001274</v>
      </c>
      <c r="P27" s="126">
        <f t="shared" si="7"/>
        <v>22700.000000001637</v>
      </c>
      <c r="Q27" s="156"/>
      <c r="R27" s="155"/>
      <c r="S27" s="12"/>
      <c r="T27" s="14"/>
      <c r="U27" s="33"/>
      <c r="V27" s="151">
        <f t="shared" si="8"/>
        <v>769.85000000000014</v>
      </c>
      <c r="W27" s="204">
        <v>40.94</v>
      </c>
      <c r="X27" s="2">
        <v>735712.2699999999</v>
      </c>
      <c r="Y27" s="40">
        <v>728.91000000000008</v>
      </c>
      <c r="Z27" s="40">
        <v>302256.81600000005</v>
      </c>
      <c r="AA27" s="40">
        <f t="shared" si="0"/>
        <v>1037969.0859999999</v>
      </c>
      <c r="AB27" s="144">
        <f t="shared" si="1"/>
        <v>79.990897566216006</v>
      </c>
      <c r="AC27" s="152">
        <v>114.79799999999999</v>
      </c>
      <c r="AD27" s="2">
        <v>0</v>
      </c>
      <c r="AE27" s="2">
        <v>0</v>
      </c>
      <c r="AF27" s="2">
        <v>12</v>
      </c>
      <c r="AG27" s="2">
        <f t="shared" si="2"/>
        <v>126.79799999999999</v>
      </c>
      <c r="AH27" s="2">
        <v>1195182.4079999998</v>
      </c>
      <c r="AI27" s="52">
        <f t="shared" si="3"/>
        <v>92.10651344126002</v>
      </c>
      <c r="AJ27" s="166">
        <v>396.39000000000306</v>
      </c>
      <c r="AK27" s="2">
        <v>4082817.0000000317</v>
      </c>
      <c r="AL27" s="48">
        <f t="shared" si="4"/>
        <v>314.64154456388877</v>
      </c>
      <c r="AM27" s="6"/>
    </row>
    <row r="28" spans="1:39">
      <c r="A28" s="42"/>
      <c r="B28" s="69">
        <v>17</v>
      </c>
      <c r="C28" s="212">
        <v>54</v>
      </c>
      <c r="D28" s="213">
        <v>260</v>
      </c>
      <c r="E28" s="120">
        <v>17399.999999999636</v>
      </c>
      <c r="F28" s="2">
        <v>18022571.999999624</v>
      </c>
      <c r="G28" s="44">
        <v>3880.0000000001091</v>
      </c>
      <c r="H28" s="2">
        <v>6028239.6000001701</v>
      </c>
      <c r="I28" s="117">
        <f t="shared" si="5"/>
        <v>24050811.599999793</v>
      </c>
      <c r="J28" s="120">
        <v>2039.9999999999636</v>
      </c>
      <c r="K28" s="2">
        <v>2112991.1999999625</v>
      </c>
      <c r="L28" s="2">
        <v>500</v>
      </c>
      <c r="M28" s="73">
        <v>776835</v>
      </c>
      <c r="N28" s="108">
        <v>1696607.64</v>
      </c>
      <c r="O28" s="122">
        <f t="shared" si="6"/>
        <v>25747419.239999793</v>
      </c>
      <c r="P28" s="126">
        <f t="shared" si="7"/>
        <v>23819.999999999709</v>
      </c>
      <c r="Q28" s="156"/>
      <c r="R28" s="155"/>
      <c r="S28" s="12"/>
      <c r="T28" s="14"/>
      <c r="U28" s="33"/>
      <c r="V28" s="151">
        <f t="shared" si="8"/>
        <v>884.66</v>
      </c>
      <c r="W28" s="204">
        <v>37.380000000000003</v>
      </c>
      <c r="X28" s="2">
        <v>671737.29</v>
      </c>
      <c r="Y28" s="40">
        <v>847.28</v>
      </c>
      <c r="Z28" s="40">
        <v>71785.993800000011</v>
      </c>
      <c r="AA28" s="40">
        <f t="shared" si="0"/>
        <v>743523.28380000009</v>
      </c>
      <c r="AB28" s="144">
        <f t="shared" si="1"/>
        <v>57.299485731063832</v>
      </c>
      <c r="AC28" s="152">
        <v>128.41264000001874</v>
      </c>
      <c r="AD28" s="2">
        <v>0</v>
      </c>
      <c r="AE28" s="2">
        <v>0</v>
      </c>
      <c r="AF28" s="2">
        <v>0</v>
      </c>
      <c r="AG28" s="2">
        <f t="shared" si="2"/>
        <v>128.41264000001874</v>
      </c>
      <c r="AH28" s="2">
        <v>1180882.6374401723</v>
      </c>
      <c r="AI28" s="52">
        <f t="shared" si="3"/>
        <v>91.00450424127547</v>
      </c>
      <c r="AJ28" s="166">
        <v>337.5099999999984</v>
      </c>
      <c r="AK28" s="2">
        <v>3476352.9999999837</v>
      </c>
      <c r="AL28" s="48">
        <f t="shared" si="4"/>
        <v>267.90450744407474</v>
      </c>
      <c r="AM28" s="6"/>
    </row>
    <row r="29" spans="1:39">
      <c r="A29" s="42"/>
      <c r="B29" s="69">
        <v>18</v>
      </c>
      <c r="C29" s="212">
        <v>72</v>
      </c>
      <c r="D29" s="213">
        <v>419</v>
      </c>
      <c r="E29" s="120">
        <v>19119.999999998981</v>
      </c>
      <c r="F29" s="2">
        <v>19804113.599998944</v>
      </c>
      <c r="G29" s="44">
        <v>4159.9999999998545</v>
      </c>
      <c r="H29" s="2">
        <v>6463267.1999997739</v>
      </c>
      <c r="I29" s="117">
        <f t="shared" si="5"/>
        <v>26267380.799998716</v>
      </c>
      <c r="J29" s="120">
        <v>2000</v>
      </c>
      <c r="K29" s="2">
        <v>2071560</v>
      </c>
      <c r="L29" s="2">
        <v>500</v>
      </c>
      <c r="M29" s="73">
        <v>776835</v>
      </c>
      <c r="N29" s="108">
        <v>2196889.3800000013</v>
      </c>
      <c r="O29" s="122">
        <f t="shared" si="6"/>
        <v>28464270.179998718</v>
      </c>
      <c r="P29" s="126">
        <f t="shared" si="7"/>
        <v>25779.999999998836</v>
      </c>
      <c r="Q29" s="156"/>
      <c r="R29" s="155"/>
      <c r="S29" s="12"/>
      <c r="T29" s="14"/>
      <c r="U29" s="33"/>
      <c r="V29" s="151">
        <f t="shared" si="8"/>
        <v>852.62</v>
      </c>
      <c r="W29" s="204">
        <v>37.380000000000003</v>
      </c>
      <c r="X29" s="2">
        <v>671737.29</v>
      </c>
      <c r="Y29" s="40">
        <v>815.24</v>
      </c>
      <c r="Z29" s="40">
        <v>15112.840800000002</v>
      </c>
      <c r="AA29" s="40">
        <f t="shared" si="0"/>
        <v>686850.13080000004</v>
      </c>
      <c r="AB29" s="144">
        <f t="shared" si="1"/>
        <v>52.931979571658339</v>
      </c>
      <c r="AC29" s="152">
        <v>119.71216000000467</v>
      </c>
      <c r="AD29" s="2">
        <v>0</v>
      </c>
      <c r="AE29" s="2">
        <v>0</v>
      </c>
      <c r="AF29" s="2">
        <v>0</v>
      </c>
      <c r="AG29" s="2">
        <f t="shared" si="2"/>
        <v>119.71216000000467</v>
      </c>
      <c r="AH29" s="2">
        <v>1100873.0233600431</v>
      </c>
      <c r="AI29" s="52">
        <f t="shared" si="3"/>
        <v>84.838577981506219</v>
      </c>
      <c r="AJ29" s="166">
        <v>457.59999999999854</v>
      </c>
      <c r="AK29" s="2">
        <v>4713279.9999999851</v>
      </c>
      <c r="AL29" s="48">
        <f t="shared" si="4"/>
        <v>363.22806022461197</v>
      </c>
      <c r="AM29" s="6"/>
    </row>
    <row r="30" spans="1:39">
      <c r="A30" s="42"/>
      <c r="B30" s="69">
        <v>19</v>
      </c>
      <c r="C30" s="212">
        <v>73</v>
      </c>
      <c r="D30" s="213">
        <v>540</v>
      </c>
      <c r="E30" s="120">
        <v>20920.000000000073</v>
      </c>
      <c r="F30" s="2">
        <v>21668517.600000076</v>
      </c>
      <c r="G30" s="44">
        <v>4480.0000000000182</v>
      </c>
      <c r="H30" s="2">
        <v>6960441.6000000285</v>
      </c>
      <c r="I30" s="117">
        <f t="shared" si="5"/>
        <v>28628959.200000104</v>
      </c>
      <c r="J30" s="120">
        <v>2019.9999999995271</v>
      </c>
      <c r="K30" s="2">
        <v>2092275.59999951</v>
      </c>
      <c r="L30" s="2">
        <v>519.99999999998181</v>
      </c>
      <c r="M30" s="73">
        <v>807908.39999997173</v>
      </c>
      <c r="N30" s="108">
        <v>2012002.6500000011</v>
      </c>
      <c r="O30" s="122">
        <f t="shared" si="6"/>
        <v>30640961.850000106</v>
      </c>
      <c r="P30" s="126">
        <f t="shared" si="7"/>
        <v>27939.9999999996</v>
      </c>
      <c r="Q30" s="156"/>
      <c r="R30" s="155"/>
      <c r="S30" s="12"/>
      <c r="T30" s="14"/>
      <c r="U30" s="33"/>
      <c r="V30" s="151">
        <f t="shared" si="8"/>
        <v>890.89</v>
      </c>
      <c r="W30" s="204">
        <v>32.04</v>
      </c>
      <c r="X30" s="2">
        <v>575774.81999999995</v>
      </c>
      <c r="Y30" s="40">
        <v>858.85</v>
      </c>
      <c r="Z30" s="40">
        <v>313591.44660000002</v>
      </c>
      <c r="AA30" s="40">
        <f t="shared" si="0"/>
        <v>889366.26659999997</v>
      </c>
      <c r="AB30" s="144">
        <f t="shared" si="1"/>
        <v>68.538848497505796</v>
      </c>
      <c r="AC30" s="152">
        <v>127.24451999998593</v>
      </c>
      <c r="AD30" s="2">
        <v>0</v>
      </c>
      <c r="AE30" s="2">
        <v>150</v>
      </c>
      <c r="AF30" s="2">
        <v>12</v>
      </c>
      <c r="AG30" s="2">
        <f t="shared" si="2"/>
        <v>289.24451999998593</v>
      </c>
      <c r="AH30" s="2">
        <v>2883140.6059198705</v>
      </c>
      <c r="AI30" s="52">
        <f t="shared" si="3"/>
        <v>222.18870290818501</v>
      </c>
      <c r="AJ30" s="166">
        <v>672.25000000000728</v>
      </c>
      <c r="AK30" s="2">
        <v>6924175.0000000745</v>
      </c>
      <c r="AL30" s="48">
        <f t="shared" si="4"/>
        <v>533.61027859702529</v>
      </c>
      <c r="AM30" s="6"/>
    </row>
    <row r="31" spans="1:39">
      <c r="A31" s="42"/>
      <c r="B31" s="69">
        <v>20</v>
      </c>
      <c r="C31" s="212">
        <v>76</v>
      </c>
      <c r="D31" s="213">
        <v>566</v>
      </c>
      <c r="E31" s="120">
        <v>21079.999999999927</v>
      </c>
      <c r="F31" s="2">
        <v>21834242.399999924</v>
      </c>
      <c r="G31" s="44">
        <v>4440.0000000000546</v>
      </c>
      <c r="H31" s="2">
        <v>6898294.8000000855</v>
      </c>
      <c r="I31" s="117">
        <f t="shared" si="5"/>
        <v>28732537.20000001</v>
      </c>
      <c r="J31" s="120">
        <v>2020.0000000004366</v>
      </c>
      <c r="K31" s="2">
        <v>2092275.600000452</v>
      </c>
      <c r="L31" s="2">
        <v>500</v>
      </c>
      <c r="M31" s="73">
        <v>776835</v>
      </c>
      <c r="N31" s="108">
        <v>2131635.239999997</v>
      </c>
      <c r="O31" s="122">
        <f t="shared" si="6"/>
        <v>30864172.440000009</v>
      </c>
      <c r="P31" s="126">
        <f t="shared" si="7"/>
        <v>28040.000000000418</v>
      </c>
      <c r="Q31" s="156"/>
      <c r="R31" s="155"/>
      <c r="S31" s="12"/>
      <c r="T31" s="14"/>
      <c r="U31" s="33"/>
      <c r="V31" s="151">
        <f t="shared" si="8"/>
        <v>897.12</v>
      </c>
      <c r="W31" s="204">
        <v>0</v>
      </c>
      <c r="X31" s="2">
        <v>0</v>
      </c>
      <c r="Y31" s="40">
        <v>897.12</v>
      </c>
      <c r="Z31" s="40">
        <v>491167.32600000006</v>
      </c>
      <c r="AA31" s="40">
        <f t="shared" si="0"/>
        <v>491167.32600000006</v>
      </c>
      <c r="AB31" s="144">
        <f t="shared" si="1"/>
        <v>37.85172004818093</v>
      </c>
      <c r="AC31" s="152">
        <v>127.76816000000467</v>
      </c>
      <c r="AD31" s="2">
        <v>0</v>
      </c>
      <c r="AE31" s="2">
        <v>0</v>
      </c>
      <c r="AF31" s="2">
        <v>12</v>
      </c>
      <c r="AG31" s="2">
        <f t="shared" si="2"/>
        <v>139.76816000000468</v>
      </c>
      <c r="AH31" s="2">
        <v>1314455.9993600429</v>
      </c>
      <c r="AI31" s="52">
        <f t="shared" si="3"/>
        <v>101.29831092108969</v>
      </c>
      <c r="AJ31" s="166">
        <v>444.83000000000175</v>
      </c>
      <c r="AK31" s="2">
        <v>4581749.0000000177</v>
      </c>
      <c r="AL31" s="48">
        <f t="shared" si="4"/>
        <v>353.09164779220993</v>
      </c>
      <c r="AM31" s="6"/>
    </row>
    <row r="32" spans="1:39">
      <c r="A32" s="42"/>
      <c r="B32" s="69">
        <v>21</v>
      </c>
      <c r="C32" s="212">
        <v>82</v>
      </c>
      <c r="D32" s="213">
        <v>603</v>
      </c>
      <c r="E32" s="120">
        <v>22040.000000000873</v>
      </c>
      <c r="F32" s="2">
        <v>22828591.200000905</v>
      </c>
      <c r="G32" s="44">
        <v>4559.9999999999454</v>
      </c>
      <c r="H32" s="2">
        <v>7084735.1999999154</v>
      </c>
      <c r="I32" s="117">
        <f t="shared" si="5"/>
        <v>29913326.400000818</v>
      </c>
      <c r="J32" s="120">
        <v>2099.9999999994543</v>
      </c>
      <c r="K32" s="2">
        <v>2175137.9999994347</v>
      </c>
      <c r="L32" s="2">
        <v>500</v>
      </c>
      <c r="M32" s="73">
        <v>776835</v>
      </c>
      <c r="N32" s="108">
        <v>2751549.5700000026</v>
      </c>
      <c r="O32" s="122">
        <f t="shared" si="6"/>
        <v>32664875.970000822</v>
      </c>
      <c r="P32" s="126">
        <f t="shared" si="7"/>
        <v>29200.000000000273</v>
      </c>
      <c r="Q32" s="156"/>
      <c r="R32" s="155"/>
      <c r="S32" s="12"/>
      <c r="T32" s="14"/>
      <c r="U32" s="33"/>
      <c r="V32" s="151">
        <f t="shared" si="8"/>
        <v>896.23</v>
      </c>
      <c r="W32" s="204">
        <v>29.37</v>
      </c>
      <c r="X32" s="2">
        <v>527793.58499999996</v>
      </c>
      <c r="Y32" s="40">
        <v>866.86</v>
      </c>
      <c r="Z32" s="40">
        <v>498723.74640000006</v>
      </c>
      <c r="AA32" s="40">
        <f t="shared" si="0"/>
        <v>1026517.3314</v>
      </c>
      <c r="AB32" s="144">
        <f t="shared" si="1"/>
        <v>79.108370194719669</v>
      </c>
      <c r="AC32" s="152">
        <v>132.48091999999764</v>
      </c>
      <c r="AD32" s="2">
        <v>0</v>
      </c>
      <c r="AE32" s="2">
        <v>150</v>
      </c>
      <c r="AF32" s="2">
        <v>24</v>
      </c>
      <c r="AG32" s="2">
        <f t="shared" si="2"/>
        <v>306.48091999999764</v>
      </c>
      <c r="AH32" s="2">
        <v>3070794.5403199783</v>
      </c>
      <c r="AI32" s="52">
        <f t="shared" si="3"/>
        <v>236.65021900433629</v>
      </c>
      <c r="AJ32" s="166">
        <v>950.36999999998807</v>
      </c>
      <c r="AK32" s="2">
        <v>9788810.9999998771</v>
      </c>
      <c r="AL32" s="48">
        <f t="shared" si="4"/>
        <v>754.37292743807086</v>
      </c>
      <c r="AM32" s="6"/>
    </row>
    <row r="33" spans="1:39">
      <c r="A33" s="42"/>
      <c r="B33" s="69">
        <v>22</v>
      </c>
      <c r="C33" s="212">
        <v>78</v>
      </c>
      <c r="D33" s="213">
        <v>576</v>
      </c>
      <c r="E33" s="120">
        <v>20120.0000000008</v>
      </c>
      <c r="F33" s="2">
        <v>20839893.600000829</v>
      </c>
      <c r="G33" s="44">
        <v>4239.9999999997817</v>
      </c>
      <c r="H33" s="2">
        <v>6587560.7999996608</v>
      </c>
      <c r="I33" s="117">
        <f t="shared" si="5"/>
        <v>27427454.40000049</v>
      </c>
      <c r="J33" s="120">
        <v>2300.0000000001819</v>
      </c>
      <c r="K33" s="2">
        <v>2382294.0000001881</v>
      </c>
      <c r="L33" s="2">
        <v>480.00000000001819</v>
      </c>
      <c r="M33" s="73">
        <v>745761.60000002827</v>
      </c>
      <c r="N33" s="108">
        <v>2088132.4799999997</v>
      </c>
      <c r="O33" s="122">
        <f t="shared" si="6"/>
        <v>29515586.880000491</v>
      </c>
      <c r="P33" s="126">
        <f t="shared" si="7"/>
        <v>27140.000000000782</v>
      </c>
      <c r="Q33" s="156"/>
      <c r="R33" s="155"/>
      <c r="S33" s="12"/>
      <c r="T33" s="14"/>
      <c r="U33" s="33"/>
      <c r="V33" s="151">
        <f t="shared" si="8"/>
        <v>865.07999999999993</v>
      </c>
      <c r="W33" s="204">
        <v>45.39</v>
      </c>
      <c r="X33" s="2">
        <v>815680.995</v>
      </c>
      <c r="Y33" s="40">
        <v>819.68999999999994</v>
      </c>
      <c r="Z33" s="40">
        <v>479832.69540000003</v>
      </c>
      <c r="AA33" s="40">
        <f t="shared" si="0"/>
        <v>1295513.6904</v>
      </c>
      <c r="AB33" s="144">
        <f t="shared" si="1"/>
        <v>99.838525349315546</v>
      </c>
      <c r="AC33" s="152">
        <v>124.02211999997419</v>
      </c>
      <c r="AD33" s="2">
        <v>0</v>
      </c>
      <c r="AE33" s="2">
        <v>0</v>
      </c>
      <c r="AF33" s="2">
        <v>12</v>
      </c>
      <c r="AG33" s="2">
        <f t="shared" si="2"/>
        <v>136.02211999997419</v>
      </c>
      <c r="AH33" s="2">
        <v>1280007.4155197628</v>
      </c>
      <c r="AI33" s="52">
        <f t="shared" si="3"/>
        <v>98.643537114782859</v>
      </c>
      <c r="AJ33" s="166">
        <v>465.5</v>
      </c>
      <c r="AK33" s="2">
        <v>4794650</v>
      </c>
      <c r="AL33" s="48">
        <f t="shared" si="4"/>
        <v>369.49882437621812</v>
      </c>
      <c r="AM33" s="6"/>
    </row>
    <row r="34" spans="1:39">
      <c r="A34" s="42"/>
      <c r="B34" s="69">
        <v>23</v>
      </c>
      <c r="C34" s="212">
        <v>77</v>
      </c>
      <c r="D34" s="213">
        <v>588</v>
      </c>
      <c r="E34" s="120">
        <v>19879.9999999992</v>
      </c>
      <c r="F34" s="2">
        <v>20591306.399999171</v>
      </c>
      <c r="G34" s="44">
        <v>4400.0000000000909</v>
      </c>
      <c r="H34" s="2">
        <v>6836148.0000001416</v>
      </c>
      <c r="I34" s="117">
        <f t="shared" si="5"/>
        <v>27427454.399999313</v>
      </c>
      <c r="J34" s="120">
        <v>1920.0000000000728</v>
      </c>
      <c r="K34" s="2">
        <v>1988697.6000000753</v>
      </c>
      <c r="L34" s="2">
        <v>480.00000000001819</v>
      </c>
      <c r="M34" s="73">
        <v>745761.60000002827</v>
      </c>
      <c r="N34" s="108">
        <v>1707483.3299999984</v>
      </c>
      <c r="O34" s="122">
        <f t="shared" si="6"/>
        <v>29134937.729999311</v>
      </c>
      <c r="P34" s="126">
        <f t="shared" si="7"/>
        <v>26679.999999999382</v>
      </c>
      <c r="Q34" s="133"/>
      <c r="R34" s="155"/>
      <c r="S34" s="12"/>
      <c r="T34" s="14"/>
      <c r="U34" s="33"/>
      <c r="V34" s="151">
        <f t="shared" si="8"/>
        <v>833.04</v>
      </c>
      <c r="W34" s="2">
        <v>16.91</v>
      </c>
      <c r="X34" s="2">
        <v>303881.15500000003</v>
      </c>
      <c r="Y34" s="40">
        <v>816.13</v>
      </c>
      <c r="Z34" s="40">
        <v>234249.03240000003</v>
      </c>
      <c r="AA34" s="40">
        <f t="shared" si="0"/>
        <v>538130.18740000005</v>
      </c>
      <c r="AB34" s="144">
        <f t="shared" si="1"/>
        <v>41.47090436333287</v>
      </c>
      <c r="AC34" s="152">
        <v>140.21468000004921</v>
      </c>
      <c r="AD34" s="2">
        <v>0</v>
      </c>
      <c r="AE34" s="2">
        <v>0</v>
      </c>
      <c r="AF34" s="2">
        <v>0</v>
      </c>
      <c r="AG34" s="2">
        <f t="shared" si="2"/>
        <v>140.21468000004921</v>
      </c>
      <c r="AH34" s="2">
        <v>1289414.1972804526</v>
      </c>
      <c r="AI34" s="52">
        <f t="shared" si="3"/>
        <v>99.368469028840934</v>
      </c>
      <c r="AJ34" s="166">
        <v>446</v>
      </c>
      <c r="AK34" s="2">
        <v>4593800</v>
      </c>
      <c r="AL34" s="48">
        <f t="shared" si="4"/>
        <v>354.02035590073746</v>
      </c>
      <c r="AM34" s="6"/>
    </row>
    <row r="35" spans="1:39">
      <c r="A35" s="42"/>
      <c r="B35" s="69">
        <v>24</v>
      </c>
      <c r="C35" s="212">
        <v>67</v>
      </c>
      <c r="D35" s="213">
        <v>550</v>
      </c>
      <c r="E35" s="120">
        <v>20719.999999999345</v>
      </c>
      <c r="F35" s="2">
        <v>21461361.59999932</v>
      </c>
      <c r="G35" s="44">
        <v>4400.0000000000909</v>
      </c>
      <c r="H35" s="2">
        <v>6836148.0000001416</v>
      </c>
      <c r="I35" s="117">
        <f t="shared" si="5"/>
        <v>28297509.599999461</v>
      </c>
      <c r="J35" s="120">
        <v>2020.0000000004366</v>
      </c>
      <c r="K35" s="2">
        <v>2092275.600000452</v>
      </c>
      <c r="L35" s="2">
        <v>500</v>
      </c>
      <c r="M35" s="73">
        <v>776835</v>
      </c>
      <c r="N35" s="108">
        <v>2327397.6600000029</v>
      </c>
      <c r="O35" s="122">
        <f t="shared" si="6"/>
        <v>30624907.259999465</v>
      </c>
      <c r="P35" s="126">
        <f t="shared" si="7"/>
        <v>27639.999999999873</v>
      </c>
      <c r="Q35" s="133"/>
      <c r="R35" s="155"/>
      <c r="S35" s="12"/>
      <c r="T35" s="14"/>
      <c r="U35" s="33"/>
      <c r="V35" s="151">
        <f t="shared" si="8"/>
        <v>887.33</v>
      </c>
      <c r="W35" s="2">
        <v>0</v>
      </c>
      <c r="X35" s="2">
        <v>0</v>
      </c>
      <c r="Y35" s="40">
        <v>887.33</v>
      </c>
      <c r="Z35" s="40">
        <v>494945.53620000003</v>
      </c>
      <c r="AA35" s="40">
        <f t="shared" si="0"/>
        <v>494945.53620000003</v>
      </c>
      <c r="AB35" s="144">
        <f t="shared" si="1"/>
        <v>38.142887125474623</v>
      </c>
      <c r="AC35" s="152">
        <v>142.67175999999296</v>
      </c>
      <c r="AD35" s="2">
        <v>0</v>
      </c>
      <c r="AE35" s="2">
        <v>0</v>
      </c>
      <c r="AF35" s="2">
        <v>36</v>
      </c>
      <c r="AG35" s="2">
        <f t="shared" si="2"/>
        <v>178.67175999999296</v>
      </c>
      <c r="AH35" s="2">
        <v>1730509.5049599353</v>
      </c>
      <c r="AI35" s="52">
        <f t="shared" si="3"/>
        <v>133.36139815305961</v>
      </c>
      <c r="AJ35" s="166">
        <v>479</v>
      </c>
      <c r="AK35" s="2">
        <v>4933700</v>
      </c>
      <c r="AL35" s="48">
        <f t="shared" si="4"/>
        <v>380.21468716693551</v>
      </c>
      <c r="AM35" s="6"/>
    </row>
    <row r="36" spans="1:39">
      <c r="A36" s="42"/>
      <c r="B36" s="69">
        <v>25</v>
      </c>
      <c r="C36" s="212">
        <v>81</v>
      </c>
      <c r="D36" s="213">
        <v>566</v>
      </c>
      <c r="E36" s="120">
        <v>20040.000000000873</v>
      </c>
      <c r="F36" s="2">
        <v>20757031.200000905</v>
      </c>
      <c r="G36" s="44">
        <v>4239.9999999997817</v>
      </c>
      <c r="H36" s="2">
        <v>6587560.7999996608</v>
      </c>
      <c r="I36" s="117">
        <f t="shared" si="5"/>
        <v>27344592.000000566</v>
      </c>
      <c r="J36" s="120">
        <v>2199.9999999998181</v>
      </c>
      <c r="K36" s="2">
        <v>2278715.9999998114</v>
      </c>
      <c r="L36" s="2">
        <v>500</v>
      </c>
      <c r="M36" s="73">
        <v>776835</v>
      </c>
      <c r="N36" s="108">
        <v>2838555.0900000003</v>
      </c>
      <c r="O36" s="122">
        <f t="shared" si="6"/>
        <v>30183147.090000566</v>
      </c>
      <c r="P36" s="126">
        <f t="shared" si="7"/>
        <v>26980.000000000473</v>
      </c>
      <c r="Q36" s="133"/>
      <c r="R36" s="155"/>
      <c r="S36" s="12"/>
      <c r="T36" s="14"/>
      <c r="U36" s="33"/>
      <c r="V36" s="151">
        <f t="shared" si="8"/>
        <v>941.62</v>
      </c>
      <c r="W36" s="2">
        <v>12.46</v>
      </c>
      <c r="X36" s="2">
        <v>223912.43000000002</v>
      </c>
      <c r="Y36" s="40">
        <v>929.16</v>
      </c>
      <c r="Z36" s="40">
        <v>506280.16680000006</v>
      </c>
      <c r="AA36" s="40">
        <f t="shared" si="0"/>
        <v>730192.59680000006</v>
      </c>
      <c r="AB36" s="144">
        <f t="shared" si="1"/>
        <v>56.272158778183574</v>
      </c>
      <c r="AC36" s="152">
        <v>128.05011999997419</v>
      </c>
      <c r="AD36" s="2">
        <v>0</v>
      </c>
      <c r="AE36" s="2">
        <v>0</v>
      </c>
      <c r="AF36" s="2">
        <v>12</v>
      </c>
      <c r="AG36" s="2">
        <f t="shared" si="2"/>
        <v>140.05011999997419</v>
      </c>
      <c r="AH36" s="2">
        <v>1317048.9035197627</v>
      </c>
      <c r="AI36" s="52">
        <f t="shared" si="3"/>
        <v>101.49813260541215</v>
      </c>
      <c r="AJ36" s="166">
        <v>467.94999999999709</v>
      </c>
      <c r="AK36" s="2">
        <v>4819884.9999999702</v>
      </c>
      <c r="AL36" s="48">
        <f t="shared" si="4"/>
        <v>371.4435550308275</v>
      </c>
      <c r="AM36" s="6"/>
    </row>
    <row r="37" spans="1:39">
      <c r="A37" s="42"/>
      <c r="B37" s="69">
        <v>26</v>
      </c>
      <c r="C37" s="212">
        <v>95</v>
      </c>
      <c r="D37" s="213">
        <v>664</v>
      </c>
      <c r="E37" s="120">
        <v>19319.999999999709</v>
      </c>
      <c r="F37" s="2">
        <v>20011269.5999997</v>
      </c>
      <c r="G37" s="44">
        <v>4280.0000000002001</v>
      </c>
      <c r="H37" s="2">
        <v>6649707.6000003116</v>
      </c>
      <c r="I37" s="117">
        <f t="shared" si="5"/>
        <v>26660977.20000001</v>
      </c>
      <c r="J37" s="120">
        <v>2260.0000000002183</v>
      </c>
      <c r="K37" s="2">
        <v>2340862.8000002261</v>
      </c>
      <c r="L37" s="2">
        <v>500</v>
      </c>
      <c r="M37" s="73">
        <v>776835</v>
      </c>
      <c r="N37" s="108">
        <v>1783613.1599999995</v>
      </c>
      <c r="O37" s="122">
        <f t="shared" si="6"/>
        <v>28444590.360000011</v>
      </c>
      <c r="P37" s="126">
        <f t="shared" si="7"/>
        <v>26360.000000000127</v>
      </c>
      <c r="Q37" s="133"/>
      <c r="R37" s="155"/>
      <c r="S37" s="12"/>
      <c r="T37" s="14"/>
      <c r="U37" s="33"/>
      <c r="V37" s="151">
        <f t="shared" si="8"/>
        <v>905.13</v>
      </c>
      <c r="W37" s="2">
        <v>10.68</v>
      </c>
      <c r="X37" s="2">
        <v>191924.94</v>
      </c>
      <c r="Y37" s="40">
        <v>894.45</v>
      </c>
      <c r="Z37" s="40">
        <v>517614.79740000004</v>
      </c>
      <c r="AA37" s="40">
        <f t="shared" si="0"/>
        <v>709539.73739999998</v>
      </c>
      <c r="AB37" s="144">
        <f t="shared" si="1"/>
        <v>54.680549949946396</v>
      </c>
      <c r="AC37" s="152">
        <v>131.91699999999997</v>
      </c>
      <c r="AD37" s="2">
        <v>0</v>
      </c>
      <c r="AE37" s="2">
        <v>250</v>
      </c>
      <c r="AF37" s="2">
        <v>24</v>
      </c>
      <c r="AG37" s="2">
        <f t="shared" si="2"/>
        <v>405.91699999999997</v>
      </c>
      <c r="AH37" s="2">
        <v>4114608.7319999998</v>
      </c>
      <c r="AI37" s="52">
        <f t="shared" si="3"/>
        <v>317.09156856957679</v>
      </c>
      <c r="AJ37" s="166">
        <v>987.21000000001732</v>
      </c>
      <c r="AK37" s="2">
        <v>10168263.000000179</v>
      </c>
      <c r="AL37" s="48">
        <f t="shared" si="4"/>
        <v>783.6153263425407</v>
      </c>
      <c r="AM37" s="6"/>
    </row>
    <row r="38" spans="1:39">
      <c r="A38" s="42"/>
      <c r="B38" s="69">
        <v>27</v>
      </c>
      <c r="C38" s="212">
        <v>108</v>
      </c>
      <c r="D38" s="213">
        <v>797</v>
      </c>
      <c r="E38" s="120">
        <v>19559.999999999491</v>
      </c>
      <c r="F38" s="2">
        <v>20259856.799999472</v>
      </c>
      <c r="G38" s="44">
        <v>4000</v>
      </c>
      <c r="H38" s="2">
        <v>6214680</v>
      </c>
      <c r="I38" s="117">
        <f t="shared" si="5"/>
        <v>26474536.799999472</v>
      </c>
      <c r="J38" s="120">
        <v>2219.9999999993452</v>
      </c>
      <c r="K38" s="2">
        <v>2299431.5999993216</v>
      </c>
      <c r="L38" s="2">
        <v>480.00000000001819</v>
      </c>
      <c r="M38" s="73">
        <v>745761.60000002827</v>
      </c>
      <c r="N38" s="108">
        <v>2512284.3900000034</v>
      </c>
      <c r="O38" s="122">
        <f t="shared" si="6"/>
        <v>28986821.189999476</v>
      </c>
      <c r="P38" s="126">
        <f t="shared" si="7"/>
        <v>26259.999999998854</v>
      </c>
      <c r="Q38" s="133"/>
      <c r="R38" s="155"/>
      <c r="S38" s="12"/>
      <c r="T38" s="14"/>
      <c r="U38" s="33"/>
      <c r="V38" s="151">
        <f t="shared" si="8"/>
        <v>912.25</v>
      </c>
      <c r="W38" s="2">
        <v>2.67</v>
      </c>
      <c r="X38" s="2">
        <v>47981.235000000001</v>
      </c>
      <c r="Y38" s="40">
        <v>909.58</v>
      </c>
      <c r="Z38" s="40">
        <v>570509.74020000012</v>
      </c>
      <c r="AA38" s="40">
        <f t="shared" si="0"/>
        <v>618490.9752000001</v>
      </c>
      <c r="AB38" s="144">
        <f t="shared" si="1"/>
        <v>47.663893761526012</v>
      </c>
      <c r="AC38" s="152">
        <v>134.05183999999531</v>
      </c>
      <c r="AD38" s="2">
        <v>0</v>
      </c>
      <c r="AE38" s="2">
        <v>0</v>
      </c>
      <c r="AF38" s="2">
        <v>12</v>
      </c>
      <c r="AG38" s="2">
        <f t="shared" si="2"/>
        <v>146.05183999999531</v>
      </c>
      <c r="AH38" s="2">
        <v>1372240.7206399569</v>
      </c>
      <c r="AI38" s="52">
        <f t="shared" si="3"/>
        <v>105.75147988646479</v>
      </c>
      <c r="AJ38" s="166">
        <v>527.99000000001979</v>
      </c>
      <c r="AK38" s="2">
        <v>5438297.000000204</v>
      </c>
      <c r="AL38" s="48">
        <f t="shared" si="4"/>
        <v>419.1013625830434</v>
      </c>
      <c r="AM38" s="6"/>
    </row>
    <row r="39" spans="1:39">
      <c r="A39" s="42"/>
      <c r="B39" s="69">
        <v>28</v>
      </c>
      <c r="C39" s="212">
        <v>133</v>
      </c>
      <c r="D39" s="213">
        <v>922</v>
      </c>
      <c r="E39" s="120">
        <v>20680.000000000291</v>
      </c>
      <c r="F39" s="2">
        <v>21419930.4000003</v>
      </c>
      <c r="G39" s="44">
        <v>4480.0000000000182</v>
      </c>
      <c r="H39" s="2">
        <v>6960441.6000000285</v>
      </c>
      <c r="I39" s="117">
        <f t="shared" si="5"/>
        <v>28380372.000000328</v>
      </c>
      <c r="J39" s="120">
        <v>2360.0000000005821</v>
      </c>
      <c r="K39" s="2">
        <v>2444440.8000006028</v>
      </c>
      <c r="L39" s="2">
        <v>500</v>
      </c>
      <c r="M39" s="73">
        <v>776835</v>
      </c>
      <c r="N39" s="108">
        <v>2621041.2899999986</v>
      </c>
      <c r="O39" s="122">
        <f t="shared" si="6"/>
        <v>31001413.290000327</v>
      </c>
      <c r="P39" s="126">
        <f t="shared" si="7"/>
        <v>28020.000000000891</v>
      </c>
      <c r="Q39" s="133"/>
      <c r="R39" s="155"/>
      <c r="S39" s="12"/>
      <c r="T39" s="14"/>
      <c r="U39" s="33"/>
      <c r="V39" s="151">
        <f t="shared" si="8"/>
        <v>906.91</v>
      </c>
      <c r="W39" s="2">
        <v>2.67</v>
      </c>
      <c r="X39" s="2">
        <v>47981.235000000001</v>
      </c>
      <c r="Y39" s="40">
        <v>904.24</v>
      </c>
      <c r="Z39" s="40">
        <v>578066.16060000006</v>
      </c>
      <c r="AA39" s="40">
        <f t="shared" si="0"/>
        <v>626047.39560000005</v>
      </c>
      <c r="AB39" s="144">
        <f t="shared" si="1"/>
        <v>48.246227916113412</v>
      </c>
      <c r="AC39" s="152">
        <v>129.9432800000375</v>
      </c>
      <c r="AD39" s="2">
        <v>0</v>
      </c>
      <c r="AE39" s="2">
        <v>300</v>
      </c>
      <c r="AF39" s="2">
        <v>24</v>
      </c>
      <c r="AG39" s="2">
        <f t="shared" si="2"/>
        <v>453.94328000003748</v>
      </c>
      <c r="AH39" s="2">
        <v>4620958.4028803445</v>
      </c>
      <c r="AI39" s="52">
        <f t="shared" si="3"/>
        <v>356.1133132461585</v>
      </c>
      <c r="AJ39" s="166">
        <v>206.09999999999854</v>
      </c>
      <c r="AK39" s="2">
        <v>2122829.9999999851</v>
      </c>
      <c r="AL39" s="48">
        <f t="shared" si="4"/>
        <v>163.59550527161764</v>
      </c>
      <c r="AM39" s="6"/>
    </row>
    <row r="40" spans="1:39">
      <c r="A40" s="42"/>
      <c r="B40" s="69">
        <v>29</v>
      </c>
      <c r="C40" s="212">
        <v>139</v>
      </c>
      <c r="D40" s="213">
        <v>973</v>
      </c>
      <c r="E40" s="120">
        <v>19680.000000000291</v>
      </c>
      <c r="F40" s="2">
        <v>20384150.4000003</v>
      </c>
      <c r="G40" s="44">
        <v>4480.0000000000182</v>
      </c>
      <c r="H40" s="2">
        <v>6960441.6000000285</v>
      </c>
      <c r="I40" s="117">
        <f t="shared" si="5"/>
        <v>27344592.000000328</v>
      </c>
      <c r="J40" s="120">
        <v>2139.9999999994179</v>
      </c>
      <c r="K40" s="2">
        <v>2216569.1999993972</v>
      </c>
      <c r="L40" s="2">
        <v>519.99999999998181</v>
      </c>
      <c r="M40" s="73">
        <v>807908.39999997173</v>
      </c>
      <c r="N40" s="108">
        <v>2544911.4599999939</v>
      </c>
      <c r="O40" s="122">
        <f t="shared" si="6"/>
        <v>29889503.460000321</v>
      </c>
      <c r="P40" s="126">
        <f t="shared" si="7"/>
        <v>26819.999999999709</v>
      </c>
      <c r="Q40" s="133"/>
      <c r="R40" s="133"/>
      <c r="S40" s="12"/>
      <c r="T40" s="14"/>
      <c r="U40" s="33"/>
      <c r="V40" s="151">
        <f t="shared" si="8"/>
        <v>964.76</v>
      </c>
      <c r="W40" s="2">
        <v>9.7900000000000009</v>
      </c>
      <c r="X40" s="2">
        <v>175931.19500000001</v>
      </c>
      <c r="Y40" s="40">
        <v>954.97</v>
      </c>
      <c r="Z40" s="40">
        <v>64229.573400000008</v>
      </c>
      <c r="AA40" s="40">
        <f t="shared" si="0"/>
        <v>240160.7684</v>
      </c>
      <c r="AB40" s="144">
        <f t="shared" si="1"/>
        <v>18.507945644643339</v>
      </c>
      <c r="AC40" s="152">
        <v>125.83471999996247</v>
      </c>
      <c r="AD40" s="2">
        <v>0</v>
      </c>
      <c r="AE40" s="2">
        <v>0</v>
      </c>
      <c r="AF40" s="2">
        <v>12</v>
      </c>
      <c r="AG40" s="2">
        <f t="shared" si="2"/>
        <v>137.83471999996249</v>
      </c>
      <c r="AH40" s="2">
        <v>1296676.0851196549</v>
      </c>
      <c r="AI40" s="52">
        <f t="shared" si="3"/>
        <v>99.928105085557732</v>
      </c>
      <c r="AJ40" s="166">
        <v>647.29999999999927</v>
      </c>
      <c r="AK40" s="2">
        <v>6667189.9999999925</v>
      </c>
      <c r="AL40" s="48">
        <f t="shared" si="4"/>
        <v>513.80577662454505</v>
      </c>
      <c r="AM40" s="6"/>
    </row>
    <row r="41" spans="1:39">
      <c r="A41" s="42"/>
      <c r="B41" s="69">
        <v>30</v>
      </c>
      <c r="C41" s="212">
        <v>131</v>
      </c>
      <c r="D41" s="213">
        <v>1092</v>
      </c>
      <c r="E41" s="120">
        <v>20239.999999999782</v>
      </c>
      <c r="F41" s="2">
        <v>20964187.199999772</v>
      </c>
      <c r="G41" s="44">
        <v>4599.9999999999091</v>
      </c>
      <c r="H41" s="2">
        <v>7146881.9999998594</v>
      </c>
      <c r="I41" s="117">
        <f t="shared" si="5"/>
        <v>28111069.19999963</v>
      </c>
      <c r="J41" s="120">
        <v>2220.0000000002547</v>
      </c>
      <c r="K41" s="2">
        <v>2299431.6000002637</v>
      </c>
      <c r="L41" s="2">
        <v>500</v>
      </c>
      <c r="M41" s="73">
        <v>776835</v>
      </c>
      <c r="N41" s="108">
        <v>2131635.240000003</v>
      </c>
      <c r="O41" s="122">
        <f t="shared" si="6"/>
        <v>30242704.439999633</v>
      </c>
      <c r="P41" s="126">
        <f t="shared" si="7"/>
        <v>27559.999999999945</v>
      </c>
      <c r="Q41" s="203"/>
      <c r="R41" s="203"/>
      <c r="S41" s="12"/>
      <c r="T41" s="14"/>
      <c r="U41" s="33"/>
      <c r="V41" s="151">
        <f t="shared" si="8"/>
        <v>869.53000000000009</v>
      </c>
      <c r="W41" s="2">
        <v>4.45</v>
      </c>
      <c r="X41" s="2">
        <v>79968.725000000006</v>
      </c>
      <c r="Y41" s="40">
        <v>865.08</v>
      </c>
      <c r="Z41" s="40">
        <v>290922.18540000002</v>
      </c>
      <c r="AA41" s="40">
        <f t="shared" si="0"/>
        <v>370890.91040000005</v>
      </c>
      <c r="AB41" s="144">
        <f t="shared" si="1"/>
        <v>28.582640101910517</v>
      </c>
      <c r="AC41" s="152">
        <v>152.62091999999765</v>
      </c>
      <c r="AD41" s="2">
        <v>0</v>
      </c>
      <c r="AE41" s="2">
        <v>0</v>
      </c>
      <c r="AF41" s="2">
        <v>0</v>
      </c>
      <c r="AG41" s="2">
        <f t="shared" si="2"/>
        <v>152.62091999999765</v>
      </c>
      <c r="AH41" s="2">
        <v>1403501.9803199784</v>
      </c>
      <c r="AI41" s="52">
        <f t="shared" si="3"/>
        <v>108.16062313994264</v>
      </c>
      <c r="AJ41" s="166">
        <v>442</v>
      </c>
      <c r="AK41" s="2">
        <v>4552600</v>
      </c>
      <c r="AL41" s="48">
        <f t="shared" si="4"/>
        <v>350.84528544422858</v>
      </c>
      <c r="AM41" s="6"/>
    </row>
    <row r="42" spans="1:39">
      <c r="A42" s="42"/>
      <c r="B42" s="69">
        <v>31</v>
      </c>
      <c r="C42" s="212">
        <v>142</v>
      </c>
      <c r="D42" s="213">
        <v>1035</v>
      </c>
      <c r="E42" s="120">
        <v>19319.999999999709</v>
      </c>
      <c r="F42" s="2">
        <v>20011269.5999997</v>
      </c>
      <c r="G42" s="44">
        <v>4200.0000000002728</v>
      </c>
      <c r="H42" s="2">
        <v>6525414.0000004247</v>
      </c>
      <c r="I42" s="117">
        <f t="shared" si="5"/>
        <v>26536683.600000124</v>
      </c>
      <c r="J42" s="120">
        <v>279.99999999974534</v>
      </c>
      <c r="K42" s="2">
        <v>290018.39999973623</v>
      </c>
      <c r="L42" s="2">
        <v>500</v>
      </c>
      <c r="M42" s="73">
        <v>776835</v>
      </c>
      <c r="N42" s="108">
        <v>2577538.5299999975</v>
      </c>
      <c r="O42" s="122">
        <f t="shared" si="6"/>
        <v>29114222.130000122</v>
      </c>
      <c r="P42" s="126">
        <f t="shared" si="7"/>
        <v>24299.999999999727</v>
      </c>
      <c r="Q42" s="133"/>
      <c r="R42" s="199"/>
      <c r="S42" s="12"/>
      <c r="T42" s="14"/>
      <c r="U42" s="33"/>
      <c r="V42" s="151">
        <f t="shared" si="8"/>
        <v>993.24000000000012</v>
      </c>
      <c r="W42" s="2">
        <v>4.45</v>
      </c>
      <c r="X42" s="2">
        <v>79968.725000000006</v>
      </c>
      <c r="Y42" s="40">
        <v>988.79000000000008</v>
      </c>
      <c r="Z42" s="40">
        <v>521393.00760000007</v>
      </c>
      <c r="AA42" s="40">
        <f t="shared" si="0"/>
        <v>601361.7326000001</v>
      </c>
      <c r="AB42" s="144">
        <f t="shared" si="1"/>
        <v>46.343831816826189</v>
      </c>
      <c r="AC42" s="152">
        <v>133.24624000000702</v>
      </c>
      <c r="AD42" s="2">
        <v>0</v>
      </c>
      <c r="AE42" s="2">
        <v>0</v>
      </c>
      <c r="AF42" s="2">
        <v>12</v>
      </c>
      <c r="AG42" s="2">
        <f t="shared" si="2"/>
        <v>145.24624000000702</v>
      </c>
      <c r="AH42" s="2">
        <v>1364832.4230400645</v>
      </c>
      <c r="AI42" s="52">
        <f t="shared" si="3"/>
        <v>105.18056078834722</v>
      </c>
      <c r="AJ42" s="166">
        <v>258.80000000000291</v>
      </c>
      <c r="AK42" s="2">
        <v>2665640.0000000298</v>
      </c>
      <c r="AL42" s="48">
        <f t="shared" si="4"/>
        <v>205.42705853612526</v>
      </c>
      <c r="AM42" s="6"/>
    </row>
    <row r="43" spans="1:39" ht="16.5" thickBot="1">
      <c r="A43" s="42"/>
      <c r="B43" s="138"/>
      <c r="C43" s="174"/>
      <c r="D43" s="175"/>
      <c r="E43" s="118"/>
      <c r="F43" s="118"/>
      <c r="G43" s="109"/>
      <c r="H43" s="110"/>
      <c r="I43" s="119"/>
      <c r="J43" s="121"/>
      <c r="K43" s="109"/>
      <c r="L43" s="110"/>
      <c r="M43" s="111"/>
      <c r="N43" s="112"/>
      <c r="O43" s="123"/>
      <c r="P43" s="127"/>
      <c r="Q43" s="200"/>
      <c r="R43" s="173"/>
      <c r="S43" s="170"/>
      <c r="T43" s="171"/>
      <c r="U43" s="172"/>
      <c r="V43" s="16"/>
      <c r="W43" s="1"/>
      <c r="X43" s="1"/>
      <c r="Y43" s="21"/>
      <c r="Z43" s="21"/>
      <c r="AA43" s="21"/>
      <c r="AB43" s="145"/>
      <c r="AC43" s="143"/>
      <c r="AD43" s="2"/>
      <c r="AE43" s="1"/>
      <c r="AF43" s="1"/>
      <c r="AG43" s="1"/>
      <c r="AH43" s="2"/>
      <c r="AI43" s="52"/>
      <c r="AJ43" s="166"/>
      <c r="AK43" s="2"/>
      <c r="AL43" s="48"/>
      <c r="AM43" s="6"/>
    </row>
    <row r="44" spans="1:39" s="7" customFormat="1" ht="6" customHeight="1">
      <c r="B44" s="133"/>
      <c r="C44" s="134"/>
      <c r="D44" s="134"/>
      <c r="E44" s="132"/>
      <c r="F44" s="6"/>
      <c r="H44" s="6"/>
      <c r="L44" s="6"/>
      <c r="M44" s="74"/>
      <c r="N44" s="78"/>
      <c r="P44" s="78"/>
      <c r="R44" s="99"/>
      <c r="S44" s="19">
        <f>SUM(S12:S41)</f>
        <v>0</v>
      </c>
      <c r="U44" s="41"/>
      <c r="V44" s="146"/>
      <c r="AB44" s="41"/>
      <c r="AD44" s="6"/>
      <c r="AJ44" s="99"/>
      <c r="AL44" s="41"/>
    </row>
    <row r="45" spans="1:39" s="7" customFormat="1" ht="9.75" customHeight="1">
      <c r="B45" s="133"/>
      <c r="C45" s="134"/>
      <c r="D45" s="134"/>
      <c r="E45" s="132"/>
      <c r="F45" s="6"/>
      <c r="H45" s="6"/>
      <c r="L45" s="6"/>
      <c r="M45" s="74"/>
      <c r="N45" s="78"/>
      <c r="P45" s="78"/>
      <c r="R45" s="99"/>
      <c r="S45" s="19"/>
      <c r="U45" s="41"/>
      <c r="V45" s="146"/>
      <c r="AB45" s="147"/>
      <c r="AD45" s="6"/>
      <c r="AH45" s="6"/>
      <c r="AJ45" s="101"/>
      <c r="AK45" s="4"/>
      <c r="AL45" s="49"/>
    </row>
    <row r="46" spans="1:39" s="7" customFormat="1" ht="16.5" thickBot="1">
      <c r="B46" s="135"/>
      <c r="C46" s="136"/>
      <c r="D46" s="136"/>
      <c r="E46" s="137"/>
      <c r="F46" s="84"/>
      <c r="G46" s="83"/>
      <c r="H46" s="84"/>
      <c r="I46" s="83"/>
      <c r="J46" s="83"/>
      <c r="K46" s="83"/>
      <c r="L46" s="84"/>
      <c r="M46" s="85"/>
      <c r="N46" s="86"/>
      <c r="O46" s="83"/>
      <c r="P46" s="86"/>
      <c r="Q46" s="83"/>
      <c r="R46" s="100"/>
      <c r="S46" s="87"/>
      <c r="T46" s="83"/>
      <c r="U46" s="88"/>
      <c r="V46" s="148"/>
      <c r="W46" s="89"/>
      <c r="X46" s="83"/>
      <c r="Y46" s="83"/>
      <c r="Z46" s="83"/>
      <c r="AA46" s="83"/>
      <c r="AB46" s="88"/>
      <c r="AC46" s="90"/>
      <c r="AD46" s="84"/>
      <c r="AE46" s="90"/>
      <c r="AF46" s="90"/>
      <c r="AG46" s="90"/>
      <c r="AH46" s="84"/>
      <c r="AI46" s="83"/>
      <c r="AJ46" s="167"/>
      <c r="AK46" s="91"/>
      <c r="AL46" s="92"/>
    </row>
    <row r="47" spans="1:39" ht="17.25" thickTop="1" thickBot="1">
      <c r="A47" s="34"/>
      <c r="B47" s="81"/>
      <c r="C47" s="82">
        <f>SUM(C12:C43)</f>
        <v>2182</v>
      </c>
      <c r="D47" s="82">
        <f>SUM(D12:D43)</f>
        <v>15719</v>
      </c>
      <c r="E47" s="82">
        <f t="shared" ref="E47:O47" si="9">SUM(E12:E43)</f>
        <v>603359.9999999986</v>
      </c>
      <c r="F47" s="82">
        <f>SUM(F12:F43)</f>
        <v>624948220.79999864</v>
      </c>
      <c r="G47" s="82">
        <f>SUM(G12:G43)</f>
        <v>128960.00000000003</v>
      </c>
      <c r="H47" s="82">
        <f t="shared" si="9"/>
        <v>200361283.20000005</v>
      </c>
      <c r="I47" s="82">
        <f t="shared" si="9"/>
        <v>825309503.99999881</v>
      </c>
      <c r="J47" s="82">
        <f t="shared" si="9"/>
        <v>61619.999999999891</v>
      </c>
      <c r="K47" s="82">
        <f t="shared" si="9"/>
        <v>63824763.599999882</v>
      </c>
      <c r="L47" s="82">
        <f t="shared" si="9"/>
        <v>14940.000000000055</v>
      </c>
      <c r="M47" s="82">
        <f t="shared" si="9"/>
        <v>23211829.800000083</v>
      </c>
      <c r="N47" s="82">
        <f t="shared" si="9"/>
        <v>65184535.583999991</v>
      </c>
      <c r="O47" s="82">
        <f t="shared" si="9"/>
        <v>890494039.58399856</v>
      </c>
      <c r="P47" s="94">
        <f>SUM(P12:P43)</f>
        <v>808879.99999999884</v>
      </c>
      <c r="Q47" s="95" t="e">
        <f>#REF!</f>
        <v>#REF!</v>
      </c>
      <c r="R47" s="139" t="e">
        <f>#REF!</f>
        <v>#REF!</v>
      </c>
      <c r="S47" s="131" t="e">
        <f>Q47+P47</f>
        <v>#REF!</v>
      </c>
      <c r="T47" s="128" t="e">
        <f>R47+O47</f>
        <v>#REF!</v>
      </c>
      <c r="U47" s="160" t="e">
        <f>T47/AL48</f>
        <v>#REF!</v>
      </c>
      <c r="V47" s="201">
        <f>SUM(V12:V42)</f>
        <v>27474.3</v>
      </c>
      <c r="W47" s="61">
        <f>SUM(W12:W42)</f>
        <v>1001.25</v>
      </c>
      <c r="X47" s="61">
        <f t="shared" ref="X47:Z47" si="10">SUM(X12:X42)</f>
        <v>17992963.125000004</v>
      </c>
      <c r="Y47" s="61">
        <f t="shared" si="10"/>
        <v>26473.05000000001</v>
      </c>
      <c r="Z47" s="61">
        <f t="shared" si="10"/>
        <v>10325848.476600001</v>
      </c>
      <c r="AA47" s="159">
        <f>SUM(AA12:AA42)</f>
        <v>28318811.601599999</v>
      </c>
      <c r="AB47" s="140">
        <f>AA47/$AL$48</f>
        <v>2182.3840310602036</v>
      </c>
      <c r="AC47" s="53">
        <f>SUM(AC12:AC41)</f>
        <v>3689.6077199999627</v>
      </c>
      <c r="AD47" s="161">
        <f>SUM(AD12:AD41)</f>
        <v>0</v>
      </c>
      <c r="AE47" s="53">
        <f>SUM(AE12:AE42)</f>
        <v>1800</v>
      </c>
      <c r="AF47" s="53">
        <f>SUM(AF12:AF42)</f>
        <v>420</v>
      </c>
      <c r="AG47" s="207">
        <f>SUM(AG12:AG42)</f>
        <v>6042.8539599999704</v>
      </c>
      <c r="AH47" s="208">
        <f>SUM(AH12:AH43)</f>
        <v>58919465.016159706</v>
      </c>
      <c r="AI47" s="209">
        <f>AH47/$AL$48</f>
        <v>4540.6177836435863</v>
      </c>
      <c r="AJ47" s="210">
        <f>SUM(AJ12:AJ43)</f>
        <v>14627.900000000007</v>
      </c>
      <c r="AK47" s="211">
        <f>SUM(AK12:AK43)</f>
        <v>150667370.00000009</v>
      </c>
      <c r="AL47" s="168">
        <f>AK47/AL48</f>
        <v>11611.153282691481</v>
      </c>
      <c r="AM47" s="34"/>
    </row>
    <row r="48" spans="1:39">
      <c r="A48" s="34"/>
      <c r="B48" s="34"/>
      <c r="C48" s="4"/>
      <c r="D48" s="10"/>
      <c r="E48" s="4"/>
      <c r="F48" s="4"/>
      <c r="G48" s="10"/>
      <c r="H48" s="4"/>
      <c r="I48" s="8"/>
      <c r="J48" s="8"/>
      <c r="K48" s="8"/>
      <c r="L48" s="20"/>
      <c r="M48" s="75"/>
      <c r="N48" s="79"/>
      <c r="O48" s="9"/>
      <c r="P48" s="79"/>
      <c r="Q48" s="9"/>
      <c r="R48" s="130"/>
      <c r="S48" s="18"/>
      <c r="T48" s="93" t="s">
        <v>54</v>
      </c>
      <c r="U48" s="176" t="e">
        <f>U47/S47</f>
        <v>#REF!</v>
      </c>
      <c r="V48" s="10"/>
      <c r="W48" s="10"/>
      <c r="X48" s="10"/>
      <c r="Y48" s="162"/>
      <c r="Z48" s="10"/>
      <c r="AA48" s="10"/>
      <c r="AB48" s="10"/>
      <c r="AC48" s="19"/>
      <c r="AD48" s="6"/>
      <c r="AE48" s="19"/>
      <c r="AF48" s="19"/>
      <c r="AG48" s="6"/>
      <c r="AH48" s="4"/>
      <c r="AI48" s="10"/>
      <c r="AJ48" s="101"/>
      <c r="AK48" s="10"/>
      <c r="AL48" s="169">
        <v>12976.09</v>
      </c>
      <c r="AM48" s="34"/>
    </row>
    <row r="49" spans="12:37">
      <c r="O49" s="206"/>
      <c r="AK49" s="202"/>
    </row>
    <row r="50" spans="12:37">
      <c r="O50" s="206"/>
      <c r="AK50" s="202"/>
    </row>
    <row r="51" spans="12:37">
      <c r="O51" s="206"/>
    </row>
    <row r="52" spans="12:37">
      <c r="L52" s="5"/>
      <c r="M52" s="205"/>
      <c r="N52" s="205"/>
    </row>
  </sheetData>
  <mergeCells count="17"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pane xSplit="1" ySplit="5" topLeftCell="B6" activePane="bottomRight" state="frozen"/>
      <selection pane="bottomRight" activeCell="B6" sqref="B6:C36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>
      <c r="A1" s="35" t="s">
        <v>16</v>
      </c>
    </row>
    <row r="2" spans="1:3" ht="18.75">
      <c r="A2" s="251">
        <v>43800</v>
      </c>
      <c r="B2" s="252"/>
      <c r="C2" s="252"/>
    </row>
    <row r="3" spans="1:3">
      <c r="A3" s="254" t="s">
        <v>18</v>
      </c>
      <c r="B3" s="253" t="s">
        <v>19</v>
      </c>
      <c r="C3" s="253" t="s">
        <v>13</v>
      </c>
    </row>
    <row r="4" spans="1:3">
      <c r="A4" s="254"/>
      <c r="B4" s="253"/>
      <c r="C4" s="253"/>
    </row>
    <row r="5" spans="1:3">
      <c r="A5" s="254"/>
      <c r="B5" s="253"/>
      <c r="C5" s="253"/>
    </row>
    <row r="6" spans="1:3">
      <c r="A6" s="1">
        <v>1</v>
      </c>
      <c r="B6" s="212">
        <v>47</v>
      </c>
      <c r="C6" s="213">
        <v>403</v>
      </c>
    </row>
    <row r="7" spans="1:3">
      <c r="A7" s="1">
        <v>2</v>
      </c>
      <c r="B7" s="212">
        <v>39</v>
      </c>
      <c r="C7" s="213">
        <v>293</v>
      </c>
    </row>
    <row r="8" spans="1:3">
      <c r="A8" s="1">
        <f>A7+1</f>
        <v>3</v>
      </c>
      <c r="B8" s="212">
        <v>46</v>
      </c>
      <c r="C8" s="213">
        <v>261</v>
      </c>
    </row>
    <row r="9" spans="1:3">
      <c r="A9" s="1">
        <f>A8+1</f>
        <v>4</v>
      </c>
      <c r="B9" s="212">
        <v>48</v>
      </c>
      <c r="C9" s="213">
        <v>294</v>
      </c>
    </row>
    <row r="10" spans="1:3">
      <c r="A10" s="1">
        <f t="shared" ref="A10:A36" si="0">A9+1</f>
        <v>5</v>
      </c>
      <c r="B10" s="212">
        <v>49</v>
      </c>
      <c r="C10" s="213">
        <v>356</v>
      </c>
    </row>
    <row r="11" spans="1:3">
      <c r="A11" s="1">
        <f t="shared" si="0"/>
        <v>6</v>
      </c>
      <c r="B11" s="212">
        <v>71</v>
      </c>
      <c r="C11" s="213">
        <v>452</v>
      </c>
    </row>
    <row r="12" spans="1:3">
      <c r="A12" s="1">
        <f t="shared" si="0"/>
        <v>7</v>
      </c>
      <c r="B12" s="212">
        <v>82</v>
      </c>
      <c r="C12" s="213">
        <v>572</v>
      </c>
    </row>
    <row r="13" spans="1:3">
      <c r="A13" s="1">
        <f t="shared" si="0"/>
        <v>8</v>
      </c>
      <c r="B13" s="212">
        <v>35</v>
      </c>
      <c r="C13" s="213">
        <v>487</v>
      </c>
    </row>
    <row r="14" spans="1:3">
      <c r="A14" s="1">
        <f t="shared" si="0"/>
        <v>9</v>
      </c>
      <c r="B14" s="212">
        <v>24</v>
      </c>
      <c r="C14" s="213">
        <v>275</v>
      </c>
    </row>
    <row r="15" spans="1:3">
      <c r="A15" s="1">
        <f t="shared" si="0"/>
        <v>10</v>
      </c>
      <c r="B15" s="212">
        <v>28</v>
      </c>
      <c r="C15" s="213">
        <v>188</v>
      </c>
    </row>
    <row r="16" spans="1:3">
      <c r="A16" s="1">
        <f t="shared" si="0"/>
        <v>11</v>
      </c>
      <c r="B16" s="212">
        <v>73</v>
      </c>
      <c r="C16" s="213">
        <v>240</v>
      </c>
    </row>
    <row r="17" spans="1:3">
      <c r="A17" s="1">
        <f t="shared" si="0"/>
        <v>12</v>
      </c>
      <c r="B17" s="212">
        <v>78</v>
      </c>
      <c r="C17" s="213">
        <v>408</v>
      </c>
    </row>
    <row r="18" spans="1:3">
      <c r="A18" s="1">
        <f t="shared" si="0"/>
        <v>13</v>
      </c>
      <c r="B18" s="212">
        <v>43</v>
      </c>
      <c r="C18" s="213">
        <v>433</v>
      </c>
    </row>
    <row r="19" spans="1:3">
      <c r="A19" s="1">
        <f t="shared" si="0"/>
        <v>14</v>
      </c>
      <c r="B19" s="212">
        <v>43</v>
      </c>
      <c r="C19" s="213">
        <v>332</v>
      </c>
    </row>
    <row r="20" spans="1:3">
      <c r="A20" s="1">
        <f t="shared" si="0"/>
        <v>15</v>
      </c>
      <c r="B20" s="212">
        <v>37</v>
      </c>
      <c r="C20" s="213">
        <v>325</v>
      </c>
    </row>
    <row r="21" spans="1:3">
      <c r="A21" s="1">
        <f t="shared" si="0"/>
        <v>16</v>
      </c>
      <c r="B21" s="212">
        <v>31</v>
      </c>
      <c r="C21" s="213">
        <v>249</v>
      </c>
    </row>
    <row r="22" spans="1:3">
      <c r="A22" s="1">
        <f t="shared" si="0"/>
        <v>17</v>
      </c>
      <c r="B22" s="212">
        <v>54</v>
      </c>
      <c r="C22" s="213">
        <v>260</v>
      </c>
    </row>
    <row r="23" spans="1:3">
      <c r="A23" s="1">
        <f t="shared" si="0"/>
        <v>18</v>
      </c>
      <c r="B23" s="212">
        <v>72</v>
      </c>
      <c r="C23" s="213">
        <v>419</v>
      </c>
    </row>
    <row r="24" spans="1:3">
      <c r="A24" s="1">
        <f t="shared" si="0"/>
        <v>19</v>
      </c>
      <c r="B24" s="212">
        <v>73</v>
      </c>
      <c r="C24" s="213">
        <v>540</v>
      </c>
    </row>
    <row r="25" spans="1:3">
      <c r="A25" s="1">
        <f t="shared" si="0"/>
        <v>20</v>
      </c>
      <c r="B25" s="212">
        <v>76</v>
      </c>
      <c r="C25" s="213">
        <v>566</v>
      </c>
    </row>
    <row r="26" spans="1:3">
      <c r="A26" s="1">
        <f t="shared" si="0"/>
        <v>21</v>
      </c>
      <c r="B26" s="212">
        <v>82</v>
      </c>
      <c r="C26" s="213">
        <v>603</v>
      </c>
    </row>
    <row r="27" spans="1:3">
      <c r="A27" s="1">
        <f t="shared" si="0"/>
        <v>22</v>
      </c>
      <c r="B27" s="212">
        <v>78</v>
      </c>
      <c r="C27" s="213">
        <v>576</v>
      </c>
    </row>
    <row r="28" spans="1:3">
      <c r="A28" s="1">
        <f t="shared" si="0"/>
        <v>23</v>
      </c>
      <c r="B28" s="212">
        <v>77</v>
      </c>
      <c r="C28" s="213">
        <v>588</v>
      </c>
    </row>
    <row r="29" spans="1:3">
      <c r="A29" s="1">
        <f t="shared" si="0"/>
        <v>24</v>
      </c>
      <c r="B29" s="212">
        <v>67</v>
      </c>
      <c r="C29" s="213">
        <v>550</v>
      </c>
    </row>
    <row r="30" spans="1:3">
      <c r="A30" s="1">
        <f t="shared" si="0"/>
        <v>25</v>
      </c>
      <c r="B30" s="212">
        <v>81</v>
      </c>
      <c r="C30" s="213">
        <v>566</v>
      </c>
    </row>
    <row r="31" spans="1:3">
      <c r="A31" s="1">
        <f t="shared" si="0"/>
        <v>26</v>
      </c>
      <c r="B31" s="212">
        <v>95</v>
      </c>
      <c r="C31" s="213">
        <v>664</v>
      </c>
    </row>
    <row r="32" spans="1:3">
      <c r="A32" s="1">
        <f t="shared" si="0"/>
        <v>27</v>
      </c>
      <c r="B32" s="212">
        <v>108</v>
      </c>
      <c r="C32" s="213">
        <v>797</v>
      </c>
    </row>
    <row r="33" spans="1:3">
      <c r="A33" s="1">
        <f t="shared" si="0"/>
        <v>28</v>
      </c>
      <c r="B33" s="212">
        <v>133</v>
      </c>
      <c r="C33" s="213">
        <v>922</v>
      </c>
    </row>
    <row r="34" spans="1:3">
      <c r="A34" s="1">
        <f t="shared" si="0"/>
        <v>29</v>
      </c>
      <c r="B34" s="212">
        <v>139</v>
      </c>
      <c r="C34" s="213">
        <v>973</v>
      </c>
    </row>
    <row r="35" spans="1:3">
      <c r="A35" s="1">
        <f t="shared" si="0"/>
        <v>30</v>
      </c>
      <c r="B35" s="212">
        <v>131</v>
      </c>
      <c r="C35" s="213">
        <v>1092</v>
      </c>
    </row>
    <row r="36" spans="1:3">
      <c r="A36" s="1">
        <f t="shared" si="0"/>
        <v>31</v>
      </c>
      <c r="B36" s="212">
        <v>142</v>
      </c>
      <c r="C36" s="213">
        <v>1035</v>
      </c>
    </row>
    <row r="38" spans="1:3">
      <c r="B38" s="5">
        <f>SUM(B6:B37)</f>
        <v>2182</v>
      </c>
      <c r="C38" s="5">
        <f>SUM(C6:C37)</f>
        <v>15719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E4BD390F-CFF4-4D70-B36A-2CB9D2139109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2023-02-18T05:04:17Z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1892800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