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3\"/>
    </mc:Choice>
  </mc:AlternateContent>
  <xr:revisionPtr revIDLastSave="0" documentId="13_ncr:1_{2D9E6D4D-22E9-44E9-94A7-7841BE03740A}" xr6:coauthVersionLast="47" xr6:coauthVersionMax="47" xr10:uidLastSave="{00000000-0000-0000-0000-000000000000}"/>
  <bookViews>
    <workbookView xWindow="-120" yWindow="-120" windowWidth="20730" windowHeight="11160" tabRatio="960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'13'!$A$1:$L$192</definedName>
    <definedName name="_xlnm.Print_Area" localSheetId="19">'14'!$A$1:$O$190</definedName>
    <definedName name="_xlnm.Print_Area" localSheetId="20">'15'!$A$1:$L$192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'28'!$A$1:$J$188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9" l="1"/>
  <c r="N15" i="29"/>
  <c r="N7" i="29"/>
  <c r="N8" i="29"/>
  <c r="E27" i="29"/>
  <c r="G27" i="29" s="1"/>
  <c r="G112" i="29"/>
  <c r="G7" i="29"/>
  <c r="I7" i="29"/>
  <c r="G8" i="29"/>
  <c r="G9" i="29"/>
  <c r="G10" i="29"/>
  <c r="G11" i="29"/>
  <c r="G12" i="29"/>
  <c r="G15" i="29"/>
  <c r="I15" i="29"/>
  <c r="G18" i="29"/>
  <c r="I18" i="29"/>
  <c r="G19" i="29"/>
  <c r="G20" i="29" s="1"/>
  <c r="G22" i="29"/>
  <c r="H26" i="29"/>
  <c r="G28" i="29"/>
  <c r="G29" i="29"/>
  <c r="G30" i="29"/>
  <c r="G31" i="29"/>
  <c r="G35" i="29"/>
  <c r="G36" i="29"/>
  <c r="G37" i="29"/>
  <c r="E129" i="27"/>
  <c r="E42" i="25"/>
  <c r="E162" i="24"/>
  <c r="E163" i="24"/>
  <c r="E164" i="24"/>
  <c r="E165" i="24"/>
  <c r="E156" i="24"/>
  <c r="E157" i="24"/>
  <c r="E158" i="24"/>
  <c r="E50" i="23"/>
  <c r="E51" i="23"/>
  <c r="E52" i="23"/>
  <c r="E53" i="23"/>
  <c r="E54" i="23"/>
  <c r="E55" i="23"/>
  <c r="E56" i="23"/>
  <c r="E57" i="23"/>
  <c r="E58" i="23"/>
  <c r="E36" i="23"/>
  <c r="E37" i="23"/>
  <c r="E38" i="23"/>
  <c r="E39" i="23"/>
  <c r="E40" i="23"/>
  <c r="E41" i="23"/>
  <c r="E42" i="23"/>
  <c r="E43" i="23"/>
  <c r="E44" i="23"/>
  <c r="E45" i="23"/>
  <c r="E46" i="23"/>
  <c r="G157" i="22"/>
  <c r="E156" i="22"/>
  <c r="E158" i="22"/>
  <c r="E129" i="22"/>
  <c r="E130" i="22"/>
  <c r="E131" i="22"/>
  <c r="E132" i="22"/>
  <c r="E133" i="22"/>
  <c r="E134" i="22"/>
  <c r="E150" i="19"/>
  <c r="F150" i="19" s="1"/>
  <c r="E151" i="18"/>
  <c r="E175" i="18"/>
  <c r="E164" i="17"/>
  <c r="E134" i="17"/>
  <c r="E74" i="17"/>
  <c r="E15" i="14"/>
  <c r="G32" i="29" l="1"/>
  <c r="G13" i="29"/>
  <c r="E66" i="9"/>
  <c r="E8" i="10"/>
  <c r="E66" i="10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66" i="5"/>
  <c r="E67" i="5"/>
  <c r="E68" i="5"/>
  <c r="E69" i="5"/>
  <c r="E70" i="5"/>
  <c r="I13" i="29" l="1"/>
  <c r="E113" i="7"/>
  <c r="E114" i="7"/>
  <c r="E115" i="7"/>
  <c r="E116" i="7"/>
  <c r="E117" i="7"/>
  <c r="E118" i="7"/>
  <c r="E119" i="7"/>
  <c r="E120" i="7"/>
  <c r="E121" i="7"/>
  <c r="E122" i="7"/>
  <c r="E123" i="7"/>
  <c r="E15" i="7"/>
  <c r="G3" i="2"/>
  <c r="E74" i="40"/>
  <c r="E8" i="40"/>
  <c r="E86" i="21"/>
  <c r="E184" i="19"/>
  <c r="E50" i="21"/>
  <c r="E51" i="21"/>
  <c r="E52" i="21"/>
  <c r="E53" i="21"/>
  <c r="E54" i="21"/>
  <c r="E55" i="21"/>
  <c r="E56" i="21"/>
  <c r="E57" i="21"/>
  <c r="E58" i="21"/>
  <c r="E50" i="20"/>
  <c r="E51" i="20"/>
  <c r="E52" i="20"/>
  <c r="E53" i="20"/>
  <c r="E54" i="20"/>
  <c r="E55" i="20"/>
  <c r="E56" i="20"/>
  <c r="E57" i="20"/>
  <c r="E58" i="20"/>
  <c r="E50" i="22"/>
  <c r="E51" i="22"/>
  <c r="E52" i="22"/>
  <c r="E53" i="22"/>
  <c r="E54" i="22"/>
  <c r="E55" i="22"/>
  <c r="E56" i="22"/>
  <c r="E57" i="22"/>
  <c r="E58" i="22"/>
  <c r="E157" i="20"/>
  <c r="E133" i="4"/>
  <c r="E89" i="3"/>
  <c r="E36" i="19" l="1"/>
  <c r="E37" i="19"/>
  <c r="E38" i="19"/>
  <c r="E39" i="19"/>
  <c r="E40" i="19"/>
  <c r="E41" i="19"/>
  <c r="E42" i="19"/>
  <c r="E43" i="19"/>
  <c r="E44" i="19"/>
  <c r="E45" i="19"/>
  <c r="E46" i="19"/>
  <c r="E156" i="17"/>
  <c r="E157" i="17"/>
  <c r="E158" i="17"/>
  <c r="E162" i="17"/>
  <c r="E163" i="17"/>
  <c r="E165" i="17"/>
  <c r="E66" i="16"/>
  <c r="E67" i="16"/>
  <c r="E68" i="16"/>
  <c r="E69" i="16"/>
  <c r="E70" i="16"/>
  <c r="E66" i="17"/>
  <c r="E67" i="17"/>
  <c r="E68" i="17"/>
  <c r="E69" i="17"/>
  <c r="E70" i="17"/>
  <c r="E8" i="17"/>
  <c r="E9" i="17"/>
  <c r="E10" i="17"/>
  <c r="E11" i="17"/>
  <c r="E12" i="17"/>
  <c r="F71" i="12"/>
  <c r="E36" i="9"/>
  <c r="E37" i="9"/>
  <c r="E38" i="9"/>
  <c r="E39" i="9"/>
  <c r="E40" i="9"/>
  <c r="E41" i="9"/>
  <c r="E42" i="9"/>
  <c r="E43" i="9"/>
  <c r="E44" i="9"/>
  <c r="E45" i="9"/>
  <c r="E46" i="9"/>
  <c r="E66" i="7"/>
  <c r="E67" i="7"/>
  <c r="E68" i="7"/>
  <c r="E69" i="7"/>
  <c r="E70" i="7"/>
  <c r="E139" i="33" l="1"/>
  <c r="G139" i="33" s="1"/>
  <c r="O9" i="44" s="1"/>
  <c r="N6" i="49" s="1"/>
  <c r="E140" i="33"/>
  <c r="G140" i="33" s="1"/>
  <c r="P9" i="44" s="1"/>
  <c r="O6" i="49" s="1"/>
  <c r="E141" i="33"/>
  <c r="E142" i="33"/>
  <c r="E143" i="33"/>
  <c r="G143" i="33" s="1"/>
  <c r="X9" i="44" s="1"/>
  <c r="W6" i="49" s="1"/>
  <c r="E144" i="33"/>
  <c r="E145" i="33"/>
  <c r="E146" i="33"/>
  <c r="G146" i="33" s="1"/>
  <c r="T9" i="44" s="1"/>
  <c r="S6" i="49" s="1"/>
  <c r="E147" i="33"/>
  <c r="G147" i="33" s="1"/>
  <c r="V9" i="44" s="1"/>
  <c r="U6" i="49" s="1"/>
  <c r="E148" i="33"/>
  <c r="E149" i="33"/>
  <c r="E150" i="33"/>
  <c r="E151" i="33"/>
  <c r="E152" i="33"/>
  <c r="E129" i="33"/>
  <c r="E130" i="33"/>
  <c r="G130" i="33" s="1"/>
  <c r="E131" i="33"/>
  <c r="G131" i="33" s="1"/>
  <c r="E132" i="33"/>
  <c r="E133" i="33"/>
  <c r="E134" i="33"/>
  <c r="E178" i="3"/>
  <c r="H197" i="3"/>
  <c r="E41" i="25"/>
  <c r="G41" i="25" s="1"/>
  <c r="E74" i="25"/>
  <c r="G74" i="25" s="1"/>
  <c r="AO28" i="44" s="1"/>
  <c r="E128" i="24"/>
  <c r="E184" i="24"/>
  <c r="E179" i="24"/>
  <c r="E180" i="24"/>
  <c r="G180" i="24" s="1"/>
  <c r="E174" i="24"/>
  <c r="E175" i="24"/>
  <c r="E173" i="24"/>
  <c r="G173" i="24" s="1"/>
  <c r="G165" i="24"/>
  <c r="E139" i="24"/>
  <c r="E140" i="24"/>
  <c r="E141" i="24"/>
  <c r="E142" i="24"/>
  <c r="E143" i="24"/>
  <c r="G143" i="24" s="1"/>
  <c r="X27" i="44" s="1"/>
  <c r="W24" i="49" s="1"/>
  <c r="E144" i="24"/>
  <c r="E145" i="24"/>
  <c r="E146" i="24"/>
  <c r="G146" i="24" s="1"/>
  <c r="T27" i="44" s="1"/>
  <c r="S24" i="49" s="1"/>
  <c r="E147" i="24"/>
  <c r="G147" i="24" s="1"/>
  <c r="V27" i="44" s="1"/>
  <c r="U24" i="49" s="1"/>
  <c r="E148" i="24"/>
  <c r="E149" i="24"/>
  <c r="E150" i="24"/>
  <c r="G150" i="24" s="1"/>
  <c r="E151" i="24"/>
  <c r="G151" i="24" s="1"/>
  <c r="Z27" i="44" s="1"/>
  <c r="Y24" i="49" s="1"/>
  <c r="E152" i="24"/>
  <c r="E129" i="24"/>
  <c r="E130" i="24"/>
  <c r="G130" i="24" s="1"/>
  <c r="E131" i="24"/>
  <c r="E132" i="24"/>
  <c r="E133" i="24"/>
  <c r="E134" i="24"/>
  <c r="G134" i="24" s="1"/>
  <c r="E129" i="23"/>
  <c r="G129" i="23" s="1"/>
  <c r="E130" i="23"/>
  <c r="G130" i="23" s="1"/>
  <c r="E131" i="23"/>
  <c r="E132" i="23"/>
  <c r="G132" i="23" s="1"/>
  <c r="E133" i="23"/>
  <c r="G133" i="23" s="1"/>
  <c r="E134" i="23"/>
  <c r="E128" i="23"/>
  <c r="E113" i="24"/>
  <c r="G113" i="24" s="1"/>
  <c r="E114" i="24"/>
  <c r="G114" i="24" s="1"/>
  <c r="E115" i="24"/>
  <c r="E116" i="24"/>
  <c r="E117" i="24"/>
  <c r="G117" i="24" s="1"/>
  <c r="AF27" i="44" s="1"/>
  <c r="AE24" i="49" s="1"/>
  <c r="E118" i="24"/>
  <c r="G118" i="24" s="1"/>
  <c r="AG27" i="44" s="1"/>
  <c r="AF24" i="49" s="1"/>
  <c r="E119" i="24"/>
  <c r="E120" i="24"/>
  <c r="E121" i="24"/>
  <c r="E122" i="24"/>
  <c r="G122" i="24" s="1"/>
  <c r="AK27" i="44" s="1"/>
  <c r="AJ24" i="49" s="1"/>
  <c r="E123" i="24"/>
  <c r="E112" i="24"/>
  <c r="E83" i="24"/>
  <c r="G83" i="24" s="1"/>
  <c r="E84" i="24"/>
  <c r="G84" i="24" s="1"/>
  <c r="E85" i="24"/>
  <c r="E86" i="24"/>
  <c r="E87" i="24"/>
  <c r="G87" i="24" s="1"/>
  <c r="AC26" i="1" s="1"/>
  <c r="E88" i="24"/>
  <c r="E89" i="24"/>
  <c r="E90" i="24"/>
  <c r="E91" i="24"/>
  <c r="G91" i="24" s="1"/>
  <c r="AK26" i="1" s="1"/>
  <c r="E92" i="24"/>
  <c r="E50" i="24"/>
  <c r="E51" i="24"/>
  <c r="E52" i="24"/>
  <c r="G52" i="24" s="1"/>
  <c r="E53" i="24"/>
  <c r="E54" i="24"/>
  <c r="E55" i="24"/>
  <c r="E56" i="24"/>
  <c r="G56" i="24" s="1"/>
  <c r="BF26" i="1" s="1"/>
  <c r="E57" i="24"/>
  <c r="E58" i="24"/>
  <c r="E49" i="24"/>
  <c r="E36" i="24"/>
  <c r="E37" i="24"/>
  <c r="G37" i="24" s="1"/>
  <c r="E38" i="24"/>
  <c r="E39" i="24"/>
  <c r="E40" i="24"/>
  <c r="G40" i="24" s="1"/>
  <c r="AT26" i="1" s="1"/>
  <c r="E41" i="24"/>
  <c r="G41" i="24" s="1"/>
  <c r="E42" i="24"/>
  <c r="E43" i="24"/>
  <c r="E44" i="24"/>
  <c r="E45" i="24"/>
  <c r="E46" i="24"/>
  <c r="E8" i="24"/>
  <c r="E9" i="24"/>
  <c r="G9" i="24" s="1"/>
  <c r="E10" i="24"/>
  <c r="G10" i="24" s="1"/>
  <c r="E11" i="24"/>
  <c r="E12" i="24"/>
  <c r="E7" i="24"/>
  <c r="G7" i="24" s="1"/>
  <c r="G18" i="7"/>
  <c r="E8" i="23"/>
  <c r="E9" i="23"/>
  <c r="E10" i="23"/>
  <c r="G10" i="23" s="1"/>
  <c r="E11" i="23"/>
  <c r="E12" i="23"/>
  <c r="E7" i="23"/>
  <c r="F24" i="22"/>
  <c r="F24" i="23"/>
  <c r="F24" i="21"/>
  <c r="F24" i="20"/>
  <c r="F24" i="19"/>
  <c r="E24" i="20" s="1"/>
  <c r="F24" i="18"/>
  <c r="E24" i="18"/>
  <c r="E23" i="16"/>
  <c r="F24" i="15"/>
  <c r="G23" i="15"/>
  <c r="E139" i="22"/>
  <c r="E140" i="22"/>
  <c r="E141" i="22"/>
  <c r="G141" i="22" s="1"/>
  <c r="Q25" i="44" s="1"/>
  <c r="P22" i="49" s="1"/>
  <c r="E142" i="22"/>
  <c r="G142" i="22" s="1"/>
  <c r="R25" i="44" s="1"/>
  <c r="Q22" i="49" s="1"/>
  <c r="E143" i="22"/>
  <c r="E144" i="22"/>
  <c r="E145" i="22"/>
  <c r="G145" i="22" s="1"/>
  <c r="S25" i="44" s="1"/>
  <c r="R22" i="49" s="1"/>
  <c r="E146" i="22"/>
  <c r="G146" i="22" s="1"/>
  <c r="T25" i="44" s="1"/>
  <c r="S22" i="49" s="1"/>
  <c r="E147" i="22"/>
  <c r="E148" i="22"/>
  <c r="E149" i="22"/>
  <c r="G149" i="22" s="1"/>
  <c r="E150" i="22"/>
  <c r="G150" i="22" s="1"/>
  <c r="E151" i="22"/>
  <c r="E152" i="22"/>
  <c r="E179" i="21"/>
  <c r="G179" i="21" s="1"/>
  <c r="E180" i="21"/>
  <c r="G180" i="21" s="1"/>
  <c r="E174" i="21"/>
  <c r="G174" i="21" s="1"/>
  <c r="E175" i="21"/>
  <c r="G175" i="21" s="1"/>
  <c r="E162" i="21"/>
  <c r="G162" i="21" s="1"/>
  <c r="AB24" i="44" s="1"/>
  <c r="AA21" i="49" s="1"/>
  <c r="E163" i="21"/>
  <c r="E164" i="21"/>
  <c r="E165" i="21"/>
  <c r="E156" i="21"/>
  <c r="G156" i="21" s="1"/>
  <c r="G157" i="21"/>
  <c r="H157" i="21" s="1"/>
  <c r="J157" i="21" s="1"/>
  <c r="G158" i="21"/>
  <c r="H158" i="21" s="1"/>
  <c r="E139" i="21"/>
  <c r="E140" i="21"/>
  <c r="G140" i="21" s="1"/>
  <c r="P24" i="44" s="1"/>
  <c r="O21" i="49" s="1"/>
  <c r="E141" i="21"/>
  <c r="G141" i="21" s="1"/>
  <c r="Q24" i="44" s="1"/>
  <c r="P21" i="49" s="1"/>
  <c r="E142" i="21"/>
  <c r="E143" i="21"/>
  <c r="E144" i="21"/>
  <c r="E145" i="21"/>
  <c r="E146" i="21"/>
  <c r="E147" i="21"/>
  <c r="E148" i="21"/>
  <c r="G148" i="21" s="1"/>
  <c r="W24" i="44" s="1"/>
  <c r="V21" i="49" s="1"/>
  <c r="E149" i="21"/>
  <c r="G149" i="21" s="1"/>
  <c r="E150" i="21"/>
  <c r="E151" i="21"/>
  <c r="E152" i="21"/>
  <c r="G152" i="21" s="1"/>
  <c r="E129" i="21"/>
  <c r="G129" i="21" s="1"/>
  <c r="E130" i="21"/>
  <c r="E131" i="21"/>
  <c r="E132" i="21"/>
  <c r="G132" i="21" s="1"/>
  <c r="E133" i="21"/>
  <c r="G133" i="21" s="1"/>
  <c r="E134" i="21"/>
  <c r="G134" i="21" s="1"/>
  <c r="E113" i="21"/>
  <c r="E114" i="21"/>
  <c r="G114" i="21" s="1"/>
  <c r="E115" i="21"/>
  <c r="E116" i="21"/>
  <c r="E117" i="21"/>
  <c r="E118" i="21"/>
  <c r="G118" i="21" s="1"/>
  <c r="AG24" i="44" s="1"/>
  <c r="AF21" i="49" s="1"/>
  <c r="E119" i="21"/>
  <c r="E120" i="21"/>
  <c r="E121" i="21"/>
  <c r="E122" i="21"/>
  <c r="G122" i="21" s="1"/>
  <c r="AK24" i="44" s="1"/>
  <c r="AJ21" i="49" s="1"/>
  <c r="E123" i="21"/>
  <c r="E83" i="21"/>
  <c r="E85" i="21"/>
  <c r="E87" i="21"/>
  <c r="G87" i="21" s="1"/>
  <c r="AC23" i="1" s="1"/>
  <c r="E88" i="21"/>
  <c r="G88" i="21" s="1"/>
  <c r="E89" i="21"/>
  <c r="E90" i="21"/>
  <c r="E91" i="21"/>
  <c r="G91" i="21" s="1"/>
  <c r="AK23" i="1" s="1"/>
  <c r="E92" i="21"/>
  <c r="G92" i="21" s="1"/>
  <c r="AL23" i="1" s="1"/>
  <c r="E75" i="21"/>
  <c r="E76" i="21"/>
  <c r="E77" i="21"/>
  <c r="G77" i="21" s="1"/>
  <c r="AR24" i="44" s="1"/>
  <c r="BK21" i="49" s="1"/>
  <c r="E78" i="21"/>
  <c r="E79" i="21"/>
  <c r="E66" i="21"/>
  <c r="E67" i="21"/>
  <c r="G67" i="21" s="1"/>
  <c r="E68" i="21"/>
  <c r="G68" i="21" s="1"/>
  <c r="W13" i="45" s="1"/>
  <c r="E69" i="21"/>
  <c r="E70" i="21"/>
  <c r="E63" i="21"/>
  <c r="G63" i="21" s="1"/>
  <c r="G50" i="21"/>
  <c r="G54" i="21"/>
  <c r="BD23" i="1" s="1"/>
  <c r="E36" i="21"/>
  <c r="E37" i="21"/>
  <c r="E38" i="21"/>
  <c r="E39" i="21"/>
  <c r="E40" i="21"/>
  <c r="E41" i="21"/>
  <c r="G41" i="21" s="1"/>
  <c r="AU23" i="1" s="1"/>
  <c r="E42" i="21"/>
  <c r="E43" i="21"/>
  <c r="E44" i="21"/>
  <c r="E45" i="21"/>
  <c r="E46" i="21"/>
  <c r="E8" i="21"/>
  <c r="G8" i="21" s="1"/>
  <c r="E9" i="21"/>
  <c r="E10" i="21"/>
  <c r="G10" i="21" s="1"/>
  <c r="E11" i="21"/>
  <c r="E12" i="21"/>
  <c r="E7" i="21"/>
  <c r="E35" i="19"/>
  <c r="G35" i="19" s="1"/>
  <c r="E7" i="19"/>
  <c r="E115" i="17"/>
  <c r="E162" i="12"/>
  <c r="E113" i="12"/>
  <c r="G113" i="12" s="1"/>
  <c r="E24" i="12"/>
  <c r="E62" i="10"/>
  <c r="E7" i="9"/>
  <c r="E8" i="5"/>
  <c r="G8" i="5" s="1"/>
  <c r="E8" i="4"/>
  <c r="E158" i="3"/>
  <c r="N15" i="31"/>
  <c r="N8" i="31"/>
  <c r="N7" i="31"/>
  <c r="J16" i="31"/>
  <c r="E15" i="30"/>
  <c r="G15" i="30" s="1"/>
  <c r="E7" i="30"/>
  <c r="G7" i="30" s="1"/>
  <c r="G114" i="29"/>
  <c r="E15" i="28"/>
  <c r="G15" i="28" s="1"/>
  <c r="E15" i="27"/>
  <c r="F191" i="27"/>
  <c r="E68" i="27"/>
  <c r="G68" i="27" s="1"/>
  <c r="AC13" i="45" s="1"/>
  <c r="E15" i="40"/>
  <c r="E15" i="25"/>
  <c r="E15" i="24"/>
  <c r="E15" i="23"/>
  <c r="E15" i="22"/>
  <c r="G15" i="22" s="1"/>
  <c r="E7" i="22"/>
  <c r="E15" i="20"/>
  <c r="E8" i="20"/>
  <c r="E9" i="20"/>
  <c r="E10" i="20"/>
  <c r="E11" i="20"/>
  <c r="G11" i="20" s="1"/>
  <c r="E12" i="20"/>
  <c r="E113" i="19"/>
  <c r="E114" i="19"/>
  <c r="G114" i="19" s="1"/>
  <c r="E115" i="19"/>
  <c r="E116" i="19"/>
  <c r="E117" i="19"/>
  <c r="E118" i="19"/>
  <c r="E119" i="19"/>
  <c r="G119" i="19" s="1"/>
  <c r="AH22" i="44" s="1"/>
  <c r="AG19" i="49" s="1"/>
  <c r="E120" i="19"/>
  <c r="E121" i="19"/>
  <c r="E122" i="19"/>
  <c r="G122" i="19" s="1"/>
  <c r="AK22" i="44" s="1"/>
  <c r="AJ19" i="49" s="1"/>
  <c r="E123" i="19"/>
  <c r="G123" i="19" s="1"/>
  <c r="AL22" i="44" s="1"/>
  <c r="AK19" i="49" s="1"/>
  <c r="E66" i="19"/>
  <c r="E67" i="19"/>
  <c r="E68" i="19"/>
  <c r="E69" i="19"/>
  <c r="G69" i="19" s="1"/>
  <c r="E70" i="19"/>
  <c r="E50" i="19"/>
  <c r="E51" i="19"/>
  <c r="G51" i="19" s="1"/>
  <c r="BA21" i="1" s="1"/>
  <c r="E52" i="19"/>
  <c r="G52" i="19" s="1"/>
  <c r="BB21" i="1" s="1"/>
  <c r="E53" i="19"/>
  <c r="E54" i="19"/>
  <c r="E55" i="19"/>
  <c r="E56" i="19"/>
  <c r="G56" i="19" s="1"/>
  <c r="BF21" i="1" s="1"/>
  <c r="E57" i="19"/>
  <c r="E58" i="19"/>
  <c r="G38" i="19"/>
  <c r="G42" i="19"/>
  <c r="E15" i="19"/>
  <c r="E15" i="18"/>
  <c r="E29" i="18"/>
  <c r="E15" i="17"/>
  <c r="E115" i="16"/>
  <c r="E15" i="16"/>
  <c r="G15" i="16" s="1"/>
  <c r="E139" i="14"/>
  <c r="G139" i="14" s="1"/>
  <c r="O17" i="44" s="1"/>
  <c r="N14" i="49" s="1"/>
  <c r="E140" i="14"/>
  <c r="G140" i="14" s="1"/>
  <c r="P17" i="44" s="1"/>
  <c r="O14" i="49" s="1"/>
  <c r="E141" i="14"/>
  <c r="E142" i="14"/>
  <c r="G142" i="14" s="1"/>
  <c r="E143" i="14"/>
  <c r="E144" i="14"/>
  <c r="G144" i="14" s="1"/>
  <c r="U17" i="44" s="1"/>
  <c r="T14" i="49" s="1"/>
  <c r="E145" i="14"/>
  <c r="G145" i="14" s="1"/>
  <c r="S17" i="44" s="1"/>
  <c r="R14" i="49" s="1"/>
  <c r="E146" i="14"/>
  <c r="G146" i="14" s="1"/>
  <c r="T17" i="44" s="1"/>
  <c r="S14" i="49" s="1"/>
  <c r="E147" i="14"/>
  <c r="E148" i="14"/>
  <c r="G148" i="14" s="1"/>
  <c r="W17" i="44" s="1"/>
  <c r="V14" i="49" s="1"/>
  <c r="E149" i="14"/>
  <c r="E150" i="14"/>
  <c r="E151" i="14"/>
  <c r="E152" i="14"/>
  <c r="G152" i="14" s="1"/>
  <c r="E139" i="15"/>
  <c r="E140" i="15"/>
  <c r="G140" i="15" s="1"/>
  <c r="E141" i="15"/>
  <c r="G141" i="15" s="1"/>
  <c r="Q18" i="44" s="1"/>
  <c r="P15" i="49" s="1"/>
  <c r="E142" i="15"/>
  <c r="G142" i="15" s="1"/>
  <c r="R18" i="44" s="1"/>
  <c r="Q15" i="49" s="1"/>
  <c r="E143" i="15"/>
  <c r="E144" i="15"/>
  <c r="G144" i="15" s="1"/>
  <c r="U18" i="44" s="1"/>
  <c r="T15" i="49" s="1"/>
  <c r="E145" i="15"/>
  <c r="E146" i="15"/>
  <c r="G146" i="15" s="1"/>
  <c r="T18" i="44" s="1"/>
  <c r="S15" i="49" s="1"/>
  <c r="E147" i="15"/>
  <c r="E148" i="15"/>
  <c r="G148" i="15" s="1"/>
  <c r="W18" i="44" s="1"/>
  <c r="V15" i="49" s="1"/>
  <c r="E149" i="15"/>
  <c r="E150" i="15"/>
  <c r="G150" i="15" s="1"/>
  <c r="E151" i="15"/>
  <c r="E152" i="15"/>
  <c r="G152" i="15" s="1"/>
  <c r="E179" i="15"/>
  <c r="E180" i="15"/>
  <c r="E174" i="15"/>
  <c r="E175" i="15"/>
  <c r="G175" i="15" s="1"/>
  <c r="Q19" i="45" s="1"/>
  <c r="AW15" i="49" s="1"/>
  <c r="E162" i="15"/>
  <c r="E163" i="15"/>
  <c r="E164" i="15"/>
  <c r="E165" i="15"/>
  <c r="G165" i="15" s="1"/>
  <c r="E161" i="15"/>
  <c r="E156" i="15"/>
  <c r="G156" i="15" s="1"/>
  <c r="E157" i="15"/>
  <c r="E158" i="15"/>
  <c r="G158" i="15" s="1"/>
  <c r="E155" i="15"/>
  <c r="G155" i="15" s="1"/>
  <c r="E113" i="15"/>
  <c r="E114" i="15"/>
  <c r="E115" i="15"/>
  <c r="G115" i="15" s="1"/>
  <c r="E116" i="15"/>
  <c r="E117" i="15"/>
  <c r="G117" i="15" s="1"/>
  <c r="AF18" i="44" s="1"/>
  <c r="AE15" i="49" s="1"/>
  <c r="E118" i="15"/>
  <c r="E119" i="15"/>
  <c r="G119" i="15" s="1"/>
  <c r="AH18" i="44" s="1"/>
  <c r="AG15" i="49" s="1"/>
  <c r="E120" i="15"/>
  <c r="G120" i="15" s="1"/>
  <c r="AI18" i="44" s="1"/>
  <c r="AH15" i="49" s="1"/>
  <c r="E121" i="15"/>
  <c r="G121" i="15" s="1"/>
  <c r="AJ18" i="44" s="1"/>
  <c r="AI15" i="49" s="1"/>
  <c r="E122" i="15"/>
  <c r="E123" i="15"/>
  <c r="G123" i="15" s="1"/>
  <c r="AL18" i="44" s="1"/>
  <c r="AK15" i="49" s="1"/>
  <c r="E83" i="15"/>
  <c r="E84" i="15"/>
  <c r="E85" i="15"/>
  <c r="E86" i="15"/>
  <c r="G86" i="15" s="1"/>
  <c r="AB17" i="1" s="1"/>
  <c r="E87" i="15"/>
  <c r="E88" i="15"/>
  <c r="G88" i="15" s="1"/>
  <c r="E89" i="15"/>
  <c r="E90" i="15"/>
  <c r="G90" i="15" s="1"/>
  <c r="E91" i="15"/>
  <c r="E92" i="15"/>
  <c r="G92" i="15" s="1"/>
  <c r="AL17" i="1" s="1"/>
  <c r="E63" i="15"/>
  <c r="E36" i="15"/>
  <c r="G36" i="15" s="1"/>
  <c r="E37" i="15"/>
  <c r="G37" i="15" s="1"/>
  <c r="E38" i="15"/>
  <c r="G38" i="15" s="1"/>
  <c r="E39" i="15"/>
  <c r="E40" i="15"/>
  <c r="G40" i="15" s="1"/>
  <c r="AT17" i="1" s="1"/>
  <c r="E41" i="15"/>
  <c r="E42" i="15"/>
  <c r="E43" i="15"/>
  <c r="E44" i="15"/>
  <c r="E45" i="15"/>
  <c r="E46" i="15"/>
  <c r="E174" i="13"/>
  <c r="E175" i="13"/>
  <c r="G175" i="13" s="1"/>
  <c r="E173" i="13"/>
  <c r="E174" i="14"/>
  <c r="G174" i="14" s="1"/>
  <c r="E175" i="14"/>
  <c r="G175" i="14" s="1"/>
  <c r="P19" i="45" s="1"/>
  <c r="AW14" i="49" s="1"/>
  <c r="E156" i="14"/>
  <c r="G156" i="14" s="1"/>
  <c r="E157" i="14"/>
  <c r="G157" i="14" s="1"/>
  <c r="E158" i="14"/>
  <c r="G158" i="14" s="1"/>
  <c r="E155" i="14"/>
  <c r="G134" i="14"/>
  <c r="E10" i="14"/>
  <c r="E158" i="13"/>
  <c r="G158" i="13" s="1"/>
  <c r="E157" i="13"/>
  <c r="E134" i="13"/>
  <c r="G134" i="13" s="1"/>
  <c r="E50" i="13"/>
  <c r="G50" i="13" s="1"/>
  <c r="E43" i="13"/>
  <c r="E15" i="15"/>
  <c r="E118" i="12"/>
  <c r="E54" i="12"/>
  <c r="O8" i="12"/>
  <c r="P8" i="12" s="1"/>
  <c r="H159" i="10"/>
  <c r="J159" i="10" s="1"/>
  <c r="E7" i="8"/>
  <c r="E8" i="8"/>
  <c r="G8" i="8" s="1"/>
  <c r="E7" i="7"/>
  <c r="G7" i="7" s="1"/>
  <c r="G9" i="1" s="1"/>
  <c r="E7" i="3"/>
  <c r="G7" i="3" s="1"/>
  <c r="E129" i="30"/>
  <c r="E130" i="30"/>
  <c r="E131" i="30"/>
  <c r="G131" i="30" s="1"/>
  <c r="E132" i="30"/>
  <c r="E133" i="30"/>
  <c r="E134" i="30"/>
  <c r="G134" i="30" s="1"/>
  <c r="E8" i="30"/>
  <c r="G8" i="30" s="1"/>
  <c r="E27" i="30" s="1"/>
  <c r="G27" i="30" s="1"/>
  <c r="E9" i="30"/>
  <c r="E10" i="30"/>
  <c r="E11" i="30"/>
  <c r="G11" i="30" s="1"/>
  <c r="E12" i="30"/>
  <c r="E41" i="27"/>
  <c r="E151" i="25"/>
  <c r="G151" i="25" s="1"/>
  <c r="Z28" i="44" s="1"/>
  <c r="Y25" i="49" s="1"/>
  <c r="E112" i="23"/>
  <c r="G112" i="23" s="1"/>
  <c r="E113" i="23"/>
  <c r="E114" i="23"/>
  <c r="E115" i="23"/>
  <c r="E123" i="23"/>
  <c r="E36" i="20"/>
  <c r="G36" i="20" s="1"/>
  <c r="E37" i="20"/>
  <c r="E38" i="20"/>
  <c r="G38" i="20" s="1"/>
  <c r="E39" i="20"/>
  <c r="G39" i="20" s="1"/>
  <c r="E40" i="20"/>
  <c r="G40" i="20" s="1"/>
  <c r="AT22" i="1" s="1"/>
  <c r="E41" i="20"/>
  <c r="E42" i="20"/>
  <c r="E43" i="20"/>
  <c r="G43" i="20" s="1"/>
  <c r="E44" i="20"/>
  <c r="E45" i="20"/>
  <c r="E46" i="20"/>
  <c r="E118" i="20"/>
  <c r="G118" i="20" s="1"/>
  <c r="AG23" i="44" s="1"/>
  <c r="AF20" i="49" s="1"/>
  <c r="E113" i="20"/>
  <c r="G113" i="20" s="1"/>
  <c r="E114" i="20"/>
  <c r="G114" i="20" s="1"/>
  <c r="E115" i="20"/>
  <c r="E116" i="20"/>
  <c r="G116" i="20" s="1"/>
  <c r="AE23" i="44" s="1"/>
  <c r="AD20" i="49" s="1"/>
  <c r="E117" i="20"/>
  <c r="E119" i="20"/>
  <c r="E120" i="20"/>
  <c r="E121" i="20"/>
  <c r="G121" i="20" s="1"/>
  <c r="AJ23" i="44" s="1"/>
  <c r="AI20" i="49" s="1"/>
  <c r="E122" i="20"/>
  <c r="E123" i="20"/>
  <c r="G123" i="20" s="1"/>
  <c r="AL23" i="44" s="1"/>
  <c r="AK20" i="49" s="1"/>
  <c r="E168" i="19"/>
  <c r="E167" i="19"/>
  <c r="E166" i="19"/>
  <c r="E165" i="19"/>
  <c r="E164" i="19"/>
  <c r="G164" i="19" s="1"/>
  <c r="E163" i="19"/>
  <c r="G163" i="19" s="1"/>
  <c r="E162" i="19"/>
  <c r="G162" i="19" s="1"/>
  <c r="AB22" i="44" s="1"/>
  <c r="AA19" i="49" s="1"/>
  <c r="E83" i="19"/>
  <c r="E84" i="19"/>
  <c r="G84" i="19" s="1"/>
  <c r="E85" i="19"/>
  <c r="E86" i="19"/>
  <c r="G86" i="19" s="1"/>
  <c r="AB21" i="1" s="1"/>
  <c r="E87" i="19"/>
  <c r="E88" i="19"/>
  <c r="G88" i="19" s="1"/>
  <c r="E89" i="19"/>
  <c r="G89" i="19" s="1"/>
  <c r="AW22" i="44" s="1"/>
  <c r="E90" i="19"/>
  <c r="E91" i="19"/>
  <c r="E92" i="19"/>
  <c r="E83" i="18"/>
  <c r="E84" i="18"/>
  <c r="E85" i="18"/>
  <c r="G85" i="18" s="1"/>
  <c r="E86" i="18"/>
  <c r="E87" i="18"/>
  <c r="G87" i="18" s="1"/>
  <c r="AC20" i="1" s="1"/>
  <c r="E88" i="18"/>
  <c r="G88" i="18" s="1"/>
  <c r="E89" i="18"/>
  <c r="E90" i="18"/>
  <c r="E91" i="18"/>
  <c r="E92" i="18"/>
  <c r="G92" i="18" s="1"/>
  <c r="AL20" i="1" s="1"/>
  <c r="E50" i="18"/>
  <c r="E51" i="18"/>
  <c r="E52" i="18"/>
  <c r="G52" i="18" s="1"/>
  <c r="BB20" i="1" s="1"/>
  <c r="E53" i="18"/>
  <c r="G53" i="18" s="1"/>
  <c r="BC20" i="1" s="1"/>
  <c r="E54" i="18"/>
  <c r="E55" i="18"/>
  <c r="E56" i="18"/>
  <c r="E57" i="18"/>
  <c r="G57" i="18" s="1"/>
  <c r="BG20" i="1" s="1"/>
  <c r="E58" i="18"/>
  <c r="E36" i="18"/>
  <c r="G36" i="18" s="1"/>
  <c r="E37" i="18"/>
  <c r="E38" i="18"/>
  <c r="G38" i="18" s="1"/>
  <c r="E39" i="18"/>
  <c r="E40" i="18"/>
  <c r="E41" i="18"/>
  <c r="E42" i="18"/>
  <c r="G42" i="18" s="1"/>
  <c r="E43" i="18"/>
  <c r="E44" i="18"/>
  <c r="E45" i="18"/>
  <c r="G45" i="18" s="1"/>
  <c r="E46" i="18"/>
  <c r="E11" i="18"/>
  <c r="E12" i="18"/>
  <c r="E50" i="17"/>
  <c r="E51" i="17"/>
  <c r="G51" i="17" s="1"/>
  <c r="E52" i="17"/>
  <c r="E53" i="17"/>
  <c r="E54" i="17"/>
  <c r="G54" i="17" s="1"/>
  <c r="BD19" i="1" s="1"/>
  <c r="E55" i="17"/>
  <c r="G55" i="17" s="1"/>
  <c r="E56" i="17"/>
  <c r="G56" i="17" s="1"/>
  <c r="BF19" i="1" s="1"/>
  <c r="E57" i="17"/>
  <c r="E58" i="17"/>
  <c r="E36" i="17"/>
  <c r="G36" i="17" s="1"/>
  <c r="M20" i="44" s="1"/>
  <c r="L17" i="49" s="1"/>
  <c r="E37" i="17"/>
  <c r="E38" i="17"/>
  <c r="E39" i="17"/>
  <c r="G39" i="17" s="1"/>
  <c r="E40" i="17"/>
  <c r="G40" i="17" s="1"/>
  <c r="AT19" i="1" s="1"/>
  <c r="E41" i="17"/>
  <c r="E42" i="17"/>
  <c r="E43" i="17"/>
  <c r="E44" i="17"/>
  <c r="E45" i="17"/>
  <c r="E46" i="17"/>
  <c r="E113" i="17"/>
  <c r="G113" i="17" s="1"/>
  <c r="E114" i="17"/>
  <c r="G114" i="17" s="1"/>
  <c r="E116" i="17"/>
  <c r="E117" i="17"/>
  <c r="E118" i="17"/>
  <c r="E119" i="17"/>
  <c r="G119" i="17" s="1"/>
  <c r="AH20" i="44" s="1"/>
  <c r="AG17" i="49" s="1"/>
  <c r="E120" i="17"/>
  <c r="E121" i="17"/>
  <c r="E122" i="17"/>
  <c r="G122" i="17" s="1"/>
  <c r="AK20" i="44" s="1"/>
  <c r="AJ17" i="49" s="1"/>
  <c r="E123" i="17"/>
  <c r="G123" i="17" s="1"/>
  <c r="AL20" i="44" s="1"/>
  <c r="AK17" i="49" s="1"/>
  <c r="E178" i="12"/>
  <c r="E158" i="12"/>
  <c r="G158" i="12" s="1"/>
  <c r="E157" i="12"/>
  <c r="G157" i="12" s="1"/>
  <c r="E158" i="11"/>
  <c r="G158" i="11" s="1"/>
  <c r="E157" i="11"/>
  <c r="G157" i="11" s="1"/>
  <c r="E158" i="10"/>
  <c r="G158" i="10" s="1"/>
  <c r="E157" i="10"/>
  <c r="G157" i="10" s="1"/>
  <c r="E118" i="10"/>
  <c r="G118" i="10" s="1"/>
  <c r="AG13" i="44" s="1"/>
  <c r="AF10" i="49" s="1"/>
  <c r="E50" i="10"/>
  <c r="E51" i="10"/>
  <c r="E52" i="10"/>
  <c r="E53" i="10"/>
  <c r="E54" i="10"/>
  <c r="E55" i="10"/>
  <c r="E56" i="10"/>
  <c r="G56" i="10" s="1"/>
  <c r="BF12" i="1" s="1"/>
  <c r="E57" i="10"/>
  <c r="G57" i="10" s="1"/>
  <c r="E58" i="10"/>
  <c r="E49" i="10"/>
  <c r="E36" i="10"/>
  <c r="E37" i="10"/>
  <c r="G37" i="10" s="1"/>
  <c r="E38" i="10"/>
  <c r="E39" i="10"/>
  <c r="E40" i="10"/>
  <c r="E41" i="10"/>
  <c r="E42" i="10"/>
  <c r="E43" i="10"/>
  <c r="E44" i="10"/>
  <c r="E45" i="10"/>
  <c r="E46" i="10"/>
  <c r="E35" i="10"/>
  <c r="E3" i="48"/>
  <c r="E33" i="48" s="1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G157" i="8"/>
  <c r="E158" i="8"/>
  <c r="G158" i="8" s="1"/>
  <c r="E157" i="9"/>
  <c r="G157" i="9" s="1"/>
  <c r="E158" i="9"/>
  <c r="G158" i="9" s="1"/>
  <c r="E157" i="7"/>
  <c r="G157" i="7" s="1"/>
  <c r="E158" i="7"/>
  <c r="G158" i="7" s="1"/>
  <c r="E113" i="5"/>
  <c r="E114" i="5"/>
  <c r="E115" i="5"/>
  <c r="E116" i="5"/>
  <c r="G116" i="5" s="1"/>
  <c r="AE8" i="44" s="1"/>
  <c r="AD5" i="49" s="1"/>
  <c r="E117" i="5"/>
  <c r="G117" i="5" s="1"/>
  <c r="AF8" i="44" s="1"/>
  <c r="AE5" i="49" s="1"/>
  <c r="E118" i="5"/>
  <c r="E119" i="5"/>
  <c r="E120" i="5"/>
  <c r="G120" i="5" s="1"/>
  <c r="AI8" i="44" s="1"/>
  <c r="AH5" i="49" s="1"/>
  <c r="E121" i="5"/>
  <c r="E122" i="5"/>
  <c r="E123" i="5"/>
  <c r="E50" i="5"/>
  <c r="G50" i="5" s="1"/>
  <c r="E51" i="5"/>
  <c r="E52" i="5"/>
  <c r="E53" i="5"/>
  <c r="E54" i="5"/>
  <c r="E55" i="5"/>
  <c r="E56" i="5"/>
  <c r="E57" i="5"/>
  <c r="E58" i="5"/>
  <c r="G58" i="5" s="1"/>
  <c r="E36" i="5"/>
  <c r="E37" i="5"/>
  <c r="E38" i="5"/>
  <c r="E39" i="5"/>
  <c r="E40" i="5"/>
  <c r="E41" i="5"/>
  <c r="E42" i="5"/>
  <c r="E43" i="5"/>
  <c r="G43" i="5" s="1"/>
  <c r="E44" i="5"/>
  <c r="E45" i="5"/>
  <c r="E46" i="5"/>
  <c r="E9" i="5"/>
  <c r="E10" i="5"/>
  <c r="G10" i="5" s="1"/>
  <c r="E11" i="5"/>
  <c r="E12" i="5"/>
  <c r="E156" i="43"/>
  <c r="G156" i="43" s="1"/>
  <c r="E157" i="43"/>
  <c r="G157" i="43" s="1"/>
  <c r="E158" i="43"/>
  <c r="E152" i="43"/>
  <c r="G152" i="43" s="1"/>
  <c r="E132" i="43"/>
  <c r="E68" i="43"/>
  <c r="E56" i="43"/>
  <c r="E139" i="30"/>
  <c r="G139" i="30" s="1"/>
  <c r="O33" i="44" s="1"/>
  <c r="E140" i="30"/>
  <c r="G140" i="30" s="1"/>
  <c r="P33" i="44" s="1"/>
  <c r="E141" i="30"/>
  <c r="G141" i="30" s="1"/>
  <c r="Q33" i="44" s="1"/>
  <c r="E142" i="30"/>
  <c r="E143" i="30"/>
  <c r="G143" i="30" s="1"/>
  <c r="X33" i="44" s="1"/>
  <c r="E144" i="30"/>
  <c r="G144" i="30" s="1"/>
  <c r="U33" i="44" s="1"/>
  <c r="E145" i="30"/>
  <c r="G145" i="30" s="1"/>
  <c r="S33" i="44" s="1"/>
  <c r="E146" i="30"/>
  <c r="G146" i="30" s="1"/>
  <c r="E147" i="30"/>
  <c r="G147" i="30" s="1"/>
  <c r="V33" i="44" s="1"/>
  <c r="E148" i="30"/>
  <c r="G148" i="30" s="1"/>
  <c r="W33" i="44" s="1"/>
  <c r="E149" i="30"/>
  <c r="G149" i="30" s="1"/>
  <c r="E150" i="30"/>
  <c r="E151" i="30"/>
  <c r="G151" i="30" s="1"/>
  <c r="Z33" i="44" s="1"/>
  <c r="E152" i="30"/>
  <c r="G152" i="30" s="1"/>
  <c r="E113" i="30"/>
  <c r="G113" i="30" s="1"/>
  <c r="E114" i="30"/>
  <c r="E115" i="30"/>
  <c r="E116" i="30"/>
  <c r="G116" i="30" s="1"/>
  <c r="AE33" i="44" s="1"/>
  <c r="E117" i="30"/>
  <c r="G117" i="30" s="1"/>
  <c r="AF33" i="44" s="1"/>
  <c r="E118" i="30"/>
  <c r="E119" i="30"/>
  <c r="E120" i="30"/>
  <c r="E121" i="30"/>
  <c r="G121" i="30" s="1"/>
  <c r="AJ33" i="44" s="1"/>
  <c r="E122" i="30"/>
  <c r="E123" i="30"/>
  <c r="G123" i="30" s="1"/>
  <c r="AL33" i="44" s="1"/>
  <c r="E112" i="30"/>
  <c r="G112" i="30" s="1"/>
  <c r="G117" i="29"/>
  <c r="AF32" i="44" s="1"/>
  <c r="AE29" i="49" s="1"/>
  <c r="G121" i="29"/>
  <c r="AJ32" i="44" s="1"/>
  <c r="AI29" i="49" s="1"/>
  <c r="E19" i="28"/>
  <c r="E11" i="28"/>
  <c r="E12" i="28"/>
  <c r="E50" i="27"/>
  <c r="E51" i="27"/>
  <c r="E52" i="27"/>
  <c r="G52" i="27" s="1"/>
  <c r="BB29" i="1" s="1"/>
  <c r="E53" i="27"/>
  <c r="G53" i="27" s="1"/>
  <c r="E54" i="27"/>
  <c r="E55" i="27"/>
  <c r="E56" i="27"/>
  <c r="G56" i="27" s="1"/>
  <c r="BF29" i="1" s="1"/>
  <c r="E57" i="27"/>
  <c r="G57" i="27" s="1"/>
  <c r="E58" i="27"/>
  <c r="E139" i="27"/>
  <c r="E140" i="27"/>
  <c r="G140" i="27" s="1"/>
  <c r="P30" i="44" s="1"/>
  <c r="O27" i="49" s="1"/>
  <c r="E141" i="27"/>
  <c r="G141" i="27" s="1"/>
  <c r="Q30" i="44" s="1"/>
  <c r="P27" i="49" s="1"/>
  <c r="E142" i="27"/>
  <c r="E143" i="27"/>
  <c r="E144" i="27"/>
  <c r="G144" i="27" s="1"/>
  <c r="U30" i="44" s="1"/>
  <c r="T27" i="49" s="1"/>
  <c r="E145" i="27"/>
  <c r="G145" i="27" s="1"/>
  <c r="S30" i="44" s="1"/>
  <c r="R27" i="49" s="1"/>
  <c r="E146" i="27"/>
  <c r="E147" i="27"/>
  <c r="E148" i="27"/>
  <c r="G148" i="27" s="1"/>
  <c r="W30" i="44" s="1"/>
  <c r="V27" i="49" s="1"/>
  <c r="E149" i="27"/>
  <c r="E150" i="27"/>
  <c r="E151" i="27"/>
  <c r="E152" i="27"/>
  <c r="G152" i="27" s="1"/>
  <c r="E66" i="27"/>
  <c r="G66" i="27" s="1"/>
  <c r="E67" i="27"/>
  <c r="E69" i="27"/>
  <c r="E70" i="27"/>
  <c r="G70" i="27" s="1"/>
  <c r="AC15" i="45" s="1"/>
  <c r="G159" i="12"/>
  <c r="H159" i="12" s="1"/>
  <c r="J159" i="12" s="1"/>
  <c r="E36" i="11"/>
  <c r="E37" i="11"/>
  <c r="E38" i="11"/>
  <c r="G38" i="11" s="1"/>
  <c r="E39" i="11"/>
  <c r="E40" i="11"/>
  <c r="E41" i="11"/>
  <c r="E42" i="11"/>
  <c r="G42" i="11" s="1"/>
  <c r="E43" i="11"/>
  <c r="E44" i="11"/>
  <c r="E45" i="11"/>
  <c r="E46" i="11"/>
  <c r="E139" i="10"/>
  <c r="E140" i="10"/>
  <c r="E141" i="10"/>
  <c r="G141" i="10" s="1"/>
  <c r="Q13" i="44" s="1"/>
  <c r="P10" i="49" s="1"/>
  <c r="E142" i="10"/>
  <c r="G142" i="10" s="1"/>
  <c r="R13" i="44" s="1"/>
  <c r="Q10" i="49" s="1"/>
  <c r="E143" i="10"/>
  <c r="E144" i="10"/>
  <c r="E145" i="10"/>
  <c r="G145" i="10" s="1"/>
  <c r="S13" i="44" s="1"/>
  <c r="R10" i="49" s="1"/>
  <c r="E146" i="10"/>
  <c r="E147" i="10"/>
  <c r="E148" i="10"/>
  <c r="E149" i="10"/>
  <c r="G149" i="10" s="1"/>
  <c r="E150" i="10"/>
  <c r="G150" i="10" s="1"/>
  <c r="E151" i="10"/>
  <c r="E152" i="10"/>
  <c r="E113" i="10"/>
  <c r="G113" i="10" s="1"/>
  <c r="E114" i="10"/>
  <c r="E115" i="10"/>
  <c r="E116" i="10"/>
  <c r="E117" i="10"/>
  <c r="G117" i="10" s="1"/>
  <c r="AF13" i="44" s="1"/>
  <c r="AE10" i="49" s="1"/>
  <c r="E119" i="10"/>
  <c r="G119" i="10" s="1"/>
  <c r="AH13" i="44" s="1"/>
  <c r="AG10" i="49" s="1"/>
  <c r="E120" i="10"/>
  <c r="E121" i="10"/>
  <c r="E122" i="10"/>
  <c r="G122" i="10" s="1"/>
  <c r="E123" i="10"/>
  <c r="E75" i="9"/>
  <c r="E76" i="9"/>
  <c r="E77" i="9"/>
  <c r="G77" i="9" s="1"/>
  <c r="AR12" i="44" s="1"/>
  <c r="BK9" i="49" s="1"/>
  <c r="E78" i="9"/>
  <c r="G78" i="9" s="1"/>
  <c r="AS12" i="44" s="1"/>
  <c r="BL9" i="49" s="1"/>
  <c r="E85" i="5"/>
  <c r="E85" i="33"/>
  <c r="E90" i="3"/>
  <c r="G90" i="3" s="1"/>
  <c r="E90" i="4"/>
  <c r="E40" i="4"/>
  <c r="G91" i="2"/>
  <c r="AK4" i="1" s="1"/>
  <c r="E40" i="3"/>
  <c r="G40" i="3" s="1"/>
  <c r="AT5" i="1" s="1"/>
  <c r="G157" i="29"/>
  <c r="G158" i="29"/>
  <c r="E66" i="40"/>
  <c r="E67" i="40"/>
  <c r="E68" i="40"/>
  <c r="G68" i="40" s="1"/>
  <c r="AB13" i="45" s="1"/>
  <c r="E69" i="40"/>
  <c r="G69" i="40" s="1"/>
  <c r="AB14" i="45" s="1"/>
  <c r="E70" i="40"/>
  <c r="E50" i="12"/>
  <c r="E51" i="12"/>
  <c r="G51" i="12" s="1"/>
  <c r="E52" i="12"/>
  <c r="E53" i="12"/>
  <c r="E55" i="12"/>
  <c r="E56" i="12"/>
  <c r="E57" i="12"/>
  <c r="E58" i="12"/>
  <c r="E50" i="11"/>
  <c r="E51" i="11"/>
  <c r="G51" i="11" s="1"/>
  <c r="E52" i="11"/>
  <c r="E53" i="11"/>
  <c r="E54" i="11"/>
  <c r="E55" i="11"/>
  <c r="G55" i="11" s="1"/>
  <c r="BE13" i="1" s="1"/>
  <c r="E56" i="11"/>
  <c r="E57" i="11"/>
  <c r="E58" i="11"/>
  <c r="E139" i="11"/>
  <c r="G139" i="11" s="1"/>
  <c r="O14" i="44" s="1"/>
  <c r="N11" i="49" s="1"/>
  <c r="E140" i="11"/>
  <c r="E141" i="11"/>
  <c r="E142" i="11"/>
  <c r="E143" i="11"/>
  <c r="G143" i="11" s="1"/>
  <c r="X14" i="44" s="1"/>
  <c r="W11" i="49" s="1"/>
  <c r="E144" i="11"/>
  <c r="G144" i="11" s="1"/>
  <c r="E145" i="11"/>
  <c r="E146" i="11"/>
  <c r="G146" i="11" s="1"/>
  <c r="T14" i="44" s="1"/>
  <c r="S11" i="49" s="1"/>
  <c r="E147" i="11"/>
  <c r="G147" i="11" s="1"/>
  <c r="V14" i="44" s="1"/>
  <c r="U11" i="49" s="1"/>
  <c r="E148" i="11"/>
  <c r="E149" i="11"/>
  <c r="G149" i="11" s="1"/>
  <c r="E150" i="11"/>
  <c r="G150" i="11" s="1"/>
  <c r="E151" i="11"/>
  <c r="G151" i="11" s="1"/>
  <c r="E152" i="11"/>
  <c r="E129" i="11"/>
  <c r="E130" i="11"/>
  <c r="E131" i="11"/>
  <c r="G131" i="11" s="1"/>
  <c r="E132" i="11"/>
  <c r="E133" i="11"/>
  <c r="E134" i="11"/>
  <c r="G134" i="11" s="1"/>
  <c r="E156" i="10"/>
  <c r="G156" i="10" s="1"/>
  <c r="E9" i="10"/>
  <c r="E10" i="10"/>
  <c r="E11" i="10"/>
  <c r="E12" i="10"/>
  <c r="G12" i="10" s="1"/>
  <c r="E113" i="9"/>
  <c r="E114" i="9"/>
  <c r="E115" i="9"/>
  <c r="G115" i="9" s="1"/>
  <c r="E116" i="9"/>
  <c r="E117" i="9"/>
  <c r="E118" i="9"/>
  <c r="E119" i="9"/>
  <c r="G119" i="9" s="1"/>
  <c r="AH12" i="44" s="1"/>
  <c r="AG9" i="49" s="1"/>
  <c r="E120" i="9"/>
  <c r="G120" i="9" s="1"/>
  <c r="AI12" i="44" s="1"/>
  <c r="AH9" i="49" s="1"/>
  <c r="E121" i="9"/>
  <c r="E122" i="9"/>
  <c r="E123" i="9"/>
  <c r="G123" i="9" s="1"/>
  <c r="AL12" i="44" s="1"/>
  <c r="AK9" i="49" s="1"/>
  <c r="E42" i="4"/>
  <c r="O86" i="3"/>
  <c r="G158" i="43"/>
  <c r="E66" i="28"/>
  <c r="E67" i="28"/>
  <c r="G67" i="28" s="1"/>
  <c r="E68" i="28"/>
  <c r="E69" i="28"/>
  <c r="E70" i="28"/>
  <c r="E11" i="27"/>
  <c r="E12" i="27"/>
  <c r="E156" i="40"/>
  <c r="E157" i="40"/>
  <c r="G157" i="40" s="1"/>
  <c r="E158" i="40"/>
  <c r="G158" i="40" s="1"/>
  <c r="E129" i="25"/>
  <c r="G129" i="25" s="1"/>
  <c r="E130" i="25"/>
  <c r="G130" i="25" s="1"/>
  <c r="E131" i="25"/>
  <c r="E132" i="25"/>
  <c r="E134" i="25"/>
  <c r="G134" i="25" s="1"/>
  <c r="E36" i="40"/>
  <c r="E37" i="40"/>
  <c r="G37" i="40" s="1"/>
  <c r="E38" i="40"/>
  <c r="G38" i="40" s="1"/>
  <c r="H29" i="44" s="1"/>
  <c r="G26" i="49" s="1"/>
  <c r="E39" i="40"/>
  <c r="E40" i="40"/>
  <c r="E41" i="40"/>
  <c r="E42" i="40"/>
  <c r="E43" i="40"/>
  <c r="E44" i="40"/>
  <c r="E45" i="40"/>
  <c r="E46" i="40"/>
  <c r="G46" i="40" s="1"/>
  <c r="E11" i="40"/>
  <c r="E12" i="40"/>
  <c r="E156" i="25"/>
  <c r="E157" i="25"/>
  <c r="G157" i="25" s="1"/>
  <c r="E158" i="25"/>
  <c r="E157" i="23"/>
  <c r="G157" i="23" s="1"/>
  <c r="E158" i="23"/>
  <c r="G158" i="23" s="1"/>
  <c r="E149" i="20"/>
  <c r="G149" i="20" s="1"/>
  <c r="G9" i="50"/>
  <c r="E12" i="19"/>
  <c r="E11" i="19"/>
  <c r="G11" i="19" s="1"/>
  <c r="E132" i="18"/>
  <c r="G132" i="18" s="1"/>
  <c r="E158" i="19"/>
  <c r="G158" i="19" s="1"/>
  <c r="E157" i="16"/>
  <c r="G157" i="16" s="1"/>
  <c r="E158" i="16"/>
  <c r="G158" i="16" s="1"/>
  <c r="E150" i="16"/>
  <c r="G150" i="16" s="1"/>
  <c r="G157" i="15"/>
  <c r="G157" i="13"/>
  <c r="E36" i="12"/>
  <c r="G36" i="12" s="1"/>
  <c r="E37" i="12"/>
  <c r="E38" i="12"/>
  <c r="E39" i="12"/>
  <c r="E40" i="12"/>
  <c r="G40" i="12" s="1"/>
  <c r="AT14" i="1" s="1"/>
  <c r="E41" i="12"/>
  <c r="E42" i="12"/>
  <c r="E43" i="12"/>
  <c r="E44" i="12"/>
  <c r="E45" i="12"/>
  <c r="E46" i="12"/>
  <c r="J159" i="33"/>
  <c r="E156" i="33"/>
  <c r="G156" i="33" s="1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1" i="3" s="1"/>
  <c r="G164" i="2"/>
  <c r="G158" i="2"/>
  <c r="H158" i="2" s="1"/>
  <c r="G157" i="2"/>
  <c r="H157" i="2" s="1"/>
  <c r="G156" i="31"/>
  <c r="G157" i="31"/>
  <c r="G158" i="31"/>
  <c r="E139" i="43"/>
  <c r="E140" i="43"/>
  <c r="E141" i="43"/>
  <c r="E142" i="43"/>
  <c r="E143" i="43"/>
  <c r="G143" i="43" s="1"/>
  <c r="X34" i="44" s="1"/>
  <c r="E144" i="43"/>
  <c r="G144" i="43" s="1"/>
  <c r="U34" i="44" s="1"/>
  <c r="E146" i="43"/>
  <c r="E147" i="43"/>
  <c r="G147" i="43" s="1"/>
  <c r="E148" i="43"/>
  <c r="E150" i="43"/>
  <c r="E151" i="43"/>
  <c r="G36" i="43"/>
  <c r="E37" i="43"/>
  <c r="E38" i="43"/>
  <c r="E39" i="43"/>
  <c r="G39" i="43" s="1"/>
  <c r="I34" i="44" s="1"/>
  <c r="E40" i="43"/>
  <c r="G40" i="43" s="1"/>
  <c r="AT33" i="1" s="1"/>
  <c r="E41" i="43"/>
  <c r="E42" i="43"/>
  <c r="E43" i="43"/>
  <c r="E44" i="43"/>
  <c r="E45" i="43"/>
  <c r="E46" i="43"/>
  <c r="E157" i="30"/>
  <c r="G157" i="30" s="1"/>
  <c r="H157" i="30" s="1"/>
  <c r="J157" i="30" s="1"/>
  <c r="E158" i="30"/>
  <c r="G158" i="30" s="1"/>
  <c r="H158" i="30" s="1"/>
  <c r="J158" i="30" s="1"/>
  <c r="G157" i="24"/>
  <c r="G158" i="24"/>
  <c r="E156" i="28"/>
  <c r="G156" i="28" s="1"/>
  <c r="E157" i="28"/>
  <c r="G157" i="28" s="1"/>
  <c r="E158" i="28"/>
  <c r="G158" i="28" s="1"/>
  <c r="E36" i="28"/>
  <c r="G36" i="28" s="1"/>
  <c r="E37" i="28"/>
  <c r="G37" i="28" s="1"/>
  <c r="AQ30" i="1" s="1"/>
  <c r="E38" i="28"/>
  <c r="G38" i="28" s="1"/>
  <c r="AR30" i="1" s="1"/>
  <c r="E39" i="28"/>
  <c r="E40" i="28"/>
  <c r="G40" i="28" s="1"/>
  <c r="AT30" i="1" s="1"/>
  <c r="E41" i="28"/>
  <c r="E42" i="28"/>
  <c r="G42" i="28" s="1"/>
  <c r="AV30" i="1" s="1"/>
  <c r="E43" i="28"/>
  <c r="E44" i="28"/>
  <c r="E45" i="28"/>
  <c r="E46" i="28"/>
  <c r="E156" i="27"/>
  <c r="G156" i="27" s="1"/>
  <c r="E157" i="27"/>
  <c r="G157" i="27" s="1"/>
  <c r="E158" i="27"/>
  <c r="G158" i="27" s="1"/>
  <c r="E139" i="40"/>
  <c r="G139" i="40" s="1"/>
  <c r="O29" i="44" s="1"/>
  <c r="N26" i="49" s="1"/>
  <c r="E140" i="40"/>
  <c r="G140" i="40" s="1"/>
  <c r="P29" i="44" s="1"/>
  <c r="O26" i="49" s="1"/>
  <c r="E141" i="40"/>
  <c r="E142" i="40"/>
  <c r="G142" i="40" s="1"/>
  <c r="R29" i="44" s="1"/>
  <c r="Q26" i="49" s="1"/>
  <c r="E143" i="40"/>
  <c r="E144" i="40"/>
  <c r="G144" i="40" s="1"/>
  <c r="U29" i="44" s="1"/>
  <c r="T26" i="49" s="1"/>
  <c r="E145" i="40"/>
  <c r="E146" i="40"/>
  <c r="G146" i="40" s="1"/>
  <c r="E147" i="40"/>
  <c r="G147" i="40" s="1"/>
  <c r="V29" i="44" s="1"/>
  <c r="U26" i="49" s="1"/>
  <c r="E148" i="40"/>
  <c r="G148" i="40" s="1"/>
  <c r="W29" i="44" s="1"/>
  <c r="V26" i="49" s="1"/>
  <c r="E149" i="40"/>
  <c r="G149" i="40" s="1"/>
  <c r="E150" i="40"/>
  <c r="G150" i="40" s="1"/>
  <c r="E151" i="40"/>
  <c r="G151" i="40" s="1"/>
  <c r="Z29" i="44" s="1"/>
  <c r="Y26" i="49" s="1"/>
  <c r="E152" i="40"/>
  <c r="G152" i="40" s="1"/>
  <c r="G158" i="25"/>
  <c r="G156" i="25"/>
  <c r="E75" i="25"/>
  <c r="E76" i="25"/>
  <c r="E77" i="25"/>
  <c r="E78" i="25"/>
  <c r="G78" i="25" s="1"/>
  <c r="AS28" i="44" s="1"/>
  <c r="BL25" i="49" s="1"/>
  <c r="G134" i="22"/>
  <c r="G158" i="22"/>
  <c r="E156" i="20"/>
  <c r="G156" i="20" s="1"/>
  <c r="G157" i="20"/>
  <c r="E158" i="20"/>
  <c r="G158" i="20" s="1"/>
  <c r="E156" i="19"/>
  <c r="G156" i="19" s="1"/>
  <c r="E157" i="19"/>
  <c r="G157" i="19" s="1"/>
  <c r="E157" i="18"/>
  <c r="G157" i="18" s="1"/>
  <c r="E158" i="18"/>
  <c r="G158" i="18" s="1"/>
  <c r="G157" i="17"/>
  <c r="G158" i="17"/>
  <c r="G15" i="15"/>
  <c r="E139" i="13"/>
  <c r="E140" i="13"/>
  <c r="G140" i="13" s="1"/>
  <c r="P16" i="44" s="1"/>
  <c r="O13" i="49" s="1"/>
  <c r="E141" i="13"/>
  <c r="G141" i="13" s="1"/>
  <c r="Q16" i="44" s="1"/>
  <c r="P13" i="49" s="1"/>
  <c r="E142" i="13"/>
  <c r="E143" i="13"/>
  <c r="E144" i="13"/>
  <c r="G144" i="13" s="1"/>
  <c r="U16" i="44" s="1"/>
  <c r="T13" i="49" s="1"/>
  <c r="E145" i="13"/>
  <c r="E146" i="13"/>
  <c r="E147" i="13"/>
  <c r="G147" i="13" s="1"/>
  <c r="V16" i="44" s="1"/>
  <c r="U13" i="49" s="1"/>
  <c r="E148" i="13"/>
  <c r="G148" i="13" s="1"/>
  <c r="W16" i="44" s="1"/>
  <c r="V13" i="49" s="1"/>
  <c r="E149" i="13"/>
  <c r="G149" i="13" s="1"/>
  <c r="E150" i="13"/>
  <c r="E151" i="13"/>
  <c r="E152" i="13"/>
  <c r="G152" i="13" s="1"/>
  <c r="E129" i="13"/>
  <c r="E130" i="13"/>
  <c r="E131" i="13"/>
  <c r="E132" i="13"/>
  <c r="G132" i="13" s="1"/>
  <c r="E133" i="13"/>
  <c r="G133" i="13" s="1"/>
  <c r="E51" i="13"/>
  <c r="E52" i="13"/>
  <c r="E53" i="13"/>
  <c r="G53" i="13" s="1"/>
  <c r="BC15" i="1" s="1"/>
  <c r="E54" i="13"/>
  <c r="E55" i="13"/>
  <c r="E56" i="13"/>
  <c r="E57" i="13"/>
  <c r="G57" i="13" s="1"/>
  <c r="E58" i="13"/>
  <c r="G58" i="13" s="1"/>
  <c r="Y16" i="44" s="1"/>
  <c r="X13" i="49" s="1"/>
  <c r="E36" i="13"/>
  <c r="E37" i="13"/>
  <c r="E38" i="13"/>
  <c r="G38" i="13" s="1"/>
  <c r="E39" i="13"/>
  <c r="G39" i="13" s="1"/>
  <c r="E40" i="13"/>
  <c r="E41" i="13"/>
  <c r="E42" i="13"/>
  <c r="G42" i="13" s="1"/>
  <c r="E44" i="13"/>
  <c r="G44" i="13" s="1"/>
  <c r="AX15" i="1" s="1"/>
  <c r="E45" i="13"/>
  <c r="E46" i="13"/>
  <c r="E11" i="13"/>
  <c r="G11" i="13" s="1"/>
  <c r="E12" i="13"/>
  <c r="E129" i="12"/>
  <c r="E130" i="12"/>
  <c r="E131" i="12"/>
  <c r="E132" i="12"/>
  <c r="G132" i="12" s="1"/>
  <c r="E133" i="12"/>
  <c r="E134" i="12"/>
  <c r="E121" i="33"/>
  <c r="E49" i="33"/>
  <c r="E134" i="4"/>
  <c r="I7" i="30"/>
  <c r="E35" i="24"/>
  <c r="E120" i="23"/>
  <c r="E63" i="23"/>
  <c r="E49" i="23"/>
  <c r="E178" i="21"/>
  <c r="G178" i="21" s="1"/>
  <c r="K191" i="18"/>
  <c r="E145" i="18"/>
  <c r="G145" i="18" s="1"/>
  <c r="S21" i="44" s="1"/>
  <c r="R18" i="49" s="1"/>
  <c r="E146" i="18"/>
  <c r="G146" i="18" s="1"/>
  <c r="T21" i="44" s="1"/>
  <c r="S18" i="49" s="1"/>
  <c r="E114" i="18"/>
  <c r="G114" i="18" s="1"/>
  <c r="K191" i="17"/>
  <c r="K190" i="20"/>
  <c r="K190" i="19"/>
  <c r="E134" i="10"/>
  <c r="E155" i="5"/>
  <c r="G155" i="5" s="1"/>
  <c r="E149" i="4"/>
  <c r="E150" i="4"/>
  <c r="E151" i="4"/>
  <c r="E152" i="4"/>
  <c r="G152" i="4" s="1"/>
  <c r="E69" i="3"/>
  <c r="G69" i="3" s="1"/>
  <c r="E155" i="3"/>
  <c r="G134" i="2"/>
  <c r="G37" i="2"/>
  <c r="G18" i="2"/>
  <c r="E31" i="2" s="1"/>
  <c r="G31" i="2" s="1"/>
  <c r="G90" i="31"/>
  <c r="I90" i="31" s="1"/>
  <c r="B30" i="48"/>
  <c r="H30" i="48"/>
  <c r="B22" i="48"/>
  <c r="G56" i="23"/>
  <c r="E155" i="23"/>
  <c r="G155" i="23" s="1"/>
  <c r="E39" i="22"/>
  <c r="G39" i="22" s="1"/>
  <c r="E113" i="22"/>
  <c r="G113" i="22" s="1"/>
  <c r="E114" i="22"/>
  <c r="E115" i="22"/>
  <c r="E116" i="22"/>
  <c r="G116" i="22" s="1"/>
  <c r="AE25" i="44" s="1"/>
  <c r="AD22" i="49" s="1"/>
  <c r="E117" i="22"/>
  <c r="G117" i="22" s="1"/>
  <c r="AF25" i="44" s="1"/>
  <c r="AE22" i="49" s="1"/>
  <c r="E118" i="22"/>
  <c r="E119" i="22"/>
  <c r="G119" i="22" s="1"/>
  <c r="E120" i="22"/>
  <c r="G120" i="22" s="1"/>
  <c r="AI25" i="44" s="1"/>
  <c r="AH22" i="49" s="1"/>
  <c r="E121" i="22"/>
  <c r="E122" i="22"/>
  <c r="E123" i="22"/>
  <c r="E184" i="20"/>
  <c r="G184" i="20" s="1"/>
  <c r="E185" i="20"/>
  <c r="E183" i="20"/>
  <c r="E179" i="20"/>
  <c r="G179" i="20" s="1"/>
  <c r="E180" i="20"/>
  <c r="G180" i="20" s="1"/>
  <c r="V23" i="45" s="1"/>
  <c r="AZ20" i="49" s="1"/>
  <c r="E178" i="20"/>
  <c r="G178" i="20" s="1"/>
  <c r="V21" i="45" s="1"/>
  <c r="E174" i="20"/>
  <c r="E175" i="20"/>
  <c r="E173" i="20"/>
  <c r="G173" i="20" s="1"/>
  <c r="V17" i="45" s="1"/>
  <c r="AU20" i="49" s="1"/>
  <c r="E162" i="20"/>
  <c r="G162" i="20" s="1"/>
  <c r="AB23" i="44" s="1"/>
  <c r="AA20" i="49" s="1"/>
  <c r="E163" i="20"/>
  <c r="E164" i="20"/>
  <c r="G164" i="20" s="1"/>
  <c r="E165" i="20"/>
  <c r="G165" i="20" s="1"/>
  <c r="E161" i="20"/>
  <c r="E155" i="20"/>
  <c r="G155" i="20" s="1"/>
  <c r="E152" i="20"/>
  <c r="E139" i="20"/>
  <c r="G139" i="20" s="1"/>
  <c r="O23" i="44" s="1"/>
  <c r="N20" i="49" s="1"/>
  <c r="E140" i="20"/>
  <c r="G140" i="20" s="1"/>
  <c r="P23" i="44" s="1"/>
  <c r="O20" i="49" s="1"/>
  <c r="E141" i="20"/>
  <c r="E142" i="20"/>
  <c r="G142" i="20" s="1"/>
  <c r="E143" i="20"/>
  <c r="G143" i="20" s="1"/>
  <c r="X23" i="44" s="1"/>
  <c r="W20" i="49" s="1"/>
  <c r="E144" i="20"/>
  <c r="E145" i="20"/>
  <c r="E146" i="20"/>
  <c r="E147" i="20"/>
  <c r="G147" i="20" s="1"/>
  <c r="V23" i="44" s="1"/>
  <c r="U20" i="49" s="1"/>
  <c r="E148" i="20"/>
  <c r="G150" i="20"/>
  <c r="E151" i="20"/>
  <c r="G151" i="20" s="1"/>
  <c r="Z23" i="44" s="1"/>
  <c r="E138" i="20"/>
  <c r="G138" i="20" s="1"/>
  <c r="N23" i="44" s="1"/>
  <c r="M20" i="49" s="1"/>
  <c r="E129" i="20"/>
  <c r="E130" i="20"/>
  <c r="E131" i="20"/>
  <c r="G131" i="20" s="1"/>
  <c r="E132" i="20"/>
  <c r="G132" i="20" s="1"/>
  <c r="E128" i="20"/>
  <c r="G128" i="20" s="1"/>
  <c r="E124" i="20"/>
  <c r="E112" i="20"/>
  <c r="E83" i="20"/>
  <c r="E84" i="20"/>
  <c r="E85" i="20"/>
  <c r="G85" i="20" s="1"/>
  <c r="AA22" i="1" s="1"/>
  <c r="E86" i="20"/>
  <c r="G86" i="20" s="1"/>
  <c r="AB22" i="1" s="1"/>
  <c r="E87" i="20"/>
  <c r="G87" i="20" s="1"/>
  <c r="E88" i="20"/>
  <c r="G88" i="20" s="1"/>
  <c r="AC23" i="44" s="1"/>
  <c r="AB20" i="49" s="1"/>
  <c r="E89" i="20"/>
  <c r="G89" i="20" s="1"/>
  <c r="E90" i="20"/>
  <c r="G90" i="20" s="1"/>
  <c r="E91" i="20"/>
  <c r="E92" i="20"/>
  <c r="E82" i="20"/>
  <c r="E75" i="20"/>
  <c r="E76" i="20"/>
  <c r="G76" i="20" s="1"/>
  <c r="AQ23" i="44" s="1"/>
  <c r="BJ20" i="49" s="1"/>
  <c r="E77" i="20"/>
  <c r="G77" i="20" s="1"/>
  <c r="AR23" i="44" s="1"/>
  <c r="E78" i="20"/>
  <c r="E79" i="20"/>
  <c r="E74" i="20"/>
  <c r="E63" i="20"/>
  <c r="E64" i="20"/>
  <c r="E65" i="20"/>
  <c r="E66" i="20"/>
  <c r="G66" i="20" s="1"/>
  <c r="V10" i="45" s="1"/>
  <c r="AP20" i="49" s="1"/>
  <c r="E67" i="20"/>
  <c r="G67" i="20" s="1"/>
  <c r="E68" i="20"/>
  <c r="E69" i="20"/>
  <c r="E70" i="20"/>
  <c r="E71" i="20"/>
  <c r="E62" i="20"/>
  <c r="G52" i="20"/>
  <c r="BB22" i="1" s="1"/>
  <c r="G53" i="20"/>
  <c r="BC22" i="1" s="1"/>
  <c r="G58" i="20"/>
  <c r="Y23" i="44" s="1"/>
  <c r="X20" i="49" s="1"/>
  <c r="E49" i="20"/>
  <c r="G49" i="20" s="1"/>
  <c r="AZ22" i="1" s="1"/>
  <c r="E35" i="20"/>
  <c r="E23" i="20"/>
  <c r="E22" i="20"/>
  <c r="E84" i="17"/>
  <c r="E134" i="16"/>
  <c r="G134" i="16" s="1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/>
  <c r="G92" i="9" s="1"/>
  <c r="AL11" i="1" s="1"/>
  <c r="G2" i="48"/>
  <c r="E155" i="4"/>
  <c r="G155" i="4" s="1"/>
  <c r="O11" i="2"/>
  <c r="E79" i="25"/>
  <c r="G155" i="31"/>
  <c r="E155" i="43"/>
  <c r="G155" i="43" s="1"/>
  <c r="E156" i="30"/>
  <c r="G156" i="30" s="1"/>
  <c r="E155" i="30"/>
  <c r="G155" i="30" s="1"/>
  <c r="G156" i="29"/>
  <c r="G155" i="29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E156" i="23"/>
  <c r="G156" i="23" s="1"/>
  <c r="G156" i="22"/>
  <c r="E155" i="22"/>
  <c r="G155" i="22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5" i="33"/>
  <c r="G155" i="33" s="1"/>
  <c r="E156" i="5"/>
  <c r="G156" i="5" s="1"/>
  <c r="G156" i="3"/>
  <c r="G155" i="3"/>
  <c r="G156" i="2"/>
  <c r="H156" i="2" s="1"/>
  <c r="J156" i="2" s="1"/>
  <c r="G155" i="2"/>
  <c r="H155" i="2" s="1"/>
  <c r="J155" i="2" s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1" i="43"/>
  <c r="Z34" i="44" s="1"/>
  <c r="G150" i="43"/>
  <c r="G149" i="43"/>
  <c r="G148" i="43"/>
  <c r="W34" i="44" s="1"/>
  <c r="G146" i="43"/>
  <c r="T34" i="44" s="1"/>
  <c r="G145" i="43"/>
  <c r="S34" i="44" s="1"/>
  <c r="G150" i="30"/>
  <c r="T33" i="44"/>
  <c r="G152" i="29"/>
  <c r="G151" i="29"/>
  <c r="Z32" i="44" s="1"/>
  <c r="G150" i="29"/>
  <c r="G149" i="29"/>
  <c r="G148" i="29"/>
  <c r="W32" i="44" s="1"/>
  <c r="G147" i="29"/>
  <c r="V32" i="44" s="1"/>
  <c r="U29" i="49" s="1"/>
  <c r="G146" i="29"/>
  <c r="T32" i="44" s="1"/>
  <c r="S29" i="49" s="1"/>
  <c r="G145" i="29"/>
  <c r="S32" i="44" s="1"/>
  <c r="R29" i="49" s="1"/>
  <c r="G144" i="29"/>
  <c r="U32" i="44" s="1"/>
  <c r="T29" i="49" s="1"/>
  <c r="G143" i="29"/>
  <c r="G134" i="29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U28" i="49" s="1"/>
  <c r="E146" i="28"/>
  <c r="G146" i="28" s="1"/>
  <c r="T31" i="44" s="1"/>
  <c r="S28" i="49" s="1"/>
  <c r="E145" i="28"/>
  <c r="G145" i="28" s="1"/>
  <c r="S31" i="44" s="1"/>
  <c r="R28" i="49" s="1"/>
  <c r="E144" i="28"/>
  <c r="G144" i="28" s="1"/>
  <c r="U31" i="44" s="1"/>
  <c r="E143" i="28"/>
  <c r="G143" i="28" s="1"/>
  <c r="X31" i="44" s="1"/>
  <c r="W28" i="49" s="1"/>
  <c r="E134" i="28"/>
  <c r="G134" i="28" s="1"/>
  <c r="G151" i="27"/>
  <c r="Z30" i="44" s="1"/>
  <c r="G150" i="27"/>
  <c r="G149" i="27"/>
  <c r="G147" i="27"/>
  <c r="V30" i="44" s="1"/>
  <c r="G146" i="27"/>
  <c r="T30" i="44" s="1"/>
  <c r="S27" i="49" s="1"/>
  <c r="G143" i="27"/>
  <c r="X30" i="44" s="1"/>
  <c r="W27" i="49" s="1"/>
  <c r="E134" i="27"/>
  <c r="G134" i="27" s="1"/>
  <c r="G145" i="40"/>
  <c r="S29" i="44" s="1"/>
  <c r="R26" i="49" s="1"/>
  <c r="G143" i="40"/>
  <c r="X29" i="44" s="1"/>
  <c r="W26" i="49" s="1"/>
  <c r="E134" i="40"/>
  <c r="G134" i="40" s="1"/>
  <c r="E152" i="25"/>
  <c r="G152" i="25" s="1"/>
  <c r="E150" i="25"/>
  <c r="G150" i="25" s="1"/>
  <c r="E149" i="25"/>
  <c r="G149" i="25" s="1"/>
  <c r="E148" i="25"/>
  <c r="G148" i="25" s="1"/>
  <c r="W28" i="44" s="1"/>
  <c r="V25" i="49" s="1"/>
  <c r="E147" i="25"/>
  <c r="G147" i="25" s="1"/>
  <c r="E146" i="25"/>
  <c r="G146" i="25" s="1"/>
  <c r="T28" i="44" s="1"/>
  <c r="E145" i="25"/>
  <c r="G145" i="25" s="1"/>
  <c r="S28" i="44" s="1"/>
  <c r="R25" i="49" s="1"/>
  <c r="E144" i="25"/>
  <c r="G144" i="25" s="1"/>
  <c r="U28" i="44" s="1"/>
  <c r="E143" i="25"/>
  <c r="G143" i="25" s="1"/>
  <c r="X28" i="44" s="1"/>
  <c r="W25" i="49" s="1"/>
  <c r="G152" i="24"/>
  <c r="G149" i="24"/>
  <c r="G148" i="24"/>
  <c r="W27" i="44" s="1"/>
  <c r="V24" i="49" s="1"/>
  <c r="G145" i="24"/>
  <c r="S27" i="44" s="1"/>
  <c r="R24" i="49" s="1"/>
  <c r="G144" i="24"/>
  <c r="U27" i="44" s="1"/>
  <c r="G141" i="24"/>
  <c r="Q27" i="44" s="1"/>
  <c r="G142" i="24"/>
  <c r="R27" i="44" s="1"/>
  <c r="E152" i="23"/>
  <c r="G152" i="23" s="1"/>
  <c r="E151" i="23"/>
  <c r="G151" i="23" s="1"/>
  <c r="Z26" i="44" s="1"/>
  <c r="Y23" i="49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U23" i="49" s="1"/>
  <c r="E146" i="23"/>
  <c r="G146" i="23" s="1"/>
  <c r="T26" i="44" s="1"/>
  <c r="S23" i="49" s="1"/>
  <c r="E145" i="23"/>
  <c r="G145" i="23" s="1"/>
  <c r="S26" i="44" s="1"/>
  <c r="R23" i="49" s="1"/>
  <c r="E144" i="23"/>
  <c r="G144" i="23" s="1"/>
  <c r="U26" i="44" s="1"/>
  <c r="E143" i="23"/>
  <c r="G143" i="23" s="1"/>
  <c r="X26" i="44" s="1"/>
  <c r="W23" i="49" s="1"/>
  <c r="G134" i="23"/>
  <c r="G152" i="22"/>
  <c r="G151" i="22"/>
  <c r="Z25" i="44" s="1"/>
  <c r="G148" i="22"/>
  <c r="W25" i="44" s="1"/>
  <c r="V22" i="49" s="1"/>
  <c r="G147" i="22"/>
  <c r="V25" i="44" s="1"/>
  <c r="G144" i="22"/>
  <c r="U25" i="44" s="1"/>
  <c r="T22" i="49" s="1"/>
  <c r="G143" i="22"/>
  <c r="X25" i="44" s="1"/>
  <c r="W22" i="49" s="1"/>
  <c r="G151" i="21"/>
  <c r="Z24" i="44" s="1"/>
  <c r="Y21" i="49" s="1"/>
  <c r="G150" i="21"/>
  <c r="G147" i="21"/>
  <c r="V24" i="44" s="1"/>
  <c r="U21" i="49" s="1"/>
  <c r="G146" i="21"/>
  <c r="T24" i="44" s="1"/>
  <c r="S21" i="49" s="1"/>
  <c r="G145" i="21"/>
  <c r="S24" i="44" s="1"/>
  <c r="G144" i="21"/>
  <c r="U24" i="44" s="1"/>
  <c r="T21" i="49" s="1"/>
  <c r="G143" i="21"/>
  <c r="X24" i="44" s="1"/>
  <c r="W21" i="49" s="1"/>
  <c r="E152" i="19"/>
  <c r="G152" i="19" s="1"/>
  <c r="G152" i="20"/>
  <c r="E151" i="19"/>
  <c r="E149" i="19"/>
  <c r="E148" i="19"/>
  <c r="G148" i="20"/>
  <c r="W23" i="44" s="1"/>
  <c r="V20" i="49" s="1"/>
  <c r="E147" i="19"/>
  <c r="G147" i="19" s="1"/>
  <c r="V22" i="44" s="1"/>
  <c r="U19" i="49" s="1"/>
  <c r="E146" i="19"/>
  <c r="G146" i="20"/>
  <c r="T23" i="44" s="1"/>
  <c r="S20" i="49" s="1"/>
  <c r="E145" i="19"/>
  <c r="G145" i="20"/>
  <c r="S23" i="44" s="1"/>
  <c r="R20" i="49" s="1"/>
  <c r="E144" i="19"/>
  <c r="G144" i="20"/>
  <c r="U23" i="44" s="1"/>
  <c r="E143" i="19"/>
  <c r="G143" i="19" s="1"/>
  <c r="X22" i="44" s="1"/>
  <c r="E134" i="19"/>
  <c r="G134" i="19" s="1"/>
  <c r="E152" i="18"/>
  <c r="G152" i="18" s="1"/>
  <c r="G151" i="18"/>
  <c r="Z21" i="44" s="1"/>
  <c r="Y18" i="49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U18" i="49" s="1"/>
  <c r="E144" i="18"/>
  <c r="G144" i="18" s="1"/>
  <c r="U21" i="44" s="1"/>
  <c r="E143" i="18"/>
  <c r="G143" i="18" s="1"/>
  <c r="X21" i="44" s="1"/>
  <c r="W18" i="49" s="1"/>
  <c r="E134" i="18"/>
  <c r="G134" i="18" s="1"/>
  <c r="E152" i="17"/>
  <c r="G152" i="17" s="1"/>
  <c r="E151" i="17"/>
  <c r="G151" i="17" s="1"/>
  <c r="Z20" i="44" s="1"/>
  <c r="E150" i="17"/>
  <c r="E149" i="17"/>
  <c r="G149" i="17" s="1"/>
  <c r="E148" i="17"/>
  <c r="G148" i="17" s="1"/>
  <c r="W20" i="44" s="1"/>
  <c r="V17" i="49" s="1"/>
  <c r="E147" i="17"/>
  <c r="G147" i="17" s="1"/>
  <c r="V20" i="44" s="1"/>
  <c r="U17" i="49" s="1"/>
  <c r="E146" i="17"/>
  <c r="G146" i="17" s="1"/>
  <c r="T20" i="44" s="1"/>
  <c r="S17" i="49" s="1"/>
  <c r="E145" i="17"/>
  <c r="G145" i="17" s="1"/>
  <c r="S20" i="44" s="1"/>
  <c r="E144" i="17"/>
  <c r="G144" i="17" s="1"/>
  <c r="U20" i="44" s="1"/>
  <c r="T17" i="49" s="1"/>
  <c r="E143" i="17"/>
  <c r="G143" i="17" s="1"/>
  <c r="X20" i="44" s="1"/>
  <c r="W17" i="49" s="1"/>
  <c r="G134" i="17"/>
  <c r="E152" i="16"/>
  <c r="G152" i="16" s="1"/>
  <c r="E151" i="16"/>
  <c r="G151" i="16" s="1"/>
  <c r="Z19" i="44" s="1"/>
  <c r="Y16" i="49" s="1"/>
  <c r="E149" i="16"/>
  <c r="G149" i="16" s="1"/>
  <c r="E148" i="16"/>
  <c r="G148" i="16" s="1"/>
  <c r="W19" i="44" s="1"/>
  <c r="V16" i="49" s="1"/>
  <c r="E147" i="16"/>
  <c r="G147" i="16" s="1"/>
  <c r="V19" i="44" s="1"/>
  <c r="U16" i="49" s="1"/>
  <c r="E146" i="16"/>
  <c r="G146" i="16" s="1"/>
  <c r="T19" i="44" s="1"/>
  <c r="S16" i="49" s="1"/>
  <c r="E145" i="16"/>
  <c r="G145" i="16" s="1"/>
  <c r="S19" i="44" s="1"/>
  <c r="R16" i="49" s="1"/>
  <c r="E144" i="16"/>
  <c r="G144" i="16" s="1"/>
  <c r="U19" i="44" s="1"/>
  <c r="T16" i="49" s="1"/>
  <c r="E143" i="16"/>
  <c r="G143" i="16" s="1"/>
  <c r="X19" i="44" s="1"/>
  <c r="W16" i="49" s="1"/>
  <c r="G151" i="15"/>
  <c r="Z18" i="44" s="1"/>
  <c r="G149" i="15"/>
  <c r="G147" i="15"/>
  <c r="V18" i="44" s="1"/>
  <c r="G145" i="15"/>
  <c r="S18" i="44" s="1"/>
  <c r="R15" i="49" s="1"/>
  <c r="G143" i="15"/>
  <c r="X18" i="44" s="1"/>
  <c r="W15" i="49" s="1"/>
  <c r="E134" i="15"/>
  <c r="G134" i="15" s="1"/>
  <c r="G151" i="14"/>
  <c r="Z17" i="44" s="1"/>
  <c r="Y14" i="49" s="1"/>
  <c r="G150" i="14"/>
  <c r="G149" i="14"/>
  <c r="G147" i="14"/>
  <c r="V17" i="44" s="1"/>
  <c r="U14" i="49" s="1"/>
  <c r="G143" i="14"/>
  <c r="X17" i="44" s="1"/>
  <c r="W14" i="49" s="1"/>
  <c r="G151" i="13"/>
  <c r="Z16" i="44" s="1"/>
  <c r="G150" i="13"/>
  <c r="G146" i="13"/>
  <c r="T16" i="44" s="1"/>
  <c r="G145" i="13"/>
  <c r="S16" i="44" s="1"/>
  <c r="R13" i="49" s="1"/>
  <c r="G143" i="13"/>
  <c r="X16" i="44" s="1"/>
  <c r="W13" i="49" s="1"/>
  <c r="E152" i="12"/>
  <c r="G152" i="12" s="1"/>
  <c r="E151" i="12"/>
  <c r="G151" i="12" s="1"/>
  <c r="Z15" i="44" s="1"/>
  <c r="E150" i="12"/>
  <c r="G150" i="12" s="1"/>
  <c r="E149" i="12"/>
  <c r="G149" i="12"/>
  <c r="E148" i="12"/>
  <c r="G148" i="12" s="1"/>
  <c r="W15" i="44" s="1"/>
  <c r="V12" i="49" s="1"/>
  <c r="E147" i="12"/>
  <c r="G147" i="12" s="1"/>
  <c r="V15" i="44" s="1"/>
  <c r="E146" i="12"/>
  <c r="G146" i="12" s="1"/>
  <c r="T15" i="44" s="1"/>
  <c r="S12" i="49" s="1"/>
  <c r="E145" i="12"/>
  <c r="G145" i="12" s="1"/>
  <c r="S15" i="44" s="1"/>
  <c r="R12" i="49" s="1"/>
  <c r="E144" i="12"/>
  <c r="G144" i="12" s="1"/>
  <c r="U15" i="44" s="1"/>
  <c r="T12" i="49" s="1"/>
  <c r="E143" i="12"/>
  <c r="G143" i="12" s="1"/>
  <c r="X15" i="44" s="1"/>
  <c r="W12" i="49" s="1"/>
  <c r="G134" i="12"/>
  <c r="G152" i="11"/>
  <c r="G148" i="11"/>
  <c r="W14" i="44" s="1"/>
  <c r="V11" i="49" s="1"/>
  <c r="G145" i="11"/>
  <c r="S14" i="44" s="1"/>
  <c r="U14" i="44"/>
  <c r="T11" i="49" s="1"/>
  <c r="G152" i="10"/>
  <c r="G151" i="10"/>
  <c r="Z13" i="44" s="1"/>
  <c r="G148" i="10"/>
  <c r="W13" i="44" s="1"/>
  <c r="V10" i="49" s="1"/>
  <c r="G147" i="10"/>
  <c r="V13" i="44" s="1"/>
  <c r="G146" i="10"/>
  <c r="T13" i="44" s="1"/>
  <c r="S10" i="49" s="1"/>
  <c r="G144" i="10"/>
  <c r="U13" i="44" s="1"/>
  <c r="G143" i="10"/>
  <c r="X13" i="44" s="1"/>
  <c r="G134" i="10"/>
  <c r="E152" i="9"/>
  <c r="G152" i="9" s="1"/>
  <c r="E151" i="9"/>
  <c r="G151" i="9" s="1"/>
  <c r="Z12" i="44" s="1"/>
  <c r="Y9" i="49" s="1"/>
  <c r="E150" i="9"/>
  <c r="G150" i="9" s="1"/>
  <c r="E149" i="9"/>
  <c r="G149" i="9" s="1"/>
  <c r="E148" i="9"/>
  <c r="G148" i="9"/>
  <c r="W12" i="44" s="1"/>
  <c r="V9" i="49" s="1"/>
  <c r="E147" i="9"/>
  <c r="G147" i="9" s="1"/>
  <c r="V12" i="44" s="1"/>
  <c r="U9" i="49" s="1"/>
  <c r="E146" i="9"/>
  <c r="G146" i="9" s="1"/>
  <c r="T12" i="44" s="1"/>
  <c r="S9" i="49" s="1"/>
  <c r="E145" i="9"/>
  <c r="G145" i="9" s="1"/>
  <c r="S12" i="44" s="1"/>
  <c r="R9" i="49" s="1"/>
  <c r="E144" i="9"/>
  <c r="G144" i="9" s="1"/>
  <c r="U12" i="44" s="1"/>
  <c r="T9" i="49" s="1"/>
  <c r="E143" i="9"/>
  <c r="G143" i="9" s="1"/>
  <c r="X12" i="44" s="1"/>
  <c r="E134" i="9"/>
  <c r="G134" i="9" s="1"/>
  <c r="G152" i="8"/>
  <c r="G151" i="8"/>
  <c r="Z11" i="44" s="1"/>
  <c r="Y8" i="49" s="1"/>
  <c r="G150" i="8"/>
  <c r="G149" i="8"/>
  <c r="G148" i="8"/>
  <c r="W11" i="44" s="1"/>
  <c r="G147" i="8"/>
  <c r="V11" i="44" s="1"/>
  <c r="U8" i="49" s="1"/>
  <c r="G146" i="8"/>
  <c r="T11" i="44" s="1"/>
  <c r="G145" i="8"/>
  <c r="G144" i="8"/>
  <c r="U11" i="44" s="1"/>
  <c r="T8" i="49" s="1"/>
  <c r="G143" i="8"/>
  <c r="X11" i="44" s="1"/>
  <c r="E152" i="7"/>
  <c r="G152" i="7" s="1"/>
  <c r="E151" i="7"/>
  <c r="G151" i="7" s="1"/>
  <c r="Z10" i="44" s="1"/>
  <c r="Y7" i="49" s="1"/>
  <c r="G150" i="7"/>
  <c r="E149" i="7"/>
  <c r="G149" i="7" s="1"/>
  <c r="E148" i="7"/>
  <c r="G148" i="7" s="1"/>
  <c r="W10" i="44" s="1"/>
  <c r="E147" i="7"/>
  <c r="G147" i="7" s="1"/>
  <c r="V10" i="44" s="1"/>
  <c r="U7" i="49" s="1"/>
  <c r="E146" i="7"/>
  <c r="G146" i="7" s="1"/>
  <c r="T10" i="44" s="1"/>
  <c r="S7" i="49" s="1"/>
  <c r="E145" i="7"/>
  <c r="G145" i="7" s="1"/>
  <c r="S10" i="44" s="1"/>
  <c r="E144" i="7"/>
  <c r="G144" i="7" s="1"/>
  <c r="U10" i="44" s="1"/>
  <c r="T7" i="49" s="1"/>
  <c r="E143" i="7"/>
  <c r="G143" i="7" s="1"/>
  <c r="X10" i="44" s="1"/>
  <c r="W7" i="49" s="1"/>
  <c r="E134" i="8"/>
  <c r="G134" i="8" s="1"/>
  <c r="E134" i="7"/>
  <c r="G134" i="7" s="1"/>
  <c r="G152" i="33"/>
  <c r="G151" i="33"/>
  <c r="Z9" i="44" s="1"/>
  <c r="Y6" i="49" s="1"/>
  <c r="G150" i="33"/>
  <c r="G149" i="33"/>
  <c r="G148" i="33"/>
  <c r="W9" i="44" s="1"/>
  <c r="V6" i="49" s="1"/>
  <c r="G145" i="33"/>
  <c r="S9" i="44" s="1"/>
  <c r="G144" i="33"/>
  <c r="U9" i="44" s="1"/>
  <c r="G134" i="33"/>
  <c r="H168" i="3"/>
  <c r="H168" i="4" s="1"/>
  <c r="H167" i="3"/>
  <c r="H167" i="4" s="1"/>
  <c r="H166" i="3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V5" i="49" s="1"/>
  <c r="E147" i="5"/>
  <c r="G147" i="5" s="1"/>
  <c r="V8" i="44" s="1"/>
  <c r="E146" i="5"/>
  <c r="G146" i="5" s="1"/>
  <c r="T8" i="44" s="1"/>
  <c r="S5" i="49" s="1"/>
  <c r="E145" i="5"/>
  <c r="G145" i="5" s="1"/>
  <c r="S8" i="44" s="1"/>
  <c r="R5" i="49" s="1"/>
  <c r="E144" i="5"/>
  <c r="G144" i="5" s="1"/>
  <c r="E143" i="5"/>
  <c r="G143" i="5" s="1"/>
  <c r="X8" i="44" s="1"/>
  <c r="W5" i="49" s="1"/>
  <c r="E134" i="5"/>
  <c r="G134" i="5" s="1"/>
  <c r="G134" i="4"/>
  <c r="G151" i="4"/>
  <c r="Z7" i="44" s="1"/>
  <c r="Y4" i="49" s="1"/>
  <c r="E148" i="4"/>
  <c r="G148" i="4" s="1"/>
  <c r="W7" i="44" s="1"/>
  <c r="V4" i="49" s="1"/>
  <c r="E147" i="4"/>
  <c r="G147" i="4" s="1"/>
  <c r="V7" i="44" s="1"/>
  <c r="U4" i="49" s="1"/>
  <c r="E146" i="4"/>
  <c r="G146" i="4" s="1"/>
  <c r="T7" i="44" s="1"/>
  <c r="S4" i="49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Y3" i="49" s="1"/>
  <c r="E150" i="3"/>
  <c r="G150" i="3" s="1"/>
  <c r="E149" i="3"/>
  <c r="G149" i="3" s="1"/>
  <c r="E148" i="3"/>
  <c r="G148" i="3" s="1"/>
  <c r="W6" i="44" s="1"/>
  <c r="V3" i="49" s="1"/>
  <c r="E147" i="3"/>
  <c r="G147" i="3" s="1"/>
  <c r="E146" i="3"/>
  <c r="G146" i="3" s="1"/>
  <c r="E145" i="3"/>
  <c r="G145" i="3" s="1"/>
  <c r="S6" i="44" s="1"/>
  <c r="R3" i="49" s="1"/>
  <c r="E144" i="3"/>
  <c r="G144" i="3" s="1"/>
  <c r="U6" i="44" s="1"/>
  <c r="T3" i="49" s="1"/>
  <c r="E143" i="3"/>
  <c r="G143" i="3" s="1"/>
  <c r="X6" i="44" s="1"/>
  <c r="E142" i="3"/>
  <c r="G142" i="3" s="1"/>
  <c r="E141" i="3"/>
  <c r="G141" i="3" s="1"/>
  <c r="Q6" i="44" s="1"/>
  <c r="P3" i="49" s="1"/>
  <c r="E134" i="3"/>
  <c r="G134" i="3" s="1"/>
  <c r="J172" i="2"/>
  <c r="G152" i="2"/>
  <c r="H152" i="2" s="1"/>
  <c r="J152" i="2" s="1"/>
  <c r="G151" i="2"/>
  <c r="H134" i="2"/>
  <c r="E185" i="43"/>
  <c r="E184" i="43"/>
  <c r="G184" i="43" s="1"/>
  <c r="E183" i="43"/>
  <c r="G183" i="43" s="1"/>
  <c r="E180" i="43"/>
  <c r="G180" i="43" s="1"/>
  <c r="E179" i="43"/>
  <c r="E178" i="43"/>
  <c r="E175" i="43"/>
  <c r="G175" i="43" s="1"/>
  <c r="E174" i="43"/>
  <c r="G174" i="43" s="1"/>
  <c r="E173" i="43"/>
  <c r="E168" i="43"/>
  <c r="E167" i="43"/>
  <c r="E166" i="43"/>
  <c r="E165" i="43"/>
  <c r="G165" i="43" s="1"/>
  <c r="E164" i="43"/>
  <c r="E163" i="43"/>
  <c r="G163" i="43" s="1"/>
  <c r="E162" i="43"/>
  <c r="G162" i="43" s="1"/>
  <c r="AB34" i="44" s="1"/>
  <c r="E161" i="43"/>
  <c r="E138" i="43"/>
  <c r="E133" i="43"/>
  <c r="G133" i="43" s="1"/>
  <c r="E131" i="43"/>
  <c r="E130" i="43"/>
  <c r="E129" i="43"/>
  <c r="G129" i="43" s="1"/>
  <c r="E128" i="43"/>
  <c r="G128" i="43" s="1"/>
  <c r="E124" i="43"/>
  <c r="E123" i="43"/>
  <c r="E122" i="43"/>
  <c r="E121" i="43"/>
  <c r="G121" i="43" s="1"/>
  <c r="AJ34" i="44" s="1"/>
  <c r="E120" i="43"/>
  <c r="E119" i="43"/>
  <c r="E118" i="43"/>
  <c r="G118" i="43" s="1"/>
  <c r="AG34" i="44" s="1"/>
  <c r="E117" i="43"/>
  <c r="G117" i="43" s="1"/>
  <c r="E116" i="43"/>
  <c r="G116" i="43" s="1"/>
  <c r="AE34" i="44" s="1"/>
  <c r="E115" i="43"/>
  <c r="E114" i="43"/>
  <c r="G114" i="43" s="1"/>
  <c r="E113" i="43"/>
  <c r="G113" i="43" s="1"/>
  <c r="E112" i="43"/>
  <c r="E92" i="43"/>
  <c r="E91" i="43"/>
  <c r="G91" i="43" s="1"/>
  <c r="E90" i="43"/>
  <c r="G90" i="43" s="1"/>
  <c r="I90" i="43" s="1"/>
  <c r="E89" i="43"/>
  <c r="G89" i="43" s="1"/>
  <c r="E88" i="43"/>
  <c r="E87" i="43"/>
  <c r="G87" i="43" s="1"/>
  <c r="AC33" i="1" s="1"/>
  <c r="E86" i="43"/>
  <c r="G86" i="43" s="1"/>
  <c r="AB33" i="1" s="1"/>
  <c r="E85" i="43"/>
  <c r="E84" i="43"/>
  <c r="E83" i="43"/>
  <c r="E82" i="43"/>
  <c r="G82" i="43" s="1"/>
  <c r="E79" i="43"/>
  <c r="E78" i="43"/>
  <c r="E77" i="43"/>
  <c r="G77" i="43" s="1"/>
  <c r="AR34" i="44" s="1"/>
  <c r="E76" i="43"/>
  <c r="G76" i="43" s="1"/>
  <c r="AQ34" i="44" s="1"/>
  <c r="E75" i="43"/>
  <c r="E74" i="43"/>
  <c r="E70" i="43"/>
  <c r="E69" i="43"/>
  <c r="G69" i="43" s="1"/>
  <c r="AG14" i="45" s="1"/>
  <c r="E67" i="43"/>
  <c r="G67" i="43" s="1"/>
  <c r="E66" i="43"/>
  <c r="E65" i="43"/>
  <c r="G65" i="43" s="1"/>
  <c r="AG9" i="45" s="1"/>
  <c r="E64" i="43"/>
  <c r="E63" i="43"/>
  <c r="E62" i="43"/>
  <c r="E58" i="43"/>
  <c r="E57" i="43"/>
  <c r="G57" i="43" s="1"/>
  <c r="E55" i="43"/>
  <c r="G55" i="43" s="1"/>
  <c r="BE33" i="1" s="1"/>
  <c r="E54" i="43"/>
  <c r="E53" i="43"/>
  <c r="E52" i="43"/>
  <c r="G52" i="43" s="1"/>
  <c r="E51" i="43"/>
  <c r="E50" i="43"/>
  <c r="E49" i="43"/>
  <c r="G49" i="43" s="1"/>
  <c r="E35" i="43"/>
  <c r="G35" i="43" s="1"/>
  <c r="E24" i="43"/>
  <c r="E23" i="43"/>
  <c r="E22" i="43"/>
  <c r="E12" i="43"/>
  <c r="E11" i="43"/>
  <c r="E189" i="30"/>
  <c r="E188" i="30"/>
  <c r="E187" i="30"/>
  <c r="E185" i="30"/>
  <c r="G185" i="30" s="1"/>
  <c r="E184" i="30"/>
  <c r="G184" i="30" s="1"/>
  <c r="E183" i="30"/>
  <c r="G183" i="30" s="1"/>
  <c r="E180" i="30"/>
  <c r="G180" i="30" s="1"/>
  <c r="AF23" i="45" s="1"/>
  <c r="E179" i="30"/>
  <c r="E178" i="30"/>
  <c r="G178" i="30" s="1"/>
  <c r="E175" i="30"/>
  <c r="G175" i="30" s="1"/>
  <c r="E174" i="30"/>
  <c r="G174" i="30" s="1"/>
  <c r="AF18" i="45" s="1"/>
  <c r="E173" i="30"/>
  <c r="G173" i="30" s="1"/>
  <c r="AF17" i="45" s="1"/>
  <c r="E168" i="30"/>
  <c r="E167" i="30"/>
  <c r="E166" i="30"/>
  <c r="E165" i="30"/>
  <c r="E164" i="30"/>
  <c r="G164" i="30" s="1"/>
  <c r="E163" i="30"/>
  <c r="E162" i="30"/>
  <c r="E161" i="30"/>
  <c r="G161" i="30" s="1"/>
  <c r="AA33" i="44" s="1"/>
  <c r="E138" i="30"/>
  <c r="E128" i="30"/>
  <c r="G128" i="30" s="1"/>
  <c r="E124" i="30"/>
  <c r="E92" i="30"/>
  <c r="E91" i="30"/>
  <c r="E90" i="30"/>
  <c r="G90" i="30" s="1"/>
  <c r="AX33" i="44" s="1"/>
  <c r="E89" i="30"/>
  <c r="E88" i="30"/>
  <c r="G88" i="30" s="1"/>
  <c r="E87" i="30"/>
  <c r="E86" i="30"/>
  <c r="G86" i="30" s="1"/>
  <c r="E85" i="30"/>
  <c r="E84" i="30"/>
  <c r="E83" i="30"/>
  <c r="G83" i="30" s="1"/>
  <c r="E82" i="30"/>
  <c r="E79" i="30"/>
  <c r="E78" i="30"/>
  <c r="E77" i="30"/>
  <c r="G77" i="30" s="1"/>
  <c r="AR33" i="44" s="1"/>
  <c r="E76" i="30"/>
  <c r="G76" i="30" s="1"/>
  <c r="AQ33" i="44" s="1"/>
  <c r="E75" i="30"/>
  <c r="E74" i="30"/>
  <c r="E71" i="30"/>
  <c r="E70" i="30"/>
  <c r="G70" i="30" s="1"/>
  <c r="AF15" i="45" s="1"/>
  <c r="E69" i="30"/>
  <c r="E68" i="30"/>
  <c r="G68" i="30" s="1"/>
  <c r="AF13" i="45" s="1"/>
  <c r="E67" i="30"/>
  <c r="G67" i="30" s="1"/>
  <c r="AF11" i="45" s="1"/>
  <c r="E66" i="30"/>
  <c r="G66" i="30" s="1"/>
  <c r="E65" i="30"/>
  <c r="E64" i="30"/>
  <c r="E63" i="30"/>
  <c r="G63" i="30" s="1"/>
  <c r="AF8" i="45" s="1"/>
  <c r="E62" i="30"/>
  <c r="G62" i="30" s="1"/>
  <c r="AF7" i="45" s="1"/>
  <c r="E58" i="30"/>
  <c r="E57" i="30"/>
  <c r="G57" i="30" s="1"/>
  <c r="BG32" i="1" s="1"/>
  <c r="E56" i="30"/>
  <c r="E55" i="30"/>
  <c r="G55" i="30" s="1"/>
  <c r="BE32" i="1" s="1"/>
  <c r="E54" i="30"/>
  <c r="E53" i="30"/>
  <c r="E52" i="30"/>
  <c r="G52" i="30" s="1"/>
  <c r="BB32" i="1" s="1"/>
  <c r="E51" i="30"/>
  <c r="G51" i="30" s="1"/>
  <c r="E50" i="30"/>
  <c r="E49" i="30"/>
  <c r="G49" i="30" s="1"/>
  <c r="AZ32" i="1" s="1"/>
  <c r="E46" i="30"/>
  <c r="G46" i="30" s="1"/>
  <c r="E45" i="30"/>
  <c r="G45" i="30" s="1"/>
  <c r="E44" i="30"/>
  <c r="E43" i="30"/>
  <c r="E42" i="30"/>
  <c r="G42" i="30" s="1"/>
  <c r="AV32" i="1" s="1"/>
  <c r="E41" i="30"/>
  <c r="G41" i="30" s="1"/>
  <c r="E40" i="30"/>
  <c r="E39" i="30"/>
  <c r="E38" i="30"/>
  <c r="E37" i="30"/>
  <c r="G37" i="30" s="1"/>
  <c r="AQ32" i="1" s="1"/>
  <c r="E36" i="30"/>
  <c r="E35" i="30"/>
  <c r="G35" i="30" s="1"/>
  <c r="E24" i="30"/>
  <c r="E23" i="30"/>
  <c r="E22" i="30"/>
  <c r="G175" i="29"/>
  <c r="AE19" i="45" s="1"/>
  <c r="AW29" i="49" s="1"/>
  <c r="G163" i="29"/>
  <c r="G142" i="29"/>
  <c r="R32" i="44" s="1"/>
  <c r="Q29" i="49" s="1"/>
  <c r="G141" i="29"/>
  <c r="Q32" i="44" s="1"/>
  <c r="G133" i="29"/>
  <c r="AM32" i="44" s="1"/>
  <c r="AL29" i="49" s="1"/>
  <c r="G132" i="29"/>
  <c r="G129" i="29"/>
  <c r="G128" i="29"/>
  <c r="G91" i="29"/>
  <c r="AK31" i="1" s="1"/>
  <c r="G90" i="29"/>
  <c r="I90" i="29" s="1"/>
  <c r="G87" i="29"/>
  <c r="AC31" i="1" s="1"/>
  <c r="G86" i="29"/>
  <c r="AB31" i="1" s="1"/>
  <c r="G82" i="29"/>
  <c r="G77" i="29"/>
  <c r="AR32" i="44" s="1"/>
  <c r="BK29" i="49" s="1"/>
  <c r="G76" i="29"/>
  <c r="AQ32" i="44" s="1"/>
  <c r="BJ29" i="49" s="1"/>
  <c r="G69" i="29"/>
  <c r="AE14" i="45" s="1"/>
  <c r="AS29" i="49" s="1"/>
  <c r="G67" i="29"/>
  <c r="G65" i="29"/>
  <c r="G62" i="29"/>
  <c r="AE7" i="45" s="1"/>
  <c r="AM29" i="49" s="1"/>
  <c r="G58" i="29"/>
  <c r="Y32" i="44" s="1"/>
  <c r="X29" i="49" s="1"/>
  <c r="G55" i="29"/>
  <c r="BE31" i="1" s="1"/>
  <c r="G54" i="29"/>
  <c r="BD31" i="1" s="1"/>
  <c r="G50" i="29"/>
  <c r="G45" i="29"/>
  <c r="G41" i="29"/>
  <c r="G40" i="29"/>
  <c r="AT31" i="1" s="1"/>
  <c r="AQ31" i="1"/>
  <c r="H124" i="28"/>
  <c r="H124" i="29" s="1"/>
  <c r="H124" i="30" s="1"/>
  <c r="H124" i="43" s="1"/>
  <c r="H124" i="31" s="1"/>
  <c r="E189" i="28"/>
  <c r="E188" i="28"/>
  <c r="E187" i="28"/>
  <c r="E185" i="28"/>
  <c r="E184" i="28"/>
  <c r="G184" i="28" s="1"/>
  <c r="E183" i="28"/>
  <c r="G183" i="28" s="1"/>
  <c r="E180" i="28"/>
  <c r="G180" i="28" s="1"/>
  <c r="E179" i="28"/>
  <c r="E178" i="28"/>
  <c r="G178" i="28" s="1"/>
  <c r="AD21" i="45" s="1"/>
  <c r="AX28" i="49" s="1"/>
  <c r="E175" i="28"/>
  <c r="E174" i="28"/>
  <c r="E173" i="28"/>
  <c r="G173" i="28" s="1"/>
  <c r="E168" i="28"/>
  <c r="E167" i="28"/>
  <c r="E166" i="28"/>
  <c r="E165" i="28"/>
  <c r="E164" i="28"/>
  <c r="G164" i="28" s="1"/>
  <c r="E163" i="28"/>
  <c r="E162" i="28"/>
  <c r="E161" i="28"/>
  <c r="G161" i="28" s="1"/>
  <c r="AA31" i="44" s="1"/>
  <c r="Z28" i="49" s="1"/>
  <c r="E142" i="28"/>
  <c r="G142" i="28" s="1"/>
  <c r="R31" i="44" s="1"/>
  <c r="Q28" i="49" s="1"/>
  <c r="E141" i="28"/>
  <c r="E140" i="28"/>
  <c r="G140" i="28" s="1"/>
  <c r="P31" i="44" s="1"/>
  <c r="O28" i="49" s="1"/>
  <c r="E139" i="28"/>
  <c r="E138" i="28"/>
  <c r="G138" i="28" s="1"/>
  <c r="N31" i="44" s="1"/>
  <c r="M28" i="49" s="1"/>
  <c r="E133" i="28"/>
  <c r="E132" i="28"/>
  <c r="E131" i="28"/>
  <c r="G131" i="28" s="1"/>
  <c r="E130" i="28"/>
  <c r="G130" i="28" s="1"/>
  <c r="E129" i="28"/>
  <c r="E128" i="28"/>
  <c r="G128" i="28" s="1"/>
  <c r="E124" i="28"/>
  <c r="E123" i="28"/>
  <c r="G123" i="28" s="1"/>
  <c r="AL31" i="44" s="1"/>
  <c r="AK28" i="49" s="1"/>
  <c r="E122" i="28"/>
  <c r="G122" i="28" s="1"/>
  <c r="AK31" i="44" s="1"/>
  <c r="AJ28" i="49" s="1"/>
  <c r="E121" i="28"/>
  <c r="E120" i="28"/>
  <c r="G120" i="28" s="1"/>
  <c r="AI31" i="44" s="1"/>
  <c r="AH28" i="49" s="1"/>
  <c r="E119" i="28"/>
  <c r="G119" i="28" s="1"/>
  <c r="AH31" i="44" s="1"/>
  <c r="AG28" i="49" s="1"/>
  <c r="E118" i="28"/>
  <c r="E117" i="28"/>
  <c r="G117" i="28" s="1"/>
  <c r="AF31" i="44" s="1"/>
  <c r="AE28" i="49" s="1"/>
  <c r="E116" i="28"/>
  <c r="G116" i="28" s="1"/>
  <c r="E115" i="28"/>
  <c r="G115" i="28" s="1"/>
  <c r="E114" i="28"/>
  <c r="E113" i="28"/>
  <c r="E112" i="28"/>
  <c r="G112" i="28" s="1"/>
  <c r="E92" i="28"/>
  <c r="G92" i="28" s="1"/>
  <c r="AL30" i="1" s="1"/>
  <c r="E91" i="28"/>
  <c r="E90" i="28"/>
  <c r="G90" i="28" s="1"/>
  <c r="I90" i="28" s="1"/>
  <c r="E89" i="28"/>
  <c r="E88" i="28"/>
  <c r="E87" i="28"/>
  <c r="E86" i="28"/>
  <c r="E85" i="28"/>
  <c r="E84" i="28"/>
  <c r="G84" i="28" s="1"/>
  <c r="E83" i="28"/>
  <c r="G83" i="28" s="1"/>
  <c r="E82" i="28"/>
  <c r="E79" i="28"/>
  <c r="E78" i="28"/>
  <c r="E77" i="28"/>
  <c r="E76" i="28"/>
  <c r="E75" i="28"/>
  <c r="E74" i="28"/>
  <c r="G74" i="28" s="1"/>
  <c r="E65" i="28"/>
  <c r="G65" i="28" s="1"/>
  <c r="E64" i="28"/>
  <c r="E63" i="28"/>
  <c r="E62" i="28"/>
  <c r="G62" i="28" s="1"/>
  <c r="E58" i="28"/>
  <c r="E57" i="28"/>
  <c r="E56" i="28"/>
  <c r="G56" i="28" s="1"/>
  <c r="BF30" i="1" s="1"/>
  <c r="E55" i="28"/>
  <c r="G55" i="28" s="1"/>
  <c r="BE30" i="1" s="1"/>
  <c r="E54" i="28"/>
  <c r="G54" i="28" s="1"/>
  <c r="E53" i="28"/>
  <c r="E52" i="28"/>
  <c r="E51" i="28"/>
  <c r="G51" i="28" s="1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G184" i="27" s="1"/>
  <c r="E183" i="27"/>
  <c r="G183" i="27" s="1"/>
  <c r="E180" i="27"/>
  <c r="G180" i="27" s="1"/>
  <c r="E179" i="27"/>
  <c r="G179" i="27" s="1"/>
  <c r="AC22" i="45" s="1"/>
  <c r="AY27" i="49" s="1"/>
  <c r="E178" i="27"/>
  <c r="E175" i="27"/>
  <c r="G175" i="27" s="1"/>
  <c r="E174" i="27"/>
  <c r="E173" i="27"/>
  <c r="E168" i="27"/>
  <c r="E167" i="27"/>
  <c r="E166" i="27"/>
  <c r="E165" i="27"/>
  <c r="E164" i="27"/>
  <c r="G164" i="27" s="1"/>
  <c r="E163" i="27"/>
  <c r="G163" i="27" s="1"/>
  <c r="E162" i="27"/>
  <c r="E161" i="27"/>
  <c r="E138" i="27"/>
  <c r="G138" i="27" s="1"/>
  <c r="E133" i="27"/>
  <c r="G133" i="27" s="1"/>
  <c r="E132" i="27"/>
  <c r="E131" i="27"/>
  <c r="G131" i="27" s="1"/>
  <c r="E130" i="27"/>
  <c r="G130" i="27" s="1"/>
  <c r="G129" i="27"/>
  <c r="E128" i="27"/>
  <c r="E124" i="27"/>
  <c r="E123" i="27"/>
  <c r="G123" i="27" s="1"/>
  <c r="AL30" i="44" s="1"/>
  <c r="AK27" i="49" s="1"/>
  <c r="E122" i="27"/>
  <c r="G122" i="27" s="1"/>
  <c r="AK30" i="44" s="1"/>
  <c r="AJ27" i="49" s="1"/>
  <c r="E121" i="27"/>
  <c r="E120" i="27"/>
  <c r="G120" i="27" s="1"/>
  <c r="AI30" i="44" s="1"/>
  <c r="AH27" i="49" s="1"/>
  <c r="E119" i="27"/>
  <c r="E118" i="27"/>
  <c r="G118" i="27" s="1"/>
  <c r="AG30" i="44" s="1"/>
  <c r="AF27" i="49" s="1"/>
  <c r="E117" i="27"/>
  <c r="E116" i="27"/>
  <c r="E115" i="27"/>
  <c r="E114" i="27"/>
  <c r="G114" i="27" s="1"/>
  <c r="E113" i="27"/>
  <c r="E112" i="27"/>
  <c r="E92" i="27"/>
  <c r="E91" i="27"/>
  <c r="E90" i="27"/>
  <c r="E89" i="27"/>
  <c r="E88" i="27"/>
  <c r="G88" i="27" s="1"/>
  <c r="AC30" i="44" s="1"/>
  <c r="AB27" i="49" s="1"/>
  <c r="E87" i="27"/>
  <c r="G87" i="27" s="1"/>
  <c r="AC29" i="1" s="1"/>
  <c r="E86" i="27"/>
  <c r="E85" i="27"/>
  <c r="G85" i="27" s="1"/>
  <c r="AA29" i="1" s="1"/>
  <c r="E84" i="27"/>
  <c r="E83" i="27"/>
  <c r="G83" i="27" s="1"/>
  <c r="E82" i="27"/>
  <c r="E79" i="27"/>
  <c r="E78" i="27"/>
  <c r="E77" i="27"/>
  <c r="G77" i="27" s="1"/>
  <c r="AR30" i="44" s="1"/>
  <c r="BK27" i="49" s="1"/>
  <c r="E76" i="27"/>
  <c r="E75" i="27"/>
  <c r="E74" i="27"/>
  <c r="E65" i="27"/>
  <c r="G65" i="27" s="1"/>
  <c r="AC9" i="45" s="1"/>
  <c r="E64" i="27"/>
  <c r="E63" i="27"/>
  <c r="E62" i="27"/>
  <c r="G62" i="27" s="1"/>
  <c r="AC7" i="45" s="1"/>
  <c r="AM27" i="49" s="1"/>
  <c r="E49" i="27"/>
  <c r="G49" i="27" s="1"/>
  <c r="E46" i="27"/>
  <c r="E45" i="27"/>
  <c r="E44" i="27"/>
  <c r="E43" i="27"/>
  <c r="E42" i="27"/>
  <c r="E40" i="27"/>
  <c r="E39" i="27"/>
  <c r="G39" i="27" s="1"/>
  <c r="AS29" i="1" s="1"/>
  <c r="E38" i="27"/>
  <c r="G38" i="27" s="1"/>
  <c r="E37" i="27"/>
  <c r="E36" i="27"/>
  <c r="G36" i="27" s="1"/>
  <c r="E35" i="27"/>
  <c r="E24" i="27"/>
  <c r="E23" i="27"/>
  <c r="E22" i="27"/>
  <c r="E189" i="40"/>
  <c r="E188" i="40"/>
  <c r="E187" i="40"/>
  <c r="E185" i="40"/>
  <c r="G185" i="40" s="1"/>
  <c r="E184" i="40"/>
  <c r="G184" i="40" s="1"/>
  <c r="E183" i="40"/>
  <c r="G183" i="40" s="1"/>
  <c r="E180" i="40"/>
  <c r="E179" i="40"/>
  <c r="E178" i="40"/>
  <c r="G178" i="40" s="1"/>
  <c r="AB21" i="45" s="1"/>
  <c r="AX26" i="49" s="1"/>
  <c r="E175" i="40"/>
  <c r="G175" i="40" s="1"/>
  <c r="AB19" i="45" s="1"/>
  <c r="AW26" i="49" s="1"/>
  <c r="E174" i="40"/>
  <c r="E173" i="40"/>
  <c r="E168" i="40"/>
  <c r="E167" i="40"/>
  <c r="E166" i="40"/>
  <c r="E165" i="40"/>
  <c r="E164" i="40"/>
  <c r="G164" i="40" s="1"/>
  <c r="E163" i="40"/>
  <c r="G163" i="40" s="1"/>
  <c r="E162" i="40"/>
  <c r="E161" i="40"/>
  <c r="G161" i="40" s="1"/>
  <c r="AA29" i="44" s="1"/>
  <c r="Z26" i="49" s="1"/>
  <c r="E138" i="40"/>
  <c r="E133" i="40"/>
  <c r="G133" i="40" s="1"/>
  <c r="BJ28" i="1" s="1"/>
  <c r="E132" i="40"/>
  <c r="G132" i="40" s="1"/>
  <c r="E131" i="40"/>
  <c r="E130" i="40"/>
  <c r="G130" i="40" s="1"/>
  <c r="E129" i="40"/>
  <c r="G129" i="40" s="1"/>
  <c r="E128" i="40"/>
  <c r="G128" i="40" s="1"/>
  <c r="E123" i="40"/>
  <c r="E122" i="40"/>
  <c r="E121" i="40"/>
  <c r="E120" i="40"/>
  <c r="E119" i="40"/>
  <c r="E118" i="40"/>
  <c r="G118" i="40" s="1"/>
  <c r="AG29" i="44" s="1"/>
  <c r="E117" i="40"/>
  <c r="G117" i="40" s="1"/>
  <c r="E116" i="40"/>
  <c r="G116" i="40" s="1"/>
  <c r="AE29" i="44" s="1"/>
  <c r="AD26" i="49" s="1"/>
  <c r="E115" i="40"/>
  <c r="E114" i="40"/>
  <c r="E113" i="40"/>
  <c r="E112" i="40"/>
  <c r="G112" i="40" s="1"/>
  <c r="E92" i="40"/>
  <c r="E91" i="40"/>
  <c r="E90" i="40"/>
  <c r="G90" i="40" s="1"/>
  <c r="E89" i="40"/>
  <c r="G89" i="40" s="1"/>
  <c r="E88" i="40"/>
  <c r="E87" i="40"/>
  <c r="E86" i="40"/>
  <c r="G86" i="40" s="1"/>
  <c r="AB28" i="1" s="1"/>
  <c r="E85" i="40"/>
  <c r="G85" i="40" s="1"/>
  <c r="AA28" i="1" s="1"/>
  <c r="E84" i="40"/>
  <c r="G84" i="40" s="1"/>
  <c r="E83" i="40"/>
  <c r="E82" i="40"/>
  <c r="G82" i="40" s="1"/>
  <c r="E79" i="40"/>
  <c r="E78" i="40"/>
  <c r="E77" i="40"/>
  <c r="G77" i="40" s="1"/>
  <c r="AR29" i="44" s="1"/>
  <c r="E76" i="40"/>
  <c r="G76" i="40" s="1"/>
  <c r="AQ29" i="44" s="1"/>
  <c r="BJ26" i="49" s="1"/>
  <c r="E75" i="40"/>
  <c r="E65" i="40"/>
  <c r="G65" i="40" s="1"/>
  <c r="V28" i="1" s="1"/>
  <c r="E64" i="40"/>
  <c r="E63" i="40"/>
  <c r="G63" i="40" s="1"/>
  <c r="AB8" i="45" s="1"/>
  <c r="AN26" i="49" s="1"/>
  <c r="E62" i="40"/>
  <c r="E58" i="40"/>
  <c r="E57" i="40"/>
  <c r="G57" i="40" s="1"/>
  <c r="E56" i="40"/>
  <c r="G56" i="40" s="1"/>
  <c r="BF28" i="1" s="1"/>
  <c r="E55" i="40"/>
  <c r="E54" i="40"/>
  <c r="G54" i="40" s="1"/>
  <c r="E53" i="40"/>
  <c r="E52" i="40"/>
  <c r="E51" i="40"/>
  <c r="E50" i="40"/>
  <c r="E49" i="40"/>
  <c r="G49" i="40" s="1"/>
  <c r="E35" i="40"/>
  <c r="G35" i="40" s="1"/>
  <c r="E24" i="40"/>
  <c r="E23" i="40"/>
  <c r="E22" i="40"/>
  <c r="E189" i="25"/>
  <c r="E188" i="25"/>
  <c r="E187" i="25"/>
  <c r="E185" i="25"/>
  <c r="E184" i="25"/>
  <c r="G184" i="25" s="1"/>
  <c r="E183" i="25"/>
  <c r="E180" i="25"/>
  <c r="G180" i="25" s="1"/>
  <c r="AA23" i="45" s="1"/>
  <c r="E179" i="25"/>
  <c r="E178" i="25"/>
  <c r="G178" i="25" s="1"/>
  <c r="AA21" i="45" s="1"/>
  <c r="AX25" i="49" s="1"/>
  <c r="E175" i="25"/>
  <c r="E174" i="25"/>
  <c r="E173" i="25"/>
  <c r="G173" i="25" s="1"/>
  <c r="AA17" i="45" s="1"/>
  <c r="AU25" i="49" s="1"/>
  <c r="E168" i="25"/>
  <c r="E167" i="25"/>
  <c r="E166" i="25"/>
  <c r="E165" i="25"/>
  <c r="G165" i="25" s="1"/>
  <c r="E164" i="25"/>
  <c r="G164" i="25" s="1"/>
  <c r="E163" i="25"/>
  <c r="E162" i="25"/>
  <c r="E161" i="25"/>
  <c r="G161" i="25" s="1"/>
  <c r="AA28" i="44" s="1"/>
  <c r="E142" i="25"/>
  <c r="E141" i="25"/>
  <c r="E140" i="25"/>
  <c r="G140" i="25" s="1"/>
  <c r="P28" i="44" s="1"/>
  <c r="E139" i="25"/>
  <c r="E138" i="25"/>
  <c r="G138" i="25" s="1"/>
  <c r="N28" i="44" s="1"/>
  <c r="M25" i="49" s="1"/>
  <c r="E128" i="25"/>
  <c r="E124" i="25"/>
  <c r="E123" i="25"/>
  <c r="G123" i="25" s="1"/>
  <c r="E122" i="25"/>
  <c r="G122" i="25" s="1"/>
  <c r="AK28" i="44" s="1"/>
  <c r="AJ25" i="49" s="1"/>
  <c r="E121" i="25"/>
  <c r="E120" i="25"/>
  <c r="G120" i="25" s="1"/>
  <c r="AI28" i="44" s="1"/>
  <c r="E119" i="25"/>
  <c r="E118" i="25"/>
  <c r="G118" i="25" s="1"/>
  <c r="AG28" i="44" s="1"/>
  <c r="AF25" i="49" s="1"/>
  <c r="E117" i="25"/>
  <c r="E116" i="25"/>
  <c r="E115" i="25"/>
  <c r="G115" i="25" s="1"/>
  <c r="E114" i="25"/>
  <c r="G114" i="25" s="1"/>
  <c r="E113" i="25"/>
  <c r="G113" i="25" s="1"/>
  <c r="E112" i="25"/>
  <c r="G112" i="25" s="1"/>
  <c r="E92" i="25"/>
  <c r="E91" i="25"/>
  <c r="G91" i="25" s="1"/>
  <c r="E90" i="25"/>
  <c r="E89" i="25"/>
  <c r="E88" i="25"/>
  <c r="E87" i="25"/>
  <c r="G87" i="25" s="1"/>
  <c r="AC27" i="1" s="1"/>
  <c r="E86" i="25"/>
  <c r="E85" i="25"/>
  <c r="G85" i="25" s="1"/>
  <c r="AA27" i="1" s="1"/>
  <c r="E83" i="25"/>
  <c r="E82" i="25"/>
  <c r="G82" i="25" s="1"/>
  <c r="E70" i="25"/>
  <c r="E69" i="25"/>
  <c r="G69" i="25" s="1"/>
  <c r="AA14" i="45" s="1"/>
  <c r="E68" i="25"/>
  <c r="G68" i="25" s="1"/>
  <c r="E67" i="25"/>
  <c r="G67" i="25" s="1"/>
  <c r="E66" i="25"/>
  <c r="G66" i="25" s="1"/>
  <c r="E65" i="25"/>
  <c r="E64" i="25"/>
  <c r="E63" i="25"/>
  <c r="G63" i="25" s="1"/>
  <c r="E62" i="25"/>
  <c r="E58" i="25"/>
  <c r="E57" i="25"/>
  <c r="G57" i="25" s="1"/>
  <c r="E56" i="25"/>
  <c r="G56" i="25" s="1"/>
  <c r="BF27" i="1" s="1"/>
  <c r="E55" i="25"/>
  <c r="G55" i="25" s="1"/>
  <c r="E54" i="25"/>
  <c r="E53" i="25"/>
  <c r="E52" i="25"/>
  <c r="G52" i="25" s="1"/>
  <c r="BB27" i="1" s="1"/>
  <c r="E51" i="25"/>
  <c r="E50" i="25"/>
  <c r="E49" i="25"/>
  <c r="G49" i="25" s="1"/>
  <c r="E46" i="25"/>
  <c r="E45" i="25"/>
  <c r="G45" i="25" s="1"/>
  <c r="E44" i="25"/>
  <c r="E43" i="25"/>
  <c r="E40" i="25"/>
  <c r="G40" i="25" s="1"/>
  <c r="AT27" i="1" s="1"/>
  <c r="E39" i="25"/>
  <c r="E38" i="25"/>
  <c r="G38" i="25" s="1"/>
  <c r="E37" i="25"/>
  <c r="E36" i="25"/>
  <c r="G36" i="25" s="1"/>
  <c r="M28" i="44" s="1"/>
  <c r="L25" i="49" s="1"/>
  <c r="E35" i="25"/>
  <c r="E24" i="25"/>
  <c r="E23" i="25"/>
  <c r="E22" i="25"/>
  <c r="G22" i="25" s="1"/>
  <c r="E12" i="25"/>
  <c r="E11" i="25"/>
  <c r="E185" i="24"/>
  <c r="E183" i="24"/>
  <c r="G183" i="24" s="1"/>
  <c r="E178" i="24"/>
  <c r="G178" i="24" s="1"/>
  <c r="Z21" i="45" s="1"/>
  <c r="AX24" i="49" s="1"/>
  <c r="E168" i="24"/>
  <c r="E167" i="24"/>
  <c r="E166" i="24"/>
  <c r="E161" i="24"/>
  <c r="G161" i="24" s="1"/>
  <c r="AA27" i="44" s="1"/>
  <c r="E138" i="24"/>
  <c r="G138" i="24" s="1"/>
  <c r="E124" i="24"/>
  <c r="E82" i="24"/>
  <c r="G82" i="24" s="1"/>
  <c r="E79" i="24"/>
  <c r="E78" i="24"/>
  <c r="E77" i="24"/>
  <c r="E76" i="24"/>
  <c r="G76" i="24" s="1"/>
  <c r="AQ27" i="44" s="1"/>
  <c r="BJ24" i="49" s="1"/>
  <c r="E75" i="24"/>
  <c r="E74" i="24"/>
  <c r="G74" i="24" s="1"/>
  <c r="E70" i="24"/>
  <c r="E69" i="24"/>
  <c r="G69" i="24" s="1"/>
  <c r="Z14" i="45" s="1"/>
  <c r="BA24" i="49" s="1"/>
  <c r="E68" i="24"/>
  <c r="E67" i="24"/>
  <c r="G67" i="24" s="1"/>
  <c r="E66" i="24"/>
  <c r="E65" i="24"/>
  <c r="G65" i="24" s="1"/>
  <c r="V26" i="1" s="1"/>
  <c r="E64" i="24"/>
  <c r="E63" i="24"/>
  <c r="G63" i="24" s="1"/>
  <c r="E62" i="24"/>
  <c r="E24" i="24"/>
  <c r="E23" i="24"/>
  <c r="E22" i="24"/>
  <c r="E184" i="23"/>
  <c r="E183" i="23"/>
  <c r="G183" i="23" s="1"/>
  <c r="G186" i="23" s="1"/>
  <c r="E180" i="23"/>
  <c r="G180" i="23" s="1"/>
  <c r="E179" i="23"/>
  <c r="E178" i="23"/>
  <c r="G178" i="23" s="1"/>
  <c r="Y21" i="45" s="1"/>
  <c r="E175" i="23"/>
  <c r="E174" i="23"/>
  <c r="G174" i="23" s="1"/>
  <c r="E173" i="23"/>
  <c r="E168" i="23"/>
  <c r="E167" i="23"/>
  <c r="E166" i="23"/>
  <c r="E165" i="23"/>
  <c r="E164" i="23"/>
  <c r="G164" i="23" s="1"/>
  <c r="E163" i="23"/>
  <c r="E162" i="23"/>
  <c r="G162" i="23" s="1"/>
  <c r="AB26" i="44" s="1"/>
  <c r="AA23" i="49" s="1"/>
  <c r="E161" i="23"/>
  <c r="G161" i="23" s="1"/>
  <c r="AA26" i="44" s="1"/>
  <c r="Z23" i="49" s="1"/>
  <c r="E142" i="23"/>
  <c r="E141" i="23"/>
  <c r="G141" i="23" s="1"/>
  <c r="Q26" i="44" s="1"/>
  <c r="P23" i="49" s="1"/>
  <c r="E140" i="23"/>
  <c r="E139" i="23"/>
  <c r="E138" i="23"/>
  <c r="G138" i="23" s="1"/>
  <c r="E124" i="23"/>
  <c r="E122" i="23"/>
  <c r="E121" i="23"/>
  <c r="E119" i="23"/>
  <c r="G119" i="23" s="1"/>
  <c r="AH26" i="44" s="1"/>
  <c r="AG23" i="49" s="1"/>
  <c r="E118" i="23"/>
  <c r="G118" i="23" s="1"/>
  <c r="AG26" i="44" s="1"/>
  <c r="AF23" i="49" s="1"/>
  <c r="E117" i="23"/>
  <c r="E116" i="23"/>
  <c r="E92" i="23"/>
  <c r="E91" i="23"/>
  <c r="G91" i="23" s="1"/>
  <c r="E90" i="23"/>
  <c r="E89" i="23"/>
  <c r="E88" i="23"/>
  <c r="E87" i="23"/>
  <c r="G87" i="23" s="1"/>
  <c r="AC25" i="1" s="1"/>
  <c r="E86" i="23"/>
  <c r="E85" i="23"/>
  <c r="E84" i="23"/>
  <c r="G84" i="23" s="1"/>
  <c r="Z25" i="1" s="1"/>
  <c r="E83" i="23"/>
  <c r="E82" i="23"/>
  <c r="E79" i="23"/>
  <c r="E78" i="23"/>
  <c r="E77" i="23"/>
  <c r="G77" i="23" s="1"/>
  <c r="E76" i="23"/>
  <c r="E75" i="23"/>
  <c r="E74" i="23"/>
  <c r="G74" i="23" s="1"/>
  <c r="E70" i="23"/>
  <c r="E69" i="23"/>
  <c r="E68" i="23"/>
  <c r="E67" i="23"/>
  <c r="G67" i="23" s="1"/>
  <c r="E66" i="23"/>
  <c r="G66" i="23" s="1"/>
  <c r="E65" i="23"/>
  <c r="G65" i="23" s="1"/>
  <c r="E64" i="23"/>
  <c r="E62" i="23"/>
  <c r="G62" i="23" s="1"/>
  <c r="Y7" i="45" s="1"/>
  <c r="G41" i="23"/>
  <c r="AU25" i="1" s="1"/>
  <c r="G39" i="23"/>
  <c r="G38" i="23"/>
  <c r="E35" i="23"/>
  <c r="G35" i="23" s="1"/>
  <c r="E23" i="23"/>
  <c r="E22" i="23"/>
  <c r="G22" i="23" s="1"/>
  <c r="E185" i="22"/>
  <c r="E184" i="22"/>
  <c r="E183" i="22"/>
  <c r="G183" i="22" s="1"/>
  <c r="E180" i="22"/>
  <c r="G180" i="22" s="1"/>
  <c r="X23" i="45" s="1"/>
  <c r="AZ22" i="49" s="1"/>
  <c r="E179" i="22"/>
  <c r="E178" i="22"/>
  <c r="G178" i="22" s="1"/>
  <c r="E175" i="22"/>
  <c r="G175" i="22" s="1"/>
  <c r="X19" i="45" s="1"/>
  <c r="AW22" i="49" s="1"/>
  <c r="E174" i="22"/>
  <c r="G174" i="22" s="1"/>
  <c r="X18" i="45" s="1"/>
  <c r="AV22" i="49" s="1"/>
  <c r="E173" i="22"/>
  <c r="G173" i="22" s="1"/>
  <c r="X17" i="45" s="1"/>
  <c r="AU22" i="49" s="1"/>
  <c r="E168" i="22"/>
  <c r="E167" i="22"/>
  <c r="E166" i="22"/>
  <c r="E165" i="22"/>
  <c r="G165" i="22" s="1"/>
  <c r="E164" i="22"/>
  <c r="G164" i="22" s="1"/>
  <c r="E163" i="22"/>
  <c r="G163" i="22" s="1"/>
  <c r="E162" i="22"/>
  <c r="G162" i="22" s="1"/>
  <c r="AB25" i="44" s="1"/>
  <c r="AA22" i="49" s="1"/>
  <c r="E161" i="22"/>
  <c r="G161" i="22" s="1"/>
  <c r="AA25" i="44" s="1"/>
  <c r="Z22" i="49" s="1"/>
  <c r="E138" i="22"/>
  <c r="G133" i="22"/>
  <c r="BJ24" i="1" s="1"/>
  <c r="E128" i="22"/>
  <c r="E112" i="22"/>
  <c r="G112" i="22" s="1"/>
  <c r="E92" i="22"/>
  <c r="G92" i="22" s="1"/>
  <c r="AL24" i="1" s="1"/>
  <c r="E91" i="22"/>
  <c r="G91" i="22" s="1"/>
  <c r="E90" i="22"/>
  <c r="G90" i="22" s="1"/>
  <c r="I90" i="22" s="1"/>
  <c r="E89" i="22"/>
  <c r="E88" i="22"/>
  <c r="G88" i="22" s="1"/>
  <c r="E87" i="22"/>
  <c r="E86" i="22"/>
  <c r="G86" i="22" s="1"/>
  <c r="AB24" i="1" s="1"/>
  <c r="E85" i="22"/>
  <c r="G85" i="22" s="1"/>
  <c r="AA24" i="1" s="1"/>
  <c r="E84" i="22"/>
  <c r="E83" i="22"/>
  <c r="G83" i="22" s="1"/>
  <c r="E82" i="22"/>
  <c r="G82" i="22" s="1"/>
  <c r="E79" i="22"/>
  <c r="E78" i="22"/>
  <c r="G78" i="22" s="1"/>
  <c r="AS25" i="44" s="1"/>
  <c r="BL22" i="49" s="1"/>
  <c r="E77" i="22"/>
  <c r="G77" i="22" s="1"/>
  <c r="AR25" i="44" s="1"/>
  <c r="BK22" i="49" s="1"/>
  <c r="E76" i="22"/>
  <c r="E75" i="22"/>
  <c r="E74" i="22"/>
  <c r="G74" i="22" s="1"/>
  <c r="AO25" i="44" s="1"/>
  <c r="BH22" i="49" s="1"/>
  <c r="E70" i="22"/>
  <c r="G70" i="22" s="1"/>
  <c r="X15" i="45" s="1"/>
  <c r="E69" i="22"/>
  <c r="G69" i="22" s="1"/>
  <c r="X14" i="45" s="1"/>
  <c r="E68" i="22"/>
  <c r="E67" i="22"/>
  <c r="G67" i="22" s="1"/>
  <c r="E66" i="22"/>
  <c r="E65" i="22"/>
  <c r="E64" i="22"/>
  <c r="E63" i="22"/>
  <c r="G63" i="22" s="1"/>
  <c r="X8" i="45" s="1"/>
  <c r="AN22" i="49" s="1"/>
  <c r="E62" i="22"/>
  <c r="G62" i="22" s="1"/>
  <c r="X7" i="45" s="1"/>
  <c r="AM22" i="49" s="1"/>
  <c r="G58" i="22"/>
  <c r="Y25" i="44" s="1"/>
  <c r="X22" i="49" s="1"/>
  <c r="G54" i="22"/>
  <c r="BD24" i="1" s="1"/>
  <c r="G53" i="22"/>
  <c r="E49" i="22"/>
  <c r="G49" i="22" s="1"/>
  <c r="E46" i="22"/>
  <c r="E45" i="22"/>
  <c r="E44" i="22"/>
  <c r="G44" i="22" s="1"/>
  <c r="E43" i="22"/>
  <c r="G43" i="22" s="1"/>
  <c r="E42" i="22"/>
  <c r="E41" i="22"/>
  <c r="G41" i="22" s="1"/>
  <c r="E40" i="22"/>
  <c r="G40" i="22" s="1"/>
  <c r="E38" i="22"/>
  <c r="G38" i="22" s="1"/>
  <c r="AR24" i="1" s="1"/>
  <c r="E37" i="22"/>
  <c r="E36" i="22"/>
  <c r="E35" i="22"/>
  <c r="G35" i="22" s="1"/>
  <c r="E24" i="22"/>
  <c r="E23" i="22"/>
  <c r="G23" i="22" s="1"/>
  <c r="E22" i="22"/>
  <c r="G22" i="22" s="1"/>
  <c r="E12" i="22"/>
  <c r="E11" i="22"/>
  <c r="G11" i="22" s="1"/>
  <c r="H124" i="21"/>
  <c r="H124" i="22" s="1"/>
  <c r="H124" i="23" s="1"/>
  <c r="H124" i="24" s="1"/>
  <c r="E185" i="21"/>
  <c r="E184" i="21"/>
  <c r="G184" i="21" s="1"/>
  <c r="E183" i="21"/>
  <c r="G183" i="21" s="1"/>
  <c r="E173" i="21"/>
  <c r="E168" i="21"/>
  <c r="E167" i="21"/>
  <c r="E166" i="21"/>
  <c r="G166" i="21" s="1"/>
  <c r="E161" i="21"/>
  <c r="E138" i="21"/>
  <c r="G138" i="21" s="1"/>
  <c r="N24" i="44" s="1"/>
  <c r="M21" i="49" s="1"/>
  <c r="E128" i="21"/>
  <c r="G128" i="21" s="1"/>
  <c r="E124" i="21"/>
  <c r="E112" i="21"/>
  <c r="G112" i="21" s="1"/>
  <c r="E82" i="21"/>
  <c r="E74" i="21"/>
  <c r="E65" i="21"/>
  <c r="E64" i="21"/>
  <c r="E62" i="21"/>
  <c r="G55" i="21"/>
  <c r="E49" i="21"/>
  <c r="G49" i="21" s="1"/>
  <c r="AZ23" i="1" s="1"/>
  <c r="E35" i="21"/>
  <c r="G35" i="21" s="1"/>
  <c r="E24" i="21"/>
  <c r="E23" i="21"/>
  <c r="E22" i="21"/>
  <c r="E185" i="19"/>
  <c r="E183" i="19"/>
  <c r="G183" i="19" s="1"/>
  <c r="E180" i="19"/>
  <c r="E179" i="19"/>
  <c r="G179" i="19" s="1"/>
  <c r="U22" i="45" s="1"/>
  <c r="AY19" i="49" s="1"/>
  <c r="E178" i="19"/>
  <c r="G178" i="19" s="1"/>
  <c r="E175" i="19"/>
  <c r="G175" i="19" s="1"/>
  <c r="U19" i="45" s="1"/>
  <c r="AW19" i="49" s="1"/>
  <c r="E174" i="19"/>
  <c r="G174" i="19" s="1"/>
  <c r="U18" i="45" s="1"/>
  <c r="AV19" i="49" s="1"/>
  <c r="E173" i="19"/>
  <c r="E161" i="19"/>
  <c r="E142" i="19"/>
  <c r="E141" i="19"/>
  <c r="G141" i="19" s="1"/>
  <c r="Q22" i="44" s="1"/>
  <c r="P19" i="49" s="1"/>
  <c r="E140" i="19"/>
  <c r="G140" i="19" s="1"/>
  <c r="P22" i="44" s="1"/>
  <c r="O19" i="49" s="1"/>
  <c r="E139" i="19"/>
  <c r="G139" i="19" s="1"/>
  <c r="O22" i="44" s="1"/>
  <c r="E138" i="19"/>
  <c r="G138" i="19" s="1"/>
  <c r="E133" i="19"/>
  <c r="G133" i="19" s="1"/>
  <c r="E132" i="19"/>
  <c r="E131" i="19"/>
  <c r="E130" i="19"/>
  <c r="G130" i="19" s="1"/>
  <c r="E129" i="19"/>
  <c r="G129" i="19" s="1"/>
  <c r="E128" i="19"/>
  <c r="G128" i="19" s="1"/>
  <c r="E124" i="19"/>
  <c r="E112" i="19"/>
  <c r="G112" i="19" s="1"/>
  <c r="E82" i="19"/>
  <c r="G82" i="19" s="1"/>
  <c r="E79" i="19"/>
  <c r="E78" i="19"/>
  <c r="E77" i="19"/>
  <c r="G77" i="19" s="1"/>
  <c r="AR22" i="44" s="1"/>
  <c r="BK19" i="49" s="1"/>
  <c r="E76" i="19"/>
  <c r="G76" i="19" s="1"/>
  <c r="AQ22" i="44" s="1"/>
  <c r="BJ19" i="49" s="1"/>
  <c r="E75" i="19"/>
  <c r="G75" i="19" s="1"/>
  <c r="AP22" i="44" s="1"/>
  <c r="BI19" i="49" s="1"/>
  <c r="E74" i="19"/>
  <c r="G74" i="19" s="1"/>
  <c r="G67" i="19"/>
  <c r="X21" i="1" s="1"/>
  <c r="E65" i="19"/>
  <c r="E64" i="19"/>
  <c r="E63" i="19"/>
  <c r="E62" i="19"/>
  <c r="G62" i="19" s="1"/>
  <c r="U7" i="45" s="1"/>
  <c r="AM19" i="49" s="1"/>
  <c r="E49" i="19"/>
  <c r="G49" i="19" s="1"/>
  <c r="E23" i="19"/>
  <c r="G23" i="19" s="1"/>
  <c r="E22" i="19"/>
  <c r="H124" i="18"/>
  <c r="H124" i="19" s="1"/>
  <c r="E174" i="18"/>
  <c r="G174" i="18" s="1"/>
  <c r="T18" i="45" s="1"/>
  <c r="AV18" i="49" s="1"/>
  <c r="E185" i="18"/>
  <c r="G185" i="18" s="1"/>
  <c r="E184" i="18"/>
  <c r="E183" i="18"/>
  <c r="G183" i="18" s="1"/>
  <c r="E180" i="18"/>
  <c r="G180" i="18" s="1"/>
  <c r="E179" i="18"/>
  <c r="E178" i="18"/>
  <c r="G175" i="18"/>
  <c r="T19" i="45" s="1"/>
  <c r="AW18" i="49" s="1"/>
  <c r="E173" i="18"/>
  <c r="G173" i="18" s="1"/>
  <c r="T17" i="45" s="1"/>
  <c r="AU18" i="49" s="1"/>
  <c r="E165" i="18"/>
  <c r="G165" i="18" s="1"/>
  <c r="E164" i="18"/>
  <c r="E163" i="18"/>
  <c r="G163" i="18" s="1"/>
  <c r="E162" i="18"/>
  <c r="G162" i="18" s="1"/>
  <c r="AB21" i="44" s="1"/>
  <c r="AA18" i="49" s="1"/>
  <c r="E161" i="18"/>
  <c r="G161" i="18" s="1"/>
  <c r="AA21" i="44" s="1"/>
  <c r="Z18" i="49" s="1"/>
  <c r="E142" i="18"/>
  <c r="E141" i="18"/>
  <c r="G141" i="18" s="1"/>
  <c r="Q21" i="44" s="1"/>
  <c r="P18" i="49" s="1"/>
  <c r="E140" i="18"/>
  <c r="G140" i="18" s="1"/>
  <c r="P21" i="44" s="1"/>
  <c r="O18" i="49" s="1"/>
  <c r="E139" i="18"/>
  <c r="G139" i="18" s="1"/>
  <c r="E133" i="18"/>
  <c r="E131" i="18"/>
  <c r="G131" i="18" s="1"/>
  <c r="E130" i="18"/>
  <c r="G130" i="18" s="1"/>
  <c r="E129" i="18"/>
  <c r="G129" i="18" s="1"/>
  <c r="E128" i="18"/>
  <c r="E124" i="18"/>
  <c r="E123" i="18"/>
  <c r="E122" i="18"/>
  <c r="G122" i="18" s="1"/>
  <c r="AK21" i="44" s="1"/>
  <c r="E121" i="18"/>
  <c r="E120" i="18"/>
  <c r="G120" i="18" s="1"/>
  <c r="AI21" i="44" s="1"/>
  <c r="AH18" i="49" s="1"/>
  <c r="E119" i="18"/>
  <c r="G119" i="18" s="1"/>
  <c r="AH21" i="44" s="1"/>
  <c r="AG18" i="49" s="1"/>
  <c r="E118" i="18"/>
  <c r="G118" i="18" s="1"/>
  <c r="AG21" i="44" s="1"/>
  <c r="AF18" i="49" s="1"/>
  <c r="E117" i="18"/>
  <c r="E116" i="18"/>
  <c r="G116" i="18" s="1"/>
  <c r="AE21" i="44" s="1"/>
  <c r="AD18" i="49" s="1"/>
  <c r="E115" i="18"/>
  <c r="G115" i="18" s="1"/>
  <c r="E113" i="18"/>
  <c r="G113" i="18" s="1"/>
  <c r="E112" i="18"/>
  <c r="E82" i="18"/>
  <c r="G82" i="18" s="1"/>
  <c r="E79" i="18"/>
  <c r="E78" i="18"/>
  <c r="G78" i="18" s="1"/>
  <c r="AS21" i="44" s="1"/>
  <c r="BL18" i="49" s="1"/>
  <c r="E77" i="18"/>
  <c r="E76" i="18"/>
  <c r="G76" i="18" s="1"/>
  <c r="AQ21" i="44" s="1"/>
  <c r="BJ18" i="49" s="1"/>
  <c r="E75" i="18"/>
  <c r="G75" i="18" s="1"/>
  <c r="AP21" i="44" s="1"/>
  <c r="BI18" i="49" s="1"/>
  <c r="E74" i="18"/>
  <c r="G74" i="18" s="1"/>
  <c r="E70" i="18"/>
  <c r="G70" i="18" s="1"/>
  <c r="T15" i="45" s="1"/>
  <c r="E69" i="18"/>
  <c r="G69" i="18" s="1"/>
  <c r="T14" i="45" s="1"/>
  <c r="E68" i="18"/>
  <c r="E67" i="18"/>
  <c r="E66" i="18"/>
  <c r="E65" i="18"/>
  <c r="G65" i="18" s="1"/>
  <c r="E64" i="18"/>
  <c r="E63" i="18"/>
  <c r="G63" i="18" s="1"/>
  <c r="E62" i="18"/>
  <c r="G62" i="18" s="1"/>
  <c r="T7" i="45" s="1"/>
  <c r="AM18" i="49" s="1"/>
  <c r="E49" i="18"/>
  <c r="G49" i="18" s="1"/>
  <c r="AZ20" i="1" s="1"/>
  <c r="E35" i="18"/>
  <c r="G35" i="18" s="1"/>
  <c r="E23" i="18"/>
  <c r="E22" i="18"/>
  <c r="G185" i="17"/>
  <c r="E184" i="17"/>
  <c r="E183" i="17"/>
  <c r="E182" i="17"/>
  <c r="E181" i="17"/>
  <c r="E180" i="17"/>
  <c r="G180" i="17" s="1"/>
  <c r="S23" i="45" s="1"/>
  <c r="E179" i="17"/>
  <c r="G179" i="17" s="1"/>
  <c r="E178" i="17"/>
  <c r="G178" i="17" s="1"/>
  <c r="S21" i="45" s="1"/>
  <c r="E177" i="17"/>
  <c r="E176" i="17"/>
  <c r="E175" i="17"/>
  <c r="E174" i="17"/>
  <c r="E173" i="17"/>
  <c r="E168" i="17"/>
  <c r="E167" i="17"/>
  <c r="E166" i="17"/>
  <c r="E161" i="17"/>
  <c r="G161" i="17" s="1"/>
  <c r="AA20" i="44" s="1"/>
  <c r="Z17" i="49" s="1"/>
  <c r="E142" i="17"/>
  <c r="G142" i="17" s="1"/>
  <c r="R20" i="44" s="1"/>
  <c r="Q17" i="49" s="1"/>
  <c r="E141" i="17"/>
  <c r="G141" i="17" s="1"/>
  <c r="Q20" i="44" s="1"/>
  <c r="E140" i="17"/>
  <c r="G140" i="17" s="1"/>
  <c r="P20" i="44" s="1"/>
  <c r="O17" i="49" s="1"/>
  <c r="E139" i="17"/>
  <c r="E133" i="17"/>
  <c r="E132" i="17"/>
  <c r="G132" i="17" s="1"/>
  <c r="E131" i="17"/>
  <c r="G131" i="17" s="1"/>
  <c r="E130" i="17"/>
  <c r="G130" i="17" s="1"/>
  <c r="E129" i="17"/>
  <c r="G129" i="17" s="1"/>
  <c r="E128" i="17"/>
  <c r="G128" i="17" s="1"/>
  <c r="E112" i="17"/>
  <c r="E92" i="17"/>
  <c r="G92" i="17" s="1"/>
  <c r="AL19" i="1" s="1"/>
  <c r="E91" i="17"/>
  <c r="G91" i="17" s="1"/>
  <c r="E90" i="17"/>
  <c r="G90" i="17" s="1"/>
  <c r="I90" i="17" s="1"/>
  <c r="E89" i="17"/>
  <c r="G89" i="17" s="1"/>
  <c r="AH19" i="1" s="1"/>
  <c r="E88" i="17"/>
  <c r="G88" i="17" s="1"/>
  <c r="AC20" i="44" s="1"/>
  <c r="AB17" i="49" s="1"/>
  <c r="E87" i="17"/>
  <c r="G87" i="17" s="1"/>
  <c r="E86" i="17"/>
  <c r="E85" i="17"/>
  <c r="G85" i="17" s="1"/>
  <c r="AA19" i="1" s="1"/>
  <c r="E83" i="17"/>
  <c r="G83" i="17" s="1"/>
  <c r="E82" i="17"/>
  <c r="E79" i="17"/>
  <c r="E78" i="17"/>
  <c r="G78" i="17" s="1"/>
  <c r="AS20" i="44" s="1"/>
  <c r="E77" i="17"/>
  <c r="G77" i="17" s="1"/>
  <c r="AR20" i="44" s="1"/>
  <c r="BK17" i="49" s="1"/>
  <c r="E76" i="17"/>
  <c r="E75" i="17"/>
  <c r="G68" i="17"/>
  <c r="S13" i="45" s="1"/>
  <c r="G67" i="17"/>
  <c r="E65" i="17"/>
  <c r="E63" i="17"/>
  <c r="G63" i="17" s="1"/>
  <c r="E62" i="17"/>
  <c r="G62" i="17" s="1"/>
  <c r="S7" i="45" s="1"/>
  <c r="AM17" i="49" s="1"/>
  <c r="E49" i="17"/>
  <c r="G49" i="17" s="1"/>
  <c r="E35" i="17"/>
  <c r="E24" i="17"/>
  <c r="E23" i="17"/>
  <c r="E22" i="17"/>
  <c r="G11" i="17"/>
  <c r="E185" i="16"/>
  <c r="G185" i="16" s="1"/>
  <c r="E184" i="16"/>
  <c r="G184" i="16" s="1"/>
  <c r="E183" i="16"/>
  <c r="G183" i="16" s="1"/>
  <c r="E180" i="16"/>
  <c r="G180" i="16" s="1"/>
  <c r="E179" i="16"/>
  <c r="E178" i="16"/>
  <c r="E175" i="16"/>
  <c r="G175" i="16" s="1"/>
  <c r="R19" i="45" s="1"/>
  <c r="AW16" i="49" s="1"/>
  <c r="E174" i="16"/>
  <c r="G174" i="16" s="1"/>
  <c r="E173" i="16"/>
  <c r="E168" i="16"/>
  <c r="E167" i="16"/>
  <c r="E166" i="16"/>
  <c r="E165" i="16"/>
  <c r="E164" i="16"/>
  <c r="G164" i="16" s="1"/>
  <c r="E163" i="16"/>
  <c r="G163" i="16" s="1"/>
  <c r="E162" i="16"/>
  <c r="E161" i="16"/>
  <c r="G161" i="16" s="1"/>
  <c r="AA19" i="44" s="1"/>
  <c r="Z16" i="49" s="1"/>
  <c r="E142" i="16"/>
  <c r="G142" i="16" s="1"/>
  <c r="R19" i="44" s="1"/>
  <c r="E141" i="16"/>
  <c r="E140" i="16"/>
  <c r="G140" i="16" s="1"/>
  <c r="P19" i="44" s="1"/>
  <c r="O16" i="49" s="1"/>
  <c r="E139" i="16"/>
  <c r="E133" i="16"/>
  <c r="E132" i="16"/>
  <c r="G132" i="16" s="1"/>
  <c r="E131" i="16"/>
  <c r="G131" i="16" s="1"/>
  <c r="E130" i="16"/>
  <c r="G130" i="16" s="1"/>
  <c r="E129" i="16"/>
  <c r="G129" i="16" s="1"/>
  <c r="E128" i="16"/>
  <c r="G128" i="16" s="1"/>
  <c r="E123" i="16"/>
  <c r="E122" i="16"/>
  <c r="G122" i="16" s="1"/>
  <c r="AK19" i="44" s="1"/>
  <c r="AJ16" i="49" s="1"/>
  <c r="E121" i="16"/>
  <c r="E120" i="16"/>
  <c r="G120" i="16" s="1"/>
  <c r="AI19" i="44" s="1"/>
  <c r="AH16" i="49" s="1"/>
  <c r="E119" i="16"/>
  <c r="E118" i="16"/>
  <c r="G118" i="16" s="1"/>
  <c r="AG19" i="44" s="1"/>
  <c r="AF16" i="49" s="1"/>
  <c r="E117" i="16"/>
  <c r="G117" i="16" s="1"/>
  <c r="AF19" i="44" s="1"/>
  <c r="AE16" i="49" s="1"/>
  <c r="E116" i="16"/>
  <c r="E114" i="16"/>
  <c r="G114" i="16" s="1"/>
  <c r="E113" i="16"/>
  <c r="G113" i="16" s="1"/>
  <c r="E112" i="16"/>
  <c r="E92" i="16"/>
  <c r="E91" i="16"/>
  <c r="G91" i="16" s="1"/>
  <c r="AK18" i="1" s="1"/>
  <c r="E90" i="16"/>
  <c r="G90" i="16" s="1"/>
  <c r="E89" i="16"/>
  <c r="G89" i="16" s="1"/>
  <c r="AW19" i="44" s="1"/>
  <c r="E88" i="16"/>
  <c r="G88" i="16" s="1"/>
  <c r="E87" i="16"/>
  <c r="G87" i="16" s="1"/>
  <c r="AC18" i="1" s="1"/>
  <c r="E86" i="16"/>
  <c r="G86" i="16" s="1"/>
  <c r="AB18" i="1" s="1"/>
  <c r="E85" i="16"/>
  <c r="E84" i="16"/>
  <c r="G84" i="16" s="1"/>
  <c r="Z18" i="1" s="1"/>
  <c r="E83" i="16"/>
  <c r="E82" i="16"/>
  <c r="G82" i="16" s="1"/>
  <c r="E79" i="16"/>
  <c r="E78" i="16"/>
  <c r="E77" i="16"/>
  <c r="E76" i="16"/>
  <c r="G76" i="16" s="1"/>
  <c r="AQ19" i="44" s="1"/>
  <c r="BJ16" i="49" s="1"/>
  <c r="E75" i="16"/>
  <c r="E74" i="16"/>
  <c r="G74" i="16" s="1"/>
  <c r="G70" i="16"/>
  <c r="R15" i="45" s="1"/>
  <c r="G69" i="16"/>
  <c r="E65" i="16"/>
  <c r="G65" i="16" s="1"/>
  <c r="E63" i="16"/>
  <c r="E62" i="16"/>
  <c r="E58" i="16"/>
  <c r="E57" i="16"/>
  <c r="G57" i="16" s="1"/>
  <c r="BG18" i="1" s="1"/>
  <c r="E56" i="16"/>
  <c r="G56" i="16" s="1"/>
  <c r="BF18" i="1" s="1"/>
  <c r="E55" i="16"/>
  <c r="G55" i="16" s="1"/>
  <c r="BE18" i="1" s="1"/>
  <c r="E54" i="16"/>
  <c r="G54" i="16" s="1"/>
  <c r="BD18" i="1" s="1"/>
  <c r="E53" i="16"/>
  <c r="G53" i="16" s="1"/>
  <c r="BC18" i="1" s="1"/>
  <c r="E52" i="16"/>
  <c r="G52" i="16" s="1"/>
  <c r="E51" i="16"/>
  <c r="E50" i="16"/>
  <c r="E49" i="16"/>
  <c r="G49" i="16" s="1"/>
  <c r="E46" i="16"/>
  <c r="G46" i="16" s="1"/>
  <c r="E45" i="16"/>
  <c r="E44" i="16"/>
  <c r="G44" i="16" s="1"/>
  <c r="AX18" i="1" s="1"/>
  <c r="E43" i="16"/>
  <c r="G43" i="16" s="1"/>
  <c r="E42" i="16"/>
  <c r="E41" i="16"/>
  <c r="E40" i="16"/>
  <c r="E39" i="16"/>
  <c r="G39" i="16" s="1"/>
  <c r="E38" i="16"/>
  <c r="G38" i="16" s="1"/>
  <c r="E37" i="16"/>
  <c r="G37" i="16" s="1"/>
  <c r="E36" i="16"/>
  <c r="G36" i="16" s="1"/>
  <c r="AY18" i="1" s="1"/>
  <c r="E35" i="16"/>
  <c r="G35" i="16" s="1"/>
  <c r="E24" i="16"/>
  <c r="E22" i="16"/>
  <c r="E12" i="16"/>
  <c r="E11" i="16"/>
  <c r="E185" i="15"/>
  <c r="G185" i="15" s="1"/>
  <c r="E184" i="15"/>
  <c r="G184" i="15" s="1"/>
  <c r="E183" i="15"/>
  <c r="G183" i="15" s="1"/>
  <c r="E178" i="15"/>
  <c r="G178" i="15" s="1"/>
  <c r="E173" i="15"/>
  <c r="E168" i="15"/>
  <c r="E167" i="15"/>
  <c r="E166" i="15"/>
  <c r="E138" i="15"/>
  <c r="G138" i="15" s="1"/>
  <c r="N18" i="44" s="1"/>
  <c r="M15" i="49" s="1"/>
  <c r="E133" i="15"/>
  <c r="E132" i="15"/>
  <c r="G132" i="15" s="1"/>
  <c r="E131" i="15"/>
  <c r="G131" i="15" s="1"/>
  <c r="E130" i="15"/>
  <c r="G130" i="15" s="1"/>
  <c r="E129" i="15"/>
  <c r="E128" i="15"/>
  <c r="E112" i="15"/>
  <c r="G112" i="15" s="1"/>
  <c r="E82" i="15"/>
  <c r="G82" i="15" s="1"/>
  <c r="E79" i="15"/>
  <c r="E77" i="15"/>
  <c r="G77" i="15" s="1"/>
  <c r="AR18" i="44" s="1"/>
  <c r="E76" i="15"/>
  <c r="G76" i="15" s="1"/>
  <c r="AQ18" i="44" s="1"/>
  <c r="BJ15" i="49" s="1"/>
  <c r="E75" i="15"/>
  <c r="G75" i="15" s="1"/>
  <c r="AP18" i="44" s="1"/>
  <c r="BI15" i="49" s="1"/>
  <c r="E74" i="15"/>
  <c r="E70" i="15"/>
  <c r="E69" i="15"/>
  <c r="G69" i="15" s="1"/>
  <c r="I17" i="35" s="1"/>
  <c r="E68" i="15"/>
  <c r="G68" i="15" s="1"/>
  <c r="E67" i="15"/>
  <c r="G67" i="15" s="1"/>
  <c r="E66" i="15"/>
  <c r="G66" i="15" s="1"/>
  <c r="E65" i="15"/>
  <c r="G65" i="15" s="1"/>
  <c r="E64" i="15"/>
  <c r="E62" i="15"/>
  <c r="E58" i="15"/>
  <c r="E57" i="15"/>
  <c r="G57" i="15" s="1"/>
  <c r="BG17" i="1" s="1"/>
  <c r="E56" i="15"/>
  <c r="G56" i="15" s="1"/>
  <c r="BF17" i="1" s="1"/>
  <c r="E55" i="15"/>
  <c r="G55" i="15" s="1"/>
  <c r="BE17" i="1" s="1"/>
  <c r="E54" i="15"/>
  <c r="G54" i="15" s="1"/>
  <c r="BD17" i="1" s="1"/>
  <c r="E53" i="15"/>
  <c r="G53" i="15" s="1"/>
  <c r="E52" i="15"/>
  <c r="G52" i="15" s="1"/>
  <c r="E51" i="15"/>
  <c r="E50" i="15"/>
  <c r="E49" i="15"/>
  <c r="G49" i="15" s="1"/>
  <c r="AZ17" i="1" s="1"/>
  <c r="E35" i="15"/>
  <c r="G35" i="15" s="1"/>
  <c r="E22" i="15"/>
  <c r="E12" i="15"/>
  <c r="G12" i="15" s="1"/>
  <c r="E11" i="15"/>
  <c r="E10" i="15"/>
  <c r="G10" i="15" s="1"/>
  <c r="E185" i="14"/>
  <c r="E184" i="14"/>
  <c r="E183" i="14"/>
  <c r="E180" i="14"/>
  <c r="G180" i="14" s="1"/>
  <c r="P23" i="45" s="1"/>
  <c r="AZ14" i="49" s="1"/>
  <c r="E179" i="14"/>
  <c r="E178" i="14"/>
  <c r="G178" i="14" s="1"/>
  <c r="P21" i="45" s="1"/>
  <c r="AX14" i="49" s="1"/>
  <c r="E173" i="14"/>
  <c r="G173" i="14" s="1"/>
  <c r="P17" i="45" s="1"/>
  <c r="E168" i="14"/>
  <c r="E167" i="14"/>
  <c r="E166" i="14"/>
  <c r="E165" i="14"/>
  <c r="E164" i="14"/>
  <c r="G164" i="14" s="1"/>
  <c r="E163" i="14"/>
  <c r="E162" i="14"/>
  <c r="G162" i="14" s="1"/>
  <c r="AB17" i="44" s="1"/>
  <c r="AA14" i="49" s="1"/>
  <c r="E161" i="14"/>
  <c r="G161" i="14" s="1"/>
  <c r="AA17" i="44" s="1"/>
  <c r="Z14" i="49" s="1"/>
  <c r="E138" i="14"/>
  <c r="G138" i="14" s="1"/>
  <c r="N17" i="44" s="1"/>
  <c r="M14" i="49" s="1"/>
  <c r="E133" i="14"/>
  <c r="E132" i="14"/>
  <c r="G132" i="14" s="1"/>
  <c r="E131" i="14"/>
  <c r="G131" i="14" s="1"/>
  <c r="E130" i="14"/>
  <c r="G130" i="14" s="1"/>
  <c r="E129" i="14"/>
  <c r="E128" i="14"/>
  <c r="G128" i="14" s="1"/>
  <c r="E123" i="14"/>
  <c r="G123" i="14" s="1"/>
  <c r="AL17" i="44" s="1"/>
  <c r="AK14" i="49" s="1"/>
  <c r="E122" i="14"/>
  <c r="G122" i="14" s="1"/>
  <c r="AK17" i="44" s="1"/>
  <c r="AJ14" i="49" s="1"/>
  <c r="E121" i="14"/>
  <c r="G121" i="14" s="1"/>
  <c r="AJ17" i="44" s="1"/>
  <c r="AI14" i="49" s="1"/>
  <c r="E120" i="14"/>
  <c r="G120" i="14" s="1"/>
  <c r="AI17" i="44" s="1"/>
  <c r="AH14" i="49" s="1"/>
  <c r="E119" i="14"/>
  <c r="E118" i="14"/>
  <c r="G118" i="14" s="1"/>
  <c r="AG17" i="44" s="1"/>
  <c r="E117" i="14"/>
  <c r="G117" i="14" s="1"/>
  <c r="AF17" i="44" s="1"/>
  <c r="AE14" i="49" s="1"/>
  <c r="E116" i="14"/>
  <c r="G116" i="14" s="1"/>
  <c r="E115" i="14"/>
  <c r="E114" i="14"/>
  <c r="G114" i="14" s="1"/>
  <c r="E113" i="14"/>
  <c r="G113" i="14" s="1"/>
  <c r="E112" i="14"/>
  <c r="G112" i="14" s="1"/>
  <c r="E92" i="14"/>
  <c r="E91" i="14"/>
  <c r="E90" i="14"/>
  <c r="E89" i="14"/>
  <c r="G89" i="14" s="1"/>
  <c r="E88" i="14"/>
  <c r="G88" i="14" s="1"/>
  <c r="AV17" i="44" s="1"/>
  <c r="E87" i="14"/>
  <c r="G87" i="14" s="1"/>
  <c r="AC16" i="1" s="1"/>
  <c r="E86" i="14"/>
  <c r="G86" i="14" s="1"/>
  <c r="AB16" i="1" s="1"/>
  <c r="E85" i="14"/>
  <c r="G85" i="14" s="1"/>
  <c r="E84" i="14"/>
  <c r="E83" i="14"/>
  <c r="G83" i="14" s="1"/>
  <c r="E82" i="14"/>
  <c r="E79" i="14"/>
  <c r="E78" i="14"/>
  <c r="G78" i="14" s="1"/>
  <c r="AS17" i="44" s="1"/>
  <c r="BL14" i="49" s="1"/>
  <c r="E77" i="14"/>
  <c r="G77" i="14" s="1"/>
  <c r="AR17" i="44" s="1"/>
  <c r="E76" i="14"/>
  <c r="E75" i="14"/>
  <c r="E74" i="14"/>
  <c r="E70" i="14"/>
  <c r="G70" i="14" s="1"/>
  <c r="E69" i="14"/>
  <c r="E68" i="14"/>
  <c r="G68" i="14" s="1"/>
  <c r="E67" i="14"/>
  <c r="G67" i="14" s="1"/>
  <c r="X16" i="1" s="1"/>
  <c r="E66" i="14"/>
  <c r="G66" i="14" s="1"/>
  <c r="E65" i="14"/>
  <c r="E64" i="14"/>
  <c r="E63" i="14"/>
  <c r="E62" i="14"/>
  <c r="G62" i="14" s="1"/>
  <c r="P7" i="45" s="1"/>
  <c r="AM14" i="49" s="1"/>
  <c r="E58" i="14"/>
  <c r="E57" i="14"/>
  <c r="G57" i="14" s="1"/>
  <c r="BG16" i="1" s="1"/>
  <c r="E56" i="14"/>
  <c r="G56" i="14" s="1"/>
  <c r="BF16" i="1" s="1"/>
  <c r="E55" i="14"/>
  <c r="G55" i="14" s="1"/>
  <c r="BE16" i="1" s="1"/>
  <c r="E54" i="14"/>
  <c r="E53" i="14"/>
  <c r="G53" i="14" s="1"/>
  <c r="BC16" i="1" s="1"/>
  <c r="E52" i="14"/>
  <c r="E51" i="14"/>
  <c r="G51" i="14" s="1"/>
  <c r="BA16" i="1" s="1"/>
  <c r="E50" i="14"/>
  <c r="E49" i="14"/>
  <c r="G49" i="14" s="1"/>
  <c r="AZ16" i="1" s="1"/>
  <c r="E46" i="14"/>
  <c r="G46" i="14" s="1"/>
  <c r="E45" i="14"/>
  <c r="G45" i="14" s="1"/>
  <c r="E44" i="14"/>
  <c r="E43" i="14"/>
  <c r="G43" i="14" s="1"/>
  <c r="E42" i="14"/>
  <c r="E41" i="14"/>
  <c r="G41" i="14" s="1"/>
  <c r="E40" i="14"/>
  <c r="E39" i="14"/>
  <c r="G39" i="14" s="1"/>
  <c r="E38" i="14"/>
  <c r="G38" i="14" s="1"/>
  <c r="AR16" i="1" s="1"/>
  <c r="E37" i="14"/>
  <c r="G37" i="14" s="1"/>
  <c r="E36" i="14"/>
  <c r="E35" i="14"/>
  <c r="G35" i="14" s="1"/>
  <c r="E24" i="14"/>
  <c r="E23" i="14"/>
  <c r="E22" i="14"/>
  <c r="E12" i="14"/>
  <c r="G12" i="14" s="1"/>
  <c r="E11" i="14"/>
  <c r="E185" i="13"/>
  <c r="E184" i="13"/>
  <c r="E183" i="13"/>
  <c r="G183" i="13" s="1"/>
  <c r="E180" i="13"/>
  <c r="E179" i="13"/>
  <c r="G179" i="13" s="1"/>
  <c r="O22" i="45" s="1"/>
  <c r="AY13" i="49" s="1"/>
  <c r="E178" i="13"/>
  <c r="E168" i="13"/>
  <c r="E167" i="13"/>
  <c r="E166" i="13"/>
  <c r="E165" i="13"/>
  <c r="E164" i="13"/>
  <c r="G164" i="13" s="1"/>
  <c r="E163" i="13"/>
  <c r="E162" i="13"/>
  <c r="G162" i="13" s="1"/>
  <c r="AB16" i="44" s="1"/>
  <c r="E161" i="13"/>
  <c r="E138" i="13"/>
  <c r="G138" i="13" s="1"/>
  <c r="N16" i="44" s="1"/>
  <c r="M13" i="49" s="1"/>
  <c r="E128" i="13"/>
  <c r="G128" i="13" s="1"/>
  <c r="E123" i="13"/>
  <c r="G123" i="13" s="1"/>
  <c r="AL16" i="44" s="1"/>
  <c r="E122" i="13"/>
  <c r="E121" i="13"/>
  <c r="G121" i="13" s="1"/>
  <c r="AJ16" i="44" s="1"/>
  <c r="AI13" i="49" s="1"/>
  <c r="E120" i="13"/>
  <c r="E119" i="13"/>
  <c r="G119" i="13" s="1"/>
  <c r="AH16" i="44" s="1"/>
  <c r="AG13" i="49" s="1"/>
  <c r="E118" i="13"/>
  <c r="E117" i="13"/>
  <c r="G117" i="13" s="1"/>
  <c r="AF16" i="44" s="1"/>
  <c r="AE13" i="49" s="1"/>
  <c r="E116" i="13"/>
  <c r="G116" i="13" s="1"/>
  <c r="AE16" i="44" s="1"/>
  <c r="AD13" i="49" s="1"/>
  <c r="E115" i="13"/>
  <c r="G115" i="13" s="1"/>
  <c r="E114" i="13"/>
  <c r="E113" i="13"/>
  <c r="G113" i="13" s="1"/>
  <c r="E112" i="13"/>
  <c r="E92" i="13"/>
  <c r="E91" i="13"/>
  <c r="E90" i="13"/>
  <c r="G90" i="13" s="1"/>
  <c r="E89" i="13"/>
  <c r="G89" i="13" s="1"/>
  <c r="E88" i="13"/>
  <c r="G88" i="13" s="1"/>
  <c r="E87" i="13"/>
  <c r="E86" i="13"/>
  <c r="G86" i="13" s="1"/>
  <c r="AB15" i="1" s="1"/>
  <c r="E85" i="13"/>
  <c r="E84" i="13"/>
  <c r="G84" i="13" s="1"/>
  <c r="Z15" i="1" s="1"/>
  <c r="E83" i="13"/>
  <c r="E82" i="13"/>
  <c r="G82" i="13" s="1"/>
  <c r="E79" i="13"/>
  <c r="E78" i="13"/>
  <c r="E77" i="13"/>
  <c r="E76" i="13"/>
  <c r="G76" i="13" s="1"/>
  <c r="E75" i="13"/>
  <c r="E74" i="13"/>
  <c r="G74" i="13" s="1"/>
  <c r="E70" i="13"/>
  <c r="E69" i="13"/>
  <c r="G69" i="13" s="1"/>
  <c r="E68" i="13"/>
  <c r="G68" i="13" s="1"/>
  <c r="O13" i="45" s="1"/>
  <c r="BC13" i="49" s="1"/>
  <c r="E67" i="13"/>
  <c r="G67" i="13" s="1"/>
  <c r="X15" i="1" s="1"/>
  <c r="E66" i="13"/>
  <c r="E65" i="13"/>
  <c r="G65" i="13" s="1"/>
  <c r="E64" i="13"/>
  <c r="E63" i="13"/>
  <c r="G63" i="13" s="1"/>
  <c r="O8" i="45" s="1"/>
  <c r="AN13" i="49" s="1"/>
  <c r="E62" i="13"/>
  <c r="E49" i="13"/>
  <c r="G49" i="13" s="1"/>
  <c r="E35" i="13"/>
  <c r="G35" i="13" s="1"/>
  <c r="E24" i="13"/>
  <c r="E23" i="13"/>
  <c r="E22" i="13"/>
  <c r="E185" i="12"/>
  <c r="E184" i="12"/>
  <c r="G184" i="12" s="1"/>
  <c r="E183" i="12"/>
  <c r="E180" i="12"/>
  <c r="G180" i="12" s="1"/>
  <c r="E179" i="12"/>
  <c r="G179" i="12" s="1"/>
  <c r="N22" i="45" s="1"/>
  <c r="E175" i="12"/>
  <c r="G175" i="12" s="1"/>
  <c r="N19" i="45" s="1"/>
  <c r="AW12" i="49" s="1"/>
  <c r="E174" i="12"/>
  <c r="E173" i="12"/>
  <c r="E168" i="12"/>
  <c r="E167" i="12"/>
  <c r="E166" i="12"/>
  <c r="E165" i="12"/>
  <c r="G165" i="12" s="1"/>
  <c r="E164" i="12"/>
  <c r="G164" i="12" s="1"/>
  <c r="E163" i="12"/>
  <c r="G163" i="12" s="1"/>
  <c r="E161" i="12"/>
  <c r="G161" i="12"/>
  <c r="AA15" i="44" s="1"/>
  <c r="Z12" i="49" s="1"/>
  <c r="E142" i="12"/>
  <c r="G142" i="12" s="1"/>
  <c r="R15" i="44" s="1"/>
  <c r="Q12" i="49" s="1"/>
  <c r="E141" i="12"/>
  <c r="G141" i="12" s="1"/>
  <c r="Q15" i="44" s="1"/>
  <c r="E140" i="12"/>
  <c r="E139" i="12"/>
  <c r="G139" i="12" s="1"/>
  <c r="O15" i="44" s="1"/>
  <c r="N12" i="49" s="1"/>
  <c r="E138" i="12"/>
  <c r="G138" i="12" s="1"/>
  <c r="E128" i="12"/>
  <c r="G128" i="12" s="1"/>
  <c r="E123" i="12"/>
  <c r="E122" i="12"/>
  <c r="E121" i="12"/>
  <c r="E120" i="12"/>
  <c r="G120" i="12" s="1"/>
  <c r="AI15" i="44" s="1"/>
  <c r="E119" i="12"/>
  <c r="E117" i="12"/>
  <c r="G117" i="12" s="1"/>
  <c r="AF15" i="44" s="1"/>
  <c r="AE12" i="49" s="1"/>
  <c r="E116" i="12"/>
  <c r="G116" i="12" s="1"/>
  <c r="E115" i="12"/>
  <c r="G115" i="12" s="1"/>
  <c r="E114" i="12"/>
  <c r="G114" i="12" s="1"/>
  <c r="E112" i="12"/>
  <c r="G112" i="12" s="1"/>
  <c r="E92" i="12"/>
  <c r="E91" i="12"/>
  <c r="G91" i="12" s="1"/>
  <c r="E90" i="12"/>
  <c r="E89" i="12"/>
  <c r="G89" i="12" s="1"/>
  <c r="AW15" i="44" s="1"/>
  <c r="E88" i="12"/>
  <c r="G88" i="12" s="1"/>
  <c r="E87" i="12"/>
  <c r="G87" i="12" s="1"/>
  <c r="AC14" i="1" s="1"/>
  <c r="E86" i="12"/>
  <c r="E85" i="12"/>
  <c r="E84" i="12"/>
  <c r="E83" i="12"/>
  <c r="G83" i="12" s="1"/>
  <c r="E82" i="12"/>
  <c r="E79" i="12"/>
  <c r="E78" i="12"/>
  <c r="G78" i="12" s="1"/>
  <c r="AS15" i="44" s="1"/>
  <c r="E77" i="12"/>
  <c r="G77" i="12" s="1"/>
  <c r="AR15" i="44" s="1"/>
  <c r="E76" i="12"/>
  <c r="E75" i="12"/>
  <c r="E74" i="12"/>
  <c r="G74" i="12" s="1"/>
  <c r="E70" i="12"/>
  <c r="G70" i="12" s="1"/>
  <c r="J14" i="35" s="1"/>
  <c r="E69" i="12"/>
  <c r="E68" i="12"/>
  <c r="G68" i="12" s="1"/>
  <c r="N13" i="45" s="1"/>
  <c r="E67" i="12"/>
  <c r="G67" i="12" s="1"/>
  <c r="E66" i="12"/>
  <c r="G66" i="12" s="1"/>
  <c r="E65" i="12"/>
  <c r="E64" i="12"/>
  <c r="E63" i="12"/>
  <c r="E62" i="12"/>
  <c r="E49" i="12"/>
  <c r="E35" i="12"/>
  <c r="G35" i="12" s="1"/>
  <c r="AP14" i="1" s="1"/>
  <c r="E23" i="12"/>
  <c r="E22" i="12"/>
  <c r="E12" i="12"/>
  <c r="E11" i="12"/>
  <c r="H124" i="11"/>
  <c r="H26" i="11"/>
  <c r="E185" i="11"/>
  <c r="E184" i="11"/>
  <c r="G184" i="11" s="1"/>
  <c r="E183" i="11"/>
  <c r="G183" i="11" s="1"/>
  <c r="E180" i="11"/>
  <c r="E179" i="11"/>
  <c r="E178" i="11"/>
  <c r="E175" i="11"/>
  <c r="G175" i="11" s="1"/>
  <c r="E174" i="11"/>
  <c r="E173" i="11"/>
  <c r="E168" i="11"/>
  <c r="E167" i="11"/>
  <c r="E166" i="11"/>
  <c r="E165" i="11"/>
  <c r="E164" i="11"/>
  <c r="E163" i="11"/>
  <c r="G163" i="11" s="1"/>
  <c r="E162" i="11"/>
  <c r="E161" i="11"/>
  <c r="E138" i="11"/>
  <c r="G138" i="11" s="1"/>
  <c r="N14" i="44" s="1"/>
  <c r="M11" i="49" s="1"/>
  <c r="E128" i="11"/>
  <c r="G128" i="11" s="1"/>
  <c r="E124" i="11"/>
  <c r="E123" i="11"/>
  <c r="E122" i="11"/>
  <c r="E121" i="11"/>
  <c r="G121" i="11" s="1"/>
  <c r="AJ14" i="44" s="1"/>
  <c r="AI11" i="49" s="1"/>
  <c r="E120" i="11"/>
  <c r="E119" i="11"/>
  <c r="E118" i="11"/>
  <c r="G118" i="11" s="1"/>
  <c r="AG14" i="44" s="1"/>
  <c r="E117" i="11"/>
  <c r="G117" i="11" s="1"/>
  <c r="AF14" i="44" s="1"/>
  <c r="AE11" i="49" s="1"/>
  <c r="E116" i="11"/>
  <c r="E115" i="11"/>
  <c r="E114" i="11"/>
  <c r="E113" i="11"/>
  <c r="G113" i="11" s="1"/>
  <c r="E112" i="11"/>
  <c r="E92" i="11"/>
  <c r="E91" i="11"/>
  <c r="G91" i="11" s="1"/>
  <c r="E90" i="11"/>
  <c r="E89" i="11"/>
  <c r="E88" i="11"/>
  <c r="E87" i="11"/>
  <c r="E86" i="11"/>
  <c r="G86" i="11" s="1"/>
  <c r="AB13" i="1" s="1"/>
  <c r="E85" i="11"/>
  <c r="E84" i="11"/>
  <c r="E83" i="11"/>
  <c r="G83" i="11" s="1"/>
  <c r="E82" i="11"/>
  <c r="E79" i="11"/>
  <c r="E78" i="11"/>
  <c r="E77" i="11"/>
  <c r="E76" i="11"/>
  <c r="G76" i="11" s="1"/>
  <c r="AQ14" i="44" s="1"/>
  <c r="BJ11" i="49" s="1"/>
  <c r="E75" i="11"/>
  <c r="E74" i="11"/>
  <c r="E70" i="11"/>
  <c r="G70" i="11" s="1"/>
  <c r="M15" i="45" s="1"/>
  <c r="BB11" i="49" s="1"/>
  <c r="E69" i="11"/>
  <c r="G69" i="11" s="1"/>
  <c r="M14" i="45" s="1"/>
  <c r="E68" i="11"/>
  <c r="E67" i="11"/>
  <c r="E66" i="11"/>
  <c r="G66" i="11" s="1"/>
  <c r="E65" i="11"/>
  <c r="G65" i="11" s="1"/>
  <c r="V13" i="1" s="1"/>
  <c r="E64" i="11"/>
  <c r="E63" i="11"/>
  <c r="E62" i="11"/>
  <c r="G62" i="11" s="1"/>
  <c r="M7" i="45" s="1"/>
  <c r="AM11" i="49" s="1"/>
  <c r="E49" i="11"/>
  <c r="G49" i="11" s="1"/>
  <c r="E35" i="11"/>
  <c r="E24" i="11"/>
  <c r="E23" i="11"/>
  <c r="E22" i="11"/>
  <c r="G22" i="11" s="1"/>
  <c r="E12" i="11"/>
  <c r="E11" i="11"/>
  <c r="E185" i="10"/>
  <c r="G185" i="10" s="1"/>
  <c r="E184" i="10"/>
  <c r="G184" i="10" s="1"/>
  <c r="E183" i="10"/>
  <c r="E180" i="10"/>
  <c r="E179" i="10"/>
  <c r="E178" i="10"/>
  <c r="G178" i="10" s="1"/>
  <c r="E175" i="10"/>
  <c r="E174" i="10"/>
  <c r="G174" i="10" s="1"/>
  <c r="L18" i="45" s="1"/>
  <c r="AV10" i="49" s="1"/>
  <c r="E173" i="10"/>
  <c r="G173" i="10" s="1"/>
  <c r="L17" i="45" s="1"/>
  <c r="AU10" i="49" s="1"/>
  <c r="E168" i="10"/>
  <c r="E167" i="10"/>
  <c r="E166" i="10"/>
  <c r="G166" i="10" s="1"/>
  <c r="E165" i="10"/>
  <c r="E164" i="10"/>
  <c r="G164" i="10" s="1"/>
  <c r="E163" i="10"/>
  <c r="E162" i="10"/>
  <c r="G162" i="10" s="1"/>
  <c r="AB13" i="44" s="1"/>
  <c r="AA10" i="49" s="1"/>
  <c r="E161" i="10"/>
  <c r="G161" i="10" s="1"/>
  <c r="AA13" i="44" s="1"/>
  <c r="Z10" i="49" s="1"/>
  <c r="E138" i="10"/>
  <c r="G138" i="10" s="1"/>
  <c r="N13" i="44" s="1"/>
  <c r="M10" i="49" s="1"/>
  <c r="E133" i="10"/>
  <c r="E132" i="10"/>
  <c r="E131" i="10"/>
  <c r="E130" i="10"/>
  <c r="G130" i="10" s="1"/>
  <c r="E129" i="10"/>
  <c r="G129" i="10" s="1"/>
  <c r="E128" i="10"/>
  <c r="G128" i="10" s="1"/>
  <c r="E112" i="10"/>
  <c r="G112" i="10" s="1"/>
  <c r="E92" i="10"/>
  <c r="G92" i="10" s="1"/>
  <c r="E91" i="10"/>
  <c r="E90" i="10"/>
  <c r="E89" i="10"/>
  <c r="E88" i="10"/>
  <c r="G88" i="10" s="1"/>
  <c r="E87" i="10"/>
  <c r="G87" i="10" s="1"/>
  <c r="AC12" i="1" s="1"/>
  <c r="E86" i="10"/>
  <c r="G86" i="10" s="1"/>
  <c r="E85" i="10"/>
  <c r="G85" i="10" s="1"/>
  <c r="AA12" i="1" s="1"/>
  <c r="E84" i="10"/>
  <c r="G84" i="10" s="1"/>
  <c r="E83" i="10"/>
  <c r="E82" i="10"/>
  <c r="E79" i="10"/>
  <c r="G78" i="10"/>
  <c r="AS13" i="44" s="1"/>
  <c r="BL10" i="49" s="1"/>
  <c r="E77" i="10"/>
  <c r="E76" i="10"/>
  <c r="E75" i="10"/>
  <c r="G75" i="10" s="1"/>
  <c r="AP13" i="44" s="1"/>
  <c r="BI10" i="49" s="1"/>
  <c r="E74" i="10"/>
  <c r="G74" i="10" s="1"/>
  <c r="E70" i="10"/>
  <c r="G70" i="10" s="1"/>
  <c r="E69" i="10"/>
  <c r="E68" i="10"/>
  <c r="E67" i="10"/>
  <c r="G67" i="10" s="1"/>
  <c r="L11" i="45" s="1"/>
  <c r="E65" i="10"/>
  <c r="G65" i="10" s="1"/>
  <c r="L9" i="45" s="1"/>
  <c r="E64" i="10"/>
  <c r="E63" i="10"/>
  <c r="G63" i="10" s="1"/>
  <c r="L8" i="45" s="1"/>
  <c r="AN10" i="49" s="1"/>
  <c r="E24" i="10"/>
  <c r="E23" i="10"/>
  <c r="E22" i="10"/>
  <c r="E185" i="9"/>
  <c r="E184" i="9"/>
  <c r="E183" i="9"/>
  <c r="E180" i="9"/>
  <c r="E179" i="9"/>
  <c r="G179" i="9" s="1"/>
  <c r="K22" i="45" s="1"/>
  <c r="AY9" i="49" s="1"/>
  <c r="E178" i="9"/>
  <c r="G178" i="9" s="1"/>
  <c r="E175" i="9"/>
  <c r="E174" i="9"/>
  <c r="E173" i="9"/>
  <c r="E168" i="9"/>
  <c r="E167" i="9"/>
  <c r="E166" i="9"/>
  <c r="E165" i="9"/>
  <c r="G165" i="9" s="1"/>
  <c r="E164" i="9"/>
  <c r="G164" i="9" s="1"/>
  <c r="E163" i="9"/>
  <c r="E162" i="9"/>
  <c r="E161" i="9"/>
  <c r="E142" i="9"/>
  <c r="G142" i="9" s="1"/>
  <c r="R12" i="44" s="1"/>
  <c r="Q9" i="49" s="1"/>
  <c r="E141" i="9"/>
  <c r="E140" i="9"/>
  <c r="E139" i="9"/>
  <c r="G139" i="9" s="1"/>
  <c r="O12" i="44" s="1"/>
  <c r="N9" i="49" s="1"/>
  <c r="E138" i="9"/>
  <c r="G138" i="9" s="1"/>
  <c r="E133" i="9"/>
  <c r="E132" i="9"/>
  <c r="E131" i="9"/>
  <c r="E130" i="9"/>
  <c r="G130" i="9" s="1"/>
  <c r="E129" i="9"/>
  <c r="E128" i="9"/>
  <c r="E112" i="9"/>
  <c r="G112" i="9" s="1"/>
  <c r="E91" i="9"/>
  <c r="G91" i="9" s="1"/>
  <c r="AK11" i="1" s="1"/>
  <c r="AN11" i="1" s="1"/>
  <c r="E90" i="9"/>
  <c r="E89" i="9"/>
  <c r="E88" i="9"/>
  <c r="E87" i="9"/>
  <c r="G87" i="9" s="1"/>
  <c r="AC11" i="1" s="1"/>
  <c r="E86" i="9"/>
  <c r="E85" i="9"/>
  <c r="E84" i="9"/>
  <c r="G84" i="9" s="1"/>
  <c r="E83" i="9"/>
  <c r="G83" i="9" s="1"/>
  <c r="E82" i="9"/>
  <c r="E79" i="9"/>
  <c r="E74" i="9"/>
  <c r="E70" i="9"/>
  <c r="G70" i="9" s="1"/>
  <c r="E69" i="9"/>
  <c r="E68" i="9"/>
  <c r="E67" i="9"/>
  <c r="G67" i="9" s="1"/>
  <c r="K11" i="45" s="1"/>
  <c r="AQ9" i="49" s="1"/>
  <c r="E65" i="9"/>
  <c r="G65" i="9" s="1"/>
  <c r="V11" i="1" s="1"/>
  <c r="E64" i="9"/>
  <c r="E63" i="9"/>
  <c r="E62" i="9"/>
  <c r="E58" i="9"/>
  <c r="E57" i="9"/>
  <c r="E56" i="9"/>
  <c r="E55" i="9"/>
  <c r="G55" i="9" s="1"/>
  <c r="BE11" i="1" s="1"/>
  <c r="E54" i="9"/>
  <c r="E53" i="9"/>
  <c r="E52" i="9"/>
  <c r="E51" i="9"/>
  <c r="E50" i="9"/>
  <c r="E49" i="9"/>
  <c r="E35" i="9"/>
  <c r="E22" i="9"/>
  <c r="E12" i="9"/>
  <c r="E11" i="9"/>
  <c r="E185" i="8"/>
  <c r="E184" i="8"/>
  <c r="E183" i="8"/>
  <c r="G183" i="8" s="1"/>
  <c r="E180" i="8"/>
  <c r="E179" i="8"/>
  <c r="E178" i="8"/>
  <c r="G178" i="8" s="1"/>
  <c r="E175" i="8"/>
  <c r="G175" i="8" s="1"/>
  <c r="J19" i="45" s="1"/>
  <c r="AW8" i="49" s="1"/>
  <c r="E174" i="8"/>
  <c r="E173" i="8"/>
  <c r="E168" i="8"/>
  <c r="E167" i="8"/>
  <c r="E166" i="8"/>
  <c r="E165" i="8"/>
  <c r="E164" i="8"/>
  <c r="G164" i="8" s="1"/>
  <c r="E163" i="8"/>
  <c r="G163" i="8" s="1"/>
  <c r="E162" i="8"/>
  <c r="E161" i="8"/>
  <c r="E138" i="8"/>
  <c r="G138" i="8" s="1"/>
  <c r="N11" i="44" s="1"/>
  <c r="M8" i="49" s="1"/>
  <c r="E133" i="8"/>
  <c r="G133" i="8" s="1"/>
  <c r="BJ10" i="1" s="1"/>
  <c r="E132" i="8"/>
  <c r="E131" i="8"/>
  <c r="E130" i="8"/>
  <c r="G130" i="8" s="1"/>
  <c r="E129" i="8"/>
  <c r="G129" i="8" s="1"/>
  <c r="E128" i="8"/>
  <c r="E123" i="8"/>
  <c r="E122" i="8"/>
  <c r="G122" i="8" s="1"/>
  <c r="AK11" i="44" s="1"/>
  <c r="AJ8" i="49" s="1"/>
  <c r="E121" i="8"/>
  <c r="G121" i="8" s="1"/>
  <c r="AJ11" i="44" s="1"/>
  <c r="AI8" i="49" s="1"/>
  <c r="E120" i="8"/>
  <c r="E119" i="8"/>
  <c r="E118" i="8"/>
  <c r="G118" i="8" s="1"/>
  <c r="AG11" i="44" s="1"/>
  <c r="AF8" i="49" s="1"/>
  <c r="E117" i="8"/>
  <c r="E116" i="8"/>
  <c r="E115" i="8"/>
  <c r="E114" i="8"/>
  <c r="G114" i="8" s="1"/>
  <c r="E113" i="8"/>
  <c r="E112" i="8"/>
  <c r="E92" i="8"/>
  <c r="E91" i="8"/>
  <c r="G91" i="8" s="1"/>
  <c r="E90" i="8"/>
  <c r="E89" i="8"/>
  <c r="E88" i="8"/>
  <c r="E87" i="8"/>
  <c r="G87" i="8" s="1"/>
  <c r="AC10" i="1" s="1"/>
  <c r="E86" i="8"/>
  <c r="E85" i="8"/>
  <c r="E84" i="8"/>
  <c r="E83" i="8"/>
  <c r="E82" i="8"/>
  <c r="G82" i="8" s="1"/>
  <c r="E79" i="8"/>
  <c r="E78" i="8"/>
  <c r="E77" i="8"/>
  <c r="G77" i="8" s="1"/>
  <c r="AR11" i="44" s="1"/>
  <c r="BK8" i="49" s="1"/>
  <c r="E76" i="8"/>
  <c r="E75" i="8"/>
  <c r="E74" i="8"/>
  <c r="E70" i="8"/>
  <c r="G70" i="8" s="1"/>
  <c r="E69" i="8"/>
  <c r="G69" i="8" s="1"/>
  <c r="J14" i="45" s="1"/>
  <c r="E68" i="8"/>
  <c r="E67" i="8"/>
  <c r="E66" i="8"/>
  <c r="G66" i="8" s="1"/>
  <c r="W10" i="1" s="1"/>
  <c r="E65" i="8"/>
  <c r="G65" i="8" s="1"/>
  <c r="E64" i="8"/>
  <c r="E63" i="8"/>
  <c r="E62" i="8"/>
  <c r="G62" i="8" s="1"/>
  <c r="E58" i="8"/>
  <c r="G58" i="8" s="1"/>
  <c r="Y11" i="44" s="1"/>
  <c r="X8" i="49" s="1"/>
  <c r="E57" i="8"/>
  <c r="E56" i="8"/>
  <c r="E55" i="8"/>
  <c r="G55" i="8" s="1"/>
  <c r="E54" i="8"/>
  <c r="G54" i="8" s="1"/>
  <c r="BD10" i="1" s="1"/>
  <c r="E53" i="8"/>
  <c r="E52" i="8"/>
  <c r="E51" i="8"/>
  <c r="G51" i="8" s="1"/>
  <c r="BA10" i="1" s="1"/>
  <c r="E50" i="8"/>
  <c r="G50" i="8" s="1"/>
  <c r="BH10" i="1" s="1"/>
  <c r="E49" i="8"/>
  <c r="E46" i="8"/>
  <c r="E45" i="8"/>
  <c r="E44" i="8"/>
  <c r="G44" i="8" s="1"/>
  <c r="E43" i="8"/>
  <c r="E42" i="8"/>
  <c r="E41" i="8"/>
  <c r="G41" i="8" s="1"/>
  <c r="AU10" i="1" s="1"/>
  <c r="E40" i="8"/>
  <c r="G40" i="8" s="1"/>
  <c r="AT10" i="1" s="1"/>
  <c r="E39" i="8"/>
  <c r="E38" i="8"/>
  <c r="E37" i="8"/>
  <c r="G37" i="8" s="1"/>
  <c r="E36" i="8"/>
  <c r="G36" i="8" s="1"/>
  <c r="E35" i="8"/>
  <c r="E24" i="8"/>
  <c r="E23" i="8"/>
  <c r="E22" i="8"/>
  <c r="E12" i="8"/>
  <c r="E11" i="8"/>
  <c r="E46" i="7"/>
  <c r="E185" i="7"/>
  <c r="G185" i="7" s="1"/>
  <c r="E184" i="7"/>
  <c r="E183" i="7"/>
  <c r="E182" i="7"/>
  <c r="E181" i="7"/>
  <c r="E180" i="7"/>
  <c r="E179" i="7"/>
  <c r="E178" i="7"/>
  <c r="E177" i="7"/>
  <c r="E176" i="7"/>
  <c r="E175" i="7"/>
  <c r="E174" i="7"/>
  <c r="G174" i="7" s="1"/>
  <c r="I18" i="45" s="1"/>
  <c r="AV7" i="49" s="1"/>
  <c r="E173" i="7"/>
  <c r="G173" i="7" s="1"/>
  <c r="I17" i="45" s="1"/>
  <c r="AU7" i="49" s="1"/>
  <c r="E168" i="7"/>
  <c r="E167" i="7"/>
  <c r="E166" i="7"/>
  <c r="E165" i="7"/>
  <c r="G165" i="7" s="1"/>
  <c r="E164" i="7"/>
  <c r="E163" i="7"/>
  <c r="E162" i="7"/>
  <c r="G162" i="7" s="1"/>
  <c r="AB10" i="44" s="1"/>
  <c r="AA7" i="49" s="1"/>
  <c r="E161" i="7"/>
  <c r="G161" i="7" s="1"/>
  <c r="AA10" i="44" s="1"/>
  <c r="Z7" i="49" s="1"/>
  <c r="E142" i="7"/>
  <c r="E141" i="7"/>
  <c r="E140" i="7"/>
  <c r="E139" i="7"/>
  <c r="G139" i="7" s="1"/>
  <c r="O10" i="44" s="1"/>
  <c r="N7" i="49" s="1"/>
  <c r="E138" i="7"/>
  <c r="E133" i="7"/>
  <c r="E132" i="7"/>
  <c r="G132" i="7" s="1"/>
  <c r="E131" i="7"/>
  <c r="G131" i="7" s="1"/>
  <c r="E130" i="7"/>
  <c r="E129" i="7"/>
  <c r="E128" i="7"/>
  <c r="G128" i="7" s="1"/>
  <c r="E124" i="7"/>
  <c r="G121" i="7"/>
  <c r="AJ10" i="44" s="1"/>
  <c r="AI7" i="49" s="1"/>
  <c r="G117" i="7"/>
  <c r="AF10" i="44" s="1"/>
  <c r="AE7" i="49" s="1"/>
  <c r="G116" i="7"/>
  <c r="AE10" i="44" s="1"/>
  <c r="AD7" i="49" s="1"/>
  <c r="G113" i="7"/>
  <c r="E112" i="7"/>
  <c r="E92" i="7"/>
  <c r="E91" i="7"/>
  <c r="E90" i="7"/>
  <c r="G90" i="7" s="1"/>
  <c r="E89" i="7"/>
  <c r="G89" i="7" s="1"/>
  <c r="E88" i="7"/>
  <c r="E87" i="7"/>
  <c r="G87" i="7" s="1"/>
  <c r="AC9" i="1" s="1"/>
  <c r="E86" i="7"/>
  <c r="G86" i="7" s="1"/>
  <c r="E85" i="7"/>
  <c r="G85" i="7" s="1"/>
  <c r="AA9" i="1" s="1"/>
  <c r="E84" i="7"/>
  <c r="E83" i="7"/>
  <c r="E82" i="7"/>
  <c r="E78" i="7"/>
  <c r="G78" i="7" s="1"/>
  <c r="E77" i="7"/>
  <c r="E76" i="7"/>
  <c r="G76" i="7" s="1"/>
  <c r="AQ10" i="44" s="1"/>
  <c r="BJ7" i="49" s="1"/>
  <c r="E75" i="7"/>
  <c r="E74" i="7"/>
  <c r="E65" i="7"/>
  <c r="E64" i="7"/>
  <c r="E63" i="7"/>
  <c r="E62" i="7"/>
  <c r="E58" i="7"/>
  <c r="E57" i="7"/>
  <c r="G57" i="7" s="1"/>
  <c r="E56" i="7"/>
  <c r="E55" i="7"/>
  <c r="E54" i="7"/>
  <c r="E53" i="7"/>
  <c r="E52" i="7"/>
  <c r="E51" i="7"/>
  <c r="E50" i="7"/>
  <c r="E49" i="7"/>
  <c r="G49" i="7" s="1"/>
  <c r="AZ9" i="1" s="1"/>
  <c r="E45" i="7"/>
  <c r="E44" i="7"/>
  <c r="G44" i="7" s="1"/>
  <c r="E43" i="7"/>
  <c r="E42" i="7"/>
  <c r="E41" i="7"/>
  <c r="E40" i="7"/>
  <c r="G40" i="7" s="1"/>
  <c r="E39" i="7"/>
  <c r="E38" i="7"/>
  <c r="G38" i="7" s="1"/>
  <c r="AR9" i="1" s="1"/>
  <c r="E37" i="7"/>
  <c r="G37" i="7" s="1"/>
  <c r="E36" i="7"/>
  <c r="G36" i="7" s="1"/>
  <c r="E35" i="7"/>
  <c r="E24" i="7"/>
  <c r="E22" i="7"/>
  <c r="E12" i="7"/>
  <c r="E11" i="7"/>
  <c r="E185" i="33"/>
  <c r="G185" i="33" s="1"/>
  <c r="E184" i="33"/>
  <c r="G184" i="33" s="1"/>
  <c r="E183" i="33"/>
  <c r="G183" i="33" s="1"/>
  <c r="E182" i="33"/>
  <c r="E181" i="33"/>
  <c r="E180" i="33"/>
  <c r="G180" i="33" s="1"/>
  <c r="H23" i="45" s="1"/>
  <c r="AZ6" i="49" s="1"/>
  <c r="E179" i="33"/>
  <c r="G179" i="33" s="1"/>
  <c r="E178" i="33"/>
  <c r="E177" i="33"/>
  <c r="E176" i="33"/>
  <c r="E175" i="33"/>
  <c r="G175" i="33" s="1"/>
  <c r="H19" i="45" s="1"/>
  <c r="AW6" i="49" s="1"/>
  <c r="E174" i="33"/>
  <c r="E173" i="33"/>
  <c r="E168" i="33"/>
  <c r="E167" i="33"/>
  <c r="E166" i="33"/>
  <c r="E165" i="33"/>
  <c r="G165" i="33" s="1"/>
  <c r="E164" i="33"/>
  <c r="G164" i="33" s="1"/>
  <c r="E163" i="33"/>
  <c r="G163" i="33" s="1"/>
  <c r="E162" i="33"/>
  <c r="E161" i="33"/>
  <c r="E138" i="33"/>
  <c r="E128" i="33"/>
  <c r="G128" i="33" s="1"/>
  <c r="E123" i="33"/>
  <c r="G123" i="33" s="1"/>
  <c r="AL9" i="44" s="1"/>
  <c r="AK6" i="49" s="1"/>
  <c r="E122" i="33"/>
  <c r="G122" i="33" s="1"/>
  <c r="AK9" i="44" s="1"/>
  <c r="AJ6" i="49" s="1"/>
  <c r="E120" i="33"/>
  <c r="E119" i="33"/>
  <c r="G119" i="33" s="1"/>
  <c r="AH9" i="44" s="1"/>
  <c r="E118" i="33"/>
  <c r="G118" i="33" s="1"/>
  <c r="AG9" i="44" s="1"/>
  <c r="AF6" i="49" s="1"/>
  <c r="E117" i="33"/>
  <c r="G117" i="33" s="1"/>
  <c r="E116" i="33"/>
  <c r="E115" i="33"/>
  <c r="G115" i="33" s="1"/>
  <c r="E114" i="33"/>
  <c r="G114" i="33" s="1"/>
  <c r="E113" i="33"/>
  <c r="E112" i="33"/>
  <c r="G112" i="33" s="1"/>
  <c r="E92" i="33"/>
  <c r="E91" i="33"/>
  <c r="E90" i="33"/>
  <c r="E89" i="33"/>
  <c r="G89" i="33" s="1"/>
  <c r="E88" i="33"/>
  <c r="G88" i="33" s="1"/>
  <c r="E87" i="33"/>
  <c r="E86" i="33"/>
  <c r="G86" i="33" s="1"/>
  <c r="AB8" i="1" s="1"/>
  <c r="E84" i="33"/>
  <c r="E83" i="33"/>
  <c r="G83" i="33" s="1"/>
  <c r="E82" i="33"/>
  <c r="E78" i="33"/>
  <c r="E77" i="33"/>
  <c r="G77" i="33" s="1"/>
  <c r="AR9" i="44" s="1"/>
  <c r="BK6" i="49" s="1"/>
  <c r="E76" i="33"/>
  <c r="G76" i="33" s="1"/>
  <c r="E75" i="33"/>
  <c r="E74" i="33"/>
  <c r="G74" i="33" s="1"/>
  <c r="E70" i="33"/>
  <c r="E69" i="33"/>
  <c r="G69" i="33" s="1"/>
  <c r="E68" i="33"/>
  <c r="G68" i="33" s="1"/>
  <c r="H13" i="45" s="1"/>
  <c r="E67" i="33"/>
  <c r="E66" i="33"/>
  <c r="E65" i="33"/>
  <c r="G65" i="33" s="1"/>
  <c r="E64" i="33"/>
  <c r="E63" i="33"/>
  <c r="G63" i="33" s="1"/>
  <c r="H8" i="45" s="1"/>
  <c r="AN6" i="49" s="1"/>
  <c r="E62" i="33"/>
  <c r="G62" i="33" s="1"/>
  <c r="H7" i="45" s="1"/>
  <c r="AM6" i="49" s="1"/>
  <c r="E58" i="33"/>
  <c r="G58" i="33" s="1"/>
  <c r="Y9" i="44" s="1"/>
  <c r="X6" i="49" s="1"/>
  <c r="E57" i="33"/>
  <c r="G57" i="33" s="1"/>
  <c r="E56" i="33"/>
  <c r="E55" i="33"/>
  <c r="E54" i="33"/>
  <c r="G54" i="33" s="1"/>
  <c r="BD8" i="1" s="1"/>
  <c r="E53" i="33"/>
  <c r="E52" i="33"/>
  <c r="G52" i="33" s="1"/>
  <c r="BB8" i="1" s="1"/>
  <c r="E51" i="33"/>
  <c r="E50" i="33"/>
  <c r="G50" i="33" s="1"/>
  <c r="E46" i="33"/>
  <c r="E45" i="33"/>
  <c r="E44" i="33"/>
  <c r="E43" i="33"/>
  <c r="G43" i="33" s="1"/>
  <c r="E42" i="33"/>
  <c r="E41" i="33"/>
  <c r="G41" i="33" s="1"/>
  <c r="AU8" i="1" s="1"/>
  <c r="E40" i="33"/>
  <c r="E39" i="33"/>
  <c r="G39" i="33" s="1"/>
  <c r="E38" i="33"/>
  <c r="G38" i="33" s="1"/>
  <c r="E37" i="33"/>
  <c r="E36" i="33"/>
  <c r="E35" i="33"/>
  <c r="G35" i="33" s="1"/>
  <c r="E24" i="33"/>
  <c r="E23" i="33"/>
  <c r="E22" i="33"/>
  <c r="E12" i="33"/>
  <c r="E11" i="33"/>
  <c r="H124" i="5"/>
  <c r="E185" i="5"/>
  <c r="E184" i="5"/>
  <c r="G184" i="5" s="1"/>
  <c r="E183" i="5"/>
  <c r="E180" i="5"/>
  <c r="G180" i="5" s="1"/>
  <c r="G23" i="45" s="1"/>
  <c r="AZ5" i="49" s="1"/>
  <c r="E179" i="5"/>
  <c r="E178" i="5"/>
  <c r="G178" i="5" s="1"/>
  <c r="E175" i="5"/>
  <c r="E174" i="5"/>
  <c r="E173" i="5"/>
  <c r="E168" i="5"/>
  <c r="G168" i="5" s="1"/>
  <c r="H168" i="5" s="1"/>
  <c r="H168" i="33" s="1"/>
  <c r="H168" i="7" s="1"/>
  <c r="E167" i="5"/>
  <c r="G167" i="5" s="1"/>
  <c r="E166" i="5"/>
  <c r="G166" i="5" s="1"/>
  <c r="E165" i="5"/>
  <c r="G165" i="5" s="1"/>
  <c r="E164" i="5"/>
  <c r="G164" i="5" s="1"/>
  <c r="E163" i="5"/>
  <c r="E162" i="5"/>
  <c r="E161" i="5"/>
  <c r="E142" i="5"/>
  <c r="G142" i="5" s="1"/>
  <c r="R8" i="44" s="1"/>
  <c r="Q5" i="49" s="1"/>
  <c r="E141" i="5"/>
  <c r="E140" i="5"/>
  <c r="E139" i="5"/>
  <c r="G139" i="5" s="1"/>
  <c r="E138" i="5"/>
  <c r="G138" i="5" s="1"/>
  <c r="E133" i="5"/>
  <c r="E132" i="5"/>
  <c r="E131" i="5"/>
  <c r="E130" i="5"/>
  <c r="G130" i="5" s="1"/>
  <c r="E129" i="5"/>
  <c r="E128" i="5"/>
  <c r="G128" i="5" s="1"/>
  <c r="E112" i="5"/>
  <c r="G112" i="5" s="1"/>
  <c r="E92" i="5"/>
  <c r="G92" i="5" s="1"/>
  <c r="E91" i="5"/>
  <c r="E90" i="5"/>
  <c r="E89" i="5"/>
  <c r="E88" i="5"/>
  <c r="G88" i="5" s="1"/>
  <c r="E87" i="5"/>
  <c r="E86" i="5"/>
  <c r="G86" i="5" s="1"/>
  <c r="AB7" i="1" s="1"/>
  <c r="E84" i="5"/>
  <c r="G84" i="5" s="1"/>
  <c r="E83" i="5"/>
  <c r="E82" i="5"/>
  <c r="E79" i="5"/>
  <c r="E78" i="5"/>
  <c r="E77" i="5"/>
  <c r="G77" i="5" s="1"/>
  <c r="AR8" i="44" s="1"/>
  <c r="BK5" i="49" s="1"/>
  <c r="E76" i="5"/>
  <c r="E75" i="5"/>
  <c r="E74" i="5"/>
  <c r="G74" i="5" s="1"/>
  <c r="G70" i="5"/>
  <c r="E65" i="5"/>
  <c r="G65" i="5" s="1"/>
  <c r="E63" i="5"/>
  <c r="E62" i="5"/>
  <c r="E49" i="5"/>
  <c r="G49" i="5" s="1"/>
  <c r="E35" i="5"/>
  <c r="G35" i="5" s="1"/>
  <c r="E24" i="5"/>
  <c r="E23" i="5"/>
  <c r="E22" i="5"/>
  <c r="E185" i="4"/>
  <c r="G185" i="4" s="1"/>
  <c r="E184" i="4"/>
  <c r="E183" i="4"/>
  <c r="E180" i="4"/>
  <c r="G180" i="4" s="1"/>
  <c r="E179" i="4"/>
  <c r="G179" i="4" s="1"/>
  <c r="F22" i="45" s="1"/>
  <c r="AY4" i="49" s="1"/>
  <c r="E178" i="4"/>
  <c r="G178" i="4" s="1"/>
  <c r="F21" i="45" s="1"/>
  <c r="AX4" i="49" s="1"/>
  <c r="E175" i="4"/>
  <c r="E174" i="4"/>
  <c r="E173" i="4"/>
  <c r="G173" i="4" s="1"/>
  <c r="F17" i="45" s="1"/>
  <c r="AU4" i="49" s="1"/>
  <c r="E165" i="4"/>
  <c r="G165" i="4" s="1"/>
  <c r="E164" i="4"/>
  <c r="E163" i="4"/>
  <c r="E162" i="4"/>
  <c r="G162" i="4" s="1"/>
  <c r="AB7" i="44" s="1"/>
  <c r="AA4" i="49" s="1"/>
  <c r="E161" i="4"/>
  <c r="G161" i="4" s="1"/>
  <c r="AA7" i="44" s="1"/>
  <c r="Z4" i="49" s="1"/>
  <c r="E142" i="4"/>
  <c r="E141" i="4"/>
  <c r="E140" i="4"/>
  <c r="G140" i="4" s="1"/>
  <c r="P7" i="44" s="1"/>
  <c r="O4" i="49" s="1"/>
  <c r="E139" i="4"/>
  <c r="E138" i="4"/>
  <c r="E132" i="4"/>
  <c r="E131" i="4"/>
  <c r="G131" i="4" s="1"/>
  <c r="E130" i="4"/>
  <c r="G130" i="4" s="1"/>
  <c r="E129" i="4"/>
  <c r="E128" i="4"/>
  <c r="G128" i="4" s="1"/>
  <c r="E123" i="4"/>
  <c r="E122" i="4"/>
  <c r="E121" i="4"/>
  <c r="E120" i="4"/>
  <c r="E119" i="4"/>
  <c r="G119" i="4" s="1"/>
  <c r="AH7" i="44" s="1"/>
  <c r="AG4" i="49" s="1"/>
  <c r="E118" i="4"/>
  <c r="G118" i="4" s="1"/>
  <c r="AG7" i="44" s="1"/>
  <c r="AF4" i="49" s="1"/>
  <c r="E117" i="4"/>
  <c r="E116" i="4"/>
  <c r="E115" i="4"/>
  <c r="E114" i="4"/>
  <c r="G114" i="4" s="1"/>
  <c r="E113" i="4"/>
  <c r="E112" i="4"/>
  <c r="E92" i="4"/>
  <c r="G92" i="4" s="1"/>
  <c r="AL6" i="1" s="1"/>
  <c r="E91" i="4"/>
  <c r="G91" i="4" s="1"/>
  <c r="E89" i="4"/>
  <c r="E88" i="4"/>
  <c r="E87" i="4"/>
  <c r="G87" i="4" s="1"/>
  <c r="E86" i="4"/>
  <c r="E85" i="4"/>
  <c r="E84" i="4"/>
  <c r="E83" i="4"/>
  <c r="E82" i="4"/>
  <c r="G82" i="4" s="1"/>
  <c r="E79" i="4"/>
  <c r="E78" i="4"/>
  <c r="E77" i="4"/>
  <c r="G77" i="4" s="1"/>
  <c r="AR7" i="44" s="1"/>
  <c r="BK4" i="49" s="1"/>
  <c r="E76" i="4"/>
  <c r="E75" i="4"/>
  <c r="E74" i="4"/>
  <c r="E70" i="4"/>
  <c r="G70" i="4" s="1"/>
  <c r="E69" i="4"/>
  <c r="G69" i="4" s="1"/>
  <c r="E68" i="4"/>
  <c r="E67" i="4"/>
  <c r="E66" i="4"/>
  <c r="G66" i="4" s="1"/>
  <c r="E65" i="4"/>
  <c r="E64" i="4"/>
  <c r="E63" i="4"/>
  <c r="G63" i="4" s="1"/>
  <c r="E62" i="4"/>
  <c r="E58" i="4"/>
  <c r="G58" i="4" s="1"/>
  <c r="Y7" i="44" s="1"/>
  <c r="X4" i="49" s="1"/>
  <c r="E57" i="4"/>
  <c r="E56" i="4"/>
  <c r="E55" i="4"/>
  <c r="E54" i="4"/>
  <c r="G54" i="4" s="1"/>
  <c r="BD6" i="1" s="1"/>
  <c r="E53" i="4"/>
  <c r="E52" i="4"/>
  <c r="E51" i="4"/>
  <c r="E50" i="4"/>
  <c r="G50" i="4" s="1"/>
  <c r="L7" i="44" s="1"/>
  <c r="K4" i="49" s="1"/>
  <c r="E49" i="4"/>
  <c r="E46" i="4"/>
  <c r="E45" i="4"/>
  <c r="E44" i="4"/>
  <c r="G44" i="4" s="1"/>
  <c r="E43" i="4"/>
  <c r="E41" i="4"/>
  <c r="E39" i="4"/>
  <c r="G39" i="4" s="1"/>
  <c r="E38" i="4"/>
  <c r="E37" i="4"/>
  <c r="E36" i="4"/>
  <c r="E35" i="4"/>
  <c r="G35" i="4" s="1"/>
  <c r="E24" i="4"/>
  <c r="E23" i="4"/>
  <c r="E22" i="4"/>
  <c r="E12" i="4"/>
  <c r="E11" i="4"/>
  <c r="G11" i="4" s="1"/>
  <c r="E133" i="3"/>
  <c r="G133" i="3" s="1"/>
  <c r="E132" i="3"/>
  <c r="E131" i="3"/>
  <c r="E130" i="3"/>
  <c r="G130" i="3" s="1"/>
  <c r="E129" i="3"/>
  <c r="E128" i="3"/>
  <c r="E74" i="3"/>
  <c r="E79" i="3"/>
  <c r="E78" i="3"/>
  <c r="G78" i="3" s="1"/>
  <c r="AS6" i="44" s="1"/>
  <c r="BL3" i="49" s="1"/>
  <c r="E77" i="3"/>
  <c r="E76" i="3"/>
  <c r="E75" i="3"/>
  <c r="G75" i="3" s="1"/>
  <c r="AP6" i="44" s="1"/>
  <c r="BI3" i="49" s="1"/>
  <c r="E24" i="3"/>
  <c r="E19" i="3"/>
  <c r="G19" i="3" s="1"/>
  <c r="E18" i="3"/>
  <c r="E18" i="4"/>
  <c r="E18" i="5"/>
  <c r="E18" i="33"/>
  <c r="E18" i="7"/>
  <c r="E18" i="8"/>
  <c r="E18" i="9"/>
  <c r="E18" i="10"/>
  <c r="E18" i="11"/>
  <c r="E18" i="12"/>
  <c r="E18" i="13"/>
  <c r="E18" i="14"/>
  <c r="E18" i="15"/>
  <c r="E18" i="16"/>
  <c r="E18" i="17"/>
  <c r="E18" i="18"/>
  <c r="E18" i="19"/>
  <c r="E18" i="20"/>
  <c r="E18" i="21"/>
  <c r="E18" i="22"/>
  <c r="E18" i="23"/>
  <c r="E18" i="24"/>
  <c r="E18" i="25"/>
  <c r="E18" i="40"/>
  <c r="E18" i="27"/>
  <c r="E18" i="28"/>
  <c r="E18" i="30"/>
  <c r="E18" i="43"/>
  <c r="E185" i="3"/>
  <c r="E184" i="3"/>
  <c r="E183" i="3"/>
  <c r="G183" i="3" s="1"/>
  <c r="E180" i="3"/>
  <c r="G180" i="3" s="1"/>
  <c r="E23" i="45" s="1"/>
  <c r="E179" i="3"/>
  <c r="E175" i="3"/>
  <c r="G175" i="3" s="1"/>
  <c r="E174" i="3"/>
  <c r="G174" i="3" s="1"/>
  <c r="E18" i="45" s="1"/>
  <c r="AV3" i="49" s="1"/>
  <c r="E173" i="3"/>
  <c r="E165" i="3"/>
  <c r="G165" i="3" s="1"/>
  <c r="E164" i="3"/>
  <c r="E163" i="3"/>
  <c r="E162" i="3"/>
  <c r="G162" i="3" s="1"/>
  <c r="AB6" i="44" s="1"/>
  <c r="AA3" i="49" s="1"/>
  <c r="E140" i="3"/>
  <c r="E138" i="3"/>
  <c r="G138" i="3" s="1"/>
  <c r="N6" i="44" s="1"/>
  <c r="M3" i="49" s="1"/>
  <c r="E123" i="3"/>
  <c r="G123" i="3" s="1"/>
  <c r="AL6" i="44" s="1"/>
  <c r="AK3" i="49" s="1"/>
  <c r="E122" i="3"/>
  <c r="E121" i="3"/>
  <c r="G121" i="3" s="1"/>
  <c r="E120" i="3"/>
  <c r="E119" i="3"/>
  <c r="G119" i="3" s="1"/>
  <c r="E118" i="3"/>
  <c r="E117" i="3"/>
  <c r="G117" i="3" s="1"/>
  <c r="E116" i="3"/>
  <c r="G116" i="3" s="1"/>
  <c r="AE6" i="44" s="1"/>
  <c r="AD3" i="49" s="1"/>
  <c r="E115" i="3"/>
  <c r="E114" i="3"/>
  <c r="E113" i="3"/>
  <c r="G113" i="3" s="1"/>
  <c r="E112" i="3"/>
  <c r="E92" i="3"/>
  <c r="G92" i="3" s="1"/>
  <c r="AL5" i="1" s="1"/>
  <c r="E91" i="3"/>
  <c r="E88" i="3"/>
  <c r="E87" i="3"/>
  <c r="G87" i="3" s="1"/>
  <c r="E86" i="3"/>
  <c r="G86" i="3" s="1"/>
  <c r="AB5" i="1" s="1"/>
  <c r="E85" i="3"/>
  <c r="E84" i="3"/>
  <c r="E83" i="3"/>
  <c r="E82" i="3"/>
  <c r="E70" i="3"/>
  <c r="E68" i="3"/>
  <c r="E67" i="3"/>
  <c r="G67" i="3" s="1"/>
  <c r="E66" i="3"/>
  <c r="E65" i="3"/>
  <c r="E64" i="3"/>
  <c r="E63" i="3"/>
  <c r="G63" i="3" s="1"/>
  <c r="E8" i="45" s="1"/>
  <c r="AN3" i="49" s="1"/>
  <c r="E62" i="3"/>
  <c r="E58" i="3"/>
  <c r="E57" i="3"/>
  <c r="G57" i="3" s="1"/>
  <c r="E56" i="3"/>
  <c r="G56" i="3" s="1"/>
  <c r="BF5" i="1" s="1"/>
  <c r="E55" i="3"/>
  <c r="E54" i="3"/>
  <c r="E53" i="3"/>
  <c r="G53" i="3" s="1"/>
  <c r="E52" i="3"/>
  <c r="G52" i="3" s="1"/>
  <c r="E51" i="3"/>
  <c r="E50" i="3"/>
  <c r="E49" i="3"/>
  <c r="G49" i="3" s="1"/>
  <c r="E46" i="3"/>
  <c r="G46" i="3" s="1"/>
  <c r="E45" i="3"/>
  <c r="E44" i="3"/>
  <c r="E43" i="3"/>
  <c r="G43" i="3" s="1"/>
  <c r="E42" i="3"/>
  <c r="G42" i="3" s="1"/>
  <c r="E41" i="3"/>
  <c r="E39" i="3"/>
  <c r="E38" i="3"/>
  <c r="E37" i="3"/>
  <c r="G37" i="3" s="1"/>
  <c r="E36" i="3"/>
  <c r="E35" i="3"/>
  <c r="E23" i="3"/>
  <c r="E22" i="3"/>
  <c r="G22" i="3" s="1"/>
  <c r="E15" i="3"/>
  <c r="G15" i="3" s="1"/>
  <c r="E12" i="3"/>
  <c r="G12" i="3" s="1"/>
  <c r="E11" i="3"/>
  <c r="G11" i="3" s="1"/>
  <c r="E10" i="3"/>
  <c r="G10" i="3" s="1"/>
  <c r="E8" i="3"/>
  <c r="E9" i="3"/>
  <c r="H182" i="2"/>
  <c r="J182" i="2" s="1"/>
  <c r="H177" i="2"/>
  <c r="J177" i="2" s="1"/>
  <c r="H127" i="2"/>
  <c r="J127" i="2" s="1"/>
  <c r="G23" i="2"/>
  <c r="H23" i="2" s="1"/>
  <c r="G22" i="2"/>
  <c r="G19" i="2"/>
  <c r="E30" i="2" s="1"/>
  <c r="G30" i="2" s="1"/>
  <c r="H30" i="2" s="1"/>
  <c r="J30" i="2" s="1"/>
  <c r="G15" i="2"/>
  <c r="G12" i="2"/>
  <c r="H12" i="2" s="1"/>
  <c r="G11" i="2"/>
  <c r="H11" i="2" s="1"/>
  <c r="J11" i="2" s="1"/>
  <c r="G10" i="2"/>
  <c r="H10" i="2" s="1"/>
  <c r="J10" i="2" s="1"/>
  <c r="G9" i="2"/>
  <c r="G8" i="2"/>
  <c r="C5" i="44" s="1"/>
  <c r="J2" i="48" s="1"/>
  <c r="G7" i="2"/>
  <c r="B5" i="44" s="1"/>
  <c r="I18" i="3"/>
  <c r="I7" i="3"/>
  <c r="G22" i="15"/>
  <c r="E24" i="15"/>
  <c r="G22" i="19"/>
  <c r="G8" i="3"/>
  <c r="H5" i="1" s="1"/>
  <c r="E8" i="33"/>
  <c r="E15" i="4"/>
  <c r="G15" i="4" s="1"/>
  <c r="D7" i="44" s="1"/>
  <c r="E15" i="5"/>
  <c r="E15" i="33"/>
  <c r="G15" i="33" s="1"/>
  <c r="E7" i="4"/>
  <c r="E7" i="5"/>
  <c r="G7" i="5" s="1"/>
  <c r="E7" i="33"/>
  <c r="G7" i="33" s="1"/>
  <c r="E10" i="4"/>
  <c r="G10" i="4" s="1"/>
  <c r="E10" i="33"/>
  <c r="E10" i="7"/>
  <c r="G10" i="7" s="1"/>
  <c r="E10" i="8"/>
  <c r="E10" i="9"/>
  <c r="E10" i="11"/>
  <c r="E10" i="12"/>
  <c r="G10" i="12" s="1"/>
  <c r="E10" i="13"/>
  <c r="G9" i="3"/>
  <c r="E9" i="4"/>
  <c r="E9" i="33"/>
  <c r="G9" i="33" s="1"/>
  <c r="E19" i="4"/>
  <c r="E19" i="5"/>
  <c r="G18" i="3"/>
  <c r="E10" i="16"/>
  <c r="G10" i="16" s="1"/>
  <c r="G149" i="19"/>
  <c r="G151" i="19"/>
  <c r="Z22" i="44" s="1"/>
  <c r="G146" i="19"/>
  <c r="G145" i="19"/>
  <c r="S22" i="44" s="1"/>
  <c r="R19" i="49" s="1"/>
  <c r="G150" i="19"/>
  <c r="H18" i="2"/>
  <c r="J18" i="2" s="1"/>
  <c r="G144" i="19"/>
  <c r="U22" i="44" s="1"/>
  <c r="T19" i="49" s="1"/>
  <c r="G148" i="19"/>
  <c r="W22" i="44" s="1"/>
  <c r="H182" i="3"/>
  <c r="H182" i="4" s="1"/>
  <c r="H127" i="3"/>
  <c r="H151" i="2"/>
  <c r="J151" i="2" s="1"/>
  <c r="Z5" i="44"/>
  <c r="Y2" i="49" s="1"/>
  <c r="G134" i="20"/>
  <c r="G15" i="17"/>
  <c r="AN20" i="44" s="1"/>
  <c r="E19" i="33"/>
  <c r="G19" i="33" s="1"/>
  <c r="G15" i="7"/>
  <c r="E9" i="7"/>
  <c r="E8" i="7"/>
  <c r="G8" i="7" s="1"/>
  <c r="G185" i="31"/>
  <c r="G186" i="31" s="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AM35" i="44" s="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AH34" i="1" s="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AH11" i="45" s="1"/>
  <c r="G66" i="31"/>
  <c r="G65" i="31"/>
  <c r="G63" i="31"/>
  <c r="AH8" i="45" s="1"/>
  <c r="G62" i="31"/>
  <c r="AH7" i="45" s="1"/>
  <c r="G58" i="31"/>
  <c r="G57" i="31"/>
  <c r="BG34" i="1" s="1"/>
  <c r="G56" i="31"/>
  <c r="G55" i="31"/>
  <c r="J35" i="44" s="1"/>
  <c r="G54" i="31"/>
  <c r="G53" i="31"/>
  <c r="G52" i="31"/>
  <c r="G51" i="31"/>
  <c r="G50" i="31"/>
  <c r="G49" i="31"/>
  <c r="F35" i="44" s="1"/>
  <c r="G46" i="31"/>
  <c r="G45" i="31"/>
  <c r="G44" i="31"/>
  <c r="G43" i="31"/>
  <c r="G42" i="31"/>
  <c r="G41" i="31"/>
  <c r="G40" i="31"/>
  <c r="G39" i="31"/>
  <c r="G98" i="31" s="1"/>
  <c r="G38" i="31"/>
  <c r="G37" i="31"/>
  <c r="G35" i="44" s="1"/>
  <c r="G36" i="31"/>
  <c r="G35" i="31"/>
  <c r="G29" i="31"/>
  <c r="G22" i="31"/>
  <c r="G18" i="31"/>
  <c r="K9" i="31"/>
  <c r="M8" i="31"/>
  <c r="G185" i="43"/>
  <c r="G179" i="43"/>
  <c r="AG22" i="45" s="1"/>
  <c r="G178" i="43"/>
  <c r="AG21" i="45" s="1"/>
  <c r="AG19" i="45"/>
  <c r="G173" i="43"/>
  <c r="AG17" i="45" s="1"/>
  <c r="G164" i="43"/>
  <c r="AD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2" i="43"/>
  <c r="G131" i="43"/>
  <c r="G130" i="43"/>
  <c r="G123" i="43"/>
  <c r="AL34" i="44" s="1"/>
  <c r="G122" i="43"/>
  <c r="AK34" i="44" s="1"/>
  <c r="G120" i="43"/>
  <c r="AI34" i="44" s="1"/>
  <c r="G119" i="43"/>
  <c r="AH34" i="44" s="1"/>
  <c r="AF34" i="44"/>
  <c r="G115" i="43"/>
  <c r="G112" i="43"/>
  <c r="G92" i="43"/>
  <c r="AL33" i="1" s="1"/>
  <c r="G88" i="43"/>
  <c r="AG33" i="1" s="1"/>
  <c r="G85" i="43"/>
  <c r="AA33" i="1" s="1"/>
  <c r="G84" i="43"/>
  <c r="Z33" i="1" s="1"/>
  <c r="G83" i="43"/>
  <c r="G78" i="43"/>
  <c r="AS34" i="44" s="1"/>
  <c r="G75" i="43"/>
  <c r="AP34" i="44" s="1"/>
  <c r="G74" i="43"/>
  <c r="AO34" i="44" s="1"/>
  <c r="G70" i="43"/>
  <c r="AG15" i="45" s="1"/>
  <c r="G68" i="43"/>
  <c r="AG13" i="45" s="1"/>
  <c r="G66" i="43"/>
  <c r="AG10" i="45" s="1"/>
  <c r="G63" i="43"/>
  <c r="AG8" i="45" s="1"/>
  <c r="G62" i="43"/>
  <c r="AG7" i="45" s="1"/>
  <c r="G58" i="43"/>
  <c r="Y34" i="44" s="1"/>
  <c r="G56" i="43"/>
  <c r="BF33" i="1" s="1"/>
  <c r="G54" i="43"/>
  <c r="G53" i="43"/>
  <c r="G51" i="43"/>
  <c r="G50" i="43"/>
  <c r="G46" i="43"/>
  <c r="G45" i="43"/>
  <c r="G44" i="43"/>
  <c r="G43" i="43"/>
  <c r="G42" i="43"/>
  <c r="AV33" i="1" s="1"/>
  <c r="G41" i="43"/>
  <c r="G38" i="43"/>
  <c r="G100" i="43" s="1"/>
  <c r="G37" i="43"/>
  <c r="E29" i="43"/>
  <c r="G29" i="43" s="1"/>
  <c r="G22" i="43"/>
  <c r="G18" i="43"/>
  <c r="E31" i="43" s="1"/>
  <c r="G31" i="43" s="1"/>
  <c r="K9" i="43"/>
  <c r="M8" i="43"/>
  <c r="G179" i="30"/>
  <c r="AF22" i="45" s="1"/>
  <c r="G165" i="30"/>
  <c r="G163" i="30"/>
  <c r="G162" i="30"/>
  <c r="AB33" i="44" s="1"/>
  <c r="G142" i="30"/>
  <c r="G138" i="30"/>
  <c r="N33" i="44" s="1"/>
  <c r="G133" i="30"/>
  <c r="BJ32" i="1" s="1"/>
  <c r="G132" i="30"/>
  <c r="G130" i="30"/>
  <c r="G129" i="30"/>
  <c r="G122" i="30"/>
  <c r="AK33" i="44" s="1"/>
  <c r="G120" i="30"/>
  <c r="AI33" i="44" s="1"/>
  <c r="G119" i="30"/>
  <c r="AH33" i="44" s="1"/>
  <c r="G118" i="30"/>
  <c r="AG33" i="44" s="1"/>
  <c r="G115" i="30"/>
  <c r="G114" i="30"/>
  <c r="G92" i="30"/>
  <c r="G91" i="30"/>
  <c r="AK32" i="1" s="1"/>
  <c r="G89" i="30"/>
  <c r="G87" i="30"/>
  <c r="AC32" i="1" s="1"/>
  <c r="G85" i="30"/>
  <c r="AA32" i="1" s="1"/>
  <c r="G84" i="30"/>
  <c r="G82" i="30"/>
  <c r="G78" i="30"/>
  <c r="AS33" i="44" s="1"/>
  <c r="G75" i="30"/>
  <c r="AP33" i="44" s="1"/>
  <c r="G74" i="30"/>
  <c r="AO33" i="44" s="1"/>
  <c r="G69" i="30"/>
  <c r="G65" i="30"/>
  <c r="V32" i="1" s="1"/>
  <c r="G58" i="30"/>
  <c r="Y33" i="44" s="1"/>
  <c r="G56" i="30"/>
  <c r="BF32" i="1" s="1"/>
  <c r="G54" i="30"/>
  <c r="BD32" i="1" s="1"/>
  <c r="G53" i="30"/>
  <c r="BC32" i="1" s="1"/>
  <c r="G50" i="30"/>
  <c r="L33" i="44" s="1"/>
  <c r="G44" i="30"/>
  <c r="G43" i="30"/>
  <c r="G40" i="30"/>
  <c r="G39" i="30"/>
  <c r="AS32" i="1" s="1"/>
  <c r="G38" i="30"/>
  <c r="H33" i="44" s="1"/>
  <c r="G36" i="30"/>
  <c r="M33" i="44" s="1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G179" i="29"/>
  <c r="AE22" i="45" s="1"/>
  <c r="AY29" i="49" s="1"/>
  <c r="G178" i="29"/>
  <c r="AE21" i="45" s="1"/>
  <c r="AX29" i="49" s="1"/>
  <c r="G174" i="29"/>
  <c r="AE18" i="45" s="1"/>
  <c r="AV29" i="49" s="1"/>
  <c r="G173" i="29"/>
  <c r="AE17" i="45" s="1"/>
  <c r="AU29" i="49" s="1"/>
  <c r="G165" i="29"/>
  <c r="G164" i="29"/>
  <c r="AD32" i="44" s="1"/>
  <c r="AC29" i="49" s="1"/>
  <c r="G162" i="29"/>
  <c r="AB32" i="44" s="1"/>
  <c r="AA29" i="49" s="1"/>
  <c r="G161" i="29"/>
  <c r="AA32" i="44" s="1"/>
  <c r="Z29" i="49" s="1"/>
  <c r="G140" i="29"/>
  <c r="P32" i="44" s="1"/>
  <c r="O29" i="49" s="1"/>
  <c r="G139" i="29"/>
  <c r="O32" i="44" s="1"/>
  <c r="N29" i="49" s="1"/>
  <c r="G138" i="29"/>
  <c r="N32" i="44" s="1"/>
  <c r="M29" i="49" s="1"/>
  <c r="G131" i="29"/>
  <c r="G130" i="29"/>
  <c r="G123" i="29"/>
  <c r="AL32" i="44" s="1"/>
  <c r="G122" i="29"/>
  <c r="AK32" i="44" s="1"/>
  <c r="AJ29" i="49" s="1"/>
  <c r="G120" i="29"/>
  <c r="AI32" i="44" s="1"/>
  <c r="G119" i="29"/>
  <c r="AH32" i="44" s="1"/>
  <c r="AG29" i="49" s="1"/>
  <c r="G118" i="29"/>
  <c r="G116" i="29"/>
  <c r="AE32" i="44" s="1"/>
  <c r="AD29" i="49" s="1"/>
  <c r="G115" i="29"/>
  <c r="G113" i="29"/>
  <c r="G92" i="29"/>
  <c r="AL31" i="1" s="1"/>
  <c r="G89" i="29"/>
  <c r="AW32" i="44" s="1"/>
  <c r="G88" i="29"/>
  <c r="AG31" i="1" s="1"/>
  <c r="G85" i="29"/>
  <c r="AA31" i="1" s="1"/>
  <c r="G84" i="29"/>
  <c r="G83" i="29"/>
  <c r="G78" i="29"/>
  <c r="AS32" i="44" s="1"/>
  <c r="G75" i="29"/>
  <c r="AP32" i="44" s="1"/>
  <c r="BI29" i="49" s="1"/>
  <c r="G74" i="29"/>
  <c r="AO32" i="44" s="1"/>
  <c r="G70" i="29"/>
  <c r="AE15" i="45" s="1"/>
  <c r="AT29" i="49" s="1"/>
  <c r="G68" i="29"/>
  <c r="AE13" i="45" s="1"/>
  <c r="G66" i="29"/>
  <c r="G63" i="29"/>
  <c r="AE8" i="45" s="1"/>
  <c r="AN29" i="49" s="1"/>
  <c r="G57" i="29"/>
  <c r="BG31" i="1" s="1"/>
  <c r="G56" i="29"/>
  <c r="BF31" i="1" s="1"/>
  <c r="G53" i="29"/>
  <c r="BC31" i="1" s="1"/>
  <c r="G52" i="29"/>
  <c r="G51" i="29"/>
  <c r="G49" i="29"/>
  <c r="AZ31" i="1" s="1"/>
  <c r="G46" i="29"/>
  <c r="G44" i="29"/>
  <c r="G43" i="29"/>
  <c r="G42" i="29"/>
  <c r="AV31" i="1" s="1"/>
  <c r="G39" i="29"/>
  <c r="I32" i="44" s="1"/>
  <c r="H29" i="49" s="1"/>
  <c r="G38" i="29"/>
  <c r="G100" i="29" s="1"/>
  <c r="M32" i="44"/>
  <c r="L29" i="49" s="1"/>
  <c r="AP31" i="1"/>
  <c r="AE5" i="45"/>
  <c r="K9" i="29"/>
  <c r="M8" i="29"/>
  <c r="G185" i="28"/>
  <c r="G179" i="28"/>
  <c r="AD22" i="45" s="1"/>
  <c r="AY28" i="49" s="1"/>
  <c r="G175" i="28"/>
  <c r="AD19" i="45" s="1"/>
  <c r="AW28" i="49" s="1"/>
  <c r="G174" i="28"/>
  <c r="AD18" i="45" s="1"/>
  <c r="AV28" i="49" s="1"/>
  <c r="G165" i="28"/>
  <c r="G163" i="28"/>
  <c r="G162" i="28"/>
  <c r="AB31" i="44" s="1"/>
  <c r="AA28" i="49" s="1"/>
  <c r="G141" i="28"/>
  <c r="Q31" i="44" s="1"/>
  <c r="G139" i="28"/>
  <c r="O31" i="44" s="1"/>
  <c r="G133" i="28"/>
  <c r="AM31" i="44" s="1"/>
  <c r="AL28" i="49" s="1"/>
  <c r="G132" i="28"/>
  <c r="G129" i="28"/>
  <c r="G121" i="28"/>
  <c r="AJ31" i="44" s="1"/>
  <c r="AI28" i="49" s="1"/>
  <c r="G118" i="28"/>
  <c r="AG31" i="44" s="1"/>
  <c r="AF28" i="49" s="1"/>
  <c r="G114" i="28"/>
  <c r="G113" i="28"/>
  <c r="G91" i="28"/>
  <c r="G89" i="28"/>
  <c r="G88" i="28"/>
  <c r="AG30" i="1" s="1"/>
  <c r="G87" i="28"/>
  <c r="AC30" i="1" s="1"/>
  <c r="G86" i="28"/>
  <c r="AB30" i="1" s="1"/>
  <c r="G85" i="28"/>
  <c r="AA30" i="1" s="1"/>
  <c r="G82" i="28"/>
  <c r="G78" i="28"/>
  <c r="AS31" i="44" s="1"/>
  <c r="G77" i="28"/>
  <c r="AR31" i="44" s="1"/>
  <c r="BK28" i="49" s="1"/>
  <c r="G76" i="28"/>
  <c r="AQ31" i="44" s="1"/>
  <c r="G75" i="28"/>
  <c r="AP31" i="44" s="1"/>
  <c r="G70" i="28"/>
  <c r="G69" i="28"/>
  <c r="AD14" i="45" s="1"/>
  <c r="G68" i="28"/>
  <c r="AD13" i="45" s="1"/>
  <c r="BC28" i="49" s="1"/>
  <c r="G66" i="28"/>
  <c r="AD10" i="45" s="1"/>
  <c r="AP28" i="49" s="1"/>
  <c r="G63" i="28"/>
  <c r="AD8" i="45" s="1"/>
  <c r="AN28" i="49" s="1"/>
  <c r="G58" i="28"/>
  <c r="Y31" i="44" s="1"/>
  <c r="X28" i="49" s="1"/>
  <c r="G57" i="28"/>
  <c r="G53" i="28"/>
  <c r="G52" i="28"/>
  <c r="BB30" i="1" s="1"/>
  <c r="G50" i="28"/>
  <c r="G49" i="28"/>
  <c r="G46" i="28"/>
  <c r="G45" i="28"/>
  <c r="G44" i="28"/>
  <c r="G43" i="28"/>
  <c r="G41" i="28"/>
  <c r="G39" i="28"/>
  <c r="I31" i="44" s="1"/>
  <c r="H28" i="49" s="1"/>
  <c r="G35" i="28"/>
  <c r="AP30" i="1" s="1"/>
  <c r="G18" i="28"/>
  <c r="E31" i="28" s="1"/>
  <c r="G31" i="28" s="1"/>
  <c r="K9" i="28"/>
  <c r="M8" i="28"/>
  <c r="G185" i="27"/>
  <c r="AC23" i="45"/>
  <c r="AZ27" i="49" s="1"/>
  <c r="G178" i="27"/>
  <c r="AC21" i="45" s="1"/>
  <c r="AC19" i="45"/>
  <c r="G174" i="27"/>
  <c r="AC18" i="45" s="1"/>
  <c r="AV27" i="49" s="1"/>
  <c r="G173" i="27"/>
  <c r="AC17" i="45" s="1"/>
  <c r="AU27" i="49" s="1"/>
  <c r="G165" i="27"/>
  <c r="G162" i="27"/>
  <c r="AB30" i="44" s="1"/>
  <c r="AA27" i="49" s="1"/>
  <c r="G161" i="27"/>
  <c r="AA30" i="44" s="1"/>
  <c r="G142" i="27"/>
  <c r="R30" i="44" s="1"/>
  <c r="G139" i="27"/>
  <c r="O30" i="44" s="1"/>
  <c r="N27" i="49" s="1"/>
  <c r="G132" i="27"/>
  <c r="G128" i="27"/>
  <c r="G121" i="27"/>
  <c r="AJ30" i="44" s="1"/>
  <c r="AI27" i="49" s="1"/>
  <c r="G119" i="27"/>
  <c r="AH30" i="44" s="1"/>
  <c r="AG27" i="49" s="1"/>
  <c r="G117" i="27"/>
  <c r="AF30" i="44" s="1"/>
  <c r="G116" i="27"/>
  <c r="AE30" i="44" s="1"/>
  <c r="AD27" i="49" s="1"/>
  <c r="G115" i="27"/>
  <c r="G113" i="27"/>
  <c r="G112" i="27"/>
  <c r="G92" i="27"/>
  <c r="AL29" i="1" s="1"/>
  <c r="G91" i="27"/>
  <c r="G90" i="27"/>
  <c r="AI29" i="1" s="1"/>
  <c r="G89" i="27"/>
  <c r="AW30" i="44" s="1"/>
  <c r="G86" i="27"/>
  <c r="AB29" i="1" s="1"/>
  <c r="G84" i="27"/>
  <c r="G82" i="27"/>
  <c r="G78" i="27"/>
  <c r="AS30" i="44" s="1"/>
  <c r="G76" i="27"/>
  <c r="AQ30" i="44" s="1"/>
  <c r="BJ27" i="49" s="1"/>
  <c r="G75" i="27"/>
  <c r="AP30" i="44" s="1"/>
  <c r="BI27" i="49" s="1"/>
  <c r="G74" i="27"/>
  <c r="AO30" i="44" s="1"/>
  <c r="G69" i="27"/>
  <c r="AC14" i="45" s="1"/>
  <c r="BA27" i="49" s="1"/>
  <c r="G67" i="27"/>
  <c r="AC11" i="45" s="1"/>
  <c r="G63" i="27"/>
  <c r="AC8" i="45" s="1"/>
  <c r="AN27" i="49" s="1"/>
  <c r="G58" i="27"/>
  <c r="Y30" i="44" s="1"/>
  <c r="X27" i="49" s="1"/>
  <c r="G55" i="27"/>
  <c r="BE29" i="1" s="1"/>
  <c r="G54" i="27"/>
  <c r="G51" i="27"/>
  <c r="BA29" i="1" s="1"/>
  <c r="G50" i="27"/>
  <c r="L30" i="44" s="1"/>
  <c r="K27" i="49" s="1"/>
  <c r="G46" i="27"/>
  <c r="G45" i="27"/>
  <c r="G44" i="27"/>
  <c r="G43" i="27"/>
  <c r="G42" i="27"/>
  <c r="AV29" i="1" s="1"/>
  <c r="G41" i="27"/>
  <c r="AU29" i="1" s="1"/>
  <c r="G40" i="27"/>
  <c r="AT29" i="1" s="1"/>
  <c r="G37" i="27"/>
  <c r="G35" i="27"/>
  <c r="E29" i="27"/>
  <c r="G29" i="27" s="1"/>
  <c r="G22" i="27"/>
  <c r="G18" i="27"/>
  <c r="E31" i="27" s="1"/>
  <c r="G31" i="27" s="1"/>
  <c r="K9" i="27"/>
  <c r="M8" i="27"/>
  <c r="G180" i="40"/>
  <c r="G179" i="40"/>
  <c r="AB22" i="45" s="1"/>
  <c r="G174" i="40"/>
  <c r="AB18" i="45" s="1"/>
  <c r="AV26" i="49" s="1"/>
  <c r="G173" i="40"/>
  <c r="AB17" i="45" s="1"/>
  <c r="G165" i="40"/>
  <c r="G162" i="40"/>
  <c r="AB29" i="44" s="1"/>
  <c r="AA26" i="49" s="1"/>
  <c r="G141" i="40"/>
  <c r="Q29" i="44" s="1"/>
  <c r="P26" i="49" s="1"/>
  <c r="G138" i="40"/>
  <c r="N29" i="44" s="1"/>
  <c r="M26" i="49" s="1"/>
  <c r="G131" i="40"/>
  <c r="G123" i="40"/>
  <c r="AL29" i="44" s="1"/>
  <c r="AK26" i="49" s="1"/>
  <c r="G122" i="40"/>
  <c r="AK29" i="44" s="1"/>
  <c r="G121" i="40"/>
  <c r="AJ29" i="44" s="1"/>
  <c r="AI26" i="49" s="1"/>
  <c r="G120" i="40"/>
  <c r="AI29" i="44" s="1"/>
  <c r="AH26" i="49" s="1"/>
  <c r="G119" i="40"/>
  <c r="AH29" i="44" s="1"/>
  <c r="AG26" i="49" s="1"/>
  <c r="G115" i="40"/>
  <c r="G114" i="40"/>
  <c r="G113" i="40"/>
  <c r="G92" i="40"/>
  <c r="AL28" i="1" s="1"/>
  <c r="G91" i="40"/>
  <c r="AK28" i="1" s="1"/>
  <c r="G88" i="40"/>
  <c r="AV29" i="44" s="1"/>
  <c r="G87" i="40"/>
  <c r="AC28" i="1" s="1"/>
  <c r="G83" i="40"/>
  <c r="G78" i="40"/>
  <c r="AS29" i="44" s="1"/>
  <c r="G75" i="40"/>
  <c r="AP29" i="44" s="1"/>
  <c r="BI26" i="49" s="1"/>
  <c r="G74" i="40"/>
  <c r="AO29" i="44" s="1"/>
  <c r="BH26" i="49" s="1"/>
  <c r="G70" i="40"/>
  <c r="G67" i="40"/>
  <c r="AB11" i="45" s="1"/>
  <c r="G66" i="40"/>
  <c r="W28" i="1" s="1"/>
  <c r="G62" i="40"/>
  <c r="AB7" i="45" s="1"/>
  <c r="AM26" i="49" s="1"/>
  <c r="G58" i="40"/>
  <c r="G55" i="40"/>
  <c r="BE28" i="1" s="1"/>
  <c r="G53" i="40"/>
  <c r="G52" i="40"/>
  <c r="BB28" i="1" s="1"/>
  <c r="G51" i="40"/>
  <c r="BA28" i="1" s="1"/>
  <c r="G50" i="40"/>
  <c r="BH28" i="1" s="1"/>
  <c r="G45" i="40"/>
  <c r="G44" i="40"/>
  <c r="G43" i="40"/>
  <c r="G42" i="40"/>
  <c r="G41" i="40"/>
  <c r="AU28" i="1" s="1"/>
  <c r="G40" i="40"/>
  <c r="AT28" i="1" s="1"/>
  <c r="G39" i="40"/>
  <c r="G36" i="40"/>
  <c r="AY28" i="1" s="1"/>
  <c r="E29" i="40"/>
  <c r="G29" i="40" s="1"/>
  <c r="G22" i="40"/>
  <c r="G18" i="40"/>
  <c r="E31" i="40" s="1"/>
  <c r="G31" i="40" s="1"/>
  <c r="K9" i="40"/>
  <c r="M8" i="40"/>
  <c r="G185" i="25"/>
  <c r="G183" i="25"/>
  <c r="G179" i="25"/>
  <c r="AA22" i="45" s="1"/>
  <c r="AY25" i="49" s="1"/>
  <c r="G175" i="25"/>
  <c r="AA19" i="45" s="1"/>
  <c r="AW25" i="49" s="1"/>
  <c r="G174" i="25"/>
  <c r="AA18" i="45" s="1"/>
  <c r="AV25" i="49" s="1"/>
  <c r="G163" i="25"/>
  <c r="G162" i="25"/>
  <c r="AB28" i="44" s="1"/>
  <c r="AA25" i="49" s="1"/>
  <c r="G142" i="25"/>
  <c r="R28" i="44" s="1"/>
  <c r="Q25" i="49" s="1"/>
  <c r="G141" i="25"/>
  <c r="Q28" i="44" s="1"/>
  <c r="P25" i="49" s="1"/>
  <c r="G139" i="25"/>
  <c r="O28" i="44" s="1"/>
  <c r="N25" i="49" s="1"/>
  <c r="G133" i="25"/>
  <c r="AM28" i="44" s="1"/>
  <c r="AL25" i="49" s="1"/>
  <c r="G132" i="25"/>
  <c r="G131" i="25"/>
  <c r="G128" i="25"/>
  <c r="AL28" i="44"/>
  <c r="AK25" i="49" s="1"/>
  <c r="G121" i="25"/>
  <c r="AJ28" i="44" s="1"/>
  <c r="AI25" i="49" s="1"/>
  <c r="G119" i="25"/>
  <c r="AH28" i="44" s="1"/>
  <c r="AG25" i="49" s="1"/>
  <c r="G117" i="25"/>
  <c r="AF28" i="44" s="1"/>
  <c r="AE25" i="49" s="1"/>
  <c r="G116" i="25"/>
  <c r="AE28" i="44" s="1"/>
  <c r="AD25" i="49" s="1"/>
  <c r="G92" i="25"/>
  <c r="AL27" i="1" s="1"/>
  <c r="G90" i="25"/>
  <c r="I90" i="25" s="1"/>
  <c r="G89" i="25"/>
  <c r="G88" i="25"/>
  <c r="AC28" i="44" s="1"/>
  <c r="AB25" i="49" s="1"/>
  <c r="G86" i="25"/>
  <c r="AB27" i="1" s="1"/>
  <c r="G84" i="25"/>
  <c r="G83" i="25"/>
  <c r="G77" i="25"/>
  <c r="AR28" i="44" s="1"/>
  <c r="BK25" i="49" s="1"/>
  <c r="G76" i="25"/>
  <c r="AQ28" i="44" s="1"/>
  <c r="BJ25" i="49" s="1"/>
  <c r="G75" i="25"/>
  <c r="AP28" i="44" s="1"/>
  <c r="G70" i="25"/>
  <c r="AA15" i="45" s="1"/>
  <c r="G65" i="25"/>
  <c r="V27" i="1" s="1"/>
  <c r="G62" i="25"/>
  <c r="AA7" i="45" s="1"/>
  <c r="G58" i="25"/>
  <c r="G54" i="25"/>
  <c r="BD27" i="1" s="1"/>
  <c r="G53" i="25"/>
  <c r="G51" i="25"/>
  <c r="G28" i="44" s="1"/>
  <c r="F25" i="49" s="1"/>
  <c r="G50" i="25"/>
  <c r="L28" i="44" s="1"/>
  <c r="K25" i="49" s="1"/>
  <c r="G46" i="25"/>
  <c r="G44" i="25"/>
  <c r="G43" i="25"/>
  <c r="G42" i="25"/>
  <c r="AV27" i="1" s="1"/>
  <c r="G39" i="25"/>
  <c r="G98" i="25" s="1"/>
  <c r="G37" i="25"/>
  <c r="G35" i="25"/>
  <c r="E29" i="25"/>
  <c r="G29" i="25" s="1"/>
  <c r="G18" i="25"/>
  <c r="E31" i="25" s="1"/>
  <c r="G31" i="25" s="1"/>
  <c r="K9" i="25"/>
  <c r="M8" i="25"/>
  <c r="G184" i="24"/>
  <c r="G179" i="24"/>
  <c r="Z22" i="45" s="1"/>
  <c r="AY24" i="49" s="1"/>
  <c r="G175" i="24"/>
  <c r="Z19" i="45" s="1"/>
  <c r="AW24" i="49" s="1"/>
  <c r="G174" i="24"/>
  <c r="Z18" i="45" s="1"/>
  <c r="AV24" i="49" s="1"/>
  <c r="G164" i="24"/>
  <c r="G163" i="24"/>
  <c r="G162" i="24"/>
  <c r="AB27" i="44" s="1"/>
  <c r="AA24" i="49" s="1"/>
  <c r="G140" i="24"/>
  <c r="P27" i="44" s="1"/>
  <c r="O24" i="49" s="1"/>
  <c r="G139" i="24"/>
  <c r="O27" i="44" s="1"/>
  <c r="N24" i="49" s="1"/>
  <c r="G133" i="24"/>
  <c r="G132" i="24"/>
  <c r="G131" i="24"/>
  <c r="G129" i="24"/>
  <c r="G128" i="24"/>
  <c r="G123" i="24"/>
  <c r="AL27" i="44" s="1"/>
  <c r="G121" i="24"/>
  <c r="AJ27" i="44" s="1"/>
  <c r="AI24" i="49" s="1"/>
  <c r="G120" i="24"/>
  <c r="AI27" i="44" s="1"/>
  <c r="AH24" i="49" s="1"/>
  <c r="G119" i="24"/>
  <c r="AH27" i="44" s="1"/>
  <c r="AG24" i="49" s="1"/>
  <c r="G116" i="24"/>
  <c r="AE27" i="44" s="1"/>
  <c r="AD24" i="49" s="1"/>
  <c r="G115" i="24"/>
  <c r="G112" i="24"/>
  <c r="G92" i="24"/>
  <c r="AL26" i="1" s="1"/>
  <c r="G90" i="24"/>
  <c r="I90" i="24" s="1"/>
  <c r="G89" i="24"/>
  <c r="G88" i="24"/>
  <c r="AG26" i="1" s="1"/>
  <c r="G86" i="24"/>
  <c r="AB26" i="1" s="1"/>
  <c r="G85" i="24"/>
  <c r="AA26" i="1" s="1"/>
  <c r="G78" i="24"/>
  <c r="AS27" i="44" s="1"/>
  <c r="BL24" i="49" s="1"/>
  <c r="G77" i="24"/>
  <c r="AR27" i="44" s="1"/>
  <c r="BK24" i="49" s="1"/>
  <c r="G75" i="24"/>
  <c r="AP27" i="44" s="1"/>
  <c r="G70" i="24"/>
  <c r="Z15" i="45" s="1"/>
  <c r="AT24" i="49" s="1"/>
  <c r="G68" i="24"/>
  <c r="G66" i="24"/>
  <c r="W26" i="1" s="1"/>
  <c r="G62" i="24"/>
  <c r="Z7" i="45" s="1"/>
  <c r="AM24" i="49" s="1"/>
  <c r="G58" i="24"/>
  <c r="Y27" i="44" s="1"/>
  <c r="X24" i="49" s="1"/>
  <c r="G57" i="24"/>
  <c r="BG26" i="1" s="1"/>
  <c r="G55" i="24"/>
  <c r="G54" i="24"/>
  <c r="G53" i="24"/>
  <c r="BC26" i="1" s="1"/>
  <c r="G51" i="24"/>
  <c r="G50" i="24"/>
  <c r="G49" i="24"/>
  <c r="G46" i="24"/>
  <c r="G45" i="24"/>
  <c r="G44" i="24"/>
  <c r="G43" i="24"/>
  <c r="G42" i="24"/>
  <c r="AV26" i="1" s="1"/>
  <c r="G39" i="24"/>
  <c r="G38" i="24"/>
  <c r="G36" i="24"/>
  <c r="AY26" i="1" s="1"/>
  <c r="G35" i="24"/>
  <c r="E29" i="24"/>
  <c r="G29" i="24" s="1"/>
  <c r="G22" i="24"/>
  <c r="G18" i="24"/>
  <c r="E31" i="24" s="1"/>
  <c r="G31" i="24" s="1"/>
  <c r="K9" i="24"/>
  <c r="M8" i="24"/>
  <c r="G184" i="23"/>
  <c r="G179" i="23"/>
  <c r="Y22" i="45" s="1"/>
  <c r="G175" i="23"/>
  <c r="Y19" i="45" s="1"/>
  <c r="AW23" i="49" s="1"/>
  <c r="G173" i="23"/>
  <c r="Y17" i="45" s="1"/>
  <c r="G165" i="23"/>
  <c r="G163" i="23"/>
  <c r="G142" i="23"/>
  <c r="R26" i="44" s="1"/>
  <c r="Q23" i="49" s="1"/>
  <c r="G140" i="23"/>
  <c r="P26" i="44" s="1"/>
  <c r="G139" i="23"/>
  <c r="O26" i="44" s="1"/>
  <c r="N23" i="49" s="1"/>
  <c r="G131" i="23"/>
  <c r="G128" i="23"/>
  <c r="G123" i="23"/>
  <c r="AL26" i="44" s="1"/>
  <c r="AK23" i="49" s="1"/>
  <c r="G122" i="23"/>
  <c r="AK26" i="44" s="1"/>
  <c r="G121" i="23"/>
  <c r="AJ26" i="44" s="1"/>
  <c r="G120" i="23"/>
  <c r="AI26" i="44" s="1"/>
  <c r="AH23" i="49" s="1"/>
  <c r="G117" i="23"/>
  <c r="AF26" i="44" s="1"/>
  <c r="G116" i="23"/>
  <c r="G115" i="23"/>
  <c r="G114" i="23"/>
  <c r="G113" i="23"/>
  <c r="G92" i="23"/>
  <c r="AL25" i="1" s="1"/>
  <c r="G90" i="23"/>
  <c r="I90" i="23" s="1"/>
  <c r="G89" i="23"/>
  <c r="AH25" i="1" s="1"/>
  <c r="G88" i="23"/>
  <c r="G86" i="23"/>
  <c r="AB25" i="1" s="1"/>
  <c r="G85" i="23"/>
  <c r="AA25" i="1" s="1"/>
  <c r="G83" i="23"/>
  <c r="G82" i="23"/>
  <c r="G78" i="23"/>
  <c r="AS26" i="44" s="1"/>
  <c r="G76" i="23"/>
  <c r="G75" i="23"/>
  <c r="G70" i="23"/>
  <c r="Y15" i="45" s="1"/>
  <c r="G69" i="23"/>
  <c r="Y14" i="45" s="1"/>
  <c r="G68" i="23"/>
  <c r="Y13" i="45" s="1"/>
  <c r="G63" i="23"/>
  <c r="Y8" i="45" s="1"/>
  <c r="AN23" i="49" s="1"/>
  <c r="G58" i="23"/>
  <c r="Y26" i="44" s="1"/>
  <c r="X23" i="49" s="1"/>
  <c r="G57" i="23"/>
  <c r="G55" i="23"/>
  <c r="G54" i="23"/>
  <c r="BD25" i="1" s="1"/>
  <c r="G53" i="23"/>
  <c r="G52" i="23"/>
  <c r="H26" i="44" s="1"/>
  <c r="G23" i="49" s="1"/>
  <c r="G51" i="23"/>
  <c r="G50" i="23"/>
  <c r="L26" i="44" s="1"/>
  <c r="K23" i="49" s="1"/>
  <c r="G49" i="23"/>
  <c r="AZ25" i="1" s="1"/>
  <c r="G46" i="23"/>
  <c r="G45" i="23"/>
  <c r="G44" i="23"/>
  <c r="AX25" i="1" s="1"/>
  <c r="G43" i="23"/>
  <c r="G42" i="23"/>
  <c r="G40" i="23"/>
  <c r="G37" i="23"/>
  <c r="G36" i="23"/>
  <c r="E29" i="23"/>
  <c r="G29" i="23" s="1"/>
  <c r="G18" i="23"/>
  <c r="E31" i="23" s="1"/>
  <c r="G31" i="23" s="1"/>
  <c r="K9" i="23"/>
  <c r="M8" i="23"/>
  <c r="G184" i="22"/>
  <c r="G179" i="22"/>
  <c r="X22" i="45" s="1"/>
  <c r="G140" i="22"/>
  <c r="P25" i="44" s="1"/>
  <c r="G139" i="22"/>
  <c r="O25" i="44" s="1"/>
  <c r="N22" i="49" s="1"/>
  <c r="G138" i="22"/>
  <c r="G132" i="22"/>
  <c r="G131" i="22"/>
  <c r="G130" i="22"/>
  <c r="G129" i="22"/>
  <c r="G128" i="22"/>
  <c r="G123" i="22"/>
  <c r="AL25" i="44" s="1"/>
  <c r="AK22" i="49" s="1"/>
  <c r="G122" i="22"/>
  <c r="AK25" i="44" s="1"/>
  <c r="AJ22" i="49" s="1"/>
  <c r="G121" i="22"/>
  <c r="AJ25" i="44" s="1"/>
  <c r="AI22" i="49" s="1"/>
  <c r="G118" i="22"/>
  <c r="AG25" i="44" s="1"/>
  <c r="G115" i="22"/>
  <c r="G114" i="22"/>
  <c r="G89" i="22"/>
  <c r="AH24" i="1" s="1"/>
  <c r="G87" i="22"/>
  <c r="AC24" i="1" s="1"/>
  <c r="G84" i="22"/>
  <c r="Z24" i="1" s="1"/>
  <c r="G76" i="22"/>
  <c r="AQ25" i="44" s="1"/>
  <c r="BJ22" i="49" s="1"/>
  <c r="G75" i="22"/>
  <c r="AP25" i="44" s="1"/>
  <c r="G68" i="22"/>
  <c r="X13" i="45" s="1"/>
  <c r="G66" i="22"/>
  <c r="G65" i="22"/>
  <c r="V24" i="1" s="1"/>
  <c r="G57" i="22"/>
  <c r="G56" i="22"/>
  <c r="BF24" i="1" s="1"/>
  <c r="G55" i="22"/>
  <c r="G52" i="22"/>
  <c r="G51" i="22"/>
  <c r="G50" i="22"/>
  <c r="L25" i="44" s="1"/>
  <c r="K22" i="49" s="1"/>
  <c r="G46" i="22"/>
  <c r="G45" i="22"/>
  <c r="G42" i="22"/>
  <c r="AV24" i="1" s="1"/>
  <c r="G37" i="22"/>
  <c r="G36" i="22"/>
  <c r="M25" i="44" s="1"/>
  <c r="L22" i="49" s="1"/>
  <c r="G29" i="22"/>
  <c r="G18" i="22"/>
  <c r="E31" i="22" s="1"/>
  <c r="G31" i="22" s="1"/>
  <c r="K9" i="22"/>
  <c r="M8" i="22"/>
  <c r="W22" i="45"/>
  <c r="AY21" i="49" s="1"/>
  <c r="W21" i="45"/>
  <c r="AX21" i="49" s="1"/>
  <c r="W19" i="45"/>
  <c r="G173" i="21"/>
  <c r="W17" i="45" s="1"/>
  <c r="AU21" i="49" s="1"/>
  <c r="G165" i="21"/>
  <c r="G164" i="21"/>
  <c r="G163" i="21"/>
  <c r="G161" i="21"/>
  <c r="AA24" i="44" s="1"/>
  <c r="Z21" i="49" s="1"/>
  <c r="G142" i="21"/>
  <c r="R24" i="44" s="1"/>
  <c r="Q21" i="49" s="1"/>
  <c r="G139" i="21"/>
  <c r="G131" i="21"/>
  <c r="G130" i="21"/>
  <c r="G123" i="21"/>
  <c r="AL24" i="44" s="1"/>
  <c r="AK21" i="49" s="1"/>
  <c r="G121" i="21"/>
  <c r="AJ24" i="44" s="1"/>
  <c r="G120" i="21"/>
  <c r="AI24" i="44" s="1"/>
  <c r="G119" i="21"/>
  <c r="AH24" i="44" s="1"/>
  <c r="AG21" i="49" s="1"/>
  <c r="G117" i="21"/>
  <c r="AF24" i="44" s="1"/>
  <c r="AE21" i="49" s="1"/>
  <c r="G116" i="21"/>
  <c r="G115" i="21"/>
  <c r="G113" i="21"/>
  <c r="G90" i="21"/>
  <c r="I90" i="21" s="1"/>
  <c r="G89" i="21"/>
  <c r="AH23" i="1" s="1"/>
  <c r="G86" i="21"/>
  <c r="AB23" i="1" s="1"/>
  <c r="G85" i="21"/>
  <c r="AA23" i="1" s="1"/>
  <c r="G84" i="21"/>
  <c r="Z23" i="1" s="1"/>
  <c r="G83" i="21"/>
  <c r="G82" i="21"/>
  <c r="G78" i="21"/>
  <c r="AS24" i="44" s="1"/>
  <c r="G76" i="21"/>
  <c r="AQ24" i="44" s="1"/>
  <c r="BJ21" i="49" s="1"/>
  <c r="G75" i="21"/>
  <c r="AP24" i="44" s="1"/>
  <c r="G74" i="21"/>
  <c r="AO24" i="44" s="1"/>
  <c r="G70" i="21"/>
  <c r="W15" i="45" s="1"/>
  <c r="BB21" i="49" s="1"/>
  <c r="G69" i="21"/>
  <c r="W14" i="45" s="1"/>
  <c r="G66" i="21"/>
  <c r="G65" i="21"/>
  <c r="G62" i="21"/>
  <c r="G58" i="21"/>
  <c r="Y24" i="44" s="1"/>
  <c r="X21" i="49" s="1"/>
  <c r="G57" i="21"/>
  <c r="G56" i="21"/>
  <c r="BF23" i="1" s="1"/>
  <c r="G53" i="21"/>
  <c r="G52" i="21"/>
  <c r="G51" i="21"/>
  <c r="G46" i="21"/>
  <c r="G45" i="21"/>
  <c r="G44" i="21"/>
  <c r="G43" i="21"/>
  <c r="G42" i="21"/>
  <c r="AV23" i="1" s="1"/>
  <c r="G40" i="21"/>
  <c r="AT23" i="1" s="1"/>
  <c r="G39" i="21"/>
  <c r="G38" i="21"/>
  <c r="G37" i="21"/>
  <c r="AQ23" i="1" s="1"/>
  <c r="G36" i="21"/>
  <c r="E29" i="21"/>
  <c r="G29" i="21" s="1"/>
  <c r="G22" i="21"/>
  <c r="G18" i="21"/>
  <c r="E31" i="21" s="1"/>
  <c r="G31" i="21" s="1"/>
  <c r="K9" i="21"/>
  <c r="M8" i="21"/>
  <c r="G185" i="20"/>
  <c r="G183" i="20"/>
  <c r="G175" i="20"/>
  <c r="V19" i="45" s="1"/>
  <c r="AW20" i="49" s="1"/>
  <c r="G174" i="20"/>
  <c r="V18" i="45" s="1"/>
  <c r="AV20" i="49" s="1"/>
  <c r="G163" i="20"/>
  <c r="G161" i="20"/>
  <c r="AA23" i="44" s="1"/>
  <c r="Z20" i="49" s="1"/>
  <c r="G141" i="20"/>
  <c r="Q23" i="44" s="1"/>
  <c r="P20" i="49" s="1"/>
  <c r="G133" i="20"/>
  <c r="G130" i="20"/>
  <c r="G129" i="20"/>
  <c r="G122" i="20"/>
  <c r="AK23" i="44" s="1"/>
  <c r="AJ20" i="49" s="1"/>
  <c r="G120" i="20"/>
  <c r="AI23" i="44" s="1"/>
  <c r="AH20" i="49" s="1"/>
  <c r="G119" i="20"/>
  <c r="AH23" i="44" s="1"/>
  <c r="AG20" i="49" s="1"/>
  <c r="G117" i="20"/>
  <c r="G115" i="20"/>
  <c r="G112" i="20"/>
  <c r="G92" i="20"/>
  <c r="AL22" i="1" s="1"/>
  <c r="G91" i="20"/>
  <c r="G84" i="20"/>
  <c r="Z22" i="1" s="1"/>
  <c r="G83" i="20"/>
  <c r="G82" i="20"/>
  <c r="G78" i="20"/>
  <c r="AS23" i="44" s="1"/>
  <c r="G75" i="20"/>
  <c r="AP23" i="44" s="1"/>
  <c r="G74" i="20"/>
  <c r="G70" i="20"/>
  <c r="V15" i="45" s="1"/>
  <c r="BB20" i="49" s="1"/>
  <c r="G69" i="20"/>
  <c r="V14" i="45" s="1"/>
  <c r="AS20" i="49" s="1"/>
  <c r="G68" i="20"/>
  <c r="V13" i="45" s="1"/>
  <c r="BC20" i="49" s="1"/>
  <c r="G65" i="20"/>
  <c r="G63" i="20"/>
  <c r="V8" i="45" s="1"/>
  <c r="AN20" i="49" s="1"/>
  <c r="G62" i="20"/>
  <c r="V7" i="45" s="1"/>
  <c r="AM20" i="49" s="1"/>
  <c r="G57" i="20"/>
  <c r="BG22" i="1" s="1"/>
  <c r="G56" i="20"/>
  <c r="G55" i="20"/>
  <c r="G54" i="20"/>
  <c r="BD22" i="1" s="1"/>
  <c r="G51" i="20"/>
  <c r="G50" i="20"/>
  <c r="L23" i="44" s="1"/>
  <c r="K20" i="49" s="1"/>
  <c r="G46" i="20"/>
  <c r="G45" i="20"/>
  <c r="G44" i="20"/>
  <c r="G42" i="20"/>
  <c r="AV22" i="1" s="1"/>
  <c r="G41" i="20"/>
  <c r="G37" i="20"/>
  <c r="G35" i="20"/>
  <c r="AP22" i="1" s="1"/>
  <c r="E29" i="20"/>
  <c r="G29" i="20" s="1"/>
  <c r="G22" i="20"/>
  <c r="G18" i="20"/>
  <c r="K9" i="20"/>
  <c r="M8" i="20"/>
  <c r="G185" i="19"/>
  <c r="G184" i="19"/>
  <c r="G180" i="19"/>
  <c r="U23" i="45" s="1"/>
  <c r="AZ19" i="49" s="1"/>
  <c r="G173" i="19"/>
  <c r="U17" i="45" s="1"/>
  <c r="AU19" i="49" s="1"/>
  <c r="G165" i="19"/>
  <c r="G161" i="19"/>
  <c r="AA22" i="44" s="1"/>
  <c r="Z19" i="49" s="1"/>
  <c r="G142" i="19"/>
  <c r="R22" i="44" s="1"/>
  <c r="Q19" i="49" s="1"/>
  <c r="G132" i="19"/>
  <c r="G131" i="19"/>
  <c r="G121" i="19"/>
  <c r="AJ22" i="44" s="1"/>
  <c r="AI19" i="49" s="1"/>
  <c r="G120" i="19"/>
  <c r="AI22" i="44" s="1"/>
  <c r="G118" i="19"/>
  <c r="AG22" i="44" s="1"/>
  <c r="AF19" i="49" s="1"/>
  <c r="G117" i="19"/>
  <c r="AF22" i="44" s="1"/>
  <c r="AE19" i="49" s="1"/>
  <c r="G116" i="19"/>
  <c r="AE22" i="44" s="1"/>
  <c r="AD19" i="49" s="1"/>
  <c r="G115" i="19"/>
  <c r="G113" i="19"/>
  <c r="G92" i="19"/>
  <c r="AL21" i="1" s="1"/>
  <c r="G91" i="19"/>
  <c r="G90" i="19"/>
  <c r="I90" i="19" s="1"/>
  <c r="G87" i="19"/>
  <c r="AC21" i="1" s="1"/>
  <c r="G85" i="19"/>
  <c r="G83" i="19"/>
  <c r="G78" i="19"/>
  <c r="AS22" i="44" s="1"/>
  <c r="G70" i="19"/>
  <c r="U15" i="45" s="1"/>
  <c r="G68" i="19"/>
  <c r="U13" i="45" s="1"/>
  <c r="BC19" i="49" s="1"/>
  <c r="G66" i="19"/>
  <c r="U10" i="45" s="1"/>
  <c r="AP19" i="49" s="1"/>
  <c r="G65" i="19"/>
  <c r="U9" i="45" s="1"/>
  <c r="AO19" i="49" s="1"/>
  <c r="G63" i="19"/>
  <c r="U8" i="45" s="1"/>
  <c r="G58" i="19"/>
  <c r="Y22" i="44" s="1"/>
  <c r="X19" i="49" s="1"/>
  <c r="G57" i="19"/>
  <c r="BG21" i="1" s="1"/>
  <c r="G55" i="19"/>
  <c r="BE21" i="1" s="1"/>
  <c r="G54" i="19"/>
  <c r="BD21" i="1" s="1"/>
  <c r="G53" i="19"/>
  <c r="BC21" i="1" s="1"/>
  <c r="G50" i="19"/>
  <c r="L22" i="44" s="1"/>
  <c r="K19" i="49" s="1"/>
  <c r="G46" i="19"/>
  <c r="G45" i="19"/>
  <c r="G44" i="19"/>
  <c r="G43" i="19"/>
  <c r="G41" i="19"/>
  <c r="G40" i="19"/>
  <c r="AT21" i="1" s="1"/>
  <c r="G39" i="19"/>
  <c r="G37" i="19"/>
  <c r="G36" i="19"/>
  <c r="AY21" i="1" s="1"/>
  <c r="G18" i="19"/>
  <c r="E31" i="19" s="1"/>
  <c r="G31" i="19" s="1"/>
  <c r="K9" i="19"/>
  <c r="M8" i="19"/>
  <c r="G184" i="18"/>
  <c r="G179" i="18"/>
  <c r="T22" i="45" s="1"/>
  <c r="AY18" i="49" s="1"/>
  <c r="G178" i="18"/>
  <c r="T21" i="45" s="1"/>
  <c r="AX18" i="49" s="1"/>
  <c r="G164" i="18"/>
  <c r="AD21" i="44" s="1"/>
  <c r="AC18" i="49" s="1"/>
  <c r="G142" i="18"/>
  <c r="R21" i="44" s="1"/>
  <c r="Q18" i="49" s="1"/>
  <c r="G138" i="18"/>
  <c r="G133" i="18"/>
  <c r="BJ20" i="1" s="1"/>
  <c r="G128" i="18"/>
  <c r="G123" i="18"/>
  <c r="AL21" i="44" s="1"/>
  <c r="G121" i="18"/>
  <c r="AJ21" i="44" s="1"/>
  <c r="G117" i="18"/>
  <c r="AF21" i="44" s="1"/>
  <c r="AE18" i="49" s="1"/>
  <c r="G112" i="18"/>
  <c r="G91" i="18"/>
  <c r="AK20" i="1" s="1"/>
  <c r="G90" i="18"/>
  <c r="I90" i="18" s="1"/>
  <c r="G89" i="18"/>
  <c r="AW21" i="44" s="1"/>
  <c r="G86" i="18"/>
  <c r="AB20" i="1" s="1"/>
  <c r="G84" i="18"/>
  <c r="G83" i="18"/>
  <c r="G77" i="18"/>
  <c r="AR21" i="44" s="1"/>
  <c r="BK18" i="49" s="1"/>
  <c r="G68" i="18"/>
  <c r="T13" i="45" s="1"/>
  <c r="AR18" i="49" s="1"/>
  <c r="G67" i="18"/>
  <c r="X20" i="1" s="1"/>
  <c r="G66" i="18"/>
  <c r="G58" i="18"/>
  <c r="Y21" i="44" s="1"/>
  <c r="X18" i="49" s="1"/>
  <c r="G56" i="18"/>
  <c r="BF20" i="1" s="1"/>
  <c r="G55" i="18"/>
  <c r="BE20" i="1" s="1"/>
  <c r="G54" i="18"/>
  <c r="G51" i="18"/>
  <c r="G50" i="18"/>
  <c r="BH20" i="1" s="1"/>
  <c r="G46" i="18"/>
  <c r="G44" i="18"/>
  <c r="G43" i="18"/>
  <c r="G41" i="18"/>
  <c r="G40" i="18"/>
  <c r="AT20" i="1" s="1"/>
  <c r="G39" i="18"/>
  <c r="G37" i="18"/>
  <c r="AQ20" i="1" s="1"/>
  <c r="M21" i="44"/>
  <c r="L18" i="49" s="1"/>
  <c r="G29" i="18"/>
  <c r="G22" i="18"/>
  <c r="G18" i="18"/>
  <c r="T5" i="45" s="1"/>
  <c r="K9" i="18"/>
  <c r="M8" i="18"/>
  <c r="G184" i="17"/>
  <c r="G183" i="17"/>
  <c r="G175" i="17"/>
  <c r="S19" i="45" s="1"/>
  <c r="G174" i="17"/>
  <c r="S18" i="45" s="1"/>
  <c r="G173" i="17"/>
  <c r="S17" i="45" s="1"/>
  <c r="G165" i="17"/>
  <c r="G164" i="17"/>
  <c r="G163" i="17"/>
  <c r="AB20" i="44"/>
  <c r="G139" i="17"/>
  <c r="O20" i="44" s="1"/>
  <c r="N17" i="49" s="1"/>
  <c r="G138" i="17"/>
  <c r="G133" i="17"/>
  <c r="AM20" i="44" s="1"/>
  <c r="AL17" i="49" s="1"/>
  <c r="G121" i="17"/>
  <c r="AJ20" i="44" s="1"/>
  <c r="AI17" i="49" s="1"/>
  <c r="G120" i="17"/>
  <c r="AI20" i="44" s="1"/>
  <c r="AH17" i="49" s="1"/>
  <c r="G118" i="17"/>
  <c r="AG20" i="44" s="1"/>
  <c r="G117" i="17"/>
  <c r="AF20" i="44" s="1"/>
  <c r="AE17" i="49" s="1"/>
  <c r="G116" i="17"/>
  <c r="AE20" i="44" s="1"/>
  <c r="AD17" i="49" s="1"/>
  <c r="G115" i="17"/>
  <c r="G112" i="17"/>
  <c r="G86" i="17"/>
  <c r="AB19" i="1" s="1"/>
  <c r="G84" i="17"/>
  <c r="Z19" i="1" s="1"/>
  <c r="G82" i="17"/>
  <c r="G76" i="17"/>
  <c r="AQ20" i="44" s="1"/>
  <c r="BJ17" i="49" s="1"/>
  <c r="G75" i="17"/>
  <c r="G74" i="17"/>
  <c r="G70" i="17"/>
  <c r="S15" i="45" s="1"/>
  <c r="G69" i="17"/>
  <c r="S14" i="45" s="1"/>
  <c r="G66" i="17"/>
  <c r="G65" i="17"/>
  <c r="S9" i="45" s="1"/>
  <c r="AO17" i="49" s="1"/>
  <c r="G58" i="17"/>
  <c r="Y20" i="44" s="1"/>
  <c r="X17" i="49" s="1"/>
  <c r="G57" i="17"/>
  <c r="G53" i="17"/>
  <c r="G52" i="17"/>
  <c r="G50" i="17"/>
  <c r="L20" i="44" s="1"/>
  <c r="K17" i="49" s="1"/>
  <c r="G46" i="17"/>
  <c r="G45" i="17"/>
  <c r="G44" i="17"/>
  <c r="AX19" i="1" s="1"/>
  <c r="G43" i="17"/>
  <c r="G42" i="17"/>
  <c r="G41" i="17"/>
  <c r="G38" i="17"/>
  <c r="G37" i="17"/>
  <c r="AQ19" i="1" s="1"/>
  <c r="G35" i="17"/>
  <c r="E29" i="17"/>
  <c r="G29" i="17" s="1"/>
  <c r="G22" i="17"/>
  <c r="G18" i="17"/>
  <c r="E31" i="17" s="1"/>
  <c r="G31" i="17" s="1"/>
  <c r="K9" i="17"/>
  <c r="M8" i="17"/>
  <c r="G179" i="16"/>
  <c r="R22" i="45" s="1"/>
  <c r="G178" i="16"/>
  <c r="R21" i="45" s="1"/>
  <c r="AX16" i="49" s="1"/>
  <c r="G173" i="16"/>
  <c r="R17" i="45" s="1"/>
  <c r="AU16" i="49" s="1"/>
  <c r="G165" i="16"/>
  <c r="G162" i="16"/>
  <c r="AB19" i="44" s="1"/>
  <c r="AA16" i="49" s="1"/>
  <c r="G141" i="16"/>
  <c r="Q19" i="44" s="1"/>
  <c r="P16" i="49" s="1"/>
  <c r="G139" i="16"/>
  <c r="G138" i="16"/>
  <c r="G133" i="16"/>
  <c r="AM19" i="44" s="1"/>
  <c r="G123" i="16"/>
  <c r="AL19" i="44" s="1"/>
  <c r="AK16" i="49" s="1"/>
  <c r="G121" i="16"/>
  <c r="AJ19" i="44" s="1"/>
  <c r="AI16" i="49" s="1"/>
  <c r="G119" i="16"/>
  <c r="AH19" i="44" s="1"/>
  <c r="G116" i="16"/>
  <c r="AE19" i="44" s="1"/>
  <c r="G115" i="16"/>
  <c r="G112" i="16"/>
  <c r="G92" i="16"/>
  <c r="AL18" i="1" s="1"/>
  <c r="G85" i="16"/>
  <c r="AA18" i="1" s="1"/>
  <c r="G83" i="16"/>
  <c r="G78" i="16"/>
  <c r="AS19" i="44" s="1"/>
  <c r="G77" i="16"/>
  <c r="AR19" i="44" s="1"/>
  <c r="BK16" i="49" s="1"/>
  <c r="G75" i="16"/>
  <c r="AP19" i="44" s="1"/>
  <c r="G68" i="16"/>
  <c r="R13" i="45" s="1"/>
  <c r="BC16" i="49" s="1"/>
  <c r="G67" i="16"/>
  <c r="R11" i="45" s="1"/>
  <c r="AQ16" i="49" s="1"/>
  <c r="G66" i="16"/>
  <c r="R10" i="45" s="1"/>
  <c r="G63" i="16"/>
  <c r="R8" i="45" s="1"/>
  <c r="AN16" i="49" s="1"/>
  <c r="G62" i="16"/>
  <c r="R7" i="45" s="1"/>
  <c r="AM16" i="49" s="1"/>
  <c r="G58" i="16"/>
  <c r="Y19" i="44" s="1"/>
  <c r="X16" i="49" s="1"/>
  <c r="G51" i="16"/>
  <c r="G50" i="16"/>
  <c r="L19" i="44" s="1"/>
  <c r="K16" i="49" s="1"/>
  <c r="G45" i="16"/>
  <c r="G42" i="16"/>
  <c r="AV18" i="1" s="1"/>
  <c r="G41" i="16"/>
  <c r="G40" i="16"/>
  <c r="E29" i="16"/>
  <c r="G29" i="16" s="1"/>
  <c r="G22" i="16"/>
  <c r="G18" i="16"/>
  <c r="E31" i="16" s="1"/>
  <c r="G31" i="16" s="1"/>
  <c r="K9" i="16"/>
  <c r="M8" i="16"/>
  <c r="G180" i="15"/>
  <c r="Q23" i="45" s="1"/>
  <c r="G179" i="15"/>
  <c r="Q22" i="45" s="1"/>
  <c r="AY15" i="49" s="1"/>
  <c r="G174" i="15"/>
  <c r="Q18" i="45" s="1"/>
  <c r="AV15" i="49" s="1"/>
  <c r="Q17" i="45"/>
  <c r="G164" i="15"/>
  <c r="G163" i="15"/>
  <c r="G162" i="15"/>
  <c r="AB18" i="44" s="1"/>
  <c r="AA15" i="49" s="1"/>
  <c r="G161" i="15"/>
  <c r="AA18" i="44" s="1"/>
  <c r="Z15" i="49" s="1"/>
  <c r="G139" i="15"/>
  <c r="O18" i="44" s="1"/>
  <c r="N15" i="49" s="1"/>
  <c r="G133" i="15"/>
  <c r="BJ17" i="1" s="1"/>
  <c r="G129" i="15"/>
  <c r="G128" i="15"/>
  <c r="G122" i="15"/>
  <c r="AK18" i="44" s="1"/>
  <c r="AJ15" i="49" s="1"/>
  <c r="G118" i="15"/>
  <c r="AG18" i="44" s="1"/>
  <c r="AF15" i="49" s="1"/>
  <c r="G116" i="15"/>
  <c r="AE18" i="44" s="1"/>
  <c r="AD15" i="49" s="1"/>
  <c r="G114" i="15"/>
  <c r="G113" i="15"/>
  <c r="G91" i="15"/>
  <c r="G89" i="15"/>
  <c r="AW18" i="44" s="1"/>
  <c r="G87" i="15"/>
  <c r="G85" i="15"/>
  <c r="AA17" i="1" s="1"/>
  <c r="G84" i="15"/>
  <c r="G83" i="15"/>
  <c r="G78" i="15"/>
  <c r="AS18" i="44" s="1"/>
  <c r="G74" i="15"/>
  <c r="Q13" i="45"/>
  <c r="X17" i="1"/>
  <c r="G63" i="15"/>
  <c r="Q8" i="45" s="1"/>
  <c r="AN15" i="49" s="1"/>
  <c r="G62" i="15"/>
  <c r="Q7" i="45" s="1"/>
  <c r="G58" i="15"/>
  <c r="G51" i="15"/>
  <c r="G50" i="15"/>
  <c r="L18" i="44" s="1"/>
  <c r="K15" i="49" s="1"/>
  <c r="G46" i="15"/>
  <c r="G45" i="15"/>
  <c r="G44" i="15"/>
  <c r="AO17" i="1" s="1"/>
  <c r="G43" i="15"/>
  <c r="G42" i="15"/>
  <c r="AV17" i="1" s="1"/>
  <c r="G41" i="15"/>
  <c r="AU17" i="1" s="1"/>
  <c r="G39" i="15"/>
  <c r="G29" i="15"/>
  <c r="G18" i="15"/>
  <c r="E31" i="15" s="1"/>
  <c r="G31" i="15" s="1"/>
  <c r="K9" i="15"/>
  <c r="M8" i="15"/>
  <c r="G185" i="14"/>
  <c r="G184" i="14"/>
  <c r="G183" i="14"/>
  <c r="G179" i="14"/>
  <c r="G165" i="14"/>
  <c r="G163" i="14"/>
  <c r="G141" i="14"/>
  <c r="Q17" i="44" s="1"/>
  <c r="P14" i="49" s="1"/>
  <c r="G133" i="14"/>
  <c r="AM17" i="44" s="1"/>
  <c r="AL14" i="49" s="1"/>
  <c r="G129" i="14"/>
  <c r="G119" i="14"/>
  <c r="AH17" i="44" s="1"/>
  <c r="G115" i="14"/>
  <c r="G92" i="14"/>
  <c r="AL16" i="1" s="1"/>
  <c r="G91" i="14"/>
  <c r="AK16" i="1" s="1"/>
  <c r="G90" i="14"/>
  <c r="I90" i="14" s="1"/>
  <c r="G84" i="14"/>
  <c r="Z16" i="1" s="1"/>
  <c r="G82" i="14"/>
  <c r="G76" i="14"/>
  <c r="AQ17" i="44" s="1"/>
  <c r="BJ14" i="49" s="1"/>
  <c r="G75" i="14"/>
  <c r="AP17" i="44" s="1"/>
  <c r="G74" i="14"/>
  <c r="AO16" i="1" s="1"/>
  <c r="G69" i="14"/>
  <c r="I16" i="35" s="1"/>
  <c r="G65" i="14"/>
  <c r="G63" i="14"/>
  <c r="G58" i="14"/>
  <c r="G54" i="14"/>
  <c r="G52" i="14"/>
  <c r="G50" i="14"/>
  <c r="G44" i="14"/>
  <c r="AX16" i="1" s="1"/>
  <c r="G42" i="14"/>
  <c r="AV16" i="1" s="1"/>
  <c r="G40" i="14"/>
  <c r="AT16" i="1" s="1"/>
  <c r="G36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0" i="13"/>
  <c r="O23" i="45" s="1"/>
  <c r="AZ13" i="49" s="1"/>
  <c r="G178" i="13"/>
  <c r="O21" i="45" s="1"/>
  <c r="G174" i="13"/>
  <c r="O18" i="45" s="1"/>
  <c r="AV13" i="49" s="1"/>
  <c r="G173" i="13"/>
  <c r="O17" i="45" s="1"/>
  <c r="AU13" i="49" s="1"/>
  <c r="G165" i="13"/>
  <c r="G163" i="13"/>
  <c r="G161" i="13"/>
  <c r="AA16" i="44" s="1"/>
  <c r="Z13" i="49" s="1"/>
  <c r="G142" i="13"/>
  <c r="R16" i="44" s="1"/>
  <c r="Q13" i="49" s="1"/>
  <c r="G139" i="13"/>
  <c r="G131" i="13"/>
  <c r="G130" i="13"/>
  <c r="G129" i="13"/>
  <c r="G122" i="13"/>
  <c r="AK16" i="44" s="1"/>
  <c r="AJ13" i="49" s="1"/>
  <c r="G120" i="13"/>
  <c r="AI16" i="44" s="1"/>
  <c r="AH13" i="49" s="1"/>
  <c r="G118" i="13"/>
  <c r="AG16" i="44" s="1"/>
  <c r="AF13" i="49" s="1"/>
  <c r="G114" i="13"/>
  <c r="G112" i="13"/>
  <c r="G92" i="13"/>
  <c r="G91" i="13"/>
  <c r="AK15" i="1" s="1"/>
  <c r="G87" i="13"/>
  <c r="AC15" i="1" s="1"/>
  <c r="G85" i="13"/>
  <c r="G83" i="13"/>
  <c r="G78" i="13"/>
  <c r="AS16" i="44" s="1"/>
  <c r="G77" i="13"/>
  <c r="AR16" i="44" s="1"/>
  <c r="G75" i="13"/>
  <c r="AP16" i="44" s="1"/>
  <c r="BI13" i="49" s="1"/>
  <c r="G70" i="13"/>
  <c r="O15" i="45" s="1"/>
  <c r="G66" i="13"/>
  <c r="G62" i="13"/>
  <c r="G56" i="13"/>
  <c r="BF15" i="1" s="1"/>
  <c r="G55" i="13"/>
  <c r="BE15" i="1" s="1"/>
  <c r="G54" i="13"/>
  <c r="G52" i="13"/>
  <c r="BB15" i="1" s="1"/>
  <c r="G51" i="13"/>
  <c r="G46" i="13"/>
  <c r="G45" i="13"/>
  <c r="G43" i="13"/>
  <c r="G41" i="13"/>
  <c r="G40" i="13"/>
  <c r="G37" i="13"/>
  <c r="G36" i="13"/>
  <c r="AY15" i="1" s="1"/>
  <c r="E29" i="13"/>
  <c r="G29" i="13" s="1"/>
  <c r="G22" i="13"/>
  <c r="G18" i="13"/>
  <c r="E31" i="13" s="1"/>
  <c r="G31" i="13" s="1"/>
  <c r="G10" i="13"/>
  <c r="K9" i="13"/>
  <c r="M8" i="13"/>
  <c r="G185" i="12"/>
  <c r="G183" i="12"/>
  <c r="G178" i="12"/>
  <c r="N21" i="45" s="1"/>
  <c r="G174" i="12"/>
  <c r="N18" i="45" s="1"/>
  <c r="AV12" i="49" s="1"/>
  <c r="G173" i="12"/>
  <c r="N17" i="45" s="1"/>
  <c r="AU12" i="49" s="1"/>
  <c r="G162" i="12"/>
  <c r="AB15" i="44" s="1"/>
  <c r="G140" i="12"/>
  <c r="P15" i="44" s="1"/>
  <c r="O12" i="49" s="1"/>
  <c r="G133" i="12"/>
  <c r="AM15" i="44" s="1"/>
  <c r="G131" i="12"/>
  <c r="G130" i="12"/>
  <c r="G129" i="12"/>
  <c r="G123" i="12"/>
  <c r="AL15" i="44" s="1"/>
  <c r="AK12" i="49" s="1"/>
  <c r="G122" i="12"/>
  <c r="AK15" i="44" s="1"/>
  <c r="AJ12" i="49" s="1"/>
  <c r="G121" i="12"/>
  <c r="AJ15" i="44" s="1"/>
  <c r="AI12" i="49" s="1"/>
  <c r="G119" i="12"/>
  <c r="AH15" i="44" s="1"/>
  <c r="AG12" i="49" s="1"/>
  <c r="G118" i="12"/>
  <c r="AG15" i="44" s="1"/>
  <c r="G92" i="12"/>
  <c r="AL14" i="1" s="1"/>
  <c r="G90" i="12"/>
  <c r="I90" i="12" s="1"/>
  <c r="G86" i="12"/>
  <c r="AB14" i="1" s="1"/>
  <c r="G85" i="12"/>
  <c r="AA14" i="1" s="1"/>
  <c r="G84" i="12"/>
  <c r="Z14" i="1" s="1"/>
  <c r="G82" i="12"/>
  <c r="G76" i="12"/>
  <c r="AQ15" i="44" s="1"/>
  <c r="BJ12" i="49" s="1"/>
  <c r="G75" i="12"/>
  <c r="AP15" i="44" s="1"/>
  <c r="G69" i="12"/>
  <c r="G65" i="12"/>
  <c r="N9" i="45" s="1"/>
  <c r="G63" i="12"/>
  <c r="N8" i="45" s="1"/>
  <c r="AN12" i="49" s="1"/>
  <c r="G62" i="12"/>
  <c r="N7" i="45" s="1"/>
  <c r="AM12" i="49" s="1"/>
  <c r="G58" i="12"/>
  <c r="Y15" i="44" s="1"/>
  <c r="X12" i="49" s="1"/>
  <c r="G57" i="12"/>
  <c r="BG14" i="1" s="1"/>
  <c r="G56" i="12"/>
  <c r="BF14" i="1" s="1"/>
  <c r="G55" i="12"/>
  <c r="G54" i="12"/>
  <c r="G53" i="12"/>
  <c r="BC14" i="1" s="1"/>
  <c r="G52" i="12"/>
  <c r="BB14" i="1" s="1"/>
  <c r="G50" i="12"/>
  <c r="G49" i="12"/>
  <c r="AZ14" i="1" s="1"/>
  <c r="G46" i="12"/>
  <c r="G45" i="12"/>
  <c r="G44" i="12"/>
  <c r="G43" i="12"/>
  <c r="AW14" i="1" s="1"/>
  <c r="G42" i="12"/>
  <c r="AV14" i="1" s="1"/>
  <c r="G41" i="12"/>
  <c r="G39" i="12"/>
  <c r="G38" i="12"/>
  <c r="G37" i="12"/>
  <c r="AQ14" i="1" s="1"/>
  <c r="E29" i="12"/>
  <c r="G29" i="12" s="1"/>
  <c r="G22" i="12"/>
  <c r="G18" i="12"/>
  <c r="E31" i="12" s="1"/>
  <c r="G31" i="12" s="1"/>
  <c r="K9" i="12"/>
  <c r="M8" i="12"/>
  <c r="G185" i="11"/>
  <c r="G180" i="11"/>
  <c r="M23" i="45" s="1"/>
  <c r="G179" i="11"/>
  <c r="M22" i="45" s="1"/>
  <c r="AY11" i="49" s="1"/>
  <c r="G178" i="11"/>
  <c r="M21" i="45" s="1"/>
  <c r="G174" i="11"/>
  <c r="M18" i="45" s="1"/>
  <c r="G173" i="11"/>
  <c r="M17" i="45" s="1"/>
  <c r="G165" i="11"/>
  <c r="G164" i="11"/>
  <c r="G162" i="11"/>
  <c r="AB14" i="44" s="1"/>
  <c r="AA11" i="49" s="1"/>
  <c r="G161" i="11"/>
  <c r="AA14" i="44" s="1"/>
  <c r="G142" i="11"/>
  <c r="R14" i="44" s="1"/>
  <c r="Q11" i="49" s="1"/>
  <c r="G141" i="11"/>
  <c r="Q14" i="44" s="1"/>
  <c r="G140" i="11"/>
  <c r="P14" i="44" s="1"/>
  <c r="O11" i="49" s="1"/>
  <c r="G133" i="11"/>
  <c r="G132" i="11"/>
  <c r="G130" i="11"/>
  <c r="G129" i="11"/>
  <c r="G123" i="11"/>
  <c r="AL14" i="44" s="1"/>
  <c r="G122" i="11"/>
  <c r="AK14" i="44" s="1"/>
  <c r="AJ11" i="49" s="1"/>
  <c r="G120" i="11"/>
  <c r="AI14" i="44" s="1"/>
  <c r="G119" i="11"/>
  <c r="AH14" i="44" s="1"/>
  <c r="AG11" i="49" s="1"/>
  <c r="G116" i="11"/>
  <c r="AE14" i="44" s="1"/>
  <c r="G115" i="11"/>
  <c r="G114" i="11"/>
  <c r="G112" i="11"/>
  <c r="G92" i="11"/>
  <c r="AL13" i="1" s="1"/>
  <c r="G90" i="11"/>
  <c r="I90" i="11" s="1"/>
  <c r="G89" i="11"/>
  <c r="AW14" i="44" s="1"/>
  <c r="G88" i="11"/>
  <c r="G87" i="11"/>
  <c r="AC13" i="1" s="1"/>
  <c r="G85" i="11"/>
  <c r="AA13" i="1" s="1"/>
  <c r="G84" i="11"/>
  <c r="G82" i="11"/>
  <c r="G78" i="11"/>
  <c r="AS14" i="44" s="1"/>
  <c r="BL11" i="49" s="1"/>
  <c r="G77" i="11"/>
  <c r="AR14" i="44" s="1"/>
  <c r="BK11" i="49" s="1"/>
  <c r="G75" i="11"/>
  <c r="AP14" i="44" s="1"/>
  <c r="G74" i="11"/>
  <c r="AO13" i="1" s="1"/>
  <c r="G68" i="11"/>
  <c r="M13" i="45" s="1"/>
  <c r="BC11" i="49" s="1"/>
  <c r="G67" i="11"/>
  <c r="G63" i="11"/>
  <c r="M8" i="45" s="1"/>
  <c r="G58" i="11"/>
  <c r="G57" i="11"/>
  <c r="G56" i="11"/>
  <c r="BF13" i="1" s="1"/>
  <c r="G54" i="11"/>
  <c r="G53" i="11"/>
  <c r="G52" i="11"/>
  <c r="BB13" i="1" s="1"/>
  <c r="G50" i="11"/>
  <c r="G46" i="11"/>
  <c r="G45" i="11"/>
  <c r="G44" i="11"/>
  <c r="AX13" i="1" s="1"/>
  <c r="G43" i="11"/>
  <c r="G41" i="11"/>
  <c r="G40" i="11"/>
  <c r="G39" i="11"/>
  <c r="G37" i="11"/>
  <c r="AQ13" i="1" s="1"/>
  <c r="G36" i="11"/>
  <c r="G35" i="11"/>
  <c r="E29" i="11"/>
  <c r="G29" i="11" s="1"/>
  <c r="G18" i="11"/>
  <c r="E31" i="11" s="1"/>
  <c r="G31" i="11" s="1"/>
  <c r="G10" i="11"/>
  <c r="K9" i="11"/>
  <c r="M8" i="11"/>
  <c r="G183" i="10"/>
  <c r="G180" i="10"/>
  <c r="L23" i="45" s="1"/>
  <c r="AZ10" i="49" s="1"/>
  <c r="G179" i="10"/>
  <c r="L22" i="45" s="1"/>
  <c r="G175" i="10"/>
  <c r="L19" i="45" s="1"/>
  <c r="AW10" i="49" s="1"/>
  <c r="G165" i="10"/>
  <c r="G163" i="10"/>
  <c r="G140" i="10"/>
  <c r="P13" i="44" s="1"/>
  <c r="G139" i="10"/>
  <c r="G133" i="10"/>
  <c r="AM13" i="44" s="1"/>
  <c r="G132" i="10"/>
  <c r="G131" i="10"/>
  <c r="G123" i="10"/>
  <c r="AL13" i="44" s="1"/>
  <c r="AK10" i="49" s="1"/>
  <c r="G121" i="10"/>
  <c r="AJ13" i="44" s="1"/>
  <c r="AI10" i="49" s="1"/>
  <c r="G120" i="10"/>
  <c r="AI13" i="44" s="1"/>
  <c r="G116" i="10"/>
  <c r="AE13" i="44" s="1"/>
  <c r="AD10" i="49" s="1"/>
  <c r="G115" i="10"/>
  <c r="G114" i="10"/>
  <c r="G91" i="10"/>
  <c r="G90" i="10"/>
  <c r="I90" i="10" s="1"/>
  <c r="G89" i="10"/>
  <c r="AH12" i="1" s="1"/>
  <c r="AB12" i="1"/>
  <c r="G83" i="10"/>
  <c r="G82" i="10"/>
  <c r="G77" i="10"/>
  <c r="AR13" i="44" s="1"/>
  <c r="BK10" i="49" s="1"/>
  <c r="G76" i="10"/>
  <c r="AQ13" i="44" s="1"/>
  <c r="G69" i="10"/>
  <c r="L14" i="45" s="1"/>
  <c r="BA10" i="49" s="1"/>
  <c r="G68" i="10"/>
  <c r="L13" i="45" s="1"/>
  <c r="G66" i="10"/>
  <c r="L10" i="45" s="1"/>
  <c r="AP10" i="49" s="1"/>
  <c r="G62" i="10"/>
  <c r="L7" i="45" s="1"/>
  <c r="AM10" i="49" s="1"/>
  <c r="G58" i="10"/>
  <c r="G55" i="10"/>
  <c r="G54" i="10"/>
  <c r="G53" i="10"/>
  <c r="G52" i="10"/>
  <c r="BB12" i="1" s="1"/>
  <c r="G51" i="10"/>
  <c r="G50" i="10"/>
  <c r="L13" i="44" s="1"/>
  <c r="K10" i="49" s="1"/>
  <c r="G49" i="10"/>
  <c r="G46" i="10"/>
  <c r="G45" i="10"/>
  <c r="G44" i="10"/>
  <c r="G43" i="10"/>
  <c r="G42" i="10"/>
  <c r="G41" i="10"/>
  <c r="G40" i="10"/>
  <c r="AT12" i="1" s="1"/>
  <c r="G39" i="10"/>
  <c r="I13" i="44" s="1"/>
  <c r="H10" i="49" s="1"/>
  <c r="G38" i="10"/>
  <c r="AR12" i="1" s="1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AZ9" i="49" s="1"/>
  <c r="G175" i="9"/>
  <c r="K19" i="45" s="1"/>
  <c r="AW9" i="49" s="1"/>
  <c r="G174" i="9"/>
  <c r="K18" i="45" s="1"/>
  <c r="G173" i="9"/>
  <c r="K17" i="45" s="1"/>
  <c r="AU9" i="49" s="1"/>
  <c r="G163" i="9"/>
  <c r="AD12" i="44" s="1"/>
  <c r="AC9" i="49" s="1"/>
  <c r="G162" i="9"/>
  <c r="AB12" i="44" s="1"/>
  <c r="AA9" i="49" s="1"/>
  <c r="G161" i="9"/>
  <c r="AA12" i="44" s="1"/>
  <c r="G141" i="9"/>
  <c r="Q12" i="44" s="1"/>
  <c r="P9" i="49" s="1"/>
  <c r="G140" i="9"/>
  <c r="P12" i="44" s="1"/>
  <c r="O9" i="49" s="1"/>
  <c r="G133" i="9"/>
  <c r="AM12" i="44" s="1"/>
  <c r="AL9" i="49" s="1"/>
  <c r="G132" i="9"/>
  <c r="G131" i="9"/>
  <c r="G129" i="9"/>
  <c r="G128" i="9"/>
  <c r="G122" i="9"/>
  <c r="AK12" i="44" s="1"/>
  <c r="G121" i="9"/>
  <c r="AJ12" i="44" s="1"/>
  <c r="AI9" i="49" s="1"/>
  <c r="G118" i="9"/>
  <c r="AG12" i="44" s="1"/>
  <c r="G117" i="9"/>
  <c r="AF12" i="44" s="1"/>
  <c r="AE9" i="49" s="1"/>
  <c r="G116" i="9"/>
  <c r="AE12" i="44" s="1"/>
  <c r="AD9" i="49" s="1"/>
  <c r="G114" i="9"/>
  <c r="G113" i="9"/>
  <c r="G90" i="9"/>
  <c r="AX12" i="44" s="1"/>
  <c r="G89" i="9"/>
  <c r="G88" i="9"/>
  <c r="AV12" i="44" s="1"/>
  <c r="G86" i="9"/>
  <c r="AB11" i="1" s="1"/>
  <c r="G85" i="9"/>
  <c r="AA11" i="1" s="1"/>
  <c r="G82" i="9"/>
  <c r="G76" i="9"/>
  <c r="AQ12" i="44" s="1"/>
  <c r="BJ9" i="49" s="1"/>
  <c r="G75" i="9"/>
  <c r="AP12" i="44" s="1"/>
  <c r="G74" i="9"/>
  <c r="G69" i="9"/>
  <c r="K14" i="45" s="1"/>
  <c r="G68" i="9"/>
  <c r="K13" i="45" s="1"/>
  <c r="G66" i="9"/>
  <c r="K10" i="45" s="1"/>
  <c r="AP9" i="49" s="1"/>
  <c r="G63" i="9"/>
  <c r="G62" i="9"/>
  <c r="K7" i="45" s="1"/>
  <c r="AM9" i="49" s="1"/>
  <c r="G58" i="9"/>
  <c r="Y12" i="44" s="1"/>
  <c r="G57" i="9"/>
  <c r="G56" i="9"/>
  <c r="G54" i="9"/>
  <c r="G53" i="9"/>
  <c r="G52" i="9"/>
  <c r="G51" i="9"/>
  <c r="G12" i="44" s="1"/>
  <c r="F9" i="49" s="1"/>
  <c r="G50" i="9"/>
  <c r="L12" i="44" s="1"/>
  <c r="K9" i="49" s="1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AB23" i="45"/>
  <c r="G10" i="17"/>
  <c r="E10" i="18"/>
  <c r="G10" i="18" s="1"/>
  <c r="Z20" i="1"/>
  <c r="Z17" i="1"/>
  <c r="AK34" i="1"/>
  <c r="I92" i="31"/>
  <c r="Z34" i="1"/>
  <c r="Z32" i="1"/>
  <c r="AA21" i="1"/>
  <c r="Z31" i="1"/>
  <c r="Z29" i="1"/>
  <c r="L18" i="1"/>
  <c r="G15" i="18"/>
  <c r="E28" i="18" s="1"/>
  <c r="G28" i="18" s="1"/>
  <c r="AO18" i="44"/>
  <c r="AD15" i="45"/>
  <c r="BB28" i="49" s="1"/>
  <c r="E19" i="7"/>
  <c r="E15" i="8"/>
  <c r="G15" i="8" s="1"/>
  <c r="E9" i="8"/>
  <c r="AD26" i="44"/>
  <c r="AC23" i="49" s="1"/>
  <c r="AD35" i="44"/>
  <c r="N25" i="44"/>
  <c r="N26" i="44"/>
  <c r="M23" i="49" s="1"/>
  <c r="N35" i="44"/>
  <c r="N30" i="44"/>
  <c r="M27" i="49" s="1"/>
  <c r="N19" i="44"/>
  <c r="W7" i="45"/>
  <c r="AM21" i="49" s="1"/>
  <c r="V16" i="1"/>
  <c r="P9" i="45"/>
  <c r="Q11" i="45"/>
  <c r="AQ15" i="49" s="1"/>
  <c r="U11" i="45"/>
  <c r="W27" i="1"/>
  <c r="AA10" i="45"/>
  <c r="AP25" i="49" s="1"/>
  <c r="AE10" i="45"/>
  <c r="AP29" i="49" s="1"/>
  <c r="P11" i="45"/>
  <c r="V30" i="1"/>
  <c r="AD9" i="45"/>
  <c r="AD29" i="45" s="1"/>
  <c r="V34" i="1"/>
  <c r="Y34" i="1" s="1"/>
  <c r="W15" i="1"/>
  <c r="O10" i="45"/>
  <c r="AP13" i="49" s="1"/>
  <c r="W30" i="1"/>
  <c r="W34" i="1"/>
  <c r="AH10" i="45"/>
  <c r="V22" i="1"/>
  <c r="V9" i="45"/>
  <c r="AO20" i="49" s="1"/>
  <c r="X34" i="1"/>
  <c r="W33" i="1"/>
  <c r="X14" i="1"/>
  <c r="N11" i="45"/>
  <c r="AQ12" i="49" s="1"/>
  <c r="AB9" i="45"/>
  <c r="AB29" i="45" s="1"/>
  <c r="AF9" i="45"/>
  <c r="BJ34" i="1"/>
  <c r="AO34" i="1"/>
  <c r="AO35" i="44"/>
  <c r="AG34" i="1"/>
  <c r="AV35" i="44"/>
  <c r="AL34" i="1"/>
  <c r="AV34" i="44"/>
  <c r="AI33" i="1"/>
  <c r="AX34" i="44"/>
  <c r="BJ33" i="1"/>
  <c r="AM34" i="44"/>
  <c r="AM33" i="44"/>
  <c r="AO32" i="1"/>
  <c r="AH32" i="1"/>
  <c r="AW33" i="44"/>
  <c r="AO31" i="1"/>
  <c r="AH31" i="1"/>
  <c r="AX31" i="44"/>
  <c r="AH30" i="1"/>
  <c r="AH29" i="1"/>
  <c r="AG29" i="1"/>
  <c r="AH27" i="1"/>
  <c r="AW28" i="44"/>
  <c r="AH26" i="1"/>
  <c r="AW27" i="44"/>
  <c r="BJ26" i="1"/>
  <c r="AM27" i="44"/>
  <c r="AO25" i="1"/>
  <c r="AW25" i="44"/>
  <c r="AM25" i="44"/>
  <c r="AL22" i="49" s="1"/>
  <c r="AO23" i="1"/>
  <c r="AW24" i="44"/>
  <c r="AK21" i="1"/>
  <c r="AN21" i="1" s="1"/>
  <c r="AO21" i="1"/>
  <c r="AO22" i="44"/>
  <c r="BH19" i="49" s="1"/>
  <c r="AK22" i="1"/>
  <c r="AN22" i="1" s="1"/>
  <c r="AX21" i="44"/>
  <c r="AO19" i="1"/>
  <c r="AO20" i="44"/>
  <c r="BH17" i="49" s="1"/>
  <c r="AG14" i="1"/>
  <c r="AV15" i="44"/>
  <c r="AI14" i="1"/>
  <c r="AO14" i="1"/>
  <c r="AO15" i="44"/>
  <c r="BH12" i="49" s="1"/>
  <c r="AV14" i="44"/>
  <c r="AO14" i="44"/>
  <c r="AH13" i="1"/>
  <c r="AW13" i="44"/>
  <c r="AH11" i="1"/>
  <c r="AW12" i="44"/>
  <c r="G186" i="22"/>
  <c r="G104" i="31"/>
  <c r="G102" i="31"/>
  <c r="G31" i="31"/>
  <c r="G100" i="31"/>
  <c r="G64" i="31"/>
  <c r="G104" i="43"/>
  <c r="G98" i="15"/>
  <c r="E28" i="15"/>
  <c r="G28" i="15" s="1"/>
  <c r="G98" i="11"/>
  <c r="G98" i="9"/>
  <c r="E31" i="9"/>
  <c r="G31" i="9" s="1"/>
  <c r="G185" i="8"/>
  <c r="G184" i="8"/>
  <c r="G180" i="8"/>
  <c r="J23" i="45" s="1"/>
  <c r="G179" i="8"/>
  <c r="J22" i="45" s="1"/>
  <c r="G174" i="8"/>
  <c r="J18" i="45" s="1"/>
  <c r="AV8" i="49" s="1"/>
  <c r="G173" i="8"/>
  <c r="J17" i="45" s="1"/>
  <c r="G165" i="8"/>
  <c r="G162" i="8"/>
  <c r="AB11" i="44" s="1"/>
  <c r="AA8" i="49" s="1"/>
  <c r="G161" i="8"/>
  <c r="AA11" i="44" s="1"/>
  <c r="Z8" i="49" s="1"/>
  <c r="G142" i="8"/>
  <c r="R11" i="44" s="1"/>
  <c r="G141" i="8"/>
  <c r="Q11" i="44" s="1"/>
  <c r="G140" i="8"/>
  <c r="P11" i="44" s="1"/>
  <c r="O8" i="49" s="1"/>
  <c r="G139" i="8"/>
  <c r="O11" i="44" s="1"/>
  <c r="G132" i="8"/>
  <c r="G131" i="8"/>
  <c r="G128" i="8"/>
  <c r="G123" i="8"/>
  <c r="AL11" i="44" s="1"/>
  <c r="AK8" i="49" s="1"/>
  <c r="G120" i="8"/>
  <c r="AI11" i="44" s="1"/>
  <c r="AH8" i="49" s="1"/>
  <c r="G119" i="8"/>
  <c r="AH11" i="44" s="1"/>
  <c r="AG8" i="49" s="1"/>
  <c r="G117" i="8"/>
  <c r="AF11" i="44" s="1"/>
  <c r="AE8" i="49" s="1"/>
  <c r="G116" i="8"/>
  <c r="AE11" i="44" s="1"/>
  <c r="G115" i="8"/>
  <c r="G113" i="8"/>
  <c r="G112" i="8"/>
  <c r="G92" i="8"/>
  <c r="AL10" i="1" s="1"/>
  <c r="G90" i="8"/>
  <c r="G89" i="8"/>
  <c r="AH10" i="1" s="1"/>
  <c r="G88" i="8"/>
  <c r="AV11" i="44" s="1"/>
  <c r="G86" i="8"/>
  <c r="AB10" i="1" s="1"/>
  <c r="G85" i="8"/>
  <c r="G84" i="8"/>
  <c r="Z10" i="1" s="1"/>
  <c r="G83" i="8"/>
  <c r="G78" i="8"/>
  <c r="AS11" i="44" s="1"/>
  <c r="G76" i="8"/>
  <c r="G75" i="8"/>
  <c r="AP11" i="44" s="1"/>
  <c r="BI8" i="49" s="1"/>
  <c r="G74" i="8"/>
  <c r="AO10" i="1" s="1"/>
  <c r="G68" i="8"/>
  <c r="J13" i="45" s="1"/>
  <c r="G67" i="8"/>
  <c r="J11" i="45" s="1"/>
  <c r="AQ8" i="49" s="1"/>
  <c r="G63" i="8"/>
  <c r="J8" i="45" s="1"/>
  <c r="AN8" i="49" s="1"/>
  <c r="G57" i="8"/>
  <c r="G56" i="8"/>
  <c r="BF10" i="1" s="1"/>
  <c r="G53" i="8"/>
  <c r="G52" i="8"/>
  <c r="G49" i="8"/>
  <c r="G46" i="8"/>
  <c r="G45" i="8"/>
  <c r="G43" i="8"/>
  <c r="AW10" i="1" s="1"/>
  <c r="G42" i="8"/>
  <c r="G39" i="8"/>
  <c r="AS10" i="1" s="1"/>
  <c r="G38" i="8"/>
  <c r="AR10" i="1" s="1"/>
  <c r="G35" i="8"/>
  <c r="E29" i="8"/>
  <c r="G29" i="8" s="1"/>
  <c r="G22" i="8"/>
  <c r="G18" i="8"/>
  <c r="E31" i="8" s="1"/>
  <c r="G31" i="8" s="1"/>
  <c r="G10" i="8"/>
  <c r="K9" i="8"/>
  <c r="M8" i="8"/>
  <c r="G184" i="7"/>
  <c r="G183" i="7"/>
  <c r="G180" i="7"/>
  <c r="I23" i="45" s="1"/>
  <c r="G179" i="7"/>
  <c r="I22" i="45" s="1"/>
  <c r="G178" i="7"/>
  <c r="I21" i="45" s="1"/>
  <c r="AX7" i="49" s="1"/>
  <c r="G175" i="7"/>
  <c r="G164" i="7"/>
  <c r="G163" i="7"/>
  <c r="G142" i="7"/>
  <c r="R10" i="44" s="1"/>
  <c r="G141" i="7"/>
  <c r="G140" i="7"/>
  <c r="P10" i="44" s="1"/>
  <c r="O7" i="49" s="1"/>
  <c r="G138" i="7"/>
  <c r="N10" i="44" s="1"/>
  <c r="M7" i="49" s="1"/>
  <c r="G133" i="7"/>
  <c r="BJ9" i="1" s="1"/>
  <c r="G130" i="7"/>
  <c r="G129" i="7"/>
  <c r="G123" i="7"/>
  <c r="AL10" i="44" s="1"/>
  <c r="G122" i="7"/>
  <c r="AK10" i="44" s="1"/>
  <c r="AJ7" i="49" s="1"/>
  <c r="G120" i="7"/>
  <c r="AI10" i="44" s="1"/>
  <c r="G119" i="7"/>
  <c r="AH10" i="44" s="1"/>
  <c r="G118" i="7"/>
  <c r="AG10" i="44" s="1"/>
  <c r="G115" i="7"/>
  <c r="G114" i="7"/>
  <c r="G112" i="7"/>
  <c r="G92" i="7"/>
  <c r="AL9" i="1" s="1"/>
  <c r="G91" i="7"/>
  <c r="G88" i="7"/>
  <c r="G84" i="7"/>
  <c r="G83" i="7"/>
  <c r="G82" i="7"/>
  <c r="G77" i="7"/>
  <c r="AR10" i="44" s="1"/>
  <c r="BK7" i="49" s="1"/>
  <c r="G75" i="7"/>
  <c r="G74" i="7"/>
  <c r="G70" i="7"/>
  <c r="I15" i="45" s="1"/>
  <c r="BB7" i="49" s="1"/>
  <c r="G69" i="7"/>
  <c r="I14" i="45" s="1"/>
  <c r="G68" i="7"/>
  <c r="I13" i="45" s="1"/>
  <c r="G67" i="7"/>
  <c r="I11" i="45" s="1"/>
  <c r="AQ7" i="49" s="1"/>
  <c r="G66" i="7"/>
  <c r="W9" i="1" s="1"/>
  <c r="G65" i="7"/>
  <c r="G63" i="7"/>
  <c r="I8" i="45" s="1"/>
  <c r="G62" i="7"/>
  <c r="I7" i="45" s="1"/>
  <c r="G58" i="7"/>
  <c r="G56" i="7"/>
  <c r="G55" i="7"/>
  <c r="G54" i="7"/>
  <c r="G53" i="7"/>
  <c r="G52" i="7"/>
  <c r="BB9" i="1" s="1"/>
  <c r="G51" i="7"/>
  <c r="G50" i="7"/>
  <c r="G46" i="7"/>
  <c r="G45" i="7"/>
  <c r="G43" i="7"/>
  <c r="G42" i="7"/>
  <c r="AV9" i="1" s="1"/>
  <c r="G41" i="7"/>
  <c r="G39" i="7"/>
  <c r="G35" i="7"/>
  <c r="E29" i="7"/>
  <c r="G29" i="7" s="1"/>
  <c r="G22" i="7"/>
  <c r="E31" i="7"/>
  <c r="G31" i="7" s="1"/>
  <c r="K9" i="7"/>
  <c r="M8" i="7"/>
  <c r="G178" i="33"/>
  <c r="H21" i="45" s="1"/>
  <c r="G174" i="33"/>
  <c r="G173" i="33"/>
  <c r="H17" i="45" s="1"/>
  <c r="G162" i="33"/>
  <c r="AB9" i="44" s="1"/>
  <c r="G161" i="33"/>
  <c r="AA9" i="44" s="1"/>
  <c r="G142" i="33"/>
  <c r="G141" i="33"/>
  <c r="Q9" i="44" s="1"/>
  <c r="P6" i="49" s="1"/>
  <c r="G138" i="33"/>
  <c r="N9" i="44" s="1"/>
  <c r="M6" i="49" s="1"/>
  <c r="G133" i="33"/>
  <c r="BJ8" i="1" s="1"/>
  <c r="G132" i="33"/>
  <c r="G129" i="33"/>
  <c r="G121" i="33"/>
  <c r="AJ9" i="44" s="1"/>
  <c r="AI6" i="49" s="1"/>
  <c r="G120" i="33"/>
  <c r="AI9" i="44" s="1"/>
  <c r="AH6" i="49" s="1"/>
  <c r="G116" i="33"/>
  <c r="AE9" i="44" s="1"/>
  <c r="AD6" i="49" s="1"/>
  <c r="G113" i="33"/>
  <c r="G92" i="33"/>
  <c r="AL8" i="1" s="1"/>
  <c r="G91" i="33"/>
  <c r="AK8" i="1" s="1"/>
  <c r="AN8" i="1" s="1"/>
  <c r="G90" i="33"/>
  <c r="I90" i="33" s="1"/>
  <c r="G87" i="33"/>
  <c r="AC8" i="1" s="1"/>
  <c r="G85" i="33"/>
  <c r="AA8" i="1" s="1"/>
  <c r="G84" i="33"/>
  <c r="G82" i="33"/>
  <c r="G78" i="33"/>
  <c r="G75" i="33"/>
  <c r="AP9" i="44" s="1"/>
  <c r="G70" i="33"/>
  <c r="H15" i="45" s="1"/>
  <c r="BB6" i="49" s="1"/>
  <c r="G67" i="33"/>
  <c r="H11" i="45" s="1"/>
  <c r="AQ6" i="49" s="1"/>
  <c r="G66" i="33"/>
  <c r="G56" i="33"/>
  <c r="G55" i="33"/>
  <c r="BE8" i="1" s="1"/>
  <c r="G53" i="33"/>
  <c r="G51" i="33"/>
  <c r="G49" i="33"/>
  <c r="AZ8" i="1" s="1"/>
  <c r="G46" i="33"/>
  <c r="G45" i="33"/>
  <c r="G44" i="33"/>
  <c r="AX8" i="1" s="1"/>
  <c r="G42" i="33"/>
  <c r="G40" i="33"/>
  <c r="G37" i="33"/>
  <c r="G104" i="33" s="1"/>
  <c r="G36" i="33"/>
  <c r="E29" i="33"/>
  <c r="G29" i="33" s="1"/>
  <c r="G22" i="33"/>
  <c r="G18" i="33"/>
  <c r="E31" i="33" s="1"/>
  <c r="G31" i="33" s="1"/>
  <c r="G10" i="33"/>
  <c r="K9" i="33"/>
  <c r="M8" i="33"/>
  <c r="G8" i="33"/>
  <c r="E27" i="33" s="1"/>
  <c r="G27" i="33" s="1"/>
  <c r="G185" i="5"/>
  <c r="G183" i="5"/>
  <c r="G179" i="5"/>
  <c r="G22" i="45" s="1"/>
  <c r="AY5" i="49" s="1"/>
  <c r="G175" i="5"/>
  <c r="G19" i="45" s="1"/>
  <c r="AW5" i="49" s="1"/>
  <c r="G174" i="5"/>
  <c r="G18" i="45" s="1"/>
  <c r="AV5" i="49" s="1"/>
  <c r="G173" i="5"/>
  <c r="G17" i="45" s="1"/>
  <c r="AU5" i="49" s="1"/>
  <c r="G163" i="5"/>
  <c r="G162" i="5"/>
  <c r="AB8" i="44" s="1"/>
  <c r="AA5" i="49" s="1"/>
  <c r="G161" i="5"/>
  <c r="AA8" i="44" s="1"/>
  <c r="Z5" i="49" s="1"/>
  <c r="G141" i="5"/>
  <c r="Q8" i="44" s="1"/>
  <c r="P5" i="49" s="1"/>
  <c r="G140" i="5"/>
  <c r="P8" i="44" s="1"/>
  <c r="G133" i="5"/>
  <c r="AM8" i="44" s="1"/>
  <c r="G132" i="5"/>
  <c r="G131" i="5"/>
  <c r="G129" i="5"/>
  <c r="G123" i="5"/>
  <c r="AL8" i="44" s="1"/>
  <c r="AK5" i="49" s="1"/>
  <c r="G122" i="5"/>
  <c r="AK8" i="44" s="1"/>
  <c r="AJ5" i="49" s="1"/>
  <c r="G121" i="5"/>
  <c r="AJ8" i="44" s="1"/>
  <c r="AI5" i="49" s="1"/>
  <c r="G119" i="5"/>
  <c r="AH8" i="44" s="1"/>
  <c r="AG5" i="49" s="1"/>
  <c r="G118" i="5"/>
  <c r="AG8" i="44" s="1"/>
  <c r="AF5" i="49" s="1"/>
  <c r="G115" i="5"/>
  <c r="G114" i="5"/>
  <c r="G113" i="5"/>
  <c r="G91" i="5"/>
  <c r="G90" i="5"/>
  <c r="AI7" i="1" s="1"/>
  <c r="G89" i="5"/>
  <c r="AH7" i="1" s="1"/>
  <c r="G87" i="5"/>
  <c r="AC7" i="1" s="1"/>
  <c r="G85" i="5"/>
  <c r="AA7" i="1" s="1"/>
  <c r="G83" i="5"/>
  <c r="G82" i="5"/>
  <c r="G78" i="5"/>
  <c r="AS8" i="44" s="1"/>
  <c r="G76" i="5"/>
  <c r="AQ8" i="44" s="1"/>
  <c r="BJ5" i="49" s="1"/>
  <c r="G75" i="5"/>
  <c r="AP8" i="44" s="1"/>
  <c r="BI5" i="49" s="1"/>
  <c r="G69" i="5"/>
  <c r="G68" i="5"/>
  <c r="G13" i="45" s="1"/>
  <c r="G67" i="5"/>
  <c r="G11" i="45" s="1"/>
  <c r="AQ5" i="49" s="1"/>
  <c r="G66" i="5"/>
  <c r="G63" i="5"/>
  <c r="G8" i="45" s="1"/>
  <c r="G62" i="5"/>
  <c r="G57" i="5"/>
  <c r="BG7" i="1" s="1"/>
  <c r="G56" i="5"/>
  <c r="G55" i="5"/>
  <c r="BE7" i="1" s="1"/>
  <c r="G54" i="5"/>
  <c r="BD7" i="1" s="1"/>
  <c r="G53" i="5"/>
  <c r="G52" i="5"/>
  <c r="G51" i="5"/>
  <c r="G46" i="5"/>
  <c r="G45" i="5"/>
  <c r="G44" i="5"/>
  <c r="G42" i="5"/>
  <c r="G41" i="5"/>
  <c r="G40" i="5"/>
  <c r="G39" i="5"/>
  <c r="G38" i="5"/>
  <c r="AR7" i="1" s="1"/>
  <c r="G37" i="5"/>
  <c r="G36" i="5"/>
  <c r="E29" i="5"/>
  <c r="G29" i="5" s="1"/>
  <c r="G22" i="5"/>
  <c r="G19" i="5"/>
  <c r="G18" i="5"/>
  <c r="E31" i="5" s="1"/>
  <c r="G31" i="5" s="1"/>
  <c r="G15" i="5"/>
  <c r="E28" i="5" s="1"/>
  <c r="G28" i="5" s="1"/>
  <c r="K9" i="5"/>
  <c r="G9" i="5"/>
  <c r="M8" i="5"/>
  <c r="G184" i="4"/>
  <c r="G183" i="4"/>
  <c r="G175" i="4"/>
  <c r="F19" i="45" s="1"/>
  <c r="G174" i="4"/>
  <c r="G164" i="4"/>
  <c r="G163" i="4"/>
  <c r="G142" i="4"/>
  <c r="R7" i="44" s="1"/>
  <c r="G141" i="4"/>
  <c r="Q7" i="44" s="1"/>
  <c r="P4" i="49" s="1"/>
  <c r="G139" i="4"/>
  <c r="G138" i="4"/>
  <c r="N7" i="44" s="1"/>
  <c r="M4" i="49" s="1"/>
  <c r="G133" i="4"/>
  <c r="G132" i="4"/>
  <c r="G129" i="4"/>
  <c r="G123" i="4"/>
  <c r="AL7" i="44" s="1"/>
  <c r="AK4" i="49" s="1"/>
  <c r="G122" i="4"/>
  <c r="AK7" i="44" s="1"/>
  <c r="AJ4" i="49" s="1"/>
  <c r="G121" i="4"/>
  <c r="AJ7" i="44" s="1"/>
  <c r="AI4" i="49" s="1"/>
  <c r="G120" i="4"/>
  <c r="AI7" i="44" s="1"/>
  <c r="AH4" i="49" s="1"/>
  <c r="G117" i="4"/>
  <c r="AF7" i="44" s="1"/>
  <c r="G116" i="4"/>
  <c r="AE7" i="44" s="1"/>
  <c r="AD4" i="49" s="1"/>
  <c r="G115" i="4"/>
  <c r="G113" i="4"/>
  <c r="G112" i="4"/>
  <c r="G90" i="4"/>
  <c r="AX7" i="44" s="1"/>
  <c r="G89" i="4"/>
  <c r="G88" i="4"/>
  <c r="AG6" i="1" s="1"/>
  <c r="G86" i="4"/>
  <c r="AB6" i="1" s="1"/>
  <c r="G85" i="4"/>
  <c r="AA6" i="1" s="1"/>
  <c r="G84" i="4"/>
  <c r="Z6" i="1" s="1"/>
  <c r="G83" i="4"/>
  <c r="G78" i="4"/>
  <c r="AS7" i="44" s="1"/>
  <c r="G76" i="4"/>
  <c r="AQ7" i="44" s="1"/>
  <c r="G75" i="4"/>
  <c r="G74" i="4"/>
  <c r="AO7" i="44" s="1"/>
  <c r="BH4" i="49" s="1"/>
  <c r="G68" i="4"/>
  <c r="F13" i="45" s="1"/>
  <c r="BC4" i="49" s="1"/>
  <c r="G67" i="4"/>
  <c r="G65" i="4"/>
  <c r="F9" i="45" s="1"/>
  <c r="F8" i="45"/>
  <c r="AN4" i="49" s="1"/>
  <c r="G62" i="4"/>
  <c r="G64" i="4" s="1"/>
  <c r="G57" i="4"/>
  <c r="G56" i="4"/>
  <c r="G55" i="4"/>
  <c r="BE6" i="1" s="1"/>
  <c r="G53" i="4"/>
  <c r="G52" i="4"/>
  <c r="G51" i="4"/>
  <c r="BA6" i="1" s="1"/>
  <c r="G49" i="4"/>
  <c r="AZ6" i="1" s="1"/>
  <c r="G46" i="4"/>
  <c r="G45" i="4"/>
  <c r="G43" i="4"/>
  <c r="G42" i="4"/>
  <c r="G41" i="4"/>
  <c r="G40" i="4"/>
  <c r="G38" i="4"/>
  <c r="AR6" i="1" s="1"/>
  <c r="G37" i="4"/>
  <c r="G36" i="4"/>
  <c r="E29" i="4"/>
  <c r="G29" i="4" s="1"/>
  <c r="G22" i="4"/>
  <c r="G19" i="4"/>
  <c r="G20" i="4" s="1"/>
  <c r="O6" i="1" s="1"/>
  <c r="G18" i="4"/>
  <c r="K9" i="4"/>
  <c r="G9" i="4"/>
  <c r="M8" i="4"/>
  <c r="G8" i="4"/>
  <c r="G7" i="4"/>
  <c r="G185" i="3"/>
  <c r="G184" i="3"/>
  <c r="G179" i="3"/>
  <c r="E22" i="45" s="1"/>
  <c r="AY3" i="49" s="1"/>
  <c r="G178" i="3"/>
  <c r="E21" i="45" s="1"/>
  <c r="AX3" i="49" s="1"/>
  <c r="G173" i="3"/>
  <c r="E17" i="45" s="1"/>
  <c r="AU3" i="49" s="1"/>
  <c r="G164" i="3"/>
  <c r="AD6" i="44" s="1"/>
  <c r="AC3" i="49" s="1"/>
  <c r="G163" i="3"/>
  <c r="G140" i="3"/>
  <c r="P6" i="44" s="1"/>
  <c r="G139" i="3"/>
  <c r="O6" i="44" s="1"/>
  <c r="G132" i="3"/>
  <c r="G131" i="3"/>
  <c r="G129" i="3"/>
  <c r="G128" i="3"/>
  <c r="G122" i="3"/>
  <c r="AK6" i="44" s="1"/>
  <c r="G120" i="3"/>
  <c r="G118" i="3"/>
  <c r="AG6" i="44" s="1"/>
  <c r="G115" i="3"/>
  <c r="G114" i="3"/>
  <c r="G112" i="3"/>
  <c r="G91" i="3"/>
  <c r="AK5" i="1" s="1"/>
  <c r="G89" i="3"/>
  <c r="AH5" i="1" s="1"/>
  <c r="G88" i="3"/>
  <c r="AG5" i="1" s="1"/>
  <c r="G85" i="3"/>
  <c r="AA5" i="1" s="1"/>
  <c r="G84" i="3"/>
  <c r="G83" i="3"/>
  <c r="G82" i="3"/>
  <c r="G77" i="3"/>
  <c r="AR6" i="44" s="1"/>
  <c r="G76" i="3"/>
  <c r="AQ6" i="44" s="1"/>
  <c r="BJ3" i="49" s="1"/>
  <c r="G74" i="3"/>
  <c r="AO6" i="44" s="1"/>
  <c r="G70" i="3"/>
  <c r="E15" i="45" s="1"/>
  <c r="G68" i="3"/>
  <c r="E13" i="45" s="1"/>
  <c r="AR3" i="49" s="1"/>
  <c r="G66" i="3"/>
  <c r="W5" i="1" s="1"/>
  <c r="G65" i="3"/>
  <c r="G62" i="3"/>
  <c r="G58" i="3"/>
  <c r="G55" i="3"/>
  <c r="G54" i="3"/>
  <c r="G51" i="3"/>
  <c r="G50" i="3"/>
  <c r="G45" i="3"/>
  <c r="G44" i="3"/>
  <c r="G41" i="3"/>
  <c r="G39" i="3"/>
  <c r="AS5" i="1" s="1"/>
  <c r="G38" i="3"/>
  <c r="AR5" i="1" s="1"/>
  <c r="G36" i="3"/>
  <c r="G102" i="3" s="1"/>
  <c r="G103" i="3" s="1"/>
  <c r="G35" i="3"/>
  <c r="E29" i="3"/>
  <c r="G29" i="3" s="1"/>
  <c r="K9" i="3"/>
  <c r="M8" i="3"/>
  <c r="G185" i="2"/>
  <c r="H185" i="2" s="1"/>
  <c r="J185" i="2" s="1"/>
  <c r="G184" i="2"/>
  <c r="H184" i="2" s="1"/>
  <c r="H184" i="3" s="1"/>
  <c r="J184" i="3" s="1"/>
  <c r="G183" i="2"/>
  <c r="G180" i="2"/>
  <c r="D23" i="45" s="1"/>
  <c r="AZ2" i="49" s="1"/>
  <c r="G179" i="2"/>
  <c r="D22" i="45" s="1"/>
  <c r="G178" i="2"/>
  <c r="G175" i="2"/>
  <c r="D19" i="45" s="1"/>
  <c r="AW2" i="49" s="1"/>
  <c r="G174" i="2"/>
  <c r="D18" i="45" s="1"/>
  <c r="AV2" i="49" s="1"/>
  <c r="G173" i="2"/>
  <c r="D17" i="45" s="1"/>
  <c r="G165" i="2"/>
  <c r="H165" i="2" s="1"/>
  <c r="J165" i="2" s="1"/>
  <c r="G163" i="2"/>
  <c r="G162" i="2"/>
  <c r="AB5" i="44" s="1"/>
  <c r="AA2" i="49" s="1"/>
  <c r="G161" i="2"/>
  <c r="G150" i="2"/>
  <c r="H150" i="2" s="1"/>
  <c r="G149" i="2"/>
  <c r="H149" i="2" s="1"/>
  <c r="G148" i="2"/>
  <c r="W5" i="44" s="1"/>
  <c r="V2" i="49" s="1"/>
  <c r="G147" i="2"/>
  <c r="V5" i="44" s="1"/>
  <c r="G146" i="2"/>
  <c r="S5" i="44"/>
  <c r="G144" i="2"/>
  <c r="U5" i="44" s="1"/>
  <c r="T2" i="49" s="1"/>
  <c r="G143" i="2"/>
  <c r="X5" i="44" s="1"/>
  <c r="W2" i="49" s="1"/>
  <c r="G142" i="2"/>
  <c r="R5" i="44" s="1"/>
  <c r="Q2" i="49" s="1"/>
  <c r="G141" i="2"/>
  <c r="Q5" i="44" s="1"/>
  <c r="P2" i="49" s="1"/>
  <c r="G140" i="2"/>
  <c r="G139" i="2"/>
  <c r="H139" i="2" s="1"/>
  <c r="J139" i="2" s="1"/>
  <c r="G138" i="2"/>
  <c r="H138" i="2" s="1"/>
  <c r="G133" i="2"/>
  <c r="BJ4" i="1" s="1"/>
  <c r="G132" i="2"/>
  <c r="H132" i="2" s="1"/>
  <c r="J132" i="2" s="1"/>
  <c r="G131" i="2"/>
  <c r="G130" i="2"/>
  <c r="H130" i="2" s="1"/>
  <c r="J130" i="2" s="1"/>
  <c r="G129" i="2"/>
  <c r="H129" i="2" s="1"/>
  <c r="G128" i="2"/>
  <c r="H128" i="2" s="1"/>
  <c r="G123" i="2"/>
  <c r="AL5" i="44" s="1"/>
  <c r="AK2" i="49" s="1"/>
  <c r="G122" i="2"/>
  <c r="G121" i="2"/>
  <c r="H121" i="2" s="1"/>
  <c r="J121" i="2" s="1"/>
  <c r="G120" i="2"/>
  <c r="AI5" i="44" s="1"/>
  <c r="G119" i="2"/>
  <c r="AH5" i="44" s="1"/>
  <c r="G118" i="2"/>
  <c r="H118" i="2" s="1"/>
  <c r="G117" i="2"/>
  <c r="AF5" i="44" s="1"/>
  <c r="AE2" i="49" s="1"/>
  <c r="G116" i="2"/>
  <c r="H116" i="2" s="1"/>
  <c r="J116" i="2" s="1"/>
  <c r="G115" i="2"/>
  <c r="G114" i="2"/>
  <c r="H114" i="2" s="1"/>
  <c r="J114" i="2" s="1"/>
  <c r="G113" i="2"/>
  <c r="G112" i="2"/>
  <c r="H112" i="2" s="1"/>
  <c r="J112" i="2" s="1"/>
  <c r="G92" i="2"/>
  <c r="G90" i="2"/>
  <c r="I90" i="2" s="1"/>
  <c r="G89" i="2"/>
  <c r="AW5" i="44" s="1"/>
  <c r="G88" i="2"/>
  <c r="H88" i="2" s="1"/>
  <c r="J88" i="2" s="1"/>
  <c r="G87" i="2"/>
  <c r="AC4" i="1" s="1"/>
  <c r="G86" i="2"/>
  <c r="H86" i="2" s="1"/>
  <c r="G85" i="2"/>
  <c r="AA4" i="1" s="1"/>
  <c r="G84" i="2"/>
  <c r="G83" i="2"/>
  <c r="H83" i="2" s="1"/>
  <c r="H83" i="3" s="1"/>
  <c r="G82" i="2"/>
  <c r="H82" i="2" s="1"/>
  <c r="J82" i="2" s="1"/>
  <c r="G78" i="2"/>
  <c r="G77" i="2"/>
  <c r="H77" i="2" s="1"/>
  <c r="G76" i="2"/>
  <c r="G75" i="2"/>
  <c r="AP5" i="44" s="1"/>
  <c r="BI2" i="49" s="1"/>
  <c r="G74" i="2"/>
  <c r="H74" i="2" s="1"/>
  <c r="J74" i="2" s="1"/>
  <c r="G70" i="2"/>
  <c r="H70" i="2" s="1"/>
  <c r="H70" i="3" s="1"/>
  <c r="G69" i="2"/>
  <c r="G68" i="2"/>
  <c r="D13" i="45" s="1"/>
  <c r="G67" i="2"/>
  <c r="D11" i="45" s="1"/>
  <c r="AQ2" i="49" s="1"/>
  <c r="G66" i="2"/>
  <c r="W4" i="1" s="1"/>
  <c r="G65" i="2"/>
  <c r="H65" i="2" s="1"/>
  <c r="J65" i="2" s="1"/>
  <c r="G63" i="2"/>
  <c r="H63" i="2" s="1"/>
  <c r="J63" i="2" s="1"/>
  <c r="G62" i="2"/>
  <c r="D7" i="45" s="1"/>
  <c r="G58" i="2"/>
  <c r="H58" i="2" s="1"/>
  <c r="H58" i="3" s="1"/>
  <c r="J58" i="3" s="1"/>
  <c r="G57" i="2"/>
  <c r="H57" i="2" s="1"/>
  <c r="J57" i="2" s="1"/>
  <c r="G56" i="2"/>
  <c r="G55" i="2"/>
  <c r="H55" i="2" s="1"/>
  <c r="J55" i="2" s="1"/>
  <c r="G54" i="2"/>
  <c r="H54" i="2" s="1"/>
  <c r="H54" i="3" s="1"/>
  <c r="J54" i="3" s="1"/>
  <c r="G53" i="2"/>
  <c r="G52" i="2"/>
  <c r="H52" i="2" s="1"/>
  <c r="G51" i="2"/>
  <c r="H51" i="2" s="1"/>
  <c r="G50" i="2"/>
  <c r="H50" i="2" s="1"/>
  <c r="H50" i="3" s="1"/>
  <c r="J50" i="3" s="1"/>
  <c r="G49" i="2"/>
  <c r="G46" i="2"/>
  <c r="H46" i="2" s="1"/>
  <c r="G45" i="2"/>
  <c r="H45" i="2" s="1"/>
  <c r="H45" i="3" s="1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G44" i="2"/>
  <c r="H44" i="2" s="1"/>
  <c r="J44" i="2" s="1"/>
  <c r="G43" i="2"/>
  <c r="H43" i="2" s="1"/>
  <c r="G42" i="2"/>
  <c r="H42" i="2" s="1"/>
  <c r="G41" i="2"/>
  <c r="H41" i="2" s="1"/>
  <c r="J41" i="2" s="1"/>
  <c r="G40" i="2"/>
  <c r="G39" i="2"/>
  <c r="H39" i="2" s="1"/>
  <c r="G38" i="2"/>
  <c r="H5" i="44" s="1"/>
  <c r="G2" i="49" s="1"/>
  <c r="H37" i="2"/>
  <c r="G36" i="2"/>
  <c r="G35" i="2"/>
  <c r="H35" i="2" s="1"/>
  <c r="H31" i="2"/>
  <c r="J31" i="2" s="1"/>
  <c r="K9" i="2"/>
  <c r="M8" i="2"/>
  <c r="Z5" i="1"/>
  <c r="Z8" i="1"/>
  <c r="E28" i="16"/>
  <c r="G28" i="16" s="1"/>
  <c r="G19" i="7"/>
  <c r="E30" i="7" s="1"/>
  <c r="G30" i="7" s="1"/>
  <c r="G9" i="8"/>
  <c r="G9" i="7"/>
  <c r="G7" i="8"/>
  <c r="N5" i="44"/>
  <c r="M2" i="49" s="1"/>
  <c r="F7" i="45"/>
  <c r="H183" i="2"/>
  <c r="J183" i="2" s="1"/>
  <c r="AA5" i="44"/>
  <c r="I10" i="45"/>
  <c r="G98" i="8"/>
  <c r="AW11" i="44"/>
  <c r="AG10" i="1"/>
  <c r="AO9" i="1"/>
  <c r="AO10" i="44"/>
  <c r="AI8" i="1"/>
  <c r="AX9" i="44"/>
  <c r="AX8" i="44"/>
  <c r="AK7" i="1"/>
  <c r="AW7" i="44"/>
  <c r="H84" i="2"/>
  <c r="H84" i="3" s="1"/>
  <c r="H84" i="4" s="1"/>
  <c r="J84" i="4" s="1"/>
  <c r="Z4" i="1"/>
  <c r="AG5" i="44"/>
  <c r="AF2" i="49" s="1"/>
  <c r="H91" i="2"/>
  <c r="J91" i="2" s="1"/>
  <c r="AO5" i="44"/>
  <c r="V4" i="1"/>
  <c r="H76" i="2"/>
  <c r="AQ5" i="44"/>
  <c r="H122" i="2"/>
  <c r="J122" i="2" s="1"/>
  <c r="AK5" i="44"/>
  <c r="H66" i="2"/>
  <c r="H66" i="3" s="1"/>
  <c r="D10" i="45"/>
  <c r="AP2" i="49" s="1"/>
  <c r="AR5" i="44"/>
  <c r="BK2" i="49" s="1"/>
  <c r="AV5" i="44"/>
  <c r="H89" i="2"/>
  <c r="J89" i="2" s="1"/>
  <c r="AE5" i="44"/>
  <c r="AD2" i="49" s="1"/>
  <c r="E31" i="4"/>
  <c r="G31" i="4" s="1"/>
  <c r="H131" i="2"/>
  <c r="J131" i="2" s="1"/>
  <c r="H173" i="2"/>
  <c r="H179" i="2"/>
  <c r="J179" i="2" s="1"/>
  <c r="H161" i="2"/>
  <c r="J161" i="2" s="1"/>
  <c r="H164" i="2"/>
  <c r="H147" i="2"/>
  <c r="J147" i="2" s="1"/>
  <c r="H145" i="2"/>
  <c r="H142" i="2"/>
  <c r="J142" i="2" s="1"/>
  <c r="H144" i="2"/>
  <c r="H117" i="2"/>
  <c r="J117" i="2" s="1"/>
  <c r="H119" i="2"/>
  <c r="J119" i="2" s="1"/>
  <c r="H113" i="2"/>
  <c r="H115" i="2"/>
  <c r="J115" i="2" s="1"/>
  <c r="H36" i="2"/>
  <c r="H36" i="3" s="1"/>
  <c r="J36" i="3" s="1"/>
  <c r="H44" i="3"/>
  <c r="J44" i="3" s="1"/>
  <c r="G98" i="7"/>
  <c r="E27" i="4"/>
  <c r="G27" i="4" s="1"/>
  <c r="E31" i="3"/>
  <c r="G94" i="2"/>
  <c r="H94" i="2" s="1"/>
  <c r="J94" i="2" s="1"/>
  <c r="G178" i="50"/>
  <c r="H178" i="50" s="1"/>
  <c r="J178" i="50" s="1"/>
  <c r="E177" i="50"/>
  <c r="G177" i="50" s="1"/>
  <c r="H177" i="50" s="1"/>
  <c r="J177" i="50" s="1"/>
  <c r="E176" i="50"/>
  <c r="G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E167" i="50"/>
  <c r="G167" i="50" s="1"/>
  <c r="H167" i="50" s="1"/>
  <c r="J167" i="50" s="1"/>
  <c r="E166" i="50"/>
  <c r="G166" i="50" s="1"/>
  <c r="H166" i="50" s="1"/>
  <c r="J166" i="50" s="1"/>
  <c r="E158" i="50"/>
  <c r="G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32" i="50" s="1"/>
  <c r="G32" i="50" s="1"/>
  <c r="E19" i="50"/>
  <c r="G16" i="50"/>
  <c r="K9" i="50"/>
  <c r="M8" i="50"/>
  <c r="E15" i="9"/>
  <c r="G15" i="9" s="1"/>
  <c r="E28" i="9" s="1"/>
  <c r="G28" i="9" s="1"/>
  <c r="G20" i="7"/>
  <c r="O9" i="1" s="1"/>
  <c r="Q9" i="1" s="1"/>
  <c r="E19" i="8"/>
  <c r="G19" i="8" s="1"/>
  <c r="E8" i="9"/>
  <c r="G8" i="9" s="1"/>
  <c r="E9" i="9"/>
  <c r="G9" i="9" s="1"/>
  <c r="G31" i="3"/>
  <c r="H31" i="3" s="1"/>
  <c r="J31" i="3" s="1"/>
  <c r="J164" i="2"/>
  <c r="J145" i="2"/>
  <c r="G117" i="50"/>
  <c r="G122" i="50"/>
  <c r="G120" i="50"/>
  <c r="G124" i="50"/>
  <c r="E10" i="19"/>
  <c r="G10" i="19" s="1"/>
  <c r="G15" i="19"/>
  <c r="G7" i="9"/>
  <c r="G99" i="9" s="1"/>
  <c r="B26" i="48"/>
  <c r="G10" i="20"/>
  <c r="E15" i="10"/>
  <c r="G15" i="10" s="1"/>
  <c r="E28" i="10" s="1"/>
  <c r="G28" i="10" s="1"/>
  <c r="E19" i="9"/>
  <c r="G19" i="9" s="1"/>
  <c r="G20" i="9" s="1"/>
  <c r="O11" i="1" s="1"/>
  <c r="E7" i="10"/>
  <c r="G7" i="10" s="1"/>
  <c r="B13" i="44" s="1"/>
  <c r="E19" i="10"/>
  <c r="G19" i="10" s="1"/>
  <c r="L6" i="45" s="1"/>
  <c r="E15" i="11"/>
  <c r="G15" i="11" s="1"/>
  <c r="E28" i="11" s="1"/>
  <c r="G28" i="11" s="1"/>
  <c r="G8" i="11"/>
  <c r="H13" i="1" s="1"/>
  <c r="J13" i="1" s="1"/>
  <c r="G9" i="10"/>
  <c r="B20" i="48"/>
  <c r="E7" i="11"/>
  <c r="G7" i="11" s="1"/>
  <c r="G15" i="23"/>
  <c r="AN26" i="44" s="1"/>
  <c r="E15" i="12"/>
  <c r="G15" i="12" s="1"/>
  <c r="D15" i="44" s="1"/>
  <c r="E9" i="11"/>
  <c r="G9" i="11" s="1"/>
  <c r="E8" i="12"/>
  <c r="G8" i="12" s="1"/>
  <c r="C15" i="44" s="1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9" i="11"/>
  <c r="G19" i="11" s="1"/>
  <c r="E30" i="11" s="1"/>
  <c r="G30" i="11" s="1"/>
  <c r="E15" i="13"/>
  <c r="G15" i="13" s="1"/>
  <c r="E28" i="13" s="1"/>
  <c r="G28" i="13" s="1"/>
  <c r="G15" i="14"/>
  <c r="G15" i="24"/>
  <c r="E9" i="12"/>
  <c r="E10" i="22"/>
  <c r="G10" i="22" s="1"/>
  <c r="E7" i="12"/>
  <c r="G7" i="12" s="1"/>
  <c r="G14" i="1" s="1"/>
  <c r="G15" i="25"/>
  <c r="E28" i="25" s="1"/>
  <c r="G28" i="25" s="1"/>
  <c r="E9" i="13"/>
  <c r="G9" i="13" s="1"/>
  <c r="G9" i="12"/>
  <c r="E8" i="13"/>
  <c r="G8" i="13" s="1"/>
  <c r="E27" i="13" s="1"/>
  <c r="G27" i="13" s="1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E7" i="13"/>
  <c r="G7" i="13" s="1"/>
  <c r="E19" i="12"/>
  <c r="G19" i="12" s="1"/>
  <c r="G15" i="40"/>
  <c r="E28" i="40" s="1"/>
  <c r="G28" i="40" s="1"/>
  <c r="E8" i="14"/>
  <c r="G8" i="14" s="1"/>
  <c r="E27" i="14" s="1"/>
  <c r="G27" i="14" s="1"/>
  <c r="E9" i="14"/>
  <c r="G9" i="14" s="1"/>
  <c r="H167" i="19"/>
  <c r="J167" i="19" s="1"/>
  <c r="H166" i="19"/>
  <c r="J166" i="19" s="1"/>
  <c r="H168" i="19"/>
  <c r="J168" i="19" s="1"/>
  <c r="E7" i="14"/>
  <c r="G7" i="14" s="1"/>
  <c r="G15" i="27"/>
  <c r="E9" i="15"/>
  <c r="G9" i="15" s="1"/>
  <c r="E8" i="15"/>
  <c r="G8" i="15" s="1"/>
  <c r="E34" i="1"/>
  <c r="F34" i="1"/>
  <c r="S34" i="1"/>
  <c r="U34" i="1" s="1"/>
  <c r="E19" i="13"/>
  <c r="G19" i="13" s="1"/>
  <c r="E30" i="13" s="1"/>
  <c r="G30" i="13" s="1"/>
  <c r="E8" i="16"/>
  <c r="G8" i="16" s="1"/>
  <c r="E9" i="16"/>
  <c r="H167" i="21"/>
  <c r="H167" i="22" s="1"/>
  <c r="H168" i="21"/>
  <c r="J168" i="21" s="1"/>
  <c r="H166" i="21"/>
  <c r="J166" i="21" s="1"/>
  <c r="G8" i="17"/>
  <c r="E27" i="17" s="1"/>
  <c r="G27" i="17" s="1"/>
  <c r="E8" i="18"/>
  <c r="G8" i="18" s="1"/>
  <c r="H20" i="1" s="1"/>
  <c r="J20" i="1" s="1"/>
  <c r="E10" i="25"/>
  <c r="G10" i="25" s="1"/>
  <c r="E10" i="40"/>
  <c r="G10" i="40" s="1"/>
  <c r="E10" i="27"/>
  <c r="G10" i="27" s="1"/>
  <c r="E10" i="28"/>
  <c r="G9" i="17"/>
  <c r="E9" i="18"/>
  <c r="G9" i="18" s="1"/>
  <c r="E7" i="15"/>
  <c r="G7" i="15" s="1"/>
  <c r="K32" i="47"/>
  <c r="L32" i="47"/>
  <c r="G31" i="48"/>
  <c r="K31" i="47" s="1"/>
  <c r="G9" i="16"/>
  <c r="E7" i="16"/>
  <c r="G7" i="16" s="1"/>
  <c r="E19" i="14"/>
  <c r="F33" i="1"/>
  <c r="E33" i="1"/>
  <c r="D33" i="1"/>
  <c r="S33" i="1"/>
  <c r="U33" i="1" s="1"/>
  <c r="E7" i="17"/>
  <c r="G7" i="17" s="1"/>
  <c r="B20" i="44" s="1"/>
  <c r="G19" i="14"/>
  <c r="E9" i="19"/>
  <c r="G9" i="19" s="1"/>
  <c r="G15" i="43"/>
  <c r="E28" i="43" s="1"/>
  <c r="G28" i="43" s="1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6" i="1"/>
  <c r="J6" i="1" s="1"/>
  <c r="G6" i="1"/>
  <c r="G5" i="1"/>
  <c r="E7" i="18"/>
  <c r="G7" i="18" s="1"/>
  <c r="E19" i="15"/>
  <c r="G19" i="15" s="1"/>
  <c r="Q6" i="45" s="1"/>
  <c r="E8" i="19"/>
  <c r="G8" i="19" s="1"/>
  <c r="N8" i="19" s="1"/>
  <c r="D5" i="44"/>
  <c r="H4" i="1"/>
  <c r="J4" i="1" s="1"/>
  <c r="B6" i="44"/>
  <c r="B7" i="44"/>
  <c r="C7" i="44"/>
  <c r="G15" i="31"/>
  <c r="AN35" i="44" s="1"/>
  <c r="B22" i="44"/>
  <c r="E19" i="16"/>
  <c r="G19" i="16" s="1"/>
  <c r="G28" i="31"/>
  <c r="G9" i="20"/>
  <c r="G8" i="20"/>
  <c r="E27" i="20" s="1"/>
  <c r="G27" i="20" s="1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7" i="20"/>
  <c r="G7" i="20" s="1"/>
  <c r="G10" i="28"/>
  <c r="E19" i="17"/>
  <c r="G19" i="17" s="1"/>
  <c r="G9" i="21"/>
  <c r="E9" i="22"/>
  <c r="G9" i="22" s="1"/>
  <c r="E8" i="22"/>
  <c r="G8" i="22" s="1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2" i="47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/>
  <c r="E30" i="17"/>
  <c r="G30" i="17" s="1"/>
  <c r="E19" i="18"/>
  <c r="G19" i="18" s="1"/>
  <c r="G9" i="23"/>
  <c r="G8" i="23"/>
  <c r="E27" i="23" s="1"/>
  <c r="G27" i="23" s="1"/>
  <c r="K3" i="47"/>
  <c r="G7" i="22"/>
  <c r="E9" i="25"/>
  <c r="G9" i="25" s="1"/>
  <c r="E9" i="40"/>
  <c r="G9" i="40" s="1"/>
  <c r="E9" i="27"/>
  <c r="G9" i="27" s="1"/>
  <c r="E9" i="28"/>
  <c r="G9" i="28" s="1"/>
  <c r="G8" i="24"/>
  <c r="E27" i="24" s="1"/>
  <c r="G27" i="24" s="1"/>
  <c r="E8" i="25"/>
  <c r="G8" i="25" s="1"/>
  <c r="AP45" i="44"/>
  <c r="AP41" i="44"/>
  <c r="G7" i="23"/>
  <c r="E19" i="19"/>
  <c r="G19" i="19" s="1"/>
  <c r="U6" i="45" s="1"/>
  <c r="G10" i="30"/>
  <c r="E7" i="25"/>
  <c r="G7" i="25" s="1"/>
  <c r="G27" i="1" s="1"/>
  <c r="E8" i="27"/>
  <c r="G8" i="27" s="1"/>
  <c r="G8" i="40"/>
  <c r="E27" i="40" s="1"/>
  <c r="G27" i="40" s="1"/>
  <c r="E19" i="20"/>
  <c r="G19" i="20" s="1"/>
  <c r="E10" i="43"/>
  <c r="E8" i="28"/>
  <c r="G8" i="28" s="1"/>
  <c r="E27" i="28" s="1"/>
  <c r="G27" i="28" s="1"/>
  <c r="E7" i="40"/>
  <c r="G7" i="40" s="1"/>
  <c r="G28" i="1" s="1"/>
  <c r="E19" i="21"/>
  <c r="G19" i="21" s="1"/>
  <c r="G8" i="50"/>
  <c r="E28" i="50" s="1"/>
  <c r="G28" i="50" s="1"/>
  <c r="E7" i="27"/>
  <c r="G7" i="27" s="1"/>
  <c r="B30" i="44" s="1"/>
  <c r="G10" i="43"/>
  <c r="G10" i="31"/>
  <c r="E19" i="22"/>
  <c r="G19" i="22" s="1"/>
  <c r="G9" i="30"/>
  <c r="E7" i="28"/>
  <c r="G7" i="28" s="1"/>
  <c r="E19" i="23"/>
  <c r="E9" i="43"/>
  <c r="G9" i="43" s="1"/>
  <c r="E7" i="43"/>
  <c r="G7" i="43" s="1"/>
  <c r="G8" i="43"/>
  <c r="E27" i="43" s="1"/>
  <c r="G27" i="43" s="1"/>
  <c r="E19" i="24"/>
  <c r="G9" i="31"/>
  <c r="Z25" i="49"/>
  <c r="AB7" i="49"/>
  <c r="AB9" i="49"/>
  <c r="G8" i="31"/>
  <c r="G19" i="24"/>
  <c r="G7" i="31"/>
  <c r="G103" i="31" s="1"/>
  <c r="G7" i="50"/>
  <c r="G11" i="50" s="1"/>
  <c r="Z24" i="49"/>
  <c r="AB8" i="49"/>
  <c r="AB10" i="49"/>
  <c r="AB5" i="49"/>
  <c r="Z11" i="49"/>
  <c r="Z9" i="49"/>
  <c r="AA6" i="49"/>
  <c r="AB6" i="49"/>
  <c r="Z6" i="49"/>
  <c r="AB4" i="49"/>
  <c r="Z27" i="49"/>
  <c r="AA12" i="49"/>
  <c r="AB11" i="49"/>
  <c r="AC15" i="44"/>
  <c r="AA17" i="49"/>
  <c r="G27" i="31"/>
  <c r="E19" i="25"/>
  <c r="G19" i="25" s="1"/>
  <c r="E30" i="25" s="1"/>
  <c r="G30" i="25" s="1"/>
  <c r="AB3" i="49"/>
  <c r="Z2" i="49"/>
  <c r="AB2" i="49"/>
  <c r="E19" i="40"/>
  <c r="G19" i="40" s="1"/>
  <c r="Y13" i="44"/>
  <c r="X10" i="49" s="1"/>
  <c r="M13" i="44"/>
  <c r="L10" i="49" s="1"/>
  <c r="E19" i="27"/>
  <c r="G19" i="27" s="1"/>
  <c r="AS10" i="49"/>
  <c r="C9" i="44"/>
  <c r="J6" i="48" s="1"/>
  <c r="BA34" i="1"/>
  <c r="BC34" i="1"/>
  <c r="BD34" i="1"/>
  <c r="Y35" i="44"/>
  <c r="AR34" i="1"/>
  <c r="AU34" i="1"/>
  <c r="AV34" i="1"/>
  <c r="AW34" i="1"/>
  <c r="D35" i="44"/>
  <c r="BF34" i="1"/>
  <c r="AX34" i="1"/>
  <c r="AT34" i="1"/>
  <c r="AP34" i="1"/>
  <c r="M35" i="44"/>
  <c r="AY34" i="1"/>
  <c r="I35" i="44"/>
  <c r="AS34" i="1"/>
  <c r="H35" i="44"/>
  <c r="BB34" i="1"/>
  <c r="L35" i="44"/>
  <c r="BH34" i="1"/>
  <c r="L34" i="1"/>
  <c r="N34" i="1" s="1"/>
  <c r="G19" i="28"/>
  <c r="G20" i="28" s="1"/>
  <c r="E31" i="44" s="1"/>
  <c r="AI25" i="45"/>
  <c r="AI27" i="45"/>
  <c r="E19" i="30"/>
  <c r="G19" i="30" s="1"/>
  <c r="AF6" i="45" s="1"/>
  <c r="G19" i="43"/>
  <c r="E30" i="43" s="1"/>
  <c r="G30" i="43" s="1"/>
  <c r="L15" i="44"/>
  <c r="K12" i="49" s="1"/>
  <c r="AV9" i="49"/>
  <c r="AY10" i="49"/>
  <c r="AU14" i="49"/>
  <c r="AZ15" i="49"/>
  <c r="AU15" i="49"/>
  <c r="AY16" i="49"/>
  <c r="AZ25" i="49"/>
  <c r="AY26" i="49"/>
  <c r="AU26" i="49"/>
  <c r="AW27" i="49"/>
  <c r="E20" i="50"/>
  <c r="G20" i="50" s="1"/>
  <c r="G19" i="31"/>
  <c r="G187" i="31" s="1"/>
  <c r="BB24" i="49"/>
  <c r="AY22" i="49"/>
  <c r="AW21" i="49"/>
  <c r="AZ7" i="49"/>
  <c r="AU6" i="49"/>
  <c r="AW4" i="49"/>
  <c r="AU8" i="49"/>
  <c r="AY8" i="49"/>
  <c r="AZ11" i="49"/>
  <c r="AV11" i="49"/>
  <c r="AU23" i="49"/>
  <c r="AY23" i="49"/>
  <c r="AX12" i="49"/>
  <c r="AY12" i="49"/>
  <c r="AU11" i="49"/>
  <c r="AX11" i="49"/>
  <c r="AY7" i="49"/>
  <c r="AX23" i="49"/>
  <c r="G30" i="31"/>
  <c r="AS25" i="49"/>
  <c r="BA25" i="49"/>
  <c r="AS21" i="49"/>
  <c r="BA21" i="49"/>
  <c r="AT20" i="49"/>
  <c r="AS7" i="49"/>
  <c r="BA7" i="49"/>
  <c r="AY2" i="49"/>
  <c r="AW17" i="49"/>
  <c r="C16" i="44"/>
  <c r="J13" i="48" s="1"/>
  <c r="H17" i="1"/>
  <c r="J17" i="1" s="1"/>
  <c r="C18" i="44"/>
  <c r="J15" i="48" s="1"/>
  <c r="W5" i="45"/>
  <c r="C20" i="44"/>
  <c r="J17" i="48" s="1"/>
  <c r="H25" i="1"/>
  <c r="J25" i="1" s="1"/>
  <c r="C26" i="44"/>
  <c r="BI25" i="49"/>
  <c r="T25" i="49"/>
  <c r="S25" i="49"/>
  <c r="O25" i="49"/>
  <c r="AH25" i="49"/>
  <c r="Y28" i="44"/>
  <c r="X25" i="49" s="1"/>
  <c r="AM25" i="49"/>
  <c r="AA5" i="45"/>
  <c r="C29" i="44"/>
  <c r="J26" i="48" s="1"/>
  <c r="AL10" i="49"/>
  <c r="BD20" i="1"/>
  <c r="BE5" i="1"/>
  <c r="BD5" i="1"/>
  <c r="BJ10" i="49"/>
  <c r="O10" i="49"/>
  <c r="T10" i="49"/>
  <c r="U10" i="49"/>
  <c r="W10" i="49"/>
  <c r="Y10" i="49"/>
  <c r="AQ27" i="1"/>
  <c r="AX27" i="1"/>
  <c r="BL20" i="49"/>
  <c r="BK20" i="49"/>
  <c r="BD14" i="1"/>
  <c r="BE14" i="1"/>
  <c r="AN11" i="49"/>
  <c r="P11" i="49"/>
  <c r="R11" i="49"/>
  <c r="BC13" i="1"/>
  <c r="BD13" i="1"/>
  <c r="BG13" i="1"/>
  <c r="Y14" i="44"/>
  <c r="AV10" i="1"/>
  <c r="AZ10" i="1"/>
  <c r="BC10" i="1"/>
  <c r="AD8" i="49"/>
  <c r="N8" i="49"/>
  <c r="P8" i="49"/>
  <c r="Q8" i="49"/>
  <c r="S8" i="49"/>
  <c r="V8" i="49"/>
  <c r="W8" i="49"/>
  <c r="BL8" i="49"/>
  <c r="AT6" i="1"/>
  <c r="BC6" i="1"/>
  <c r="BG6" i="1"/>
  <c r="Q4" i="49"/>
  <c r="R4" i="49"/>
  <c r="T4" i="49"/>
  <c r="W4" i="49"/>
  <c r="BJ4" i="49"/>
  <c r="BL4" i="49"/>
  <c r="AF9" i="49"/>
  <c r="O22" i="49"/>
  <c r="U22" i="49"/>
  <c r="Y22" i="49"/>
  <c r="BG19" i="1"/>
  <c r="AV19" i="1"/>
  <c r="W9" i="49"/>
  <c r="V7" i="49"/>
  <c r="R7" i="49"/>
  <c r="Q7" i="49"/>
  <c r="T6" i="49"/>
  <c r="R6" i="49"/>
  <c r="AL5" i="49"/>
  <c r="Y5" i="49"/>
  <c r="U5" i="49"/>
  <c r="BI11" i="49"/>
  <c r="BI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36" i="1" s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BL29" i="49"/>
  <c r="BH29" i="49"/>
  <c r="Y29" i="49"/>
  <c r="V29" i="49"/>
  <c r="P29" i="49"/>
  <c r="AK29" i="49"/>
  <c r="AH29" i="49"/>
  <c r="BA31" i="1"/>
  <c r="BL28" i="49"/>
  <c r="BJ28" i="49"/>
  <c r="BI28" i="49"/>
  <c r="Y28" i="49"/>
  <c r="V28" i="49"/>
  <c r="T28" i="49"/>
  <c r="P28" i="49"/>
  <c r="N28" i="49"/>
  <c r="BD30" i="1"/>
  <c r="BL27" i="49"/>
  <c r="BC27" i="49"/>
  <c r="Y27" i="49"/>
  <c r="U27" i="49"/>
  <c r="Q27" i="49"/>
  <c r="BD29" i="1"/>
  <c r="BL26" i="49"/>
  <c r="BK26" i="49"/>
  <c r="BG28" i="1"/>
  <c r="BC28" i="1"/>
  <c r="BE27" i="1"/>
  <c r="BC27" i="1"/>
  <c r="BI24" i="49"/>
  <c r="T24" i="49"/>
  <c r="Q24" i="49"/>
  <c r="P24" i="49"/>
  <c r="BE26" i="1"/>
  <c r="BD26" i="1"/>
  <c r="BA26" i="1"/>
  <c r="BI22" i="49"/>
  <c r="BC22" i="49"/>
  <c r="M22" i="49"/>
  <c r="BI21" i="49"/>
  <c r="R21" i="49"/>
  <c r="BI20" i="49"/>
  <c r="Y20" i="49"/>
  <c r="T20" i="49"/>
  <c r="BF22" i="1"/>
  <c r="BA22" i="1"/>
  <c r="BL19" i="49"/>
  <c r="AN19" i="49"/>
  <c r="Y19" i="49"/>
  <c r="W19" i="49"/>
  <c r="V19" i="49"/>
  <c r="N19" i="49"/>
  <c r="V18" i="49"/>
  <c r="T18" i="49"/>
  <c r="BL17" i="49"/>
  <c r="Y17" i="49"/>
  <c r="R17" i="49"/>
  <c r="P17" i="49"/>
  <c r="BL16" i="49"/>
  <c r="BI16" i="49"/>
  <c r="Q16" i="49"/>
  <c r="M16" i="49"/>
  <c r="AG16" i="49"/>
  <c r="AD16" i="49"/>
  <c r="BL15" i="49"/>
  <c r="BC17" i="1"/>
  <c r="BA17" i="1"/>
  <c r="BI14" i="49"/>
  <c r="AQ14" i="49"/>
  <c r="BD16" i="1"/>
  <c r="BH11" i="49"/>
  <c r="AH10" i="49"/>
  <c r="BE12" i="1"/>
  <c r="BD12" i="1"/>
  <c r="BA12" i="1"/>
  <c r="AZ12" i="1"/>
  <c r="BC9" i="49"/>
  <c r="AJ9" i="49"/>
  <c r="BG11" i="1"/>
  <c r="BF11" i="1"/>
  <c r="BD11" i="1"/>
  <c r="BC11" i="1"/>
  <c r="AV11" i="1"/>
  <c r="AN7" i="49"/>
  <c r="Y10" i="44"/>
  <c r="X7" i="49" s="1"/>
  <c r="BE9" i="1"/>
  <c r="BD9" i="1"/>
  <c r="BC9" i="1"/>
  <c r="BI6" i="49"/>
  <c r="BA8" i="1"/>
  <c r="BC8" i="1"/>
  <c r="BF8" i="1"/>
  <c r="BL5" i="49"/>
  <c r="BC5" i="49"/>
  <c r="BB7" i="1"/>
  <c r="AV7" i="1"/>
  <c r="AF17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L2" i="49" s="1"/>
  <c r="S25" i="1"/>
  <c r="S22" i="1"/>
  <c r="U22" i="1" s="1"/>
  <c r="S7" i="1"/>
  <c r="U7" i="1" s="1"/>
  <c r="S9" i="1"/>
  <c r="S12" i="1"/>
  <c r="U12" i="1" s="1"/>
  <c r="S13" i="1"/>
  <c r="S14" i="1"/>
  <c r="S15" i="1"/>
  <c r="U15" i="1" s="1"/>
  <c r="S16" i="1"/>
  <c r="U16" i="1" s="1"/>
  <c r="S18" i="1"/>
  <c r="S20" i="1"/>
  <c r="U20" i="1" s="1"/>
  <c r="S31" i="1"/>
  <c r="U31" i="1" s="1"/>
  <c r="S27" i="1"/>
  <c r="S19" i="1"/>
  <c r="S10" i="1"/>
  <c r="S8" i="1"/>
  <c r="U8" i="1" s="1"/>
  <c r="S17" i="1"/>
  <c r="S26" i="1"/>
  <c r="S28" i="1"/>
  <c r="U28" i="1" s="1"/>
  <c r="S29" i="1"/>
  <c r="U29" i="1" s="1"/>
  <c r="S32" i="1"/>
  <c r="S23" i="1"/>
  <c r="U23" i="1" s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AM36" i="1"/>
  <c r="C36" i="1"/>
  <c r="B36" i="1"/>
  <c r="H8" i="35"/>
  <c r="J8" i="35"/>
  <c r="M8" i="35"/>
  <c r="I8" i="35"/>
  <c r="L8" i="35"/>
  <c r="J5" i="35"/>
  <c r="E8" i="35"/>
  <c r="J15" i="35"/>
  <c r="BK3" i="49"/>
  <c r="O3" i="49"/>
  <c r="W3" i="49"/>
  <c r="N3" i="49"/>
  <c r="AN34" i="1"/>
  <c r="AX33" i="1"/>
  <c r="BD33" i="1"/>
  <c r="AU33" i="1"/>
  <c r="BG33" i="1"/>
  <c r="H34" i="44"/>
  <c r="AP33" i="1"/>
  <c r="AQ33" i="1"/>
  <c r="G34" i="44"/>
  <c r="AW33" i="1"/>
  <c r="K34" i="44"/>
  <c r="BA33" i="1"/>
  <c r="BB33" i="1"/>
  <c r="BC33" i="1"/>
  <c r="L34" i="44"/>
  <c r="BH33" i="1"/>
  <c r="AZ28" i="1"/>
  <c r="AM7" i="49"/>
  <c r="P29" i="45"/>
  <c r="AO14" i="49"/>
  <c r="AO28" i="49"/>
  <c r="AR9" i="49"/>
  <c r="AM15" i="49"/>
  <c r="AR27" i="49"/>
  <c r="M27" i="45"/>
  <c r="BF11" i="49" s="1"/>
  <c r="AO26" i="49"/>
  <c r="AM4" i="49"/>
  <c r="AR5" i="49"/>
  <c r="U29" i="45"/>
  <c r="AR22" i="49"/>
  <c r="BC7" i="1"/>
  <c r="M24" i="44"/>
  <c r="L21" i="49" s="1"/>
  <c r="L31" i="44"/>
  <c r="K28" i="49" s="1"/>
  <c r="F5" i="45"/>
  <c r="H25" i="44"/>
  <c r="G22" i="49" s="1"/>
  <c r="K6" i="44"/>
  <c r="J3" i="49" s="1"/>
  <c r="M9" i="44"/>
  <c r="L6" i="49" s="1"/>
  <c r="I10" i="44"/>
  <c r="H7" i="49" s="1"/>
  <c r="L10" i="44"/>
  <c r="I12" i="44"/>
  <c r="H9" i="49" s="1"/>
  <c r="M7" i="44"/>
  <c r="L4" i="49" s="1"/>
  <c r="M14" i="44"/>
  <c r="L11" i="49" s="1"/>
  <c r="L6" i="44"/>
  <c r="K3" i="49" s="1"/>
  <c r="L9" i="44"/>
  <c r="K6" i="49" s="1"/>
  <c r="G9" i="44"/>
  <c r="H12" i="44"/>
  <c r="G9" i="49" s="1"/>
  <c r="I15" i="44"/>
  <c r="H12" i="49" s="1"/>
  <c r="M16" i="44"/>
  <c r="L13" i="49" s="1"/>
  <c r="I6" i="44"/>
  <c r="H3" i="49" s="1"/>
  <c r="M6" i="44"/>
  <c r="L3" i="49" s="1"/>
  <c r="M8" i="44"/>
  <c r="L5" i="49" s="1"/>
  <c r="I9" i="44"/>
  <c r="H6" i="49" s="1"/>
  <c r="M10" i="44"/>
  <c r="L7" i="49" s="1"/>
  <c r="M12" i="44"/>
  <c r="L9" i="49" s="1"/>
  <c r="I18" i="44"/>
  <c r="L14" i="44"/>
  <c r="K11" i="49" s="1"/>
  <c r="L27" i="44"/>
  <c r="K24" i="49" s="1"/>
  <c r="F12" i="44"/>
  <c r="E9" i="49" s="1"/>
  <c r="K12" i="44"/>
  <c r="J9" i="49" s="1"/>
  <c r="L17" i="44"/>
  <c r="K14" i="49" s="1"/>
  <c r="H20" i="44"/>
  <c r="G17" i="49" s="1"/>
  <c r="BC19" i="1"/>
  <c r="F11" i="44"/>
  <c r="E8" i="49" s="1"/>
  <c r="K5" i="44"/>
  <c r="J2" i="49" s="1"/>
  <c r="F14" i="44"/>
  <c r="E11" i="49" s="1"/>
  <c r="M26" i="44"/>
  <c r="L23" i="49" s="1"/>
  <c r="I14" i="44"/>
  <c r="H11" i="49" s="1"/>
  <c r="K29" i="44"/>
  <c r="J26" i="49" s="1"/>
  <c r="F5" i="44"/>
  <c r="E2" i="49" s="1"/>
  <c r="K7" i="44"/>
  <c r="J4" i="49" s="1"/>
  <c r="G16" i="44"/>
  <c r="F13" i="49" s="1"/>
  <c r="K14" i="44"/>
  <c r="J11" i="49" s="1"/>
  <c r="I5" i="44"/>
  <c r="H2" i="49" s="1"/>
  <c r="AH7" i="49"/>
  <c r="AG6" i="49"/>
  <c r="AG7" i="49"/>
  <c r="AK7" i="49"/>
  <c r="AF7" i="49"/>
  <c r="AE4" i="49"/>
  <c r="Y29" i="44"/>
  <c r="Y17" i="44"/>
  <c r="X14" i="49" s="1"/>
  <c r="Y18" i="44"/>
  <c r="X15" i="49" s="1"/>
  <c r="BB17" i="1"/>
  <c r="BB16" i="1"/>
  <c r="Y6" i="44"/>
  <c r="X3" i="49" s="1"/>
  <c r="BA23" i="1"/>
  <c r="BA24" i="1"/>
  <c r="AD11" i="49"/>
  <c r="BA25" i="1"/>
  <c r="BE25" i="1"/>
  <c r="AH19" i="49"/>
  <c r="BG23" i="1"/>
  <c r="BG24" i="1"/>
  <c r="BL23" i="49"/>
  <c r="BC23" i="49"/>
  <c r="V23" i="49"/>
  <c r="T23" i="49"/>
  <c r="O23" i="49"/>
  <c r="BC25" i="1"/>
  <c r="BC24" i="1"/>
  <c r="BB24" i="1"/>
  <c r="AK11" i="49"/>
  <c r="AH11" i="49"/>
  <c r="AF11" i="49"/>
  <c r="AX4" i="1"/>
  <c r="AW4" i="1"/>
  <c r="AY4" i="1"/>
  <c r="AE27" i="49"/>
  <c r="AF26" i="49"/>
  <c r="AJ26" i="49"/>
  <c r="AK24" i="49"/>
  <c r="AF22" i="49"/>
  <c r="AI21" i="49"/>
  <c r="AH21" i="49"/>
  <c r="AK18" i="49"/>
  <c r="AJ18" i="49"/>
  <c r="AI18" i="49"/>
  <c r="AG14" i="49"/>
  <c r="AF14" i="49"/>
  <c r="D5" i="45"/>
  <c r="AT24" i="1"/>
  <c r="BK13" i="49"/>
  <c r="BD15" i="1"/>
  <c r="S13" i="49"/>
  <c r="BL13" i="49"/>
  <c r="BI12" i="49"/>
  <c r="U12" i="49"/>
  <c r="BL12" i="49"/>
  <c r="P12" i="49"/>
  <c r="Y12" i="49"/>
  <c r="BK12" i="49"/>
  <c r="G5" i="45"/>
  <c r="M5" i="45"/>
  <c r="X5" i="45"/>
  <c r="K5" i="45"/>
  <c r="O5" i="45"/>
  <c r="R5" i="45"/>
  <c r="V5" i="45"/>
  <c r="AB5" i="45"/>
  <c r="AQ10" i="49"/>
  <c r="BE24" i="1"/>
  <c r="I5" i="45"/>
  <c r="N5" i="45"/>
  <c r="BF6" i="1"/>
  <c r="BF7" i="1"/>
  <c r="G6" i="45"/>
  <c r="AH5" i="45"/>
  <c r="AG5" i="45"/>
  <c r="AF5" i="45"/>
  <c r="AQ26" i="49"/>
  <c r="Y5" i="45"/>
  <c r="E5" i="45"/>
  <c r="I4" i="35"/>
  <c r="AP8" i="1"/>
  <c r="AW8" i="1"/>
  <c r="AS9" i="1"/>
  <c r="AX9" i="1"/>
  <c r="BH9" i="1"/>
  <c r="AR11" i="1"/>
  <c r="AY12" i="1"/>
  <c r="AX12" i="1"/>
  <c r="AU18" i="1"/>
  <c r="AX20" i="1"/>
  <c r="AT25" i="1"/>
  <c r="AX26" i="1"/>
  <c r="BH26" i="1"/>
  <c r="AX30" i="1"/>
  <c r="BH30" i="1"/>
  <c r="AX32" i="1"/>
  <c r="AY24" i="1"/>
  <c r="AX6" i="1"/>
  <c r="I10" i="35"/>
  <c r="AX10" i="1"/>
  <c r="BH13" i="1"/>
  <c r="AX14" i="1"/>
  <c r="AW13" i="1"/>
  <c r="AX7" i="1"/>
  <c r="AT8" i="1"/>
  <c r="AY8" i="1"/>
  <c r="AW9" i="1"/>
  <c r="AS12" i="1"/>
  <c r="AX17" i="1"/>
  <c r="AT18" i="1"/>
  <c r="AW20" i="1"/>
  <c r="AU21" i="1"/>
  <c r="AY23" i="1"/>
  <c r="AX23" i="1"/>
  <c r="AP24" i="1"/>
  <c r="AW25" i="1"/>
  <c r="AW26" i="1"/>
  <c r="AZ30" i="1"/>
  <c r="AU16" i="1"/>
  <c r="AU19" i="1"/>
  <c r="AU14" i="1"/>
  <c r="AW15" i="1"/>
  <c r="AT13" i="1"/>
  <c r="BH5" i="1"/>
  <c r="AT7" i="1"/>
  <c r="AT11" i="1"/>
  <c r="AX11" i="1"/>
  <c r="AS17" i="1"/>
  <c r="AW17" i="1"/>
  <c r="AX21" i="1"/>
  <c r="AU22" i="1"/>
  <c r="AR25" i="1"/>
  <c r="AR32" i="1"/>
  <c r="AQ7" i="1"/>
  <c r="AT15" i="1"/>
  <c r="AU13" i="1"/>
  <c r="AX5" i="1"/>
  <c r="AW29" i="1"/>
  <c r="AW28" i="1"/>
  <c r="BH8" i="1"/>
  <c r="AT9" i="1"/>
  <c r="AS11" i="1"/>
  <c r="AW11" i="1"/>
  <c r="I11" i="35"/>
  <c r="AP13" i="1"/>
  <c r="AP15" i="1"/>
  <c r="AU20" i="1"/>
  <c r="AW21" i="1"/>
  <c r="AX22" i="1"/>
  <c r="AP29" i="1"/>
  <c r="AX31" i="1"/>
  <c r="AX24" i="1"/>
  <c r="BH24" i="1"/>
  <c r="AP10" i="1"/>
  <c r="AS14" i="1"/>
  <c r="BH14" i="1"/>
  <c r="AU15" i="1"/>
  <c r="AQ15" i="1"/>
  <c r="AX29" i="1"/>
  <c r="AX28" i="1"/>
  <c r="AW30" i="1"/>
  <c r="AW31" i="1"/>
  <c r="AL24" i="49"/>
  <c r="M16" i="35"/>
  <c r="M15" i="35"/>
  <c r="M10" i="35"/>
  <c r="H11" i="35"/>
  <c r="K11" i="35" s="1"/>
  <c r="M14" i="35"/>
  <c r="AL12" i="49"/>
  <c r="AN5" i="44"/>
  <c r="BG2" i="49" s="1"/>
  <c r="H12" i="35"/>
  <c r="BH21" i="49"/>
  <c r="O5" i="49"/>
  <c r="M13" i="35"/>
  <c r="H10" i="35"/>
  <c r="BH15" i="49"/>
  <c r="AL16" i="49"/>
  <c r="Y15" i="49"/>
  <c r="U15" i="49"/>
  <c r="M18" i="35"/>
  <c r="M17" i="35"/>
  <c r="L4" i="1"/>
  <c r="P36" i="1"/>
  <c r="U9" i="1"/>
  <c r="AR23" i="1"/>
  <c r="BB19" i="1"/>
  <c r="T36" i="1"/>
  <c r="AS27" i="1"/>
  <c r="BG30" i="1"/>
  <c r="U26" i="1"/>
  <c r="U25" i="1"/>
  <c r="U18" i="1"/>
  <c r="U14" i="1"/>
  <c r="U32" i="1"/>
  <c r="I36" i="1"/>
  <c r="U13" i="1"/>
  <c r="AU12" i="1"/>
  <c r="M11" i="35"/>
  <c r="BB11" i="1"/>
  <c r="AY13" i="1"/>
  <c r="L17" i="35"/>
  <c r="AP4" i="1"/>
  <c r="AR26" i="1"/>
  <c r="BC4" i="1"/>
  <c r="AZ11" i="1"/>
  <c r="AW12" i="1"/>
  <c r="AP19" i="1"/>
  <c r="AU30" i="1"/>
  <c r="AP23" i="1"/>
  <c r="BE23" i="1"/>
  <c r="BC30" i="1"/>
  <c r="M12" i="35"/>
  <c r="BB18" i="1"/>
  <c r="U27" i="1"/>
  <c r="U10" i="1"/>
  <c r="U5" i="1"/>
  <c r="M36" i="1"/>
  <c r="BA9" i="1"/>
  <c r="M9" i="35"/>
  <c r="AS8" i="1"/>
  <c r="S36" i="1"/>
  <c r="U17" i="1"/>
  <c r="U36" i="1" s="1"/>
  <c r="AP11" i="1"/>
  <c r="AY25" i="1"/>
  <c r="AW27" i="1"/>
  <c r="L18" i="35"/>
  <c r="U19" i="1"/>
  <c r="AY9" i="1"/>
  <c r="K8" i="35"/>
  <c r="AQ11" i="1"/>
  <c r="AV25" i="1"/>
  <c r="AQ8" i="1"/>
  <c r="BC12" i="1"/>
  <c r="AS13" i="1"/>
  <c r="AU9" i="1"/>
  <c r="BH16" i="1"/>
  <c r="BH17" i="1"/>
  <c r="M6" i="35"/>
  <c r="BA7" i="1"/>
  <c r="AZ7" i="1"/>
  <c r="AU7" i="1"/>
  <c r="AY7" i="1"/>
  <c r="M7" i="35"/>
  <c r="BB6" i="1"/>
  <c r="AW6" i="1"/>
  <c r="AU6" i="1"/>
  <c r="AY6" i="1"/>
  <c r="M5" i="35"/>
  <c r="BA4" i="1"/>
  <c r="AW5" i="1"/>
  <c r="AU5" i="1"/>
  <c r="AY5" i="1"/>
  <c r="AZ4" i="1"/>
  <c r="AT4" i="1"/>
  <c r="M4" i="35"/>
  <c r="BB4" i="1"/>
  <c r="AU4" i="1"/>
  <c r="BB31" i="1"/>
  <c r="AU32" i="1"/>
  <c r="AT32" i="1"/>
  <c r="X26" i="49"/>
  <c r="K7" i="49"/>
  <c r="AF3" i="49"/>
  <c r="AJ3" i="49"/>
  <c r="BH7" i="49"/>
  <c r="AZ21" i="1"/>
  <c r="H33" i="1"/>
  <c r="J33" i="1" s="1"/>
  <c r="C34" i="44"/>
  <c r="BH3" i="49"/>
  <c r="BJ2" i="49"/>
  <c r="AJ2" i="49"/>
  <c r="U2" i="49"/>
  <c r="AG2" i="49"/>
  <c r="R2" i="49"/>
  <c r="AH2" i="49"/>
  <c r="BH2" i="49"/>
  <c r="AR23" i="49"/>
  <c r="AM23" i="49"/>
  <c r="AM2" i="49"/>
  <c r="I9" i="35"/>
  <c r="S11" i="1"/>
  <c r="U11" i="1" s="1"/>
  <c r="I6" i="35"/>
  <c r="H6" i="35"/>
  <c r="H17" i="35"/>
  <c r="I13" i="35"/>
  <c r="AK13" i="49"/>
  <c r="AE23" i="49"/>
  <c r="AJ23" i="49"/>
  <c r="AI23" i="49"/>
  <c r="I14" i="35"/>
  <c r="H15" i="35"/>
  <c r="AH12" i="49"/>
  <c r="AF12" i="49"/>
  <c r="AS20" i="1"/>
  <c r="H6" i="45"/>
  <c r="H34" i="1"/>
  <c r="K34" i="1" s="1"/>
  <c r="C35" i="44"/>
  <c r="J32" i="48" s="1"/>
  <c r="I6" i="45"/>
  <c r="G13" i="1"/>
  <c r="AN13" i="44"/>
  <c r="BG10" i="49" s="1"/>
  <c r="L11" i="1"/>
  <c r="AN12" i="44"/>
  <c r="BG9" i="49" s="1"/>
  <c r="D12" i="44"/>
  <c r="B14" i="44"/>
  <c r="L12" i="1"/>
  <c r="D13" i="44"/>
  <c r="K13" i="1"/>
  <c r="G16" i="1"/>
  <c r="B17" i="44"/>
  <c r="B18" i="44"/>
  <c r="G17" i="1"/>
  <c r="O6" i="45"/>
  <c r="G19" i="1"/>
  <c r="AN18" i="44"/>
  <c r="BG15" i="49" s="1"/>
  <c r="L17" i="1"/>
  <c r="N17" i="1" s="1"/>
  <c r="D18" i="44"/>
  <c r="E23" i="47"/>
  <c r="S6" i="45"/>
  <c r="G23" i="1"/>
  <c r="B24" i="44"/>
  <c r="X6" i="45"/>
  <c r="B29" i="44"/>
  <c r="AN27" i="44"/>
  <c r="D27" i="44"/>
  <c r="L26" i="1"/>
  <c r="N26" i="1" s="1"/>
  <c r="B31" i="44"/>
  <c r="G30" i="1"/>
  <c r="AN30" i="44"/>
  <c r="BG27" i="49" s="1"/>
  <c r="L29" i="1"/>
  <c r="G27" i="47" s="1"/>
  <c r="D30" i="44"/>
  <c r="AD6" i="45"/>
  <c r="AE6" i="45"/>
  <c r="AG6" i="45"/>
  <c r="AG24" i="45" s="1"/>
  <c r="D34" i="44"/>
  <c r="J83" i="3"/>
  <c r="J90" i="28"/>
  <c r="H88" i="50"/>
  <c r="J88" i="50" s="1"/>
  <c r="J76" i="2"/>
  <c r="H89" i="50"/>
  <c r="J89" i="50" s="1"/>
  <c r="J83" i="2"/>
  <c r="H75" i="50"/>
  <c r="J75" i="50" s="1"/>
  <c r="H77" i="50"/>
  <c r="J77" i="50" s="1"/>
  <c r="H63" i="50"/>
  <c r="J63" i="50" s="1"/>
  <c r="H76" i="50"/>
  <c r="J76" i="50" s="1"/>
  <c r="AH6" i="45"/>
  <c r="J84" i="2"/>
  <c r="K33" i="1"/>
  <c r="J66" i="3"/>
  <c r="J66" i="2"/>
  <c r="I18" i="17"/>
  <c r="I7" i="31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42" i="2"/>
  <c r="J43" i="2"/>
  <c r="J39" i="2"/>
  <c r="J46" i="2"/>
  <c r="J50" i="2"/>
  <c r="J51" i="2"/>
  <c r="J52" i="2"/>
  <c r="G12" i="4"/>
  <c r="G12" i="5"/>
  <c r="G11" i="5"/>
  <c r="G11" i="9"/>
  <c r="G11" i="21"/>
  <c r="G11" i="33"/>
  <c r="G11" i="27"/>
  <c r="G12" i="16"/>
  <c r="G11" i="16"/>
  <c r="G12" i="31"/>
  <c r="G12" i="8"/>
  <c r="G11" i="40"/>
  <c r="G11" i="10"/>
  <c r="G11" i="18"/>
  <c r="G12" i="25"/>
  <c r="G11" i="28"/>
  <c r="G12" i="11"/>
  <c r="G12" i="21"/>
  <c r="G12" i="23"/>
  <c r="G12" i="22"/>
  <c r="G12" i="19"/>
  <c r="G12" i="17"/>
  <c r="G11" i="31"/>
  <c r="G12" i="28"/>
  <c r="G11" i="25"/>
  <c r="G12" i="20"/>
  <c r="G11" i="15"/>
  <c r="G12" i="27"/>
  <c r="G12" i="30"/>
  <c r="G11" i="12"/>
  <c r="G11" i="11"/>
  <c r="G11" i="43"/>
  <c r="G12" i="18"/>
  <c r="G11" i="14"/>
  <c r="G11" i="8"/>
  <c r="G12" i="12"/>
  <c r="G12" i="13"/>
  <c r="G11" i="23"/>
  <c r="G11" i="24"/>
  <c r="G12" i="43"/>
  <c r="G12" i="33"/>
  <c r="G12" i="40"/>
  <c r="G11" i="7"/>
  <c r="G12" i="9"/>
  <c r="G12" i="7"/>
  <c r="G14" i="50"/>
  <c r="I14" i="50" s="1"/>
  <c r="J45" i="7"/>
  <c r="J45" i="13"/>
  <c r="J12" i="44" l="1"/>
  <c r="I9" i="49" s="1"/>
  <c r="G14" i="44"/>
  <c r="F11" i="49" s="1"/>
  <c r="BA13" i="1"/>
  <c r="K8" i="44"/>
  <c r="J5" i="49" s="1"/>
  <c r="AW7" i="1"/>
  <c r="BH7" i="1"/>
  <c r="L8" i="44"/>
  <c r="K5" i="49" s="1"/>
  <c r="I20" i="44"/>
  <c r="H17" i="49" s="1"/>
  <c r="AS19" i="1"/>
  <c r="E27" i="8"/>
  <c r="G27" i="8" s="1"/>
  <c r="C11" i="44"/>
  <c r="J8" i="48" s="1"/>
  <c r="BH15" i="1"/>
  <c r="L16" i="44"/>
  <c r="K13" i="49" s="1"/>
  <c r="J149" i="2"/>
  <c r="H149" i="3"/>
  <c r="AO9" i="44"/>
  <c r="BH6" i="49" s="1"/>
  <c r="AO8" i="1"/>
  <c r="K10" i="44"/>
  <c r="J7" i="49" s="1"/>
  <c r="BG9" i="1"/>
  <c r="K25" i="44"/>
  <c r="J22" i="49" s="1"/>
  <c r="AW24" i="1"/>
  <c r="I90" i="40"/>
  <c r="AI28" i="1"/>
  <c r="AX29" i="44"/>
  <c r="AG32" i="1"/>
  <c r="AV33" i="44"/>
  <c r="I89" i="30"/>
  <c r="AC33" i="44"/>
  <c r="AG11" i="45"/>
  <c r="X33" i="1"/>
  <c r="J45" i="12"/>
  <c r="J45" i="5"/>
  <c r="J45" i="3"/>
  <c r="BH12" i="1"/>
  <c r="J5" i="45"/>
  <c r="H175" i="2"/>
  <c r="X4" i="1"/>
  <c r="AM9" i="44"/>
  <c r="AL6" i="49" s="1"/>
  <c r="H46" i="3"/>
  <c r="I8" i="44"/>
  <c r="H5" i="49" s="1"/>
  <c r="AV28" i="44"/>
  <c r="J45" i="11"/>
  <c r="J45" i="2"/>
  <c r="AR4" i="1"/>
  <c r="AN7" i="44"/>
  <c r="BG4" i="49" s="1"/>
  <c r="Q5" i="45"/>
  <c r="H8" i="44"/>
  <c r="G5" i="49" s="1"/>
  <c r="AQ34" i="1"/>
  <c r="AC35" i="44"/>
  <c r="H122" i="3"/>
  <c r="J122" i="3" s="1"/>
  <c r="G80" i="50"/>
  <c r="H38" i="2"/>
  <c r="J38" i="2" s="1"/>
  <c r="H173" i="3"/>
  <c r="H83" i="4"/>
  <c r="G96" i="31"/>
  <c r="AW26" i="44"/>
  <c r="BJ30" i="1"/>
  <c r="J13" i="44"/>
  <c r="I10" i="49" s="1"/>
  <c r="C21" i="44"/>
  <c r="J18" i="48" s="1"/>
  <c r="O8" i="18"/>
  <c r="J45" i="10"/>
  <c r="J45" i="33"/>
  <c r="BE4" i="1"/>
  <c r="BA27" i="1"/>
  <c r="H4" i="45"/>
  <c r="G65" i="50"/>
  <c r="G100" i="2"/>
  <c r="H100" i="2" s="1"/>
  <c r="J100" i="2" s="1"/>
  <c r="G104" i="9"/>
  <c r="AJ34" i="1"/>
  <c r="T11" i="45"/>
  <c r="AQ18" i="49" s="1"/>
  <c r="E31" i="20"/>
  <c r="G31" i="20" s="1"/>
  <c r="G20" i="20"/>
  <c r="E24" i="19"/>
  <c r="K30" i="44"/>
  <c r="L6" i="1"/>
  <c r="BA11" i="1"/>
  <c r="L21" i="44"/>
  <c r="K18" i="49" s="1"/>
  <c r="AW35" i="44"/>
  <c r="I89" i="31"/>
  <c r="G29" i="1"/>
  <c r="G12" i="1"/>
  <c r="H5" i="45"/>
  <c r="H24" i="45" s="1"/>
  <c r="BD6" i="49" s="1"/>
  <c r="AO4" i="1"/>
  <c r="G102" i="10"/>
  <c r="AO17" i="44"/>
  <c r="BH14" i="49" s="1"/>
  <c r="AD30" i="44"/>
  <c r="AC27" i="49" s="1"/>
  <c r="J45" i="9"/>
  <c r="J45" i="8"/>
  <c r="J45" i="4"/>
  <c r="AU11" i="1"/>
  <c r="AE11" i="1" s="1"/>
  <c r="D6" i="45"/>
  <c r="D24" i="45" s="1"/>
  <c r="BD2" i="49" s="1"/>
  <c r="BA20" i="49"/>
  <c r="BE34" i="1"/>
  <c r="AH4" i="1"/>
  <c r="G20" i="2"/>
  <c r="K25" i="1"/>
  <c r="G20" i="33"/>
  <c r="G5" i="44"/>
  <c r="F2" i="49" s="1"/>
  <c r="G7" i="44"/>
  <c r="F4" i="49" s="1"/>
  <c r="G15" i="20"/>
  <c r="AN23" i="44" s="1"/>
  <c r="BG20" i="49" s="1"/>
  <c r="F15" i="20"/>
  <c r="E15" i="21" s="1"/>
  <c r="G15" i="21" s="1"/>
  <c r="AY32" i="1"/>
  <c r="BB29" i="49"/>
  <c r="K33" i="44"/>
  <c r="K32" i="44"/>
  <c r="J29" i="49" s="1"/>
  <c r="AE24" i="45"/>
  <c r="BD29" i="49" s="1"/>
  <c r="O31" i="1"/>
  <c r="BH32" i="1"/>
  <c r="G100" i="30"/>
  <c r="G102" i="30"/>
  <c r="G103" i="30" s="1"/>
  <c r="AF29" i="45"/>
  <c r="AW32" i="1"/>
  <c r="F32" i="44"/>
  <c r="E29" i="49" s="1"/>
  <c r="D32" i="44"/>
  <c r="AU32" i="44"/>
  <c r="I89" i="29"/>
  <c r="AV31" i="44"/>
  <c r="AC31" i="44"/>
  <c r="AB28" i="49" s="1"/>
  <c r="G98" i="28"/>
  <c r="G99" i="28" s="1"/>
  <c r="AS30" i="1"/>
  <c r="AY31" i="1"/>
  <c r="BA29" i="49"/>
  <c r="V31" i="1"/>
  <c r="AE9" i="45"/>
  <c r="AD17" i="45"/>
  <c r="AU28" i="49" s="1"/>
  <c r="G176" i="28"/>
  <c r="D31" i="44"/>
  <c r="L30" i="1"/>
  <c r="G28" i="47" s="1"/>
  <c r="AN31" i="44"/>
  <c r="BG28" i="49" s="1"/>
  <c r="F31" i="44"/>
  <c r="E28" i="49" s="1"/>
  <c r="AS27" i="49"/>
  <c r="G71" i="28"/>
  <c r="AG28" i="1"/>
  <c r="AC29" i="44"/>
  <c r="AB26" i="49" s="1"/>
  <c r="AC10" i="45"/>
  <c r="AP27" i="49" s="1"/>
  <c r="W29" i="1"/>
  <c r="AO29" i="1"/>
  <c r="G181" i="40"/>
  <c r="G189" i="40" s="1"/>
  <c r="G98" i="27"/>
  <c r="BC29" i="1"/>
  <c r="G98" i="40"/>
  <c r="BH29" i="1"/>
  <c r="M30" i="44"/>
  <c r="L27" i="49" s="1"/>
  <c r="G102" i="27"/>
  <c r="AY29" i="1"/>
  <c r="H28" i="1"/>
  <c r="D29" i="44"/>
  <c r="AN29" i="44"/>
  <c r="AT29" i="44" s="1"/>
  <c r="BM26" i="49" s="1"/>
  <c r="L28" i="1"/>
  <c r="N28" i="1" s="1"/>
  <c r="AO28" i="1"/>
  <c r="AS26" i="49"/>
  <c r="BA26" i="49"/>
  <c r="AB10" i="45"/>
  <c r="AP26" i="49" s="1"/>
  <c r="AS28" i="1"/>
  <c r="AP28" i="1"/>
  <c r="G94" i="40"/>
  <c r="F29" i="44"/>
  <c r="E26" i="49" s="1"/>
  <c r="B28" i="44"/>
  <c r="AD27" i="44"/>
  <c r="AC24" i="49" s="1"/>
  <c r="AX28" i="44"/>
  <c r="AS24" i="49"/>
  <c r="AA11" i="45"/>
  <c r="AQ25" i="49" s="1"/>
  <c r="X27" i="1"/>
  <c r="BD28" i="1"/>
  <c r="BH27" i="1"/>
  <c r="I28" i="44"/>
  <c r="H25" i="49" s="1"/>
  <c r="AY27" i="1"/>
  <c r="Z5" i="45"/>
  <c r="G20" i="24"/>
  <c r="Z10" i="45"/>
  <c r="AP24" i="49" s="1"/>
  <c r="Z9" i="45"/>
  <c r="AO24" i="49" s="1"/>
  <c r="K27" i="44"/>
  <c r="J24" i="49" s="1"/>
  <c r="BB26" i="1"/>
  <c r="H27" i="44"/>
  <c r="G24" i="49" s="1"/>
  <c r="G100" i="24"/>
  <c r="G100" i="23"/>
  <c r="BB25" i="1"/>
  <c r="BM25" i="1" s="1"/>
  <c r="M27" i="44"/>
  <c r="L24" i="49" s="1"/>
  <c r="G102" i="24"/>
  <c r="G103" i="24" s="1"/>
  <c r="Z6" i="45"/>
  <c r="Z24" i="45" s="1"/>
  <c r="BD24" i="49" s="1"/>
  <c r="G101" i="24"/>
  <c r="B27" i="44"/>
  <c r="G26" i="1"/>
  <c r="BH25" i="1"/>
  <c r="X24" i="45"/>
  <c r="BD22" i="49" s="1"/>
  <c r="J24" i="44"/>
  <c r="I21" i="49" s="1"/>
  <c r="E28" i="22"/>
  <c r="G28" i="22" s="1"/>
  <c r="L24" i="1"/>
  <c r="N24" i="1" s="1"/>
  <c r="BB22" i="49"/>
  <c r="AT22" i="49"/>
  <c r="AS24" i="1"/>
  <c r="G98" i="22"/>
  <c r="I25" i="44"/>
  <c r="H22" i="49" s="1"/>
  <c r="G100" i="21"/>
  <c r="G101" i="21" s="1"/>
  <c r="X23" i="1"/>
  <c r="W11" i="45"/>
  <c r="AQ21" i="49" s="1"/>
  <c r="AT21" i="49"/>
  <c r="V29" i="45"/>
  <c r="G186" i="21"/>
  <c r="AI23" i="1"/>
  <c r="W8" i="45"/>
  <c r="AN21" i="49" s="1"/>
  <c r="G64" i="21"/>
  <c r="H24" i="44"/>
  <c r="G21" i="49" s="1"/>
  <c r="BB23" i="1"/>
  <c r="I90" i="20"/>
  <c r="AX23" i="44"/>
  <c r="AI22" i="1"/>
  <c r="E28" i="19"/>
  <c r="G28" i="19" s="1"/>
  <c r="G79" i="19"/>
  <c r="L21" i="1"/>
  <c r="G19" i="47" s="1"/>
  <c r="G64" i="19"/>
  <c r="G64" i="20"/>
  <c r="K22" i="44"/>
  <c r="J19" i="49" s="1"/>
  <c r="M23" i="44"/>
  <c r="L20" i="49" s="1"/>
  <c r="AY22" i="1"/>
  <c r="O22" i="1"/>
  <c r="Q22" i="1" s="1"/>
  <c r="V6" i="45"/>
  <c r="V24" i="45" s="1"/>
  <c r="BD20" i="49" s="1"/>
  <c r="B23" i="44"/>
  <c r="G22" i="1"/>
  <c r="E18" i="47"/>
  <c r="K20" i="1"/>
  <c r="AM21" i="44"/>
  <c r="AL18" i="49" s="1"/>
  <c r="AI21" i="1"/>
  <c r="AX22" i="44"/>
  <c r="V21" i="1"/>
  <c r="G98" i="19"/>
  <c r="G99" i="19" s="1"/>
  <c r="G22" i="44"/>
  <c r="F19" i="49" s="1"/>
  <c r="I22" i="44"/>
  <c r="H19" i="49" s="1"/>
  <c r="AS21" i="1"/>
  <c r="G94" i="19"/>
  <c r="G95" i="19" s="1"/>
  <c r="AP21" i="1"/>
  <c r="F22" i="44"/>
  <c r="E19" i="49" s="1"/>
  <c r="E31" i="18"/>
  <c r="G31" i="18" s="1"/>
  <c r="H21" i="1"/>
  <c r="J21" i="1" s="1"/>
  <c r="E27" i="19"/>
  <c r="G27" i="19" s="1"/>
  <c r="C22" i="44"/>
  <c r="J19" i="48" s="1"/>
  <c r="AD20" i="44"/>
  <c r="AC17" i="49" s="1"/>
  <c r="AI20" i="1"/>
  <c r="AW20" i="44"/>
  <c r="AV21" i="44"/>
  <c r="AY21" i="44" s="1"/>
  <c r="AC21" i="44"/>
  <c r="AB18" i="49" s="1"/>
  <c r="T9" i="45"/>
  <c r="V20" i="1"/>
  <c r="S5" i="45"/>
  <c r="S24" i="45" s="1"/>
  <c r="BD17" i="49" s="1"/>
  <c r="G20" i="17"/>
  <c r="BJ19" i="1"/>
  <c r="AN18" i="1"/>
  <c r="W18" i="1"/>
  <c r="V19" i="1"/>
  <c r="G100" i="17"/>
  <c r="G101" i="17" s="1"/>
  <c r="AR19" i="1"/>
  <c r="L19" i="1"/>
  <c r="G17" i="47" s="1"/>
  <c r="AO18" i="1"/>
  <c r="AO19" i="44"/>
  <c r="BH16" i="49" s="1"/>
  <c r="AR16" i="49"/>
  <c r="H18" i="35"/>
  <c r="G104" i="16"/>
  <c r="AQ18" i="1"/>
  <c r="M19" i="44"/>
  <c r="L16" i="49" s="1"/>
  <c r="AI16" i="1"/>
  <c r="AG17" i="1"/>
  <c r="AV18" i="44"/>
  <c r="K17" i="35"/>
  <c r="Q14" i="45"/>
  <c r="G64" i="15"/>
  <c r="BB36" i="1"/>
  <c r="H18" i="44"/>
  <c r="G15" i="49" s="1"/>
  <c r="AR17" i="1"/>
  <c r="P5" i="45"/>
  <c r="G20" i="14"/>
  <c r="E29" i="28"/>
  <c r="G29" i="28" s="1"/>
  <c r="S30" i="1"/>
  <c r="U30" i="1" s="1"/>
  <c r="G24" i="44"/>
  <c r="F21" i="49" s="1"/>
  <c r="AN5" i="1"/>
  <c r="H183" i="3"/>
  <c r="AD19" i="44"/>
  <c r="AC16" i="49" s="1"/>
  <c r="N29" i="1"/>
  <c r="G101" i="50"/>
  <c r="G186" i="24"/>
  <c r="F33" i="44"/>
  <c r="AD34" i="1"/>
  <c r="AD33" i="44"/>
  <c r="G19" i="23"/>
  <c r="Y6" i="45" s="1"/>
  <c r="Y24" i="45" s="1"/>
  <c r="BD23" i="49" s="1"/>
  <c r="H168" i="22"/>
  <c r="G99" i="50"/>
  <c r="G104" i="5"/>
  <c r="G104" i="23"/>
  <c r="G102" i="23"/>
  <c r="G103" i="23" s="1"/>
  <c r="G100" i="40"/>
  <c r="AY33" i="44"/>
  <c r="AO26" i="44"/>
  <c r="H74" i="23"/>
  <c r="G32" i="31"/>
  <c r="E9" i="45"/>
  <c r="V5" i="1"/>
  <c r="G102" i="14"/>
  <c r="G103" i="14" s="1"/>
  <c r="E27" i="2"/>
  <c r="G27" i="2" s="1"/>
  <c r="H27" i="2" s="1"/>
  <c r="J27" i="2" s="1"/>
  <c r="AD31" i="44"/>
  <c r="AC28" i="49" s="1"/>
  <c r="G13" i="21"/>
  <c r="I13" i="21" s="1"/>
  <c r="G13" i="24"/>
  <c r="I13" i="24" s="1"/>
  <c r="I90" i="5"/>
  <c r="G94" i="8"/>
  <c r="G95" i="8" s="1"/>
  <c r="G102" i="22"/>
  <c r="G103" i="22" s="1"/>
  <c r="G98" i="24"/>
  <c r="G99" i="24" s="1"/>
  <c r="I33" i="44"/>
  <c r="G98" i="33"/>
  <c r="G99" i="33" s="1"/>
  <c r="G102" i="29"/>
  <c r="AD33" i="1"/>
  <c r="O17" i="35"/>
  <c r="G99" i="31"/>
  <c r="H185" i="3"/>
  <c r="J185" i="3" s="1"/>
  <c r="G94" i="9"/>
  <c r="AN26" i="1"/>
  <c r="I29" i="44"/>
  <c r="G13" i="3"/>
  <c r="G24" i="2"/>
  <c r="E29" i="2" s="1"/>
  <c r="G29" i="2" s="1"/>
  <c r="H29" i="2" s="1"/>
  <c r="G104" i="2"/>
  <c r="F8" i="44"/>
  <c r="AD29" i="44"/>
  <c r="AC26" i="49" s="1"/>
  <c r="AX17" i="44"/>
  <c r="G186" i="14"/>
  <c r="AQ16" i="1"/>
  <c r="G17" i="44"/>
  <c r="F14" i="49" s="1"/>
  <c r="AY16" i="1"/>
  <c r="M17" i="44"/>
  <c r="L14" i="49" s="1"/>
  <c r="P6" i="45"/>
  <c r="P18" i="45"/>
  <c r="AV14" i="49" s="1"/>
  <c r="G176" i="14"/>
  <c r="AN16" i="44"/>
  <c r="O9" i="13"/>
  <c r="I92" i="12"/>
  <c r="AU14" i="44"/>
  <c r="AZ14" i="44" s="1"/>
  <c r="AK13" i="1"/>
  <c r="AN13" i="1" s="1"/>
  <c r="AT11" i="49"/>
  <c r="G100" i="12"/>
  <c r="G101" i="12" s="1"/>
  <c r="G15" i="44"/>
  <c r="F12" i="49" s="1"/>
  <c r="BA14" i="1"/>
  <c r="G104" i="12"/>
  <c r="G105" i="12" s="1"/>
  <c r="J15" i="44"/>
  <c r="I12" i="49" s="1"/>
  <c r="AR14" i="1"/>
  <c r="H15" i="44"/>
  <c r="G12" i="49" s="1"/>
  <c r="M15" i="44"/>
  <c r="L12" i="49" s="1"/>
  <c r="G102" i="12"/>
  <c r="G103" i="12" s="1"/>
  <c r="AN15" i="44"/>
  <c r="AT15" i="44" s="1"/>
  <c r="L14" i="1"/>
  <c r="N23" i="45"/>
  <c r="AZ12" i="49" s="1"/>
  <c r="G181" i="12"/>
  <c r="G189" i="12" s="1"/>
  <c r="C14" i="44"/>
  <c r="J11" i="48" s="1"/>
  <c r="E11" i="47"/>
  <c r="BL13" i="1"/>
  <c r="G99" i="11"/>
  <c r="I92" i="11"/>
  <c r="J13" i="35"/>
  <c r="F13" i="44"/>
  <c r="E10" i="49" s="1"/>
  <c r="J14" i="44"/>
  <c r="I11" i="49" s="1"/>
  <c r="AV13" i="1"/>
  <c r="AE13" i="1" s="1"/>
  <c r="H14" i="44"/>
  <c r="G11" i="49" s="1"/>
  <c r="AR13" i="1"/>
  <c r="BM13" i="1" s="1"/>
  <c r="G100" i="11"/>
  <c r="G101" i="11" s="1"/>
  <c r="AP12" i="1"/>
  <c r="D14" i="44"/>
  <c r="AN14" i="44"/>
  <c r="BG11" i="49" s="1"/>
  <c r="G79" i="11"/>
  <c r="G80" i="11" s="1"/>
  <c r="L13" i="1"/>
  <c r="N13" i="1" s="1"/>
  <c r="G13" i="11"/>
  <c r="I13" i="11" s="1"/>
  <c r="M6" i="45"/>
  <c r="M24" i="45" s="1"/>
  <c r="BD11" i="49" s="1"/>
  <c r="G20" i="10"/>
  <c r="L5" i="45"/>
  <c r="L24" i="45" s="1"/>
  <c r="BD10" i="49" s="1"/>
  <c r="AR11" i="49"/>
  <c r="H13" i="35"/>
  <c r="K13" i="35" s="1"/>
  <c r="W13" i="1"/>
  <c r="M10" i="45"/>
  <c r="AP11" i="49" s="1"/>
  <c r="W12" i="1"/>
  <c r="G186" i="10"/>
  <c r="L15" i="45"/>
  <c r="L30" i="45" s="1"/>
  <c r="J12" i="35"/>
  <c r="I12" i="35"/>
  <c r="K12" i="35" s="1"/>
  <c r="W11" i="1"/>
  <c r="G64" i="10"/>
  <c r="K13" i="44"/>
  <c r="J10" i="49" s="1"/>
  <c r="BG12" i="1"/>
  <c r="AV12" i="1"/>
  <c r="AE12" i="1" s="1"/>
  <c r="H13" i="44"/>
  <c r="G10" i="49" s="1"/>
  <c r="G100" i="9"/>
  <c r="G104" i="10"/>
  <c r="G105" i="10" s="1"/>
  <c r="G13" i="44"/>
  <c r="F10" i="49" s="1"/>
  <c r="AQ12" i="1"/>
  <c r="G187" i="9"/>
  <c r="K6" i="45"/>
  <c r="K24" i="45" s="1"/>
  <c r="BD9" i="49" s="1"/>
  <c r="G11" i="1"/>
  <c r="G186" i="8"/>
  <c r="AD11" i="44"/>
  <c r="AC8" i="49" s="1"/>
  <c r="BJ13" i="1"/>
  <c r="BJ12" i="1"/>
  <c r="AY12" i="44"/>
  <c r="I89" i="9"/>
  <c r="AG11" i="1"/>
  <c r="G79" i="9"/>
  <c r="G80" i="9" s="1"/>
  <c r="AO11" i="44"/>
  <c r="BH8" i="49" s="1"/>
  <c r="K15" i="45"/>
  <c r="J11" i="35"/>
  <c r="BC8" i="49"/>
  <c r="AR8" i="49"/>
  <c r="X11" i="1"/>
  <c r="G102" i="9"/>
  <c r="G103" i="9" s="1"/>
  <c r="G102" i="8"/>
  <c r="BH11" i="1"/>
  <c r="L11" i="44"/>
  <c r="K8" i="49" s="1"/>
  <c r="G100" i="8"/>
  <c r="G101" i="8" s="1"/>
  <c r="AY10" i="1"/>
  <c r="M11" i="44"/>
  <c r="L8" i="49" s="1"/>
  <c r="AY11" i="1"/>
  <c r="R11" i="1"/>
  <c r="Q11" i="1"/>
  <c r="E12" i="44"/>
  <c r="H10" i="1"/>
  <c r="G95" i="9"/>
  <c r="B12" i="44"/>
  <c r="H18" i="3"/>
  <c r="H18" i="4" s="1"/>
  <c r="J21" i="45"/>
  <c r="AX8" i="49" s="1"/>
  <c r="G181" i="8"/>
  <c r="G189" i="8" s="1"/>
  <c r="AU11" i="44"/>
  <c r="AK10" i="1"/>
  <c r="AN10" i="1" s="1"/>
  <c r="I92" i="8"/>
  <c r="I89" i="8"/>
  <c r="J15" i="45"/>
  <c r="AT8" i="49" s="1"/>
  <c r="J10" i="35"/>
  <c r="AT7" i="49"/>
  <c r="J9" i="35"/>
  <c r="K10" i="35"/>
  <c r="J7" i="45"/>
  <c r="AM8" i="49" s="1"/>
  <c r="G64" i="8"/>
  <c r="BG10" i="1"/>
  <c r="K11" i="44"/>
  <c r="J8" i="49" s="1"/>
  <c r="BE10" i="1"/>
  <c r="J11" i="44"/>
  <c r="I8" i="49" s="1"/>
  <c r="H11" i="44"/>
  <c r="G8" i="49" s="1"/>
  <c r="BB10" i="1"/>
  <c r="G59" i="8"/>
  <c r="G94" i="7"/>
  <c r="J10" i="44"/>
  <c r="I7" i="49" s="1"/>
  <c r="G96" i="7"/>
  <c r="E9" i="35" s="1"/>
  <c r="G9" i="35" s="1"/>
  <c r="I11" i="44"/>
  <c r="G99" i="8"/>
  <c r="AQ10" i="1"/>
  <c r="G104" i="8"/>
  <c r="G105" i="8" s="1"/>
  <c r="G11" i="44"/>
  <c r="F8" i="49" s="1"/>
  <c r="E28" i="8"/>
  <c r="G28" i="8" s="1"/>
  <c r="L10" i="1"/>
  <c r="G8" i="47" s="1"/>
  <c r="AN11" i="44"/>
  <c r="BG8" i="49" s="1"/>
  <c r="D11" i="44"/>
  <c r="G10" i="1"/>
  <c r="B10" i="44"/>
  <c r="G103" i="8"/>
  <c r="B11" i="44"/>
  <c r="J184" i="2"/>
  <c r="H184" i="4"/>
  <c r="G186" i="7"/>
  <c r="G181" i="7"/>
  <c r="G189" i="7" s="1"/>
  <c r="I92" i="7"/>
  <c r="I90" i="7"/>
  <c r="AX10" i="44"/>
  <c r="AI9" i="1"/>
  <c r="H9" i="35"/>
  <c r="K9" i="35" s="1"/>
  <c r="I30" i="45"/>
  <c r="X9" i="1"/>
  <c r="AP7" i="49"/>
  <c r="G71" i="7"/>
  <c r="L9" i="35" s="1"/>
  <c r="O9" i="35" s="1"/>
  <c r="G64" i="7"/>
  <c r="BF9" i="1"/>
  <c r="AE9" i="1" s="1"/>
  <c r="H10" i="44"/>
  <c r="G7" i="49" s="1"/>
  <c r="G100" i="7"/>
  <c r="G101" i="7" s="1"/>
  <c r="G59" i="7"/>
  <c r="G102" i="7"/>
  <c r="G103" i="7" s="1"/>
  <c r="G104" i="7"/>
  <c r="G105" i="7" s="1"/>
  <c r="AQ9" i="1"/>
  <c r="G10" i="44"/>
  <c r="F7" i="49" s="1"/>
  <c r="AP9" i="1"/>
  <c r="F10" i="44"/>
  <c r="E7" i="49" s="1"/>
  <c r="E10" i="44"/>
  <c r="D10" i="44"/>
  <c r="E28" i="7"/>
  <c r="G28" i="7" s="1"/>
  <c r="L9" i="1"/>
  <c r="AN10" i="44"/>
  <c r="BG7" i="49" s="1"/>
  <c r="G79" i="7"/>
  <c r="G80" i="7" s="1"/>
  <c r="BL8" i="1"/>
  <c r="H8" i="1"/>
  <c r="E6" i="47" s="1"/>
  <c r="G186" i="5"/>
  <c r="AT6" i="49"/>
  <c r="X8" i="1"/>
  <c r="G64" i="5"/>
  <c r="AN9" i="44"/>
  <c r="BG6" i="49" s="1"/>
  <c r="E28" i="33"/>
  <c r="G28" i="33" s="1"/>
  <c r="L8" i="1"/>
  <c r="D9" i="44"/>
  <c r="G79" i="33"/>
  <c r="G80" i="33" s="1"/>
  <c r="L7" i="1"/>
  <c r="AN8" i="44"/>
  <c r="BG5" i="49" s="1"/>
  <c r="D8" i="44"/>
  <c r="AD9" i="44"/>
  <c r="AC6" i="49" s="1"/>
  <c r="BC6" i="49"/>
  <c r="AR6" i="49"/>
  <c r="K9" i="44"/>
  <c r="J6" i="49" s="1"/>
  <c r="BG8" i="1"/>
  <c r="G96" i="33"/>
  <c r="G97" i="33" s="1"/>
  <c r="J8" i="44"/>
  <c r="I5" i="49" s="1"/>
  <c r="F9" i="44"/>
  <c r="E6" i="49" s="1"/>
  <c r="J9" i="44"/>
  <c r="I6" i="49" s="1"/>
  <c r="AV8" i="1"/>
  <c r="BI8" i="1" s="1"/>
  <c r="AR8" i="1"/>
  <c r="G100" i="33"/>
  <c r="G101" i="33" s="1"/>
  <c r="H9" i="44"/>
  <c r="G6" i="49" s="1"/>
  <c r="G8" i="44"/>
  <c r="F5" i="49" s="1"/>
  <c r="G102" i="33"/>
  <c r="G103" i="33" s="1"/>
  <c r="G8" i="1"/>
  <c r="B9" i="44"/>
  <c r="G105" i="33"/>
  <c r="H149" i="4"/>
  <c r="H149" i="5" s="1"/>
  <c r="AV7" i="44"/>
  <c r="AY7" i="44" s="1"/>
  <c r="I89" i="4"/>
  <c r="AO6" i="1"/>
  <c r="X7" i="1"/>
  <c r="G100" i="4"/>
  <c r="G101" i="4" s="1"/>
  <c r="BH6" i="1"/>
  <c r="G96" i="5"/>
  <c r="E7" i="35" s="1"/>
  <c r="G7" i="35" s="1"/>
  <c r="AS7" i="1"/>
  <c r="G100" i="5"/>
  <c r="G101" i="5" s="1"/>
  <c r="AQ6" i="1"/>
  <c r="G104" i="4"/>
  <c r="G105" i="4" s="1"/>
  <c r="AP7" i="1"/>
  <c r="E30" i="4"/>
  <c r="G30" i="4" s="1"/>
  <c r="F6" i="45"/>
  <c r="F24" i="45" s="1"/>
  <c r="BD4" i="49" s="1"/>
  <c r="H7" i="1"/>
  <c r="C8" i="44"/>
  <c r="J5" i="48" s="1"/>
  <c r="E27" i="5"/>
  <c r="G27" i="5" s="1"/>
  <c r="H183" i="4"/>
  <c r="J183" i="4" s="1"/>
  <c r="H151" i="3"/>
  <c r="AH6" i="1"/>
  <c r="I89" i="3"/>
  <c r="F15" i="45"/>
  <c r="J7" i="35"/>
  <c r="H70" i="4"/>
  <c r="J70" i="4" s="1"/>
  <c r="F14" i="45"/>
  <c r="BA4" i="49" s="1"/>
  <c r="I7" i="35"/>
  <c r="AR4" i="49"/>
  <c r="H7" i="35"/>
  <c r="AN5" i="49"/>
  <c r="G187" i="4"/>
  <c r="G96" i="4"/>
  <c r="E6" i="35" s="1"/>
  <c r="G6" i="35" s="1"/>
  <c r="F6" i="44"/>
  <c r="E3" i="49" s="1"/>
  <c r="AV6" i="1"/>
  <c r="AE6" i="1" s="1"/>
  <c r="J7" i="44"/>
  <c r="I4" i="49" s="1"/>
  <c r="G98" i="4"/>
  <c r="G99" i="4" s="1"/>
  <c r="I7" i="44"/>
  <c r="H4" i="49" s="1"/>
  <c r="AS6" i="1"/>
  <c r="BL6" i="1" s="1"/>
  <c r="H7" i="44"/>
  <c r="G4" i="49" s="1"/>
  <c r="AP6" i="1"/>
  <c r="F7" i="44"/>
  <c r="J18" i="3"/>
  <c r="G13" i="4"/>
  <c r="O12" i="4" s="1"/>
  <c r="E4" i="47"/>
  <c r="BM6" i="1"/>
  <c r="K6" i="1"/>
  <c r="C6" i="44"/>
  <c r="E19" i="45"/>
  <c r="AW3" i="49" s="1"/>
  <c r="H175" i="3"/>
  <c r="H165" i="3"/>
  <c r="J165" i="3" s="1"/>
  <c r="H164" i="3"/>
  <c r="H164" i="4" s="1"/>
  <c r="J164" i="4" s="1"/>
  <c r="AA6" i="44"/>
  <c r="Z3" i="49" s="1"/>
  <c r="H161" i="3"/>
  <c r="J161" i="3" s="1"/>
  <c r="H150" i="3"/>
  <c r="H150" i="4" s="1"/>
  <c r="J150" i="4" s="1"/>
  <c r="J150" i="2"/>
  <c r="J149" i="3"/>
  <c r="H145" i="3"/>
  <c r="J145" i="3" s="1"/>
  <c r="H143" i="2"/>
  <c r="AM5" i="44"/>
  <c r="AL2" i="49" s="1"/>
  <c r="AM6" i="44"/>
  <c r="AL3" i="49" s="1"/>
  <c r="BJ5" i="1"/>
  <c r="H132" i="3"/>
  <c r="H132" i="4" s="1"/>
  <c r="H130" i="3"/>
  <c r="H130" i="4" s="1"/>
  <c r="J130" i="4" s="1"/>
  <c r="H123" i="2"/>
  <c r="J123" i="2" s="1"/>
  <c r="AH6" i="44"/>
  <c r="AG3" i="49" s="1"/>
  <c r="H119" i="3"/>
  <c r="H119" i="4" s="1"/>
  <c r="H112" i="3"/>
  <c r="J112" i="3" s="1"/>
  <c r="I90" i="3"/>
  <c r="AI5" i="1"/>
  <c r="AJ5" i="1" s="1"/>
  <c r="AX6" i="44"/>
  <c r="H90" i="2"/>
  <c r="H90" i="3" s="1"/>
  <c r="J90" i="3" s="1"/>
  <c r="AG4" i="1"/>
  <c r="AJ4" i="1" s="1"/>
  <c r="I89" i="2"/>
  <c r="H87" i="2"/>
  <c r="J87" i="2" s="1"/>
  <c r="H86" i="3"/>
  <c r="J86" i="3" s="1"/>
  <c r="H85" i="2"/>
  <c r="J85" i="2" s="1"/>
  <c r="H77" i="3"/>
  <c r="J77" i="2"/>
  <c r="G79" i="2"/>
  <c r="H79" i="2" s="1"/>
  <c r="H76" i="3"/>
  <c r="J76" i="3" s="1"/>
  <c r="J4" i="35"/>
  <c r="J70" i="2"/>
  <c r="J70" i="3"/>
  <c r="E14" i="45"/>
  <c r="I5" i="35"/>
  <c r="K5" i="35" s="1"/>
  <c r="BC3" i="49"/>
  <c r="H5" i="35"/>
  <c r="G188" i="3"/>
  <c r="E11" i="45"/>
  <c r="AQ3" i="49" s="1"/>
  <c r="X5" i="1"/>
  <c r="E29" i="45"/>
  <c r="AO3" i="49"/>
  <c r="D9" i="45"/>
  <c r="G71" i="3"/>
  <c r="L5" i="35" s="1"/>
  <c r="O5" i="35" s="1"/>
  <c r="Y4" i="1"/>
  <c r="J58" i="2"/>
  <c r="Y5" i="44"/>
  <c r="BB5" i="1"/>
  <c r="BM5" i="1" s="1"/>
  <c r="H6" i="44"/>
  <c r="G3" i="49" s="1"/>
  <c r="H52" i="3"/>
  <c r="G100" i="3"/>
  <c r="G101" i="3" s="1"/>
  <c r="AV5" i="1"/>
  <c r="BI5" i="1" s="1"/>
  <c r="J6" i="44"/>
  <c r="I3" i="49" s="1"/>
  <c r="J5" i="44"/>
  <c r="I2" i="49" s="1"/>
  <c r="AV4" i="1"/>
  <c r="G96" i="2"/>
  <c r="G97" i="2" s="1"/>
  <c r="H42" i="3"/>
  <c r="AS4" i="1"/>
  <c r="BL4" i="1" s="1"/>
  <c r="H39" i="3"/>
  <c r="G6" i="44"/>
  <c r="AQ5" i="1"/>
  <c r="AP5" i="1"/>
  <c r="G94" i="3"/>
  <c r="G95" i="3" s="1"/>
  <c r="E30" i="3"/>
  <c r="G30" i="3" s="1"/>
  <c r="H30" i="3" s="1"/>
  <c r="J30" i="3" s="1"/>
  <c r="E6" i="45"/>
  <c r="G20" i="3"/>
  <c r="E28" i="3"/>
  <c r="G28" i="3" s="1"/>
  <c r="L5" i="1"/>
  <c r="AN6" i="44"/>
  <c r="J5" i="1"/>
  <c r="E3" i="47"/>
  <c r="K5" i="1"/>
  <c r="G4" i="1"/>
  <c r="H7" i="2"/>
  <c r="H7" i="3" s="1"/>
  <c r="J7" i="3" s="1"/>
  <c r="AZ17" i="49"/>
  <c r="J173" i="2"/>
  <c r="H174" i="2"/>
  <c r="J174" i="2" s="1"/>
  <c r="G176" i="2"/>
  <c r="H176" i="2" s="1"/>
  <c r="J176" i="2" s="1"/>
  <c r="H162" i="2"/>
  <c r="H138" i="3"/>
  <c r="J138" i="2"/>
  <c r="H150" i="5"/>
  <c r="H150" i="33" s="1"/>
  <c r="J150" i="33" s="1"/>
  <c r="J129" i="2"/>
  <c r="H129" i="3"/>
  <c r="J129" i="3" s="1"/>
  <c r="J128" i="2"/>
  <c r="H128" i="3"/>
  <c r="H128" i="4" s="1"/>
  <c r="H131" i="3"/>
  <c r="J131" i="3" s="1"/>
  <c r="H133" i="2"/>
  <c r="J118" i="2"/>
  <c r="H118" i="3"/>
  <c r="J118" i="3" s="1"/>
  <c r="AJ5" i="44"/>
  <c r="AI2" i="49" s="1"/>
  <c r="J86" i="2"/>
  <c r="AI4" i="1"/>
  <c r="J84" i="3"/>
  <c r="J90" i="2"/>
  <c r="AX5" i="44"/>
  <c r="AY5" i="44" s="1"/>
  <c r="AB4" i="1"/>
  <c r="AD4" i="1" s="1"/>
  <c r="G80" i="2"/>
  <c r="H75" i="2"/>
  <c r="J75" i="2" s="1"/>
  <c r="BC2" i="49"/>
  <c r="AR2" i="49"/>
  <c r="H4" i="35"/>
  <c r="K4" i="35" s="1"/>
  <c r="G71" i="2"/>
  <c r="H68" i="2"/>
  <c r="G64" i="2"/>
  <c r="H64" i="2" s="1"/>
  <c r="J64" i="2" s="1"/>
  <c r="G187" i="2"/>
  <c r="H187" i="2" s="1"/>
  <c r="D8" i="45"/>
  <c r="AN2" i="49" s="1"/>
  <c r="BH4" i="1"/>
  <c r="BF4" i="1"/>
  <c r="L5" i="44"/>
  <c r="K2" i="49" s="1"/>
  <c r="G95" i="2"/>
  <c r="H95" i="2" s="1"/>
  <c r="J95" i="2" s="1"/>
  <c r="G102" i="2"/>
  <c r="H56" i="2"/>
  <c r="J56" i="2" s="1"/>
  <c r="H55" i="3"/>
  <c r="J54" i="2"/>
  <c r="BD4" i="1"/>
  <c r="G101" i="2"/>
  <c r="H101" i="2" s="1"/>
  <c r="J101" i="2" s="1"/>
  <c r="BG4" i="1"/>
  <c r="H104" i="2"/>
  <c r="J104" i="2" s="1"/>
  <c r="G105" i="2"/>
  <c r="H105" i="2" s="1"/>
  <c r="J105" i="2" s="1"/>
  <c r="H35" i="3"/>
  <c r="J35" i="3" s="1"/>
  <c r="J35" i="2"/>
  <c r="J36" i="2"/>
  <c r="H37" i="3"/>
  <c r="J37" i="2"/>
  <c r="AQ4" i="1"/>
  <c r="H24" i="2"/>
  <c r="S4" i="1"/>
  <c r="U4" i="1" s="1"/>
  <c r="H22" i="2"/>
  <c r="J22" i="2" s="1"/>
  <c r="H19" i="2"/>
  <c r="E2" i="47"/>
  <c r="H8" i="2"/>
  <c r="O8" i="2"/>
  <c r="K4" i="1"/>
  <c r="H9" i="2"/>
  <c r="G13" i="2"/>
  <c r="H13" i="2" s="1"/>
  <c r="J13" i="2" s="1"/>
  <c r="G181" i="31"/>
  <c r="G189" i="31" s="1"/>
  <c r="G176" i="31"/>
  <c r="G153" i="31"/>
  <c r="I153" i="31" s="1"/>
  <c r="G125" i="31"/>
  <c r="I125" i="31" s="1"/>
  <c r="I87" i="31"/>
  <c r="G79" i="31"/>
  <c r="G80" i="31" s="1"/>
  <c r="AT35" i="44"/>
  <c r="G188" i="31"/>
  <c r="G71" i="31"/>
  <c r="AH9" i="45"/>
  <c r="K35" i="44"/>
  <c r="AE34" i="1"/>
  <c r="G94" i="31"/>
  <c r="G95" i="31" s="1"/>
  <c r="AZ34" i="1"/>
  <c r="G59" i="31"/>
  <c r="G47" i="31"/>
  <c r="AH24" i="45"/>
  <c r="G13" i="31"/>
  <c r="G97" i="31"/>
  <c r="G34" i="1"/>
  <c r="G101" i="31"/>
  <c r="B35" i="44"/>
  <c r="G105" i="31"/>
  <c r="AH27" i="45"/>
  <c r="G64" i="43"/>
  <c r="AX35" i="44"/>
  <c r="AY35" i="44" s="1"/>
  <c r="I91" i="50"/>
  <c r="AS33" i="1"/>
  <c r="BL33" i="1" s="1"/>
  <c r="L33" i="1"/>
  <c r="AN34" i="44"/>
  <c r="AT34" i="44" s="1"/>
  <c r="G186" i="43"/>
  <c r="AG23" i="45"/>
  <c r="G181" i="43"/>
  <c r="G189" i="43" s="1"/>
  <c r="AG18" i="45"/>
  <c r="G176" i="43"/>
  <c r="G135" i="43"/>
  <c r="I135" i="43" s="1"/>
  <c r="G125" i="43"/>
  <c r="I125" i="43" s="1"/>
  <c r="I92" i="43"/>
  <c r="AU34" i="44"/>
  <c r="AK33" i="1"/>
  <c r="AN33" i="1" s="1"/>
  <c r="AC34" i="44"/>
  <c r="I89" i="43"/>
  <c r="I87" i="30"/>
  <c r="AB32" i="1"/>
  <c r="AD32" i="1" s="1"/>
  <c r="G79" i="43"/>
  <c r="G80" i="43" s="1"/>
  <c r="AO33" i="1"/>
  <c r="AG30" i="45"/>
  <c r="AG25" i="45"/>
  <c r="AG29" i="45"/>
  <c r="G59" i="43"/>
  <c r="F34" i="44"/>
  <c r="G94" i="43"/>
  <c r="AZ33" i="1"/>
  <c r="BK33" i="1" s="1"/>
  <c r="G96" i="43"/>
  <c r="G97" i="43" s="1"/>
  <c r="J34" i="44"/>
  <c r="AR33" i="1"/>
  <c r="BM33" i="1" s="1"/>
  <c r="G104" i="30"/>
  <c r="G105" i="30" s="1"/>
  <c r="M34" i="44"/>
  <c r="G102" i="43"/>
  <c r="G103" i="43" s="1"/>
  <c r="AY33" i="1"/>
  <c r="G47" i="43"/>
  <c r="C33" i="44"/>
  <c r="H32" i="1"/>
  <c r="BL32" i="1" s="1"/>
  <c r="G101" i="43"/>
  <c r="G105" i="43"/>
  <c r="G33" i="1"/>
  <c r="B34" i="44"/>
  <c r="G95" i="43"/>
  <c r="G186" i="29"/>
  <c r="G186" i="30"/>
  <c r="AF19" i="45"/>
  <c r="G176" i="30"/>
  <c r="G135" i="30"/>
  <c r="I135" i="30" s="1"/>
  <c r="G125" i="30"/>
  <c r="I125" i="30" s="1"/>
  <c r="AI31" i="1"/>
  <c r="AJ31" i="1" s="1"/>
  <c r="AV32" i="44"/>
  <c r="AC32" i="44"/>
  <c r="AB29" i="49" s="1"/>
  <c r="X32" i="1"/>
  <c r="W32" i="1"/>
  <c r="AF10" i="45"/>
  <c r="G187" i="30"/>
  <c r="J33" i="44"/>
  <c r="G96" i="30"/>
  <c r="G97" i="30" s="1"/>
  <c r="BA32" i="1"/>
  <c r="G33" i="44"/>
  <c r="L32" i="44"/>
  <c r="K29" i="49" s="1"/>
  <c r="BH31" i="1"/>
  <c r="AS31" i="1"/>
  <c r="AP32" i="1"/>
  <c r="G47" i="30"/>
  <c r="E28" i="30"/>
  <c r="G28" i="30" s="1"/>
  <c r="D33" i="44"/>
  <c r="AN33" i="44"/>
  <c r="L32" i="1"/>
  <c r="G13" i="30"/>
  <c r="I13" i="30" s="1"/>
  <c r="G101" i="30"/>
  <c r="G32" i="1"/>
  <c r="B33" i="44"/>
  <c r="G176" i="29"/>
  <c r="G135" i="28"/>
  <c r="I135" i="28" s="1"/>
  <c r="AN31" i="1"/>
  <c r="I92" i="29"/>
  <c r="H90" i="29"/>
  <c r="AX32" i="44"/>
  <c r="AI30" i="1"/>
  <c r="AJ30" i="1" s="1"/>
  <c r="I87" i="29"/>
  <c r="X31" i="1"/>
  <c r="AE11" i="45"/>
  <c r="AE30" i="45" s="1"/>
  <c r="G188" i="29"/>
  <c r="J32" i="44"/>
  <c r="I29" i="49" s="1"/>
  <c r="AU31" i="1"/>
  <c r="AR31" i="1"/>
  <c r="H32" i="44"/>
  <c r="G29" i="49" s="1"/>
  <c r="G104" i="29"/>
  <c r="G32" i="44"/>
  <c r="F29" i="49" s="1"/>
  <c r="G94" i="29"/>
  <c r="G94" i="28"/>
  <c r="G95" i="28" s="1"/>
  <c r="G188" i="28"/>
  <c r="AR29" i="49"/>
  <c r="BC29" i="49"/>
  <c r="G187" i="28"/>
  <c r="AD5" i="45"/>
  <c r="AD24" i="45" s="1"/>
  <c r="BD28" i="49" s="1"/>
  <c r="L31" i="1"/>
  <c r="G29" i="47" s="1"/>
  <c r="AN32" i="44"/>
  <c r="AT32" i="44" s="1"/>
  <c r="AU30" i="44"/>
  <c r="I89" i="27"/>
  <c r="AJ29" i="1"/>
  <c r="AV30" i="44"/>
  <c r="I89" i="28"/>
  <c r="K31" i="44"/>
  <c r="J28" i="49" s="1"/>
  <c r="J31" i="44"/>
  <c r="I28" i="49" s="1"/>
  <c r="G31" i="44"/>
  <c r="F28" i="49" s="1"/>
  <c r="BA30" i="1"/>
  <c r="G104" i="28"/>
  <c r="G105" i="28" s="1"/>
  <c r="G30" i="44"/>
  <c r="F27" i="49" s="1"/>
  <c r="G59" i="28"/>
  <c r="AE30" i="1"/>
  <c r="I30" i="44"/>
  <c r="H27" i="49" s="1"/>
  <c r="H31" i="44"/>
  <c r="G28" i="49" s="1"/>
  <c r="AQ29" i="1"/>
  <c r="G102" i="28"/>
  <c r="G103" i="28" s="1"/>
  <c r="AY30" i="1"/>
  <c r="M31" i="44"/>
  <c r="L28" i="49" s="1"/>
  <c r="G186" i="27"/>
  <c r="G186" i="28"/>
  <c r="X30" i="1"/>
  <c r="Y30" i="1" s="1"/>
  <c r="AD11" i="45"/>
  <c r="AC27" i="45"/>
  <c r="BF27" i="49" s="1"/>
  <c r="AO30" i="1"/>
  <c r="AO31" i="44"/>
  <c r="BH28" i="49" s="1"/>
  <c r="AC5" i="45"/>
  <c r="C31" i="44"/>
  <c r="J28" i="48" s="1"/>
  <c r="H30" i="1"/>
  <c r="BK30" i="1" s="1"/>
  <c r="AX27" i="49"/>
  <c r="G181" i="27"/>
  <c r="G189" i="27" s="1"/>
  <c r="BJ29" i="1"/>
  <c r="AM30" i="44"/>
  <c r="AL27" i="49" s="1"/>
  <c r="G125" i="27"/>
  <c r="I125" i="27" s="1"/>
  <c r="I92" i="27"/>
  <c r="AN28" i="1"/>
  <c r="AK29" i="1"/>
  <c r="AN29" i="1" s="1"/>
  <c r="I87" i="27"/>
  <c r="AT30" i="44"/>
  <c r="BM27" i="49" s="1"/>
  <c r="BH27" i="49"/>
  <c r="AT27" i="49"/>
  <c r="BB27" i="49"/>
  <c r="X29" i="1"/>
  <c r="BC26" i="49"/>
  <c r="AR26" i="49"/>
  <c r="AB27" i="45"/>
  <c r="BF26" i="49" s="1"/>
  <c r="AC30" i="45"/>
  <c r="AQ27" i="49"/>
  <c r="AO27" i="49"/>
  <c r="AC29" i="45"/>
  <c r="V29" i="1"/>
  <c r="BG29" i="1"/>
  <c r="BO29" i="1" s="1"/>
  <c r="G94" i="27"/>
  <c r="G95" i="27" s="1"/>
  <c r="J30" i="44"/>
  <c r="I27" i="49" s="1"/>
  <c r="H30" i="44"/>
  <c r="G27" i="49" s="1"/>
  <c r="F30" i="44"/>
  <c r="E27" i="49" s="1"/>
  <c r="AZ29" i="1"/>
  <c r="AR28" i="1"/>
  <c r="AR29" i="1"/>
  <c r="G47" i="27"/>
  <c r="G104" i="27"/>
  <c r="G105" i="27" s="1"/>
  <c r="G181" i="25"/>
  <c r="G189" i="25" s="1"/>
  <c r="G176" i="25"/>
  <c r="AZ26" i="49"/>
  <c r="AU29" i="44"/>
  <c r="AI27" i="1"/>
  <c r="I89" i="40"/>
  <c r="AW29" i="44"/>
  <c r="AY29" i="44" s="1"/>
  <c r="AH28" i="1"/>
  <c r="AJ28" i="1" s="1"/>
  <c r="AY28" i="44"/>
  <c r="I89" i="25"/>
  <c r="G64" i="40"/>
  <c r="J29" i="44"/>
  <c r="I26" i="49" s="1"/>
  <c r="L29" i="44"/>
  <c r="K26" i="49" s="1"/>
  <c r="G104" i="40"/>
  <c r="G105" i="40" s="1"/>
  <c r="AQ28" i="1"/>
  <c r="G29" i="44"/>
  <c r="F26" i="49" s="1"/>
  <c r="M29" i="44"/>
  <c r="L26" i="49" s="1"/>
  <c r="AA6" i="45"/>
  <c r="AA24" i="45" s="1"/>
  <c r="BD25" i="49" s="1"/>
  <c r="AN28" i="44"/>
  <c r="AA8" i="45"/>
  <c r="AN25" i="49" s="1"/>
  <c r="G64" i="25"/>
  <c r="AU28" i="44"/>
  <c r="AZ28" i="44" s="1"/>
  <c r="AK27" i="1"/>
  <c r="I92" i="25"/>
  <c r="AC27" i="44"/>
  <c r="AB24" i="49" s="1"/>
  <c r="AG27" i="1"/>
  <c r="AJ27" i="1" s="1"/>
  <c r="G188" i="25"/>
  <c r="Y27" i="1"/>
  <c r="BG27" i="1"/>
  <c r="K28" i="44"/>
  <c r="J25" i="49" s="1"/>
  <c r="AZ27" i="1"/>
  <c r="F28" i="44"/>
  <c r="E25" i="49" s="1"/>
  <c r="G94" i="25"/>
  <c r="G95" i="25" s="1"/>
  <c r="AU27" i="1"/>
  <c r="AE27" i="1" s="1"/>
  <c r="J28" i="44"/>
  <c r="I25" i="49" s="1"/>
  <c r="AR27" i="1"/>
  <c r="H28" i="44"/>
  <c r="G25" i="49" s="1"/>
  <c r="G100" i="25"/>
  <c r="G101" i="25" s="1"/>
  <c r="AP27" i="1"/>
  <c r="D28" i="44"/>
  <c r="L27" i="1"/>
  <c r="AZ8" i="49"/>
  <c r="BA28" i="49"/>
  <c r="AS28" i="49"/>
  <c r="G7" i="1"/>
  <c r="B8" i="44"/>
  <c r="G59" i="3"/>
  <c r="AZ5" i="1"/>
  <c r="G98" i="3"/>
  <c r="G99" i="3" s="1"/>
  <c r="BC5" i="1"/>
  <c r="H57" i="3"/>
  <c r="BG5" i="1"/>
  <c r="AF6" i="44"/>
  <c r="AE3" i="49" s="1"/>
  <c r="H117" i="3"/>
  <c r="AJ6" i="44"/>
  <c r="AI3" i="49" s="1"/>
  <c r="H121" i="3"/>
  <c r="AZ3" i="49"/>
  <c r="E27" i="45"/>
  <c r="BF3" i="49" s="1"/>
  <c r="V7" i="1"/>
  <c r="G9" i="45"/>
  <c r="G15" i="45"/>
  <c r="J6" i="35"/>
  <c r="AG7" i="1"/>
  <c r="AJ7" i="1" s="1"/>
  <c r="AV8" i="44"/>
  <c r="G21" i="45"/>
  <c r="G181" i="5"/>
  <c r="G189" i="5" s="1"/>
  <c r="G94" i="33"/>
  <c r="G95" i="33" s="1"/>
  <c r="G47" i="33"/>
  <c r="H9" i="45"/>
  <c r="V8" i="1"/>
  <c r="AG8" i="1"/>
  <c r="AV9" i="44"/>
  <c r="H22" i="45"/>
  <c r="AY6" i="49" s="1"/>
  <c r="G181" i="33"/>
  <c r="G189" i="33" s="1"/>
  <c r="AS10" i="44"/>
  <c r="BL7" i="49" s="1"/>
  <c r="AW10" i="44"/>
  <c r="AH9" i="1"/>
  <c r="V10" i="1"/>
  <c r="J9" i="45"/>
  <c r="BA8" i="49"/>
  <c r="AS8" i="49"/>
  <c r="K21" i="45"/>
  <c r="G181" i="9"/>
  <c r="G189" i="9" s="1"/>
  <c r="AO13" i="44"/>
  <c r="BH10" i="49" s="1"/>
  <c r="AO12" i="1"/>
  <c r="AV13" i="44"/>
  <c r="I89" i="10"/>
  <c r="AG12" i="1"/>
  <c r="L21" i="45"/>
  <c r="AX10" i="49" s="1"/>
  <c r="G181" i="10"/>
  <c r="G189" i="10" s="1"/>
  <c r="G94" i="11"/>
  <c r="G95" i="11" s="1"/>
  <c r="AZ13" i="1"/>
  <c r="BA11" i="49"/>
  <c r="AS11" i="49"/>
  <c r="M19" i="45"/>
  <c r="AW11" i="49" s="1"/>
  <c r="G176" i="11"/>
  <c r="W14" i="1"/>
  <c r="N10" i="45"/>
  <c r="AP12" i="49" s="1"/>
  <c r="AO16" i="44"/>
  <c r="BH13" i="49" s="1"/>
  <c r="AO15" i="1"/>
  <c r="W16" i="1"/>
  <c r="Y16" i="1" s="1"/>
  <c r="P10" i="45"/>
  <c r="AP14" i="49" s="1"/>
  <c r="AG18" i="1"/>
  <c r="AC19" i="44"/>
  <c r="AB16" i="49" s="1"/>
  <c r="AV19" i="44"/>
  <c r="T23" i="45"/>
  <c r="G181" i="18"/>
  <c r="G189" i="18" s="1"/>
  <c r="BJ21" i="1"/>
  <c r="AM22" i="44"/>
  <c r="AL19" i="49" s="1"/>
  <c r="X11" i="45"/>
  <c r="AQ22" i="49" s="1"/>
  <c r="X24" i="1"/>
  <c r="I89" i="22"/>
  <c r="AV25" i="44"/>
  <c r="AG24" i="1"/>
  <c r="AC25" i="44"/>
  <c r="AB22" i="49" s="1"/>
  <c r="V6" i="44"/>
  <c r="U3" i="49" s="1"/>
  <c r="H147" i="3"/>
  <c r="G95" i="7"/>
  <c r="BI6" i="1"/>
  <c r="E27" i="9"/>
  <c r="G27" i="9" s="1"/>
  <c r="C12" i="44"/>
  <c r="J9" i="48" s="1"/>
  <c r="H11" i="1"/>
  <c r="BK11" i="1" s="1"/>
  <c r="G13" i="7"/>
  <c r="G13" i="8"/>
  <c r="I13" i="8" s="1"/>
  <c r="N30" i="1"/>
  <c r="BL34" i="1"/>
  <c r="K6" i="35"/>
  <c r="O9" i="28"/>
  <c r="E27" i="16"/>
  <c r="G27" i="16" s="1"/>
  <c r="C19" i="44"/>
  <c r="J16" i="48" s="1"/>
  <c r="H18" i="1"/>
  <c r="Z28" i="1"/>
  <c r="AD28" i="1" s="1"/>
  <c r="I87" i="40"/>
  <c r="G13" i="12"/>
  <c r="I13" i="12" s="1"/>
  <c r="G13" i="28"/>
  <c r="I13" i="28" s="1"/>
  <c r="G47" i="3"/>
  <c r="BB3" i="49"/>
  <c r="AT3" i="49"/>
  <c r="H112" i="4"/>
  <c r="J112" i="4" s="1"/>
  <c r="F29" i="45"/>
  <c r="AO4" i="49"/>
  <c r="AO10" i="49"/>
  <c r="L29" i="45"/>
  <c r="BB13" i="49"/>
  <c r="AT13" i="49"/>
  <c r="BH25" i="49"/>
  <c r="H9" i="1"/>
  <c r="C10" i="44"/>
  <c r="J7" i="48" s="1"/>
  <c r="E27" i="7"/>
  <c r="G27" i="7" s="1"/>
  <c r="G32" i="7" s="1"/>
  <c r="G47" i="4"/>
  <c r="G186" i="4"/>
  <c r="G79" i="30"/>
  <c r="G80" i="30" s="1"/>
  <c r="G105" i="9"/>
  <c r="H179" i="3"/>
  <c r="G181" i="3"/>
  <c r="G189" i="3" s="1"/>
  <c r="G94" i="4"/>
  <c r="G105" i="5"/>
  <c r="H173" i="4"/>
  <c r="AI6" i="1"/>
  <c r="AJ6" i="1" s="1"/>
  <c r="H35" i="4"/>
  <c r="H45" i="14"/>
  <c r="J45" i="14" s="1"/>
  <c r="H58" i="4"/>
  <c r="J58" i="4" s="1"/>
  <c r="G186" i="3"/>
  <c r="G186" i="33"/>
  <c r="G47" i="7"/>
  <c r="G60" i="7" s="1"/>
  <c r="I59" i="7" s="1"/>
  <c r="G47" i="8"/>
  <c r="G96" i="8"/>
  <c r="E10" i="35" s="1"/>
  <c r="G10" i="35" s="1"/>
  <c r="AU25" i="44"/>
  <c r="AZ25" i="44" s="1"/>
  <c r="W9" i="45"/>
  <c r="W29" i="45" s="1"/>
  <c r="G188" i="21"/>
  <c r="AR26" i="44"/>
  <c r="BK23" i="49" s="1"/>
  <c r="D6" i="44"/>
  <c r="G79" i="27"/>
  <c r="G80" i="27" s="1"/>
  <c r="G79" i="25"/>
  <c r="G80" i="25" s="1"/>
  <c r="H129" i="4"/>
  <c r="J129" i="4" s="1"/>
  <c r="H116" i="3"/>
  <c r="J116" i="3" s="1"/>
  <c r="G79" i="3"/>
  <c r="G80" i="3" s="1"/>
  <c r="H80" i="3" s="1"/>
  <c r="G176" i="5"/>
  <c r="H38" i="3"/>
  <c r="H74" i="3"/>
  <c r="H85" i="3"/>
  <c r="AV6" i="44"/>
  <c r="V6" i="1"/>
  <c r="I87" i="33"/>
  <c r="H50" i="4"/>
  <c r="H54" i="4"/>
  <c r="H86" i="4"/>
  <c r="I89" i="5"/>
  <c r="AD8" i="1"/>
  <c r="G176" i="9"/>
  <c r="G176" i="10"/>
  <c r="G176" i="40"/>
  <c r="G47" i="28"/>
  <c r="G64" i="30"/>
  <c r="G98" i="43"/>
  <c r="G99" i="43" s="1"/>
  <c r="G71" i="40"/>
  <c r="G104" i="21"/>
  <c r="G176" i="17"/>
  <c r="AI13" i="1"/>
  <c r="AH14" i="1"/>
  <c r="AJ14" i="1" s="1"/>
  <c r="BJ14" i="1"/>
  <c r="AH17" i="1"/>
  <c r="BJ18" i="1"/>
  <c r="AX24" i="44"/>
  <c r="AI25" i="1"/>
  <c r="AI26" i="1"/>
  <c r="AW31" i="44"/>
  <c r="AY31" i="44" s="1"/>
  <c r="BJ31" i="1"/>
  <c r="AH33" i="1"/>
  <c r="AJ33" i="1" s="1"/>
  <c r="AA9" i="45"/>
  <c r="G153" i="28"/>
  <c r="I153" i="28" s="1"/>
  <c r="G153" i="27"/>
  <c r="I153" i="27" s="1"/>
  <c r="I92" i="18"/>
  <c r="I92" i="40"/>
  <c r="I92" i="16"/>
  <c r="G135" i="9"/>
  <c r="I135" i="9" s="1"/>
  <c r="H167" i="5"/>
  <c r="H167" i="33" s="1"/>
  <c r="H167" i="7" s="1"/>
  <c r="H167" i="8" s="1"/>
  <c r="I92" i="17"/>
  <c r="AD25" i="44"/>
  <c r="AC22" i="49" s="1"/>
  <c r="G181" i="21"/>
  <c r="G189" i="21" s="1"/>
  <c r="G176" i="21"/>
  <c r="AQ26" i="44"/>
  <c r="BJ23" i="49" s="1"/>
  <c r="G8" i="35"/>
  <c r="G20" i="21"/>
  <c r="O23" i="1" s="1"/>
  <c r="Q23" i="1" s="1"/>
  <c r="E7" i="44"/>
  <c r="G187" i="14"/>
  <c r="G101" i="9"/>
  <c r="J173" i="3"/>
  <c r="J119" i="3"/>
  <c r="H122" i="4"/>
  <c r="G187" i="7"/>
  <c r="G64" i="33"/>
  <c r="G176" i="8"/>
  <c r="H139" i="3"/>
  <c r="H90" i="4"/>
  <c r="AW6" i="44"/>
  <c r="AW8" i="44"/>
  <c r="AU9" i="44"/>
  <c r="AZ9" i="44" s="1"/>
  <c r="H43" i="3"/>
  <c r="G102" i="4"/>
  <c r="G103" i="4" s="1"/>
  <c r="G64" i="11"/>
  <c r="G176" i="20"/>
  <c r="G64" i="27"/>
  <c r="G71" i="27"/>
  <c r="BJ11" i="1"/>
  <c r="BO11" i="1" s="1"/>
  <c r="AI12" i="1"/>
  <c r="AX14" i="44"/>
  <c r="AY14" i="44" s="1"/>
  <c r="AU20" i="44"/>
  <c r="AG20" i="1"/>
  <c r="AK24" i="1"/>
  <c r="AX26" i="44"/>
  <c r="AX27" i="44"/>
  <c r="AO27" i="1"/>
  <c r="AW34" i="44"/>
  <c r="AY34" i="44" s="1"/>
  <c r="W22" i="1"/>
  <c r="X28" i="1"/>
  <c r="Y28" i="1" s="1"/>
  <c r="G188" i="27"/>
  <c r="G96" i="20"/>
  <c r="G97" i="20" s="1"/>
  <c r="K24" i="44"/>
  <c r="J21" i="49" s="1"/>
  <c r="G96" i="22"/>
  <c r="G97" i="22" s="1"/>
  <c r="K26" i="44"/>
  <c r="J23" i="49" s="1"/>
  <c r="I89" i="23"/>
  <c r="I89" i="24"/>
  <c r="AD31" i="1"/>
  <c r="AP26" i="44"/>
  <c r="BI23" i="49" s="1"/>
  <c r="G99" i="7"/>
  <c r="H75" i="3"/>
  <c r="J75" i="3" s="1"/>
  <c r="G64" i="16"/>
  <c r="G64" i="23"/>
  <c r="G176" i="27"/>
  <c r="G64" i="29"/>
  <c r="AX13" i="44"/>
  <c r="AU19" i="44"/>
  <c r="AZ19" i="44" s="1"/>
  <c r="X9" i="45"/>
  <c r="AO22" i="49" s="1"/>
  <c r="G64" i="14"/>
  <c r="AA36" i="1"/>
  <c r="G104" i="18"/>
  <c r="G187" i="21"/>
  <c r="AN27" i="1"/>
  <c r="G186" i="40"/>
  <c r="G96" i="27"/>
  <c r="G97" i="27" s="1"/>
  <c r="AD29" i="1"/>
  <c r="G135" i="27"/>
  <c r="I135" i="27" s="1"/>
  <c r="I87" i="23"/>
  <c r="Z17" i="45"/>
  <c r="AU24" i="49" s="1"/>
  <c r="G176" i="24"/>
  <c r="G135" i="24"/>
  <c r="I135" i="24" s="1"/>
  <c r="AU27" i="44"/>
  <c r="I92" i="24"/>
  <c r="AJ26" i="1"/>
  <c r="AV27" i="44"/>
  <c r="AY27" i="44" s="1"/>
  <c r="AC26" i="44"/>
  <c r="AB23" i="49" s="1"/>
  <c r="AG25" i="1"/>
  <c r="AJ25" i="1" s="1"/>
  <c r="AD25" i="1"/>
  <c r="AO27" i="44"/>
  <c r="BH24" i="49" s="1"/>
  <c r="AO26" i="1"/>
  <c r="G79" i="24"/>
  <c r="G80" i="24" s="1"/>
  <c r="Z11" i="45"/>
  <c r="X26" i="1"/>
  <c r="Y26" i="1" s="1"/>
  <c r="G188" i="24"/>
  <c r="Z8" i="45"/>
  <c r="AN24" i="49" s="1"/>
  <c r="G64" i="24"/>
  <c r="J26" i="44"/>
  <c r="I23" i="49" s="1"/>
  <c r="BF25" i="1"/>
  <c r="BG25" i="1"/>
  <c r="G94" i="24"/>
  <c r="G95" i="24" s="1"/>
  <c r="AZ26" i="1"/>
  <c r="F27" i="44"/>
  <c r="E24" i="49" s="1"/>
  <c r="AU26" i="1"/>
  <c r="BI26" i="1" s="1"/>
  <c r="J27" i="44"/>
  <c r="I24" i="49" s="1"/>
  <c r="AS26" i="1"/>
  <c r="I27" i="44"/>
  <c r="H24" i="49" s="1"/>
  <c r="G101" i="23"/>
  <c r="G27" i="44"/>
  <c r="F24" i="49" s="1"/>
  <c r="G104" i="24"/>
  <c r="G105" i="24" s="1"/>
  <c r="AQ26" i="1"/>
  <c r="AP26" i="1"/>
  <c r="C27" i="44"/>
  <c r="H26" i="1"/>
  <c r="E24" i="47" s="1"/>
  <c r="AD23" i="1"/>
  <c r="Y23" i="45"/>
  <c r="G181" i="23"/>
  <c r="G189" i="23" s="1"/>
  <c r="Y18" i="45"/>
  <c r="AV23" i="49" s="1"/>
  <c r="G176" i="23"/>
  <c r="G153" i="23"/>
  <c r="I153" i="23" s="1"/>
  <c r="AM26" i="44"/>
  <c r="AL23" i="49" s="1"/>
  <c r="BJ25" i="1"/>
  <c r="G135" i="23"/>
  <c r="I135" i="23" s="1"/>
  <c r="G135" i="22"/>
  <c r="I135" i="22" s="1"/>
  <c r="I92" i="23"/>
  <c r="AK25" i="1"/>
  <c r="AN25" i="1" s="1"/>
  <c r="AU26" i="44"/>
  <c r="AZ26" i="44" s="1"/>
  <c r="AN24" i="1"/>
  <c r="AV26" i="44"/>
  <c r="BH23" i="49"/>
  <c r="AO24" i="1"/>
  <c r="G79" i="23"/>
  <c r="AS22" i="49"/>
  <c r="BA22" i="49"/>
  <c r="X25" i="1"/>
  <c r="Y11" i="45"/>
  <c r="AQ23" i="49" s="1"/>
  <c r="G188" i="22"/>
  <c r="W24" i="1"/>
  <c r="Y24" i="1" s="1"/>
  <c r="X10" i="45"/>
  <c r="AP22" i="49" s="1"/>
  <c r="Y9" i="45"/>
  <c r="V25" i="1"/>
  <c r="G71" i="23"/>
  <c r="G64" i="22"/>
  <c r="BE22" i="1"/>
  <c r="AE22" i="1" s="1"/>
  <c r="G104" i="22"/>
  <c r="G105" i="22" s="1"/>
  <c r="AE25" i="1"/>
  <c r="J25" i="44"/>
  <c r="I22" i="49" s="1"/>
  <c r="AU24" i="1"/>
  <c r="AE24" i="1" s="1"/>
  <c r="I26" i="44"/>
  <c r="H23" i="49" s="1"/>
  <c r="AS25" i="1"/>
  <c r="BL25" i="1" s="1"/>
  <c r="G98" i="23"/>
  <c r="G99" i="23" s="1"/>
  <c r="G26" i="44"/>
  <c r="F23" i="49" s="1"/>
  <c r="AQ25" i="1"/>
  <c r="AP25" i="1"/>
  <c r="F26" i="44"/>
  <c r="E23" i="49" s="1"/>
  <c r="G94" i="23"/>
  <c r="G95" i="23" s="1"/>
  <c r="E28" i="23"/>
  <c r="G28" i="23" s="1"/>
  <c r="L25" i="1"/>
  <c r="G23" i="47" s="1"/>
  <c r="D26" i="44"/>
  <c r="G13" i="23"/>
  <c r="I13" i="23" s="1"/>
  <c r="G25" i="1"/>
  <c r="G105" i="23"/>
  <c r="B26" i="44"/>
  <c r="X21" i="45"/>
  <c r="G181" i="22"/>
  <c r="G189" i="22" s="1"/>
  <c r="G176" i="22"/>
  <c r="I92" i="22"/>
  <c r="AN23" i="1"/>
  <c r="AI24" i="1"/>
  <c r="AJ24" i="1" s="1"/>
  <c r="AX25" i="44"/>
  <c r="AD24" i="1"/>
  <c r="V23" i="1"/>
  <c r="G71" i="22"/>
  <c r="I24" i="44"/>
  <c r="H21" i="49" s="1"/>
  <c r="G94" i="22"/>
  <c r="G95" i="22" s="1"/>
  <c r="AZ24" i="1"/>
  <c r="G59" i="22"/>
  <c r="F25" i="44"/>
  <c r="E22" i="49" s="1"/>
  <c r="AS23" i="1"/>
  <c r="G100" i="22"/>
  <c r="G101" i="22" s="1"/>
  <c r="AQ24" i="1"/>
  <c r="G25" i="44"/>
  <c r="F22" i="49" s="1"/>
  <c r="D25" i="44"/>
  <c r="AN25" i="44"/>
  <c r="G13" i="22"/>
  <c r="I13" i="22" s="1"/>
  <c r="G24" i="1"/>
  <c r="B25" i="44"/>
  <c r="G186" i="20"/>
  <c r="W23" i="45"/>
  <c r="AZ21" i="49" s="1"/>
  <c r="AD24" i="44"/>
  <c r="AC21" i="49" s="1"/>
  <c r="BC21" i="49"/>
  <c r="AR21" i="49"/>
  <c r="G71" i="21"/>
  <c r="W23" i="1"/>
  <c r="W10" i="45"/>
  <c r="W6" i="45"/>
  <c r="W24" i="45" s="1"/>
  <c r="BD21" i="49" s="1"/>
  <c r="BJ23" i="1"/>
  <c r="AM24" i="44"/>
  <c r="AL21" i="49" s="1"/>
  <c r="AG23" i="1"/>
  <c r="AJ23" i="1" s="1"/>
  <c r="I89" i="21"/>
  <c r="AV24" i="44"/>
  <c r="AC24" i="44"/>
  <c r="AB21" i="49" s="1"/>
  <c r="I87" i="21"/>
  <c r="G98" i="21"/>
  <c r="G99" i="21" s="1"/>
  <c r="G23" i="44"/>
  <c r="F20" i="49" s="1"/>
  <c r="BH23" i="1"/>
  <c r="G102" i="21"/>
  <c r="G103" i="21" s="1"/>
  <c r="L24" i="44"/>
  <c r="K21" i="49" s="1"/>
  <c r="F23" i="44"/>
  <c r="E20" i="49" s="1"/>
  <c r="F24" i="44"/>
  <c r="E21" i="49" s="1"/>
  <c r="AW23" i="1"/>
  <c r="J23" i="44"/>
  <c r="I20" i="49" s="1"/>
  <c r="G96" i="21"/>
  <c r="G97" i="21" s="1"/>
  <c r="E27" i="21"/>
  <c r="G27" i="21" s="1"/>
  <c r="H23" i="1"/>
  <c r="BM23" i="1" s="1"/>
  <c r="C24" i="44"/>
  <c r="J21" i="48" s="1"/>
  <c r="H22" i="1"/>
  <c r="C23" i="44"/>
  <c r="J20" i="48" s="1"/>
  <c r="I9" i="47"/>
  <c r="AX6" i="49"/>
  <c r="H27" i="45"/>
  <c r="BF6" i="49" s="1"/>
  <c r="K30" i="45"/>
  <c r="AS9" i="49"/>
  <c r="BA9" i="49"/>
  <c r="AT19" i="49"/>
  <c r="BB19" i="49"/>
  <c r="BL21" i="49"/>
  <c r="AR28" i="49"/>
  <c r="AH30" i="45"/>
  <c r="AH25" i="45"/>
  <c r="AT28" i="49"/>
  <c r="G13" i="25"/>
  <c r="E27" i="25"/>
  <c r="G27" i="25" s="1"/>
  <c r="G32" i="25" s="1"/>
  <c r="H27" i="1"/>
  <c r="C28" i="44"/>
  <c r="J25" i="48" s="1"/>
  <c r="I27" i="45"/>
  <c r="BF7" i="49" s="1"/>
  <c r="AR7" i="49"/>
  <c r="BC7" i="49"/>
  <c r="B15" i="44"/>
  <c r="AU2" i="49"/>
  <c r="AU17" i="49"/>
  <c r="G13" i="18"/>
  <c r="G13" i="27"/>
  <c r="I13" i="27" s="1"/>
  <c r="J167" i="22"/>
  <c r="H167" i="23"/>
  <c r="AT25" i="49"/>
  <c r="AA30" i="45"/>
  <c r="BB25" i="49"/>
  <c r="G13" i="10"/>
  <c r="I13" i="10" s="1"/>
  <c r="G187" i="8"/>
  <c r="J6" i="45"/>
  <c r="J24" i="45" s="1"/>
  <c r="BD8" i="49" s="1"/>
  <c r="BB8" i="49"/>
  <c r="AR10" i="49"/>
  <c r="BC10" i="49"/>
  <c r="L27" i="45"/>
  <c r="BF10" i="49" s="1"/>
  <c r="G153" i="43"/>
  <c r="I153" i="43" s="1"/>
  <c r="V34" i="44"/>
  <c r="G13" i="40"/>
  <c r="I13" i="40" s="1"/>
  <c r="C25" i="44"/>
  <c r="J22" i="48" s="1"/>
  <c r="H24" i="1"/>
  <c r="E27" i="22"/>
  <c r="G27" i="22" s="1"/>
  <c r="X32" i="44"/>
  <c r="W29" i="49" s="1"/>
  <c r="G153" i="29"/>
  <c r="I153" i="29" s="1"/>
  <c r="R9" i="1"/>
  <c r="I7" i="47"/>
  <c r="L25" i="45"/>
  <c r="BE10" i="49" s="1"/>
  <c r="BA23" i="49"/>
  <c r="AS23" i="49"/>
  <c r="V28" i="44"/>
  <c r="U25" i="49" s="1"/>
  <c r="G153" i="25"/>
  <c r="I153" i="25" s="1"/>
  <c r="T29" i="44"/>
  <c r="S26" i="49" s="1"/>
  <c r="G153" i="40"/>
  <c r="I153" i="40" s="1"/>
  <c r="G9" i="47"/>
  <c r="N11" i="1"/>
  <c r="AT23" i="49"/>
  <c r="BB23" i="49"/>
  <c r="Z30" i="1"/>
  <c r="AD30" i="1" s="1"/>
  <c r="I87" i="28"/>
  <c r="O8" i="35"/>
  <c r="G99" i="22"/>
  <c r="J167" i="21"/>
  <c r="I89" i="50"/>
  <c r="G135" i="3"/>
  <c r="I135" i="3" s="1"/>
  <c r="G59" i="33"/>
  <c r="G47" i="9"/>
  <c r="G59" i="9"/>
  <c r="AU21" i="44"/>
  <c r="G24" i="22"/>
  <c r="S24" i="1" s="1"/>
  <c r="U24" i="1" s="1"/>
  <c r="BO32" i="1"/>
  <c r="BO13" i="1"/>
  <c r="J164" i="3"/>
  <c r="G105" i="50"/>
  <c r="G106" i="50" s="1"/>
  <c r="N49" i="4"/>
  <c r="G79" i="29"/>
  <c r="G80" i="29" s="1"/>
  <c r="AD8" i="44"/>
  <c r="AC5" i="49" s="1"/>
  <c r="G125" i="7"/>
  <c r="I125" i="7" s="1"/>
  <c r="G104" i="15"/>
  <c r="G105" i="15" s="1"/>
  <c r="AF24" i="45"/>
  <c r="I24" i="45"/>
  <c r="BD7" i="49" s="1"/>
  <c r="H115" i="3"/>
  <c r="J115" i="3" s="1"/>
  <c r="K20" i="44"/>
  <c r="J17" i="49" s="1"/>
  <c r="AG31" i="45"/>
  <c r="G20" i="31"/>
  <c r="G102" i="50"/>
  <c r="H31" i="4"/>
  <c r="H82" i="3"/>
  <c r="G135" i="33"/>
  <c r="I135" i="33" s="1"/>
  <c r="G97" i="8"/>
  <c r="I21" i="44"/>
  <c r="H18" i="49" s="1"/>
  <c r="G186" i="25"/>
  <c r="AD22" i="44"/>
  <c r="AC19" i="49" s="1"/>
  <c r="AF34" i="1"/>
  <c r="O18" i="35"/>
  <c r="G100" i="50"/>
  <c r="G20" i="5"/>
  <c r="G102" i="5"/>
  <c r="G103" i="5" s="1"/>
  <c r="I92" i="5"/>
  <c r="AD23" i="44"/>
  <c r="AC20" i="49" s="1"/>
  <c r="BI34" i="1"/>
  <c r="G59" i="4"/>
  <c r="G47" i="23"/>
  <c r="G47" i="29"/>
  <c r="G135" i="31"/>
  <c r="I135" i="31" s="1"/>
  <c r="H22" i="3"/>
  <c r="J22" i="3" s="1"/>
  <c r="G135" i="21"/>
  <c r="I135" i="21" s="1"/>
  <c r="H65" i="3"/>
  <c r="AD14" i="44"/>
  <c r="AC11" i="49" s="1"/>
  <c r="AL36" i="1"/>
  <c r="G186" i="19"/>
  <c r="V27" i="45"/>
  <c r="BF20" i="49" s="1"/>
  <c r="AX20" i="49"/>
  <c r="I92" i="20"/>
  <c r="AU23" i="44"/>
  <c r="AW23" i="44"/>
  <c r="AH22" i="1"/>
  <c r="G79" i="20"/>
  <c r="G80" i="20" s="1"/>
  <c r="AR20" i="49"/>
  <c r="G187" i="20"/>
  <c r="G104" i="19"/>
  <c r="G105" i="19" s="1"/>
  <c r="BH22" i="1"/>
  <c r="AW22" i="1"/>
  <c r="K23" i="44"/>
  <c r="J20" i="49" s="1"/>
  <c r="G94" i="20"/>
  <c r="G95" i="20" s="1"/>
  <c r="G98" i="20"/>
  <c r="G99" i="20" s="1"/>
  <c r="I23" i="44"/>
  <c r="H20" i="49" s="1"/>
  <c r="AS22" i="1"/>
  <c r="H23" i="44"/>
  <c r="G20" i="49" s="1"/>
  <c r="AR22" i="1"/>
  <c r="G100" i="20"/>
  <c r="G101" i="20" s="1"/>
  <c r="G104" i="20"/>
  <c r="G105" i="20" s="1"/>
  <c r="AQ21" i="1"/>
  <c r="AQ22" i="1"/>
  <c r="E23" i="44"/>
  <c r="U5" i="45"/>
  <c r="U24" i="45" s="1"/>
  <c r="BD19" i="49" s="1"/>
  <c r="D23" i="44"/>
  <c r="AN22" i="44"/>
  <c r="BG19" i="49" s="1"/>
  <c r="N21" i="1"/>
  <c r="L22" i="1"/>
  <c r="N22" i="1" s="1"/>
  <c r="D22" i="44"/>
  <c r="G13" i="20"/>
  <c r="I13" i="20" s="1"/>
  <c r="G13" i="19"/>
  <c r="I13" i="19" s="1"/>
  <c r="G176" i="19"/>
  <c r="N22" i="44"/>
  <c r="M19" i="49" s="1"/>
  <c r="N21" i="44"/>
  <c r="M18" i="49" s="1"/>
  <c r="AU22" i="44"/>
  <c r="AZ22" i="44" s="1"/>
  <c r="I92" i="19"/>
  <c r="AH21" i="1"/>
  <c r="AV22" i="44"/>
  <c r="AY22" i="44" s="1"/>
  <c r="AG21" i="1"/>
  <c r="AC22" i="44"/>
  <c r="AB19" i="49" s="1"/>
  <c r="I89" i="19"/>
  <c r="Z21" i="1"/>
  <c r="AD21" i="1" s="1"/>
  <c r="I87" i="19"/>
  <c r="G80" i="19"/>
  <c r="H80" i="19" s="1"/>
  <c r="U14" i="45"/>
  <c r="G71" i="19"/>
  <c r="AR19" i="49"/>
  <c r="BC18" i="49"/>
  <c r="AQ19" i="49"/>
  <c r="BL20" i="1"/>
  <c r="BA20" i="1"/>
  <c r="G21" i="44"/>
  <c r="F18" i="49" s="1"/>
  <c r="BH21" i="1"/>
  <c r="G59" i="19"/>
  <c r="G96" i="19"/>
  <c r="G97" i="19" s="1"/>
  <c r="AV21" i="1"/>
  <c r="BI21" i="1" s="1"/>
  <c r="J22" i="44"/>
  <c r="I19" i="49" s="1"/>
  <c r="G100" i="19"/>
  <c r="G101" i="19" s="1"/>
  <c r="H22" i="44"/>
  <c r="AR21" i="1"/>
  <c r="BM21" i="1" s="1"/>
  <c r="AY20" i="1"/>
  <c r="M22" i="44"/>
  <c r="L19" i="49" s="1"/>
  <c r="G47" i="19"/>
  <c r="K21" i="1"/>
  <c r="G21" i="1"/>
  <c r="G13" i="33"/>
  <c r="I13" i="33" s="1"/>
  <c r="G13" i="43"/>
  <c r="G13" i="9"/>
  <c r="I13" i="9" s="1"/>
  <c r="G13" i="5"/>
  <c r="AT14" i="44"/>
  <c r="N6" i="1"/>
  <c r="G4" i="47"/>
  <c r="BM10" i="1"/>
  <c r="O8" i="29"/>
  <c r="C32" i="44"/>
  <c r="H31" i="1"/>
  <c r="BK31" i="1" s="1"/>
  <c r="K30" i="47"/>
  <c r="J30" i="48"/>
  <c r="O26" i="1"/>
  <c r="E27" i="44"/>
  <c r="BG24" i="49"/>
  <c r="BO30" i="1"/>
  <c r="BI30" i="1"/>
  <c r="J9" i="1"/>
  <c r="E7" i="47"/>
  <c r="K9" i="1"/>
  <c r="BL9" i="1"/>
  <c r="E5" i="49"/>
  <c r="BI9" i="1"/>
  <c r="AE18" i="1"/>
  <c r="AV36" i="1"/>
  <c r="G187" i="25"/>
  <c r="G20" i="25"/>
  <c r="K19" i="47"/>
  <c r="G187" i="24"/>
  <c r="E30" i="24"/>
  <c r="G30" i="24" s="1"/>
  <c r="E27" i="27"/>
  <c r="G27" i="27" s="1"/>
  <c r="C30" i="44"/>
  <c r="J27" i="48" s="1"/>
  <c r="G24" i="45"/>
  <c r="BD5" i="49" s="1"/>
  <c r="K8" i="1"/>
  <c r="J8" i="1"/>
  <c r="J34" i="1"/>
  <c r="BK34" i="1"/>
  <c r="G5" i="47"/>
  <c r="N7" i="1"/>
  <c r="BM34" i="1"/>
  <c r="BO31" i="1"/>
  <c r="BO9" i="1"/>
  <c r="G20" i="43"/>
  <c r="G187" i="43"/>
  <c r="BO34" i="1"/>
  <c r="BP34" i="1" s="1"/>
  <c r="E28" i="12"/>
  <c r="G28" i="12" s="1"/>
  <c r="G79" i="12"/>
  <c r="G80" i="12" s="1"/>
  <c r="G24" i="47"/>
  <c r="G20" i="47"/>
  <c r="AT13" i="44"/>
  <c r="BI25" i="1"/>
  <c r="BO33" i="1"/>
  <c r="BP33" i="1" s="1"/>
  <c r="AE33" i="1"/>
  <c r="AF33" i="1" s="1"/>
  <c r="H29" i="1"/>
  <c r="BB12" i="44"/>
  <c r="O8" i="19"/>
  <c r="G187" i="11"/>
  <c r="G79" i="22"/>
  <c r="G80" i="22" s="1"/>
  <c r="E29" i="50"/>
  <c r="G29" i="50" s="1"/>
  <c r="G103" i="50"/>
  <c r="G104" i="50" s="1"/>
  <c r="H104" i="50" s="1"/>
  <c r="J104" i="50" s="1"/>
  <c r="G176" i="33"/>
  <c r="H18" i="45"/>
  <c r="AV6" i="49" s="1"/>
  <c r="I89" i="7"/>
  <c r="AG9" i="1"/>
  <c r="AV10" i="44"/>
  <c r="AY10" i="44" s="1"/>
  <c r="AI10" i="1"/>
  <c r="AJ10" i="1" s="1"/>
  <c r="AX11" i="44"/>
  <c r="AY11" i="44" s="1"/>
  <c r="I90" i="8"/>
  <c r="G98" i="10"/>
  <c r="G99" i="10" s="1"/>
  <c r="G71" i="10"/>
  <c r="L12" i="35" s="1"/>
  <c r="O12" i="35" s="1"/>
  <c r="V12" i="1"/>
  <c r="BI11" i="1"/>
  <c r="H161" i="4"/>
  <c r="G176" i="3"/>
  <c r="H144" i="3"/>
  <c r="J144" i="2"/>
  <c r="I92" i="4"/>
  <c r="AK6" i="1"/>
  <c r="AN6" i="1" s="1"/>
  <c r="AU7" i="44"/>
  <c r="AZ7" i="44" s="1"/>
  <c r="G188" i="5"/>
  <c r="G71" i="5"/>
  <c r="L6" i="35" s="1"/>
  <c r="O6" i="35" s="1"/>
  <c r="G14" i="45"/>
  <c r="R9" i="44"/>
  <c r="Q6" i="49" s="1"/>
  <c r="G153" i="33"/>
  <c r="I153" i="33" s="1"/>
  <c r="I19" i="45"/>
  <c r="AW7" i="49" s="1"/>
  <c r="G176" i="7"/>
  <c r="G71" i="8"/>
  <c r="L10" i="35" s="1"/>
  <c r="O10" i="35" s="1"/>
  <c r="J10" i="45"/>
  <c r="H178" i="2"/>
  <c r="D21" i="45"/>
  <c r="G181" i="2"/>
  <c r="G96" i="3"/>
  <c r="H41" i="3"/>
  <c r="G104" i="3"/>
  <c r="H51" i="3"/>
  <c r="G187" i="3"/>
  <c r="G64" i="3"/>
  <c r="H64" i="3" s="1"/>
  <c r="AP7" i="44"/>
  <c r="H75" i="4"/>
  <c r="G98" i="5"/>
  <c r="G99" i="5" s="1"/>
  <c r="G47" i="5"/>
  <c r="X22" i="1"/>
  <c r="Y22" i="1" s="1"/>
  <c r="V11" i="45"/>
  <c r="G188" i="20"/>
  <c r="AV23" i="44"/>
  <c r="I89" i="20"/>
  <c r="AG22" i="1"/>
  <c r="AJ22" i="1" s="1"/>
  <c r="R23" i="44"/>
  <c r="Q20" i="49" s="1"/>
  <c r="G153" i="20"/>
  <c r="I153" i="20" s="1"/>
  <c r="V22" i="45"/>
  <c r="AY20" i="49" s="1"/>
  <c r="G181" i="20"/>
  <c r="G189" i="20" s="1"/>
  <c r="H189" i="20" s="1"/>
  <c r="AH25" i="44"/>
  <c r="AG22" i="49" s="1"/>
  <c r="G125" i="22"/>
  <c r="I125" i="22" s="1"/>
  <c r="E28" i="24"/>
  <c r="G28" i="24" s="1"/>
  <c r="E30" i="10"/>
  <c r="G30" i="10" s="1"/>
  <c r="H118" i="4"/>
  <c r="F10" i="45"/>
  <c r="AP4" i="49" s="1"/>
  <c r="G71" i="4"/>
  <c r="W6" i="1"/>
  <c r="G176" i="4"/>
  <c r="F18" i="45"/>
  <c r="AV4" i="49" s="1"/>
  <c r="U21" i="45"/>
  <c r="G181" i="19"/>
  <c r="G189" i="19" s="1"/>
  <c r="G47" i="21"/>
  <c r="G94" i="21"/>
  <c r="T6" i="44"/>
  <c r="S3" i="49" s="1"/>
  <c r="Z14" i="44"/>
  <c r="Y11" i="49" s="1"/>
  <c r="G153" i="11"/>
  <c r="I153" i="11" s="1"/>
  <c r="Y8" i="44"/>
  <c r="X5" i="49" s="1"/>
  <c r="BI18" i="1"/>
  <c r="G20" i="8"/>
  <c r="H163" i="2"/>
  <c r="AD5" i="44"/>
  <c r="AC2" i="49" s="1"/>
  <c r="G71" i="33"/>
  <c r="H14" i="45"/>
  <c r="I89" i="33"/>
  <c r="AH8" i="1"/>
  <c r="AJ8" i="1" s="1"/>
  <c r="AW9" i="44"/>
  <c r="AY9" i="44" s="1"/>
  <c r="G71" i="20"/>
  <c r="AI11" i="1"/>
  <c r="I90" i="9"/>
  <c r="G59" i="23"/>
  <c r="G96" i="23"/>
  <c r="G97" i="23" s="1"/>
  <c r="AE23" i="45"/>
  <c r="G181" i="29"/>
  <c r="G189" i="29" s="1"/>
  <c r="AL32" i="1"/>
  <c r="AN32" i="1" s="1"/>
  <c r="AU33" i="44"/>
  <c r="I92" i="30"/>
  <c r="AF21" i="45"/>
  <c r="G181" i="30"/>
  <c r="G189" i="30" s="1"/>
  <c r="G187" i="33"/>
  <c r="E30" i="33"/>
  <c r="G30" i="33" s="1"/>
  <c r="E24" i="45"/>
  <c r="BD3" i="49" s="1"/>
  <c r="E36" i="1"/>
  <c r="E30" i="20"/>
  <c r="G30" i="20" s="1"/>
  <c r="E30" i="14"/>
  <c r="G30" i="14" s="1"/>
  <c r="G79" i="10"/>
  <c r="G80" i="10" s="1"/>
  <c r="E30" i="9"/>
  <c r="G30" i="9" s="1"/>
  <c r="G32" i="9" s="1"/>
  <c r="H140" i="2"/>
  <c r="P5" i="44"/>
  <c r="O2" i="49" s="1"/>
  <c r="T5" i="44"/>
  <c r="S2" i="49" s="1"/>
  <c r="H146" i="2"/>
  <c r="J146" i="2" s="1"/>
  <c r="BI13" i="1"/>
  <c r="BM9" i="1"/>
  <c r="BA5" i="1"/>
  <c r="E30" i="8"/>
  <c r="G30" i="8" s="1"/>
  <c r="E7" i="45"/>
  <c r="AM3" i="49" s="1"/>
  <c r="D14" i="45"/>
  <c r="AS17" i="49" s="1"/>
  <c r="H69" i="2"/>
  <c r="I92" i="2"/>
  <c r="AU5" i="44"/>
  <c r="AZ5" i="44" s="1"/>
  <c r="H92" i="2"/>
  <c r="AL4" i="1"/>
  <c r="AN4" i="1" s="1"/>
  <c r="AI6" i="44"/>
  <c r="AH3" i="49" s="1"/>
  <c r="BJ7" i="1"/>
  <c r="BO7" i="1" s="1"/>
  <c r="BJ6" i="1"/>
  <c r="AM7" i="44"/>
  <c r="AL4" i="49" s="1"/>
  <c r="AM11" i="44"/>
  <c r="AL8" i="49" s="1"/>
  <c r="G135" i="8"/>
  <c r="I135" i="8" s="1"/>
  <c r="K8" i="45"/>
  <c r="AN9" i="49" s="1"/>
  <c r="G64" i="9"/>
  <c r="E30" i="5"/>
  <c r="G30" i="5" s="1"/>
  <c r="H53" i="2"/>
  <c r="J53" i="2" s="1"/>
  <c r="G98" i="2"/>
  <c r="I87" i="10"/>
  <c r="Z12" i="1"/>
  <c r="AD12" i="1" s="1"/>
  <c r="AL12" i="1"/>
  <c r="I92" i="10"/>
  <c r="X13" i="1"/>
  <c r="M11" i="45"/>
  <c r="G95" i="50"/>
  <c r="G96" i="50" s="1"/>
  <c r="H91" i="3"/>
  <c r="H120" i="2"/>
  <c r="J120" i="2" s="1"/>
  <c r="AO5" i="1"/>
  <c r="I90" i="4"/>
  <c r="G125" i="8"/>
  <c r="I125" i="8" s="1"/>
  <c r="G186" i="9"/>
  <c r="E27" i="3"/>
  <c r="G27" i="3" s="1"/>
  <c r="O8" i="3"/>
  <c r="H148" i="2"/>
  <c r="H62" i="2"/>
  <c r="H89" i="3"/>
  <c r="H114" i="3"/>
  <c r="G96" i="9"/>
  <c r="H36" i="4"/>
  <c r="AD10" i="44"/>
  <c r="AC7" i="49" s="1"/>
  <c r="J19" i="44"/>
  <c r="I16" i="49" s="1"/>
  <c r="H177" i="3"/>
  <c r="H177" i="4" s="1"/>
  <c r="H66" i="4"/>
  <c r="G125" i="4"/>
  <c r="I125" i="4" s="1"/>
  <c r="G135" i="4"/>
  <c r="I135" i="4" s="1"/>
  <c r="H141" i="2"/>
  <c r="H180" i="2"/>
  <c r="H63" i="3"/>
  <c r="D15" i="45"/>
  <c r="E10" i="45"/>
  <c r="I87" i="2"/>
  <c r="G125" i="2"/>
  <c r="I125" i="2" s="1"/>
  <c r="AD7" i="44"/>
  <c r="AC4" i="49" s="1"/>
  <c r="G125" i="11"/>
  <c r="I125" i="11" s="1"/>
  <c r="H44" i="4"/>
  <c r="H88" i="3"/>
  <c r="G135" i="5"/>
  <c r="I92" i="33"/>
  <c r="G125" i="25"/>
  <c r="I125" i="25" s="1"/>
  <c r="G135" i="10"/>
  <c r="I135" i="10" s="1"/>
  <c r="G186" i="12"/>
  <c r="J17" i="44"/>
  <c r="I14" i="49" s="1"/>
  <c r="AN16" i="1"/>
  <c r="H19" i="44"/>
  <c r="G16" i="49" s="1"/>
  <c r="G19" i="44"/>
  <c r="F16" i="49" s="1"/>
  <c r="G125" i="24"/>
  <c r="I125" i="24" s="1"/>
  <c r="G47" i="25"/>
  <c r="G96" i="28"/>
  <c r="G97" i="28" s="1"/>
  <c r="G100" i="28"/>
  <c r="G101" i="28" s="1"/>
  <c r="G96" i="29"/>
  <c r="G98" i="30"/>
  <c r="G99" i="30" s="1"/>
  <c r="H11" i="3"/>
  <c r="AD16" i="44"/>
  <c r="AC13" i="49" s="1"/>
  <c r="G70" i="15"/>
  <c r="Q15" i="45" s="1"/>
  <c r="BB15" i="49" s="1"/>
  <c r="G96" i="25"/>
  <c r="G97" i="25" s="1"/>
  <c r="G104" i="25"/>
  <c r="G135" i="29"/>
  <c r="I135" i="29" s="1"/>
  <c r="G186" i="16"/>
  <c r="AV17" i="49"/>
  <c r="G125" i="19"/>
  <c r="I125" i="19" s="1"/>
  <c r="G135" i="19"/>
  <c r="I135" i="19" s="1"/>
  <c r="H157" i="3"/>
  <c r="H157" i="4" s="1"/>
  <c r="H157" i="5" s="1"/>
  <c r="I89" i="11"/>
  <c r="G64" i="13"/>
  <c r="AD17" i="44"/>
  <c r="AC14" i="49" s="1"/>
  <c r="Z36" i="1"/>
  <c r="G102" i="19"/>
  <c r="G103" i="19" s="1"/>
  <c r="G47" i="22"/>
  <c r="AD28" i="44"/>
  <c r="AC25" i="49" s="1"/>
  <c r="J7" i="2"/>
  <c r="AX17" i="49"/>
  <c r="H155" i="3"/>
  <c r="J155" i="3" s="1"/>
  <c r="G159" i="16"/>
  <c r="H158" i="3"/>
  <c r="H158" i="4" s="1"/>
  <c r="H158" i="5" s="1"/>
  <c r="J158" i="5" s="1"/>
  <c r="G186" i="11"/>
  <c r="H16" i="44"/>
  <c r="G13" i="49" s="1"/>
  <c r="G47" i="20"/>
  <c r="G59" i="21"/>
  <c r="G47" i="24"/>
  <c r="G59" i="24"/>
  <c r="H152" i="3"/>
  <c r="H156" i="3"/>
  <c r="G96" i="12"/>
  <c r="G97" i="12" s="1"/>
  <c r="G104" i="13"/>
  <c r="G105" i="13" s="1"/>
  <c r="G153" i="22"/>
  <c r="I153" i="22" s="1"/>
  <c r="G96" i="24"/>
  <c r="G97" i="24" s="1"/>
  <c r="G159" i="13"/>
  <c r="F20" i="44"/>
  <c r="E17" i="49" s="1"/>
  <c r="K21" i="44"/>
  <c r="J18" i="49" s="1"/>
  <c r="I87" i="22"/>
  <c r="G94" i="30"/>
  <c r="G95" i="30" s="1"/>
  <c r="BG36" i="1"/>
  <c r="H157" i="22"/>
  <c r="J157" i="22" s="1"/>
  <c r="G186" i="18"/>
  <c r="G186" i="17"/>
  <c r="AZ18" i="49"/>
  <c r="T27" i="45"/>
  <c r="BF18" i="49" s="1"/>
  <c r="G176" i="18"/>
  <c r="G135" i="18"/>
  <c r="I135" i="18" s="1"/>
  <c r="G125" i="18"/>
  <c r="I125" i="18" s="1"/>
  <c r="AN20" i="1"/>
  <c r="AH20" i="1"/>
  <c r="I89" i="18"/>
  <c r="AA20" i="1"/>
  <c r="AD20" i="1" s="1"/>
  <c r="I87" i="18"/>
  <c r="AZ20" i="44"/>
  <c r="BB18" i="49"/>
  <c r="AT18" i="49"/>
  <c r="BA18" i="49"/>
  <c r="AS18" i="49"/>
  <c r="G188" i="18"/>
  <c r="G71" i="18"/>
  <c r="W20" i="1"/>
  <c r="Y20" i="1" s="1"/>
  <c r="T10" i="45"/>
  <c r="S29" i="45"/>
  <c r="G187" i="17"/>
  <c r="G98" i="18"/>
  <c r="G99" i="18" s="1"/>
  <c r="G59" i="18"/>
  <c r="AZ19" i="1"/>
  <c r="AW19" i="1"/>
  <c r="G94" i="18"/>
  <c r="G95" i="18" s="1"/>
  <c r="G96" i="18"/>
  <c r="G97" i="18" s="1"/>
  <c r="AV20" i="1"/>
  <c r="BO20" i="1" s="1"/>
  <c r="J21" i="44"/>
  <c r="I18" i="49" s="1"/>
  <c r="AR20" i="1"/>
  <c r="BM20" i="1" s="1"/>
  <c r="H21" i="44"/>
  <c r="G18" i="49" s="1"/>
  <c r="G100" i="18"/>
  <c r="G101" i="18" s="1"/>
  <c r="G47" i="18"/>
  <c r="G102" i="18"/>
  <c r="G103" i="18" s="1"/>
  <c r="AP20" i="1"/>
  <c r="BK20" i="1" s="1"/>
  <c r="F21" i="44"/>
  <c r="E30" i="18"/>
  <c r="G30" i="18" s="1"/>
  <c r="G187" i="18"/>
  <c r="T6" i="45"/>
  <c r="T24" i="45" s="1"/>
  <c r="BD18" i="49" s="1"/>
  <c r="G20" i="18"/>
  <c r="D21" i="44"/>
  <c r="AN21" i="44"/>
  <c r="BG18" i="49" s="1"/>
  <c r="L20" i="1"/>
  <c r="N20" i="1" s="1"/>
  <c r="H19" i="1"/>
  <c r="I13" i="18"/>
  <c r="G20" i="1"/>
  <c r="B21" i="44"/>
  <c r="G105" i="18"/>
  <c r="D35" i="1"/>
  <c r="F35" i="1"/>
  <c r="F37" i="1" s="1"/>
  <c r="F36" i="1"/>
  <c r="D20" i="44"/>
  <c r="E28" i="17"/>
  <c r="G28" i="17" s="1"/>
  <c r="G32" i="17" s="1"/>
  <c r="N19" i="1"/>
  <c r="G159" i="17"/>
  <c r="H159" i="17" s="1"/>
  <c r="J159" i="17" s="1"/>
  <c r="G135" i="17"/>
  <c r="I135" i="17" s="1"/>
  <c r="G125" i="17"/>
  <c r="I125" i="17" s="1"/>
  <c r="AK19" i="1"/>
  <c r="AN19" i="1" s="1"/>
  <c r="AI19" i="1"/>
  <c r="AX20" i="44"/>
  <c r="AH18" i="1"/>
  <c r="AH36" i="1" s="1"/>
  <c r="I87" i="17"/>
  <c r="AC19" i="1"/>
  <c r="AD19" i="1" s="1"/>
  <c r="BC17" i="49"/>
  <c r="S27" i="45"/>
  <c r="AR17" i="49"/>
  <c r="S11" i="45"/>
  <c r="AQ17" i="49" s="1"/>
  <c r="X19" i="1"/>
  <c r="G71" i="17"/>
  <c r="X18" i="1"/>
  <c r="X36" i="1" s="1"/>
  <c r="G188" i="17"/>
  <c r="S8" i="45"/>
  <c r="AN17" i="49" s="1"/>
  <c r="G64" i="17"/>
  <c r="G96" i="17"/>
  <c r="G97" i="17" s="1"/>
  <c r="BE19" i="1"/>
  <c r="AE19" i="1" s="1"/>
  <c r="J20" i="44"/>
  <c r="I17" i="49" s="1"/>
  <c r="G96" i="16"/>
  <c r="E18" i="35" s="1"/>
  <c r="G18" i="35" s="1"/>
  <c r="G104" i="17"/>
  <c r="BA19" i="1"/>
  <c r="G20" i="44"/>
  <c r="F17" i="49" s="1"/>
  <c r="BA18" i="1"/>
  <c r="BA36" i="1" s="1"/>
  <c r="BH19" i="1"/>
  <c r="G59" i="17"/>
  <c r="AR18" i="1"/>
  <c r="G102" i="17"/>
  <c r="G103" i="17" s="1"/>
  <c r="AY19" i="1"/>
  <c r="BB16" i="49"/>
  <c r="AT16" i="49"/>
  <c r="G186" i="15"/>
  <c r="G181" i="16"/>
  <c r="G189" i="16" s="1"/>
  <c r="R23" i="45"/>
  <c r="R18" i="45"/>
  <c r="AV16" i="49" s="1"/>
  <c r="G176" i="16"/>
  <c r="AM18" i="44"/>
  <c r="AL15" i="49" s="1"/>
  <c r="G135" i="16"/>
  <c r="I135" i="16" s="1"/>
  <c r="G125" i="16"/>
  <c r="I125" i="16" s="1"/>
  <c r="I92" i="15"/>
  <c r="I90" i="16"/>
  <c r="AI18" i="1"/>
  <c r="AX19" i="44"/>
  <c r="I89" i="15"/>
  <c r="AC18" i="44"/>
  <c r="AB15" i="49" s="1"/>
  <c r="I89" i="16"/>
  <c r="AD18" i="1"/>
  <c r="AB36" i="1"/>
  <c r="I87" i="16"/>
  <c r="R14" i="45"/>
  <c r="I18" i="35"/>
  <c r="AP16" i="49"/>
  <c r="R9" i="45"/>
  <c r="G71" i="16"/>
  <c r="J18" i="35" s="1"/>
  <c r="G188" i="16"/>
  <c r="H188" i="16" s="1"/>
  <c r="J188" i="16" s="1"/>
  <c r="V18" i="1"/>
  <c r="G16" i="47"/>
  <c r="N18" i="1"/>
  <c r="N36" i="1" s="1"/>
  <c r="D19" i="44"/>
  <c r="G79" i="16"/>
  <c r="G80" i="16" s="1"/>
  <c r="AN19" i="44"/>
  <c r="K18" i="44"/>
  <c r="J15" i="49" s="1"/>
  <c r="BF36" i="1"/>
  <c r="BE36" i="1"/>
  <c r="BD36" i="1"/>
  <c r="BH18" i="1"/>
  <c r="AZ18" i="1"/>
  <c r="AZ36" i="1" s="1"/>
  <c r="G59" i="16"/>
  <c r="K19" i="44"/>
  <c r="AW18" i="1"/>
  <c r="AT36" i="1"/>
  <c r="I19" i="44"/>
  <c r="H16" i="49" s="1"/>
  <c r="G98" i="16"/>
  <c r="G99" i="16" s="1"/>
  <c r="AS18" i="1"/>
  <c r="G100" i="16"/>
  <c r="G101" i="16" s="1"/>
  <c r="G102" i="16"/>
  <c r="G103" i="16" s="1"/>
  <c r="E30" i="16"/>
  <c r="G30" i="16" s="1"/>
  <c r="G187" i="16"/>
  <c r="G20" i="16"/>
  <c r="R6" i="45"/>
  <c r="R24" i="45" s="1"/>
  <c r="BD16" i="49" s="1"/>
  <c r="Q24" i="45"/>
  <c r="BD15" i="49" s="1"/>
  <c r="G47" i="16"/>
  <c r="G94" i="16"/>
  <c r="AP18" i="1"/>
  <c r="F19" i="44"/>
  <c r="E16" i="49" s="1"/>
  <c r="G13" i="16"/>
  <c r="I13" i="16" s="1"/>
  <c r="G18" i="1"/>
  <c r="B19" i="44"/>
  <c r="G176" i="15"/>
  <c r="AD18" i="44"/>
  <c r="AC15" i="49" s="1"/>
  <c r="G159" i="15"/>
  <c r="P18" i="44"/>
  <c r="O15" i="49" s="1"/>
  <c r="G153" i="15"/>
  <c r="I153" i="15" s="1"/>
  <c r="G125" i="15"/>
  <c r="I125" i="15" s="1"/>
  <c r="I92" i="14"/>
  <c r="AK17" i="1"/>
  <c r="AU18" i="44"/>
  <c r="AZ18" i="44" s="1"/>
  <c r="I90" i="15"/>
  <c r="AI17" i="1"/>
  <c r="AX18" i="44"/>
  <c r="AY18" i="44" s="1"/>
  <c r="G79" i="15"/>
  <c r="G80" i="15" s="1"/>
  <c r="AT18" i="44"/>
  <c r="BM15" i="49" s="1"/>
  <c r="BK15" i="49"/>
  <c r="BC15" i="49"/>
  <c r="AR15" i="49"/>
  <c r="P8" i="45"/>
  <c r="AN14" i="49" s="1"/>
  <c r="BI17" i="1"/>
  <c r="BO17" i="1"/>
  <c r="AU36" i="1"/>
  <c r="AE17" i="1"/>
  <c r="J18" i="44"/>
  <c r="G18" i="44"/>
  <c r="G104" i="14"/>
  <c r="AQ17" i="1"/>
  <c r="AQ36" i="1" s="1"/>
  <c r="M18" i="44"/>
  <c r="L15" i="49" s="1"/>
  <c r="AY17" i="1"/>
  <c r="G102" i="15"/>
  <c r="G103" i="15" s="1"/>
  <c r="G94" i="15"/>
  <c r="G95" i="15" s="1"/>
  <c r="AP17" i="1"/>
  <c r="F18" i="44"/>
  <c r="G13" i="15"/>
  <c r="I13" i="15" s="1"/>
  <c r="BM17" i="1"/>
  <c r="E15" i="47"/>
  <c r="H36" i="1"/>
  <c r="K17" i="1"/>
  <c r="P15" i="45"/>
  <c r="J16" i="35"/>
  <c r="G186" i="13"/>
  <c r="G153" i="14"/>
  <c r="I153" i="14" s="1"/>
  <c r="R17" i="44"/>
  <c r="Q14" i="49" s="1"/>
  <c r="BJ16" i="1"/>
  <c r="AB36" i="44"/>
  <c r="AB37" i="44"/>
  <c r="G135" i="14"/>
  <c r="I135" i="14" s="1"/>
  <c r="AI37" i="44"/>
  <c r="AU17" i="44"/>
  <c r="AZ17" i="44" s="1"/>
  <c r="AW17" i="44"/>
  <c r="AY17" i="44" s="1"/>
  <c r="AH16" i="1"/>
  <c r="AG16" i="1"/>
  <c r="I89" i="14"/>
  <c r="AC17" i="44"/>
  <c r="AB14" i="49" s="1"/>
  <c r="BK14" i="49"/>
  <c r="P13" i="45"/>
  <c r="G71" i="14"/>
  <c r="L16" i="35" s="1"/>
  <c r="O16" i="35" s="1"/>
  <c r="H16" i="35"/>
  <c r="K16" i="35" s="1"/>
  <c r="AR13" i="49"/>
  <c r="BA15" i="1"/>
  <c r="K17" i="44"/>
  <c r="J14" i="49" s="1"/>
  <c r="AW16" i="1"/>
  <c r="AE16" i="1"/>
  <c r="BI16" i="1"/>
  <c r="G98" i="14"/>
  <c r="G99" i="14" s="1"/>
  <c r="AS16" i="1"/>
  <c r="I17" i="44"/>
  <c r="H14" i="49" s="1"/>
  <c r="H17" i="44"/>
  <c r="G14" i="49" s="1"/>
  <c r="G94" i="14"/>
  <c r="G95" i="14" s="1"/>
  <c r="F17" i="44"/>
  <c r="E14" i="49" s="1"/>
  <c r="AP16" i="1"/>
  <c r="O16" i="1"/>
  <c r="E17" i="44"/>
  <c r="O24" i="45"/>
  <c r="BD13" i="49" s="1"/>
  <c r="G13" i="14"/>
  <c r="I13" i="14" s="1"/>
  <c r="C17" i="44"/>
  <c r="J14" i="48" s="1"/>
  <c r="H16" i="1"/>
  <c r="H15" i="1"/>
  <c r="N15" i="45"/>
  <c r="O14" i="45"/>
  <c r="I15" i="35"/>
  <c r="K15" i="35" s="1"/>
  <c r="BC12" i="49"/>
  <c r="AR12" i="49"/>
  <c r="H14" i="35"/>
  <c r="K14" i="35" s="1"/>
  <c r="O27" i="45"/>
  <c r="BF13" i="49" s="1"/>
  <c r="AO12" i="49"/>
  <c r="N29" i="45"/>
  <c r="V14" i="1"/>
  <c r="G71" i="12"/>
  <c r="L14" i="35" s="1"/>
  <c r="O14" i="35" s="1"/>
  <c r="O9" i="45"/>
  <c r="G188" i="13"/>
  <c r="V15" i="1"/>
  <c r="Y15" i="1" s="1"/>
  <c r="G64" i="12"/>
  <c r="O7" i="45"/>
  <c r="AM13" i="49" s="1"/>
  <c r="G187" i="12"/>
  <c r="G176" i="12"/>
  <c r="AX13" i="49"/>
  <c r="G181" i="13"/>
  <c r="G189" i="13" s="1"/>
  <c r="O19" i="45"/>
  <c r="AW13" i="49" s="1"/>
  <c r="G176" i="13"/>
  <c r="AD15" i="44"/>
  <c r="AC12" i="49" s="1"/>
  <c r="AA13" i="49"/>
  <c r="Y13" i="49"/>
  <c r="G153" i="13"/>
  <c r="I153" i="13" s="1"/>
  <c r="G153" i="12"/>
  <c r="I153" i="12" s="1"/>
  <c r="O16" i="44"/>
  <c r="N13" i="49" s="1"/>
  <c r="N15" i="44"/>
  <c r="M12" i="49" s="1"/>
  <c r="G135" i="12"/>
  <c r="I135" i="12" s="1"/>
  <c r="G135" i="13"/>
  <c r="I135" i="13" s="1"/>
  <c r="AL37" i="44"/>
  <c r="G125" i="13"/>
  <c r="AX16" i="44"/>
  <c r="I90" i="13"/>
  <c r="AI15" i="1"/>
  <c r="AX15" i="44"/>
  <c r="AY15" i="44" s="1"/>
  <c r="AG15" i="1"/>
  <c r="I89" i="12"/>
  <c r="AC16" i="44"/>
  <c r="AB13" i="49" s="1"/>
  <c r="I87" i="12"/>
  <c r="I87" i="13"/>
  <c r="AD14" i="1"/>
  <c r="AA15" i="1"/>
  <c r="AD15" i="1" s="1"/>
  <c r="AQ16" i="44"/>
  <c r="BJ13" i="49" s="1"/>
  <c r="G79" i="13"/>
  <c r="G80" i="13" s="1"/>
  <c r="H80" i="13" s="1"/>
  <c r="J80" i="13" s="1"/>
  <c r="K16" i="44"/>
  <c r="J13" i="49" s="1"/>
  <c r="BG15" i="1"/>
  <c r="G96" i="13"/>
  <c r="E15" i="35" s="1"/>
  <c r="G15" i="35" s="1"/>
  <c r="BC35" i="1"/>
  <c r="F16" i="44"/>
  <c r="E13" i="49" s="1"/>
  <c r="AZ15" i="1"/>
  <c r="G94" i="13"/>
  <c r="G95" i="13" s="1"/>
  <c r="F15" i="44"/>
  <c r="E12" i="49" s="1"/>
  <c r="G94" i="12"/>
  <c r="G95" i="12" s="1"/>
  <c r="K15" i="44"/>
  <c r="J12" i="49" s="1"/>
  <c r="J16" i="44"/>
  <c r="AV15" i="1"/>
  <c r="AT35" i="1"/>
  <c r="I16" i="44"/>
  <c r="H13" i="49" s="1"/>
  <c r="G98" i="13"/>
  <c r="G99" i="13" s="1"/>
  <c r="AS15" i="1"/>
  <c r="AR15" i="1"/>
  <c r="G100" i="13"/>
  <c r="G101" i="13" s="1"/>
  <c r="AY14" i="1"/>
  <c r="G47" i="13"/>
  <c r="G20" i="12"/>
  <c r="N6" i="45"/>
  <c r="N24" i="45" s="1"/>
  <c r="BD12" i="49" s="1"/>
  <c r="D17" i="44"/>
  <c r="AN17" i="44"/>
  <c r="L16" i="1"/>
  <c r="BG13" i="49"/>
  <c r="L15" i="1"/>
  <c r="N15" i="1" s="1"/>
  <c r="D16" i="44"/>
  <c r="G13" i="13"/>
  <c r="I13" i="13" s="1"/>
  <c r="J12" i="48"/>
  <c r="H14" i="1"/>
  <c r="BK14" i="1" s="1"/>
  <c r="B16" i="44"/>
  <c r="G15" i="1"/>
  <c r="I13" i="5"/>
  <c r="O10" i="5"/>
  <c r="I13" i="43"/>
  <c r="I13" i="25"/>
  <c r="G13" i="17"/>
  <c r="N32" i="1"/>
  <c r="N12" i="1"/>
  <c r="G10" i="47"/>
  <c r="N4" i="1"/>
  <c r="G2" i="47"/>
  <c r="AE29" i="1"/>
  <c r="AF29" i="1" s="1"/>
  <c r="BI29" i="1"/>
  <c r="AE28" i="1"/>
  <c r="BO28" i="1"/>
  <c r="BI28" i="1"/>
  <c r="AX35" i="1"/>
  <c r="G32" i="43"/>
  <c r="BG26" i="49"/>
  <c r="BL5" i="1"/>
  <c r="BO14" i="1"/>
  <c r="AE14" i="1"/>
  <c r="AF14" i="1" s="1"/>
  <c r="BI14" i="1"/>
  <c r="BG23" i="49"/>
  <c r="BI31" i="1"/>
  <c r="BI41" i="1" s="1"/>
  <c r="AE31" i="1"/>
  <c r="O30" i="1"/>
  <c r="BG25" i="49"/>
  <c r="BI32" i="1"/>
  <c r="AE32" i="1"/>
  <c r="BK13" i="1"/>
  <c r="E31" i="50"/>
  <c r="G31" i="50" s="1"/>
  <c r="G21" i="50"/>
  <c r="E30" i="40"/>
  <c r="G30" i="40" s="1"/>
  <c r="AB6" i="45"/>
  <c r="AB24" i="45" s="1"/>
  <c r="BD26" i="49" s="1"/>
  <c r="G20" i="40"/>
  <c r="G187" i="40"/>
  <c r="L36" i="1"/>
  <c r="G15" i="47"/>
  <c r="J31" i="48"/>
  <c r="AE23" i="1"/>
  <c r="BI23" i="1"/>
  <c r="R6" i="1"/>
  <c r="I4" i="47"/>
  <c r="M4" i="47" s="1"/>
  <c r="Q6" i="1"/>
  <c r="BM4" i="1"/>
  <c r="E30" i="27"/>
  <c r="G30" i="27" s="1"/>
  <c r="G187" i="27"/>
  <c r="AC6" i="45"/>
  <c r="G20" i="27"/>
  <c r="BI7" i="1"/>
  <c r="AE7" i="1"/>
  <c r="X2" i="49"/>
  <c r="Y36" i="44"/>
  <c r="J27" i="49"/>
  <c r="U6" i="1"/>
  <c r="H15" i="49"/>
  <c r="G19" i="49"/>
  <c r="F6" i="49"/>
  <c r="X9" i="49"/>
  <c r="X11" i="49"/>
  <c r="J23" i="48"/>
  <c r="E30" i="30"/>
  <c r="G30" i="30" s="1"/>
  <c r="G101" i="40"/>
  <c r="G95" i="40"/>
  <c r="G99" i="40"/>
  <c r="E30" i="21"/>
  <c r="G30" i="21" s="1"/>
  <c r="E30" i="22"/>
  <c r="G30" i="22" s="1"/>
  <c r="G32" i="22" s="1"/>
  <c r="G187" i="22"/>
  <c r="G99" i="27"/>
  <c r="G103" i="27"/>
  <c r="BG17" i="49"/>
  <c r="G11" i="47"/>
  <c r="BK9" i="1"/>
  <c r="G20" i="30"/>
  <c r="BI33" i="1"/>
  <c r="G187" i="29"/>
  <c r="E30" i="28"/>
  <c r="G30" i="28" s="1"/>
  <c r="G20" i="22"/>
  <c r="G95" i="21"/>
  <c r="G105" i="21"/>
  <c r="Q26" i="1"/>
  <c r="G20" i="19"/>
  <c r="G187" i="19"/>
  <c r="E30" i="19"/>
  <c r="G30" i="19" s="1"/>
  <c r="H26" i="49"/>
  <c r="BC36" i="1"/>
  <c r="O10" i="29"/>
  <c r="BL17" i="1"/>
  <c r="AB12" i="49"/>
  <c r="J4" i="48"/>
  <c r="G105" i="25"/>
  <c r="J4" i="45"/>
  <c r="J3" i="48"/>
  <c r="M4" i="45" s="1"/>
  <c r="G33" i="48"/>
  <c r="O15" i="29"/>
  <c r="G99" i="25"/>
  <c r="G95" i="16"/>
  <c r="G105" i="16"/>
  <c r="E27" i="18"/>
  <c r="G27" i="18" s="1"/>
  <c r="E27" i="15"/>
  <c r="G27" i="15" s="1"/>
  <c r="N7" i="15"/>
  <c r="G105" i="17"/>
  <c r="G187" i="15"/>
  <c r="G20" i="15"/>
  <c r="E30" i="15"/>
  <c r="G30" i="15" s="1"/>
  <c r="G105" i="14"/>
  <c r="B33" i="48"/>
  <c r="E28" i="27"/>
  <c r="G28" i="27" s="1"/>
  <c r="G79" i="14"/>
  <c r="E28" i="14"/>
  <c r="G28" i="14" s="1"/>
  <c r="G32" i="13"/>
  <c r="G99" i="15"/>
  <c r="G20" i="13"/>
  <c r="G187" i="13"/>
  <c r="H184" i="5"/>
  <c r="J184" i="4"/>
  <c r="T22" i="44"/>
  <c r="S19" i="49" s="1"/>
  <c r="G153" i="19"/>
  <c r="I153" i="19" s="1"/>
  <c r="E28" i="4"/>
  <c r="G28" i="4" s="1"/>
  <c r="G79" i="4"/>
  <c r="F23" i="45"/>
  <c r="G181" i="4"/>
  <c r="G94" i="5"/>
  <c r="G59" i="5"/>
  <c r="AO7" i="1"/>
  <c r="AO8" i="44"/>
  <c r="G79" i="5"/>
  <c r="G80" i="5" s="1"/>
  <c r="H84" i="5"/>
  <c r="Z7" i="1"/>
  <c r="I87" i="5"/>
  <c r="G125" i="5"/>
  <c r="I125" i="5" s="1"/>
  <c r="O8" i="44"/>
  <c r="N5" i="49" s="1"/>
  <c r="S22" i="45"/>
  <c r="AY17" i="49" s="1"/>
  <c r="G181" i="17"/>
  <c r="T8" i="45"/>
  <c r="AN18" i="49" s="1"/>
  <c r="G64" i="18"/>
  <c r="AO20" i="1"/>
  <c r="AO21" i="44"/>
  <c r="G79" i="18"/>
  <c r="G153" i="18"/>
  <c r="I153" i="18" s="1"/>
  <c r="O21" i="44"/>
  <c r="N18" i="49" s="1"/>
  <c r="R6" i="44"/>
  <c r="H142" i="3"/>
  <c r="H152" i="4"/>
  <c r="J152" i="3"/>
  <c r="U8" i="44"/>
  <c r="T5" i="49" s="1"/>
  <c r="S11" i="44"/>
  <c r="R8" i="49" s="1"/>
  <c r="G153" i="8"/>
  <c r="G79" i="28"/>
  <c r="H158" i="50"/>
  <c r="J158" i="50" s="1"/>
  <c r="G181" i="50"/>
  <c r="H181" i="50" s="1"/>
  <c r="J181" i="50" s="1"/>
  <c r="G174" i="50"/>
  <c r="H171" i="50"/>
  <c r="J171" i="50" s="1"/>
  <c r="H166" i="22"/>
  <c r="E28" i="28"/>
  <c r="G28" i="28" s="1"/>
  <c r="E30" i="12"/>
  <c r="G30" i="12" s="1"/>
  <c r="G79" i="40"/>
  <c r="H33" i="48"/>
  <c r="E27" i="12"/>
  <c r="G27" i="12" s="1"/>
  <c r="E27" i="11"/>
  <c r="G27" i="11" s="1"/>
  <c r="E28" i="21"/>
  <c r="G28" i="21" s="1"/>
  <c r="G79" i="21"/>
  <c r="G72" i="50"/>
  <c r="G180" i="50"/>
  <c r="H180" i="50" s="1"/>
  <c r="J180" i="50" s="1"/>
  <c r="H154" i="50"/>
  <c r="J154" i="50" s="1"/>
  <c r="I86" i="50"/>
  <c r="G187" i="10"/>
  <c r="G103" i="10"/>
  <c r="N7" i="10"/>
  <c r="G60" i="50"/>
  <c r="H175" i="4"/>
  <c r="J175" i="3"/>
  <c r="H119" i="5"/>
  <c r="J119" i="4"/>
  <c r="H168" i="50"/>
  <c r="J168" i="50" s="1"/>
  <c r="G169" i="50"/>
  <c r="H169" i="50" s="1"/>
  <c r="J169" i="50" s="1"/>
  <c r="G100" i="10"/>
  <c r="G96" i="10"/>
  <c r="AM14" i="44"/>
  <c r="AL11" i="49" s="1"/>
  <c r="G135" i="11"/>
  <c r="G102" i="13"/>
  <c r="G59" i="13"/>
  <c r="AA16" i="1"/>
  <c r="AD16" i="1" s="1"/>
  <c r="I87" i="14"/>
  <c r="G100" i="15"/>
  <c r="G47" i="15"/>
  <c r="G96" i="15"/>
  <c r="G59" i="15"/>
  <c r="Q10" i="45"/>
  <c r="W17" i="1"/>
  <c r="H174" i="3"/>
  <c r="J128" i="3"/>
  <c r="J183" i="3"/>
  <c r="G97" i="50"/>
  <c r="G81" i="50"/>
  <c r="AS9" i="44"/>
  <c r="BL6" i="49" s="1"/>
  <c r="G48" i="50"/>
  <c r="H40" i="2"/>
  <c r="G47" i="2"/>
  <c r="AC5" i="1"/>
  <c r="I87" i="3"/>
  <c r="G179" i="50"/>
  <c r="H179" i="50" s="1"/>
  <c r="J179" i="50" s="1"/>
  <c r="H176" i="50"/>
  <c r="J176" i="50" s="1"/>
  <c r="O7" i="9"/>
  <c r="H144" i="4"/>
  <c r="J144" i="4" s="1"/>
  <c r="J144" i="3"/>
  <c r="G95" i="4"/>
  <c r="J148" i="2"/>
  <c r="H148" i="3"/>
  <c r="H173" i="5"/>
  <c r="J173" i="4"/>
  <c r="J113" i="2"/>
  <c r="H113" i="3"/>
  <c r="G135" i="2"/>
  <c r="V36" i="44"/>
  <c r="V37" i="44"/>
  <c r="AL36" i="44"/>
  <c r="N8" i="44"/>
  <c r="G153" i="5"/>
  <c r="I153" i="5" s="1"/>
  <c r="W36" i="44"/>
  <c r="W37" i="44"/>
  <c r="G153" i="4"/>
  <c r="I153" i="4" s="1"/>
  <c r="O7" i="44"/>
  <c r="N4" i="49" s="1"/>
  <c r="I87" i="8"/>
  <c r="AA10" i="1"/>
  <c r="AE31" i="44"/>
  <c r="AD28" i="49" s="1"/>
  <c r="G125" i="28"/>
  <c r="I125" i="28" s="1"/>
  <c r="AC6" i="1"/>
  <c r="AD6" i="1" s="1"/>
  <c r="G188" i="7"/>
  <c r="V9" i="1"/>
  <c r="I9" i="45"/>
  <c r="AP10" i="44"/>
  <c r="I87" i="7"/>
  <c r="Z9" i="1"/>
  <c r="AQ11" i="44"/>
  <c r="AF9" i="44"/>
  <c r="AE6" i="49" s="1"/>
  <c r="G125" i="33"/>
  <c r="I125" i="33" s="1"/>
  <c r="W8" i="1"/>
  <c r="G188" i="33"/>
  <c r="H10" i="45"/>
  <c r="AQ9" i="44"/>
  <c r="G188" i="2"/>
  <c r="H188" i="2" s="1"/>
  <c r="H67" i="2"/>
  <c r="H78" i="2"/>
  <c r="AS5" i="44"/>
  <c r="I135" i="5"/>
  <c r="AB9" i="1"/>
  <c r="AB35" i="1" s="1"/>
  <c r="AK9" i="1"/>
  <c r="AU10" i="44"/>
  <c r="AZ10" i="44" s="1"/>
  <c r="AM10" i="44"/>
  <c r="G135" i="7"/>
  <c r="G7" i="45"/>
  <c r="AM5" i="49" s="1"/>
  <c r="G187" i="5"/>
  <c r="G153" i="7"/>
  <c r="I153" i="7" s="1"/>
  <c r="Q10" i="44"/>
  <c r="P7" i="49" s="1"/>
  <c r="G188" i="8"/>
  <c r="X10" i="1"/>
  <c r="Y10" i="1" s="1"/>
  <c r="G59" i="10"/>
  <c r="G47" i="12"/>
  <c r="G98" i="12"/>
  <c r="G59" i="12"/>
  <c r="I90" i="27"/>
  <c r="AX30" i="44"/>
  <c r="P9" i="33"/>
  <c r="G47" i="11"/>
  <c r="G104" i="11"/>
  <c r="G102" i="20"/>
  <c r="G59" i="20"/>
  <c r="G79" i="8"/>
  <c r="AU6" i="44"/>
  <c r="I92" i="3"/>
  <c r="W7" i="1"/>
  <c r="G10" i="45"/>
  <c r="O19" i="44"/>
  <c r="N16" i="49" s="1"/>
  <c r="G153" i="16"/>
  <c r="I153" i="16" s="1"/>
  <c r="G47" i="17"/>
  <c r="G98" i="17"/>
  <c r="G94" i="17"/>
  <c r="G59" i="2"/>
  <c r="H59" i="2" s="1"/>
  <c r="J59" i="2" s="1"/>
  <c r="H49" i="2"/>
  <c r="G153" i="2"/>
  <c r="O5" i="44"/>
  <c r="G186" i="2"/>
  <c r="H186" i="2" s="1"/>
  <c r="G153" i="3"/>
  <c r="I153" i="3" s="1"/>
  <c r="G153" i="9"/>
  <c r="I153" i="9" s="1"/>
  <c r="G47" i="10"/>
  <c r="G94" i="10"/>
  <c r="G102" i="11"/>
  <c r="G59" i="11"/>
  <c r="O11" i="45"/>
  <c r="G71" i="13"/>
  <c r="G96" i="14"/>
  <c r="G47" i="14"/>
  <c r="G100" i="14"/>
  <c r="G59" i="14"/>
  <c r="W21" i="1"/>
  <c r="Y21" i="1" s="1"/>
  <c r="G188" i="19"/>
  <c r="AO22" i="1"/>
  <c r="AO23" i="44"/>
  <c r="AF23" i="44"/>
  <c r="AE20" i="49" s="1"/>
  <c r="G125" i="20"/>
  <c r="I125" i="20" s="1"/>
  <c r="AE24" i="44"/>
  <c r="AD21" i="49" s="1"/>
  <c r="G125" i="21"/>
  <c r="I125" i="21" s="1"/>
  <c r="W18" i="45"/>
  <c r="AV21" i="49" s="1"/>
  <c r="AE26" i="44"/>
  <c r="AD23" i="49" s="1"/>
  <c r="G125" i="23"/>
  <c r="I125" i="23" s="1"/>
  <c r="Z26" i="1"/>
  <c r="AD26" i="1" s="1"/>
  <c r="I87" i="24"/>
  <c r="G59" i="25"/>
  <c r="G102" i="25"/>
  <c r="G47" i="40"/>
  <c r="G102" i="40"/>
  <c r="G59" i="40"/>
  <c r="G96" i="40"/>
  <c r="X6" i="1"/>
  <c r="G188" i="4"/>
  <c r="F11" i="45"/>
  <c r="I87" i="4"/>
  <c r="AL7" i="1"/>
  <c r="AU8" i="44"/>
  <c r="G188" i="9"/>
  <c r="K9" i="45"/>
  <c r="G71" i="9"/>
  <c r="G125" i="10"/>
  <c r="I125" i="10" s="1"/>
  <c r="AK13" i="44"/>
  <c r="G96" i="11"/>
  <c r="AE15" i="44"/>
  <c r="G125" i="12"/>
  <c r="I125" i="12" s="1"/>
  <c r="G125" i="3"/>
  <c r="I125" i="3" s="1"/>
  <c r="N12" i="44"/>
  <c r="M9" i="49" s="1"/>
  <c r="AG13" i="1"/>
  <c r="AU24" i="44"/>
  <c r="AZ24" i="44" s="1"/>
  <c r="V33" i="1"/>
  <c r="Y33" i="1" s="1"/>
  <c r="I87" i="43"/>
  <c r="AK14" i="1"/>
  <c r="AN14" i="1" s="1"/>
  <c r="AU15" i="44"/>
  <c r="AZ15" i="44" s="1"/>
  <c r="I89" i="13"/>
  <c r="AV16" i="44"/>
  <c r="BJ15" i="1"/>
  <c r="AM16" i="44"/>
  <c r="AL13" i="49" s="1"/>
  <c r="AE17" i="44"/>
  <c r="AD14" i="49" s="1"/>
  <c r="G125" i="14"/>
  <c r="I125" i="14" s="1"/>
  <c r="BJ22" i="1"/>
  <c r="AM23" i="44"/>
  <c r="AL20" i="49" s="1"/>
  <c r="G135" i="20"/>
  <c r="G59" i="27"/>
  <c r="G100" i="27"/>
  <c r="G71" i="43"/>
  <c r="G188" i="43"/>
  <c r="AU12" i="44"/>
  <c r="I92" i="9"/>
  <c r="G188" i="10"/>
  <c r="X12" i="1"/>
  <c r="AK12" i="1"/>
  <c r="AU13" i="44"/>
  <c r="AZ13" i="44" s="1"/>
  <c r="AH15" i="1"/>
  <c r="AW16" i="44"/>
  <c r="V17" i="1"/>
  <c r="Q9" i="45"/>
  <c r="Q21" i="45"/>
  <c r="G181" i="15"/>
  <c r="G71" i="25"/>
  <c r="AA13" i="45"/>
  <c r="AP20" i="44"/>
  <c r="BI17" i="49" s="1"/>
  <c r="G79" i="17"/>
  <c r="G80" i="17" s="1"/>
  <c r="H80" i="17" s="1"/>
  <c r="Z23" i="45"/>
  <c r="AZ24" i="49" s="1"/>
  <c r="G181" i="24"/>
  <c r="AD7" i="45"/>
  <c r="AM28" i="49" s="1"/>
  <c r="G64" i="28"/>
  <c r="AK30" i="1"/>
  <c r="AN30" i="1" s="1"/>
  <c r="AU31" i="44"/>
  <c r="I92" i="28"/>
  <c r="AF14" i="45"/>
  <c r="G188" i="30"/>
  <c r="G71" i="30"/>
  <c r="O13" i="44"/>
  <c r="N10" i="49" s="1"/>
  <c r="G153" i="10"/>
  <c r="I153" i="10" s="1"/>
  <c r="G188" i="12"/>
  <c r="N14" i="45"/>
  <c r="P22" i="45"/>
  <c r="AY14" i="49" s="1"/>
  <c r="G181" i="14"/>
  <c r="W19" i="1"/>
  <c r="S10" i="45"/>
  <c r="G188" i="23"/>
  <c r="W25" i="1"/>
  <c r="Y10" i="45"/>
  <c r="N27" i="44"/>
  <c r="M24" i="49" s="1"/>
  <c r="G153" i="24"/>
  <c r="I153" i="24" s="1"/>
  <c r="G135" i="25"/>
  <c r="BJ27" i="1"/>
  <c r="G135" i="40"/>
  <c r="AM29" i="44"/>
  <c r="AL26" i="49" s="1"/>
  <c r="AD23" i="45"/>
  <c r="G181" i="28"/>
  <c r="G98" i="29"/>
  <c r="G59" i="29"/>
  <c r="AG32" i="44"/>
  <c r="G125" i="29"/>
  <c r="I125" i="29" s="1"/>
  <c r="I90" i="30"/>
  <c r="AI32" i="1"/>
  <c r="R33" i="44"/>
  <c r="G153" i="30"/>
  <c r="I153" i="30" s="1"/>
  <c r="G59" i="30"/>
  <c r="I92" i="21"/>
  <c r="G125" i="9"/>
  <c r="I125" i="9" s="1"/>
  <c r="AL15" i="1"/>
  <c r="AN15" i="1" s="1"/>
  <c r="AU16" i="44"/>
  <c r="AZ16" i="44" s="1"/>
  <c r="I92" i="13"/>
  <c r="AC17" i="1"/>
  <c r="I87" i="15"/>
  <c r="N20" i="44"/>
  <c r="M17" i="49" s="1"/>
  <c r="G153" i="17"/>
  <c r="I153" i="17" s="1"/>
  <c r="O24" i="44"/>
  <c r="N21" i="49" s="1"/>
  <c r="G153" i="21"/>
  <c r="I153" i="21" s="1"/>
  <c r="Z27" i="1"/>
  <c r="AD27" i="1" s="1"/>
  <c r="I87" i="25"/>
  <c r="AF29" i="44"/>
  <c r="AE26" i="49" s="1"/>
  <c r="G125" i="40"/>
  <c r="I125" i="40" s="1"/>
  <c r="G71" i="29"/>
  <c r="W31" i="1"/>
  <c r="G181" i="11"/>
  <c r="AO11" i="1"/>
  <c r="AO12" i="44"/>
  <c r="Z11" i="1"/>
  <c r="AD11" i="1" s="1"/>
  <c r="I87" i="9"/>
  <c r="AD13" i="44"/>
  <c r="G71" i="11"/>
  <c r="G188" i="11"/>
  <c r="M9" i="45"/>
  <c r="Z13" i="1"/>
  <c r="AD13" i="1" s="1"/>
  <c r="I87" i="11"/>
  <c r="G188" i="14"/>
  <c r="P14" i="45"/>
  <c r="G135" i="15"/>
  <c r="I135" i="15" s="1"/>
  <c r="AG19" i="1"/>
  <c r="AJ19" i="1" s="1"/>
  <c r="AV20" i="44"/>
  <c r="I89" i="17"/>
  <c r="AC22" i="1"/>
  <c r="AD22" i="1" s="1"/>
  <c r="I87" i="20"/>
  <c r="Z13" i="45"/>
  <c r="G71" i="24"/>
  <c r="AB15" i="45"/>
  <c r="G188" i="40"/>
  <c r="G159" i="14"/>
  <c r="G20" i="11"/>
  <c r="H177" i="5"/>
  <c r="J177" i="4"/>
  <c r="J9" i="2"/>
  <c r="H9" i="3"/>
  <c r="J23" i="2"/>
  <c r="H23" i="3"/>
  <c r="J127" i="3"/>
  <c r="H127" i="4"/>
  <c r="H166" i="5"/>
  <c r="H166" i="33" s="1"/>
  <c r="H166" i="7" s="1"/>
  <c r="J134" i="2"/>
  <c r="H134" i="3"/>
  <c r="H182" i="5"/>
  <c r="J182" i="4"/>
  <c r="J12" i="2"/>
  <c r="H12" i="3"/>
  <c r="J12" i="3" s="1"/>
  <c r="H167" i="9"/>
  <c r="J167" i="8"/>
  <c r="H168" i="8"/>
  <c r="J168" i="7"/>
  <c r="H15" i="2"/>
  <c r="E28" i="2"/>
  <c r="G28" i="2" s="1"/>
  <c r="H28" i="2" s="1"/>
  <c r="G24" i="19"/>
  <c r="J167" i="7"/>
  <c r="H10" i="3"/>
  <c r="G8" i="10"/>
  <c r="N9" i="10"/>
  <c r="J182" i="3"/>
  <c r="H158" i="43"/>
  <c r="H157" i="43"/>
  <c r="H157" i="23"/>
  <c r="J157" i="23" s="1"/>
  <c r="H158" i="22"/>
  <c r="J158" i="22" s="1"/>
  <c r="J158" i="21"/>
  <c r="BM32" i="1" l="1"/>
  <c r="H20" i="2"/>
  <c r="J20" i="2" s="1"/>
  <c r="I20" i="2" s="1"/>
  <c r="E5" i="44"/>
  <c r="O4" i="1"/>
  <c r="H13" i="3"/>
  <c r="J13" i="3" s="1"/>
  <c r="H46" i="4"/>
  <c r="J46" i="3"/>
  <c r="H115" i="4"/>
  <c r="H95" i="3"/>
  <c r="J95" i="3" s="1"/>
  <c r="BD35" i="1"/>
  <c r="AN24" i="44"/>
  <c r="D24" i="44"/>
  <c r="L23" i="1"/>
  <c r="H83" i="5"/>
  <c r="J83" i="4"/>
  <c r="AF11" i="1"/>
  <c r="AE36" i="1"/>
  <c r="BA17" i="49"/>
  <c r="G32" i="24"/>
  <c r="AY24" i="44"/>
  <c r="AO21" i="49"/>
  <c r="AE4" i="1"/>
  <c r="AF4" i="1" s="1"/>
  <c r="E28" i="20"/>
  <c r="G28" i="20" s="1"/>
  <c r="G32" i="20" s="1"/>
  <c r="AU35" i="44"/>
  <c r="E9" i="44"/>
  <c r="O8" i="1"/>
  <c r="BM11" i="1"/>
  <c r="E32" i="44"/>
  <c r="X36" i="44"/>
  <c r="X37" i="44"/>
  <c r="AF31" i="1"/>
  <c r="AY32" i="44"/>
  <c r="AO29" i="49"/>
  <c r="AE29" i="45"/>
  <c r="AE31" i="45" s="1"/>
  <c r="AT31" i="44"/>
  <c r="BA31" i="44" s="1"/>
  <c r="G26" i="47"/>
  <c r="AC25" i="45"/>
  <c r="BE27" i="49" s="1"/>
  <c r="J28" i="1"/>
  <c r="E26" i="47"/>
  <c r="K28" i="1"/>
  <c r="BM28" i="1"/>
  <c r="BL28" i="1"/>
  <c r="BK28" i="1"/>
  <c r="BA29" i="44"/>
  <c r="AA25" i="45"/>
  <c r="BE25" i="49" s="1"/>
  <c r="AR37" i="44"/>
  <c r="AT26" i="44"/>
  <c r="AR36" i="44"/>
  <c r="Z25" i="45"/>
  <c r="BE24" i="49" s="1"/>
  <c r="Z29" i="45"/>
  <c r="G22" i="47"/>
  <c r="AY25" i="44"/>
  <c r="G60" i="22"/>
  <c r="I59" i="22" s="1"/>
  <c r="G60" i="23"/>
  <c r="I59" i="23" s="1"/>
  <c r="G187" i="23"/>
  <c r="G20" i="23"/>
  <c r="BO24" i="1"/>
  <c r="BP24" i="1" s="1"/>
  <c r="AF23" i="1"/>
  <c r="X29" i="45"/>
  <c r="BK24" i="1"/>
  <c r="E24" i="44"/>
  <c r="I20" i="47"/>
  <c r="AT22" i="44"/>
  <c r="BM19" i="49" s="1"/>
  <c r="BM22" i="1"/>
  <c r="R22" i="1"/>
  <c r="BL22" i="1"/>
  <c r="BL21" i="1"/>
  <c r="E19" i="47"/>
  <c r="AY20" i="44"/>
  <c r="AJ20" i="1"/>
  <c r="AO18" i="49"/>
  <c r="T29" i="45"/>
  <c r="O19" i="1"/>
  <c r="E20" i="44"/>
  <c r="AF19" i="1"/>
  <c r="K18" i="35"/>
  <c r="W36" i="1"/>
  <c r="AF18" i="1"/>
  <c r="BM19" i="1"/>
  <c r="G71" i="15"/>
  <c r="G188" i="15"/>
  <c r="AY19" i="44"/>
  <c r="AG36" i="1"/>
  <c r="G32" i="16"/>
  <c r="AS15" i="49"/>
  <c r="BA15" i="49"/>
  <c r="H39" i="44"/>
  <c r="P24" i="45"/>
  <c r="BD14" i="49" s="1"/>
  <c r="J29" i="2"/>
  <c r="H29" i="3"/>
  <c r="J29" i="3" s="1"/>
  <c r="U36" i="44"/>
  <c r="H45" i="15"/>
  <c r="G97" i="16"/>
  <c r="G18" i="47"/>
  <c r="I13" i="3"/>
  <c r="BP30" i="1"/>
  <c r="X25" i="45"/>
  <c r="BE22" i="49" s="1"/>
  <c r="AY26" i="44"/>
  <c r="H70" i="5"/>
  <c r="J168" i="22"/>
  <c r="H168" i="23"/>
  <c r="BB5" i="44"/>
  <c r="BI24" i="1"/>
  <c r="X30" i="45"/>
  <c r="G32" i="33"/>
  <c r="H185" i="4"/>
  <c r="E30" i="23"/>
  <c r="G30" i="23" s="1"/>
  <c r="G32" i="23" s="1"/>
  <c r="BP28" i="1"/>
  <c r="H116" i="4"/>
  <c r="H101" i="3"/>
  <c r="BP14" i="1"/>
  <c r="AF28" i="1"/>
  <c r="AI36" i="1"/>
  <c r="BO4" i="1"/>
  <c r="BK21" i="1"/>
  <c r="Y23" i="1"/>
  <c r="BI4" i="1"/>
  <c r="BB34" i="44"/>
  <c r="H53" i="3"/>
  <c r="BP31" i="1"/>
  <c r="N10" i="1"/>
  <c r="H79" i="3"/>
  <c r="Y5" i="1"/>
  <c r="Z37" i="44"/>
  <c r="J149" i="4"/>
  <c r="AI36" i="44"/>
  <c r="AT15" i="49"/>
  <c r="AF30" i="1"/>
  <c r="G32" i="5"/>
  <c r="AC36" i="44"/>
  <c r="N27" i="45"/>
  <c r="BF12" i="49" s="1"/>
  <c r="BL15" i="1"/>
  <c r="BM15" i="1"/>
  <c r="Y14" i="1"/>
  <c r="BP13" i="1"/>
  <c r="E14" i="35"/>
  <c r="G14" i="35" s="1"/>
  <c r="G12" i="47"/>
  <c r="N14" i="1"/>
  <c r="BG12" i="49"/>
  <c r="Z36" i="44"/>
  <c r="AN12" i="1"/>
  <c r="BB14" i="44"/>
  <c r="BC14" i="44" s="1"/>
  <c r="O12" i="1"/>
  <c r="E13" i="44"/>
  <c r="Y13" i="1"/>
  <c r="L31" i="45"/>
  <c r="AT10" i="49"/>
  <c r="BB10" i="49"/>
  <c r="Y11" i="1"/>
  <c r="Y12" i="1"/>
  <c r="BI12" i="1"/>
  <c r="BO12" i="1"/>
  <c r="BP12" i="1" s="1"/>
  <c r="BC12" i="44"/>
  <c r="AJ11" i="1"/>
  <c r="AZ11" i="44"/>
  <c r="AT9" i="49"/>
  <c r="BB9" i="49"/>
  <c r="G32" i="8"/>
  <c r="K10" i="1"/>
  <c r="E8" i="47"/>
  <c r="BL10" i="1"/>
  <c r="J10" i="1"/>
  <c r="J27" i="45"/>
  <c r="BF8" i="49" s="1"/>
  <c r="BO10" i="1"/>
  <c r="BK10" i="1"/>
  <c r="AE10" i="1"/>
  <c r="BI10" i="1"/>
  <c r="G97" i="7"/>
  <c r="BB11" i="44"/>
  <c r="BC11" i="44" s="1"/>
  <c r="G60" i="8"/>
  <c r="I59" i="8" s="1"/>
  <c r="H8" i="49"/>
  <c r="AT10" i="44"/>
  <c r="BA10" i="44" s="1"/>
  <c r="AJ9" i="1"/>
  <c r="BB10" i="44"/>
  <c r="BC10" i="44" s="1"/>
  <c r="AE8" i="1"/>
  <c r="AF8" i="1" s="1"/>
  <c r="G7" i="47"/>
  <c r="M7" i="47" s="1"/>
  <c r="N9" i="1"/>
  <c r="BN9" i="1" s="1"/>
  <c r="BM8" i="1"/>
  <c r="Y8" i="1"/>
  <c r="G6" i="47"/>
  <c r="N8" i="1"/>
  <c r="Y37" i="44"/>
  <c r="G60" i="33"/>
  <c r="I59" i="33" s="1"/>
  <c r="BO8" i="1"/>
  <c r="BP8" i="1" s="1"/>
  <c r="BK8" i="1"/>
  <c r="BB9" i="44"/>
  <c r="BC9" i="44" s="1"/>
  <c r="P12" i="33"/>
  <c r="BK7" i="1"/>
  <c r="H164" i="5"/>
  <c r="J164" i="5" s="1"/>
  <c r="BO6" i="1"/>
  <c r="G97" i="5"/>
  <c r="G32" i="4"/>
  <c r="J7" i="1"/>
  <c r="BM7" i="1"/>
  <c r="E5" i="47"/>
  <c r="K7" i="1"/>
  <c r="BL7" i="1"/>
  <c r="H183" i="5"/>
  <c r="J183" i="5" s="1"/>
  <c r="AA36" i="44"/>
  <c r="H151" i="4"/>
  <c r="J151" i="3"/>
  <c r="AJ37" i="44"/>
  <c r="AJ36" i="44"/>
  <c r="AT4" i="49"/>
  <c r="BB4" i="49"/>
  <c r="AS4" i="49"/>
  <c r="K7" i="35"/>
  <c r="G97" i="4"/>
  <c r="H100" i="3"/>
  <c r="J100" i="3" s="1"/>
  <c r="BB6" i="44"/>
  <c r="BC6" i="44" s="1"/>
  <c r="H94" i="3"/>
  <c r="J94" i="3" s="1"/>
  <c r="G60" i="4"/>
  <c r="I59" i="4" s="1"/>
  <c r="AE5" i="1"/>
  <c r="BK6" i="1"/>
  <c r="G60" i="3"/>
  <c r="I59" i="3" s="1"/>
  <c r="E4" i="49"/>
  <c r="BB7" i="44"/>
  <c r="BC7" i="44" s="1"/>
  <c r="H18" i="5"/>
  <c r="J18" i="4"/>
  <c r="I13" i="4"/>
  <c r="H13" i="4"/>
  <c r="J13" i="4" s="1"/>
  <c r="H7" i="4"/>
  <c r="H176" i="3"/>
  <c r="J176" i="3" s="1"/>
  <c r="H165" i="4"/>
  <c r="AA37" i="44"/>
  <c r="H155" i="4"/>
  <c r="H155" i="5" s="1"/>
  <c r="J150" i="5"/>
  <c r="J150" i="3"/>
  <c r="H150" i="7"/>
  <c r="T36" i="44"/>
  <c r="H145" i="4"/>
  <c r="H145" i="5" s="1"/>
  <c r="J143" i="2"/>
  <c r="H143" i="3"/>
  <c r="H132" i="5"/>
  <c r="J132" i="4"/>
  <c r="J132" i="3"/>
  <c r="H131" i="4"/>
  <c r="H131" i="5" s="1"/>
  <c r="H130" i="5"/>
  <c r="J130" i="5" s="1"/>
  <c r="J130" i="3"/>
  <c r="H123" i="3"/>
  <c r="J123" i="3" s="1"/>
  <c r="AH37" i="44"/>
  <c r="AH36" i="44"/>
  <c r="H112" i="5"/>
  <c r="J112" i="5" s="1"/>
  <c r="BP4" i="1"/>
  <c r="H87" i="3"/>
  <c r="H77" i="4"/>
  <c r="J77" i="3"/>
  <c r="H76" i="4"/>
  <c r="H76" i="5" s="1"/>
  <c r="BA3" i="49"/>
  <c r="AS3" i="49"/>
  <c r="H188" i="3"/>
  <c r="J188" i="3" s="1"/>
  <c r="AO2" i="49"/>
  <c r="D29" i="45"/>
  <c r="H187" i="3"/>
  <c r="J187" i="3" s="1"/>
  <c r="H58" i="5"/>
  <c r="H58" i="33" s="1"/>
  <c r="BQ4" i="1"/>
  <c r="BF35" i="1"/>
  <c r="H56" i="3"/>
  <c r="J56" i="3" s="1"/>
  <c r="BK4" i="1"/>
  <c r="H96" i="2"/>
  <c r="J96" i="2" s="1"/>
  <c r="BB35" i="1"/>
  <c r="H52" i="4"/>
  <c r="J52" i="3"/>
  <c r="H95" i="4"/>
  <c r="J95" i="4" s="1"/>
  <c r="H97" i="2"/>
  <c r="J97" i="2" s="1"/>
  <c r="E4" i="35"/>
  <c r="G4" i="35" s="1"/>
  <c r="H42" i="4"/>
  <c r="J42" i="3"/>
  <c r="BO5" i="1"/>
  <c r="BK5" i="1"/>
  <c r="H39" i="4"/>
  <c r="J39" i="3"/>
  <c r="F3" i="49"/>
  <c r="H94" i="4"/>
  <c r="J94" i="4" s="1"/>
  <c r="H30" i="4"/>
  <c r="J30" i="4" s="1"/>
  <c r="E6" i="44"/>
  <c r="H20" i="3"/>
  <c r="O5" i="1"/>
  <c r="J187" i="2"/>
  <c r="G3" i="47"/>
  <c r="N5" i="1"/>
  <c r="BG3" i="49"/>
  <c r="AT6" i="44"/>
  <c r="BM3" i="49" s="1"/>
  <c r="H162" i="3"/>
  <c r="J162" i="2"/>
  <c r="J138" i="3"/>
  <c r="H138" i="4"/>
  <c r="J133" i="2"/>
  <c r="H133" i="3"/>
  <c r="J128" i="4"/>
  <c r="H128" i="5"/>
  <c r="H68" i="3"/>
  <c r="J68" i="2"/>
  <c r="H71" i="2"/>
  <c r="L4" i="35"/>
  <c r="O4" i="35" s="1"/>
  <c r="H102" i="2"/>
  <c r="G103" i="2"/>
  <c r="H103" i="2" s="1"/>
  <c r="H56" i="4"/>
  <c r="H55" i="4"/>
  <c r="J55" i="3"/>
  <c r="H37" i="4"/>
  <c r="J37" i="3"/>
  <c r="H24" i="3"/>
  <c r="J24" i="2"/>
  <c r="H29" i="4"/>
  <c r="H29" i="5" s="1"/>
  <c r="J19" i="2"/>
  <c r="H19" i="3"/>
  <c r="I13" i="2"/>
  <c r="J8" i="2"/>
  <c r="I9" i="2" s="1"/>
  <c r="H8" i="3"/>
  <c r="BA35" i="44"/>
  <c r="AH29" i="45"/>
  <c r="AH31" i="45" s="1"/>
  <c r="BB35" i="44"/>
  <c r="BC35" i="44" s="1"/>
  <c r="G60" i="31"/>
  <c r="I59" i="31" s="1"/>
  <c r="I13" i="31"/>
  <c r="N33" i="1"/>
  <c r="BA34" i="44"/>
  <c r="BC34" i="44"/>
  <c r="AG27" i="45"/>
  <c r="AF32" i="1"/>
  <c r="BP32" i="1"/>
  <c r="BB33" i="44"/>
  <c r="BC33" i="44" s="1"/>
  <c r="G60" i="43"/>
  <c r="I60" i="43" s="1"/>
  <c r="J32" i="1"/>
  <c r="K32" i="1"/>
  <c r="BK32" i="1"/>
  <c r="Y32" i="1"/>
  <c r="AT33" i="44"/>
  <c r="BG29" i="49"/>
  <c r="AN37" i="44"/>
  <c r="H90" i="30"/>
  <c r="J90" i="29"/>
  <c r="AQ29" i="49"/>
  <c r="AE25" i="45"/>
  <c r="BE29" i="49" s="1"/>
  <c r="Y31" i="1"/>
  <c r="BM29" i="49"/>
  <c r="BA32" i="44"/>
  <c r="N31" i="1"/>
  <c r="G60" i="28"/>
  <c r="I60" i="28" s="1"/>
  <c r="AD30" i="45"/>
  <c r="AD31" i="45" s="1"/>
  <c r="AQ28" i="49"/>
  <c r="AD25" i="45"/>
  <c r="BE28" i="49" s="1"/>
  <c r="AC24" i="45"/>
  <c r="BD27" i="49" s="1"/>
  <c r="E28" i="47"/>
  <c r="BL30" i="1"/>
  <c r="BM30" i="1"/>
  <c r="K30" i="1"/>
  <c r="J30" i="1"/>
  <c r="BB31" i="44"/>
  <c r="BC31" i="44" s="1"/>
  <c r="Y29" i="1"/>
  <c r="AC31" i="45"/>
  <c r="BB29" i="44"/>
  <c r="BC29" i="44" s="1"/>
  <c r="BB30" i="44"/>
  <c r="BC30" i="44" s="1"/>
  <c r="L36" i="44"/>
  <c r="L37" i="44"/>
  <c r="AF27" i="1"/>
  <c r="AT28" i="44"/>
  <c r="BA28" i="44" s="1"/>
  <c r="BG35" i="1"/>
  <c r="BB28" i="44"/>
  <c r="BC28" i="44" s="1"/>
  <c r="BO27" i="1"/>
  <c r="BP27" i="1" s="1"/>
  <c r="BI27" i="1"/>
  <c r="BK27" i="1"/>
  <c r="N27" i="1"/>
  <c r="G25" i="47"/>
  <c r="H139" i="4"/>
  <c r="J139" i="3"/>
  <c r="H85" i="4"/>
  <c r="J85" i="3"/>
  <c r="H35" i="5"/>
  <c r="J35" i="4"/>
  <c r="J11" i="1"/>
  <c r="BN11" i="1" s="1"/>
  <c r="BL11" i="1"/>
  <c r="K11" i="1"/>
  <c r="E9" i="47"/>
  <c r="M9" i="47" s="1"/>
  <c r="AO6" i="49"/>
  <c r="H29" i="45"/>
  <c r="AX5" i="49"/>
  <c r="G27" i="45"/>
  <c r="BF5" i="49" s="1"/>
  <c r="BB5" i="49"/>
  <c r="AT5" i="49"/>
  <c r="AJ12" i="1"/>
  <c r="G80" i="23"/>
  <c r="H43" i="4"/>
  <c r="J43" i="3"/>
  <c r="H90" i="5"/>
  <c r="J90" i="4"/>
  <c r="H50" i="5"/>
  <c r="J50" i="4"/>
  <c r="I60" i="7"/>
  <c r="I13" i="7"/>
  <c r="H147" i="4"/>
  <c r="J147" i="3"/>
  <c r="H117" i="4"/>
  <c r="J117" i="3"/>
  <c r="BO23" i="1"/>
  <c r="BP23" i="1" s="1"/>
  <c r="AY6" i="44"/>
  <c r="J122" i="4"/>
  <c r="H122" i="5"/>
  <c r="AO25" i="49"/>
  <c r="AA29" i="45"/>
  <c r="H54" i="5"/>
  <c r="J54" i="4"/>
  <c r="H38" i="4"/>
  <c r="J38" i="3"/>
  <c r="J76" i="4"/>
  <c r="K27" i="45"/>
  <c r="BF9" i="49" s="1"/>
  <c r="AX9" i="49"/>
  <c r="H57" i="4"/>
  <c r="J57" i="3"/>
  <c r="Q36" i="44"/>
  <c r="H129" i="5"/>
  <c r="AY13" i="44"/>
  <c r="BA13" i="44" s="1"/>
  <c r="H70" i="33"/>
  <c r="J70" i="5"/>
  <c r="H101" i="4"/>
  <c r="J101" i="3"/>
  <c r="H86" i="5"/>
  <c r="J86" i="4"/>
  <c r="H74" i="4"/>
  <c r="J74" i="3"/>
  <c r="H179" i="4"/>
  <c r="J179" i="3"/>
  <c r="J18" i="1"/>
  <c r="J36" i="1" s="1"/>
  <c r="K18" i="1"/>
  <c r="K36" i="1" s="1"/>
  <c r="E16" i="47"/>
  <c r="AO8" i="49"/>
  <c r="J29" i="45"/>
  <c r="AO5" i="49"/>
  <c r="G29" i="45"/>
  <c r="J121" i="3"/>
  <c r="H121" i="4"/>
  <c r="AA31" i="45"/>
  <c r="BP29" i="1"/>
  <c r="AY8" i="44"/>
  <c r="AF25" i="1"/>
  <c r="AZ27" i="44"/>
  <c r="AT27" i="44"/>
  <c r="AQ24" i="49"/>
  <c r="Z30" i="45"/>
  <c r="BO25" i="1"/>
  <c r="BP25" i="1" s="1"/>
  <c r="BK25" i="1"/>
  <c r="BO26" i="1"/>
  <c r="BP26" i="1" s="1"/>
  <c r="BK26" i="1"/>
  <c r="AE26" i="1"/>
  <c r="AF26" i="1" s="1"/>
  <c r="AU35" i="1"/>
  <c r="N25" i="1"/>
  <c r="J24" i="48"/>
  <c r="BB27" i="44"/>
  <c r="BC27" i="44" s="1"/>
  <c r="J26" i="1"/>
  <c r="BN26" i="1" s="1"/>
  <c r="BM26" i="1"/>
  <c r="K26" i="1"/>
  <c r="BL26" i="1"/>
  <c r="Y27" i="45"/>
  <c r="BF23" i="49" s="1"/>
  <c r="AZ23" i="49"/>
  <c r="AO23" i="49"/>
  <c r="Y29" i="45"/>
  <c r="Y25" i="1"/>
  <c r="BE35" i="1"/>
  <c r="BK22" i="1"/>
  <c r="BI22" i="1"/>
  <c r="BO22" i="1"/>
  <c r="BP22" i="1" s="1"/>
  <c r="BB25" i="44"/>
  <c r="BC25" i="44" s="1"/>
  <c r="BB26" i="44"/>
  <c r="BC26" i="44" s="1"/>
  <c r="X27" i="45"/>
  <c r="BF22" i="49" s="1"/>
  <c r="AX22" i="49"/>
  <c r="AF24" i="1"/>
  <c r="BB24" i="44"/>
  <c r="BC24" i="44" s="1"/>
  <c r="BG22" i="49"/>
  <c r="AT25" i="44"/>
  <c r="BK23" i="1"/>
  <c r="W27" i="45"/>
  <c r="BF21" i="49" s="1"/>
  <c r="W30" i="45"/>
  <c r="W31" i="45" s="1"/>
  <c r="W25" i="45"/>
  <c r="BE21" i="49" s="1"/>
  <c r="AP21" i="49"/>
  <c r="I21" i="47"/>
  <c r="R23" i="1"/>
  <c r="H158" i="23"/>
  <c r="J158" i="23" s="1"/>
  <c r="J23" i="1"/>
  <c r="E21" i="47"/>
  <c r="BL23" i="1"/>
  <c r="K23" i="1"/>
  <c r="J22" i="1"/>
  <c r="BN22" i="1" s="1"/>
  <c r="K22" i="1"/>
  <c r="E20" i="47"/>
  <c r="M20" i="47" s="1"/>
  <c r="H157" i="24"/>
  <c r="J157" i="24" s="1"/>
  <c r="G60" i="9"/>
  <c r="K24" i="1"/>
  <c r="BM24" i="1"/>
  <c r="J24" i="1"/>
  <c r="BL24" i="1"/>
  <c r="E22" i="47"/>
  <c r="H82" i="4"/>
  <c r="J82" i="3"/>
  <c r="H22" i="4"/>
  <c r="E8" i="44"/>
  <c r="O7" i="1"/>
  <c r="H65" i="4"/>
  <c r="J65" i="3"/>
  <c r="H31" i="5"/>
  <c r="J31" i="4"/>
  <c r="BI19" i="1"/>
  <c r="BO19" i="1"/>
  <c r="BP19" i="1" s="1"/>
  <c r="E26" i="44"/>
  <c r="O25" i="1"/>
  <c r="J167" i="23"/>
  <c r="H167" i="24"/>
  <c r="J27" i="1"/>
  <c r="K27" i="1"/>
  <c r="BL27" i="1"/>
  <c r="E25" i="47"/>
  <c r="BM27" i="1"/>
  <c r="O34" i="1"/>
  <c r="E35" i="44"/>
  <c r="AY23" i="44"/>
  <c r="AF22" i="1"/>
  <c r="BB22" i="44"/>
  <c r="BC22" i="44" s="1"/>
  <c r="H37" i="44"/>
  <c r="BB23" i="44"/>
  <c r="BC23" i="44" s="1"/>
  <c r="F38" i="1"/>
  <c r="AJ21" i="1"/>
  <c r="BA22" i="44"/>
  <c r="BP20" i="1"/>
  <c r="AS19" i="49"/>
  <c r="BA19" i="49"/>
  <c r="U30" i="45"/>
  <c r="U31" i="45" s="1"/>
  <c r="U25" i="45"/>
  <c r="BE19" i="49" s="1"/>
  <c r="BA35" i="1"/>
  <c r="G60" i="19"/>
  <c r="I59" i="19" s="1"/>
  <c r="AE21" i="1"/>
  <c r="AF21" i="1" s="1"/>
  <c r="BO21" i="1"/>
  <c r="BP21" i="1" s="1"/>
  <c r="AY35" i="1"/>
  <c r="AN36" i="44"/>
  <c r="J141" i="2"/>
  <c r="H141" i="3"/>
  <c r="H62" i="3"/>
  <c r="J62" i="2"/>
  <c r="D30" i="45"/>
  <c r="D31" i="45" s="1"/>
  <c r="AS2" i="49"/>
  <c r="BA2" i="49"/>
  <c r="D25" i="45"/>
  <c r="BE2" i="49" s="1"/>
  <c r="J140" i="2"/>
  <c r="H140" i="3"/>
  <c r="L7" i="35"/>
  <c r="O7" i="35" s="1"/>
  <c r="J178" i="2"/>
  <c r="H178" i="3"/>
  <c r="G60" i="24"/>
  <c r="H53" i="4"/>
  <c r="J53" i="3"/>
  <c r="H120" i="3"/>
  <c r="J189" i="20"/>
  <c r="H189" i="21"/>
  <c r="V30" i="45"/>
  <c r="V31" i="45" s="1"/>
  <c r="AQ20" i="49"/>
  <c r="V25" i="45"/>
  <c r="BE20" i="49" s="1"/>
  <c r="J30" i="45"/>
  <c r="AP8" i="49"/>
  <c r="J25" i="45"/>
  <c r="BE8" i="49" s="1"/>
  <c r="J161" i="4"/>
  <c r="H161" i="5"/>
  <c r="E28" i="44"/>
  <c r="O27" i="1"/>
  <c r="BM11" i="49"/>
  <c r="BA14" i="44"/>
  <c r="AS35" i="1"/>
  <c r="BI20" i="1"/>
  <c r="J11" i="3"/>
  <c r="H11" i="4"/>
  <c r="H88" i="4"/>
  <c r="J88" i="3"/>
  <c r="H91" i="4"/>
  <c r="J91" i="3"/>
  <c r="AF27" i="45"/>
  <c r="AS6" i="49"/>
  <c r="BA6" i="49"/>
  <c r="G60" i="21"/>
  <c r="H51" i="4"/>
  <c r="J51" i="3"/>
  <c r="E34" i="44"/>
  <c r="O33" i="1"/>
  <c r="J31" i="1"/>
  <c r="E29" i="47"/>
  <c r="K31" i="1"/>
  <c r="BL31" i="1"/>
  <c r="AQ35" i="1"/>
  <c r="BK19" i="1"/>
  <c r="H44" i="5"/>
  <c r="J44" i="4"/>
  <c r="H36" i="5"/>
  <c r="J36" i="4"/>
  <c r="G32" i="3"/>
  <c r="H27" i="3"/>
  <c r="H64" i="4"/>
  <c r="J64" i="3"/>
  <c r="G99" i="2"/>
  <c r="H99" i="2" s="1"/>
  <c r="H98" i="2"/>
  <c r="J116" i="4"/>
  <c r="H116" i="5"/>
  <c r="H104" i="3"/>
  <c r="G105" i="3"/>
  <c r="H105" i="3" s="1"/>
  <c r="E30" i="45"/>
  <c r="E31" i="45" s="1"/>
  <c r="E25" i="45"/>
  <c r="BE3" i="49" s="1"/>
  <c r="AP3" i="49"/>
  <c r="H92" i="3"/>
  <c r="J92" i="2"/>
  <c r="AX19" i="49"/>
  <c r="U27" i="45"/>
  <c r="BF19" i="49" s="1"/>
  <c r="H118" i="5"/>
  <c r="J118" i="4"/>
  <c r="H41" i="4"/>
  <c r="J41" i="3"/>
  <c r="J29" i="1"/>
  <c r="K29" i="1"/>
  <c r="BL29" i="1"/>
  <c r="BM29" i="1"/>
  <c r="E27" i="47"/>
  <c r="BK29" i="1"/>
  <c r="BM10" i="49"/>
  <c r="J29" i="48"/>
  <c r="BB32" i="44"/>
  <c r="H156" i="4"/>
  <c r="J156" i="3"/>
  <c r="AT2" i="49"/>
  <c r="BB2" i="49"/>
  <c r="BB17" i="49"/>
  <c r="AT17" i="49"/>
  <c r="H66" i="5"/>
  <c r="J66" i="4"/>
  <c r="E11" i="35"/>
  <c r="G11" i="35" s="1"/>
  <c r="G97" i="9"/>
  <c r="M30" i="45"/>
  <c r="AQ11" i="49"/>
  <c r="J163" i="2"/>
  <c r="H163" i="3"/>
  <c r="G97" i="3"/>
  <c r="E5" i="35"/>
  <c r="G5" i="35" s="1"/>
  <c r="H115" i="5"/>
  <c r="J115" i="4"/>
  <c r="AJ16" i="1"/>
  <c r="H63" i="4"/>
  <c r="J63" i="3"/>
  <c r="J114" i="3"/>
  <c r="H114" i="4"/>
  <c r="H75" i="5"/>
  <c r="J75" i="4"/>
  <c r="H181" i="2"/>
  <c r="G189" i="2"/>
  <c r="H189" i="2" s="1"/>
  <c r="BB8" i="44"/>
  <c r="BC8" i="44" s="1"/>
  <c r="BM31" i="1"/>
  <c r="BK15" i="1"/>
  <c r="J180" i="2"/>
  <c r="H180" i="3"/>
  <c r="H89" i="4"/>
  <c r="J89" i="3"/>
  <c r="H69" i="3"/>
  <c r="J69" i="2"/>
  <c r="AZ29" i="49"/>
  <c r="AE27" i="45"/>
  <c r="BF29" i="49" s="1"/>
  <c r="E11" i="44"/>
  <c r="O10" i="1"/>
  <c r="H146" i="3"/>
  <c r="BI4" i="49"/>
  <c r="AT7" i="44"/>
  <c r="AX2" i="49"/>
  <c r="D27" i="45"/>
  <c r="BF2" i="49" s="1"/>
  <c r="AS5" i="49"/>
  <c r="BA5" i="49"/>
  <c r="AF12" i="1"/>
  <c r="I24" i="47"/>
  <c r="M24" i="47" s="1"/>
  <c r="R26" i="1"/>
  <c r="I60" i="23"/>
  <c r="Y19" i="1"/>
  <c r="T30" i="45"/>
  <c r="T31" i="45" s="1"/>
  <c r="T25" i="45"/>
  <c r="BE18" i="49" s="1"/>
  <c r="AP18" i="49"/>
  <c r="G37" i="44"/>
  <c r="G60" i="18"/>
  <c r="I59" i="18" s="1"/>
  <c r="AW35" i="1"/>
  <c r="AE20" i="1"/>
  <c r="AF20" i="1" s="1"/>
  <c r="BB21" i="44"/>
  <c r="BC21" i="44" s="1"/>
  <c r="AP35" i="1"/>
  <c r="E18" i="49"/>
  <c r="O20" i="1"/>
  <c r="E21" i="44"/>
  <c r="J19" i="1"/>
  <c r="K19" i="1"/>
  <c r="E17" i="47"/>
  <c r="BL19" i="1"/>
  <c r="D37" i="44"/>
  <c r="AJ18" i="1"/>
  <c r="Y18" i="1"/>
  <c r="BB20" i="44"/>
  <c r="BC20" i="44" s="1"/>
  <c r="BH35" i="1"/>
  <c r="AR36" i="1"/>
  <c r="BM18" i="1"/>
  <c r="AZ16" i="49"/>
  <c r="R27" i="45"/>
  <c r="BF16" i="49" s="1"/>
  <c r="BA16" i="49"/>
  <c r="AS16" i="49"/>
  <c r="R30" i="45"/>
  <c r="H188" i="17"/>
  <c r="H188" i="18" s="1"/>
  <c r="J188" i="18" s="1"/>
  <c r="AO16" i="49"/>
  <c r="R25" i="45"/>
  <c r="BE16" i="49" s="1"/>
  <c r="R29" i="45"/>
  <c r="AT19" i="44"/>
  <c r="BG16" i="49"/>
  <c r="J36" i="44"/>
  <c r="G60" i="16"/>
  <c r="I59" i="16" s="1"/>
  <c r="BK18" i="1"/>
  <c r="K39" i="44"/>
  <c r="J16" i="49"/>
  <c r="BO18" i="1"/>
  <c r="BP18" i="1" s="1"/>
  <c r="AW36" i="1"/>
  <c r="AS36" i="1"/>
  <c r="BL18" i="1"/>
  <c r="BL36" i="1" s="1"/>
  <c r="I39" i="44"/>
  <c r="BB19" i="44"/>
  <c r="BC19" i="44" s="1"/>
  <c r="M36" i="44"/>
  <c r="E19" i="44"/>
  <c r="O18" i="1"/>
  <c r="P36" i="44"/>
  <c r="P37" i="44"/>
  <c r="AN17" i="1"/>
  <c r="AN36" i="1" s="1"/>
  <c r="AK36" i="1"/>
  <c r="AJ17" i="1"/>
  <c r="BA18" i="44"/>
  <c r="G36" i="44"/>
  <c r="F36" i="44"/>
  <c r="BO16" i="1"/>
  <c r="BP16" i="1" s="1"/>
  <c r="I15" i="49"/>
  <c r="J39" i="44"/>
  <c r="F15" i="49"/>
  <c r="G39" i="44"/>
  <c r="M37" i="44"/>
  <c r="AP36" i="1"/>
  <c r="BK17" i="1"/>
  <c r="E15" i="49"/>
  <c r="F39" i="44"/>
  <c r="BB18" i="44"/>
  <c r="BC18" i="44" s="1"/>
  <c r="BB14" i="49"/>
  <c r="AT14" i="49"/>
  <c r="AC37" i="44"/>
  <c r="BC14" i="49"/>
  <c r="P27" i="45"/>
  <c r="BF14" i="49" s="1"/>
  <c r="AR14" i="49"/>
  <c r="AZ35" i="1"/>
  <c r="BB17" i="44"/>
  <c r="BC17" i="44" s="1"/>
  <c r="K36" i="44"/>
  <c r="AR35" i="1"/>
  <c r="H36" i="44"/>
  <c r="R16" i="1"/>
  <c r="Q16" i="1"/>
  <c r="I14" i="47"/>
  <c r="L35" i="1"/>
  <c r="G13" i="47"/>
  <c r="J16" i="1"/>
  <c r="E14" i="47"/>
  <c r="K16" i="1"/>
  <c r="BK16" i="1"/>
  <c r="BL16" i="1"/>
  <c r="BM16" i="1"/>
  <c r="J15" i="1"/>
  <c r="E13" i="47"/>
  <c r="K15" i="1"/>
  <c r="BB12" i="49"/>
  <c r="AT12" i="49"/>
  <c r="AS13" i="49"/>
  <c r="BA13" i="49"/>
  <c r="AO13" i="49"/>
  <c r="O29" i="45"/>
  <c r="AT16" i="44"/>
  <c r="BM13" i="49" s="1"/>
  <c r="K37" i="44"/>
  <c r="G97" i="13"/>
  <c r="G60" i="13"/>
  <c r="I60" i="13" s="1"/>
  <c r="F37" i="44"/>
  <c r="BB15" i="44"/>
  <c r="BC15" i="44" s="1"/>
  <c r="J37" i="44"/>
  <c r="I13" i="49"/>
  <c r="AV35" i="1"/>
  <c r="AE15" i="1"/>
  <c r="AF15" i="1" s="1"/>
  <c r="BI15" i="1"/>
  <c r="I37" i="44"/>
  <c r="I36" i="44"/>
  <c r="BB16" i="44"/>
  <c r="BC16" i="44" s="1"/>
  <c r="E15" i="44"/>
  <c r="O14" i="1"/>
  <c r="BG14" i="49"/>
  <c r="AT17" i="44"/>
  <c r="D36" i="44"/>
  <c r="N16" i="1"/>
  <c r="G14" i="47"/>
  <c r="J14" i="1"/>
  <c r="E12" i="47"/>
  <c r="BM14" i="1"/>
  <c r="K14" i="1"/>
  <c r="BL14" i="1"/>
  <c r="J157" i="5"/>
  <c r="H157" i="33"/>
  <c r="J15" i="2"/>
  <c r="I16" i="2" s="1"/>
  <c r="I16" i="31" s="1"/>
  <c r="H15" i="3"/>
  <c r="J9" i="3"/>
  <c r="H9" i="4"/>
  <c r="G189" i="24"/>
  <c r="L11" i="35"/>
  <c r="O11" i="35" s="1"/>
  <c r="G97" i="14"/>
  <c r="E16" i="35"/>
  <c r="G16" i="35" s="1"/>
  <c r="G60" i="20"/>
  <c r="H167" i="10"/>
  <c r="J167" i="9"/>
  <c r="G189" i="11"/>
  <c r="AG36" i="44"/>
  <c r="AG37" i="44"/>
  <c r="AF29" i="49"/>
  <c r="Q29" i="45"/>
  <c r="AO15" i="49"/>
  <c r="Q25" i="45"/>
  <c r="BE15" i="49" s="1"/>
  <c r="K25" i="45"/>
  <c r="BE9" i="49" s="1"/>
  <c r="K29" i="45"/>
  <c r="K31" i="45" s="1"/>
  <c r="AO9" i="49"/>
  <c r="G97" i="40"/>
  <c r="AZ23" i="44"/>
  <c r="BH20" i="49"/>
  <c r="AT23" i="44"/>
  <c r="G30" i="45"/>
  <c r="G31" i="45" s="1"/>
  <c r="AP5" i="49"/>
  <c r="G25" i="45"/>
  <c r="BE5" i="49" s="1"/>
  <c r="G103" i="20"/>
  <c r="I29" i="45"/>
  <c r="I31" i="45" s="1"/>
  <c r="I25" i="45"/>
  <c r="BE7" i="49" s="1"/>
  <c r="AO7" i="49"/>
  <c r="J10" i="3"/>
  <c r="H10" i="4"/>
  <c r="J168" i="8"/>
  <c r="H168" i="9"/>
  <c r="J166" i="7"/>
  <c r="H166" i="8"/>
  <c r="L13" i="35"/>
  <c r="O13" i="35" s="1"/>
  <c r="G60" i="29"/>
  <c r="G189" i="14"/>
  <c r="AF30" i="45"/>
  <c r="AF31" i="45" s="1"/>
  <c r="AF25" i="45"/>
  <c r="T37" i="44"/>
  <c r="O25" i="45"/>
  <c r="BE13" i="49" s="1"/>
  <c r="O30" i="45"/>
  <c r="AQ13" i="49"/>
  <c r="J186" i="2"/>
  <c r="H186" i="3"/>
  <c r="G95" i="17"/>
  <c r="W35" i="1"/>
  <c r="Y7" i="1"/>
  <c r="G105" i="11"/>
  <c r="AQ36" i="44"/>
  <c r="AQ37" i="44"/>
  <c r="AT9" i="44"/>
  <c r="BJ6" i="49"/>
  <c r="BJ8" i="49"/>
  <c r="AT11" i="44"/>
  <c r="V35" i="1"/>
  <c r="Y9" i="1"/>
  <c r="G61" i="50"/>
  <c r="AP15" i="49"/>
  <c r="Q30" i="45"/>
  <c r="H119" i="33"/>
  <c r="J119" i="5"/>
  <c r="G80" i="21"/>
  <c r="G80" i="40"/>
  <c r="S37" i="44"/>
  <c r="AO35" i="1"/>
  <c r="G32" i="27"/>
  <c r="O17" i="1"/>
  <c r="E18" i="44"/>
  <c r="G32" i="30"/>
  <c r="BC5" i="44"/>
  <c r="AF13" i="1"/>
  <c r="J127" i="4"/>
  <c r="H127" i="5"/>
  <c r="V36" i="1"/>
  <c r="Y17" i="1"/>
  <c r="G103" i="40"/>
  <c r="O36" i="44"/>
  <c r="O37" i="44"/>
  <c r="N2" i="49"/>
  <c r="G60" i="11"/>
  <c r="G99" i="12"/>
  <c r="AP6" i="49"/>
  <c r="H25" i="45"/>
  <c r="BE6" i="49" s="1"/>
  <c r="H30" i="45"/>
  <c r="AD9" i="1"/>
  <c r="H30" i="5"/>
  <c r="H187" i="4"/>
  <c r="J187" i="4" s="1"/>
  <c r="G60" i="2"/>
  <c r="H47" i="2"/>
  <c r="AF16" i="1"/>
  <c r="I135" i="11"/>
  <c r="H144" i="5"/>
  <c r="G189" i="17"/>
  <c r="G60" i="5"/>
  <c r="G32" i="14"/>
  <c r="E25" i="44"/>
  <c r="O24" i="1"/>
  <c r="AT20" i="44"/>
  <c r="O29" i="1"/>
  <c r="E30" i="44"/>
  <c r="BP11" i="1"/>
  <c r="G32" i="2"/>
  <c r="H32" i="2" s="1"/>
  <c r="AD36" i="44"/>
  <c r="AD37" i="44"/>
  <c r="AC10" i="49"/>
  <c r="Y30" i="45"/>
  <c r="Y31" i="45" s="1"/>
  <c r="Y25" i="45"/>
  <c r="BE23" i="49" s="1"/>
  <c r="AP23" i="49"/>
  <c r="AW36" i="44"/>
  <c r="AW37" i="44"/>
  <c r="AE36" i="44"/>
  <c r="AE37" i="44"/>
  <c r="AD12" i="49"/>
  <c r="AU36" i="44"/>
  <c r="AU37" i="44"/>
  <c r="AZ6" i="44"/>
  <c r="H40" i="3"/>
  <c r="J40" i="2"/>
  <c r="J174" i="3"/>
  <c r="H174" i="4"/>
  <c r="G97" i="15"/>
  <c r="E17" i="35"/>
  <c r="G17" i="35" s="1"/>
  <c r="H175" i="5"/>
  <c r="J175" i="4"/>
  <c r="G32" i="11"/>
  <c r="G32" i="28"/>
  <c r="Z35" i="1"/>
  <c r="AD7" i="1"/>
  <c r="AF7" i="1" s="1"/>
  <c r="G95" i="5"/>
  <c r="G80" i="14"/>
  <c r="BA15" i="44"/>
  <c r="BM12" i="49"/>
  <c r="G60" i="30"/>
  <c r="H158" i="31"/>
  <c r="J158" i="43"/>
  <c r="P25" i="45"/>
  <c r="BE14" i="49" s="1"/>
  <c r="AS14" i="49"/>
  <c r="BA14" i="49"/>
  <c r="P30" i="45"/>
  <c r="P31" i="45" s="1"/>
  <c r="G60" i="40"/>
  <c r="H153" i="2"/>
  <c r="I153" i="2"/>
  <c r="G60" i="12"/>
  <c r="H182" i="33"/>
  <c r="J182" i="5"/>
  <c r="J177" i="5"/>
  <c r="H177" i="33"/>
  <c r="Z27" i="45"/>
  <c r="BF24" i="49" s="1"/>
  <c r="BC24" i="49"/>
  <c r="AR24" i="49"/>
  <c r="AD17" i="1"/>
  <c r="AC36" i="1"/>
  <c r="AD27" i="45"/>
  <c r="BF28" i="49" s="1"/>
  <c r="AZ28" i="49"/>
  <c r="AR25" i="49"/>
  <c r="BC25" i="49"/>
  <c r="AA27" i="45"/>
  <c r="BF25" i="49" s="1"/>
  <c r="G97" i="11"/>
  <c r="E13" i="35"/>
  <c r="G13" i="35" s="1"/>
  <c r="G103" i="25"/>
  <c r="AF36" i="44"/>
  <c r="BP6" i="1"/>
  <c r="AF6" i="1"/>
  <c r="Q37" i="44"/>
  <c r="H45" i="16"/>
  <c r="J45" i="15"/>
  <c r="H166" i="23"/>
  <c r="J166" i="22"/>
  <c r="G80" i="18"/>
  <c r="H84" i="33"/>
  <c r="J84" i="5"/>
  <c r="E16" i="44"/>
  <c r="O15" i="1"/>
  <c r="O21" i="1"/>
  <c r="E22" i="44"/>
  <c r="G33" i="50"/>
  <c r="BA26" i="44"/>
  <c r="BM23" i="49"/>
  <c r="R31" i="1"/>
  <c r="I29" i="47"/>
  <c r="Q31" i="1"/>
  <c r="H157" i="31"/>
  <c r="J157" i="43"/>
  <c r="AT26" i="49"/>
  <c r="BB26" i="49"/>
  <c r="AB25" i="45"/>
  <c r="BE26" i="49" s="1"/>
  <c r="AB30" i="45"/>
  <c r="AB31" i="45" s="1"/>
  <c r="G189" i="28"/>
  <c r="N30" i="45"/>
  <c r="N31" i="45" s="1"/>
  <c r="N25" i="45"/>
  <c r="BE12" i="49" s="1"/>
  <c r="AS12" i="49"/>
  <c r="BA12" i="49"/>
  <c r="AN7" i="1"/>
  <c r="AL35" i="1"/>
  <c r="G103" i="11"/>
  <c r="G99" i="17"/>
  <c r="AH35" i="1"/>
  <c r="AJ15" i="1"/>
  <c r="G95" i="10"/>
  <c r="G60" i="17"/>
  <c r="I60" i="17" s="1"/>
  <c r="I135" i="7"/>
  <c r="AS37" i="44"/>
  <c r="AS36" i="44"/>
  <c r="BL2" i="49"/>
  <c r="AT5" i="44"/>
  <c r="E29" i="19"/>
  <c r="G29" i="19" s="1"/>
  <c r="G32" i="19" s="1"/>
  <c r="S21" i="1"/>
  <c r="J23" i="3"/>
  <c r="H23" i="4"/>
  <c r="O13" i="1"/>
  <c r="E14" i="44"/>
  <c r="AZ12" i="44"/>
  <c r="BH9" i="49"/>
  <c r="AT12" i="44"/>
  <c r="AI35" i="1"/>
  <c r="AJ32" i="1"/>
  <c r="G101" i="27"/>
  <c r="BJ35" i="1"/>
  <c r="BO15" i="1"/>
  <c r="BP15" i="1" s="1"/>
  <c r="AG35" i="1"/>
  <c r="AJ13" i="1"/>
  <c r="AK37" i="44"/>
  <c r="AK36" i="44"/>
  <c r="AJ10" i="49"/>
  <c r="AQ4" i="49"/>
  <c r="F30" i="45"/>
  <c r="F31" i="45" s="1"/>
  <c r="F25" i="45"/>
  <c r="BE4" i="49" s="1"/>
  <c r="G60" i="25"/>
  <c r="G101" i="14"/>
  <c r="G60" i="10"/>
  <c r="AF37" i="44"/>
  <c r="U37" i="44"/>
  <c r="AM37" i="44"/>
  <c r="AM36" i="44"/>
  <c r="AL7" i="49"/>
  <c r="H78" i="3"/>
  <c r="J78" i="2"/>
  <c r="H135" i="2"/>
  <c r="I135" i="2"/>
  <c r="H59" i="3"/>
  <c r="G103" i="13"/>
  <c r="G97" i="10"/>
  <c r="E12" i="35"/>
  <c r="G12" i="35" s="1"/>
  <c r="J152" i="4"/>
  <c r="H152" i="5"/>
  <c r="AZ21" i="44"/>
  <c r="AT21" i="44"/>
  <c r="BH18" i="49"/>
  <c r="G189" i="4"/>
  <c r="G32" i="21"/>
  <c r="R30" i="1"/>
  <c r="Q30" i="1"/>
  <c r="I28" i="47"/>
  <c r="H28" i="3"/>
  <c r="J28" i="3" s="1"/>
  <c r="J28" i="2"/>
  <c r="G60" i="27"/>
  <c r="AV36" i="44"/>
  <c r="AV37" i="44"/>
  <c r="AY16" i="44"/>
  <c r="G60" i="14"/>
  <c r="H49" i="3"/>
  <c r="J49" i="2"/>
  <c r="G80" i="8"/>
  <c r="H80" i="8" s="1"/>
  <c r="AX36" i="44"/>
  <c r="AX37" i="44"/>
  <c r="AY30" i="44"/>
  <c r="BA30" i="44" s="1"/>
  <c r="H67" i="3"/>
  <c r="J67" i="2"/>
  <c r="AP37" i="44"/>
  <c r="AP36" i="44"/>
  <c r="BI7" i="49"/>
  <c r="J173" i="5"/>
  <c r="H173" i="33"/>
  <c r="J131" i="4"/>
  <c r="G98" i="50"/>
  <c r="G60" i="15"/>
  <c r="G80" i="28"/>
  <c r="H142" i="4"/>
  <c r="J142" i="3"/>
  <c r="G32" i="15"/>
  <c r="O28" i="1"/>
  <c r="E29" i="44"/>
  <c r="E27" i="10"/>
  <c r="G27" i="10" s="1"/>
  <c r="H12" i="1"/>
  <c r="C13" i="44"/>
  <c r="H134" i="4"/>
  <c r="J134" i="3"/>
  <c r="I135" i="40"/>
  <c r="G189" i="15"/>
  <c r="M29" i="45"/>
  <c r="M31" i="45" s="1"/>
  <c r="AO11" i="49"/>
  <c r="M25" i="45"/>
  <c r="BE11" i="49" s="1"/>
  <c r="X35" i="1"/>
  <c r="Y6" i="1"/>
  <c r="AA35" i="1"/>
  <c r="AD10" i="1"/>
  <c r="N36" i="44"/>
  <c r="N37" i="44"/>
  <c r="M5" i="49"/>
  <c r="H113" i="4"/>
  <c r="J113" i="3"/>
  <c r="J148" i="3"/>
  <c r="H148" i="4"/>
  <c r="G101" i="15"/>
  <c r="G101" i="10"/>
  <c r="H149" i="33"/>
  <c r="J149" i="5"/>
  <c r="G32" i="12"/>
  <c r="R36" i="44"/>
  <c r="R37" i="44"/>
  <c r="Q3" i="49"/>
  <c r="F27" i="45"/>
  <c r="BF4" i="49" s="1"/>
  <c r="AZ4" i="49"/>
  <c r="G32" i="18"/>
  <c r="BN6" i="1"/>
  <c r="BM28" i="49"/>
  <c r="I13" i="17"/>
  <c r="H12" i="4"/>
  <c r="H158" i="33"/>
  <c r="S25" i="45"/>
  <c r="BE17" i="49" s="1"/>
  <c r="S30" i="45"/>
  <c r="S31" i="45" s="1"/>
  <c r="AP17" i="49"/>
  <c r="AX15" i="49"/>
  <c r="Q27" i="45"/>
  <c r="BF15" i="49" s="1"/>
  <c r="I135" i="20"/>
  <c r="I135" i="25"/>
  <c r="L15" i="35"/>
  <c r="O15" i="35" s="1"/>
  <c r="AN9" i="1"/>
  <c r="AK35" i="1"/>
  <c r="AD5" i="1"/>
  <c r="AC35" i="1"/>
  <c r="J17" i="35"/>
  <c r="H174" i="50"/>
  <c r="J174" i="50" s="1"/>
  <c r="G182" i="50"/>
  <c r="H182" i="50" s="1"/>
  <c r="J182" i="50" s="1"/>
  <c r="S36" i="44"/>
  <c r="AO36" i="44"/>
  <c r="AO37" i="44"/>
  <c r="BH5" i="49"/>
  <c r="AT8" i="44"/>
  <c r="AZ8" i="44"/>
  <c r="H79" i="4"/>
  <c r="H79" i="5" s="1"/>
  <c r="H79" i="33" s="1"/>
  <c r="H79" i="7" s="1"/>
  <c r="H79" i="8" s="1"/>
  <c r="H79" i="9" s="1"/>
  <c r="H79" i="10" s="1"/>
  <c r="H79" i="11" s="1"/>
  <c r="H79" i="12" s="1"/>
  <c r="H79" i="13" s="1"/>
  <c r="G80" i="4"/>
  <c r="H80" i="4" s="1"/>
  <c r="H80" i="5" s="1"/>
  <c r="H184" i="33"/>
  <c r="J184" i="5"/>
  <c r="O32" i="1"/>
  <c r="E33" i="44"/>
  <c r="G32" i="40"/>
  <c r="J83" i="5" l="1"/>
  <c r="H83" i="33"/>
  <c r="G21" i="47"/>
  <c r="N23" i="1"/>
  <c r="BN23" i="1" s="1"/>
  <c r="H46" i="5"/>
  <c r="J46" i="4"/>
  <c r="Q8" i="1"/>
  <c r="R8" i="1"/>
  <c r="I6" i="47"/>
  <c r="M6" i="47" s="1"/>
  <c r="BG21" i="49"/>
  <c r="AT24" i="44"/>
  <c r="R4" i="1"/>
  <c r="I2" i="47"/>
  <c r="M2" i="47" s="1"/>
  <c r="Q4" i="1"/>
  <c r="BN4" i="1" s="1"/>
  <c r="BN8" i="1"/>
  <c r="BN31" i="1"/>
  <c r="BM25" i="49"/>
  <c r="Z31" i="45"/>
  <c r="I60" i="22"/>
  <c r="X31" i="45"/>
  <c r="I17" i="47"/>
  <c r="M17" i="47" s="1"/>
  <c r="R19" i="1"/>
  <c r="Q19" i="1"/>
  <c r="BN19" i="1" s="1"/>
  <c r="H31" i="45"/>
  <c r="H168" i="24"/>
  <c r="J168" i="23"/>
  <c r="H158" i="24"/>
  <c r="H158" i="25" s="1"/>
  <c r="H158" i="40" s="1"/>
  <c r="H158" i="27" s="1"/>
  <c r="BI35" i="1"/>
  <c r="M21" i="47"/>
  <c r="J185" i="4"/>
  <c r="H185" i="5"/>
  <c r="J58" i="5"/>
  <c r="R12" i="1"/>
  <c r="Q12" i="1"/>
  <c r="I10" i="47"/>
  <c r="J31" i="45"/>
  <c r="I60" i="8"/>
  <c r="BM7" i="49"/>
  <c r="H183" i="33"/>
  <c r="J183" i="33" s="1"/>
  <c r="I60" i="33"/>
  <c r="H164" i="33"/>
  <c r="H164" i="7" s="1"/>
  <c r="J29" i="4"/>
  <c r="H13" i="5"/>
  <c r="H13" i="33" s="1"/>
  <c r="H151" i="5"/>
  <c r="J151" i="4"/>
  <c r="I60" i="4"/>
  <c r="H100" i="4"/>
  <c r="J100" i="4" s="1"/>
  <c r="I60" i="3"/>
  <c r="H18" i="33"/>
  <c r="J18" i="5"/>
  <c r="BA6" i="44"/>
  <c r="J7" i="4"/>
  <c r="I9" i="4" s="1"/>
  <c r="H7" i="5"/>
  <c r="H176" i="4"/>
  <c r="J176" i="4" s="1"/>
  <c r="J165" i="4"/>
  <c r="H165" i="5"/>
  <c r="J155" i="4"/>
  <c r="J150" i="7"/>
  <c r="H150" i="8"/>
  <c r="J145" i="4"/>
  <c r="J143" i="3"/>
  <c r="H143" i="4"/>
  <c r="J132" i="5"/>
  <c r="H132" i="33"/>
  <c r="H130" i="33"/>
  <c r="J130" i="33" s="1"/>
  <c r="H123" i="4"/>
  <c r="J123" i="4" s="1"/>
  <c r="H112" i="33"/>
  <c r="J112" i="33" s="1"/>
  <c r="J87" i="3"/>
  <c r="H87" i="4"/>
  <c r="J77" i="4"/>
  <c r="H77" i="5"/>
  <c r="H188" i="4"/>
  <c r="H95" i="5"/>
  <c r="J95" i="5" s="1"/>
  <c r="H96" i="3"/>
  <c r="H96" i="4" s="1"/>
  <c r="H52" i="5"/>
  <c r="J52" i="4"/>
  <c r="H97" i="3"/>
  <c r="J97" i="3" s="1"/>
  <c r="H42" i="5"/>
  <c r="J42" i="4"/>
  <c r="J39" i="4"/>
  <c r="H39" i="5"/>
  <c r="H94" i="5"/>
  <c r="H94" i="33" s="1"/>
  <c r="J20" i="3"/>
  <c r="I20" i="3" s="1"/>
  <c r="H20" i="4"/>
  <c r="I3" i="47"/>
  <c r="M3" i="47" s="1"/>
  <c r="R5" i="1"/>
  <c r="Q5" i="1"/>
  <c r="BN5" i="1" s="1"/>
  <c r="J162" i="3"/>
  <c r="H162" i="4"/>
  <c r="H138" i="5"/>
  <c r="J138" i="4"/>
  <c r="J133" i="3"/>
  <c r="H133" i="4"/>
  <c r="J128" i="5"/>
  <c r="H128" i="33"/>
  <c r="H68" i="4"/>
  <c r="J68" i="3"/>
  <c r="H71" i="3"/>
  <c r="J71" i="2"/>
  <c r="H55" i="5"/>
  <c r="J55" i="4"/>
  <c r="J102" i="2"/>
  <c r="H102" i="3"/>
  <c r="J103" i="2"/>
  <c r="H103" i="3"/>
  <c r="H56" i="5"/>
  <c r="J56" i="4"/>
  <c r="H37" i="5"/>
  <c r="J37" i="4"/>
  <c r="H24" i="4"/>
  <c r="J24" i="3"/>
  <c r="J19" i="3"/>
  <c r="H19" i="4"/>
  <c r="J8" i="3"/>
  <c r="I9" i="3" s="1"/>
  <c r="H8" i="4"/>
  <c r="I60" i="31"/>
  <c r="I59" i="43"/>
  <c r="BA33" i="44"/>
  <c r="H90" i="43"/>
  <c r="J90" i="30"/>
  <c r="M28" i="47"/>
  <c r="M29" i="47"/>
  <c r="I59" i="28"/>
  <c r="BN30" i="1"/>
  <c r="H38" i="5"/>
  <c r="J38" i="4"/>
  <c r="H85" i="5"/>
  <c r="J85" i="4"/>
  <c r="J139" i="4"/>
  <c r="H139" i="5"/>
  <c r="H29" i="33"/>
  <c r="J29" i="5"/>
  <c r="J179" i="4"/>
  <c r="H179" i="5"/>
  <c r="J74" i="4"/>
  <c r="H74" i="5"/>
  <c r="H101" i="5"/>
  <c r="J101" i="4"/>
  <c r="J129" i="5"/>
  <c r="H129" i="33"/>
  <c r="J147" i="4"/>
  <c r="H147" i="5"/>
  <c r="H90" i="33"/>
  <c r="J90" i="5"/>
  <c r="H57" i="5"/>
  <c r="J57" i="4"/>
  <c r="J76" i="5"/>
  <c r="H76" i="33"/>
  <c r="H54" i="33"/>
  <c r="J54" i="5"/>
  <c r="J164" i="33"/>
  <c r="H35" i="33"/>
  <c r="J35" i="5"/>
  <c r="J121" i="4"/>
  <c r="H121" i="5"/>
  <c r="H100" i="5"/>
  <c r="H86" i="33"/>
  <c r="J86" i="5"/>
  <c r="H70" i="7"/>
  <c r="J70" i="33"/>
  <c r="J122" i="5"/>
  <c r="H122" i="33"/>
  <c r="J117" i="4"/>
  <c r="H117" i="5"/>
  <c r="H50" i="33"/>
  <c r="J50" i="5"/>
  <c r="H43" i="5"/>
  <c r="J43" i="4"/>
  <c r="H157" i="25"/>
  <c r="H157" i="40" s="1"/>
  <c r="H157" i="27" s="1"/>
  <c r="H157" i="28" s="1"/>
  <c r="J157" i="28" s="1"/>
  <c r="BA27" i="44"/>
  <c r="BM24" i="49"/>
  <c r="BA25" i="44"/>
  <c r="BM22" i="49"/>
  <c r="O31" i="45"/>
  <c r="H65" i="5"/>
  <c r="J65" i="4"/>
  <c r="H22" i="5"/>
  <c r="J22" i="4"/>
  <c r="J167" i="24"/>
  <c r="H167" i="25"/>
  <c r="H82" i="5"/>
  <c r="J82" i="4"/>
  <c r="I59" i="9"/>
  <c r="I60" i="9"/>
  <c r="Q31" i="45"/>
  <c r="Q34" i="1"/>
  <c r="BN34" i="1" s="1"/>
  <c r="R34" i="1"/>
  <c r="I5" i="47"/>
  <c r="M5" i="47" s="1"/>
  <c r="Q7" i="1"/>
  <c r="BN7" i="1" s="1"/>
  <c r="R7" i="1"/>
  <c r="H58" i="7"/>
  <c r="J58" i="33"/>
  <c r="R25" i="1"/>
  <c r="I23" i="47"/>
  <c r="M23" i="47" s="1"/>
  <c r="Q25" i="1"/>
  <c r="BN25" i="1" s="1"/>
  <c r="H31" i="33"/>
  <c r="J31" i="5"/>
  <c r="I60" i="19"/>
  <c r="BA7" i="44"/>
  <c r="BM4" i="49"/>
  <c r="H69" i="4"/>
  <c r="J69" i="3"/>
  <c r="H63" i="5"/>
  <c r="J63" i="4"/>
  <c r="H66" i="33"/>
  <c r="J66" i="5"/>
  <c r="H104" i="4"/>
  <c r="J104" i="3"/>
  <c r="H98" i="3"/>
  <c r="J98" i="2"/>
  <c r="M31" i="47"/>
  <c r="R33" i="1"/>
  <c r="Q33" i="1"/>
  <c r="BN33" i="1" s="1"/>
  <c r="J178" i="3"/>
  <c r="H178" i="4"/>
  <c r="H75" i="33"/>
  <c r="J75" i="5"/>
  <c r="H163" i="4"/>
  <c r="J163" i="3"/>
  <c r="H92" i="4"/>
  <c r="J92" i="3"/>
  <c r="H99" i="3"/>
  <c r="J99" i="2"/>
  <c r="H44" i="33"/>
  <c r="J44" i="5"/>
  <c r="H120" i="4"/>
  <c r="J120" i="3"/>
  <c r="H146" i="4"/>
  <c r="J146" i="3"/>
  <c r="H89" i="5"/>
  <c r="J89" i="4"/>
  <c r="H176" i="5"/>
  <c r="H91" i="5"/>
  <c r="J91" i="4"/>
  <c r="R10" i="1"/>
  <c r="Q10" i="1"/>
  <c r="BN10" i="1" s="1"/>
  <c r="I8" i="47"/>
  <c r="M8" i="47" s="1"/>
  <c r="J180" i="3"/>
  <c r="H180" i="4"/>
  <c r="H41" i="5"/>
  <c r="J41" i="4"/>
  <c r="H116" i="33"/>
  <c r="J116" i="5"/>
  <c r="H64" i="5"/>
  <c r="J64" i="4"/>
  <c r="H51" i="5"/>
  <c r="J51" i="4"/>
  <c r="H161" i="33"/>
  <c r="J161" i="5"/>
  <c r="H189" i="22"/>
  <c r="J189" i="21"/>
  <c r="H53" i="5"/>
  <c r="J53" i="4"/>
  <c r="H62" i="4"/>
  <c r="J62" i="3"/>
  <c r="H27" i="4"/>
  <c r="J27" i="3"/>
  <c r="I60" i="21"/>
  <c r="I59" i="21"/>
  <c r="H140" i="4"/>
  <c r="J140" i="3"/>
  <c r="H141" i="4"/>
  <c r="J141" i="3"/>
  <c r="H114" i="5"/>
  <c r="J114" i="4"/>
  <c r="H115" i="33"/>
  <c r="J115" i="5"/>
  <c r="H118" i="33"/>
  <c r="J118" i="5"/>
  <c r="J189" i="2"/>
  <c r="H189" i="3"/>
  <c r="J189" i="3" s="1"/>
  <c r="J156" i="4"/>
  <c r="H156" i="5"/>
  <c r="H88" i="5"/>
  <c r="J88" i="4"/>
  <c r="I60" i="24"/>
  <c r="I59" i="24"/>
  <c r="BF17" i="49"/>
  <c r="J181" i="2"/>
  <c r="H181" i="3"/>
  <c r="H105" i="4"/>
  <c r="J105" i="3"/>
  <c r="H36" i="33"/>
  <c r="J36" i="5"/>
  <c r="J11" i="4"/>
  <c r="H11" i="5"/>
  <c r="I25" i="47"/>
  <c r="M25" i="47" s="1"/>
  <c r="Q27" i="1"/>
  <c r="BN27" i="1" s="1"/>
  <c r="R27" i="1"/>
  <c r="I60" i="18"/>
  <c r="R20" i="1"/>
  <c r="I18" i="47"/>
  <c r="M18" i="47" s="1"/>
  <c r="Q20" i="1"/>
  <c r="BN20" i="1" s="1"/>
  <c r="AJ36" i="1"/>
  <c r="J188" i="17"/>
  <c r="Y35" i="1"/>
  <c r="Y36" i="1"/>
  <c r="R31" i="45"/>
  <c r="BA19" i="44"/>
  <c r="BM16" i="49"/>
  <c r="BO36" i="1"/>
  <c r="I60" i="16"/>
  <c r="BK36" i="1"/>
  <c r="I16" i="47"/>
  <c r="M16" i="47" s="1"/>
  <c r="Q18" i="1"/>
  <c r="BN18" i="1" s="1"/>
  <c r="R18" i="1"/>
  <c r="M14" i="47"/>
  <c r="BN16" i="1"/>
  <c r="BO35" i="1"/>
  <c r="AE35" i="1"/>
  <c r="I59" i="13"/>
  <c r="I12" i="47"/>
  <c r="M12" i="47" s="1"/>
  <c r="R14" i="1"/>
  <c r="Q14" i="1"/>
  <c r="BN14" i="1" s="1"/>
  <c r="BM14" i="49"/>
  <c r="BA17" i="44"/>
  <c r="J79" i="13"/>
  <c r="H79" i="14"/>
  <c r="H79" i="15" s="1"/>
  <c r="H142" i="5"/>
  <c r="J142" i="4"/>
  <c r="AY36" i="44"/>
  <c r="AY37" i="44"/>
  <c r="BA16" i="44"/>
  <c r="AF5" i="1"/>
  <c r="AD35" i="1"/>
  <c r="BP5" i="1"/>
  <c r="J158" i="33"/>
  <c r="H158" i="7"/>
  <c r="J12" i="4"/>
  <c r="H12" i="5"/>
  <c r="J184" i="33"/>
  <c r="H184" i="7"/>
  <c r="BB13" i="44"/>
  <c r="J10" i="48"/>
  <c r="C36" i="44"/>
  <c r="C37" i="44"/>
  <c r="J152" i="5"/>
  <c r="H152" i="33"/>
  <c r="I59" i="25"/>
  <c r="I60" i="25"/>
  <c r="H23" i="5"/>
  <c r="J23" i="4"/>
  <c r="J166" i="23"/>
  <c r="H166" i="24"/>
  <c r="J182" i="33"/>
  <c r="H182" i="7"/>
  <c r="H40" i="4"/>
  <c r="J40" i="3"/>
  <c r="R29" i="1"/>
  <c r="Q29" i="1"/>
  <c r="BN29" i="1" s="1"/>
  <c r="I27" i="47"/>
  <c r="M27" i="47" s="1"/>
  <c r="I59" i="5"/>
  <c r="I60" i="5"/>
  <c r="J145" i="5"/>
  <c r="H145" i="33"/>
  <c r="H30" i="33"/>
  <c r="J30" i="5"/>
  <c r="BM8" i="49"/>
  <c r="BA11" i="44"/>
  <c r="I59" i="15"/>
  <c r="I60" i="15"/>
  <c r="BM17" i="49"/>
  <c r="BA20" i="44"/>
  <c r="J166" i="8"/>
  <c r="H166" i="9"/>
  <c r="BA23" i="44"/>
  <c r="BM20" i="49"/>
  <c r="J173" i="33"/>
  <c r="H173" i="7"/>
  <c r="J155" i="5"/>
  <c r="H155" i="33"/>
  <c r="H45" i="17"/>
  <c r="J45" i="16"/>
  <c r="BP7" i="1"/>
  <c r="BP9" i="1"/>
  <c r="AF9" i="1"/>
  <c r="I59" i="11"/>
  <c r="I60" i="11"/>
  <c r="H28" i="4"/>
  <c r="H167" i="11"/>
  <c r="J167" i="10"/>
  <c r="J12" i="1"/>
  <c r="E10" i="47"/>
  <c r="M10" i="47" s="1"/>
  <c r="BK12" i="1"/>
  <c r="BK35" i="1" s="1"/>
  <c r="K12" i="1"/>
  <c r="K35" i="1" s="1"/>
  <c r="BM12" i="1"/>
  <c r="BM35" i="1" s="1"/>
  <c r="BL12" i="1"/>
  <c r="BL35" i="1" s="1"/>
  <c r="H35" i="1"/>
  <c r="H37" i="1" s="1"/>
  <c r="H135" i="3"/>
  <c r="J135" i="2"/>
  <c r="H130" i="7"/>
  <c r="G32" i="10"/>
  <c r="H67" i="4"/>
  <c r="J67" i="3"/>
  <c r="BA12" i="44"/>
  <c r="BM9" i="49"/>
  <c r="M30" i="47"/>
  <c r="R32" i="1"/>
  <c r="Q32" i="1"/>
  <c r="BN32" i="1" s="1"/>
  <c r="J84" i="33"/>
  <c r="H84" i="7"/>
  <c r="I59" i="40"/>
  <c r="I60" i="40"/>
  <c r="I59" i="30"/>
  <c r="I60" i="30"/>
  <c r="H47" i="3"/>
  <c r="J47" i="2"/>
  <c r="I60" i="50"/>
  <c r="I61" i="50"/>
  <c r="BM6" i="49"/>
  <c r="BA9" i="44"/>
  <c r="H168" i="10"/>
  <c r="J168" i="9"/>
  <c r="I59" i="20"/>
  <c r="I60" i="20"/>
  <c r="J113" i="4"/>
  <c r="H113" i="5"/>
  <c r="BA8" i="44"/>
  <c r="BM5" i="49"/>
  <c r="H49" i="4"/>
  <c r="J49" i="3"/>
  <c r="I59" i="10"/>
  <c r="I60" i="10"/>
  <c r="U21" i="1"/>
  <c r="U35" i="1" s="1"/>
  <c r="S35" i="1"/>
  <c r="AN35" i="1"/>
  <c r="H174" i="5"/>
  <c r="J174" i="4"/>
  <c r="AZ36" i="44"/>
  <c r="AZ37" i="44"/>
  <c r="J32" i="2"/>
  <c r="H32" i="3"/>
  <c r="H60" i="2"/>
  <c r="I59" i="2"/>
  <c r="I60" i="2"/>
  <c r="Q21" i="1"/>
  <c r="R21" i="1"/>
  <c r="I19" i="47"/>
  <c r="M19" i="47" s="1"/>
  <c r="I26" i="47"/>
  <c r="M26" i="47" s="1"/>
  <c r="Q28" i="1"/>
  <c r="BN28" i="1" s="1"/>
  <c r="R28" i="1"/>
  <c r="I60" i="14"/>
  <c r="I59" i="14"/>
  <c r="I60" i="27"/>
  <c r="I59" i="27"/>
  <c r="H78" i="4"/>
  <c r="J78" i="3"/>
  <c r="E37" i="44"/>
  <c r="E36" i="44"/>
  <c r="H177" i="7"/>
  <c r="J177" i="33"/>
  <c r="J144" i="5"/>
  <c r="H144" i="33"/>
  <c r="J127" i="5"/>
  <c r="H127" i="33"/>
  <c r="Q17" i="1"/>
  <c r="I15" i="47"/>
  <c r="M15" i="47" s="1"/>
  <c r="R17" i="1"/>
  <c r="O36" i="1"/>
  <c r="I60" i="29"/>
  <c r="H10" i="5"/>
  <c r="J10" i="4"/>
  <c r="H9" i="5"/>
  <c r="J9" i="4"/>
  <c r="I11" i="47"/>
  <c r="M11" i="47" s="1"/>
  <c r="Q13" i="1"/>
  <c r="R13" i="1"/>
  <c r="O35" i="1"/>
  <c r="J175" i="5"/>
  <c r="H175" i="33"/>
  <c r="I22" i="47"/>
  <c r="M22" i="47" s="1"/>
  <c r="Q24" i="1"/>
  <c r="BN24" i="1" s="1"/>
  <c r="R24" i="1"/>
  <c r="H187" i="5"/>
  <c r="H186" i="4"/>
  <c r="J186" i="3"/>
  <c r="J157" i="33"/>
  <c r="H157" i="7"/>
  <c r="BP17" i="1"/>
  <c r="AF17" i="1"/>
  <c r="AF36" i="1" s="1"/>
  <c r="AD36" i="1"/>
  <c r="H149" i="7"/>
  <c r="J149" i="33"/>
  <c r="AF10" i="1"/>
  <c r="BP10" i="1"/>
  <c r="BA21" i="44"/>
  <c r="BM18" i="49"/>
  <c r="I59" i="17"/>
  <c r="J148" i="4"/>
  <c r="H148" i="5"/>
  <c r="J134" i="4"/>
  <c r="H134" i="5"/>
  <c r="J131" i="5"/>
  <c r="H131" i="33"/>
  <c r="J59" i="3"/>
  <c r="H59" i="4"/>
  <c r="AJ35" i="1"/>
  <c r="BA5" i="44"/>
  <c r="BM2" i="49"/>
  <c r="AT37" i="44"/>
  <c r="AT36" i="44"/>
  <c r="I13" i="47"/>
  <c r="M13" i="47" s="1"/>
  <c r="R15" i="1"/>
  <c r="Q15" i="1"/>
  <c r="BN15" i="1" s="1"/>
  <c r="I59" i="12"/>
  <c r="I60" i="12"/>
  <c r="H188" i="19"/>
  <c r="H119" i="7"/>
  <c r="J119" i="33"/>
  <c r="J15" i="3"/>
  <c r="I16" i="3" s="1"/>
  <c r="H15" i="4"/>
  <c r="H46" i="33" l="1"/>
  <c r="J46" i="5"/>
  <c r="BA24" i="44"/>
  <c r="BA36" i="44" s="1"/>
  <c r="BM21" i="49"/>
  <c r="N35" i="1"/>
  <c r="J83" i="33"/>
  <c r="H83" i="7"/>
  <c r="J158" i="24"/>
  <c r="H97" i="4"/>
  <c r="H97" i="5" s="1"/>
  <c r="H185" i="33"/>
  <c r="J185" i="5"/>
  <c r="H168" i="25"/>
  <c r="J168" i="24"/>
  <c r="H183" i="7"/>
  <c r="J183" i="7" s="1"/>
  <c r="J13" i="5"/>
  <c r="H151" i="33"/>
  <c r="J151" i="5"/>
  <c r="H123" i="5"/>
  <c r="J123" i="5" s="1"/>
  <c r="J94" i="5"/>
  <c r="H18" i="7"/>
  <c r="J18" i="33"/>
  <c r="H7" i="33"/>
  <c r="J7" i="5"/>
  <c r="I9" i="5" s="1"/>
  <c r="H165" i="33"/>
  <c r="J165" i="5"/>
  <c r="J150" i="8"/>
  <c r="H150" i="9"/>
  <c r="H143" i="5"/>
  <c r="J143" i="4"/>
  <c r="H132" i="7"/>
  <c r="J132" i="33"/>
  <c r="H112" i="7"/>
  <c r="J112" i="7" s="1"/>
  <c r="H87" i="5"/>
  <c r="J87" i="4"/>
  <c r="J77" i="5"/>
  <c r="H77" i="33"/>
  <c r="J188" i="4"/>
  <c r="H188" i="5"/>
  <c r="H95" i="33"/>
  <c r="H95" i="7" s="1"/>
  <c r="J96" i="3"/>
  <c r="H52" i="33"/>
  <c r="J52" i="5"/>
  <c r="H42" i="33"/>
  <c r="J42" i="5"/>
  <c r="J39" i="5"/>
  <c r="H39" i="33"/>
  <c r="J20" i="4"/>
  <c r="I20" i="4" s="1"/>
  <c r="H20" i="5"/>
  <c r="H189" i="4"/>
  <c r="H162" i="5"/>
  <c r="J162" i="4"/>
  <c r="J138" i="5"/>
  <c r="H138" i="33"/>
  <c r="J133" i="4"/>
  <c r="H133" i="5"/>
  <c r="J128" i="33"/>
  <c r="H128" i="7"/>
  <c r="H68" i="5"/>
  <c r="J68" i="4"/>
  <c r="J71" i="3"/>
  <c r="H71" i="4"/>
  <c r="H55" i="33"/>
  <c r="J55" i="5"/>
  <c r="J103" i="3"/>
  <c r="H103" i="4"/>
  <c r="H56" i="33"/>
  <c r="J56" i="5"/>
  <c r="J102" i="3"/>
  <c r="H102" i="4"/>
  <c r="H37" i="33"/>
  <c r="J37" i="5"/>
  <c r="H24" i="5"/>
  <c r="J24" i="4"/>
  <c r="J19" i="4"/>
  <c r="H19" i="5"/>
  <c r="J8" i="4"/>
  <c r="H8" i="5"/>
  <c r="J90" i="43"/>
  <c r="H90" i="31"/>
  <c r="J90" i="31" s="1"/>
  <c r="H50" i="7"/>
  <c r="J50" i="33"/>
  <c r="J86" i="33"/>
  <c r="H86" i="7"/>
  <c r="H164" i="8"/>
  <c r="J164" i="7"/>
  <c r="H90" i="7"/>
  <c r="J90" i="33"/>
  <c r="H29" i="7"/>
  <c r="J29" i="33"/>
  <c r="H85" i="33"/>
  <c r="J85" i="5"/>
  <c r="H38" i="33"/>
  <c r="J38" i="5"/>
  <c r="J122" i="33"/>
  <c r="H122" i="7"/>
  <c r="H121" i="33"/>
  <c r="J121" i="5"/>
  <c r="J76" i="33"/>
  <c r="H76" i="7"/>
  <c r="J129" i="33"/>
  <c r="H129" i="7"/>
  <c r="J74" i="5"/>
  <c r="H74" i="33"/>
  <c r="H43" i="33"/>
  <c r="J43" i="5"/>
  <c r="H70" i="8"/>
  <c r="J70" i="7"/>
  <c r="H100" i="33"/>
  <c r="J100" i="5"/>
  <c r="H35" i="7"/>
  <c r="J35" i="33"/>
  <c r="H54" i="7"/>
  <c r="J54" i="33"/>
  <c r="H57" i="33"/>
  <c r="J57" i="5"/>
  <c r="J101" i="5"/>
  <c r="H101" i="33"/>
  <c r="H117" i="33"/>
  <c r="J117" i="5"/>
  <c r="H147" i="33"/>
  <c r="J147" i="5"/>
  <c r="J179" i="5"/>
  <c r="H179" i="33"/>
  <c r="J139" i="5"/>
  <c r="H139" i="33"/>
  <c r="J157" i="27"/>
  <c r="H22" i="33"/>
  <c r="J22" i="5"/>
  <c r="H58" i="8"/>
  <c r="J58" i="7"/>
  <c r="H65" i="33"/>
  <c r="J65" i="5"/>
  <c r="H82" i="33"/>
  <c r="J82" i="5"/>
  <c r="H31" i="7"/>
  <c r="J31" i="33"/>
  <c r="H167" i="40"/>
  <c r="J167" i="25"/>
  <c r="H36" i="7"/>
  <c r="J36" i="33"/>
  <c r="J156" i="5"/>
  <c r="H156" i="33"/>
  <c r="H114" i="33"/>
  <c r="J114" i="5"/>
  <c r="H189" i="23"/>
  <c r="J189" i="22"/>
  <c r="J116" i="33"/>
  <c r="H116" i="7"/>
  <c r="H120" i="5"/>
  <c r="J120" i="4"/>
  <c r="H163" i="5"/>
  <c r="J163" i="4"/>
  <c r="H96" i="5"/>
  <c r="J96" i="4"/>
  <c r="H62" i="5"/>
  <c r="J62" i="4"/>
  <c r="J161" i="33"/>
  <c r="H161" i="7"/>
  <c r="H41" i="33"/>
  <c r="J41" i="5"/>
  <c r="H44" i="7"/>
  <c r="J44" i="33"/>
  <c r="J75" i="33"/>
  <c r="H75" i="7"/>
  <c r="J180" i="4"/>
  <c r="H180" i="5"/>
  <c r="H91" i="33"/>
  <c r="J91" i="5"/>
  <c r="H89" i="33"/>
  <c r="J89" i="5"/>
  <c r="H178" i="5"/>
  <c r="J178" i="4"/>
  <c r="J98" i="3"/>
  <c r="H98" i="4"/>
  <c r="H63" i="33"/>
  <c r="J63" i="5"/>
  <c r="H105" i="5"/>
  <c r="J105" i="4"/>
  <c r="J118" i="33"/>
  <c r="H118" i="7"/>
  <c r="H51" i="33"/>
  <c r="J51" i="5"/>
  <c r="J99" i="3"/>
  <c r="H99" i="4"/>
  <c r="H11" i="33"/>
  <c r="J11" i="5"/>
  <c r="J141" i="4"/>
  <c r="H141" i="5"/>
  <c r="J27" i="4"/>
  <c r="H27" i="5"/>
  <c r="J146" i="4"/>
  <c r="H146" i="5"/>
  <c r="J104" i="4"/>
  <c r="H104" i="5"/>
  <c r="H69" i="5"/>
  <c r="J69" i="4"/>
  <c r="J115" i="33"/>
  <c r="H115" i="7"/>
  <c r="H53" i="33"/>
  <c r="J53" i="5"/>
  <c r="H64" i="33"/>
  <c r="J64" i="5"/>
  <c r="H92" i="5"/>
  <c r="J92" i="4"/>
  <c r="J181" i="3"/>
  <c r="H181" i="4"/>
  <c r="H88" i="33"/>
  <c r="J88" i="5"/>
  <c r="H140" i="5"/>
  <c r="J140" i="4"/>
  <c r="J176" i="5"/>
  <c r="H176" i="33"/>
  <c r="H66" i="7"/>
  <c r="J66" i="33"/>
  <c r="R36" i="1"/>
  <c r="BP35" i="1"/>
  <c r="H131" i="7"/>
  <c r="J131" i="33"/>
  <c r="J127" i="33"/>
  <c r="H127" i="7"/>
  <c r="H78" i="5"/>
  <c r="J78" i="4"/>
  <c r="H47" i="4"/>
  <c r="J47" i="3"/>
  <c r="H135" i="4"/>
  <c r="J135" i="3"/>
  <c r="BN12" i="1"/>
  <c r="J35" i="1"/>
  <c r="J182" i="7"/>
  <c r="H182" i="8"/>
  <c r="H184" i="8"/>
  <c r="J184" i="7"/>
  <c r="J158" i="7"/>
  <c r="H158" i="8"/>
  <c r="BA37" i="44"/>
  <c r="H144" i="7"/>
  <c r="J144" i="33"/>
  <c r="H30" i="7"/>
  <c r="J30" i="33"/>
  <c r="H167" i="12"/>
  <c r="J167" i="11"/>
  <c r="J155" i="33"/>
  <c r="H155" i="7"/>
  <c r="H166" i="10"/>
  <c r="J166" i="9"/>
  <c r="J145" i="33"/>
  <c r="H145" i="7"/>
  <c r="H15" i="5"/>
  <c r="J15" i="4"/>
  <c r="I16" i="4" s="1"/>
  <c r="J119" i="7"/>
  <c r="H119" i="8"/>
  <c r="J59" i="4"/>
  <c r="H59" i="5"/>
  <c r="H174" i="33"/>
  <c r="J174" i="5"/>
  <c r="H40" i="5"/>
  <c r="J40" i="4"/>
  <c r="H166" i="25"/>
  <c r="J166" i="24"/>
  <c r="J186" i="4"/>
  <c r="H186" i="5"/>
  <c r="H84" i="8"/>
  <c r="J84" i="7"/>
  <c r="J134" i="5"/>
  <c r="H134" i="33"/>
  <c r="J175" i="33"/>
  <c r="H175" i="7"/>
  <c r="J9" i="5"/>
  <c r="H9" i="33"/>
  <c r="J187" i="5"/>
  <c r="H187" i="33"/>
  <c r="H173" i="8"/>
  <c r="J173" i="7"/>
  <c r="J12" i="5"/>
  <c r="H12" i="33"/>
  <c r="AF35" i="1"/>
  <c r="H188" i="20"/>
  <c r="J188" i="19"/>
  <c r="H148" i="33"/>
  <c r="J148" i="5"/>
  <c r="R35" i="1"/>
  <c r="H10" i="33"/>
  <c r="J10" i="5"/>
  <c r="J60" i="2"/>
  <c r="H60" i="3"/>
  <c r="J49" i="4"/>
  <c r="H49" i="5"/>
  <c r="H113" i="33"/>
  <c r="J113" i="5"/>
  <c r="H13" i="7"/>
  <c r="J13" i="33"/>
  <c r="H67" i="5"/>
  <c r="J67" i="4"/>
  <c r="J28" i="4"/>
  <c r="H28" i="5"/>
  <c r="H158" i="28"/>
  <c r="J158" i="28" s="1"/>
  <c r="J158" i="27"/>
  <c r="BC13" i="44"/>
  <c r="BB36" i="44"/>
  <c r="BB37" i="44"/>
  <c r="H168" i="11"/>
  <c r="J168" i="10"/>
  <c r="H130" i="8"/>
  <c r="J130" i="7"/>
  <c r="J142" i="5"/>
  <c r="H142" i="33"/>
  <c r="H94" i="7"/>
  <c r="J94" i="33"/>
  <c r="J157" i="7"/>
  <c r="H157" i="8"/>
  <c r="BN13" i="1"/>
  <c r="Q35" i="1"/>
  <c r="J32" i="3"/>
  <c r="H32" i="4"/>
  <c r="H45" i="18"/>
  <c r="J45" i="17"/>
  <c r="H23" i="33"/>
  <c r="J23" i="5"/>
  <c r="J152" i="33"/>
  <c r="H152" i="7"/>
  <c r="J79" i="15"/>
  <c r="H79" i="16"/>
  <c r="H79" i="17" s="1"/>
  <c r="H79" i="18" s="1"/>
  <c r="H79" i="19" s="1"/>
  <c r="H79" i="20" s="1"/>
  <c r="H79" i="21" s="1"/>
  <c r="H79" i="22" s="1"/>
  <c r="Q36" i="1"/>
  <c r="BN17" i="1"/>
  <c r="BN36" i="1" s="1"/>
  <c r="J177" i="7"/>
  <c r="H177" i="8"/>
  <c r="BN21" i="1"/>
  <c r="H149" i="8"/>
  <c r="J149" i="7"/>
  <c r="H46" i="7" l="1"/>
  <c r="J46" i="33"/>
  <c r="H83" i="8"/>
  <c r="J83" i="7"/>
  <c r="J97" i="4"/>
  <c r="H168" i="40"/>
  <c r="J168" i="25"/>
  <c r="J185" i="33"/>
  <c r="H185" i="7"/>
  <c r="H183" i="8"/>
  <c r="J183" i="8" s="1"/>
  <c r="J151" i="33"/>
  <c r="H151" i="7"/>
  <c r="H123" i="33"/>
  <c r="J123" i="33" s="1"/>
  <c r="H18" i="8"/>
  <c r="J18" i="7"/>
  <c r="J7" i="33"/>
  <c r="I9" i="33" s="1"/>
  <c r="H7" i="7"/>
  <c r="H165" i="7"/>
  <c r="J165" i="33"/>
  <c r="H150" i="10"/>
  <c r="J150" i="9"/>
  <c r="J143" i="5"/>
  <c r="H143" i="33"/>
  <c r="J132" i="7"/>
  <c r="H132" i="8"/>
  <c r="H112" i="8"/>
  <c r="H112" i="9" s="1"/>
  <c r="H87" i="33"/>
  <c r="J87" i="5"/>
  <c r="J77" i="33"/>
  <c r="H77" i="7"/>
  <c r="J188" i="5"/>
  <c r="H188" i="33"/>
  <c r="J95" i="33"/>
  <c r="H52" i="7"/>
  <c r="J52" i="33"/>
  <c r="H42" i="7"/>
  <c r="J42" i="33"/>
  <c r="J39" i="33"/>
  <c r="H39" i="7"/>
  <c r="J20" i="5"/>
  <c r="I20" i="5" s="1"/>
  <c r="H20" i="33"/>
  <c r="H189" i="5"/>
  <c r="J189" i="4"/>
  <c r="J162" i="5"/>
  <c r="H162" i="33"/>
  <c r="J138" i="33"/>
  <c r="H138" i="7"/>
  <c r="J133" i="5"/>
  <c r="H133" i="33"/>
  <c r="J128" i="7"/>
  <c r="H128" i="8"/>
  <c r="H68" i="33"/>
  <c r="J68" i="5"/>
  <c r="H71" i="5"/>
  <c r="J71" i="4"/>
  <c r="H56" i="7"/>
  <c r="J56" i="33"/>
  <c r="H55" i="7"/>
  <c r="J55" i="33"/>
  <c r="H102" i="5"/>
  <c r="J102" i="4"/>
  <c r="J103" i="4"/>
  <c r="H103" i="5"/>
  <c r="H37" i="7"/>
  <c r="J37" i="33"/>
  <c r="H24" i="33"/>
  <c r="J24" i="5"/>
  <c r="J19" i="5"/>
  <c r="H19" i="33"/>
  <c r="J8" i="5"/>
  <c r="H8" i="33"/>
  <c r="H147" i="7"/>
  <c r="J147" i="33"/>
  <c r="H57" i="7"/>
  <c r="J57" i="33"/>
  <c r="H35" i="8"/>
  <c r="J35" i="7"/>
  <c r="H100" i="7"/>
  <c r="J100" i="33"/>
  <c r="H43" i="7"/>
  <c r="J43" i="33"/>
  <c r="H121" i="7"/>
  <c r="J121" i="33"/>
  <c r="H38" i="7"/>
  <c r="J38" i="33"/>
  <c r="H85" i="7"/>
  <c r="J85" i="33"/>
  <c r="H90" i="8"/>
  <c r="J90" i="7"/>
  <c r="H50" i="8"/>
  <c r="J50" i="7"/>
  <c r="H139" i="7"/>
  <c r="J139" i="33"/>
  <c r="H129" i="8"/>
  <c r="J129" i="7"/>
  <c r="H117" i="7"/>
  <c r="J117" i="33"/>
  <c r="H54" i="8"/>
  <c r="J54" i="7"/>
  <c r="H70" i="9"/>
  <c r="J70" i="8"/>
  <c r="H29" i="8"/>
  <c r="J29" i="7"/>
  <c r="J164" i="8"/>
  <c r="H164" i="9"/>
  <c r="H79" i="23"/>
  <c r="H79" i="24" s="1"/>
  <c r="H79" i="25" s="1"/>
  <c r="J79" i="25" s="1"/>
  <c r="J179" i="33"/>
  <c r="H179" i="7"/>
  <c r="H101" i="7"/>
  <c r="J101" i="33"/>
  <c r="J74" i="33"/>
  <c r="H74" i="7"/>
  <c r="H76" i="8"/>
  <c r="J76" i="7"/>
  <c r="H122" i="8"/>
  <c r="J122" i="7"/>
  <c r="J86" i="7"/>
  <c r="H86" i="8"/>
  <c r="J82" i="33"/>
  <c r="H82" i="7"/>
  <c r="J167" i="40"/>
  <c r="H167" i="27"/>
  <c r="H58" i="9"/>
  <c r="J58" i="8"/>
  <c r="H31" i="8"/>
  <c r="J31" i="7"/>
  <c r="H22" i="7"/>
  <c r="J22" i="33"/>
  <c r="J65" i="33"/>
  <c r="H65" i="7"/>
  <c r="H104" i="33"/>
  <c r="J104" i="5"/>
  <c r="H141" i="33"/>
  <c r="J141" i="5"/>
  <c r="H99" i="5"/>
  <c r="J99" i="4"/>
  <c r="H75" i="8"/>
  <c r="J75" i="7"/>
  <c r="H66" i="8"/>
  <c r="J66" i="7"/>
  <c r="H88" i="7"/>
  <c r="J88" i="33"/>
  <c r="J64" i="33"/>
  <c r="H64" i="7"/>
  <c r="H178" i="33"/>
  <c r="J178" i="5"/>
  <c r="H62" i="33"/>
  <c r="J62" i="5"/>
  <c r="H120" i="33"/>
  <c r="J120" i="5"/>
  <c r="J114" i="33"/>
  <c r="H114" i="7"/>
  <c r="J176" i="33"/>
  <c r="H176" i="7"/>
  <c r="J181" i="4"/>
  <c r="H181" i="5"/>
  <c r="H53" i="7"/>
  <c r="J53" i="33"/>
  <c r="H51" i="7"/>
  <c r="J51" i="33"/>
  <c r="H105" i="33"/>
  <c r="J105" i="5"/>
  <c r="H89" i="7"/>
  <c r="J89" i="33"/>
  <c r="H44" i="8"/>
  <c r="J44" i="7"/>
  <c r="J115" i="7"/>
  <c r="H115" i="8"/>
  <c r="J116" i="7"/>
  <c r="H116" i="8"/>
  <c r="J156" i="33"/>
  <c r="H156" i="7"/>
  <c r="H146" i="33"/>
  <c r="J146" i="5"/>
  <c r="J97" i="5"/>
  <c r="H97" i="33"/>
  <c r="H63" i="7"/>
  <c r="J63" i="33"/>
  <c r="J91" i="33"/>
  <c r="H91" i="7"/>
  <c r="H41" i="7"/>
  <c r="J41" i="33"/>
  <c r="J96" i="5"/>
  <c r="H96" i="33"/>
  <c r="J27" i="5"/>
  <c r="H27" i="33"/>
  <c r="J118" i="7"/>
  <c r="H118" i="8"/>
  <c r="H98" i="5"/>
  <c r="J98" i="4"/>
  <c r="J180" i="5"/>
  <c r="H180" i="33"/>
  <c r="J161" i="7"/>
  <c r="H161" i="8"/>
  <c r="J140" i="5"/>
  <c r="H140" i="33"/>
  <c r="H92" i="33"/>
  <c r="J92" i="5"/>
  <c r="H69" i="33"/>
  <c r="J69" i="5"/>
  <c r="J11" i="33"/>
  <c r="H11" i="7"/>
  <c r="J163" i="5"/>
  <c r="H163" i="33"/>
  <c r="J189" i="23"/>
  <c r="H189" i="24"/>
  <c r="H36" i="8"/>
  <c r="J36" i="7"/>
  <c r="BN35" i="1"/>
  <c r="H49" i="33"/>
  <c r="J49" i="5"/>
  <c r="H174" i="7"/>
  <c r="J174" i="33"/>
  <c r="H168" i="12"/>
  <c r="J168" i="11"/>
  <c r="H182" i="9"/>
  <c r="J182" i="8"/>
  <c r="H45" i="19"/>
  <c r="J45" i="18"/>
  <c r="H188" i="21"/>
  <c r="J188" i="20"/>
  <c r="J149" i="8"/>
  <c r="H149" i="9"/>
  <c r="J152" i="7"/>
  <c r="H152" i="8"/>
  <c r="J32" i="4"/>
  <c r="H32" i="5"/>
  <c r="J142" i="33"/>
  <c r="H142" i="7"/>
  <c r="J13" i="7"/>
  <c r="H13" i="8"/>
  <c r="J155" i="7"/>
  <c r="H155" i="8"/>
  <c r="H127" i="8"/>
  <c r="J127" i="7"/>
  <c r="J60" i="3"/>
  <c r="H60" i="4"/>
  <c r="J12" i="33"/>
  <c r="H12" i="7"/>
  <c r="H15" i="33"/>
  <c r="J15" i="5"/>
  <c r="I16" i="5" s="1"/>
  <c r="H130" i="9"/>
  <c r="J130" i="8"/>
  <c r="J158" i="8"/>
  <c r="H158" i="9"/>
  <c r="J134" i="33"/>
  <c r="H134" i="7"/>
  <c r="H47" i="5"/>
  <c r="J47" i="4"/>
  <c r="H131" i="8"/>
  <c r="J131" i="7"/>
  <c r="H175" i="8"/>
  <c r="J175" i="7"/>
  <c r="H59" i="33"/>
  <c r="J59" i="5"/>
  <c r="H23" i="7"/>
  <c r="J23" i="33"/>
  <c r="J28" i="5"/>
  <c r="H28" i="33"/>
  <c r="H177" i="9"/>
  <c r="J177" i="8"/>
  <c r="J95" i="7"/>
  <c r="H95" i="8"/>
  <c r="J157" i="8"/>
  <c r="H157" i="9"/>
  <c r="J113" i="33"/>
  <c r="H113" i="7"/>
  <c r="J10" i="33"/>
  <c r="H10" i="7"/>
  <c r="H173" i="9"/>
  <c r="J173" i="8"/>
  <c r="J186" i="5"/>
  <c r="H186" i="33"/>
  <c r="J119" i="8"/>
  <c r="H119" i="9"/>
  <c r="J145" i="7"/>
  <c r="H145" i="8"/>
  <c r="H166" i="40"/>
  <c r="J166" i="25"/>
  <c r="J148" i="33"/>
  <c r="H148" i="7"/>
  <c r="H167" i="13"/>
  <c r="J167" i="12"/>
  <c r="J30" i="7"/>
  <c r="H30" i="8"/>
  <c r="H184" i="9"/>
  <c r="J184" i="8"/>
  <c r="H67" i="33"/>
  <c r="J67" i="5"/>
  <c r="H94" i="8"/>
  <c r="J94" i="7"/>
  <c r="H187" i="7"/>
  <c r="J187" i="33"/>
  <c r="H9" i="7"/>
  <c r="J9" i="33"/>
  <c r="H84" i="9"/>
  <c r="J84" i="8"/>
  <c r="H40" i="33"/>
  <c r="J40" i="5"/>
  <c r="J166" i="10"/>
  <c r="H166" i="11"/>
  <c r="J144" i="7"/>
  <c r="H144" i="8"/>
  <c r="H135" i="5"/>
  <c r="J135" i="4"/>
  <c r="J78" i="5"/>
  <c r="H78" i="33"/>
  <c r="H83" i="9" l="1"/>
  <c r="J83" i="8"/>
  <c r="H46" i="8"/>
  <c r="J46" i="7"/>
  <c r="J185" i="7"/>
  <c r="H185" i="8"/>
  <c r="H168" i="27"/>
  <c r="J168" i="40"/>
  <c r="H183" i="9"/>
  <c r="H183" i="10" s="1"/>
  <c r="J151" i="7"/>
  <c r="H151" i="8"/>
  <c r="H123" i="7"/>
  <c r="H123" i="8" s="1"/>
  <c r="H18" i="9"/>
  <c r="J18" i="8"/>
  <c r="J7" i="7"/>
  <c r="I9" i="7" s="1"/>
  <c r="H7" i="8"/>
  <c r="H165" i="8"/>
  <c r="J165" i="7"/>
  <c r="J150" i="10"/>
  <c r="H150" i="11"/>
  <c r="J143" i="33"/>
  <c r="H143" i="7"/>
  <c r="J132" i="8"/>
  <c r="H132" i="9"/>
  <c r="J112" i="8"/>
  <c r="H87" i="7"/>
  <c r="J87" i="33"/>
  <c r="J77" i="7"/>
  <c r="H77" i="8"/>
  <c r="J188" i="33"/>
  <c r="H188" i="7"/>
  <c r="H52" i="8"/>
  <c r="J52" i="7"/>
  <c r="H42" i="8"/>
  <c r="J42" i="7"/>
  <c r="J39" i="7"/>
  <c r="H39" i="8"/>
  <c r="J20" i="33"/>
  <c r="I20" i="33" s="1"/>
  <c r="H20" i="7"/>
  <c r="J189" i="5"/>
  <c r="H189" i="33"/>
  <c r="H162" i="7"/>
  <c r="J162" i="33"/>
  <c r="H138" i="8"/>
  <c r="J138" i="7"/>
  <c r="H133" i="7"/>
  <c r="J133" i="33"/>
  <c r="H128" i="9"/>
  <c r="J128" i="8"/>
  <c r="H68" i="7"/>
  <c r="J68" i="33"/>
  <c r="J71" i="5"/>
  <c r="H71" i="33"/>
  <c r="H102" i="33"/>
  <c r="J102" i="5"/>
  <c r="J56" i="7"/>
  <c r="H56" i="8"/>
  <c r="H55" i="8"/>
  <c r="J55" i="7"/>
  <c r="H103" i="33"/>
  <c r="J103" i="5"/>
  <c r="J37" i="7"/>
  <c r="H37" i="8"/>
  <c r="H24" i="7"/>
  <c r="J24" i="33"/>
  <c r="J19" i="33"/>
  <c r="H19" i="7"/>
  <c r="J8" i="33"/>
  <c r="H8" i="7"/>
  <c r="H79" i="40"/>
  <c r="H79" i="27" s="1"/>
  <c r="H79" i="28" s="1"/>
  <c r="H79" i="29" s="1"/>
  <c r="H79" i="30" s="1"/>
  <c r="H79" i="43" s="1"/>
  <c r="H79" i="31" s="1"/>
  <c r="J76" i="8"/>
  <c r="H76" i="9"/>
  <c r="J101" i="7"/>
  <c r="H101" i="8"/>
  <c r="J117" i="7"/>
  <c r="H117" i="8"/>
  <c r="H139" i="8"/>
  <c r="J139" i="7"/>
  <c r="J85" i="7"/>
  <c r="H85" i="8"/>
  <c r="H121" i="8"/>
  <c r="J121" i="7"/>
  <c r="H100" i="8"/>
  <c r="J100" i="7"/>
  <c r="H57" i="8"/>
  <c r="J57" i="7"/>
  <c r="H147" i="8"/>
  <c r="J147" i="7"/>
  <c r="H86" i="9"/>
  <c r="J86" i="8"/>
  <c r="H164" i="10"/>
  <c r="J164" i="9"/>
  <c r="H122" i="9"/>
  <c r="J122" i="8"/>
  <c r="H29" i="9"/>
  <c r="J29" i="8"/>
  <c r="H70" i="10"/>
  <c r="J70" i="9"/>
  <c r="H54" i="9"/>
  <c r="J54" i="8"/>
  <c r="H129" i="9"/>
  <c r="J129" i="8"/>
  <c r="H50" i="9"/>
  <c r="J50" i="8"/>
  <c r="J90" i="8"/>
  <c r="H90" i="9"/>
  <c r="H38" i="8"/>
  <c r="J38" i="7"/>
  <c r="H43" i="8"/>
  <c r="J43" i="7"/>
  <c r="H35" i="9"/>
  <c r="J35" i="8"/>
  <c r="H74" i="8"/>
  <c r="J74" i="7"/>
  <c r="J179" i="7"/>
  <c r="H179" i="8"/>
  <c r="H167" i="28"/>
  <c r="J167" i="27"/>
  <c r="H22" i="8"/>
  <c r="J22" i="7"/>
  <c r="H31" i="9"/>
  <c r="J31" i="8"/>
  <c r="H65" i="8"/>
  <c r="J65" i="7"/>
  <c r="H82" i="8"/>
  <c r="J82" i="7"/>
  <c r="H58" i="10"/>
  <c r="J58" i="9"/>
  <c r="J11" i="7"/>
  <c r="H11" i="8"/>
  <c r="H161" i="9"/>
  <c r="J161" i="8"/>
  <c r="J27" i="33"/>
  <c r="H27" i="7"/>
  <c r="H64" i="8"/>
  <c r="J64" i="7"/>
  <c r="H36" i="9"/>
  <c r="J36" i="8"/>
  <c r="H63" i="8"/>
  <c r="J63" i="7"/>
  <c r="H51" i="8"/>
  <c r="J51" i="7"/>
  <c r="J120" i="33"/>
  <c r="H120" i="7"/>
  <c r="J189" i="24"/>
  <c r="H189" i="25"/>
  <c r="J97" i="33"/>
  <c r="H97" i="7"/>
  <c r="J181" i="5"/>
  <c r="H181" i="33"/>
  <c r="J180" i="33"/>
  <c r="H180" i="7"/>
  <c r="H69" i="7"/>
  <c r="J69" i="33"/>
  <c r="J146" i="33"/>
  <c r="H146" i="7"/>
  <c r="H44" i="9"/>
  <c r="J44" i="8"/>
  <c r="H88" i="8"/>
  <c r="J88" i="7"/>
  <c r="H99" i="33"/>
  <c r="J99" i="5"/>
  <c r="J96" i="33"/>
  <c r="H96" i="7"/>
  <c r="H163" i="7"/>
  <c r="J163" i="33"/>
  <c r="J156" i="7"/>
  <c r="H156" i="8"/>
  <c r="J115" i="8"/>
  <c r="H115" i="9"/>
  <c r="J176" i="7"/>
  <c r="H176" i="8"/>
  <c r="H92" i="7"/>
  <c r="J92" i="33"/>
  <c r="H98" i="33"/>
  <c r="J98" i="5"/>
  <c r="H41" i="8"/>
  <c r="J41" i="7"/>
  <c r="H89" i="8"/>
  <c r="J89" i="7"/>
  <c r="H53" i="8"/>
  <c r="J53" i="7"/>
  <c r="H62" i="7"/>
  <c r="J62" i="33"/>
  <c r="H66" i="9"/>
  <c r="J66" i="8"/>
  <c r="J141" i="33"/>
  <c r="H141" i="7"/>
  <c r="J140" i="33"/>
  <c r="H140" i="7"/>
  <c r="H118" i="9"/>
  <c r="J118" i="8"/>
  <c r="H91" i="8"/>
  <c r="J91" i="7"/>
  <c r="J116" i="8"/>
  <c r="H116" i="9"/>
  <c r="H114" i="8"/>
  <c r="J114" i="7"/>
  <c r="H105" i="7"/>
  <c r="J105" i="33"/>
  <c r="J178" i="33"/>
  <c r="H178" i="7"/>
  <c r="H75" i="9"/>
  <c r="J75" i="8"/>
  <c r="H104" i="7"/>
  <c r="J104" i="33"/>
  <c r="J166" i="11"/>
  <c r="H166" i="12"/>
  <c r="J148" i="7"/>
  <c r="H148" i="8"/>
  <c r="J113" i="7"/>
  <c r="H113" i="8"/>
  <c r="J95" i="8"/>
  <c r="H95" i="9"/>
  <c r="J60" i="4"/>
  <c r="H60" i="5"/>
  <c r="J32" i="5"/>
  <c r="H32" i="33"/>
  <c r="H94" i="9"/>
  <c r="J94" i="8"/>
  <c r="H184" i="10"/>
  <c r="J184" i="9"/>
  <c r="H23" i="8"/>
  <c r="J23" i="7"/>
  <c r="H188" i="22"/>
  <c r="J188" i="21"/>
  <c r="H182" i="10"/>
  <c r="J182" i="9"/>
  <c r="H49" i="7"/>
  <c r="J49" i="33"/>
  <c r="J30" i="8"/>
  <c r="H30" i="9"/>
  <c r="J145" i="8"/>
  <c r="H145" i="9"/>
  <c r="J152" i="8"/>
  <c r="H152" i="9"/>
  <c r="H84" i="10"/>
  <c r="J84" i="9"/>
  <c r="H127" i="9"/>
  <c r="J127" i="8"/>
  <c r="H47" i="33"/>
  <c r="J47" i="5"/>
  <c r="H15" i="7"/>
  <c r="J15" i="33"/>
  <c r="I16" i="33" s="1"/>
  <c r="J135" i="5"/>
  <c r="H135" i="33"/>
  <c r="H177" i="10"/>
  <c r="J177" i="9"/>
  <c r="J130" i="9"/>
  <c r="H130" i="10"/>
  <c r="H119" i="10"/>
  <c r="J119" i="9"/>
  <c r="H59" i="7"/>
  <c r="J59" i="33"/>
  <c r="H175" i="9"/>
  <c r="J175" i="8"/>
  <c r="H28" i="7"/>
  <c r="J28" i="33"/>
  <c r="H112" i="10"/>
  <c r="J112" i="9"/>
  <c r="J155" i="8"/>
  <c r="H155" i="9"/>
  <c r="H9" i="8"/>
  <c r="J9" i="7"/>
  <c r="H67" i="7"/>
  <c r="J67" i="33"/>
  <c r="H167" i="14"/>
  <c r="J167" i="13"/>
  <c r="H166" i="27"/>
  <c r="J166" i="40"/>
  <c r="H173" i="10"/>
  <c r="J173" i="9"/>
  <c r="H45" i="20"/>
  <c r="J45" i="19"/>
  <c r="H78" i="7"/>
  <c r="J78" i="33"/>
  <c r="H144" i="9"/>
  <c r="J144" i="8"/>
  <c r="J186" i="33"/>
  <c r="H186" i="7"/>
  <c r="H10" i="8"/>
  <c r="J10" i="7"/>
  <c r="J157" i="9"/>
  <c r="H157" i="10"/>
  <c r="H134" i="8"/>
  <c r="J134" i="7"/>
  <c r="J158" i="9"/>
  <c r="H158" i="10"/>
  <c r="J12" i="7"/>
  <c r="H12" i="8"/>
  <c r="J13" i="8"/>
  <c r="H13" i="9"/>
  <c r="H142" i="8"/>
  <c r="J142" i="7"/>
  <c r="H149" i="10"/>
  <c r="J149" i="9"/>
  <c r="H168" i="13"/>
  <c r="J168" i="12"/>
  <c r="J174" i="7"/>
  <c r="H174" i="8"/>
  <c r="H40" i="7"/>
  <c r="J40" i="33"/>
  <c r="H131" i="9"/>
  <c r="J131" i="8"/>
  <c r="J187" i="7"/>
  <c r="H187" i="8"/>
  <c r="H46" i="9" l="1"/>
  <c r="J46" i="8"/>
  <c r="H83" i="10"/>
  <c r="J83" i="9"/>
  <c r="H168" i="28"/>
  <c r="J168" i="27"/>
  <c r="J185" i="8"/>
  <c r="H185" i="9"/>
  <c r="J183" i="9"/>
  <c r="J151" i="8"/>
  <c r="H151" i="9"/>
  <c r="J123" i="7"/>
  <c r="H18" i="10"/>
  <c r="J18" i="9"/>
  <c r="H7" i="9"/>
  <c r="J7" i="8"/>
  <c r="I9" i="8" s="1"/>
  <c r="H165" i="9"/>
  <c r="J165" i="8"/>
  <c r="H150" i="12"/>
  <c r="J150" i="11"/>
  <c r="J143" i="7"/>
  <c r="H143" i="8"/>
  <c r="H132" i="10"/>
  <c r="J132" i="9"/>
  <c r="H87" i="8"/>
  <c r="J87" i="7"/>
  <c r="H77" i="9"/>
  <c r="J77" i="8"/>
  <c r="H188" i="8"/>
  <c r="J188" i="7"/>
  <c r="H52" i="9"/>
  <c r="J52" i="8"/>
  <c r="H42" i="9"/>
  <c r="J42" i="8"/>
  <c r="J39" i="8"/>
  <c r="H39" i="9"/>
  <c r="H20" i="8"/>
  <c r="J20" i="7"/>
  <c r="I20" i="7" s="1"/>
  <c r="H189" i="7"/>
  <c r="J189" i="33"/>
  <c r="J162" i="7"/>
  <c r="H162" i="8"/>
  <c r="H138" i="9"/>
  <c r="J138" i="8"/>
  <c r="J133" i="7"/>
  <c r="H133" i="8"/>
  <c r="H128" i="10"/>
  <c r="J128" i="9"/>
  <c r="H68" i="8"/>
  <c r="J68" i="7"/>
  <c r="J71" i="33"/>
  <c r="H71" i="7"/>
  <c r="H55" i="9"/>
  <c r="J55" i="8"/>
  <c r="J102" i="33"/>
  <c r="H102" i="7"/>
  <c r="J103" i="33"/>
  <c r="H103" i="7"/>
  <c r="J56" i="8"/>
  <c r="H56" i="9"/>
  <c r="J37" i="8"/>
  <c r="H37" i="9"/>
  <c r="H24" i="8"/>
  <c r="J24" i="7"/>
  <c r="H19" i="8"/>
  <c r="J19" i="7"/>
  <c r="H8" i="8"/>
  <c r="J8" i="7"/>
  <c r="H35" i="10"/>
  <c r="J35" i="9"/>
  <c r="H38" i="9"/>
  <c r="J38" i="8"/>
  <c r="H50" i="10"/>
  <c r="J50" i="9"/>
  <c r="H54" i="10"/>
  <c r="J54" i="9"/>
  <c r="H29" i="10"/>
  <c r="J29" i="9"/>
  <c r="H164" i="11"/>
  <c r="J164" i="10"/>
  <c r="J147" i="8"/>
  <c r="H147" i="9"/>
  <c r="H100" i="9"/>
  <c r="J100" i="8"/>
  <c r="J139" i="8"/>
  <c r="H139" i="9"/>
  <c r="J179" i="8"/>
  <c r="H179" i="9"/>
  <c r="H85" i="9"/>
  <c r="J85" i="8"/>
  <c r="H76" i="10"/>
  <c r="J76" i="9"/>
  <c r="H74" i="9"/>
  <c r="J74" i="8"/>
  <c r="H43" i="9"/>
  <c r="J43" i="8"/>
  <c r="J129" i="9"/>
  <c r="H129" i="10"/>
  <c r="H70" i="11"/>
  <c r="J70" i="10"/>
  <c r="J122" i="9"/>
  <c r="H122" i="10"/>
  <c r="H86" i="10"/>
  <c r="J86" i="9"/>
  <c r="H57" i="9"/>
  <c r="J57" i="8"/>
  <c r="J121" i="8"/>
  <c r="H121" i="9"/>
  <c r="J123" i="8"/>
  <c r="H123" i="9"/>
  <c r="J90" i="9"/>
  <c r="H90" i="10"/>
  <c r="H117" i="9"/>
  <c r="J117" i="8"/>
  <c r="H101" i="9"/>
  <c r="J101" i="8"/>
  <c r="H58" i="11"/>
  <c r="J58" i="10"/>
  <c r="H82" i="9"/>
  <c r="J82" i="8"/>
  <c r="H65" i="9"/>
  <c r="J65" i="8"/>
  <c r="H22" i="9"/>
  <c r="J22" i="8"/>
  <c r="H31" i="10"/>
  <c r="J31" i="9"/>
  <c r="H167" i="29"/>
  <c r="J167" i="28"/>
  <c r="H140" i="8"/>
  <c r="J140" i="7"/>
  <c r="J156" i="8"/>
  <c r="H156" i="9"/>
  <c r="H146" i="8"/>
  <c r="J146" i="7"/>
  <c r="H104" i="8"/>
  <c r="J104" i="7"/>
  <c r="H53" i="9"/>
  <c r="J53" i="8"/>
  <c r="H98" i="7"/>
  <c r="J98" i="33"/>
  <c r="H88" i="9"/>
  <c r="J88" i="8"/>
  <c r="H64" i="9"/>
  <c r="J64" i="8"/>
  <c r="J116" i="9"/>
  <c r="H116" i="10"/>
  <c r="H141" i="8"/>
  <c r="J141" i="7"/>
  <c r="J97" i="7"/>
  <c r="H97" i="8"/>
  <c r="H27" i="8"/>
  <c r="J27" i="7"/>
  <c r="H75" i="10"/>
  <c r="J75" i="9"/>
  <c r="H89" i="9"/>
  <c r="J89" i="8"/>
  <c r="H92" i="8"/>
  <c r="J92" i="7"/>
  <c r="J163" i="7"/>
  <c r="H163" i="8"/>
  <c r="H69" i="8"/>
  <c r="J69" i="7"/>
  <c r="H51" i="9"/>
  <c r="J51" i="8"/>
  <c r="H63" i="9"/>
  <c r="J63" i="8"/>
  <c r="J178" i="7"/>
  <c r="H178" i="8"/>
  <c r="H176" i="9"/>
  <c r="J176" i="8"/>
  <c r="H96" i="8"/>
  <c r="J96" i="7"/>
  <c r="H180" i="8"/>
  <c r="J180" i="7"/>
  <c r="J189" i="25"/>
  <c r="H189" i="40"/>
  <c r="H91" i="9"/>
  <c r="J91" i="8"/>
  <c r="H66" i="10"/>
  <c r="J66" i="9"/>
  <c r="H44" i="10"/>
  <c r="J44" i="9"/>
  <c r="H36" i="10"/>
  <c r="J36" i="9"/>
  <c r="H161" i="10"/>
  <c r="J161" i="9"/>
  <c r="J115" i="9"/>
  <c r="H115" i="10"/>
  <c r="H181" i="7"/>
  <c r="J181" i="33"/>
  <c r="H120" i="8"/>
  <c r="J120" i="7"/>
  <c r="H11" i="9"/>
  <c r="J11" i="8"/>
  <c r="H105" i="8"/>
  <c r="J105" i="7"/>
  <c r="H114" i="9"/>
  <c r="J114" i="8"/>
  <c r="J118" i="9"/>
  <c r="H118" i="10"/>
  <c r="H62" i="8"/>
  <c r="J62" i="7"/>
  <c r="H41" i="9"/>
  <c r="J41" i="8"/>
  <c r="J99" i="33"/>
  <c r="H99" i="7"/>
  <c r="J142" i="8"/>
  <c r="H142" i="9"/>
  <c r="H134" i="9"/>
  <c r="J134" i="8"/>
  <c r="H67" i="8"/>
  <c r="J67" i="7"/>
  <c r="H112" i="11"/>
  <c r="J112" i="10"/>
  <c r="H84" i="11"/>
  <c r="J84" i="10"/>
  <c r="J174" i="8"/>
  <c r="H174" i="9"/>
  <c r="H155" i="10"/>
  <c r="J155" i="9"/>
  <c r="J95" i="9"/>
  <c r="H95" i="10"/>
  <c r="H131" i="10"/>
  <c r="J131" i="9"/>
  <c r="J149" i="10"/>
  <c r="H149" i="11"/>
  <c r="H78" i="8"/>
  <c r="J78" i="7"/>
  <c r="H9" i="9"/>
  <c r="J9" i="8"/>
  <c r="H175" i="10"/>
  <c r="J175" i="9"/>
  <c r="J177" i="10"/>
  <c r="H177" i="11"/>
  <c r="H47" i="7"/>
  <c r="J47" i="33"/>
  <c r="J187" i="8"/>
  <c r="H187" i="9"/>
  <c r="J135" i="33"/>
  <c r="H135" i="7"/>
  <c r="H152" i="10"/>
  <c r="J152" i="9"/>
  <c r="J60" i="5"/>
  <c r="H60" i="33"/>
  <c r="J113" i="8"/>
  <c r="H113" i="9"/>
  <c r="H59" i="8"/>
  <c r="J59" i="7"/>
  <c r="H166" i="28"/>
  <c r="J166" i="27"/>
  <c r="H148" i="9"/>
  <c r="J148" i="8"/>
  <c r="H119" i="11"/>
  <c r="J119" i="10"/>
  <c r="H49" i="8"/>
  <c r="J49" i="7"/>
  <c r="J158" i="10"/>
  <c r="H158" i="11"/>
  <c r="H13" i="10"/>
  <c r="J13" i="9"/>
  <c r="J157" i="10"/>
  <c r="H157" i="11"/>
  <c r="J145" i="9"/>
  <c r="H145" i="10"/>
  <c r="H167" i="15"/>
  <c r="J167" i="14"/>
  <c r="J127" i="9"/>
  <c r="H127" i="10"/>
  <c r="J182" i="10"/>
  <c r="H182" i="11"/>
  <c r="H23" i="9"/>
  <c r="J23" i="8"/>
  <c r="H184" i="11"/>
  <c r="J184" i="10"/>
  <c r="H130" i="11"/>
  <c r="J130" i="10"/>
  <c r="J30" i="9"/>
  <c r="H30" i="10"/>
  <c r="J32" i="33"/>
  <c r="H32" i="7"/>
  <c r="H166" i="13"/>
  <c r="J166" i="12"/>
  <c r="H45" i="21"/>
  <c r="J45" i="20"/>
  <c r="H40" i="8"/>
  <c r="J40" i="7"/>
  <c r="H10" i="9"/>
  <c r="J10" i="8"/>
  <c r="H173" i="11"/>
  <c r="J173" i="10"/>
  <c r="H28" i="8"/>
  <c r="J28" i="7"/>
  <c r="H15" i="8"/>
  <c r="J15" i="7"/>
  <c r="I16" i="7" s="1"/>
  <c r="J188" i="22"/>
  <c r="H188" i="23"/>
  <c r="J94" i="9"/>
  <c r="H94" i="10"/>
  <c r="J186" i="7"/>
  <c r="H186" i="8"/>
  <c r="J183" i="10"/>
  <c r="H183" i="11"/>
  <c r="H168" i="14"/>
  <c r="J168" i="13"/>
  <c r="J144" i="9"/>
  <c r="H144" i="10"/>
  <c r="H12" i="9"/>
  <c r="J12" i="8"/>
  <c r="H83" i="11" l="1"/>
  <c r="J83" i="10"/>
  <c r="J46" i="9"/>
  <c r="H46" i="10"/>
  <c r="H168" i="29"/>
  <c r="J168" i="28"/>
  <c r="H185" i="10"/>
  <c r="J185" i="9"/>
  <c r="H151" i="10"/>
  <c r="J151" i="9"/>
  <c r="H18" i="11"/>
  <c r="J18" i="10"/>
  <c r="H7" i="10"/>
  <c r="J7" i="9"/>
  <c r="I9" i="9" s="1"/>
  <c r="J165" i="9"/>
  <c r="H165" i="10"/>
  <c r="H150" i="13"/>
  <c r="J150" i="12"/>
  <c r="J143" i="8"/>
  <c r="H143" i="9"/>
  <c r="H132" i="11"/>
  <c r="J132" i="10"/>
  <c r="H87" i="9"/>
  <c r="J87" i="8"/>
  <c r="H77" i="10"/>
  <c r="J77" i="9"/>
  <c r="J188" i="8"/>
  <c r="H188" i="9"/>
  <c r="H52" i="10"/>
  <c r="J52" i="9"/>
  <c r="H42" i="10"/>
  <c r="J42" i="9"/>
  <c r="J39" i="9"/>
  <c r="H39" i="10"/>
  <c r="H20" i="9"/>
  <c r="J20" i="8"/>
  <c r="I20" i="8" s="1"/>
  <c r="J189" i="7"/>
  <c r="H189" i="8"/>
  <c r="H162" i="9"/>
  <c r="J162" i="8"/>
  <c r="H138" i="10"/>
  <c r="J138" i="9"/>
  <c r="J133" i="8"/>
  <c r="H133" i="9"/>
  <c r="H128" i="11"/>
  <c r="J128" i="10"/>
  <c r="H68" i="9"/>
  <c r="J68" i="8"/>
  <c r="H71" i="8"/>
  <c r="J71" i="7"/>
  <c r="H55" i="10"/>
  <c r="J55" i="9"/>
  <c r="H103" i="8"/>
  <c r="J103" i="7"/>
  <c r="H56" i="10"/>
  <c r="J56" i="9"/>
  <c r="J102" i="7"/>
  <c r="H102" i="8"/>
  <c r="H37" i="10"/>
  <c r="J37" i="9"/>
  <c r="H24" i="9"/>
  <c r="J24" i="8"/>
  <c r="H19" i="9"/>
  <c r="J19" i="8"/>
  <c r="J8" i="8"/>
  <c r="H8" i="9"/>
  <c r="H57" i="10"/>
  <c r="J57" i="9"/>
  <c r="J74" i="9"/>
  <c r="H74" i="10"/>
  <c r="J85" i="9"/>
  <c r="H85" i="10"/>
  <c r="H29" i="11"/>
  <c r="J29" i="10"/>
  <c r="H50" i="11"/>
  <c r="J50" i="10"/>
  <c r="H35" i="11"/>
  <c r="J35" i="10"/>
  <c r="J90" i="10"/>
  <c r="H90" i="11"/>
  <c r="J123" i="9"/>
  <c r="H123" i="10"/>
  <c r="J122" i="10"/>
  <c r="H122" i="11"/>
  <c r="J129" i="10"/>
  <c r="H129" i="11"/>
  <c r="J139" i="9"/>
  <c r="H139" i="10"/>
  <c r="H147" i="10"/>
  <c r="J147" i="9"/>
  <c r="H101" i="10"/>
  <c r="J101" i="9"/>
  <c r="J117" i="9"/>
  <c r="H117" i="10"/>
  <c r="J86" i="10"/>
  <c r="H86" i="11"/>
  <c r="H70" i="12"/>
  <c r="J70" i="11"/>
  <c r="H43" i="10"/>
  <c r="J43" i="9"/>
  <c r="J76" i="10"/>
  <c r="H76" i="11"/>
  <c r="J100" i="9"/>
  <c r="H100" i="10"/>
  <c r="H164" i="12"/>
  <c r="J164" i="11"/>
  <c r="H54" i="11"/>
  <c r="J54" i="10"/>
  <c r="J38" i="9"/>
  <c r="H38" i="10"/>
  <c r="H121" i="10"/>
  <c r="J121" i="9"/>
  <c r="J179" i="9"/>
  <c r="H179" i="10"/>
  <c r="H22" i="10"/>
  <c r="J22" i="9"/>
  <c r="J58" i="11"/>
  <c r="H58" i="12"/>
  <c r="H167" i="30"/>
  <c r="J167" i="29"/>
  <c r="J65" i="9"/>
  <c r="H65" i="10"/>
  <c r="H31" i="11"/>
  <c r="J31" i="10"/>
  <c r="J82" i="9"/>
  <c r="H82" i="10"/>
  <c r="J115" i="10"/>
  <c r="H115" i="11"/>
  <c r="J97" i="8"/>
  <c r="H97" i="9"/>
  <c r="H41" i="10"/>
  <c r="J41" i="9"/>
  <c r="H105" i="9"/>
  <c r="J105" i="8"/>
  <c r="J176" i="9"/>
  <c r="H176" i="10"/>
  <c r="H69" i="9"/>
  <c r="J69" i="8"/>
  <c r="H89" i="10"/>
  <c r="J89" i="9"/>
  <c r="J53" i="9"/>
  <c r="H53" i="10"/>
  <c r="J189" i="40"/>
  <c r="H189" i="27"/>
  <c r="H178" i="9"/>
  <c r="J178" i="8"/>
  <c r="H62" i="9"/>
  <c r="J62" i="8"/>
  <c r="H11" i="10"/>
  <c r="J11" i="9"/>
  <c r="H161" i="11"/>
  <c r="J161" i="10"/>
  <c r="H66" i="11"/>
  <c r="J66" i="10"/>
  <c r="J141" i="8"/>
  <c r="H141" i="9"/>
  <c r="J146" i="8"/>
  <c r="H146" i="9"/>
  <c r="J118" i="10"/>
  <c r="H118" i="11"/>
  <c r="H163" i="9"/>
  <c r="J163" i="8"/>
  <c r="H116" i="11"/>
  <c r="J116" i="10"/>
  <c r="H156" i="10"/>
  <c r="J156" i="9"/>
  <c r="H120" i="9"/>
  <c r="J120" i="8"/>
  <c r="H36" i="11"/>
  <c r="J36" i="10"/>
  <c r="H91" i="10"/>
  <c r="J91" i="9"/>
  <c r="H180" i="9"/>
  <c r="J180" i="8"/>
  <c r="H63" i="10"/>
  <c r="J63" i="9"/>
  <c r="J75" i="10"/>
  <c r="H75" i="11"/>
  <c r="H88" i="10"/>
  <c r="J88" i="9"/>
  <c r="H99" i="8"/>
  <c r="J99" i="7"/>
  <c r="H114" i="10"/>
  <c r="J114" i="9"/>
  <c r="J181" i="7"/>
  <c r="H181" i="8"/>
  <c r="H44" i="11"/>
  <c r="J44" i="10"/>
  <c r="H96" i="9"/>
  <c r="J96" i="8"/>
  <c r="H51" i="10"/>
  <c r="J51" i="9"/>
  <c r="H92" i="9"/>
  <c r="J92" i="8"/>
  <c r="J27" i="8"/>
  <c r="H27" i="9"/>
  <c r="H64" i="10"/>
  <c r="J64" i="9"/>
  <c r="J98" i="7"/>
  <c r="H98" i="8"/>
  <c r="J104" i="8"/>
  <c r="H104" i="9"/>
  <c r="J140" i="8"/>
  <c r="H140" i="9"/>
  <c r="J184" i="11"/>
  <c r="H184" i="12"/>
  <c r="J127" i="10"/>
  <c r="H127" i="11"/>
  <c r="J145" i="10"/>
  <c r="H145" i="11"/>
  <c r="J60" i="33"/>
  <c r="H60" i="7"/>
  <c r="J177" i="11"/>
  <c r="H177" i="12"/>
  <c r="J95" i="10"/>
  <c r="H95" i="11"/>
  <c r="J174" i="9"/>
  <c r="H174" i="10"/>
  <c r="H168" i="15"/>
  <c r="J168" i="14"/>
  <c r="J28" i="8"/>
  <c r="H28" i="9"/>
  <c r="H40" i="9"/>
  <c r="J40" i="8"/>
  <c r="H130" i="12"/>
  <c r="J130" i="11"/>
  <c r="H23" i="10"/>
  <c r="J23" i="9"/>
  <c r="J13" i="10"/>
  <c r="H13" i="11"/>
  <c r="H49" i="9"/>
  <c r="J49" i="8"/>
  <c r="H166" i="29"/>
  <c r="J166" i="28"/>
  <c r="H152" i="11"/>
  <c r="J152" i="10"/>
  <c r="H67" i="9"/>
  <c r="J67" i="8"/>
  <c r="H188" i="24"/>
  <c r="J188" i="23"/>
  <c r="H32" i="8"/>
  <c r="J32" i="7"/>
  <c r="J187" i="9"/>
  <c r="H187" i="10"/>
  <c r="H149" i="12"/>
  <c r="J149" i="11"/>
  <c r="H59" i="9"/>
  <c r="J59" i="8"/>
  <c r="J175" i="10"/>
  <c r="H175" i="11"/>
  <c r="J173" i="11"/>
  <c r="H173" i="12"/>
  <c r="H119" i="12"/>
  <c r="J119" i="11"/>
  <c r="H113" i="10"/>
  <c r="J113" i="9"/>
  <c r="H45" i="22"/>
  <c r="J45" i="21"/>
  <c r="H144" i="11"/>
  <c r="J144" i="10"/>
  <c r="J183" i="11"/>
  <c r="H183" i="12"/>
  <c r="H30" i="11"/>
  <c r="J30" i="10"/>
  <c r="H12" i="10"/>
  <c r="J12" i="9"/>
  <c r="H148" i="10"/>
  <c r="J148" i="9"/>
  <c r="J182" i="11"/>
  <c r="H182" i="12"/>
  <c r="J158" i="11"/>
  <c r="H158" i="12"/>
  <c r="J135" i="7"/>
  <c r="H135" i="8"/>
  <c r="H10" i="10"/>
  <c r="J10" i="9"/>
  <c r="J166" i="13"/>
  <c r="H166" i="14"/>
  <c r="H84" i="12"/>
  <c r="J84" i="11"/>
  <c r="H134" i="10"/>
  <c r="J134" i="9"/>
  <c r="J186" i="8"/>
  <c r="H186" i="9"/>
  <c r="J157" i="11"/>
  <c r="H157" i="12"/>
  <c r="H142" i="10"/>
  <c r="J142" i="9"/>
  <c r="J47" i="7"/>
  <c r="H47" i="8"/>
  <c r="J9" i="9"/>
  <c r="H9" i="10"/>
  <c r="H78" i="9"/>
  <c r="J78" i="8"/>
  <c r="H131" i="11"/>
  <c r="J131" i="10"/>
  <c r="J155" i="10"/>
  <c r="H155" i="11"/>
  <c r="J112" i="11"/>
  <c r="H112" i="12"/>
  <c r="H167" i="16"/>
  <c r="J167" i="15"/>
  <c r="H94" i="11"/>
  <c r="J94" i="10"/>
  <c r="J15" i="8"/>
  <c r="I16" i="8" s="1"/>
  <c r="H15" i="9"/>
  <c r="J46" i="10" l="1"/>
  <c r="H46" i="11"/>
  <c r="H83" i="12"/>
  <c r="J83" i="11"/>
  <c r="H185" i="11"/>
  <c r="J185" i="10"/>
  <c r="J168" i="29"/>
  <c r="H168" i="30"/>
  <c r="J151" i="10"/>
  <c r="H151" i="11"/>
  <c r="H18" i="12"/>
  <c r="J18" i="11"/>
  <c r="H7" i="11"/>
  <c r="J7" i="10"/>
  <c r="I9" i="10" s="1"/>
  <c r="J165" i="10"/>
  <c r="H165" i="11"/>
  <c r="H150" i="14"/>
  <c r="J150" i="13"/>
  <c r="H143" i="10"/>
  <c r="J143" i="9"/>
  <c r="H132" i="12"/>
  <c r="J132" i="11"/>
  <c r="H87" i="10"/>
  <c r="J87" i="9"/>
  <c r="H77" i="11"/>
  <c r="J77" i="10"/>
  <c r="J188" i="9"/>
  <c r="H188" i="10"/>
  <c r="H52" i="11"/>
  <c r="J52" i="10"/>
  <c r="H42" i="11"/>
  <c r="J42" i="10"/>
  <c r="H39" i="11"/>
  <c r="J39" i="10"/>
  <c r="J20" i="9"/>
  <c r="I20" i="9" s="1"/>
  <c r="H20" i="10"/>
  <c r="J189" i="8"/>
  <c r="H189" i="9"/>
  <c r="J162" i="9"/>
  <c r="H162" i="10"/>
  <c r="J138" i="10"/>
  <c r="H138" i="11"/>
  <c r="H133" i="10"/>
  <c r="J133" i="9"/>
  <c r="J128" i="11"/>
  <c r="H128" i="12"/>
  <c r="H68" i="10"/>
  <c r="J68" i="9"/>
  <c r="H71" i="9"/>
  <c r="J71" i="8"/>
  <c r="J56" i="10"/>
  <c r="H56" i="11"/>
  <c r="H55" i="11"/>
  <c r="J55" i="10"/>
  <c r="J103" i="8"/>
  <c r="H103" i="9"/>
  <c r="H102" i="9"/>
  <c r="J102" i="8"/>
  <c r="H37" i="11"/>
  <c r="J37" i="10"/>
  <c r="H24" i="10"/>
  <c r="J24" i="9"/>
  <c r="J19" i="9"/>
  <c r="H19" i="10"/>
  <c r="J8" i="9"/>
  <c r="H8" i="10"/>
  <c r="H121" i="11"/>
  <c r="J121" i="10"/>
  <c r="H164" i="13"/>
  <c r="J164" i="12"/>
  <c r="H43" i="11"/>
  <c r="J43" i="10"/>
  <c r="J101" i="10"/>
  <c r="H101" i="11"/>
  <c r="H35" i="12"/>
  <c r="J35" i="11"/>
  <c r="H29" i="12"/>
  <c r="J29" i="11"/>
  <c r="J38" i="10"/>
  <c r="H38" i="11"/>
  <c r="J86" i="11"/>
  <c r="H86" i="12"/>
  <c r="H139" i="11"/>
  <c r="J139" i="10"/>
  <c r="J129" i="11"/>
  <c r="H129" i="12"/>
  <c r="J123" i="10"/>
  <c r="H123" i="11"/>
  <c r="J74" i="10"/>
  <c r="H74" i="11"/>
  <c r="H54" i="12"/>
  <c r="J54" i="11"/>
  <c r="H70" i="13"/>
  <c r="J70" i="12"/>
  <c r="H147" i="11"/>
  <c r="J147" i="10"/>
  <c r="H50" i="12"/>
  <c r="J50" i="11"/>
  <c r="H57" i="11"/>
  <c r="J57" i="10"/>
  <c r="J179" i="10"/>
  <c r="H179" i="11"/>
  <c r="J100" i="10"/>
  <c r="H100" i="11"/>
  <c r="J76" i="11"/>
  <c r="H76" i="12"/>
  <c r="J117" i="10"/>
  <c r="H117" i="11"/>
  <c r="H122" i="12"/>
  <c r="J122" i="11"/>
  <c r="J90" i="11"/>
  <c r="H90" i="12"/>
  <c r="H85" i="11"/>
  <c r="J85" i="10"/>
  <c r="H167" i="43"/>
  <c r="J167" i="30"/>
  <c r="H82" i="11"/>
  <c r="J82" i="10"/>
  <c r="J31" i="11"/>
  <c r="H31" i="12"/>
  <c r="J58" i="12"/>
  <c r="H58" i="13"/>
  <c r="J65" i="10"/>
  <c r="H65" i="11"/>
  <c r="H22" i="11"/>
  <c r="J22" i="10"/>
  <c r="J118" i="11"/>
  <c r="H118" i="12"/>
  <c r="H53" i="11"/>
  <c r="J53" i="10"/>
  <c r="H99" i="9"/>
  <c r="J99" i="8"/>
  <c r="H63" i="11"/>
  <c r="J63" i="10"/>
  <c r="H120" i="10"/>
  <c r="J120" i="9"/>
  <c r="J11" i="10"/>
  <c r="H11" i="11"/>
  <c r="H104" i="10"/>
  <c r="J104" i="9"/>
  <c r="J27" i="9"/>
  <c r="H27" i="10"/>
  <c r="H92" i="10"/>
  <c r="J92" i="9"/>
  <c r="H44" i="12"/>
  <c r="J44" i="11"/>
  <c r="H180" i="10"/>
  <c r="J180" i="9"/>
  <c r="J156" i="10"/>
  <c r="H156" i="11"/>
  <c r="H62" i="10"/>
  <c r="J62" i="9"/>
  <c r="H178" i="10"/>
  <c r="J178" i="9"/>
  <c r="H89" i="11"/>
  <c r="J89" i="10"/>
  <c r="J140" i="9"/>
  <c r="H140" i="10"/>
  <c r="J98" i="8"/>
  <c r="H98" i="9"/>
  <c r="H181" i="9"/>
  <c r="J181" i="8"/>
  <c r="H146" i="10"/>
  <c r="J146" i="9"/>
  <c r="H189" i="28"/>
  <c r="J189" i="27"/>
  <c r="H97" i="10"/>
  <c r="J97" i="9"/>
  <c r="H51" i="11"/>
  <c r="J51" i="10"/>
  <c r="H88" i="11"/>
  <c r="J88" i="10"/>
  <c r="H91" i="11"/>
  <c r="J91" i="10"/>
  <c r="H116" i="12"/>
  <c r="J116" i="11"/>
  <c r="H66" i="12"/>
  <c r="J66" i="11"/>
  <c r="H69" i="10"/>
  <c r="J69" i="9"/>
  <c r="J105" i="9"/>
  <c r="H105" i="10"/>
  <c r="H75" i="12"/>
  <c r="J75" i="11"/>
  <c r="H141" i="10"/>
  <c r="J141" i="9"/>
  <c r="H176" i="11"/>
  <c r="J176" i="10"/>
  <c r="J115" i="11"/>
  <c r="H115" i="12"/>
  <c r="J64" i="10"/>
  <c r="H64" i="11"/>
  <c r="H96" i="10"/>
  <c r="J96" i="9"/>
  <c r="H114" i="11"/>
  <c r="J114" i="10"/>
  <c r="J36" i="11"/>
  <c r="H36" i="12"/>
  <c r="J163" i="9"/>
  <c r="H163" i="10"/>
  <c r="J161" i="11"/>
  <c r="H161" i="12"/>
  <c r="H41" i="11"/>
  <c r="J41" i="10"/>
  <c r="J15" i="9"/>
  <c r="I16" i="9" s="1"/>
  <c r="H15" i="10"/>
  <c r="J157" i="12"/>
  <c r="H157" i="13"/>
  <c r="H145" i="12"/>
  <c r="J145" i="11"/>
  <c r="J167" i="16"/>
  <c r="H167" i="17"/>
  <c r="J167" i="17" s="1"/>
  <c r="J131" i="11"/>
  <c r="H131" i="12"/>
  <c r="H84" i="13"/>
  <c r="J84" i="12"/>
  <c r="H10" i="11"/>
  <c r="J10" i="10"/>
  <c r="J148" i="10"/>
  <c r="H148" i="11"/>
  <c r="J30" i="11"/>
  <c r="H30" i="12"/>
  <c r="H45" i="23"/>
  <c r="J45" i="22"/>
  <c r="H168" i="16"/>
  <c r="J168" i="15"/>
  <c r="J158" i="12"/>
  <c r="H158" i="13"/>
  <c r="J183" i="12"/>
  <c r="H183" i="13"/>
  <c r="J177" i="12"/>
  <c r="H177" i="13"/>
  <c r="J127" i="11"/>
  <c r="H127" i="12"/>
  <c r="H78" i="10"/>
  <c r="J78" i="9"/>
  <c r="J113" i="10"/>
  <c r="H113" i="11"/>
  <c r="J32" i="8"/>
  <c r="H32" i="9"/>
  <c r="H67" i="10"/>
  <c r="J67" i="9"/>
  <c r="H49" i="10"/>
  <c r="J49" i="9"/>
  <c r="H40" i="10"/>
  <c r="J40" i="9"/>
  <c r="H9" i="11"/>
  <c r="J9" i="10"/>
  <c r="H186" i="10"/>
  <c r="J186" i="9"/>
  <c r="J182" i="12"/>
  <c r="H182" i="13"/>
  <c r="H173" i="13"/>
  <c r="J173" i="12"/>
  <c r="J28" i="9"/>
  <c r="H28" i="10"/>
  <c r="J60" i="7"/>
  <c r="H60" i="8"/>
  <c r="H94" i="12"/>
  <c r="J94" i="11"/>
  <c r="H112" i="13"/>
  <c r="J112" i="12"/>
  <c r="H174" i="11"/>
  <c r="J174" i="10"/>
  <c r="H142" i="11"/>
  <c r="J142" i="10"/>
  <c r="H144" i="12"/>
  <c r="J144" i="11"/>
  <c r="J59" i="9"/>
  <c r="H59" i="10"/>
  <c r="H149" i="13"/>
  <c r="J149" i="12"/>
  <c r="H188" i="25"/>
  <c r="J188" i="24"/>
  <c r="H152" i="12"/>
  <c r="J152" i="11"/>
  <c r="H23" i="11"/>
  <c r="J23" i="10"/>
  <c r="J155" i="11"/>
  <c r="H155" i="12"/>
  <c r="H47" i="9"/>
  <c r="J47" i="8"/>
  <c r="J166" i="14"/>
  <c r="H166" i="15"/>
  <c r="J135" i="8"/>
  <c r="H135" i="9"/>
  <c r="J175" i="11"/>
  <c r="H175" i="12"/>
  <c r="J13" i="11"/>
  <c r="H13" i="12"/>
  <c r="J95" i="11"/>
  <c r="H95" i="12"/>
  <c r="H184" i="13"/>
  <c r="J184" i="12"/>
  <c r="J134" i="10"/>
  <c r="H134" i="11"/>
  <c r="J12" i="10"/>
  <c r="H12" i="11"/>
  <c r="H119" i="13"/>
  <c r="J119" i="12"/>
  <c r="J166" i="29"/>
  <c r="H166" i="30"/>
  <c r="H130" i="13"/>
  <c r="J130" i="12"/>
  <c r="J187" i="10"/>
  <c r="H187" i="11"/>
  <c r="J83" i="12" l="1"/>
  <c r="H83" i="13"/>
  <c r="H46" i="12"/>
  <c r="J46" i="11"/>
  <c r="H185" i="12"/>
  <c r="J185" i="11"/>
  <c r="J168" i="30"/>
  <c r="H168" i="43"/>
  <c r="J151" i="11"/>
  <c r="H151" i="12"/>
  <c r="J18" i="12"/>
  <c r="H18" i="13"/>
  <c r="H7" i="12"/>
  <c r="J7" i="11"/>
  <c r="I9" i="11" s="1"/>
  <c r="H165" i="12"/>
  <c r="J165" i="11"/>
  <c r="J150" i="14"/>
  <c r="H150" i="15"/>
  <c r="H143" i="11"/>
  <c r="J143" i="10"/>
  <c r="J132" i="12"/>
  <c r="H132" i="13"/>
  <c r="J87" i="10"/>
  <c r="H87" i="11"/>
  <c r="H77" i="12"/>
  <c r="J77" i="11"/>
  <c r="H188" i="11"/>
  <c r="J188" i="10"/>
  <c r="H52" i="12"/>
  <c r="J52" i="11"/>
  <c r="H42" i="12"/>
  <c r="J42" i="11"/>
  <c r="H39" i="12"/>
  <c r="J39" i="11"/>
  <c r="J20" i="10"/>
  <c r="I20" i="10" s="1"/>
  <c r="H20" i="11"/>
  <c r="H189" i="10"/>
  <c r="J189" i="9"/>
  <c r="J162" i="10"/>
  <c r="H162" i="11"/>
  <c r="H138" i="12"/>
  <c r="J138" i="11"/>
  <c r="H133" i="11"/>
  <c r="J133" i="10"/>
  <c r="J128" i="12"/>
  <c r="H128" i="13"/>
  <c r="H68" i="11"/>
  <c r="J68" i="10"/>
  <c r="J71" i="9"/>
  <c r="H71" i="10"/>
  <c r="H103" i="10"/>
  <c r="J103" i="9"/>
  <c r="J56" i="11"/>
  <c r="H56" i="12"/>
  <c r="H102" i="10"/>
  <c r="J102" i="9"/>
  <c r="J55" i="11"/>
  <c r="H55" i="12"/>
  <c r="J37" i="11"/>
  <c r="H37" i="12"/>
  <c r="H24" i="11"/>
  <c r="J24" i="10"/>
  <c r="H19" i="11"/>
  <c r="J19" i="10"/>
  <c r="H8" i="11"/>
  <c r="J8" i="10"/>
  <c r="H57" i="12"/>
  <c r="J57" i="11"/>
  <c r="J147" i="11"/>
  <c r="H147" i="12"/>
  <c r="H54" i="13"/>
  <c r="J54" i="12"/>
  <c r="J35" i="12"/>
  <c r="H35" i="13"/>
  <c r="J43" i="11"/>
  <c r="H43" i="12"/>
  <c r="J121" i="11"/>
  <c r="H121" i="12"/>
  <c r="J90" i="12"/>
  <c r="H90" i="13"/>
  <c r="J76" i="12"/>
  <c r="H76" i="13"/>
  <c r="J74" i="11"/>
  <c r="H74" i="12"/>
  <c r="J129" i="12"/>
  <c r="H129" i="13"/>
  <c r="J86" i="12"/>
  <c r="H86" i="13"/>
  <c r="H38" i="12"/>
  <c r="J38" i="11"/>
  <c r="H85" i="12"/>
  <c r="J85" i="11"/>
  <c r="J122" i="12"/>
  <c r="H122" i="13"/>
  <c r="J50" i="12"/>
  <c r="H50" i="13"/>
  <c r="H70" i="14"/>
  <c r="J70" i="13"/>
  <c r="J139" i="11"/>
  <c r="H139" i="12"/>
  <c r="H29" i="13"/>
  <c r="J29" i="12"/>
  <c r="J164" i="13"/>
  <c r="H164" i="14"/>
  <c r="H117" i="12"/>
  <c r="J117" i="11"/>
  <c r="H100" i="12"/>
  <c r="J100" i="11"/>
  <c r="H179" i="12"/>
  <c r="J179" i="11"/>
  <c r="J123" i="11"/>
  <c r="H123" i="12"/>
  <c r="J101" i="11"/>
  <c r="H101" i="12"/>
  <c r="H58" i="14"/>
  <c r="J58" i="13"/>
  <c r="H22" i="12"/>
  <c r="J22" i="11"/>
  <c r="H82" i="12"/>
  <c r="J82" i="11"/>
  <c r="H65" i="12"/>
  <c r="J65" i="11"/>
  <c r="J167" i="43"/>
  <c r="H167" i="31"/>
  <c r="J167" i="31" s="1"/>
  <c r="H31" i="13"/>
  <c r="J31" i="12"/>
  <c r="H163" i="11"/>
  <c r="J163" i="10"/>
  <c r="H64" i="12"/>
  <c r="J64" i="11"/>
  <c r="H41" i="12"/>
  <c r="J41" i="11"/>
  <c r="H75" i="13"/>
  <c r="J75" i="12"/>
  <c r="H66" i="13"/>
  <c r="J66" i="12"/>
  <c r="H51" i="12"/>
  <c r="J51" i="11"/>
  <c r="J181" i="9"/>
  <c r="H181" i="10"/>
  <c r="H89" i="12"/>
  <c r="J89" i="11"/>
  <c r="H44" i="13"/>
  <c r="J44" i="12"/>
  <c r="H104" i="11"/>
  <c r="J104" i="10"/>
  <c r="J120" i="10"/>
  <c r="H120" i="11"/>
  <c r="H36" i="13"/>
  <c r="J36" i="12"/>
  <c r="J115" i="12"/>
  <c r="H115" i="13"/>
  <c r="J105" i="10"/>
  <c r="H105" i="11"/>
  <c r="H98" i="10"/>
  <c r="J98" i="9"/>
  <c r="J156" i="11"/>
  <c r="H156" i="12"/>
  <c r="J116" i="12"/>
  <c r="H116" i="13"/>
  <c r="J97" i="10"/>
  <c r="H97" i="11"/>
  <c r="J178" i="10"/>
  <c r="H178" i="11"/>
  <c r="H92" i="11"/>
  <c r="J92" i="10"/>
  <c r="H63" i="12"/>
  <c r="J63" i="11"/>
  <c r="H140" i="11"/>
  <c r="J140" i="10"/>
  <c r="J27" i="10"/>
  <c r="H27" i="11"/>
  <c r="J11" i="11"/>
  <c r="H11" i="12"/>
  <c r="J114" i="11"/>
  <c r="H114" i="12"/>
  <c r="J176" i="11"/>
  <c r="H176" i="12"/>
  <c r="H69" i="11"/>
  <c r="J69" i="10"/>
  <c r="H91" i="12"/>
  <c r="J91" i="11"/>
  <c r="J189" i="28"/>
  <c r="H189" i="29"/>
  <c r="H62" i="11"/>
  <c r="J62" i="10"/>
  <c r="J180" i="10"/>
  <c r="H180" i="11"/>
  <c r="H99" i="10"/>
  <c r="J99" i="9"/>
  <c r="H53" i="12"/>
  <c r="J53" i="11"/>
  <c r="J161" i="12"/>
  <c r="H161" i="13"/>
  <c r="H118" i="13"/>
  <c r="J118" i="12"/>
  <c r="J96" i="10"/>
  <c r="H96" i="11"/>
  <c r="H141" i="11"/>
  <c r="J141" i="10"/>
  <c r="H88" i="12"/>
  <c r="J88" i="11"/>
  <c r="J146" i="10"/>
  <c r="H146" i="11"/>
  <c r="J47" i="9"/>
  <c r="H47" i="10"/>
  <c r="H142" i="12"/>
  <c r="J142" i="11"/>
  <c r="H94" i="13"/>
  <c r="J94" i="12"/>
  <c r="H49" i="11"/>
  <c r="J49" i="10"/>
  <c r="J187" i="11"/>
  <c r="H187" i="12"/>
  <c r="J175" i="12"/>
  <c r="H175" i="13"/>
  <c r="J155" i="12"/>
  <c r="H155" i="13"/>
  <c r="J158" i="13"/>
  <c r="H158" i="14"/>
  <c r="H131" i="13"/>
  <c r="J131" i="12"/>
  <c r="H184" i="14"/>
  <c r="J184" i="13"/>
  <c r="J152" i="12"/>
  <c r="H152" i="13"/>
  <c r="H67" i="11"/>
  <c r="J67" i="10"/>
  <c r="H78" i="11"/>
  <c r="J78" i="10"/>
  <c r="J134" i="11"/>
  <c r="H134" i="12"/>
  <c r="J59" i="10"/>
  <c r="H59" i="11"/>
  <c r="J28" i="10"/>
  <c r="H28" i="11"/>
  <c r="J32" i="9"/>
  <c r="H32" i="10"/>
  <c r="H148" i="12"/>
  <c r="J148" i="11"/>
  <c r="H130" i="14"/>
  <c r="J130" i="13"/>
  <c r="H40" i="11"/>
  <c r="J40" i="10"/>
  <c r="J166" i="30"/>
  <c r="H166" i="43"/>
  <c r="J173" i="13"/>
  <c r="H173" i="14"/>
  <c r="H10" i="12"/>
  <c r="J10" i="11"/>
  <c r="J174" i="11"/>
  <c r="H174" i="12"/>
  <c r="H84" i="14"/>
  <c r="J84" i="13"/>
  <c r="H12" i="12"/>
  <c r="J12" i="11"/>
  <c r="J95" i="12"/>
  <c r="H95" i="13"/>
  <c r="J135" i="9"/>
  <c r="H135" i="10"/>
  <c r="H113" i="12"/>
  <c r="J113" i="11"/>
  <c r="H157" i="14"/>
  <c r="J157" i="13"/>
  <c r="H23" i="12"/>
  <c r="J23" i="11"/>
  <c r="J188" i="25"/>
  <c r="H188" i="40"/>
  <c r="H186" i="11"/>
  <c r="J186" i="10"/>
  <c r="J13" i="12"/>
  <c r="H13" i="13"/>
  <c r="H182" i="14"/>
  <c r="J182" i="13"/>
  <c r="J127" i="12"/>
  <c r="H127" i="13"/>
  <c r="H183" i="14"/>
  <c r="J183" i="13"/>
  <c r="H15" i="11"/>
  <c r="J15" i="10"/>
  <c r="I16" i="10" s="1"/>
  <c r="J9" i="11"/>
  <c r="H9" i="12"/>
  <c r="H45" i="24"/>
  <c r="J45" i="23"/>
  <c r="H144" i="13"/>
  <c r="J144" i="12"/>
  <c r="H168" i="17"/>
  <c r="J168" i="17" s="1"/>
  <c r="J168" i="16"/>
  <c r="H145" i="13"/>
  <c r="J145" i="12"/>
  <c r="J166" i="15"/>
  <c r="H166" i="16"/>
  <c r="H60" i="9"/>
  <c r="J60" i="8"/>
  <c r="H177" i="14"/>
  <c r="J177" i="13"/>
  <c r="J30" i="12"/>
  <c r="H30" i="13"/>
  <c r="J119" i="13"/>
  <c r="H119" i="14"/>
  <c r="J149" i="13"/>
  <c r="H149" i="14"/>
  <c r="J112" i="13"/>
  <c r="H112" i="14"/>
  <c r="H46" i="13" l="1"/>
  <c r="J46" i="12"/>
  <c r="H83" i="14"/>
  <c r="J83" i="13"/>
  <c r="H168" i="31"/>
  <c r="J168" i="31" s="1"/>
  <c r="J168" i="43"/>
  <c r="H185" i="13"/>
  <c r="J185" i="12"/>
  <c r="H151" i="13"/>
  <c r="J151" i="12"/>
  <c r="H18" i="14"/>
  <c r="J18" i="13"/>
  <c r="J7" i="12"/>
  <c r="I9" i="12" s="1"/>
  <c r="H7" i="13"/>
  <c r="J165" i="12"/>
  <c r="H165" i="13"/>
  <c r="H150" i="16"/>
  <c r="J150" i="15"/>
  <c r="J143" i="11"/>
  <c r="H143" i="12"/>
  <c r="H132" i="14"/>
  <c r="J132" i="13"/>
  <c r="J87" i="11"/>
  <c r="H87" i="12"/>
  <c r="J77" i="12"/>
  <c r="H77" i="13"/>
  <c r="J188" i="11"/>
  <c r="H188" i="12"/>
  <c r="H52" i="13"/>
  <c r="J52" i="12"/>
  <c r="J42" i="12"/>
  <c r="H42" i="13"/>
  <c r="H39" i="13"/>
  <c r="J39" i="12"/>
  <c r="J20" i="11"/>
  <c r="I20" i="11" s="1"/>
  <c r="H20" i="12"/>
  <c r="H189" i="11"/>
  <c r="J189" i="10"/>
  <c r="J162" i="11"/>
  <c r="H162" i="12"/>
  <c r="J138" i="12"/>
  <c r="H138" i="13"/>
  <c r="J133" i="11"/>
  <c r="H133" i="12"/>
  <c r="J128" i="13"/>
  <c r="H128" i="14"/>
  <c r="J68" i="11"/>
  <c r="H68" i="12"/>
  <c r="H71" i="11"/>
  <c r="J71" i="10"/>
  <c r="J102" i="10"/>
  <c r="H102" i="11"/>
  <c r="H103" i="11"/>
  <c r="J103" i="10"/>
  <c r="J55" i="12"/>
  <c r="H55" i="13"/>
  <c r="H56" i="13"/>
  <c r="J56" i="12"/>
  <c r="H37" i="13"/>
  <c r="J37" i="12"/>
  <c r="H24" i="12"/>
  <c r="J24" i="11"/>
  <c r="H19" i="12"/>
  <c r="J19" i="11"/>
  <c r="H8" i="12"/>
  <c r="J8" i="11"/>
  <c r="H179" i="13"/>
  <c r="J179" i="12"/>
  <c r="J117" i="12"/>
  <c r="H117" i="13"/>
  <c r="H29" i="14"/>
  <c r="J29" i="13"/>
  <c r="H85" i="13"/>
  <c r="J85" i="12"/>
  <c r="J54" i="13"/>
  <c r="H54" i="14"/>
  <c r="J57" i="12"/>
  <c r="H57" i="13"/>
  <c r="J50" i="13"/>
  <c r="H50" i="14"/>
  <c r="J86" i="13"/>
  <c r="H86" i="14"/>
  <c r="J74" i="12"/>
  <c r="H74" i="13"/>
  <c r="J90" i="13"/>
  <c r="H90" i="14"/>
  <c r="J43" i="12"/>
  <c r="H43" i="13"/>
  <c r="J100" i="12"/>
  <c r="H100" i="13"/>
  <c r="J70" i="14"/>
  <c r="H70" i="15"/>
  <c r="J38" i="12"/>
  <c r="H38" i="13"/>
  <c r="J101" i="12"/>
  <c r="H101" i="13"/>
  <c r="H123" i="13"/>
  <c r="J123" i="12"/>
  <c r="H164" i="15"/>
  <c r="J164" i="14"/>
  <c r="J139" i="12"/>
  <c r="H139" i="13"/>
  <c r="H122" i="14"/>
  <c r="J122" i="13"/>
  <c r="J129" i="13"/>
  <c r="H129" i="14"/>
  <c r="J76" i="13"/>
  <c r="H76" i="14"/>
  <c r="J121" i="12"/>
  <c r="H121" i="13"/>
  <c r="J35" i="13"/>
  <c r="H35" i="14"/>
  <c r="H147" i="13"/>
  <c r="J147" i="12"/>
  <c r="J22" i="12"/>
  <c r="H22" i="13"/>
  <c r="H31" i="14"/>
  <c r="J31" i="13"/>
  <c r="H65" i="13"/>
  <c r="J65" i="12"/>
  <c r="H58" i="15"/>
  <c r="J58" i="14"/>
  <c r="H82" i="13"/>
  <c r="J82" i="12"/>
  <c r="H41" i="13"/>
  <c r="J41" i="12"/>
  <c r="J146" i="11"/>
  <c r="H146" i="12"/>
  <c r="J96" i="11"/>
  <c r="H96" i="12"/>
  <c r="J161" i="13"/>
  <c r="H161" i="14"/>
  <c r="H176" i="13"/>
  <c r="J176" i="12"/>
  <c r="J27" i="11"/>
  <c r="H27" i="12"/>
  <c r="J105" i="11"/>
  <c r="H105" i="12"/>
  <c r="H98" i="11"/>
  <c r="J98" i="10"/>
  <c r="H163" i="12"/>
  <c r="J163" i="11"/>
  <c r="J62" i="11"/>
  <c r="H62" i="12"/>
  <c r="H92" i="12"/>
  <c r="J92" i="11"/>
  <c r="H104" i="12"/>
  <c r="J104" i="11"/>
  <c r="J51" i="12"/>
  <c r="H51" i="13"/>
  <c r="J141" i="11"/>
  <c r="H141" i="12"/>
  <c r="H189" i="30"/>
  <c r="J189" i="29"/>
  <c r="J114" i="12"/>
  <c r="H114" i="13"/>
  <c r="H178" i="12"/>
  <c r="J178" i="11"/>
  <c r="J115" i="13"/>
  <c r="H115" i="14"/>
  <c r="J53" i="12"/>
  <c r="H53" i="13"/>
  <c r="H140" i="12"/>
  <c r="J140" i="11"/>
  <c r="H66" i="14"/>
  <c r="J66" i="13"/>
  <c r="J97" i="11"/>
  <c r="H97" i="12"/>
  <c r="J156" i="12"/>
  <c r="H156" i="13"/>
  <c r="J88" i="12"/>
  <c r="H88" i="13"/>
  <c r="J99" i="10"/>
  <c r="H99" i="11"/>
  <c r="J91" i="12"/>
  <c r="H91" i="13"/>
  <c r="H63" i="13"/>
  <c r="J63" i="12"/>
  <c r="H36" i="14"/>
  <c r="J36" i="13"/>
  <c r="J89" i="12"/>
  <c r="H89" i="13"/>
  <c r="H75" i="14"/>
  <c r="J75" i="13"/>
  <c r="H64" i="13"/>
  <c r="J64" i="12"/>
  <c r="J118" i="13"/>
  <c r="H118" i="14"/>
  <c r="H44" i="14"/>
  <c r="J44" i="13"/>
  <c r="J180" i="11"/>
  <c r="H180" i="12"/>
  <c r="H11" i="13"/>
  <c r="J11" i="12"/>
  <c r="H116" i="14"/>
  <c r="J116" i="13"/>
  <c r="H120" i="12"/>
  <c r="J120" i="11"/>
  <c r="J181" i="10"/>
  <c r="H181" i="11"/>
  <c r="H69" i="12"/>
  <c r="J69" i="11"/>
  <c r="H40" i="12"/>
  <c r="J40" i="11"/>
  <c r="H94" i="14"/>
  <c r="J94" i="13"/>
  <c r="J30" i="13"/>
  <c r="H30" i="14"/>
  <c r="J182" i="14"/>
  <c r="H182" i="15"/>
  <c r="J173" i="14"/>
  <c r="H173" i="15"/>
  <c r="J59" i="11"/>
  <c r="H59" i="12"/>
  <c r="H112" i="15"/>
  <c r="J112" i="14"/>
  <c r="H45" i="25"/>
  <c r="J45" i="24"/>
  <c r="H183" i="15"/>
  <c r="J183" i="14"/>
  <c r="H188" i="27"/>
  <c r="J188" i="40"/>
  <c r="J95" i="13"/>
  <c r="H95" i="14"/>
  <c r="H166" i="31"/>
  <c r="J166" i="31" s="1"/>
  <c r="J166" i="43"/>
  <c r="J32" i="10"/>
  <c r="H32" i="11"/>
  <c r="J152" i="13"/>
  <c r="H152" i="14"/>
  <c r="J127" i="13"/>
  <c r="H127" i="14"/>
  <c r="J149" i="14"/>
  <c r="H149" i="15"/>
  <c r="J145" i="13"/>
  <c r="H145" i="14"/>
  <c r="J187" i="12"/>
  <c r="H187" i="13"/>
  <c r="J47" i="10"/>
  <c r="H47" i="11"/>
  <c r="J60" i="9"/>
  <c r="H60" i="10"/>
  <c r="J9" i="12"/>
  <c r="H9" i="13"/>
  <c r="H186" i="12"/>
  <c r="J186" i="11"/>
  <c r="H23" i="13"/>
  <c r="J23" i="12"/>
  <c r="H113" i="13"/>
  <c r="J113" i="12"/>
  <c r="J12" i="12"/>
  <c r="H12" i="13"/>
  <c r="H10" i="13"/>
  <c r="J10" i="12"/>
  <c r="H78" i="12"/>
  <c r="J78" i="11"/>
  <c r="H184" i="15"/>
  <c r="J184" i="14"/>
  <c r="H49" i="12"/>
  <c r="J49" i="11"/>
  <c r="J177" i="14"/>
  <c r="H177" i="15"/>
  <c r="H130" i="15"/>
  <c r="J130" i="14"/>
  <c r="H67" i="12"/>
  <c r="J67" i="11"/>
  <c r="J144" i="13"/>
  <c r="H144" i="14"/>
  <c r="H155" i="14"/>
  <c r="J155" i="13"/>
  <c r="H119" i="15"/>
  <c r="J119" i="14"/>
  <c r="H166" i="17"/>
  <c r="J166" i="17" s="1"/>
  <c r="J166" i="16"/>
  <c r="H174" i="13"/>
  <c r="J174" i="12"/>
  <c r="H28" i="12"/>
  <c r="J28" i="11"/>
  <c r="J134" i="12"/>
  <c r="H134" i="13"/>
  <c r="J175" i="13"/>
  <c r="H175" i="14"/>
  <c r="J148" i="12"/>
  <c r="H148" i="13"/>
  <c r="H131" i="14"/>
  <c r="J131" i="13"/>
  <c r="H15" i="12"/>
  <c r="J15" i="11"/>
  <c r="I16" i="11" s="1"/>
  <c r="J135" i="10"/>
  <c r="H135" i="11"/>
  <c r="J158" i="14"/>
  <c r="H158" i="15"/>
  <c r="H13" i="14"/>
  <c r="J13" i="13"/>
  <c r="J157" i="14"/>
  <c r="H157" i="15"/>
  <c r="H84" i="15"/>
  <c r="J84" i="14"/>
  <c r="J142" i="12"/>
  <c r="H142" i="13"/>
  <c r="H83" i="15" l="1"/>
  <c r="J83" i="14"/>
  <c r="H46" i="14"/>
  <c r="J46" i="13"/>
  <c r="H185" i="14"/>
  <c r="J185" i="13"/>
  <c r="H151" i="14"/>
  <c r="J151" i="13"/>
  <c r="H18" i="15"/>
  <c r="J18" i="14"/>
  <c r="H7" i="14"/>
  <c r="J7" i="13"/>
  <c r="I9" i="13" s="1"/>
  <c r="J165" i="13"/>
  <c r="H165" i="14"/>
  <c r="J150" i="16"/>
  <c r="H150" i="17"/>
  <c r="H143" i="13"/>
  <c r="J143" i="12"/>
  <c r="J132" i="14"/>
  <c r="H132" i="15"/>
  <c r="H87" i="13"/>
  <c r="J87" i="12"/>
  <c r="H77" i="14"/>
  <c r="J77" i="13"/>
  <c r="J188" i="12"/>
  <c r="H188" i="13"/>
  <c r="H52" i="14"/>
  <c r="J52" i="13"/>
  <c r="H42" i="14"/>
  <c r="J42" i="13"/>
  <c r="J39" i="13"/>
  <c r="H39" i="14"/>
  <c r="H20" i="13"/>
  <c r="J20" i="12"/>
  <c r="I20" i="12" s="1"/>
  <c r="J189" i="11"/>
  <c r="H189" i="12"/>
  <c r="J162" i="12"/>
  <c r="H162" i="13"/>
  <c r="J138" i="13"/>
  <c r="H138" i="14"/>
  <c r="H133" i="13"/>
  <c r="J133" i="12"/>
  <c r="H128" i="15"/>
  <c r="J128" i="14"/>
  <c r="J68" i="12"/>
  <c r="H68" i="13"/>
  <c r="J71" i="11"/>
  <c r="H71" i="12"/>
  <c r="J55" i="13"/>
  <c r="H55" i="14"/>
  <c r="H102" i="12"/>
  <c r="J102" i="11"/>
  <c r="J56" i="13"/>
  <c r="H56" i="14"/>
  <c r="H103" i="12"/>
  <c r="J103" i="11"/>
  <c r="J37" i="13"/>
  <c r="H37" i="14"/>
  <c r="H24" i="13"/>
  <c r="J24" i="12"/>
  <c r="H19" i="13"/>
  <c r="J19" i="12"/>
  <c r="J8" i="12"/>
  <c r="H8" i="13"/>
  <c r="J147" i="13"/>
  <c r="H147" i="14"/>
  <c r="J123" i="13"/>
  <c r="H123" i="14"/>
  <c r="H29" i="15"/>
  <c r="J29" i="14"/>
  <c r="J179" i="13"/>
  <c r="H179" i="14"/>
  <c r="J121" i="13"/>
  <c r="H121" i="14"/>
  <c r="J129" i="14"/>
  <c r="H129" i="15"/>
  <c r="J139" i="13"/>
  <c r="H139" i="14"/>
  <c r="H38" i="14"/>
  <c r="J38" i="13"/>
  <c r="H100" i="14"/>
  <c r="J100" i="13"/>
  <c r="J43" i="13"/>
  <c r="H43" i="14"/>
  <c r="J74" i="13"/>
  <c r="H74" i="14"/>
  <c r="J50" i="14"/>
  <c r="H50" i="15"/>
  <c r="J54" i="14"/>
  <c r="H54" i="15"/>
  <c r="J122" i="14"/>
  <c r="H122" i="15"/>
  <c r="J164" i="15"/>
  <c r="H164" i="16"/>
  <c r="H85" i="14"/>
  <c r="J85" i="13"/>
  <c r="H35" i="15"/>
  <c r="J35" i="14"/>
  <c r="J76" i="14"/>
  <c r="H76" i="15"/>
  <c r="H101" i="14"/>
  <c r="J101" i="13"/>
  <c r="J70" i="15"/>
  <c r="H70" i="16"/>
  <c r="H90" i="15"/>
  <c r="J90" i="14"/>
  <c r="J86" i="14"/>
  <c r="H86" i="15"/>
  <c r="J57" i="13"/>
  <c r="H57" i="14"/>
  <c r="H117" i="14"/>
  <c r="J117" i="13"/>
  <c r="H58" i="16"/>
  <c r="J58" i="15"/>
  <c r="J82" i="13"/>
  <c r="H82" i="14"/>
  <c r="J65" i="13"/>
  <c r="H65" i="14"/>
  <c r="H22" i="14"/>
  <c r="J22" i="13"/>
  <c r="J31" i="14"/>
  <c r="H31" i="15"/>
  <c r="J189" i="30"/>
  <c r="H189" i="43"/>
  <c r="H88" i="14"/>
  <c r="J88" i="13"/>
  <c r="H115" i="15"/>
  <c r="J115" i="14"/>
  <c r="H141" i="13"/>
  <c r="J141" i="12"/>
  <c r="H105" i="13"/>
  <c r="J105" i="12"/>
  <c r="J96" i="12"/>
  <c r="H96" i="13"/>
  <c r="J69" i="12"/>
  <c r="H69" i="13"/>
  <c r="J11" i="13"/>
  <c r="H11" i="14"/>
  <c r="J64" i="13"/>
  <c r="H64" i="14"/>
  <c r="J63" i="13"/>
  <c r="H63" i="14"/>
  <c r="J66" i="14"/>
  <c r="H66" i="15"/>
  <c r="J163" i="12"/>
  <c r="H163" i="13"/>
  <c r="H116" i="15"/>
  <c r="J116" i="14"/>
  <c r="H36" i="15"/>
  <c r="J36" i="14"/>
  <c r="H181" i="12"/>
  <c r="J181" i="11"/>
  <c r="H180" i="13"/>
  <c r="J180" i="12"/>
  <c r="H91" i="14"/>
  <c r="J91" i="13"/>
  <c r="J156" i="13"/>
  <c r="H156" i="14"/>
  <c r="H27" i="13"/>
  <c r="J27" i="12"/>
  <c r="H146" i="13"/>
  <c r="J146" i="12"/>
  <c r="H140" i="13"/>
  <c r="J140" i="12"/>
  <c r="H178" i="13"/>
  <c r="J178" i="12"/>
  <c r="H92" i="13"/>
  <c r="J92" i="12"/>
  <c r="J98" i="11"/>
  <c r="H98" i="12"/>
  <c r="H89" i="14"/>
  <c r="J89" i="13"/>
  <c r="J99" i="11"/>
  <c r="H99" i="12"/>
  <c r="J97" i="12"/>
  <c r="H97" i="13"/>
  <c r="H53" i="14"/>
  <c r="J53" i="13"/>
  <c r="H114" i="14"/>
  <c r="J114" i="13"/>
  <c r="H51" i="14"/>
  <c r="J51" i="13"/>
  <c r="H62" i="13"/>
  <c r="J62" i="12"/>
  <c r="H75" i="15"/>
  <c r="J75" i="14"/>
  <c r="H120" i="13"/>
  <c r="J120" i="12"/>
  <c r="H44" i="15"/>
  <c r="J44" i="14"/>
  <c r="H176" i="14"/>
  <c r="J176" i="13"/>
  <c r="H41" i="14"/>
  <c r="J41" i="13"/>
  <c r="J118" i="14"/>
  <c r="H118" i="15"/>
  <c r="H161" i="15"/>
  <c r="J161" i="14"/>
  <c r="H104" i="13"/>
  <c r="J104" i="12"/>
  <c r="J127" i="14"/>
  <c r="H127" i="15"/>
  <c r="H152" i="15"/>
  <c r="J152" i="14"/>
  <c r="J59" i="12"/>
  <c r="H59" i="13"/>
  <c r="J157" i="15"/>
  <c r="H157" i="16"/>
  <c r="J13" i="14"/>
  <c r="H13" i="15"/>
  <c r="H10" i="14"/>
  <c r="J10" i="13"/>
  <c r="H23" i="14"/>
  <c r="J23" i="13"/>
  <c r="H183" i="16"/>
  <c r="J183" i="15"/>
  <c r="J148" i="13"/>
  <c r="H148" i="14"/>
  <c r="J134" i="13"/>
  <c r="H134" i="14"/>
  <c r="H144" i="15"/>
  <c r="J144" i="14"/>
  <c r="H177" i="16"/>
  <c r="J177" i="15"/>
  <c r="J60" i="10"/>
  <c r="H60" i="11"/>
  <c r="J95" i="14"/>
  <c r="H95" i="15"/>
  <c r="H173" i="16"/>
  <c r="J173" i="15"/>
  <c r="J30" i="14"/>
  <c r="H30" i="15"/>
  <c r="H119" i="16"/>
  <c r="J119" i="15"/>
  <c r="H78" i="13"/>
  <c r="J78" i="12"/>
  <c r="H186" i="13"/>
  <c r="J186" i="12"/>
  <c r="H45" i="40"/>
  <c r="J45" i="25"/>
  <c r="H112" i="16"/>
  <c r="J112" i="15"/>
  <c r="H40" i="13"/>
  <c r="J40" i="12"/>
  <c r="H135" i="18"/>
  <c r="H135" i="17"/>
  <c r="H135" i="19"/>
  <c r="J135" i="11"/>
  <c r="H135" i="24"/>
  <c r="H135" i="16"/>
  <c r="H135" i="13"/>
  <c r="H135" i="23"/>
  <c r="H135" i="12"/>
  <c r="J135" i="12" s="1"/>
  <c r="H135" i="22"/>
  <c r="H135" i="20"/>
  <c r="J12" i="13"/>
  <c r="H12" i="14"/>
  <c r="J47" i="11"/>
  <c r="H47" i="12"/>
  <c r="H145" i="15"/>
  <c r="J145" i="14"/>
  <c r="J32" i="11"/>
  <c r="H32" i="12"/>
  <c r="H182" i="16"/>
  <c r="J182" i="15"/>
  <c r="J131" i="14"/>
  <c r="H131" i="15"/>
  <c r="J28" i="12"/>
  <c r="H28" i="13"/>
  <c r="H155" i="15"/>
  <c r="J155" i="14"/>
  <c r="H130" i="16"/>
  <c r="J130" i="15"/>
  <c r="H49" i="13"/>
  <c r="J49" i="12"/>
  <c r="H94" i="15"/>
  <c r="J94" i="14"/>
  <c r="H142" i="14"/>
  <c r="J142" i="13"/>
  <c r="J158" i="15"/>
  <c r="H158" i="16"/>
  <c r="H175" i="15"/>
  <c r="J175" i="14"/>
  <c r="H9" i="14"/>
  <c r="J9" i="13"/>
  <c r="J187" i="13"/>
  <c r="H187" i="14"/>
  <c r="H149" i="16"/>
  <c r="J149" i="15"/>
  <c r="H84" i="16"/>
  <c r="J84" i="15"/>
  <c r="H15" i="13"/>
  <c r="J15" i="12"/>
  <c r="I16" i="12" s="1"/>
  <c r="H174" i="14"/>
  <c r="J174" i="13"/>
  <c r="H67" i="13"/>
  <c r="J67" i="12"/>
  <c r="H184" i="16"/>
  <c r="J184" i="15"/>
  <c r="H113" i="14"/>
  <c r="J113" i="13"/>
  <c r="J188" i="27"/>
  <c r="H188" i="28"/>
  <c r="H46" i="15" l="1"/>
  <c r="J46" i="14"/>
  <c r="H83" i="16"/>
  <c r="J83" i="15"/>
  <c r="J185" i="14"/>
  <c r="H185" i="15"/>
  <c r="J151" i="14"/>
  <c r="H151" i="15"/>
  <c r="J18" i="15"/>
  <c r="H18" i="16"/>
  <c r="H7" i="15"/>
  <c r="J7" i="14"/>
  <c r="I9" i="14" s="1"/>
  <c r="J165" i="14"/>
  <c r="H165" i="15"/>
  <c r="J150" i="17"/>
  <c r="H150" i="18"/>
  <c r="H143" i="14"/>
  <c r="J143" i="13"/>
  <c r="H132" i="16"/>
  <c r="J132" i="15"/>
  <c r="J87" i="13"/>
  <c r="H87" i="14"/>
  <c r="H77" i="15"/>
  <c r="J77" i="14"/>
  <c r="H188" i="14"/>
  <c r="J188" i="14" s="1"/>
  <c r="J188" i="13"/>
  <c r="J52" i="14"/>
  <c r="H52" i="15"/>
  <c r="J42" i="14"/>
  <c r="H42" i="15"/>
  <c r="J39" i="14"/>
  <c r="H39" i="15"/>
  <c r="H20" i="14"/>
  <c r="J20" i="13"/>
  <c r="I20" i="13" s="1"/>
  <c r="J189" i="12"/>
  <c r="H189" i="13"/>
  <c r="J162" i="13"/>
  <c r="H162" i="14"/>
  <c r="H138" i="15"/>
  <c r="J138" i="14"/>
  <c r="H133" i="14"/>
  <c r="J133" i="13"/>
  <c r="J128" i="15"/>
  <c r="H128" i="16"/>
  <c r="J68" i="13"/>
  <c r="H68" i="14"/>
  <c r="H71" i="13"/>
  <c r="J71" i="12"/>
  <c r="J56" i="14"/>
  <c r="H56" i="15"/>
  <c r="J55" i="14"/>
  <c r="H55" i="15"/>
  <c r="H103" i="13"/>
  <c r="J103" i="12"/>
  <c r="J102" i="12"/>
  <c r="H102" i="13"/>
  <c r="J37" i="14"/>
  <c r="H37" i="15"/>
  <c r="H24" i="14"/>
  <c r="J24" i="13"/>
  <c r="J19" i="13"/>
  <c r="H19" i="14"/>
  <c r="H8" i="14"/>
  <c r="J8" i="13"/>
  <c r="H100" i="15"/>
  <c r="J100" i="14"/>
  <c r="H29" i="16"/>
  <c r="J29" i="15"/>
  <c r="J57" i="14"/>
  <c r="H57" i="15"/>
  <c r="J86" i="15"/>
  <c r="H86" i="16"/>
  <c r="J70" i="16"/>
  <c r="H70" i="17"/>
  <c r="J76" i="15"/>
  <c r="H76" i="16"/>
  <c r="J122" i="15"/>
  <c r="H122" i="16"/>
  <c r="J74" i="14"/>
  <c r="H74" i="15"/>
  <c r="J139" i="14"/>
  <c r="H139" i="15"/>
  <c r="H121" i="15"/>
  <c r="J121" i="14"/>
  <c r="H147" i="15"/>
  <c r="J147" i="14"/>
  <c r="H117" i="15"/>
  <c r="J117" i="14"/>
  <c r="J90" i="15"/>
  <c r="H90" i="16"/>
  <c r="H101" i="15"/>
  <c r="J101" i="14"/>
  <c r="J35" i="15"/>
  <c r="H35" i="16"/>
  <c r="J85" i="14"/>
  <c r="H85" i="15"/>
  <c r="H38" i="15"/>
  <c r="J38" i="14"/>
  <c r="H164" i="17"/>
  <c r="J164" i="16"/>
  <c r="H54" i="16"/>
  <c r="J54" i="15"/>
  <c r="H50" i="16"/>
  <c r="J50" i="15"/>
  <c r="H43" i="15"/>
  <c r="J43" i="14"/>
  <c r="J129" i="15"/>
  <c r="H129" i="16"/>
  <c r="J179" i="14"/>
  <c r="H179" i="15"/>
  <c r="J123" i="14"/>
  <c r="H123" i="15"/>
  <c r="J22" i="14"/>
  <c r="H22" i="15"/>
  <c r="H65" i="15"/>
  <c r="J65" i="14"/>
  <c r="H58" i="17"/>
  <c r="J58" i="16"/>
  <c r="H31" i="16"/>
  <c r="J31" i="15"/>
  <c r="J82" i="14"/>
  <c r="H82" i="15"/>
  <c r="H44" i="16"/>
  <c r="J44" i="15"/>
  <c r="H180" i="14"/>
  <c r="J180" i="13"/>
  <c r="J116" i="15"/>
  <c r="H116" i="16"/>
  <c r="J99" i="12"/>
  <c r="H99" i="13"/>
  <c r="H163" i="14"/>
  <c r="J163" i="13"/>
  <c r="H11" i="15"/>
  <c r="J11" i="14"/>
  <c r="J92" i="13"/>
  <c r="H92" i="14"/>
  <c r="J104" i="13"/>
  <c r="H104" i="14"/>
  <c r="H41" i="15"/>
  <c r="J41" i="14"/>
  <c r="H120" i="14"/>
  <c r="J120" i="13"/>
  <c r="H114" i="15"/>
  <c r="J114" i="14"/>
  <c r="H178" i="14"/>
  <c r="J178" i="13"/>
  <c r="J27" i="13"/>
  <c r="H27" i="14"/>
  <c r="H181" i="13"/>
  <c r="J181" i="12"/>
  <c r="H141" i="14"/>
  <c r="J141" i="13"/>
  <c r="H51" i="15"/>
  <c r="J51" i="14"/>
  <c r="H156" i="15"/>
  <c r="J156" i="14"/>
  <c r="H66" i="16"/>
  <c r="J66" i="15"/>
  <c r="H69" i="14"/>
  <c r="J69" i="13"/>
  <c r="J96" i="13"/>
  <c r="H96" i="14"/>
  <c r="H176" i="15"/>
  <c r="J176" i="14"/>
  <c r="H75" i="16"/>
  <c r="J75" i="15"/>
  <c r="J140" i="13"/>
  <c r="H140" i="14"/>
  <c r="H115" i="16"/>
  <c r="J115" i="15"/>
  <c r="H118" i="16"/>
  <c r="J118" i="15"/>
  <c r="J97" i="13"/>
  <c r="H97" i="14"/>
  <c r="H98" i="13"/>
  <c r="J98" i="12"/>
  <c r="H63" i="15"/>
  <c r="J63" i="14"/>
  <c r="H133" i="50"/>
  <c r="J133" i="50" s="1"/>
  <c r="J189" i="43"/>
  <c r="H189" i="31"/>
  <c r="J189" i="31" s="1"/>
  <c r="H161" i="16"/>
  <c r="J161" i="15"/>
  <c r="H89" i="15"/>
  <c r="J89" i="14"/>
  <c r="J62" i="13"/>
  <c r="H62" i="14"/>
  <c r="H91" i="15"/>
  <c r="J91" i="14"/>
  <c r="H36" i="16"/>
  <c r="J36" i="15"/>
  <c r="H105" i="14"/>
  <c r="J105" i="13"/>
  <c r="H88" i="15"/>
  <c r="J88" i="14"/>
  <c r="J53" i="14"/>
  <c r="H53" i="15"/>
  <c r="H64" i="15"/>
  <c r="J64" i="14"/>
  <c r="H146" i="14"/>
  <c r="J146" i="13"/>
  <c r="H135" i="27"/>
  <c r="H135" i="31"/>
  <c r="H135" i="28"/>
  <c r="H135" i="43"/>
  <c r="H135" i="30"/>
  <c r="H135" i="29"/>
  <c r="J135" i="29" s="1"/>
  <c r="H135" i="40"/>
  <c r="H135" i="25"/>
  <c r="H23" i="15"/>
  <c r="J23" i="14"/>
  <c r="H113" i="15"/>
  <c r="J113" i="14"/>
  <c r="H67" i="14"/>
  <c r="J67" i="13"/>
  <c r="H142" i="15"/>
  <c r="J142" i="14"/>
  <c r="J155" i="15"/>
  <c r="H155" i="16"/>
  <c r="J60" i="11"/>
  <c r="H60" i="12"/>
  <c r="J148" i="14"/>
  <c r="H148" i="15"/>
  <c r="J13" i="15"/>
  <c r="H13" i="16"/>
  <c r="J59" i="13"/>
  <c r="H59" i="14"/>
  <c r="H131" i="16"/>
  <c r="J131" i="15"/>
  <c r="H188" i="29"/>
  <c r="J188" i="28"/>
  <c r="H12" i="15"/>
  <c r="J12" i="14"/>
  <c r="H112" i="17"/>
  <c r="J112" i="16"/>
  <c r="H10" i="15"/>
  <c r="J10" i="14"/>
  <c r="H47" i="13"/>
  <c r="J47" i="12"/>
  <c r="H40" i="14"/>
  <c r="J40" i="13"/>
  <c r="H119" i="17"/>
  <c r="J119" i="16"/>
  <c r="J183" i="16"/>
  <c r="H183" i="17"/>
  <c r="H149" i="17"/>
  <c r="J149" i="16"/>
  <c r="H175" i="16"/>
  <c r="J175" i="15"/>
  <c r="H49" i="14"/>
  <c r="J49" i="13"/>
  <c r="H182" i="17"/>
  <c r="J182" i="16"/>
  <c r="H30" i="16"/>
  <c r="J30" i="15"/>
  <c r="J158" i="16"/>
  <c r="H158" i="17"/>
  <c r="J15" i="13"/>
  <c r="I16" i="13" s="1"/>
  <c r="H15" i="14"/>
  <c r="H94" i="16"/>
  <c r="J94" i="15"/>
  <c r="H130" i="17"/>
  <c r="J130" i="16"/>
  <c r="H127" i="16"/>
  <c r="J127" i="15"/>
  <c r="J187" i="14"/>
  <c r="H187" i="15"/>
  <c r="H45" i="27"/>
  <c r="J45" i="40"/>
  <c r="H135" i="14"/>
  <c r="J135" i="14" s="1"/>
  <c r="J135" i="13"/>
  <c r="J186" i="13"/>
  <c r="H186" i="14"/>
  <c r="H173" i="17"/>
  <c r="J173" i="16"/>
  <c r="J144" i="15"/>
  <c r="H144" i="16"/>
  <c r="J28" i="13"/>
  <c r="H28" i="14"/>
  <c r="J32" i="12"/>
  <c r="H32" i="13"/>
  <c r="H78" i="14"/>
  <c r="J78" i="13"/>
  <c r="J177" i="16"/>
  <c r="H177" i="17"/>
  <c r="J152" i="15"/>
  <c r="H152" i="16"/>
  <c r="J184" i="16"/>
  <c r="H184" i="17"/>
  <c r="H174" i="15"/>
  <c r="J174" i="14"/>
  <c r="H84" i="17"/>
  <c r="J84" i="16"/>
  <c r="H9" i="15"/>
  <c r="J9" i="14"/>
  <c r="J145" i="15"/>
  <c r="H145" i="16"/>
  <c r="J95" i="15"/>
  <c r="H95" i="16"/>
  <c r="J134" i="14"/>
  <c r="H134" i="15"/>
  <c r="J157" i="16"/>
  <c r="H157" i="17"/>
  <c r="H83" i="17" l="1"/>
  <c r="J83" i="16"/>
  <c r="H46" i="16"/>
  <c r="J46" i="15"/>
  <c r="J185" i="15"/>
  <c r="H185" i="16"/>
  <c r="J151" i="15"/>
  <c r="H151" i="16"/>
  <c r="J18" i="16"/>
  <c r="H18" i="17"/>
  <c r="J7" i="15"/>
  <c r="I9" i="15" s="1"/>
  <c r="H7" i="16"/>
  <c r="J165" i="15"/>
  <c r="H165" i="16"/>
  <c r="H150" i="19"/>
  <c r="J150" i="18"/>
  <c r="H143" i="15"/>
  <c r="J143" i="14"/>
  <c r="H132" i="17"/>
  <c r="J132" i="16"/>
  <c r="J87" i="14"/>
  <c r="H87" i="15"/>
  <c r="H77" i="16"/>
  <c r="J77" i="15"/>
  <c r="H52" i="16"/>
  <c r="J52" i="15"/>
  <c r="J42" i="15"/>
  <c r="H42" i="16"/>
  <c r="J39" i="15"/>
  <c r="H39" i="16"/>
  <c r="H20" i="15"/>
  <c r="J20" i="14"/>
  <c r="I20" i="14" s="1"/>
  <c r="H189" i="14"/>
  <c r="J189" i="13"/>
  <c r="J162" i="14"/>
  <c r="H162" i="15"/>
  <c r="J138" i="15"/>
  <c r="H138" i="16"/>
  <c r="H133" i="15"/>
  <c r="J133" i="14"/>
  <c r="J128" i="16"/>
  <c r="H128" i="17"/>
  <c r="J68" i="14"/>
  <c r="H68" i="15"/>
  <c r="J71" i="13"/>
  <c r="H71" i="14"/>
  <c r="H103" i="14"/>
  <c r="J103" i="13"/>
  <c r="J56" i="15"/>
  <c r="H56" i="16"/>
  <c r="H102" i="14"/>
  <c r="J102" i="13"/>
  <c r="J55" i="15"/>
  <c r="H55" i="16"/>
  <c r="J37" i="15"/>
  <c r="H37" i="16"/>
  <c r="H24" i="15"/>
  <c r="J24" i="14"/>
  <c r="J19" i="14"/>
  <c r="H19" i="15"/>
  <c r="H8" i="15"/>
  <c r="J8" i="14"/>
  <c r="H43" i="16"/>
  <c r="J43" i="15"/>
  <c r="J54" i="16"/>
  <c r="H54" i="17"/>
  <c r="H101" i="16"/>
  <c r="J101" i="15"/>
  <c r="J117" i="15"/>
  <c r="H117" i="16"/>
  <c r="J121" i="15"/>
  <c r="H121" i="16"/>
  <c r="H29" i="17"/>
  <c r="J29" i="16"/>
  <c r="J179" i="15"/>
  <c r="H179" i="16"/>
  <c r="J85" i="15"/>
  <c r="H85" i="16"/>
  <c r="J74" i="15"/>
  <c r="H74" i="16"/>
  <c r="J122" i="16"/>
  <c r="H122" i="17"/>
  <c r="J76" i="16"/>
  <c r="H76" i="17"/>
  <c r="J86" i="16"/>
  <c r="H86" i="17"/>
  <c r="H50" i="17"/>
  <c r="J50" i="16"/>
  <c r="J164" i="17"/>
  <c r="H164" i="18"/>
  <c r="J38" i="15"/>
  <c r="H38" i="16"/>
  <c r="H147" i="16"/>
  <c r="J147" i="15"/>
  <c r="J100" i="15"/>
  <c r="H100" i="16"/>
  <c r="J123" i="15"/>
  <c r="H123" i="16"/>
  <c r="H129" i="17"/>
  <c r="J129" i="16"/>
  <c r="H35" i="17"/>
  <c r="J35" i="16"/>
  <c r="J90" i="16"/>
  <c r="H90" i="17"/>
  <c r="J139" i="15"/>
  <c r="H139" i="16"/>
  <c r="J70" i="17"/>
  <c r="H70" i="18"/>
  <c r="H57" i="16"/>
  <c r="J57" i="15"/>
  <c r="H65" i="16"/>
  <c r="J65" i="15"/>
  <c r="H82" i="16"/>
  <c r="J82" i="15"/>
  <c r="H31" i="17"/>
  <c r="J31" i="16"/>
  <c r="J22" i="15"/>
  <c r="H22" i="16"/>
  <c r="H58" i="18"/>
  <c r="J58" i="17"/>
  <c r="J62" i="14"/>
  <c r="H62" i="15"/>
  <c r="H44" i="17"/>
  <c r="J44" i="16"/>
  <c r="H64" i="16"/>
  <c r="J64" i="15"/>
  <c r="J161" i="16"/>
  <c r="H161" i="17"/>
  <c r="J97" i="14"/>
  <c r="H97" i="15"/>
  <c r="J140" i="14"/>
  <c r="H140" i="15"/>
  <c r="H116" i="17"/>
  <c r="J116" i="16"/>
  <c r="J114" i="15"/>
  <c r="H114" i="16"/>
  <c r="H53" i="16"/>
  <c r="J53" i="15"/>
  <c r="H69" i="15"/>
  <c r="J69" i="14"/>
  <c r="H51" i="16"/>
  <c r="J51" i="15"/>
  <c r="J181" i="13"/>
  <c r="H181" i="14"/>
  <c r="H120" i="15"/>
  <c r="J120" i="14"/>
  <c r="J98" i="13"/>
  <c r="H98" i="14"/>
  <c r="H146" i="15"/>
  <c r="J146" i="14"/>
  <c r="H36" i="17"/>
  <c r="J36" i="16"/>
  <c r="J27" i="14"/>
  <c r="H27" i="15"/>
  <c r="H66" i="17"/>
  <c r="J66" i="16"/>
  <c r="H41" i="16"/>
  <c r="J41" i="15"/>
  <c r="H88" i="16"/>
  <c r="J88" i="15"/>
  <c r="J91" i="15"/>
  <c r="H91" i="16"/>
  <c r="H104" i="15"/>
  <c r="J104" i="14"/>
  <c r="J118" i="16"/>
  <c r="H118" i="17"/>
  <c r="J11" i="15"/>
  <c r="H11" i="16"/>
  <c r="J63" i="15"/>
  <c r="H63" i="16"/>
  <c r="H115" i="17"/>
  <c r="J115" i="16"/>
  <c r="H176" i="16"/>
  <c r="J176" i="15"/>
  <c r="J156" i="15"/>
  <c r="H156" i="16"/>
  <c r="H141" i="15"/>
  <c r="J141" i="14"/>
  <c r="H178" i="15"/>
  <c r="J178" i="14"/>
  <c r="H163" i="15"/>
  <c r="J163" i="14"/>
  <c r="H75" i="17"/>
  <c r="J75" i="16"/>
  <c r="H180" i="15"/>
  <c r="J180" i="14"/>
  <c r="J105" i="14"/>
  <c r="H105" i="15"/>
  <c r="H89" i="16"/>
  <c r="J89" i="15"/>
  <c r="H96" i="15"/>
  <c r="J96" i="14"/>
  <c r="H92" i="15"/>
  <c r="J92" i="14"/>
  <c r="J99" i="13"/>
  <c r="H99" i="14"/>
  <c r="J9" i="15"/>
  <c r="H9" i="16"/>
  <c r="H177" i="18"/>
  <c r="J177" i="17"/>
  <c r="J187" i="15"/>
  <c r="H187" i="16"/>
  <c r="H15" i="15"/>
  <c r="J15" i="14"/>
  <c r="I16" i="14" s="1"/>
  <c r="J59" i="14"/>
  <c r="H59" i="15"/>
  <c r="H112" i="18"/>
  <c r="J112" i="17"/>
  <c r="H131" i="17"/>
  <c r="J131" i="16"/>
  <c r="J95" i="16"/>
  <c r="H95" i="17"/>
  <c r="H84" i="18"/>
  <c r="J84" i="17"/>
  <c r="H175" i="17"/>
  <c r="J175" i="16"/>
  <c r="H119" i="18"/>
  <c r="J119" i="17"/>
  <c r="J12" i="15"/>
  <c r="H12" i="16"/>
  <c r="J188" i="29"/>
  <c r="H188" i="30"/>
  <c r="H173" i="18"/>
  <c r="J173" i="17"/>
  <c r="H45" i="28"/>
  <c r="J45" i="27"/>
  <c r="J94" i="16"/>
  <c r="H94" i="17"/>
  <c r="J182" i="17"/>
  <c r="H182" i="18"/>
  <c r="J113" i="15"/>
  <c r="H113" i="16"/>
  <c r="J157" i="17"/>
  <c r="H157" i="18"/>
  <c r="H152" i="17"/>
  <c r="J152" i="16"/>
  <c r="J13" i="16"/>
  <c r="H13" i="17"/>
  <c r="J135" i="43"/>
  <c r="H87" i="50"/>
  <c r="J87" i="50" s="1"/>
  <c r="H174" i="16"/>
  <c r="J174" i="15"/>
  <c r="H78" i="15"/>
  <c r="J78" i="14"/>
  <c r="H49" i="15"/>
  <c r="J49" i="14"/>
  <c r="H145" i="17"/>
  <c r="J145" i="16"/>
  <c r="H184" i="18"/>
  <c r="J184" i="17"/>
  <c r="J32" i="13"/>
  <c r="H32" i="14"/>
  <c r="H144" i="17"/>
  <c r="J144" i="16"/>
  <c r="H186" i="15"/>
  <c r="J186" i="14"/>
  <c r="J158" i="17"/>
  <c r="H158" i="18"/>
  <c r="H148" i="16"/>
  <c r="J148" i="15"/>
  <c r="H130" i="18"/>
  <c r="J130" i="17"/>
  <c r="J30" i="16"/>
  <c r="H30" i="17"/>
  <c r="H40" i="15"/>
  <c r="J40" i="14"/>
  <c r="H23" i="16"/>
  <c r="J23" i="15"/>
  <c r="J127" i="16"/>
  <c r="H127" i="17"/>
  <c r="J47" i="13"/>
  <c r="H47" i="14"/>
  <c r="H10" i="16"/>
  <c r="J10" i="15"/>
  <c r="H142" i="16"/>
  <c r="J142" i="15"/>
  <c r="H67" i="15"/>
  <c r="J67" i="14"/>
  <c r="J149" i="17"/>
  <c r="H149" i="18"/>
  <c r="H134" i="16"/>
  <c r="J134" i="15"/>
  <c r="H135" i="15"/>
  <c r="J135" i="15" s="1"/>
  <c r="H28" i="15"/>
  <c r="J28" i="14"/>
  <c r="H183" i="18"/>
  <c r="J183" i="17"/>
  <c r="J60" i="12"/>
  <c r="H60" i="13"/>
  <c r="J155" i="16"/>
  <c r="H155" i="17"/>
  <c r="H46" i="17" l="1"/>
  <c r="J46" i="16"/>
  <c r="H83" i="18"/>
  <c r="J83" i="17"/>
  <c r="J185" i="16"/>
  <c r="H185" i="17"/>
  <c r="J151" i="16"/>
  <c r="H151" i="17"/>
  <c r="H18" i="18"/>
  <c r="J18" i="17"/>
  <c r="J7" i="16"/>
  <c r="I9" i="16" s="1"/>
  <c r="H7" i="17"/>
  <c r="J165" i="16"/>
  <c r="H165" i="17"/>
  <c r="J150" i="19"/>
  <c r="H150" i="20"/>
  <c r="H143" i="16"/>
  <c r="J143" i="15"/>
  <c r="J132" i="17"/>
  <c r="H132" i="18"/>
  <c r="H87" i="16"/>
  <c r="J87" i="15"/>
  <c r="H77" i="17"/>
  <c r="J77" i="16"/>
  <c r="H52" i="17"/>
  <c r="J52" i="16"/>
  <c r="J42" i="16"/>
  <c r="H42" i="17"/>
  <c r="J39" i="16"/>
  <c r="H39" i="17"/>
  <c r="J20" i="15"/>
  <c r="I20" i="15" s="1"/>
  <c r="H20" i="16"/>
  <c r="H189" i="15"/>
  <c r="J189" i="14"/>
  <c r="J162" i="15"/>
  <c r="H162" i="16"/>
  <c r="J138" i="16"/>
  <c r="H138" i="17"/>
  <c r="H133" i="16"/>
  <c r="J133" i="15"/>
  <c r="H128" i="18"/>
  <c r="J128" i="17"/>
  <c r="J68" i="15"/>
  <c r="H68" i="16"/>
  <c r="J71" i="14"/>
  <c r="H71" i="15"/>
  <c r="H102" i="15"/>
  <c r="J102" i="14"/>
  <c r="J103" i="14"/>
  <c r="H103" i="15"/>
  <c r="H55" i="17"/>
  <c r="J55" i="16"/>
  <c r="J56" i="16"/>
  <c r="H56" i="17"/>
  <c r="J37" i="16"/>
  <c r="H37" i="17"/>
  <c r="H24" i="16"/>
  <c r="J24" i="15"/>
  <c r="J19" i="15"/>
  <c r="H19" i="16"/>
  <c r="J8" i="15"/>
  <c r="H8" i="16"/>
  <c r="J129" i="17"/>
  <c r="H129" i="18"/>
  <c r="J50" i="17"/>
  <c r="H50" i="18"/>
  <c r="J101" i="16"/>
  <c r="H101" i="17"/>
  <c r="J43" i="16"/>
  <c r="H43" i="17"/>
  <c r="J70" i="18"/>
  <c r="H70" i="19"/>
  <c r="J90" i="17"/>
  <c r="H90" i="18"/>
  <c r="J100" i="16"/>
  <c r="H100" i="17"/>
  <c r="J38" i="16"/>
  <c r="H38" i="17"/>
  <c r="J76" i="17"/>
  <c r="H76" i="18"/>
  <c r="J74" i="16"/>
  <c r="H74" i="17"/>
  <c r="J121" i="16"/>
  <c r="H121" i="17"/>
  <c r="H57" i="17"/>
  <c r="J57" i="16"/>
  <c r="J35" i="17"/>
  <c r="H35" i="18"/>
  <c r="J147" i="16"/>
  <c r="H147" i="17"/>
  <c r="H29" i="18"/>
  <c r="J29" i="17"/>
  <c r="H139" i="17"/>
  <c r="J139" i="16"/>
  <c r="H123" i="17"/>
  <c r="J123" i="16"/>
  <c r="H164" i="19"/>
  <c r="J164" i="18"/>
  <c r="H86" i="18"/>
  <c r="J86" i="17"/>
  <c r="J122" i="17"/>
  <c r="H122" i="18"/>
  <c r="J85" i="16"/>
  <c r="H85" i="17"/>
  <c r="J179" i="16"/>
  <c r="H179" i="17"/>
  <c r="J117" i="16"/>
  <c r="H117" i="17"/>
  <c r="J54" i="17"/>
  <c r="H54" i="18"/>
  <c r="H82" i="17"/>
  <c r="J82" i="16"/>
  <c r="J22" i="16"/>
  <c r="H22" i="17"/>
  <c r="H65" i="17"/>
  <c r="J65" i="16"/>
  <c r="H58" i="19"/>
  <c r="J58" i="18"/>
  <c r="H31" i="18"/>
  <c r="J31" i="17"/>
  <c r="J176" i="16"/>
  <c r="H176" i="17"/>
  <c r="H88" i="17"/>
  <c r="J88" i="16"/>
  <c r="J11" i="16"/>
  <c r="H11" i="17"/>
  <c r="H161" i="18"/>
  <c r="J161" i="17"/>
  <c r="H51" i="17"/>
  <c r="J51" i="16"/>
  <c r="H96" i="16"/>
  <c r="J96" i="15"/>
  <c r="J180" i="15"/>
  <c r="H180" i="16"/>
  <c r="J178" i="15"/>
  <c r="H178" i="16"/>
  <c r="J115" i="17"/>
  <c r="H115" i="18"/>
  <c r="H104" i="16"/>
  <c r="J104" i="15"/>
  <c r="J41" i="16"/>
  <c r="H41" i="17"/>
  <c r="H36" i="18"/>
  <c r="J36" i="17"/>
  <c r="H69" i="16"/>
  <c r="J69" i="15"/>
  <c r="J163" i="15"/>
  <c r="H163" i="16"/>
  <c r="H63" i="17"/>
  <c r="J63" i="16"/>
  <c r="H64" i="17"/>
  <c r="J64" i="16"/>
  <c r="H99" i="15"/>
  <c r="J99" i="14"/>
  <c r="J156" i="16"/>
  <c r="H156" i="17"/>
  <c r="J118" i="17"/>
  <c r="H118" i="18"/>
  <c r="H91" i="17"/>
  <c r="J91" i="16"/>
  <c r="H27" i="16"/>
  <c r="J27" i="15"/>
  <c r="H98" i="15"/>
  <c r="J98" i="14"/>
  <c r="J181" i="14"/>
  <c r="H181" i="15"/>
  <c r="J114" i="16"/>
  <c r="H114" i="17"/>
  <c r="H140" i="16"/>
  <c r="J140" i="15"/>
  <c r="H66" i="18"/>
  <c r="J66" i="17"/>
  <c r="J120" i="15"/>
  <c r="H120" i="16"/>
  <c r="H116" i="18"/>
  <c r="J116" i="17"/>
  <c r="H89" i="17"/>
  <c r="J89" i="16"/>
  <c r="H44" i="18"/>
  <c r="J44" i="17"/>
  <c r="H75" i="18"/>
  <c r="J75" i="17"/>
  <c r="J141" i="15"/>
  <c r="H141" i="16"/>
  <c r="H146" i="16"/>
  <c r="J146" i="15"/>
  <c r="J53" i="16"/>
  <c r="H53" i="17"/>
  <c r="H105" i="16"/>
  <c r="J105" i="15"/>
  <c r="J97" i="15"/>
  <c r="H97" i="16"/>
  <c r="J62" i="15"/>
  <c r="H62" i="16"/>
  <c r="J92" i="15"/>
  <c r="H92" i="16"/>
  <c r="H155" i="18"/>
  <c r="J155" i="17"/>
  <c r="H130" i="19"/>
  <c r="J130" i="18"/>
  <c r="H13" i="18"/>
  <c r="J13" i="17"/>
  <c r="J12" i="16"/>
  <c r="H12" i="17"/>
  <c r="J187" i="16"/>
  <c r="H187" i="17"/>
  <c r="H23" i="17"/>
  <c r="J23" i="16"/>
  <c r="H186" i="16"/>
  <c r="J186" i="15"/>
  <c r="J131" i="17"/>
  <c r="H131" i="18"/>
  <c r="J60" i="13"/>
  <c r="H60" i="14"/>
  <c r="H134" i="17"/>
  <c r="J134" i="16"/>
  <c r="H144" i="18"/>
  <c r="J144" i="17"/>
  <c r="H145" i="18"/>
  <c r="J145" i="17"/>
  <c r="H45" i="29"/>
  <c r="J45" i="28"/>
  <c r="H175" i="18"/>
  <c r="J175" i="17"/>
  <c r="J112" i="18"/>
  <c r="H112" i="19"/>
  <c r="H148" i="17"/>
  <c r="J148" i="16"/>
  <c r="H119" i="19"/>
  <c r="J119" i="18"/>
  <c r="J32" i="14"/>
  <c r="H32" i="15"/>
  <c r="H95" i="18"/>
  <c r="J95" i="17"/>
  <c r="H59" i="16"/>
  <c r="J59" i="15"/>
  <c r="J149" i="18"/>
  <c r="H149" i="19"/>
  <c r="H127" i="18"/>
  <c r="J127" i="17"/>
  <c r="H30" i="18"/>
  <c r="J30" i="17"/>
  <c r="J158" i="18"/>
  <c r="H158" i="19"/>
  <c r="J158" i="19" s="1"/>
  <c r="J157" i="18"/>
  <c r="H157" i="19"/>
  <c r="J157" i="19" s="1"/>
  <c r="H182" i="19"/>
  <c r="J182" i="18"/>
  <c r="H67" i="16"/>
  <c r="J67" i="15"/>
  <c r="H177" i="19"/>
  <c r="J177" i="18"/>
  <c r="H183" i="19"/>
  <c r="J183" i="18"/>
  <c r="H142" i="17"/>
  <c r="J142" i="16"/>
  <c r="J10" i="16"/>
  <c r="H10" i="17"/>
  <c r="J184" i="18"/>
  <c r="H184" i="19"/>
  <c r="H49" i="16"/>
  <c r="J49" i="15"/>
  <c r="H174" i="17"/>
  <c r="J174" i="16"/>
  <c r="H84" i="19"/>
  <c r="J84" i="18"/>
  <c r="H15" i="16"/>
  <c r="J15" i="15"/>
  <c r="I16" i="15" s="1"/>
  <c r="H40" i="16"/>
  <c r="J40" i="15"/>
  <c r="H78" i="16"/>
  <c r="J78" i="15"/>
  <c r="J152" i="17"/>
  <c r="H152" i="18"/>
  <c r="H173" i="19"/>
  <c r="J173" i="18"/>
  <c r="H28" i="16"/>
  <c r="J28" i="15"/>
  <c r="J47" i="14"/>
  <c r="H47" i="15"/>
  <c r="J113" i="16"/>
  <c r="H113" i="17"/>
  <c r="H94" i="18"/>
  <c r="J94" i="17"/>
  <c r="J188" i="30"/>
  <c r="H188" i="43"/>
  <c r="H9" i="17"/>
  <c r="J9" i="16"/>
  <c r="H83" i="19" l="1"/>
  <c r="J83" i="18"/>
  <c r="H46" i="18"/>
  <c r="J46" i="17"/>
  <c r="H185" i="18"/>
  <c r="J185" i="17"/>
  <c r="H151" i="18"/>
  <c r="J151" i="17"/>
  <c r="J18" i="18"/>
  <c r="H18" i="19"/>
  <c r="H7" i="18"/>
  <c r="J7" i="17"/>
  <c r="I9" i="17" s="1"/>
  <c r="J165" i="17"/>
  <c r="H165" i="18"/>
  <c r="H150" i="21"/>
  <c r="J150" i="20"/>
  <c r="J143" i="16"/>
  <c r="H143" i="17"/>
  <c r="H132" i="19"/>
  <c r="J132" i="18"/>
  <c r="J87" i="16"/>
  <c r="H87" i="17"/>
  <c r="H77" i="18"/>
  <c r="J77" i="17"/>
  <c r="J52" i="17"/>
  <c r="H52" i="18"/>
  <c r="H42" i="18"/>
  <c r="J42" i="17"/>
  <c r="H39" i="18"/>
  <c r="J39" i="17"/>
  <c r="H20" i="17"/>
  <c r="J20" i="16"/>
  <c r="I20" i="16" s="1"/>
  <c r="J189" i="15"/>
  <c r="H189" i="16"/>
  <c r="J162" i="16"/>
  <c r="H162" i="17"/>
  <c r="H138" i="18"/>
  <c r="J138" i="17"/>
  <c r="H133" i="17"/>
  <c r="J133" i="16"/>
  <c r="J128" i="18"/>
  <c r="H128" i="19"/>
  <c r="H68" i="17"/>
  <c r="J68" i="16"/>
  <c r="J71" i="15"/>
  <c r="H71" i="16"/>
  <c r="H55" i="18"/>
  <c r="J55" i="17"/>
  <c r="H102" i="16"/>
  <c r="J102" i="15"/>
  <c r="J56" i="17"/>
  <c r="H56" i="18"/>
  <c r="H103" i="16"/>
  <c r="J103" i="15"/>
  <c r="J37" i="17"/>
  <c r="H37" i="18"/>
  <c r="H24" i="17"/>
  <c r="J24" i="16"/>
  <c r="H19" i="17"/>
  <c r="J19" i="16"/>
  <c r="H8" i="17"/>
  <c r="J8" i="16"/>
  <c r="J86" i="18"/>
  <c r="H86" i="19"/>
  <c r="H123" i="18"/>
  <c r="J123" i="17"/>
  <c r="J57" i="17"/>
  <c r="H57" i="18"/>
  <c r="J117" i="17"/>
  <c r="H117" i="18"/>
  <c r="J85" i="17"/>
  <c r="H85" i="18"/>
  <c r="H147" i="18"/>
  <c r="J147" i="17"/>
  <c r="H74" i="18"/>
  <c r="J74" i="17"/>
  <c r="J38" i="17"/>
  <c r="H38" i="18"/>
  <c r="J90" i="18"/>
  <c r="H90" i="19"/>
  <c r="J70" i="19"/>
  <c r="H70" i="20"/>
  <c r="J101" i="17"/>
  <c r="H101" i="18"/>
  <c r="J129" i="18"/>
  <c r="H129" i="19"/>
  <c r="J164" i="19"/>
  <c r="H164" i="20"/>
  <c r="J139" i="17"/>
  <c r="H139" i="18"/>
  <c r="J29" i="18"/>
  <c r="H29" i="19"/>
  <c r="J54" i="18"/>
  <c r="H54" i="19"/>
  <c r="J179" i="17"/>
  <c r="H179" i="18"/>
  <c r="J122" i="18"/>
  <c r="H122" i="19"/>
  <c r="J35" i="18"/>
  <c r="H35" i="19"/>
  <c r="J121" i="17"/>
  <c r="H121" i="18"/>
  <c r="H76" i="19"/>
  <c r="J76" i="18"/>
  <c r="J100" i="17"/>
  <c r="H100" i="18"/>
  <c r="J43" i="17"/>
  <c r="H43" i="18"/>
  <c r="J50" i="18"/>
  <c r="H50" i="19"/>
  <c r="H31" i="19"/>
  <c r="J31" i="18"/>
  <c r="H58" i="20"/>
  <c r="J58" i="19"/>
  <c r="H22" i="18"/>
  <c r="J22" i="17"/>
  <c r="H65" i="18"/>
  <c r="J65" i="17"/>
  <c r="H82" i="18"/>
  <c r="J82" i="17"/>
  <c r="H161" i="19"/>
  <c r="J161" i="18"/>
  <c r="J97" i="16"/>
  <c r="H97" i="17"/>
  <c r="H53" i="18"/>
  <c r="J53" i="17"/>
  <c r="H115" i="19"/>
  <c r="J115" i="18"/>
  <c r="H105" i="17"/>
  <c r="J105" i="16"/>
  <c r="J75" i="18"/>
  <c r="H75" i="19"/>
  <c r="H89" i="18"/>
  <c r="J89" i="17"/>
  <c r="J140" i="16"/>
  <c r="H140" i="17"/>
  <c r="H27" i="17"/>
  <c r="J27" i="16"/>
  <c r="J99" i="15"/>
  <c r="H99" i="16"/>
  <c r="J63" i="17"/>
  <c r="H63" i="18"/>
  <c r="H51" i="18"/>
  <c r="J51" i="17"/>
  <c r="H104" i="17"/>
  <c r="J104" i="16"/>
  <c r="J114" i="17"/>
  <c r="H114" i="18"/>
  <c r="H178" i="17"/>
  <c r="J178" i="16"/>
  <c r="H11" i="18"/>
  <c r="J11" i="17"/>
  <c r="H146" i="17"/>
  <c r="J146" i="16"/>
  <c r="H44" i="19"/>
  <c r="J44" i="18"/>
  <c r="H116" i="19"/>
  <c r="J116" i="18"/>
  <c r="H91" i="18"/>
  <c r="J91" i="17"/>
  <c r="H92" i="17"/>
  <c r="J92" i="16"/>
  <c r="H120" i="17"/>
  <c r="J120" i="16"/>
  <c r="H181" i="16"/>
  <c r="J181" i="15"/>
  <c r="J118" i="18"/>
  <c r="H118" i="19"/>
  <c r="H163" i="17"/>
  <c r="J163" i="16"/>
  <c r="H41" i="18"/>
  <c r="J41" i="17"/>
  <c r="H180" i="17"/>
  <c r="J180" i="16"/>
  <c r="H36" i="19"/>
  <c r="J36" i="18"/>
  <c r="H88" i="18"/>
  <c r="J88" i="17"/>
  <c r="J64" i="17"/>
  <c r="H64" i="18"/>
  <c r="H62" i="17"/>
  <c r="J62" i="16"/>
  <c r="J141" i="16"/>
  <c r="H141" i="17"/>
  <c r="J156" i="17"/>
  <c r="H156" i="18"/>
  <c r="H176" i="18"/>
  <c r="J176" i="17"/>
  <c r="J66" i="18"/>
  <c r="H66" i="19"/>
  <c r="H98" i="16"/>
  <c r="J98" i="15"/>
  <c r="H69" i="17"/>
  <c r="J69" i="16"/>
  <c r="H96" i="17"/>
  <c r="J96" i="16"/>
  <c r="H47" i="16"/>
  <c r="J47" i="15"/>
  <c r="H94" i="19"/>
  <c r="J94" i="18"/>
  <c r="J173" i="19"/>
  <c r="H173" i="20"/>
  <c r="J177" i="19"/>
  <c r="H177" i="20"/>
  <c r="H67" i="17"/>
  <c r="J67" i="16"/>
  <c r="J127" i="18"/>
  <c r="H127" i="19"/>
  <c r="J95" i="18"/>
  <c r="H95" i="19"/>
  <c r="H119" i="20"/>
  <c r="J119" i="19"/>
  <c r="H175" i="19"/>
  <c r="J175" i="18"/>
  <c r="J186" i="16"/>
  <c r="H186" i="17"/>
  <c r="J152" i="18"/>
  <c r="H152" i="19"/>
  <c r="J149" i="19"/>
  <c r="H149" i="20"/>
  <c r="J32" i="15"/>
  <c r="H32" i="16"/>
  <c r="H112" i="20"/>
  <c r="J112" i="19"/>
  <c r="H113" i="18"/>
  <c r="J113" i="17"/>
  <c r="H9" i="18"/>
  <c r="J9" i="17"/>
  <c r="H28" i="17"/>
  <c r="J28" i="16"/>
  <c r="H84" i="20"/>
  <c r="J84" i="19"/>
  <c r="J142" i="17"/>
  <c r="H142" i="18"/>
  <c r="H23" i="18"/>
  <c r="J23" i="17"/>
  <c r="J187" i="17"/>
  <c r="H187" i="18"/>
  <c r="H130" i="20"/>
  <c r="J130" i="19"/>
  <c r="H78" i="17"/>
  <c r="J78" i="16"/>
  <c r="H15" i="17"/>
  <c r="J15" i="16"/>
  <c r="I16" i="16" s="1"/>
  <c r="J174" i="17"/>
  <c r="H174" i="18"/>
  <c r="H59" i="17"/>
  <c r="J59" i="16"/>
  <c r="H45" i="30"/>
  <c r="J45" i="29"/>
  <c r="J145" i="18"/>
  <c r="H145" i="19"/>
  <c r="J134" i="17"/>
  <c r="H134" i="18"/>
  <c r="J13" i="18"/>
  <c r="H13" i="19"/>
  <c r="J60" i="14"/>
  <c r="H60" i="15"/>
  <c r="H188" i="31"/>
  <c r="J188" i="31" s="1"/>
  <c r="J188" i="43"/>
  <c r="H132" i="50"/>
  <c r="J132" i="50" s="1"/>
  <c r="H40" i="17"/>
  <c r="J40" i="16"/>
  <c r="J49" i="16"/>
  <c r="H49" i="17"/>
  <c r="H183" i="20"/>
  <c r="J183" i="19"/>
  <c r="H182" i="20"/>
  <c r="J182" i="19"/>
  <c r="J30" i="18"/>
  <c r="H30" i="19"/>
  <c r="J148" i="17"/>
  <c r="H148" i="18"/>
  <c r="H144" i="19"/>
  <c r="J144" i="18"/>
  <c r="H184" i="20"/>
  <c r="J184" i="19"/>
  <c r="H10" i="18"/>
  <c r="J10" i="17"/>
  <c r="H131" i="19"/>
  <c r="J131" i="18"/>
  <c r="J12" i="17"/>
  <c r="H12" i="18"/>
  <c r="H155" i="19"/>
  <c r="J155" i="18"/>
  <c r="H46" i="19" l="1"/>
  <c r="J46" i="18"/>
  <c r="H83" i="20"/>
  <c r="J83" i="19"/>
  <c r="J185" i="18"/>
  <c r="H185" i="19"/>
  <c r="H151" i="19"/>
  <c r="J151" i="18"/>
  <c r="H18" i="20"/>
  <c r="J18" i="19"/>
  <c r="H7" i="19"/>
  <c r="J7" i="18"/>
  <c r="I9" i="18" s="1"/>
  <c r="J165" i="18"/>
  <c r="H165" i="19"/>
  <c r="J150" i="21"/>
  <c r="H150" i="22"/>
  <c r="H143" i="18"/>
  <c r="J143" i="17"/>
  <c r="H132" i="20"/>
  <c r="J132" i="19"/>
  <c r="J87" i="17"/>
  <c r="H87" i="18"/>
  <c r="H77" i="19"/>
  <c r="J77" i="18"/>
  <c r="J52" i="18"/>
  <c r="H52" i="19"/>
  <c r="J42" i="18"/>
  <c r="H42" i="19"/>
  <c r="H39" i="19"/>
  <c r="J39" i="18"/>
  <c r="H20" i="18"/>
  <c r="J20" i="17"/>
  <c r="I20" i="17" s="1"/>
  <c r="H189" i="17"/>
  <c r="J189" i="16"/>
  <c r="J162" i="17"/>
  <c r="H162" i="18"/>
  <c r="J138" i="18"/>
  <c r="H138" i="19"/>
  <c r="H133" i="18"/>
  <c r="J133" i="17"/>
  <c r="J128" i="19"/>
  <c r="H128" i="20"/>
  <c r="J68" i="17"/>
  <c r="H68" i="18"/>
  <c r="J71" i="16"/>
  <c r="H71" i="17"/>
  <c r="H55" i="19"/>
  <c r="J55" i="18"/>
  <c r="H56" i="19"/>
  <c r="J56" i="18"/>
  <c r="J103" i="16"/>
  <c r="H103" i="17"/>
  <c r="J102" i="16"/>
  <c r="H102" i="17"/>
  <c r="J37" i="18"/>
  <c r="H37" i="19"/>
  <c r="H24" i="18"/>
  <c r="J24" i="17"/>
  <c r="J19" i="17"/>
  <c r="H19" i="18"/>
  <c r="H8" i="18"/>
  <c r="J8" i="17"/>
  <c r="J74" i="18"/>
  <c r="H74" i="19"/>
  <c r="J147" i="18"/>
  <c r="H147" i="19"/>
  <c r="J43" i="18"/>
  <c r="H43" i="19"/>
  <c r="J100" i="18"/>
  <c r="H100" i="19"/>
  <c r="J35" i="19"/>
  <c r="H35" i="20"/>
  <c r="J179" i="18"/>
  <c r="H179" i="19"/>
  <c r="J29" i="19"/>
  <c r="H29" i="20"/>
  <c r="J164" i="20"/>
  <c r="H164" i="21"/>
  <c r="J101" i="18"/>
  <c r="H101" i="19"/>
  <c r="J90" i="19"/>
  <c r="H90" i="20"/>
  <c r="J117" i="18"/>
  <c r="H117" i="19"/>
  <c r="H86" i="20"/>
  <c r="J86" i="19"/>
  <c r="J76" i="19"/>
  <c r="H76" i="20"/>
  <c r="J123" i="18"/>
  <c r="H123" i="19"/>
  <c r="J50" i="19"/>
  <c r="H50" i="20"/>
  <c r="H121" i="19"/>
  <c r="J121" i="18"/>
  <c r="J122" i="19"/>
  <c r="H122" i="20"/>
  <c r="J54" i="19"/>
  <c r="H54" i="20"/>
  <c r="J139" i="18"/>
  <c r="H139" i="19"/>
  <c r="J129" i="19"/>
  <c r="H129" i="20"/>
  <c r="J70" i="20"/>
  <c r="H70" i="21"/>
  <c r="J38" i="18"/>
  <c r="H38" i="19"/>
  <c r="H85" i="19"/>
  <c r="J85" i="18"/>
  <c r="J57" i="18"/>
  <c r="H57" i="19"/>
  <c r="H58" i="21"/>
  <c r="J58" i="20"/>
  <c r="H65" i="19"/>
  <c r="J65" i="18"/>
  <c r="H31" i="20"/>
  <c r="J31" i="19"/>
  <c r="H82" i="19"/>
  <c r="J82" i="18"/>
  <c r="H22" i="19"/>
  <c r="J22" i="18"/>
  <c r="H64" i="19"/>
  <c r="J64" i="18"/>
  <c r="J63" i="18"/>
  <c r="H63" i="19"/>
  <c r="H176" i="19"/>
  <c r="J176" i="18"/>
  <c r="J163" i="17"/>
  <c r="H163" i="18"/>
  <c r="H146" i="18"/>
  <c r="J146" i="17"/>
  <c r="H89" i="19"/>
  <c r="J89" i="18"/>
  <c r="J115" i="19"/>
  <c r="H115" i="20"/>
  <c r="H156" i="19"/>
  <c r="J156" i="18"/>
  <c r="H118" i="20"/>
  <c r="J118" i="19"/>
  <c r="H99" i="17"/>
  <c r="J99" i="16"/>
  <c r="H75" i="20"/>
  <c r="J75" i="19"/>
  <c r="H98" i="17"/>
  <c r="J98" i="16"/>
  <c r="H88" i="19"/>
  <c r="J88" i="18"/>
  <c r="H36" i="20"/>
  <c r="J36" i="19"/>
  <c r="H91" i="19"/>
  <c r="J91" i="18"/>
  <c r="H11" i="19"/>
  <c r="J11" i="18"/>
  <c r="H104" i="18"/>
  <c r="J104" i="17"/>
  <c r="J53" i="18"/>
  <c r="H53" i="19"/>
  <c r="H66" i="20"/>
  <c r="J66" i="19"/>
  <c r="J141" i="17"/>
  <c r="H141" i="18"/>
  <c r="J97" i="17"/>
  <c r="H97" i="18"/>
  <c r="H96" i="18"/>
  <c r="J96" i="17"/>
  <c r="H180" i="18"/>
  <c r="J180" i="17"/>
  <c r="J181" i="16"/>
  <c r="H181" i="17"/>
  <c r="H92" i="18"/>
  <c r="J92" i="17"/>
  <c r="H116" i="20"/>
  <c r="J116" i="19"/>
  <c r="H178" i="18"/>
  <c r="J178" i="17"/>
  <c r="H51" i="19"/>
  <c r="J51" i="18"/>
  <c r="H27" i="18"/>
  <c r="J27" i="17"/>
  <c r="H105" i="18"/>
  <c r="J105" i="17"/>
  <c r="H114" i="19"/>
  <c r="J114" i="18"/>
  <c r="H140" i="18"/>
  <c r="J140" i="17"/>
  <c r="H69" i="18"/>
  <c r="J69" i="17"/>
  <c r="J62" i="17"/>
  <c r="H62" i="18"/>
  <c r="H41" i="19"/>
  <c r="J41" i="18"/>
  <c r="H120" i="18"/>
  <c r="J120" i="17"/>
  <c r="H44" i="20"/>
  <c r="J44" i="19"/>
  <c r="J161" i="19"/>
  <c r="H161" i="20"/>
  <c r="J148" i="18"/>
  <c r="H148" i="19"/>
  <c r="H49" i="18"/>
  <c r="J49" i="17"/>
  <c r="J174" i="18"/>
  <c r="H174" i="19"/>
  <c r="H142" i="19"/>
  <c r="J142" i="18"/>
  <c r="J186" i="17"/>
  <c r="H186" i="18"/>
  <c r="H182" i="21"/>
  <c r="J182" i="20"/>
  <c r="H175" i="20"/>
  <c r="J175" i="19"/>
  <c r="J155" i="19"/>
  <c r="H155" i="20"/>
  <c r="H13" i="20"/>
  <c r="J13" i="19"/>
  <c r="J145" i="19"/>
  <c r="H145" i="20"/>
  <c r="J32" i="16"/>
  <c r="H32" i="17"/>
  <c r="J95" i="19"/>
  <c r="H95" i="20"/>
  <c r="H177" i="21"/>
  <c r="J177" i="20"/>
  <c r="H173" i="21"/>
  <c r="J173" i="20"/>
  <c r="H10" i="19"/>
  <c r="J10" i="18"/>
  <c r="H40" i="18"/>
  <c r="J40" i="17"/>
  <c r="H15" i="18"/>
  <c r="J15" i="17"/>
  <c r="I16" i="17" s="1"/>
  <c r="J23" i="18"/>
  <c r="H23" i="19"/>
  <c r="H28" i="18"/>
  <c r="J28" i="17"/>
  <c r="H144" i="20"/>
  <c r="J144" i="19"/>
  <c r="J149" i="20"/>
  <c r="H149" i="21"/>
  <c r="J127" i="19"/>
  <c r="H127" i="20"/>
  <c r="J184" i="20"/>
  <c r="H184" i="21"/>
  <c r="J183" i="20"/>
  <c r="H183" i="21"/>
  <c r="H45" i="43"/>
  <c r="J45" i="30"/>
  <c r="H78" i="18"/>
  <c r="J78" i="17"/>
  <c r="J130" i="20"/>
  <c r="H130" i="21"/>
  <c r="H9" i="19"/>
  <c r="J9" i="18"/>
  <c r="H94" i="20"/>
  <c r="J94" i="19"/>
  <c r="J30" i="19"/>
  <c r="H30" i="20"/>
  <c r="H60" i="16"/>
  <c r="J60" i="15"/>
  <c r="H134" i="19"/>
  <c r="J134" i="18"/>
  <c r="J187" i="18"/>
  <c r="H187" i="19"/>
  <c r="J152" i="19"/>
  <c r="H152" i="20"/>
  <c r="J12" i="18"/>
  <c r="H12" i="19"/>
  <c r="H131" i="20"/>
  <c r="J131" i="19"/>
  <c r="H59" i="18"/>
  <c r="J59" i="17"/>
  <c r="H84" i="21"/>
  <c r="J84" i="20"/>
  <c r="H113" i="19"/>
  <c r="J113" i="18"/>
  <c r="H112" i="21"/>
  <c r="J112" i="20"/>
  <c r="J119" i="20"/>
  <c r="H119" i="21"/>
  <c r="H67" i="18"/>
  <c r="J67" i="17"/>
  <c r="J47" i="16"/>
  <c r="H47" i="17"/>
  <c r="H83" i="21" l="1"/>
  <c r="J83" i="20"/>
  <c r="H46" i="20"/>
  <c r="J46" i="19"/>
  <c r="H185" i="20"/>
  <c r="J185" i="19"/>
  <c r="H151" i="20"/>
  <c r="J151" i="19"/>
  <c r="J18" i="20"/>
  <c r="H18" i="21"/>
  <c r="J7" i="19"/>
  <c r="I9" i="19" s="1"/>
  <c r="H7" i="20"/>
  <c r="J165" i="19"/>
  <c r="H165" i="20"/>
  <c r="J150" i="22"/>
  <c r="H150" i="23"/>
  <c r="J143" i="18"/>
  <c r="H143" i="19"/>
  <c r="J132" i="20"/>
  <c r="H132" i="21"/>
  <c r="J87" i="18"/>
  <c r="H87" i="19"/>
  <c r="H77" i="20"/>
  <c r="J77" i="19"/>
  <c r="J52" i="19"/>
  <c r="H52" i="20"/>
  <c r="J42" i="19"/>
  <c r="H42" i="20"/>
  <c r="J39" i="19"/>
  <c r="H39" i="20"/>
  <c r="H20" i="19"/>
  <c r="J20" i="18"/>
  <c r="I20" i="18" s="1"/>
  <c r="J189" i="17"/>
  <c r="H189" i="18"/>
  <c r="J162" i="18"/>
  <c r="H162" i="19"/>
  <c r="J138" i="19"/>
  <c r="H138" i="20"/>
  <c r="H133" i="19"/>
  <c r="J133" i="18"/>
  <c r="J128" i="20"/>
  <c r="H128" i="21"/>
  <c r="J68" i="18"/>
  <c r="H68" i="19"/>
  <c r="H71" i="18"/>
  <c r="J71" i="17"/>
  <c r="H55" i="20"/>
  <c r="J55" i="19"/>
  <c r="J103" i="17"/>
  <c r="H103" i="18"/>
  <c r="J56" i="19"/>
  <c r="H56" i="20"/>
  <c r="H102" i="18"/>
  <c r="J102" i="17"/>
  <c r="J37" i="19"/>
  <c r="H37" i="20"/>
  <c r="J24" i="18"/>
  <c r="H24" i="19"/>
  <c r="H19" i="19"/>
  <c r="J19" i="18"/>
  <c r="H8" i="19"/>
  <c r="J8" i="18"/>
  <c r="J85" i="19"/>
  <c r="H85" i="20"/>
  <c r="J121" i="19"/>
  <c r="H121" i="20"/>
  <c r="J38" i="19"/>
  <c r="H38" i="20"/>
  <c r="J129" i="20"/>
  <c r="H129" i="21"/>
  <c r="J54" i="20"/>
  <c r="H54" i="21"/>
  <c r="J50" i="20"/>
  <c r="H50" i="21"/>
  <c r="J76" i="20"/>
  <c r="H76" i="21"/>
  <c r="H90" i="21"/>
  <c r="J90" i="20"/>
  <c r="J164" i="21"/>
  <c r="H164" i="22"/>
  <c r="H179" i="20"/>
  <c r="J179" i="19"/>
  <c r="J43" i="19"/>
  <c r="H43" i="20"/>
  <c r="J74" i="19"/>
  <c r="H74" i="20"/>
  <c r="J86" i="20"/>
  <c r="H86" i="21"/>
  <c r="J57" i="19"/>
  <c r="H57" i="20"/>
  <c r="J70" i="21"/>
  <c r="H70" i="22"/>
  <c r="H139" i="20"/>
  <c r="J139" i="19"/>
  <c r="H122" i="21"/>
  <c r="J122" i="20"/>
  <c r="H123" i="20"/>
  <c r="J123" i="19"/>
  <c r="H117" i="20"/>
  <c r="J117" i="19"/>
  <c r="J101" i="19"/>
  <c r="H101" i="20"/>
  <c r="J29" i="20"/>
  <c r="H29" i="21"/>
  <c r="J35" i="20"/>
  <c r="H35" i="21"/>
  <c r="J100" i="19"/>
  <c r="H100" i="20"/>
  <c r="H147" i="20"/>
  <c r="J147" i="19"/>
  <c r="J82" i="19"/>
  <c r="H82" i="20"/>
  <c r="H58" i="22"/>
  <c r="J58" i="21"/>
  <c r="H31" i="21"/>
  <c r="J31" i="20"/>
  <c r="H22" i="20"/>
  <c r="J22" i="19"/>
  <c r="H65" i="20"/>
  <c r="J65" i="19"/>
  <c r="J53" i="19"/>
  <c r="H53" i="20"/>
  <c r="H115" i="21"/>
  <c r="J115" i="20"/>
  <c r="H44" i="21"/>
  <c r="J44" i="20"/>
  <c r="J140" i="18"/>
  <c r="H140" i="19"/>
  <c r="J27" i="18"/>
  <c r="H27" i="19"/>
  <c r="H92" i="19"/>
  <c r="J92" i="18"/>
  <c r="H96" i="19"/>
  <c r="J96" i="18"/>
  <c r="H75" i="21"/>
  <c r="J75" i="20"/>
  <c r="H62" i="19"/>
  <c r="J62" i="18"/>
  <c r="J181" i="17"/>
  <c r="H181" i="18"/>
  <c r="H97" i="19"/>
  <c r="J97" i="18"/>
  <c r="H163" i="19"/>
  <c r="J163" i="18"/>
  <c r="J63" i="19"/>
  <c r="H63" i="20"/>
  <c r="H114" i="20"/>
  <c r="J114" i="19"/>
  <c r="J51" i="19"/>
  <c r="H51" i="20"/>
  <c r="H104" i="19"/>
  <c r="J104" i="18"/>
  <c r="J36" i="20"/>
  <c r="H36" i="21"/>
  <c r="H99" i="18"/>
  <c r="J99" i="17"/>
  <c r="H89" i="20"/>
  <c r="J89" i="19"/>
  <c r="H161" i="21"/>
  <c r="J161" i="20"/>
  <c r="J141" i="18"/>
  <c r="H141" i="19"/>
  <c r="J120" i="18"/>
  <c r="H120" i="19"/>
  <c r="H69" i="19"/>
  <c r="J69" i="18"/>
  <c r="H178" i="19"/>
  <c r="J178" i="18"/>
  <c r="H180" i="19"/>
  <c r="J180" i="18"/>
  <c r="H11" i="20"/>
  <c r="J11" i="19"/>
  <c r="J88" i="19"/>
  <c r="H88" i="20"/>
  <c r="H118" i="21"/>
  <c r="J118" i="20"/>
  <c r="H41" i="20"/>
  <c r="J41" i="19"/>
  <c r="H105" i="19"/>
  <c r="J105" i="18"/>
  <c r="H116" i="21"/>
  <c r="J116" i="20"/>
  <c r="H66" i="21"/>
  <c r="J66" i="20"/>
  <c r="J91" i="19"/>
  <c r="H91" i="20"/>
  <c r="J98" i="17"/>
  <c r="H98" i="18"/>
  <c r="H156" i="20"/>
  <c r="J156" i="19"/>
  <c r="J146" i="18"/>
  <c r="H146" i="19"/>
  <c r="H176" i="20"/>
  <c r="J176" i="19"/>
  <c r="H64" i="20"/>
  <c r="J64" i="19"/>
  <c r="J113" i="19"/>
  <c r="H113" i="20"/>
  <c r="H59" i="19"/>
  <c r="J59" i="18"/>
  <c r="J134" i="19"/>
  <c r="H134" i="20"/>
  <c r="H78" i="19"/>
  <c r="J78" i="18"/>
  <c r="H23" i="20"/>
  <c r="J23" i="19"/>
  <c r="J186" i="18"/>
  <c r="H186" i="19"/>
  <c r="J152" i="20"/>
  <c r="H152" i="21"/>
  <c r="H183" i="22"/>
  <c r="J183" i="21"/>
  <c r="H173" i="22"/>
  <c r="J173" i="21"/>
  <c r="J13" i="20"/>
  <c r="H13" i="21"/>
  <c r="H175" i="21"/>
  <c r="J175" i="20"/>
  <c r="H47" i="18"/>
  <c r="J47" i="17"/>
  <c r="J60" i="16"/>
  <c r="H60" i="17"/>
  <c r="H144" i="21"/>
  <c r="J144" i="20"/>
  <c r="H67" i="19"/>
  <c r="J67" i="18"/>
  <c r="H119" i="22"/>
  <c r="J119" i="21"/>
  <c r="J187" i="19"/>
  <c r="H187" i="20"/>
  <c r="J30" i="20"/>
  <c r="H30" i="21"/>
  <c r="H28" i="19"/>
  <c r="J28" i="18"/>
  <c r="H40" i="19"/>
  <c r="J40" i="18"/>
  <c r="H10" i="20"/>
  <c r="J10" i="19"/>
  <c r="H177" i="22"/>
  <c r="J177" i="21"/>
  <c r="H182" i="22"/>
  <c r="J182" i="21"/>
  <c r="H49" i="19"/>
  <c r="J49" i="18"/>
  <c r="H84" i="22"/>
  <c r="J84" i="21"/>
  <c r="J131" i="20"/>
  <c r="H131" i="21"/>
  <c r="H9" i="20"/>
  <c r="J9" i="19"/>
  <c r="H45" i="31"/>
  <c r="J45" i="31" s="1"/>
  <c r="H46" i="50"/>
  <c r="J46" i="50" s="1"/>
  <c r="J45" i="43"/>
  <c r="J95" i="20"/>
  <c r="H95" i="21"/>
  <c r="J155" i="20"/>
  <c r="H155" i="21"/>
  <c r="J174" i="19"/>
  <c r="H174" i="20"/>
  <c r="H148" i="20"/>
  <c r="J148" i="19"/>
  <c r="H12" i="20"/>
  <c r="J12" i="19"/>
  <c r="H130" i="22"/>
  <c r="J130" i="21"/>
  <c r="J127" i="20"/>
  <c r="H127" i="21"/>
  <c r="H15" i="19"/>
  <c r="J15" i="18"/>
  <c r="I16" i="18" s="1"/>
  <c r="J112" i="21"/>
  <c r="H112" i="22"/>
  <c r="H94" i="21"/>
  <c r="J94" i="20"/>
  <c r="J32" i="17"/>
  <c r="H32" i="18"/>
  <c r="J145" i="20"/>
  <c r="H145" i="21"/>
  <c r="H184" i="22"/>
  <c r="J184" i="21"/>
  <c r="H149" i="22"/>
  <c r="J149" i="21"/>
  <c r="H142" i="20"/>
  <c r="J142" i="19"/>
  <c r="H46" i="21" l="1"/>
  <c r="J46" i="20"/>
  <c r="H83" i="22"/>
  <c r="J83" i="21"/>
  <c r="J185" i="20"/>
  <c r="H185" i="21"/>
  <c r="H151" i="21"/>
  <c r="J151" i="20"/>
  <c r="J18" i="21"/>
  <c r="H18" i="22"/>
  <c r="J7" i="20"/>
  <c r="I9" i="20" s="1"/>
  <c r="H7" i="21"/>
  <c r="J165" i="20"/>
  <c r="H165" i="21"/>
  <c r="H150" i="24"/>
  <c r="J150" i="23"/>
  <c r="H143" i="20"/>
  <c r="J143" i="19"/>
  <c r="H132" i="22"/>
  <c r="J132" i="21"/>
  <c r="H87" i="20"/>
  <c r="J87" i="19"/>
  <c r="H77" i="21"/>
  <c r="J77" i="20"/>
  <c r="H52" i="21"/>
  <c r="J52" i="20"/>
  <c r="J42" i="20"/>
  <c r="H42" i="21"/>
  <c r="H39" i="21"/>
  <c r="J39" i="20"/>
  <c r="H20" i="20"/>
  <c r="J20" i="19"/>
  <c r="I20" i="19" s="1"/>
  <c r="J189" i="18"/>
  <c r="H189" i="19"/>
  <c r="J189" i="19" s="1"/>
  <c r="H162" i="20"/>
  <c r="J162" i="19"/>
  <c r="J138" i="20"/>
  <c r="H138" i="21"/>
  <c r="H133" i="20"/>
  <c r="J133" i="19"/>
  <c r="J128" i="21"/>
  <c r="H128" i="22"/>
  <c r="J68" i="19"/>
  <c r="H68" i="20"/>
  <c r="H71" i="19"/>
  <c r="J71" i="18"/>
  <c r="H55" i="21"/>
  <c r="J55" i="20"/>
  <c r="J56" i="20"/>
  <c r="H56" i="21"/>
  <c r="H102" i="19"/>
  <c r="J102" i="18"/>
  <c r="H103" i="19"/>
  <c r="J103" i="18"/>
  <c r="J37" i="20"/>
  <c r="H37" i="21"/>
  <c r="H24" i="20"/>
  <c r="J24" i="19"/>
  <c r="J19" i="19"/>
  <c r="H19" i="20"/>
  <c r="J8" i="19"/>
  <c r="H8" i="20"/>
  <c r="H35" i="22"/>
  <c r="J35" i="21"/>
  <c r="H101" i="21"/>
  <c r="J101" i="20"/>
  <c r="J70" i="22"/>
  <c r="H70" i="23"/>
  <c r="J86" i="21"/>
  <c r="H86" i="22"/>
  <c r="J74" i="20"/>
  <c r="H74" i="21"/>
  <c r="J74" i="21" s="1"/>
  <c r="H179" i="21"/>
  <c r="J179" i="20"/>
  <c r="J90" i="21"/>
  <c r="H90" i="22"/>
  <c r="H117" i="21"/>
  <c r="J117" i="20"/>
  <c r="H139" i="21"/>
  <c r="J139" i="20"/>
  <c r="J76" i="21"/>
  <c r="H76" i="22"/>
  <c r="J54" i="21"/>
  <c r="H54" i="22"/>
  <c r="J38" i="20"/>
  <c r="H38" i="21"/>
  <c r="J85" i="20"/>
  <c r="H85" i="21"/>
  <c r="J100" i="20"/>
  <c r="H100" i="21"/>
  <c r="J29" i="21"/>
  <c r="H29" i="22"/>
  <c r="J57" i="20"/>
  <c r="H57" i="21"/>
  <c r="J43" i="20"/>
  <c r="H43" i="21"/>
  <c r="J147" i="20"/>
  <c r="H147" i="21"/>
  <c r="H123" i="21"/>
  <c r="J123" i="20"/>
  <c r="J122" i="21"/>
  <c r="H122" i="22"/>
  <c r="H164" i="23"/>
  <c r="J164" i="22"/>
  <c r="J50" i="21"/>
  <c r="H50" i="22"/>
  <c r="J129" i="21"/>
  <c r="H129" i="22"/>
  <c r="J121" i="20"/>
  <c r="H121" i="21"/>
  <c r="H22" i="21"/>
  <c r="J22" i="20"/>
  <c r="H58" i="23"/>
  <c r="J58" i="22"/>
  <c r="H82" i="21"/>
  <c r="J82" i="20"/>
  <c r="H65" i="21"/>
  <c r="J65" i="20"/>
  <c r="J31" i="21"/>
  <c r="H31" i="22"/>
  <c r="H146" i="20"/>
  <c r="J146" i="19"/>
  <c r="J120" i="19"/>
  <c r="H120" i="20"/>
  <c r="H51" i="21"/>
  <c r="J51" i="20"/>
  <c r="H66" i="22"/>
  <c r="J66" i="21"/>
  <c r="H41" i="21"/>
  <c r="J41" i="20"/>
  <c r="H11" i="21"/>
  <c r="J11" i="20"/>
  <c r="H89" i="21"/>
  <c r="J89" i="20"/>
  <c r="H163" i="20"/>
  <c r="J163" i="19"/>
  <c r="H92" i="20"/>
  <c r="J92" i="19"/>
  <c r="H44" i="22"/>
  <c r="J44" i="21"/>
  <c r="J141" i="19"/>
  <c r="H141" i="20"/>
  <c r="H27" i="20"/>
  <c r="J27" i="19"/>
  <c r="H156" i="21"/>
  <c r="J156" i="20"/>
  <c r="H116" i="22"/>
  <c r="J116" i="21"/>
  <c r="H180" i="20"/>
  <c r="J180" i="19"/>
  <c r="H99" i="19"/>
  <c r="J99" i="18"/>
  <c r="H114" i="21"/>
  <c r="J114" i="20"/>
  <c r="H97" i="20"/>
  <c r="J97" i="19"/>
  <c r="H75" i="22"/>
  <c r="H75" i="23" s="1"/>
  <c r="J75" i="21"/>
  <c r="H98" i="19"/>
  <c r="J98" i="18"/>
  <c r="J36" i="21"/>
  <c r="H36" i="22"/>
  <c r="J181" i="18"/>
  <c r="H181" i="19"/>
  <c r="H140" i="20"/>
  <c r="J140" i="19"/>
  <c r="J64" i="20"/>
  <c r="H64" i="21"/>
  <c r="J105" i="19"/>
  <c r="H105" i="20"/>
  <c r="J118" i="21"/>
  <c r="H118" i="22"/>
  <c r="H178" i="20"/>
  <c r="J178" i="19"/>
  <c r="H115" i="22"/>
  <c r="J115" i="21"/>
  <c r="H91" i="21"/>
  <c r="J91" i="20"/>
  <c r="J88" i="20"/>
  <c r="H88" i="21"/>
  <c r="H63" i="21"/>
  <c r="J63" i="20"/>
  <c r="H53" i="21"/>
  <c r="J53" i="20"/>
  <c r="H176" i="21"/>
  <c r="J176" i="20"/>
  <c r="H69" i="20"/>
  <c r="J69" i="19"/>
  <c r="H161" i="22"/>
  <c r="J161" i="21"/>
  <c r="J104" i="19"/>
  <c r="H104" i="20"/>
  <c r="H62" i="20"/>
  <c r="J62" i="19"/>
  <c r="J96" i="19"/>
  <c r="H96" i="20"/>
  <c r="J148" i="20"/>
  <c r="H148" i="21"/>
  <c r="H131" i="22"/>
  <c r="J131" i="21"/>
  <c r="H186" i="20"/>
  <c r="J186" i="19"/>
  <c r="J32" i="18"/>
  <c r="H32" i="19"/>
  <c r="H174" i="21"/>
  <c r="J174" i="20"/>
  <c r="H84" i="23"/>
  <c r="J84" i="22"/>
  <c r="J177" i="22"/>
  <c r="H177" i="23"/>
  <c r="H28" i="20"/>
  <c r="J28" i="19"/>
  <c r="H173" i="23"/>
  <c r="J173" i="22"/>
  <c r="H183" i="23"/>
  <c r="J183" i="22"/>
  <c r="H78" i="20"/>
  <c r="J78" i="19"/>
  <c r="H149" i="23"/>
  <c r="J149" i="22"/>
  <c r="J130" i="22"/>
  <c r="H130" i="23"/>
  <c r="J155" i="21"/>
  <c r="H155" i="22"/>
  <c r="H49" i="20"/>
  <c r="J49" i="19"/>
  <c r="J10" i="20"/>
  <c r="H10" i="21"/>
  <c r="H119" i="23"/>
  <c r="J119" i="22"/>
  <c r="J59" i="19"/>
  <c r="H59" i="20"/>
  <c r="J74" i="22"/>
  <c r="H184" i="23"/>
  <c r="J184" i="22"/>
  <c r="H15" i="20"/>
  <c r="J15" i="19"/>
  <c r="I16" i="19" s="1"/>
  <c r="J30" i="21"/>
  <c r="H30" i="22"/>
  <c r="J152" i="21"/>
  <c r="H152" i="22"/>
  <c r="J112" i="22"/>
  <c r="H112" i="23"/>
  <c r="H127" i="22"/>
  <c r="J127" i="21"/>
  <c r="J182" i="22"/>
  <c r="H182" i="23"/>
  <c r="H40" i="20"/>
  <c r="J40" i="19"/>
  <c r="H67" i="20"/>
  <c r="J67" i="19"/>
  <c r="H47" i="19"/>
  <c r="J47" i="18"/>
  <c r="H175" i="22"/>
  <c r="J175" i="21"/>
  <c r="H23" i="21"/>
  <c r="J23" i="20"/>
  <c r="H94" i="22"/>
  <c r="J94" i="21"/>
  <c r="H12" i="21"/>
  <c r="J12" i="20"/>
  <c r="J187" i="20"/>
  <c r="H187" i="21"/>
  <c r="H60" i="18"/>
  <c r="J60" i="17"/>
  <c r="H13" i="22"/>
  <c r="J13" i="21"/>
  <c r="H134" i="21"/>
  <c r="J134" i="20"/>
  <c r="H113" i="21"/>
  <c r="J113" i="20"/>
  <c r="H142" i="21"/>
  <c r="J142" i="20"/>
  <c r="H145" i="22"/>
  <c r="J145" i="21"/>
  <c r="H95" i="22"/>
  <c r="J95" i="21"/>
  <c r="J9" i="20"/>
  <c r="H9" i="21"/>
  <c r="J144" i="21"/>
  <c r="H144" i="22"/>
  <c r="H83" i="23" l="1"/>
  <c r="J83" i="22"/>
  <c r="H46" i="22"/>
  <c r="J46" i="21"/>
  <c r="H185" i="22"/>
  <c r="J185" i="21"/>
  <c r="H151" i="22"/>
  <c r="J151" i="21"/>
  <c r="J18" i="22"/>
  <c r="H18" i="23"/>
  <c r="H7" i="22"/>
  <c r="J7" i="21"/>
  <c r="I9" i="21" s="1"/>
  <c r="J165" i="21"/>
  <c r="H165" i="22"/>
  <c r="H150" i="25"/>
  <c r="J150" i="24"/>
  <c r="J143" i="20"/>
  <c r="H143" i="21"/>
  <c r="J132" i="22"/>
  <c r="H132" i="23"/>
  <c r="J87" i="20"/>
  <c r="H87" i="21"/>
  <c r="J77" i="21"/>
  <c r="H77" i="22"/>
  <c r="H52" i="22"/>
  <c r="J52" i="21"/>
  <c r="J42" i="21"/>
  <c r="H42" i="22"/>
  <c r="H39" i="22"/>
  <c r="J39" i="21"/>
  <c r="H20" i="21"/>
  <c r="J20" i="20"/>
  <c r="I20" i="20" s="1"/>
  <c r="J162" i="20"/>
  <c r="H162" i="21"/>
  <c r="J138" i="21"/>
  <c r="H138" i="22"/>
  <c r="H133" i="21"/>
  <c r="J133" i="20"/>
  <c r="J128" i="22"/>
  <c r="H128" i="23"/>
  <c r="J68" i="20"/>
  <c r="H68" i="21"/>
  <c r="J71" i="19"/>
  <c r="H71" i="20"/>
  <c r="J102" i="19"/>
  <c r="H102" i="20"/>
  <c r="H55" i="22"/>
  <c r="J55" i="21"/>
  <c r="H103" i="20"/>
  <c r="J103" i="19"/>
  <c r="J56" i="21"/>
  <c r="H56" i="22"/>
  <c r="J37" i="21"/>
  <c r="H37" i="22"/>
  <c r="J24" i="20"/>
  <c r="H24" i="21"/>
  <c r="H19" i="21"/>
  <c r="J19" i="20"/>
  <c r="J8" i="20"/>
  <c r="H8" i="21"/>
  <c r="J139" i="21"/>
  <c r="H139" i="22"/>
  <c r="H35" i="23"/>
  <c r="J35" i="22"/>
  <c r="J121" i="21"/>
  <c r="H121" i="22"/>
  <c r="H50" i="23"/>
  <c r="J50" i="22"/>
  <c r="J122" i="22"/>
  <c r="H122" i="23"/>
  <c r="H147" i="22"/>
  <c r="J147" i="21"/>
  <c r="J43" i="21"/>
  <c r="H43" i="22"/>
  <c r="J57" i="21"/>
  <c r="H57" i="22"/>
  <c r="J29" i="22"/>
  <c r="H29" i="23"/>
  <c r="J85" i="21"/>
  <c r="H85" i="22"/>
  <c r="J54" i="22"/>
  <c r="H54" i="23"/>
  <c r="J90" i="22"/>
  <c r="H90" i="23"/>
  <c r="J70" i="23"/>
  <c r="H70" i="24"/>
  <c r="J164" i="23"/>
  <c r="H164" i="24"/>
  <c r="J123" i="21"/>
  <c r="H123" i="22"/>
  <c r="H117" i="22"/>
  <c r="J117" i="21"/>
  <c r="J179" i="21"/>
  <c r="H179" i="22"/>
  <c r="H101" i="22"/>
  <c r="J101" i="21"/>
  <c r="J129" i="22"/>
  <c r="H129" i="23"/>
  <c r="J100" i="21"/>
  <c r="H100" i="22"/>
  <c r="J38" i="21"/>
  <c r="H38" i="22"/>
  <c r="H76" i="23"/>
  <c r="J76" i="22"/>
  <c r="H86" i="23"/>
  <c r="J86" i="22"/>
  <c r="H22" i="22"/>
  <c r="J22" i="21"/>
  <c r="H65" i="22"/>
  <c r="J65" i="21"/>
  <c r="H82" i="22"/>
  <c r="J82" i="21"/>
  <c r="H58" i="24"/>
  <c r="J58" i="23"/>
  <c r="H31" i="23"/>
  <c r="J31" i="22"/>
  <c r="H53" i="22"/>
  <c r="J53" i="21"/>
  <c r="H88" i="22"/>
  <c r="J88" i="21"/>
  <c r="H118" i="23"/>
  <c r="J118" i="22"/>
  <c r="J181" i="19"/>
  <c r="H181" i="20"/>
  <c r="H180" i="21"/>
  <c r="J180" i="20"/>
  <c r="H156" i="22"/>
  <c r="J156" i="21"/>
  <c r="H89" i="22"/>
  <c r="J89" i="21"/>
  <c r="J104" i="20"/>
  <c r="H104" i="21"/>
  <c r="J105" i="20"/>
  <c r="H105" i="21"/>
  <c r="J36" i="22"/>
  <c r="H36" i="23"/>
  <c r="H62" i="21"/>
  <c r="J62" i="20"/>
  <c r="H66" i="23"/>
  <c r="J66" i="22"/>
  <c r="J176" i="21"/>
  <c r="H176" i="22"/>
  <c r="J97" i="20"/>
  <c r="H97" i="21"/>
  <c r="H92" i="21"/>
  <c r="J92" i="20"/>
  <c r="H11" i="22"/>
  <c r="J11" i="21"/>
  <c r="H51" i="22"/>
  <c r="J51" i="21"/>
  <c r="J75" i="22"/>
  <c r="H44" i="23"/>
  <c r="J44" i="22"/>
  <c r="H64" i="22"/>
  <c r="J64" i="21"/>
  <c r="J120" i="20"/>
  <c r="H120" i="21"/>
  <c r="H91" i="22"/>
  <c r="J91" i="21"/>
  <c r="H114" i="22"/>
  <c r="J114" i="21"/>
  <c r="J27" i="20"/>
  <c r="H27" i="21"/>
  <c r="J96" i="20"/>
  <c r="H96" i="21"/>
  <c r="J141" i="20"/>
  <c r="H141" i="21"/>
  <c r="J161" i="22"/>
  <c r="H161" i="23"/>
  <c r="H69" i="21"/>
  <c r="J69" i="20"/>
  <c r="H63" i="22"/>
  <c r="J63" i="21"/>
  <c r="H115" i="23"/>
  <c r="J115" i="22"/>
  <c r="H178" i="21"/>
  <c r="J178" i="20"/>
  <c r="H140" i="21"/>
  <c r="J140" i="20"/>
  <c r="H98" i="20"/>
  <c r="J98" i="19"/>
  <c r="J99" i="19"/>
  <c r="H99" i="20"/>
  <c r="J116" i="22"/>
  <c r="H116" i="23"/>
  <c r="H163" i="21"/>
  <c r="J163" i="20"/>
  <c r="H41" i="22"/>
  <c r="J41" i="21"/>
  <c r="J146" i="20"/>
  <c r="H146" i="21"/>
  <c r="J145" i="22"/>
  <c r="H145" i="23"/>
  <c r="J113" i="21"/>
  <c r="H113" i="22"/>
  <c r="H13" i="23"/>
  <c r="J13" i="22"/>
  <c r="H94" i="23"/>
  <c r="J94" i="22"/>
  <c r="H182" i="24"/>
  <c r="J182" i="23"/>
  <c r="H30" i="23"/>
  <c r="J30" i="22"/>
  <c r="H10" i="22"/>
  <c r="J10" i="21"/>
  <c r="H130" i="24"/>
  <c r="J130" i="23"/>
  <c r="J32" i="19"/>
  <c r="H32" i="20"/>
  <c r="H144" i="23"/>
  <c r="J144" i="22"/>
  <c r="H175" i="23"/>
  <c r="J175" i="22"/>
  <c r="J127" i="22"/>
  <c r="H127" i="23"/>
  <c r="H74" i="24"/>
  <c r="J74" i="23"/>
  <c r="H149" i="24"/>
  <c r="J149" i="23"/>
  <c r="H173" i="24"/>
  <c r="J173" i="23"/>
  <c r="J28" i="20"/>
  <c r="H28" i="21"/>
  <c r="H134" i="22"/>
  <c r="J134" i="21"/>
  <c r="H60" i="19"/>
  <c r="J60" i="18"/>
  <c r="H112" i="24"/>
  <c r="J112" i="23"/>
  <c r="J152" i="22"/>
  <c r="H152" i="23"/>
  <c r="H177" i="24"/>
  <c r="J177" i="23"/>
  <c r="H47" i="20"/>
  <c r="J47" i="19"/>
  <c r="H49" i="21"/>
  <c r="J49" i="20"/>
  <c r="J131" i="22"/>
  <c r="H131" i="23"/>
  <c r="H95" i="23"/>
  <c r="J95" i="22"/>
  <c r="J23" i="21"/>
  <c r="H23" i="22"/>
  <c r="H59" i="21"/>
  <c r="J59" i="20"/>
  <c r="H155" i="23"/>
  <c r="J155" i="22"/>
  <c r="J148" i="21"/>
  <c r="H148" i="22"/>
  <c r="J187" i="21"/>
  <c r="H187" i="22"/>
  <c r="H67" i="21"/>
  <c r="J67" i="20"/>
  <c r="H119" i="24"/>
  <c r="J119" i="23"/>
  <c r="H78" i="21"/>
  <c r="J78" i="20"/>
  <c r="H84" i="24"/>
  <c r="J84" i="23"/>
  <c r="H186" i="21"/>
  <c r="J186" i="20"/>
  <c r="H142" i="22"/>
  <c r="J142" i="21"/>
  <c r="J12" i="21"/>
  <c r="H12" i="22"/>
  <c r="H9" i="22"/>
  <c r="J9" i="21"/>
  <c r="H40" i="21"/>
  <c r="J40" i="20"/>
  <c r="H15" i="21"/>
  <c r="J15" i="20"/>
  <c r="I16" i="20" s="1"/>
  <c r="H184" i="24"/>
  <c r="J184" i="23"/>
  <c r="J183" i="23"/>
  <c r="H183" i="24"/>
  <c r="J174" i="21"/>
  <c r="H174" i="22"/>
  <c r="H46" i="23" l="1"/>
  <c r="J46" i="22"/>
  <c r="H83" i="24"/>
  <c r="J83" i="23"/>
  <c r="J185" i="22"/>
  <c r="H185" i="23"/>
  <c r="J151" i="22"/>
  <c r="H151" i="23"/>
  <c r="J18" i="23"/>
  <c r="H18" i="24"/>
  <c r="H7" i="23"/>
  <c r="J7" i="22"/>
  <c r="I9" i="22" s="1"/>
  <c r="H165" i="23"/>
  <c r="J165" i="22"/>
  <c r="J150" i="25"/>
  <c r="H150" i="40"/>
  <c r="J143" i="21"/>
  <c r="H143" i="22"/>
  <c r="H132" i="24"/>
  <c r="J132" i="23"/>
  <c r="J87" i="21"/>
  <c r="H87" i="22"/>
  <c r="J77" i="22"/>
  <c r="H77" i="23"/>
  <c r="J52" i="22"/>
  <c r="H52" i="23"/>
  <c r="H42" i="23"/>
  <c r="J42" i="22"/>
  <c r="J39" i="22"/>
  <c r="H39" i="23"/>
  <c r="H20" i="22"/>
  <c r="J20" i="21"/>
  <c r="I20" i="21" s="1"/>
  <c r="J162" i="21"/>
  <c r="H162" i="22"/>
  <c r="H138" i="23"/>
  <c r="J138" i="22"/>
  <c r="H133" i="22"/>
  <c r="J133" i="21"/>
  <c r="H128" i="24"/>
  <c r="J128" i="23"/>
  <c r="J68" i="21"/>
  <c r="H68" i="22"/>
  <c r="J71" i="20"/>
  <c r="H71" i="21"/>
  <c r="H103" i="21"/>
  <c r="J103" i="20"/>
  <c r="H102" i="21"/>
  <c r="J102" i="20"/>
  <c r="H55" i="23"/>
  <c r="J55" i="22"/>
  <c r="J56" i="22"/>
  <c r="H56" i="23"/>
  <c r="J37" i="22"/>
  <c r="H37" i="23"/>
  <c r="H24" i="22"/>
  <c r="J24" i="21"/>
  <c r="J19" i="21"/>
  <c r="H19" i="22"/>
  <c r="J8" i="21"/>
  <c r="H8" i="22"/>
  <c r="J76" i="23"/>
  <c r="H76" i="24"/>
  <c r="H101" i="23"/>
  <c r="J101" i="22"/>
  <c r="J117" i="22"/>
  <c r="H117" i="23"/>
  <c r="H100" i="23"/>
  <c r="J100" i="22"/>
  <c r="J123" i="22"/>
  <c r="H123" i="23"/>
  <c r="J70" i="24"/>
  <c r="H70" i="25"/>
  <c r="J54" i="23"/>
  <c r="H54" i="24"/>
  <c r="J29" i="23"/>
  <c r="H29" i="24"/>
  <c r="H43" i="23"/>
  <c r="J43" i="22"/>
  <c r="J122" i="23"/>
  <c r="H122" i="24"/>
  <c r="J121" i="22"/>
  <c r="H121" i="23"/>
  <c r="H139" i="23"/>
  <c r="J139" i="22"/>
  <c r="H86" i="24"/>
  <c r="J86" i="23"/>
  <c r="H147" i="23"/>
  <c r="J147" i="22"/>
  <c r="J50" i="23"/>
  <c r="H50" i="24"/>
  <c r="J35" i="23"/>
  <c r="H35" i="24"/>
  <c r="J38" i="22"/>
  <c r="H38" i="23"/>
  <c r="J129" i="23"/>
  <c r="H129" i="24"/>
  <c r="J179" i="22"/>
  <c r="H179" i="23"/>
  <c r="H164" i="25"/>
  <c r="J164" i="24"/>
  <c r="J90" i="23"/>
  <c r="H90" i="24"/>
  <c r="J85" i="22"/>
  <c r="H85" i="23"/>
  <c r="J57" i="22"/>
  <c r="H57" i="23"/>
  <c r="H22" i="23"/>
  <c r="J22" i="22"/>
  <c r="H82" i="23"/>
  <c r="J82" i="22"/>
  <c r="H31" i="24"/>
  <c r="J31" i="23"/>
  <c r="H58" i="25"/>
  <c r="J58" i="24"/>
  <c r="H65" i="23"/>
  <c r="J65" i="22"/>
  <c r="H96" i="22"/>
  <c r="J96" i="21"/>
  <c r="J97" i="21"/>
  <c r="H97" i="22"/>
  <c r="H104" i="22"/>
  <c r="J104" i="21"/>
  <c r="J181" i="20"/>
  <c r="H181" i="21"/>
  <c r="J41" i="22"/>
  <c r="H41" i="23"/>
  <c r="J98" i="20"/>
  <c r="H98" i="21"/>
  <c r="J63" i="22"/>
  <c r="H63" i="23"/>
  <c r="H64" i="23"/>
  <c r="J64" i="22"/>
  <c r="H51" i="23"/>
  <c r="J51" i="22"/>
  <c r="H62" i="22"/>
  <c r="J62" i="21"/>
  <c r="J163" i="21"/>
  <c r="H163" i="22"/>
  <c r="J140" i="21"/>
  <c r="H140" i="22"/>
  <c r="H69" i="22"/>
  <c r="J69" i="21"/>
  <c r="H91" i="23"/>
  <c r="J91" i="22"/>
  <c r="H44" i="24"/>
  <c r="J44" i="23"/>
  <c r="H11" i="23"/>
  <c r="J11" i="22"/>
  <c r="H89" i="23"/>
  <c r="J89" i="22"/>
  <c r="H118" i="24"/>
  <c r="J118" i="23"/>
  <c r="J116" i="23"/>
  <c r="H116" i="24"/>
  <c r="J161" i="23"/>
  <c r="H161" i="24"/>
  <c r="J27" i="21"/>
  <c r="H27" i="22"/>
  <c r="H176" i="23"/>
  <c r="J176" i="22"/>
  <c r="H36" i="24"/>
  <c r="J36" i="23"/>
  <c r="H178" i="22"/>
  <c r="J178" i="21"/>
  <c r="H75" i="24"/>
  <c r="J75" i="23"/>
  <c r="H92" i="22"/>
  <c r="J92" i="21"/>
  <c r="H156" i="23"/>
  <c r="J156" i="22"/>
  <c r="H88" i="23"/>
  <c r="J88" i="22"/>
  <c r="H146" i="22"/>
  <c r="J146" i="21"/>
  <c r="J99" i="20"/>
  <c r="H99" i="21"/>
  <c r="H141" i="22"/>
  <c r="J141" i="21"/>
  <c r="J120" i="21"/>
  <c r="H120" i="22"/>
  <c r="H105" i="22"/>
  <c r="J105" i="21"/>
  <c r="H115" i="24"/>
  <c r="J115" i="23"/>
  <c r="H114" i="23"/>
  <c r="J114" i="22"/>
  <c r="J66" i="23"/>
  <c r="H66" i="24"/>
  <c r="J180" i="21"/>
  <c r="H180" i="22"/>
  <c r="H53" i="23"/>
  <c r="J53" i="22"/>
  <c r="H142" i="23"/>
  <c r="J142" i="22"/>
  <c r="H186" i="22"/>
  <c r="J186" i="21"/>
  <c r="H59" i="22"/>
  <c r="J59" i="21"/>
  <c r="J95" i="23"/>
  <c r="H95" i="24"/>
  <c r="H28" i="22"/>
  <c r="J28" i="21"/>
  <c r="H184" i="25"/>
  <c r="J184" i="24"/>
  <c r="H40" i="22"/>
  <c r="J40" i="21"/>
  <c r="H148" i="23"/>
  <c r="J148" i="22"/>
  <c r="H112" i="25"/>
  <c r="J112" i="24"/>
  <c r="J60" i="19"/>
  <c r="H60" i="20"/>
  <c r="H74" i="25"/>
  <c r="J74" i="24"/>
  <c r="H175" i="24"/>
  <c r="J175" i="23"/>
  <c r="H130" i="25"/>
  <c r="J130" i="24"/>
  <c r="J30" i="23"/>
  <c r="H30" i="24"/>
  <c r="H84" i="25"/>
  <c r="J84" i="24"/>
  <c r="J174" i="22"/>
  <c r="H174" i="23"/>
  <c r="H15" i="22"/>
  <c r="J15" i="21"/>
  <c r="I16" i="21" s="1"/>
  <c r="J9" i="22"/>
  <c r="H9" i="23"/>
  <c r="J12" i="22"/>
  <c r="H12" i="23"/>
  <c r="H23" i="23"/>
  <c r="J23" i="22"/>
  <c r="H131" i="24"/>
  <c r="J131" i="23"/>
  <c r="H49" i="22"/>
  <c r="J49" i="21"/>
  <c r="J134" i="22"/>
  <c r="H134" i="23"/>
  <c r="H173" i="25"/>
  <c r="J173" i="24"/>
  <c r="H144" i="24"/>
  <c r="J144" i="23"/>
  <c r="H182" i="25"/>
  <c r="J182" i="24"/>
  <c r="J13" i="23"/>
  <c r="H13" i="24"/>
  <c r="J119" i="24"/>
  <c r="H119" i="25"/>
  <c r="J113" i="22"/>
  <c r="H113" i="23"/>
  <c r="H149" i="25"/>
  <c r="J149" i="24"/>
  <c r="H183" i="25"/>
  <c r="J183" i="24"/>
  <c r="H78" i="22"/>
  <c r="J78" i="21"/>
  <c r="H67" i="22"/>
  <c r="J67" i="21"/>
  <c r="H155" i="24"/>
  <c r="H155" i="25" s="1"/>
  <c r="J155" i="23"/>
  <c r="J152" i="23"/>
  <c r="H152" i="24"/>
  <c r="J127" i="23"/>
  <c r="H127" i="24"/>
  <c r="J32" i="20"/>
  <c r="H32" i="21"/>
  <c r="H145" i="24"/>
  <c r="J145" i="23"/>
  <c r="J187" i="22"/>
  <c r="H187" i="23"/>
  <c r="H47" i="21"/>
  <c r="J47" i="20"/>
  <c r="J177" i="24"/>
  <c r="H177" i="25"/>
  <c r="H10" i="23"/>
  <c r="J10" i="22"/>
  <c r="H94" i="24"/>
  <c r="J94" i="23"/>
  <c r="H83" i="25" l="1"/>
  <c r="J83" i="24"/>
  <c r="H46" i="24"/>
  <c r="J46" i="23"/>
  <c r="H185" i="24"/>
  <c r="J185" i="23"/>
  <c r="J151" i="23"/>
  <c r="H151" i="24"/>
  <c r="J18" i="24"/>
  <c r="H18" i="25"/>
  <c r="H7" i="24"/>
  <c r="J7" i="23"/>
  <c r="I9" i="23" s="1"/>
  <c r="H165" i="24"/>
  <c r="J165" i="23"/>
  <c r="H150" i="27"/>
  <c r="J150" i="40"/>
  <c r="H143" i="23"/>
  <c r="J143" i="22"/>
  <c r="J132" i="24"/>
  <c r="H132" i="25"/>
  <c r="J87" i="22"/>
  <c r="H87" i="23"/>
  <c r="J77" i="23"/>
  <c r="H77" i="24"/>
  <c r="J52" i="23"/>
  <c r="H52" i="24"/>
  <c r="J42" i="23"/>
  <c r="H42" i="24"/>
  <c r="H39" i="24"/>
  <c r="J39" i="23"/>
  <c r="H20" i="23"/>
  <c r="J20" i="22"/>
  <c r="I20" i="22" s="1"/>
  <c r="H162" i="23"/>
  <c r="J162" i="22"/>
  <c r="J138" i="23"/>
  <c r="H138" i="24"/>
  <c r="H133" i="23"/>
  <c r="J133" i="22"/>
  <c r="J128" i="24"/>
  <c r="H128" i="25"/>
  <c r="J68" i="22"/>
  <c r="H68" i="23"/>
  <c r="J71" i="21"/>
  <c r="H71" i="22"/>
  <c r="H55" i="24"/>
  <c r="J55" i="23"/>
  <c r="H103" i="22"/>
  <c r="J103" i="21"/>
  <c r="H102" i="22"/>
  <c r="J102" i="21"/>
  <c r="J56" i="23"/>
  <c r="H56" i="24"/>
  <c r="J37" i="23"/>
  <c r="H37" i="24"/>
  <c r="J24" i="22"/>
  <c r="H24" i="23"/>
  <c r="H19" i="23"/>
  <c r="J19" i="22"/>
  <c r="H8" i="23"/>
  <c r="J8" i="22"/>
  <c r="J164" i="25"/>
  <c r="H164" i="40"/>
  <c r="H147" i="24"/>
  <c r="J147" i="23"/>
  <c r="J139" i="23"/>
  <c r="H139" i="24"/>
  <c r="J85" i="23"/>
  <c r="H85" i="24"/>
  <c r="J179" i="23"/>
  <c r="H179" i="24"/>
  <c r="J35" i="24"/>
  <c r="H35" i="25"/>
  <c r="J122" i="24"/>
  <c r="H122" i="25"/>
  <c r="J29" i="24"/>
  <c r="H29" i="25"/>
  <c r="J70" i="25"/>
  <c r="H70" i="40"/>
  <c r="J117" i="23"/>
  <c r="H117" i="24"/>
  <c r="J76" i="24"/>
  <c r="H76" i="25"/>
  <c r="J86" i="24"/>
  <c r="H86" i="25"/>
  <c r="J43" i="23"/>
  <c r="H43" i="24"/>
  <c r="J100" i="23"/>
  <c r="H100" i="24"/>
  <c r="J101" i="23"/>
  <c r="H101" i="24"/>
  <c r="H57" i="24"/>
  <c r="J57" i="23"/>
  <c r="J90" i="24"/>
  <c r="H90" i="25"/>
  <c r="H129" i="25"/>
  <c r="J129" i="24"/>
  <c r="J38" i="23"/>
  <c r="H38" i="24"/>
  <c r="J50" i="24"/>
  <c r="H50" i="25"/>
  <c r="J121" i="23"/>
  <c r="H121" i="24"/>
  <c r="J54" i="24"/>
  <c r="H54" i="25"/>
  <c r="J123" i="23"/>
  <c r="H123" i="24"/>
  <c r="H31" i="25"/>
  <c r="J31" i="24"/>
  <c r="H82" i="24"/>
  <c r="J82" i="23"/>
  <c r="H58" i="40"/>
  <c r="J58" i="25"/>
  <c r="H65" i="24"/>
  <c r="J65" i="23"/>
  <c r="J22" i="23"/>
  <c r="H22" i="24"/>
  <c r="H120" i="23"/>
  <c r="J120" i="22"/>
  <c r="H63" i="24"/>
  <c r="J63" i="23"/>
  <c r="J181" i="21"/>
  <c r="H181" i="22"/>
  <c r="H114" i="24"/>
  <c r="J114" i="23"/>
  <c r="J75" i="24"/>
  <c r="H75" i="25"/>
  <c r="J176" i="23"/>
  <c r="H176" i="24"/>
  <c r="J11" i="23"/>
  <c r="H11" i="24"/>
  <c r="H69" i="23"/>
  <c r="J69" i="22"/>
  <c r="H62" i="23"/>
  <c r="J62" i="22"/>
  <c r="H180" i="23"/>
  <c r="J180" i="22"/>
  <c r="J27" i="22"/>
  <c r="H27" i="23"/>
  <c r="H140" i="23"/>
  <c r="J140" i="22"/>
  <c r="H98" i="22"/>
  <c r="J98" i="21"/>
  <c r="H115" i="25"/>
  <c r="J115" i="24"/>
  <c r="J141" i="22"/>
  <c r="H141" i="23"/>
  <c r="H88" i="24"/>
  <c r="J88" i="23"/>
  <c r="J118" i="24"/>
  <c r="H118" i="25"/>
  <c r="H44" i="25"/>
  <c r="J44" i="24"/>
  <c r="H51" i="24"/>
  <c r="J51" i="23"/>
  <c r="H104" i="23"/>
  <c r="J104" i="22"/>
  <c r="H66" i="25"/>
  <c r="J66" i="24"/>
  <c r="J99" i="21"/>
  <c r="H99" i="22"/>
  <c r="H161" i="25"/>
  <c r="J161" i="24"/>
  <c r="J163" i="22"/>
  <c r="H163" i="23"/>
  <c r="H41" i="24"/>
  <c r="J41" i="23"/>
  <c r="J97" i="22"/>
  <c r="H97" i="23"/>
  <c r="J105" i="22"/>
  <c r="H105" i="23"/>
  <c r="H156" i="24"/>
  <c r="J156" i="23"/>
  <c r="J178" i="22"/>
  <c r="H178" i="23"/>
  <c r="J89" i="23"/>
  <c r="H89" i="24"/>
  <c r="J91" i="23"/>
  <c r="H91" i="24"/>
  <c r="H64" i="24"/>
  <c r="J64" i="23"/>
  <c r="H116" i="25"/>
  <c r="J116" i="24"/>
  <c r="H53" i="24"/>
  <c r="J53" i="23"/>
  <c r="H146" i="23"/>
  <c r="J146" i="22"/>
  <c r="J92" i="22"/>
  <c r="H92" i="23"/>
  <c r="H36" i="25"/>
  <c r="J36" i="24"/>
  <c r="H96" i="23"/>
  <c r="J96" i="22"/>
  <c r="H144" i="25"/>
  <c r="J144" i="24"/>
  <c r="H23" i="24"/>
  <c r="J23" i="23"/>
  <c r="H15" i="23"/>
  <c r="J15" i="22"/>
  <c r="I16" i="22" s="1"/>
  <c r="H74" i="40"/>
  <c r="J74" i="25"/>
  <c r="H59" i="23"/>
  <c r="J59" i="22"/>
  <c r="J187" i="23"/>
  <c r="H187" i="24"/>
  <c r="J119" i="25"/>
  <c r="H119" i="40"/>
  <c r="J30" i="24"/>
  <c r="H30" i="25"/>
  <c r="H60" i="21"/>
  <c r="J60" i="20"/>
  <c r="H145" i="25"/>
  <c r="J145" i="24"/>
  <c r="H155" i="40"/>
  <c r="J155" i="25"/>
  <c r="H183" i="40"/>
  <c r="J183" i="25"/>
  <c r="H149" i="40"/>
  <c r="J149" i="25"/>
  <c r="H28" i="23"/>
  <c r="J28" i="22"/>
  <c r="H177" i="40"/>
  <c r="J177" i="25"/>
  <c r="J32" i="21"/>
  <c r="H32" i="22"/>
  <c r="H113" i="24"/>
  <c r="J113" i="23"/>
  <c r="J13" i="24"/>
  <c r="H13" i="25"/>
  <c r="J12" i="23"/>
  <c r="H12" i="24"/>
  <c r="J174" i="23"/>
  <c r="H174" i="24"/>
  <c r="H152" i="25"/>
  <c r="J152" i="24"/>
  <c r="H94" i="25"/>
  <c r="J94" i="24"/>
  <c r="H67" i="23"/>
  <c r="J67" i="22"/>
  <c r="H173" i="40"/>
  <c r="J173" i="25"/>
  <c r="H49" i="23"/>
  <c r="J49" i="22"/>
  <c r="H84" i="40"/>
  <c r="J84" i="25"/>
  <c r="H130" i="40"/>
  <c r="J130" i="25"/>
  <c r="J112" i="25"/>
  <c r="H112" i="40"/>
  <c r="H148" i="24"/>
  <c r="J148" i="23"/>
  <c r="H40" i="23"/>
  <c r="J40" i="22"/>
  <c r="H186" i="23"/>
  <c r="J186" i="22"/>
  <c r="J134" i="23"/>
  <c r="H134" i="24"/>
  <c r="J9" i="23"/>
  <c r="H9" i="24"/>
  <c r="J95" i="24"/>
  <c r="H95" i="25"/>
  <c r="J127" i="24"/>
  <c r="H127" i="25"/>
  <c r="J10" i="23"/>
  <c r="H10" i="24"/>
  <c r="H47" i="22"/>
  <c r="J47" i="21"/>
  <c r="J78" i="22"/>
  <c r="H182" i="40"/>
  <c r="J182" i="25"/>
  <c r="H131" i="25"/>
  <c r="J131" i="24"/>
  <c r="H175" i="25"/>
  <c r="J175" i="24"/>
  <c r="J184" i="25"/>
  <c r="H184" i="40"/>
  <c r="H142" i="24"/>
  <c r="J142" i="23"/>
  <c r="H46" i="25" l="1"/>
  <c r="J46" i="24"/>
  <c r="H83" i="40"/>
  <c r="J83" i="25"/>
  <c r="J185" i="24"/>
  <c r="H185" i="25"/>
  <c r="J151" i="24"/>
  <c r="H151" i="25"/>
  <c r="H18" i="40"/>
  <c r="J18" i="25"/>
  <c r="J7" i="24"/>
  <c r="I9" i="24" s="1"/>
  <c r="H7" i="25"/>
  <c r="H165" i="25"/>
  <c r="J165" i="24"/>
  <c r="H150" i="28"/>
  <c r="J150" i="27"/>
  <c r="J143" i="23"/>
  <c r="H143" i="24"/>
  <c r="J132" i="25"/>
  <c r="H132" i="40"/>
  <c r="H87" i="24"/>
  <c r="J87" i="23"/>
  <c r="H77" i="25"/>
  <c r="J77" i="24"/>
  <c r="J52" i="24"/>
  <c r="H52" i="25"/>
  <c r="H42" i="25"/>
  <c r="J42" i="24"/>
  <c r="J39" i="24"/>
  <c r="H39" i="25"/>
  <c r="H20" i="24"/>
  <c r="J20" i="23"/>
  <c r="I20" i="23" s="1"/>
  <c r="H162" i="24"/>
  <c r="J162" i="23"/>
  <c r="H138" i="25"/>
  <c r="J138" i="24"/>
  <c r="H133" i="24"/>
  <c r="J133" i="23"/>
  <c r="J128" i="25"/>
  <c r="H128" i="40"/>
  <c r="H68" i="24"/>
  <c r="J68" i="23"/>
  <c r="H71" i="23"/>
  <c r="J71" i="22"/>
  <c r="H102" i="23"/>
  <c r="J102" i="22"/>
  <c r="H55" i="25"/>
  <c r="J55" i="24"/>
  <c r="J103" i="22"/>
  <c r="H103" i="23"/>
  <c r="H56" i="25"/>
  <c r="J56" i="24"/>
  <c r="J37" i="24"/>
  <c r="H37" i="25"/>
  <c r="J24" i="23"/>
  <c r="H24" i="24"/>
  <c r="H19" i="24"/>
  <c r="J19" i="23"/>
  <c r="J8" i="23"/>
  <c r="H8" i="24"/>
  <c r="J129" i="25"/>
  <c r="H129" i="40"/>
  <c r="J147" i="24"/>
  <c r="H147" i="25"/>
  <c r="J54" i="25"/>
  <c r="H54" i="40"/>
  <c r="J50" i="25"/>
  <c r="H50" i="40"/>
  <c r="J90" i="25"/>
  <c r="H90" i="40"/>
  <c r="H101" i="25"/>
  <c r="J101" i="24"/>
  <c r="J43" i="24"/>
  <c r="H43" i="25"/>
  <c r="J76" i="25"/>
  <c r="H76" i="40"/>
  <c r="J29" i="25"/>
  <c r="H29" i="40"/>
  <c r="H35" i="40"/>
  <c r="J35" i="25"/>
  <c r="J85" i="24"/>
  <c r="H85" i="25"/>
  <c r="H164" i="27"/>
  <c r="J164" i="40"/>
  <c r="J57" i="24"/>
  <c r="H57" i="25"/>
  <c r="J123" i="24"/>
  <c r="H123" i="25"/>
  <c r="J121" i="24"/>
  <c r="H121" i="25"/>
  <c r="J38" i="24"/>
  <c r="H38" i="25"/>
  <c r="H100" i="25"/>
  <c r="J100" i="24"/>
  <c r="J86" i="25"/>
  <c r="H86" i="40"/>
  <c r="H117" i="25"/>
  <c r="J117" i="24"/>
  <c r="H70" i="27"/>
  <c r="J70" i="40"/>
  <c r="J122" i="25"/>
  <c r="H122" i="40"/>
  <c r="J179" i="24"/>
  <c r="H179" i="25"/>
  <c r="J139" i="24"/>
  <c r="H139" i="25"/>
  <c r="H65" i="25"/>
  <c r="J65" i="24"/>
  <c r="H58" i="27"/>
  <c r="J58" i="40"/>
  <c r="H82" i="25"/>
  <c r="J82" i="24"/>
  <c r="H31" i="40"/>
  <c r="J31" i="25"/>
  <c r="H22" i="25"/>
  <c r="J22" i="24"/>
  <c r="H163" i="24"/>
  <c r="J163" i="23"/>
  <c r="H176" i="25"/>
  <c r="J176" i="24"/>
  <c r="H36" i="40"/>
  <c r="J36" i="25"/>
  <c r="J53" i="24"/>
  <c r="H53" i="25"/>
  <c r="H64" i="25"/>
  <c r="J64" i="24"/>
  <c r="H156" i="25"/>
  <c r="J156" i="24"/>
  <c r="H104" i="24"/>
  <c r="J104" i="23"/>
  <c r="J98" i="22"/>
  <c r="H98" i="23"/>
  <c r="J62" i="23"/>
  <c r="H62" i="24"/>
  <c r="J63" i="24"/>
  <c r="H63" i="25"/>
  <c r="J92" i="23"/>
  <c r="H92" i="24"/>
  <c r="H91" i="25"/>
  <c r="J91" i="24"/>
  <c r="J105" i="23"/>
  <c r="H105" i="24"/>
  <c r="H75" i="40"/>
  <c r="J75" i="25"/>
  <c r="H161" i="40"/>
  <c r="J161" i="25"/>
  <c r="H51" i="25"/>
  <c r="J51" i="24"/>
  <c r="H88" i="25"/>
  <c r="J88" i="24"/>
  <c r="H140" i="24"/>
  <c r="J140" i="23"/>
  <c r="H69" i="24"/>
  <c r="J69" i="23"/>
  <c r="H89" i="25"/>
  <c r="J89" i="24"/>
  <c r="H97" i="24"/>
  <c r="J97" i="23"/>
  <c r="J99" i="22"/>
  <c r="H99" i="23"/>
  <c r="J141" i="23"/>
  <c r="H141" i="24"/>
  <c r="J27" i="23"/>
  <c r="H27" i="24"/>
  <c r="H11" i="25"/>
  <c r="J11" i="24"/>
  <c r="H146" i="24"/>
  <c r="J146" i="23"/>
  <c r="H116" i="40"/>
  <c r="J116" i="25"/>
  <c r="H44" i="40"/>
  <c r="J44" i="25"/>
  <c r="J114" i="24"/>
  <c r="H114" i="25"/>
  <c r="J120" i="23"/>
  <c r="H120" i="24"/>
  <c r="H178" i="24"/>
  <c r="J178" i="23"/>
  <c r="H118" i="40"/>
  <c r="J118" i="25"/>
  <c r="H181" i="23"/>
  <c r="J181" i="22"/>
  <c r="H96" i="24"/>
  <c r="J96" i="23"/>
  <c r="H41" i="25"/>
  <c r="J41" i="24"/>
  <c r="H66" i="40"/>
  <c r="J66" i="25"/>
  <c r="H115" i="40"/>
  <c r="J115" i="25"/>
  <c r="H180" i="24"/>
  <c r="J180" i="23"/>
  <c r="J186" i="23"/>
  <c r="H186" i="24"/>
  <c r="H130" i="27"/>
  <c r="J130" i="40"/>
  <c r="H173" i="27"/>
  <c r="J173" i="40"/>
  <c r="H94" i="40"/>
  <c r="J94" i="25"/>
  <c r="H28" i="24"/>
  <c r="J28" i="23"/>
  <c r="H155" i="27"/>
  <c r="J155" i="40"/>
  <c r="H60" i="22"/>
  <c r="J60" i="21"/>
  <c r="J144" i="25"/>
  <c r="H144" i="40"/>
  <c r="J95" i="25"/>
  <c r="H95" i="40"/>
  <c r="H9" i="25"/>
  <c r="J9" i="24"/>
  <c r="J13" i="25"/>
  <c r="H13" i="40"/>
  <c r="H32" i="23"/>
  <c r="J32" i="22"/>
  <c r="J30" i="25"/>
  <c r="H30" i="40"/>
  <c r="H40" i="24"/>
  <c r="J40" i="23"/>
  <c r="H84" i="27"/>
  <c r="J84" i="40"/>
  <c r="H67" i="24"/>
  <c r="J67" i="23"/>
  <c r="H152" i="40"/>
  <c r="J152" i="25"/>
  <c r="H145" i="40"/>
  <c r="J145" i="25"/>
  <c r="H15" i="24"/>
  <c r="J15" i="23"/>
  <c r="I16" i="23" s="1"/>
  <c r="H175" i="40"/>
  <c r="J175" i="25"/>
  <c r="H78" i="24"/>
  <c r="J78" i="23"/>
  <c r="H134" i="25"/>
  <c r="J134" i="24"/>
  <c r="J187" i="24"/>
  <c r="H187" i="25"/>
  <c r="H142" i="25"/>
  <c r="J142" i="24"/>
  <c r="H184" i="27"/>
  <c r="J184" i="40"/>
  <c r="H47" i="23"/>
  <c r="J47" i="22"/>
  <c r="J148" i="24"/>
  <c r="H148" i="25"/>
  <c r="J177" i="40"/>
  <c r="H177" i="27"/>
  <c r="J149" i="40"/>
  <c r="H149" i="27"/>
  <c r="H74" i="27"/>
  <c r="J74" i="40"/>
  <c r="H23" i="25"/>
  <c r="J23" i="24"/>
  <c r="H131" i="40"/>
  <c r="J131" i="25"/>
  <c r="J10" i="24"/>
  <c r="H10" i="25"/>
  <c r="H112" i="27"/>
  <c r="J112" i="40"/>
  <c r="H174" i="25"/>
  <c r="J174" i="24"/>
  <c r="H49" i="24"/>
  <c r="J49" i="23"/>
  <c r="H113" i="25"/>
  <c r="J113" i="24"/>
  <c r="H183" i="27"/>
  <c r="J183" i="40"/>
  <c r="H59" i="24"/>
  <c r="J59" i="23"/>
  <c r="H182" i="27"/>
  <c r="J182" i="40"/>
  <c r="H127" i="40"/>
  <c r="J127" i="25"/>
  <c r="H12" i="25"/>
  <c r="J12" i="24"/>
  <c r="H119" i="27"/>
  <c r="J119" i="40"/>
  <c r="H83" i="27" l="1"/>
  <c r="J83" i="40"/>
  <c r="H46" i="40"/>
  <c r="J46" i="25"/>
  <c r="H185" i="40"/>
  <c r="J185" i="25"/>
  <c r="H151" i="40"/>
  <c r="J151" i="25"/>
  <c r="J18" i="40"/>
  <c r="H18" i="27"/>
  <c r="J7" i="25"/>
  <c r="I9" i="25" s="1"/>
  <c r="H7" i="40"/>
  <c r="J165" i="25"/>
  <c r="H165" i="40"/>
  <c r="J150" i="28"/>
  <c r="H150" i="29"/>
  <c r="J143" i="24"/>
  <c r="H143" i="25"/>
  <c r="H132" i="27"/>
  <c r="J132" i="40"/>
  <c r="H87" i="25"/>
  <c r="J87" i="24"/>
  <c r="H77" i="40"/>
  <c r="J77" i="25"/>
  <c r="H52" i="40"/>
  <c r="J52" i="25"/>
  <c r="J42" i="25"/>
  <c r="H42" i="40"/>
  <c r="J39" i="25"/>
  <c r="H39" i="40"/>
  <c r="J20" i="24"/>
  <c r="I20" i="24" s="1"/>
  <c r="H20" i="25"/>
  <c r="J162" i="24"/>
  <c r="H162" i="25"/>
  <c r="J138" i="25"/>
  <c r="H138" i="40"/>
  <c r="J133" i="24"/>
  <c r="H133" i="25"/>
  <c r="J128" i="40"/>
  <c r="H128" i="27"/>
  <c r="J68" i="24"/>
  <c r="H68" i="25"/>
  <c r="J71" i="23"/>
  <c r="H71" i="24"/>
  <c r="J102" i="23"/>
  <c r="H102" i="24"/>
  <c r="J103" i="23"/>
  <c r="H103" i="24"/>
  <c r="J56" i="25"/>
  <c r="H56" i="40"/>
  <c r="H55" i="40"/>
  <c r="J55" i="25"/>
  <c r="J37" i="25"/>
  <c r="H37" i="40"/>
  <c r="J24" i="24"/>
  <c r="H24" i="25"/>
  <c r="J19" i="24"/>
  <c r="H19" i="25"/>
  <c r="H8" i="25"/>
  <c r="J8" i="24"/>
  <c r="J70" i="27"/>
  <c r="H70" i="28"/>
  <c r="H164" i="28"/>
  <c r="J164" i="27"/>
  <c r="H35" i="27"/>
  <c r="J35" i="40"/>
  <c r="H101" i="40"/>
  <c r="J101" i="25"/>
  <c r="J179" i="25"/>
  <c r="H179" i="40"/>
  <c r="J86" i="40"/>
  <c r="H86" i="27"/>
  <c r="J121" i="25"/>
  <c r="H121" i="40"/>
  <c r="J76" i="40"/>
  <c r="H76" i="27"/>
  <c r="H50" i="27"/>
  <c r="J50" i="40"/>
  <c r="J147" i="25"/>
  <c r="H147" i="40"/>
  <c r="J129" i="40"/>
  <c r="H129" i="27"/>
  <c r="J117" i="25"/>
  <c r="H117" i="40"/>
  <c r="J100" i="25"/>
  <c r="H100" i="40"/>
  <c r="J139" i="25"/>
  <c r="H139" i="40"/>
  <c r="J122" i="40"/>
  <c r="H122" i="27"/>
  <c r="J38" i="25"/>
  <c r="H38" i="40"/>
  <c r="J123" i="25"/>
  <c r="H123" i="40"/>
  <c r="J57" i="25"/>
  <c r="H57" i="40"/>
  <c r="J85" i="25"/>
  <c r="H85" i="40"/>
  <c r="J29" i="40"/>
  <c r="H29" i="27"/>
  <c r="J43" i="25"/>
  <c r="H43" i="40"/>
  <c r="J90" i="40"/>
  <c r="H90" i="27"/>
  <c r="J90" i="27" s="1"/>
  <c r="J54" i="40"/>
  <c r="H54" i="27"/>
  <c r="H82" i="40"/>
  <c r="J82" i="25"/>
  <c r="H22" i="40"/>
  <c r="J22" i="25"/>
  <c r="H58" i="28"/>
  <c r="J58" i="27"/>
  <c r="J31" i="40"/>
  <c r="H31" i="27"/>
  <c r="H65" i="40"/>
  <c r="J65" i="25"/>
  <c r="H41" i="40"/>
  <c r="J41" i="25"/>
  <c r="J181" i="23"/>
  <c r="H181" i="24"/>
  <c r="J146" i="24"/>
  <c r="H146" i="25"/>
  <c r="J51" i="25"/>
  <c r="H51" i="40"/>
  <c r="J105" i="24"/>
  <c r="H105" i="25"/>
  <c r="J63" i="25"/>
  <c r="H63" i="40"/>
  <c r="J114" i="25"/>
  <c r="H114" i="40"/>
  <c r="H104" i="25"/>
  <c r="J104" i="24"/>
  <c r="H36" i="27"/>
  <c r="J36" i="40"/>
  <c r="H180" i="25"/>
  <c r="J180" i="24"/>
  <c r="J118" i="40"/>
  <c r="H118" i="27"/>
  <c r="J11" i="25"/>
  <c r="H11" i="40"/>
  <c r="H97" i="25"/>
  <c r="J97" i="24"/>
  <c r="H69" i="25"/>
  <c r="J69" i="24"/>
  <c r="H161" i="27"/>
  <c r="J161" i="40"/>
  <c r="H62" i="25"/>
  <c r="J62" i="24"/>
  <c r="J27" i="24"/>
  <c r="H27" i="25"/>
  <c r="H91" i="40"/>
  <c r="J91" i="25"/>
  <c r="J156" i="25"/>
  <c r="H156" i="40"/>
  <c r="H176" i="40"/>
  <c r="J176" i="25"/>
  <c r="H115" i="27"/>
  <c r="J115" i="40"/>
  <c r="J178" i="24"/>
  <c r="H178" i="25"/>
  <c r="H44" i="27"/>
  <c r="J44" i="40"/>
  <c r="H89" i="40"/>
  <c r="J89" i="25"/>
  <c r="H140" i="25"/>
  <c r="J140" i="24"/>
  <c r="H98" i="24"/>
  <c r="J98" i="23"/>
  <c r="J141" i="24"/>
  <c r="H141" i="25"/>
  <c r="H64" i="40"/>
  <c r="J64" i="25"/>
  <c r="H163" i="25"/>
  <c r="J163" i="24"/>
  <c r="H66" i="27"/>
  <c r="J66" i="40"/>
  <c r="H96" i="25"/>
  <c r="J96" i="24"/>
  <c r="H116" i="27"/>
  <c r="J116" i="40"/>
  <c r="H88" i="40"/>
  <c r="J88" i="25"/>
  <c r="J92" i="24"/>
  <c r="H92" i="25"/>
  <c r="H53" i="40"/>
  <c r="J53" i="25"/>
  <c r="H120" i="25"/>
  <c r="J120" i="24"/>
  <c r="H99" i="24"/>
  <c r="J99" i="23"/>
  <c r="H75" i="27"/>
  <c r="J75" i="40"/>
  <c r="H23" i="40"/>
  <c r="J23" i="25"/>
  <c r="H142" i="40"/>
  <c r="J142" i="25"/>
  <c r="J95" i="40"/>
  <c r="H95" i="27"/>
  <c r="J60" i="22"/>
  <c r="H60" i="23"/>
  <c r="J28" i="24"/>
  <c r="H28" i="25"/>
  <c r="J130" i="27"/>
  <c r="H130" i="28"/>
  <c r="J12" i="25"/>
  <c r="H12" i="40"/>
  <c r="H182" i="28"/>
  <c r="J182" i="27"/>
  <c r="J59" i="24"/>
  <c r="H59" i="25"/>
  <c r="H113" i="40"/>
  <c r="J113" i="25"/>
  <c r="J134" i="25"/>
  <c r="H134" i="40"/>
  <c r="H186" i="25"/>
  <c r="J186" i="24"/>
  <c r="H112" i="28"/>
  <c r="J112" i="27"/>
  <c r="H74" i="28"/>
  <c r="J74" i="27"/>
  <c r="J155" i="27"/>
  <c r="H155" i="28"/>
  <c r="H94" i="27"/>
  <c r="J94" i="40"/>
  <c r="H127" i="27"/>
  <c r="J127" i="40"/>
  <c r="H183" i="28"/>
  <c r="J183" i="27"/>
  <c r="J187" i="25"/>
  <c r="H187" i="40"/>
  <c r="H78" i="25"/>
  <c r="J78" i="24"/>
  <c r="H15" i="25"/>
  <c r="J15" i="24"/>
  <c r="I16" i="24" s="1"/>
  <c r="H84" i="28"/>
  <c r="J84" i="27"/>
  <c r="J32" i="23"/>
  <c r="H32" i="24"/>
  <c r="H144" i="27"/>
  <c r="J144" i="40"/>
  <c r="J131" i="40"/>
  <c r="H131" i="27"/>
  <c r="H47" i="24"/>
  <c r="J47" i="23"/>
  <c r="J13" i="40"/>
  <c r="H13" i="27"/>
  <c r="J119" i="27"/>
  <c r="H119" i="28"/>
  <c r="H49" i="25"/>
  <c r="J49" i="24"/>
  <c r="J10" i="25"/>
  <c r="H10" i="40"/>
  <c r="J149" i="27"/>
  <c r="H149" i="28"/>
  <c r="H175" i="27"/>
  <c r="J175" i="40"/>
  <c r="J152" i="40"/>
  <c r="H152" i="27"/>
  <c r="H40" i="25"/>
  <c r="J40" i="24"/>
  <c r="H174" i="40"/>
  <c r="J174" i="25"/>
  <c r="H184" i="28"/>
  <c r="J184" i="27"/>
  <c r="J30" i="40"/>
  <c r="H30" i="27"/>
  <c r="J173" i="27"/>
  <c r="H173" i="28"/>
  <c r="J177" i="27"/>
  <c r="H177" i="28"/>
  <c r="J148" i="25"/>
  <c r="H148" i="40"/>
  <c r="J145" i="40"/>
  <c r="H145" i="27"/>
  <c r="H67" i="25"/>
  <c r="J67" i="24"/>
  <c r="J9" i="25"/>
  <c r="H9" i="40"/>
  <c r="H46" i="27" l="1"/>
  <c r="J46" i="40"/>
  <c r="H83" i="28"/>
  <c r="J83" i="27"/>
  <c r="J185" i="40"/>
  <c r="H185" i="27"/>
  <c r="H151" i="27"/>
  <c r="J151" i="40"/>
  <c r="H18" i="28"/>
  <c r="H18" i="29" s="1"/>
  <c r="J18" i="29" s="1"/>
  <c r="J18" i="27"/>
  <c r="H7" i="27"/>
  <c r="J7" i="40"/>
  <c r="I9" i="40" s="1"/>
  <c r="H165" i="27"/>
  <c r="J165" i="40"/>
  <c r="J150" i="29"/>
  <c r="H150" i="30"/>
  <c r="J143" i="25"/>
  <c r="H143" i="40"/>
  <c r="H132" i="28"/>
  <c r="J132" i="27"/>
  <c r="H87" i="40"/>
  <c r="J87" i="25"/>
  <c r="J77" i="40"/>
  <c r="H77" i="27"/>
  <c r="H52" i="27"/>
  <c r="J52" i="40"/>
  <c r="H42" i="27"/>
  <c r="J42" i="40"/>
  <c r="H39" i="27"/>
  <c r="J39" i="40"/>
  <c r="J20" i="25"/>
  <c r="I20" i="25" s="1"/>
  <c r="H20" i="40"/>
  <c r="J162" i="25"/>
  <c r="H162" i="40"/>
  <c r="H138" i="27"/>
  <c r="J138" i="40"/>
  <c r="J133" i="25"/>
  <c r="H133" i="40"/>
  <c r="J128" i="27"/>
  <c r="H128" i="28"/>
  <c r="J68" i="25"/>
  <c r="H68" i="40"/>
  <c r="H71" i="25"/>
  <c r="J71" i="24"/>
  <c r="J56" i="40"/>
  <c r="H56" i="27"/>
  <c r="J102" i="24"/>
  <c r="H102" i="25"/>
  <c r="H55" i="27"/>
  <c r="J55" i="40"/>
  <c r="J103" i="24"/>
  <c r="H103" i="25"/>
  <c r="J37" i="40"/>
  <c r="H37" i="27"/>
  <c r="J24" i="25"/>
  <c r="H24" i="40"/>
  <c r="H19" i="40"/>
  <c r="J19" i="25"/>
  <c r="J8" i="25"/>
  <c r="H8" i="40"/>
  <c r="J50" i="27"/>
  <c r="H50" i="28"/>
  <c r="H35" i="28"/>
  <c r="H35" i="29" s="1"/>
  <c r="J35" i="29" s="1"/>
  <c r="J35" i="27"/>
  <c r="H29" i="28"/>
  <c r="H29" i="29" s="1"/>
  <c r="J29" i="29" s="1"/>
  <c r="J29" i="27"/>
  <c r="J57" i="40"/>
  <c r="H57" i="27"/>
  <c r="J38" i="40"/>
  <c r="H38" i="27"/>
  <c r="J139" i="40"/>
  <c r="H139" i="27"/>
  <c r="H100" i="27"/>
  <c r="J100" i="40"/>
  <c r="J129" i="27"/>
  <c r="H129" i="28"/>
  <c r="H179" i="27"/>
  <c r="J179" i="40"/>
  <c r="H70" i="29"/>
  <c r="J70" i="28"/>
  <c r="H101" i="27"/>
  <c r="J101" i="40"/>
  <c r="J164" i="28"/>
  <c r="H164" i="29"/>
  <c r="J54" i="27"/>
  <c r="H54" i="28"/>
  <c r="J43" i="40"/>
  <c r="H43" i="27"/>
  <c r="J85" i="40"/>
  <c r="H85" i="27"/>
  <c r="H123" i="27"/>
  <c r="J123" i="40"/>
  <c r="H122" i="28"/>
  <c r="J122" i="27"/>
  <c r="H117" i="27"/>
  <c r="J117" i="40"/>
  <c r="J147" i="40"/>
  <c r="H147" i="27"/>
  <c r="J76" i="27"/>
  <c r="H76" i="28"/>
  <c r="H121" i="27"/>
  <c r="J121" i="40"/>
  <c r="J86" i="27"/>
  <c r="H86" i="28"/>
  <c r="H58" i="29"/>
  <c r="J58" i="28"/>
  <c r="H22" i="27"/>
  <c r="J22" i="40"/>
  <c r="H31" i="28"/>
  <c r="H31" i="29" s="1"/>
  <c r="J31" i="29" s="1"/>
  <c r="J31" i="27"/>
  <c r="H82" i="27"/>
  <c r="J82" i="40"/>
  <c r="J65" i="40"/>
  <c r="H65" i="27"/>
  <c r="H92" i="40"/>
  <c r="J92" i="25"/>
  <c r="H178" i="40"/>
  <c r="J178" i="25"/>
  <c r="J156" i="40"/>
  <c r="H156" i="27"/>
  <c r="H118" i="28"/>
  <c r="J118" i="27"/>
  <c r="H51" i="27"/>
  <c r="J51" i="40"/>
  <c r="J96" i="25"/>
  <c r="H96" i="40"/>
  <c r="H161" i="28"/>
  <c r="J161" i="27"/>
  <c r="J104" i="25"/>
  <c r="H104" i="40"/>
  <c r="J141" i="25"/>
  <c r="H141" i="40"/>
  <c r="H114" i="27"/>
  <c r="J114" i="40"/>
  <c r="J146" i="25"/>
  <c r="H146" i="40"/>
  <c r="H99" i="25"/>
  <c r="J99" i="24"/>
  <c r="J88" i="40"/>
  <c r="H88" i="27"/>
  <c r="H66" i="28"/>
  <c r="J66" i="27"/>
  <c r="H140" i="40"/>
  <c r="J140" i="25"/>
  <c r="H91" i="27"/>
  <c r="J91" i="40"/>
  <c r="H69" i="40"/>
  <c r="J69" i="25"/>
  <c r="J27" i="25"/>
  <c r="H27" i="40"/>
  <c r="J63" i="40"/>
  <c r="H63" i="27"/>
  <c r="J181" i="24"/>
  <c r="H181" i="25"/>
  <c r="H120" i="40"/>
  <c r="J120" i="25"/>
  <c r="H116" i="28"/>
  <c r="J116" i="27"/>
  <c r="H163" i="40"/>
  <c r="J163" i="25"/>
  <c r="J89" i="40"/>
  <c r="H89" i="27"/>
  <c r="J115" i="27"/>
  <c r="H115" i="28"/>
  <c r="J97" i="25"/>
  <c r="H97" i="40"/>
  <c r="H180" i="40"/>
  <c r="J180" i="25"/>
  <c r="H11" i="27"/>
  <c r="J11" i="40"/>
  <c r="J105" i="25"/>
  <c r="H105" i="40"/>
  <c r="H75" i="28"/>
  <c r="J75" i="27"/>
  <c r="H53" i="27"/>
  <c r="J53" i="40"/>
  <c r="H64" i="27"/>
  <c r="J64" i="40"/>
  <c r="H98" i="25"/>
  <c r="J98" i="24"/>
  <c r="H44" i="28"/>
  <c r="J44" i="27"/>
  <c r="J176" i="40"/>
  <c r="H176" i="27"/>
  <c r="H62" i="40"/>
  <c r="J62" i="25"/>
  <c r="H36" i="28"/>
  <c r="H36" i="29" s="1"/>
  <c r="J36" i="29" s="1"/>
  <c r="J36" i="27"/>
  <c r="H41" i="27"/>
  <c r="J41" i="40"/>
  <c r="J9" i="40"/>
  <c r="H9" i="27"/>
  <c r="H148" i="27"/>
  <c r="J148" i="40"/>
  <c r="H13" i="28"/>
  <c r="H13" i="29" s="1"/>
  <c r="J13" i="29" s="1"/>
  <c r="J13" i="27"/>
  <c r="H78" i="40"/>
  <c r="J78" i="25"/>
  <c r="J127" i="27"/>
  <c r="H127" i="28"/>
  <c r="H112" i="29"/>
  <c r="J112" i="28"/>
  <c r="J59" i="25"/>
  <c r="H59" i="40"/>
  <c r="J130" i="28"/>
  <c r="H130" i="29"/>
  <c r="J95" i="27"/>
  <c r="H95" i="28"/>
  <c r="H184" i="29"/>
  <c r="J184" i="28"/>
  <c r="H175" i="28"/>
  <c r="J175" i="27"/>
  <c r="H177" i="29"/>
  <c r="J177" i="28"/>
  <c r="J30" i="27"/>
  <c r="H30" i="28"/>
  <c r="H30" i="29" s="1"/>
  <c r="J30" i="29" s="1"/>
  <c r="J149" i="28"/>
  <c r="H149" i="29"/>
  <c r="H47" i="25"/>
  <c r="J47" i="24"/>
  <c r="H84" i="29"/>
  <c r="J84" i="28"/>
  <c r="J28" i="25"/>
  <c r="H28" i="40"/>
  <c r="J187" i="40"/>
  <c r="H187" i="27"/>
  <c r="J182" i="28"/>
  <c r="H182" i="29"/>
  <c r="H173" i="29"/>
  <c r="J173" i="28"/>
  <c r="J10" i="40"/>
  <c r="H10" i="27"/>
  <c r="H119" i="29"/>
  <c r="J119" i="28"/>
  <c r="J144" i="27"/>
  <c r="H144" i="28"/>
  <c r="J183" i="28"/>
  <c r="H183" i="29"/>
  <c r="H94" i="28"/>
  <c r="J94" i="27"/>
  <c r="J186" i="25"/>
  <c r="H186" i="40"/>
  <c r="J12" i="40"/>
  <c r="H12" i="27"/>
  <c r="H60" i="24"/>
  <c r="J60" i="23"/>
  <c r="H40" i="40"/>
  <c r="J40" i="25"/>
  <c r="J32" i="24"/>
  <c r="H32" i="25"/>
  <c r="J155" i="28"/>
  <c r="H155" i="29"/>
  <c r="H142" i="27"/>
  <c r="J142" i="40"/>
  <c r="J145" i="27"/>
  <c r="H145" i="28"/>
  <c r="J152" i="27"/>
  <c r="H152" i="28"/>
  <c r="H15" i="40"/>
  <c r="J15" i="25"/>
  <c r="I16" i="25" s="1"/>
  <c r="H74" i="29"/>
  <c r="J74" i="28"/>
  <c r="H134" i="27"/>
  <c r="J134" i="40"/>
  <c r="H67" i="40"/>
  <c r="J67" i="25"/>
  <c r="H174" i="27"/>
  <c r="J174" i="40"/>
  <c r="H49" i="40"/>
  <c r="J49" i="25"/>
  <c r="H131" i="28"/>
  <c r="J131" i="27"/>
  <c r="H113" i="27"/>
  <c r="J113" i="40"/>
  <c r="H23" i="27"/>
  <c r="J23" i="40"/>
  <c r="H83" i="29" l="1"/>
  <c r="J83" i="28"/>
  <c r="H46" i="28"/>
  <c r="J46" i="27"/>
  <c r="H185" i="28"/>
  <c r="J185" i="27"/>
  <c r="H151" i="28"/>
  <c r="J151" i="27"/>
  <c r="J18" i="28"/>
  <c r="H7" i="28"/>
  <c r="H7" i="29" s="1"/>
  <c r="J7" i="29" s="1"/>
  <c r="I9" i="29" s="1"/>
  <c r="J7" i="27"/>
  <c r="I9" i="27" s="1"/>
  <c r="H165" i="28"/>
  <c r="J165" i="27"/>
  <c r="H150" i="43"/>
  <c r="J150" i="30"/>
  <c r="H143" i="27"/>
  <c r="J143" i="40"/>
  <c r="J132" i="28"/>
  <c r="H132" i="29"/>
  <c r="H87" i="27"/>
  <c r="J87" i="40"/>
  <c r="H77" i="28"/>
  <c r="J77" i="27"/>
  <c r="H52" i="28"/>
  <c r="J52" i="27"/>
  <c r="J42" i="27"/>
  <c r="H42" i="28"/>
  <c r="H39" i="28"/>
  <c r="J39" i="27"/>
  <c r="J20" i="40"/>
  <c r="I20" i="40" s="1"/>
  <c r="H20" i="27"/>
  <c r="J162" i="40"/>
  <c r="H162" i="27"/>
  <c r="J138" i="27"/>
  <c r="H138" i="28"/>
  <c r="J133" i="40"/>
  <c r="H133" i="27"/>
  <c r="J128" i="28"/>
  <c r="H128" i="29"/>
  <c r="J68" i="40"/>
  <c r="H68" i="27"/>
  <c r="J71" i="25"/>
  <c r="H71" i="40"/>
  <c r="H55" i="28"/>
  <c r="J55" i="27"/>
  <c r="J56" i="27"/>
  <c r="H56" i="28"/>
  <c r="J103" i="25"/>
  <c r="H103" i="40"/>
  <c r="J102" i="25"/>
  <c r="H102" i="40"/>
  <c r="J37" i="27"/>
  <c r="H37" i="28"/>
  <c r="H37" i="29" s="1"/>
  <c r="J37" i="29" s="1"/>
  <c r="J24" i="40"/>
  <c r="H24" i="27"/>
  <c r="J19" i="40"/>
  <c r="H19" i="27"/>
  <c r="J8" i="40"/>
  <c r="H8" i="27"/>
  <c r="J117" i="27"/>
  <c r="H117" i="28"/>
  <c r="J123" i="27"/>
  <c r="H123" i="28"/>
  <c r="H179" i="28"/>
  <c r="J179" i="27"/>
  <c r="J100" i="27"/>
  <c r="H100" i="28"/>
  <c r="J29" i="28"/>
  <c r="J86" i="28"/>
  <c r="H86" i="29"/>
  <c r="J76" i="28"/>
  <c r="H76" i="29"/>
  <c r="J43" i="27"/>
  <c r="H43" i="28"/>
  <c r="H164" i="30"/>
  <c r="J164" i="29"/>
  <c r="H38" i="28"/>
  <c r="J38" i="27"/>
  <c r="J50" i="28"/>
  <c r="H50" i="29"/>
  <c r="J121" i="27"/>
  <c r="H121" i="28"/>
  <c r="H122" i="29"/>
  <c r="J122" i="28"/>
  <c r="H101" i="28"/>
  <c r="J101" i="27"/>
  <c r="J70" i="29"/>
  <c r="H70" i="30"/>
  <c r="J35" i="28"/>
  <c r="H147" i="28"/>
  <c r="J147" i="27"/>
  <c r="J85" i="27"/>
  <c r="H85" i="28"/>
  <c r="J54" i="28"/>
  <c r="H54" i="29"/>
  <c r="H129" i="29"/>
  <c r="J129" i="28"/>
  <c r="H139" i="28"/>
  <c r="J139" i="27"/>
  <c r="J57" i="27"/>
  <c r="H57" i="28"/>
  <c r="H65" i="28"/>
  <c r="J65" i="27"/>
  <c r="J22" i="27"/>
  <c r="H22" i="28"/>
  <c r="H22" i="29" s="1"/>
  <c r="J22" i="29" s="1"/>
  <c r="H82" i="28"/>
  <c r="J82" i="27"/>
  <c r="H58" i="30"/>
  <c r="J58" i="29"/>
  <c r="J31" i="28"/>
  <c r="H53" i="28"/>
  <c r="J53" i="27"/>
  <c r="H120" i="27"/>
  <c r="J120" i="40"/>
  <c r="H66" i="29"/>
  <c r="J66" i="28"/>
  <c r="J88" i="27"/>
  <c r="H88" i="28"/>
  <c r="H104" i="27"/>
  <c r="J104" i="40"/>
  <c r="J118" i="28"/>
  <c r="H118" i="29"/>
  <c r="H41" i="28"/>
  <c r="J41" i="27"/>
  <c r="H44" i="29"/>
  <c r="J44" i="28"/>
  <c r="H75" i="29"/>
  <c r="J75" i="28"/>
  <c r="J180" i="40"/>
  <c r="H180" i="27"/>
  <c r="H69" i="27"/>
  <c r="J69" i="40"/>
  <c r="H114" i="28"/>
  <c r="J114" i="27"/>
  <c r="H96" i="27"/>
  <c r="J96" i="40"/>
  <c r="H156" i="28"/>
  <c r="J156" i="27"/>
  <c r="J105" i="40"/>
  <c r="H105" i="27"/>
  <c r="J97" i="40"/>
  <c r="H97" i="27"/>
  <c r="H181" i="40"/>
  <c r="J181" i="25"/>
  <c r="J36" i="28"/>
  <c r="J98" i="25"/>
  <c r="H98" i="40"/>
  <c r="H163" i="27"/>
  <c r="J163" i="40"/>
  <c r="H91" i="28"/>
  <c r="J91" i="27"/>
  <c r="J99" i="25"/>
  <c r="H99" i="40"/>
  <c r="H161" i="29"/>
  <c r="J161" i="28"/>
  <c r="H115" i="29"/>
  <c r="J115" i="28"/>
  <c r="J63" i="27"/>
  <c r="H63" i="28"/>
  <c r="J178" i="40"/>
  <c r="H178" i="27"/>
  <c r="H62" i="27"/>
  <c r="J62" i="40"/>
  <c r="J64" i="27"/>
  <c r="H64" i="28"/>
  <c r="H11" i="28"/>
  <c r="H11" i="29" s="1"/>
  <c r="J11" i="29" s="1"/>
  <c r="J11" i="27"/>
  <c r="J116" i="28"/>
  <c r="H116" i="29"/>
  <c r="J140" i="40"/>
  <c r="H140" i="27"/>
  <c r="J176" i="27"/>
  <c r="H176" i="28"/>
  <c r="J89" i="27"/>
  <c r="H89" i="28"/>
  <c r="J27" i="40"/>
  <c r="H27" i="27"/>
  <c r="J146" i="40"/>
  <c r="H146" i="27"/>
  <c r="H141" i="27"/>
  <c r="J141" i="40"/>
  <c r="H51" i="28"/>
  <c r="J51" i="27"/>
  <c r="H92" i="27"/>
  <c r="J92" i="40"/>
  <c r="H23" i="28"/>
  <c r="H23" i="29" s="1"/>
  <c r="J23" i="29" s="1"/>
  <c r="J23" i="27"/>
  <c r="H131" i="29"/>
  <c r="J131" i="28"/>
  <c r="H174" i="28"/>
  <c r="J174" i="27"/>
  <c r="H74" i="30"/>
  <c r="J74" i="29"/>
  <c r="J60" i="24"/>
  <c r="H60" i="25"/>
  <c r="H173" i="30"/>
  <c r="J173" i="29"/>
  <c r="J59" i="40"/>
  <c r="H59" i="27"/>
  <c r="J145" i="28"/>
  <c r="H145" i="29"/>
  <c r="J32" i="25"/>
  <c r="H32" i="40"/>
  <c r="H12" i="28"/>
  <c r="H12" i="29" s="1"/>
  <c r="J12" i="29" s="1"/>
  <c r="J12" i="27"/>
  <c r="J28" i="40"/>
  <c r="H28" i="27"/>
  <c r="H67" i="27"/>
  <c r="J67" i="40"/>
  <c r="H94" i="29"/>
  <c r="J94" i="28"/>
  <c r="J47" i="25"/>
  <c r="H47" i="40"/>
  <c r="J177" i="29"/>
  <c r="H177" i="30"/>
  <c r="H175" i="29"/>
  <c r="J175" i="28"/>
  <c r="J127" i="28"/>
  <c r="H127" i="29"/>
  <c r="J183" i="29"/>
  <c r="H183" i="30"/>
  <c r="H182" i="30"/>
  <c r="J182" i="29"/>
  <c r="J13" i="28"/>
  <c r="J134" i="27"/>
  <c r="H134" i="28"/>
  <c r="J15" i="40"/>
  <c r="I16" i="40" s="1"/>
  <c r="H15" i="27"/>
  <c r="H142" i="28"/>
  <c r="J142" i="27"/>
  <c r="J119" i="29"/>
  <c r="H119" i="30"/>
  <c r="J95" i="28"/>
  <c r="J152" i="28"/>
  <c r="H152" i="29"/>
  <c r="J155" i="29"/>
  <c r="H155" i="30"/>
  <c r="H186" i="27"/>
  <c r="J186" i="40"/>
  <c r="J10" i="27"/>
  <c r="H10" i="28"/>
  <c r="H10" i="29" s="1"/>
  <c r="J10" i="29" s="1"/>
  <c r="J187" i="27"/>
  <c r="H187" i="28"/>
  <c r="J149" i="29"/>
  <c r="H149" i="30"/>
  <c r="H148" i="28"/>
  <c r="J148" i="27"/>
  <c r="H113" i="28"/>
  <c r="J113" i="27"/>
  <c r="H49" i="27"/>
  <c r="J49" i="40"/>
  <c r="H40" i="27"/>
  <c r="J40" i="40"/>
  <c r="H84" i="30"/>
  <c r="J84" i="29"/>
  <c r="H184" i="30"/>
  <c r="J184" i="29"/>
  <c r="H130" i="30"/>
  <c r="J130" i="29"/>
  <c r="H9" i="28"/>
  <c r="H9" i="29" s="1"/>
  <c r="J9" i="29" s="1"/>
  <c r="J9" i="27"/>
  <c r="H144" i="29"/>
  <c r="J144" i="28"/>
  <c r="J30" i="28"/>
  <c r="H112" i="30"/>
  <c r="J112" i="29"/>
  <c r="H78" i="27"/>
  <c r="J78" i="40"/>
  <c r="H46" i="29" l="1"/>
  <c r="J46" i="28"/>
  <c r="H83" i="30"/>
  <c r="J83" i="29"/>
  <c r="B32" i="44"/>
  <c r="G101" i="29"/>
  <c r="G31" i="1"/>
  <c r="G35" i="1" s="1"/>
  <c r="G103" i="29"/>
  <c r="G95" i="29"/>
  <c r="H95" i="29" s="1"/>
  <c r="J95" i="29" s="1"/>
  <c r="O12" i="29"/>
  <c r="G105" i="29"/>
  <c r="G97" i="29"/>
  <c r="G99" i="29"/>
  <c r="I59" i="29"/>
  <c r="J185" i="28"/>
  <c r="H185" i="29"/>
  <c r="J151" i="28"/>
  <c r="H151" i="29"/>
  <c r="H18" i="30"/>
  <c r="J7" i="28"/>
  <c r="I9" i="28" s="1"/>
  <c r="J165" i="28"/>
  <c r="H165" i="29"/>
  <c r="H150" i="31"/>
  <c r="J150" i="31" s="1"/>
  <c r="H102" i="50"/>
  <c r="J102" i="50" s="1"/>
  <c r="J150" i="43"/>
  <c r="J143" i="27"/>
  <c r="H143" i="28"/>
  <c r="H132" i="30"/>
  <c r="J132" i="29"/>
  <c r="J87" i="27"/>
  <c r="H87" i="28"/>
  <c r="J77" i="28"/>
  <c r="H77" i="29"/>
  <c r="H52" i="29"/>
  <c r="J52" i="28"/>
  <c r="H42" i="29"/>
  <c r="J42" i="28"/>
  <c r="H39" i="29"/>
  <c r="J39" i="28"/>
  <c r="J20" i="27"/>
  <c r="I20" i="27" s="1"/>
  <c r="H20" i="28"/>
  <c r="H20" i="29" s="1"/>
  <c r="J20" i="29" s="1"/>
  <c r="I20" i="29" s="1"/>
  <c r="J162" i="27"/>
  <c r="H162" i="28"/>
  <c r="J138" i="28"/>
  <c r="H138" i="29"/>
  <c r="H133" i="28"/>
  <c r="J133" i="27"/>
  <c r="H128" i="30"/>
  <c r="J128" i="29"/>
  <c r="H68" i="28"/>
  <c r="J68" i="27"/>
  <c r="H71" i="27"/>
  <c r="J71" i="40"/>
  <c r="H55" i="29"/>
  <c r="J55" i="28"/>
  <c r="H103" i="27"/>
  <c r="J103" i="40"/>
  <c r="J102" i="40"/>
  <c r="H102" i="27"/>
  <c r="J56" i="28"/>
  <c r="H56" i="29"/>
  <c r="J37" i="28"/>
  <c r="J24" i="27"/>
  <c r="H24" i="28"/>
  <c r="H24" i="29" s="1"/>
  <c r="J24" i="29" s="1"/>
  <c r="H19" i="28"/>
  <c r="H19" i="29" s="1"/>
  <c r="J19" i="29" s="1"/>
  <c r="J19" i="27"/>
  <c r="J8" i="27"/>
  <c r="H8" i="28"/>
  <c r="H8" i="29" s="1"/>
  <c r="J8" i="29" s="1"/>
  <c r="H129" i="30"/>
  <c r="J129" i="29"/>
  <c r="J147" i="28"/>
  <c r="H147" i="29"/>
  <c r="J122" i="29"/>
  <c r="H122" i="30"/>
  <c r="J164" i="30"/>
  <c r="H164" i="43"/>
  <c r="J57" i="28"/>
  <c r="H57" i="29"/>
  <c r="J54" i="29"/>
  <c r="H54" i="30"/>
  <c r="H70" i="43"/>
  <c r="J70" i="30"/>
  <c r="J50" i="29"/>
  <c r="H50" i="30"/>
  <c r="J76" i="29"/>
  <c r="H76" i="30"/>
  <c r="H29" i="30"/>
  <c r="J117" i="28"/>
  <c r="H117" i="29"/>
  <c r="J139" i="28"/>
  <c r="H139" i="29"/>
  <c r="H35" i="30"/>
  <c r="J101" i="28"/>
  <c r="H101" i="29"/>
  <c r="J38" i="28"/>
  <c r="H38" i="29"/>
  <c r="J179" i="28"/>
  <c r="H179" i="29"/>
  <c r="J85" i="28"/>
  <c r="H85" i="29"/>
  <c r="H121" i="29"/>
  <c r="J121" i="28"/>
  <c r="J43" i="28"/>
  <c r="H43" i="29"/>
  <c r="J86" i="29"/>
  <c r="H86" i="30"/>
  <c r="J100" i="28"/>
  <c r="H100" i="29"/>
  <c r="J123" i="28"/>
  <c r="H123" i="29"/>
  <c r="H31" i="30"/>
  <c r="J22" i="28"/>
  <c r="H58" i="43"/>
  <c r="J58" i="30"/>
  <c r="H82" i="29"/>
  <c r="J82" i="28"/>
  <c r="J65" i="28"/>
  <c r="H65" i="29"/>
  <c r="H89" i="29"/>
  <c r="J89" i="28"/>
  <c r="H64" i="29"/>
  <c r="J64" i="28"/>
  <c r="J63" i="28"/>
  <c r="H63" i="29"/>
  <c r="H98" i="27"/>
  <c r="J98" i="40"/>
  <c r="J105" i="27"/>
  <c r="H105" i="28"/>
  <c r="H51" i="29"/>
  <c r="J51" i="28"/>
  <c r="H69" i="28"/>
  <c r="J69" i="27"/>
  <c r="H41" i="29"/>
  <c r="J41" i="28"/>
  <c r="J140" i="27"/>
  <c r="H140" i="28"/>
  <c r="J99" i="40"/>
  <c r="H99" i="27"/>
  <c r="H36" i="30"/>
  <c r="H180" i="28"/>
  <c r="J180" i="27"/>
  <c r="J118" i="29"/>
  <c r="H118" i="30"/>
  <c r="H141" i="28"/>
  <c r="J141" i="27"/>
  <c r="H62" i="28"/>
  <c r="J62" i="27"/>
  <c r="H115" i="30"/>
  <c r="J115" i="29"/>
  <c r="J156" i="28"/>
  <c r="H156" i="29"/>
  <c r="H66" i="30"/>
  <c r="J66" i="29"/>
  <c r="H146" i="28"/>
  <c r="J146" i="27"/>
  <c r="H176" i="29"/>
  <c r="J176" i="28"/>
  <c r="H116" i="30"/>
  <c r="J116" i="29"/>
  <c r="H178" i="28"/>
  <c r="J178" i="27"/>
  <c r="H91" i="29"/>
  <c r="J91" i="28"/>
  <c r="H181" i="27"/>
  <c r="J181" i="40"/>
  <c r="H96" i="28"/>
  <c r="J96" i="27"/>
  <c r="H75" i="30"/>
  <c r="J75" i="29"/>
  <c r="H104" i="28"/>
  <c r="J104" i="27"/>
  <c r="H120" i="28"/>
  <c r="J120" i="27"/>
  <c r="J27" i="27"/>
  <c r="H27" i="28"/>
  <c r="H27" i="29" s="1"/>
  <c r="J27" i="29" s="1"/>
  <c r="J97" i="27"/>
  <c r="H97" i="28"/>
  <c r="H88" i="29"/>
  <c r="J88" i="28"/>
  <c r="H92" i="28"/>
  <c r="J92" i="27"/>
  <c r="J11" i="28"/>
  <c r="H161" i="30"/>
  <c r="J161" i="29"/>
  <c r="J163" i="27"/>
  <c r="H163" i="28"/>
  <c r="H114" i="29"/>
  <c r="J114" i="28"/>
  <c r="H44" i="30"/>
  <c r="J44" i="29"/>
  <c r="H53" i="29"/>
  <c r="J53" i="28"/>
  <c r="H49" i="28"/>
  <c r="J49" i="27"/>
  <c r="J187" i="28"/>
  <c r="H187" i="29"/>
  <c r="H155" i="43"/>
  <c r="J155" i="30"/>
  <c r="H119" i="43"/>
  <c r="J119" i="30"/>
  <c r="H134" i="29"/>
  <c r="J134" i="28"/>
  <c r="J28" i="27"/>
  <c r="H28" i="28"/>
  <c r="H28" i="29" s="1"/>
  <c r="J28" i="29" s="1"/>
  <c r="H184" i="43"/>
  <c r="J184" i="30"/>
  <c r="H148" i="29"/>
  <c r="J148" i="28"/>
  <c r="H182" i="43"/>
  <c r="J182" i="30"/>
  <c r="H94" i="30"/>
  <c r="J94" i="29"/>
  <c r="H113" i="29"/>
  <c r="J113" i="28"/>
  <c r="J10" i="28"/>
  <c r="H152" i="30"/>
  <c r="J152" i="29"/>
  <c r="J183" i="30"/>
  <c r="H183" i="43"/>
  <c r="J175" i="29"/>
  <c r="H175" i="30"/>
  <c r="H59" i="28"/>
  <c r="J59" i="27"/>
  <c r="J60" i="25"/>
  <c r="H60" i="40"/>
  <c r="H40" i="28"/>
  <c r="J40" i="27"/>
  <c r="H177" i="43"/>
  <c r="J177" i="30"/>
  <c r="J12" i="28"/>
  <c r="H174" i="29"/>
  <c r="J174" i="28"/>
  <c r="H78" i="28"/>
  <c r="J78" i="27"/>
  <c r="H30" i="30"/>
  <c r="H13" i="30"/>
  <c r="H127" i="30"/>
  <c r="J127" i="29"/>
  <c r="J32" i="40"/>
  <c r="H32" i="27"/>
  <c r="H112" i="43"/>
  <c r="J112" i="30"/>
  <c r="J9" i="28"/>
  <c r="H84" i="43"/>
  <c r="J84" i="30"/>
  <c r="J142" i="28"/>
  <c r="H142" i="29"/>
  <c r="H47" i="27"/>
  <c r="J47" i="40"/>
  <c r="H131" i="30"/>
  <c r="J131" i="29"/>
  <c r="J149" i="30"/>
  <c r="H149" i="43"/>
  <c r="J15" i="27"/>
  <c r="I16" i="27" s="1"/>
  <c r="H15" i="28"/>
  <c r="H15" i="29" s="1"/>
  <c r="J15" i="29" s="1"/>
  <c r="I16" i="29" s="1"/>
  <c r="J145" i="29"/>
  <c r="H145" i="30"/>
  <c r="J144" i="29"/>
  <c r="H144" i="30"/>
  <c r="H130" i="43"/>
  <c r="J130" i="30"/>
  <c r="H186" i="28"/>
  <c r="J186" i="27"/>
  <c r="H67" i="28"/>
  <c r="J67" i="27"/>
  <c r="H173" i="43"/>
  <c r="J173" i="30"/>
  <c r="H74" i="43"/>
  <c r="J74" i="30"/>
  <c r="J23" i="28"/>
  <c r="H83" i="43" l="1"/>
  <c r="J83" i="30"/>
  <c r="H46" i="30"/>
  <c r="J46" i="29"/>
  <c r="H95" i="30"/>
  <c r="H95" i="43" s="1"/>
  <c r="B36" i="44"/>
  <c r="B37" i="44"/>
  <c r="BC32" i="44"/>
  <c r="H185" i="30"/>
  <c r="J185" i="29"/>
  <c r="J151" i="29"/>
  <c r="H151" i="30"/>
  <c r="J18" i="30"/>
  <c r="H18" i="43"/>
  <c r="H7" i="30"/>
  <c r="J165" i="29"/>
  <c r="H165" i="30"/>
  <c r="J143" i="28"/>
  <c r="H143" i="29"/>
  <c r="J132" i="30"/>
  <c r="H132" i="43"/>
  <c r="H87" i="29"/>
  <c r="J87" i="28"/>
  <c r="J77" i="29"/>
  <c r="H77" i="30"/>
  <c r="J52" i="29"/>
  <c r="H52" i="30"/>
  <c r="J42" i="29"/>
  <c r="H42" i="30"/>
  <c r="H39" i="30"/>
  <c r="J39" i="29"/>
  <c r="J20" i="28"/>
  <c r="I20" i="28" s="1"/>
  <c r="J162" i="28"/>
  <c r="H162" i="29"/>
  <c r="J138" i="29"/>
  <c r="H138" i="30"/>
  <c r="J133" i="28"/>
  <c r="H133" i="29"/>
  <c r="J128" i="30"/>
  <c r="H128" i="43"/>
  <c r="H68" i="29"/>
  <c r="J68" i="28"/>
  <c r="J71" i="27"/>
  <c r="H71" i="28"/>
  <c r="J55" i="29"/>
  <c r="H55" i="30"/>
  <c r="H102" i="28"/>
  <c r="J102" i="27"/>
  <c r="H103" i="28"/>
  <c r="J103" i="27"/>
  <c r="H56" i="30"/>
  <c r="J56" i="29"/>
  <c r="H37" i="30"/>
  <c r="J24" i="28"/>
  <c r="J19" i="28"/>
  <c r="J8" i="28"/>
  <c r="J121" i="29"/>
  <c r="H121" i="30"/>
  <c r="J70" i="43"/>
  <c r="H70" i="31"/>
  <c r="J70" i="31" s="1"/>
  <c r="H129" i="43"/>
  <c r="J129" i="30"/>
  <c r="H123" i="30"/>
  <c r="J123" i="29"/>
  <c r="H86" i="43"/>
  <c r="J86" i="30"/>
  <c r="J179" i="29"/>
  <c r="H179" i="30"/>
  <c r="J101" i="29"/>
  <c r="H101" i="30"/>
  <c r="J117" i="29"/>
  <c r="H117" i="30"/>
  <c r="J76" i="30"/>
  <c r="H76" i="43"/>
  <c r="J57" i="29"/>
  <c r="H57" i="30"/>
  <c r="J122" i="30"/>
  <c r="H122" i="43"/>
  <c r="J35" i="30"/>
  <c r="H35" i="43"/>
  <c r="J100" i="29"/>
  <c r="H100" i="30"/>
  <c r="J43" i="29"/>
  <c r="H43" i="30"/>
  <c r="J85" i="29"/>
  <c r="H85" i="30"/>
  <c r="J38" i="29"/>
  <c r="H38" i="30"/>
  <c r="J139" i="29"/>
  <c r="H139" i="30"/>
  <c r="J29" i="30"/>
  <c r="H29" i="43"/>
  <c r="J50" i="30"/>
  <c r="H50" i="43"/>
  <c r="J54" i="30"/>
  <c r="H54" i="43"/>
  <c r="H164" i="31"/>
  <c r="J164" i="31" s="1"/>
  <c r="J164" i="43"/>
  <c r="J147" i="29"/>
  <c r="H147" i="30"/>
  <c r="H58" i="31"/>
  <c r="J58" i="31" s="1"/>
  <c r="H59" i="50"/>
  <c r="J59" i="50" s="1"/>
  <c r="J58" i="43"/>
  <c r="H22" i="30"/>
  <c r="J82" i="29"/>
  <c r="H82" i="30"/>
  <c r="H65" i="30"/>
  <c r="J65" i="29"/>
  <c r="J31" i="30"/>
  <c r="H31" i="43"/>
  <c r="H96" i="29"/>
  <c r="J96" i="28"/>
  <c r="H178" i="29"/>
  <c r="J178" i="28"/>
  <c r="J66" i="30"/>
  <c r="H66" i="43"/>
  <c r="H141" i="29"/>
  <c r="J141" i="28"/>
  <c r="J69" i="28"/>
  <c r="H69" i="29"/>
  <c r="H156" i="30"/>
  <c r="J156" i="29"/>
  <c r="H118" i="43"/>
  <c r="J118" i="30"/>
  <c r="H140" i="29"/>
  <c r="J140" i="28"/>
  <c r="H98" i="28"/>
  <c r="J98" i="27"/>
  <c r="J53" i="29"/>
  <c r="H53" i="30"/>
  <c r="H161" i="43"/>
  <c r="J161" i="30"/>
  <c r="H92" i="29"/>
  <c r="J92" i="28"/>
  <c r="H120" i="29"/>
  <c r="J120" i="28"/>
  <c r="J181" i="27"/>
  <c r="H181" i="28"/>
  <c r="H116" i="43"/>
  <c r="J116" i="30"/>
  <c r="J63" i="29"/>
  <c r="H63" i="30"/>
  <c r="H44" i="43"/>
  <c r="J44" i="30"/>
  <c r="J88" i="29"/>
  <c r="H88" i="30"/>
  <c r="H104" i="29"/>
  <c r="J104" i="28"/>
  <c r="H91" i="30"/>
  <c r="J91" i="29"/>
  <c r="J176" i="29"/>
  <c r="H176" i="30"/>
  <c r="H115" i="43"/>
  <c r="J115" i="30"/>
  <c r="H180" i="29"/>
  <c r="J180" i="28"/>
  <c r="H97" i="29"/>
  <c r="J97" i="28"/>
  <c r="H51" i="30"/>
  <c r="J51" i="29"/>
  <c r="H64" i="30"/>
  <c r="J64" i="29"/>
  <c r="H114" i="30"/>
  <c r="J114" i="29"/>
  <c r="H11" i="30"/>
  <c r="H75" i="43"/>
  <c r="J75" i="30"/>
  <c r="J146" i="28"/>
  <c r="H146" i="29"/>
  <c r="H62" i="29"/>
  <c r="J62" i="28"/>
  <c r="H36" i="43"/>
  <c r="J36" i="30"/>
  <c r="J41" i="29"/>
  <c r="H41" i="30"/>
  <c r="H105" i="29"/>
  <c r="J105" i="28"/>
  <c r="H163" i="29"/>
  <c r="J163" i="28"/>
  <c r="J27" i="28"/>
  <c r="J99" i="27"/>
  <c r="H99" i="28"/>
  <c r="J89" i="29"/>
  <c r="H89" i="30"/>
  <c r="H142" i="30"/>
  <c r="J142" i="29"/>
  <c r="H10" i="30"/>
  <c r="H23" i="30"/>
  <c r="H9" i="30"/>
  <c r="J174" i="29"/>
  <c r="H174" i="30"/>
  <c r="J148" i="29"/>
  <c r="H148" i="30"/>
  <c r="J28" i="28"/>
  <c r="H119" i="31"/>
  <c r="J119" i="31" s="1"/>
  <c r="J119" i="43"/>
  <c r="J15" i="28"/>
  <c r="I16" i="28" s="1"/>
  <c r="J59" i="28"/>
  <c r="H59" i="29"/>
  <c r="H175" i="43"/>
  <c r="J175" i="30"/>
  <c r="H144" i="43"/>
  <c r="J144" i="30"/>
  <c r="H145" i="43"/>
  <c r="J145" i="30"/>
  <c r="J112" i="43"/>
  <c r="H112" i="31"/>
  <c r="J112" i="31" s="1"/>
  <c r="H113" i="30"/>
  <c r="J113" i="29"/>
  <c r="H94" i="43"/>
  <c r="J94" i="30"/>
  <c r="H155" i="31"/>
  <c r="J155" i="31" s="1"/>
  <c r="J155" i="43"/>
  <c r="H130" i="31"/>
  <c r="J130" i="31" s="1"/>
  <c r="J130" i="43"/>
  <c r="J186" i="28"/>
  <c r="H186" i="29"/>
  <c r="H149" i="31"/>
  <c r="J149" i="31" s="1"/>
  <c r="J149" i="43"/>
  <c r="H101" i="50"/>
  <c r="J101" i="50" s="1"/>
  <c r="J127" i="30"/>
  <c r="H127" i="43"/>
  <c r="J30" i="30"/>
  <c r="H30" i="43"/>
  <c r="J183" i="43"/>
  <c r="H183" i="31"/>
  <c r="J183" i="31" s="1"/>
  <c r="J187" i="29"/>
  <c r="H187" i="30"/>
  <c r="J95" i="30"/>
  <c r="J74" i="43"/>
  <c r="H74" i="31"/>
  <c r="J74" i="31" s="1"/>
  <c r="H12" i="30"/>
  <c r="J182" i="43"/>
  <c r="H182" i="31"/>
  <c r="J182" i="31" s="1"/>
  <c r="H128" i="50"/>
  <c r="J128" i="50" s="1"/>
  <c r="J184" i="43"/>
  <c r="H184" i="31"/>
  <c r="J184" i="31" s="1"/>
  <c r="H173" i="31"/>
  <c r="J173" i="31" s="1"/>
  <c r="J173" i="43"/>
  <c r="H117" i="50"/>
  <c r="J117" i="50" s="1"/>
  <c r="H67" i="29"/>
  <c r="J67" i="28"/>
  <c r="J32" i="27"/>
  <c r="H32" i="28"/>
  <c r="H32" i="29" s="1"/>
  <c r="J32" i="29" s="1"/>
  <c r="J13" i="30"/>
  <c r="H13" i="43"/>
  <c r="H40" i="29"/>
  <c r="J40" i="28"/>
  <c r="H131" i="43"/>
  <c r="J131" i="30"/>
  <c r="H47" i="28"/>
  <c r="J47" i="27"/>
  <c r="J84" i="43"/>
  <c r="H84" i="31"/>
  <c r="J84" i="31" s="1"/>
  <c r="H78" i="29"/>
  <c r="J78" i="28"/>
  <c r="J177" i="43"/>
  <c r="H177" i="31"/>
  <c r="J177" i="31" s="1"/>
  <c r="H121" i="50"/>
  <c r="J121" i="50" s="1"/>
  <c r="J60" i="40"/>
  <c r="H60" i="27"/>
  <c r="H152" i="43"/>
  <c r="J152" i="30"/>
  <c r="H134" i="30"/>
  <c r="J134" i="29"/>
  <c r="H49" i="29"/>
  <c r="J49" i="28"/>
  <c r="H46" i="43" l="1"/>
  <c r="J46" i="30"/>
  <c r="J83" i="43"/>
  <c r="H83" i="31"/>
  <c r="J83" i="31" s="1"/>
  <c r="BC37" i="44"/>
  <c r="BC36" i="44"/>
  <c r="J185" i="30"/>
  <c r="H185" i="43"/>
  <c r="H151" i="43"/>
  <c r="J151" i="30"/>
  <c r="H19" i="50"/>
  <c r="J19" i="50" s="1"/>
  <c r="H18" i="31"/>
  <c r="J18" i="31" s="1"/>
  <c r="J18" i="43"/>
  <c r="H7" i="43"/>
  <c r="J7" i="30"/>
  <c r="I9" i="30" s="1"/>
  <c r="J165" i="30"/>
  <c r="H165" i="43"/>
  <c r="J143" i="29"/>
  <c r="H143" i="30"/>
  <c r="H132" i="31"/>
  <c r="J132" i="31" s="1"/>
  <c r="J132" i="43"/>
  <c r="H84" i="50"/>
  <c r="J84" i="50" s="1"/>
  <c r="H87" i="30"/>
  <c r="J87" i="29"/>
  <c r="J77" i="30"/>
  <c r="H77" i="43"/>
  <c r="H52" i="43"/>
  <c r="J52" i="30"/>
  <c r="H42" i="43"/>
  <c r="J42" i="30"/>
  <c r="H39" i="43"/>
  <c r="J39" i="30"/>
  <c r="H20" i="30"/>
  <c r="H162" i="30"/>
  <c r="J162" i="29"/>
  <c r="J138" i="30"/>
  <c r="H138" i="43"/>
  <c r="H133" i="30"/>
  <c r="J133" i="29"/>
  <c r="H79" i="50"/>
  <c r="J79" i="50" s="1"/>
  <c r="J128" i="43"/>
  <c r="H128" i="31"/>
  <c r="J128" i="31" s="1"/>
  <c r="J68" i="29"/>
  <c r="H68" i="30"/>
  <c r="H71" i="29"/>
  <c r="J71" i="28"/>
  <c r="J103" i="28"/>
  <c r="H103" i="29"/>
  <c r="J55" i="30"/>
  <c r="H55" i="43"/>
  <c r="J56" i="30"/>
  <c r="H56" i="43"/>
  <c r="H102" i="29"/>
  <c r="J102" i="28"/>
  <c r="J37" i="30"/>
  <c r="H37" i="43"/>
  <c r="H24" i="30"/>
  <c r="H19" i="30"/>
  <c r="H8" i="30"/>
  <c r="H50" i="31"/>
  <c r="J50" i="31" s="1"/>
  <c r="J50" i="43"/>
  <c r="H51" i="50"/>
  <c r="J51" i="50" s="1"/>
  <c r="H38" i="43"/>
  <c r="J38" i="30"/>
  <c r="J43" i="30"/>
  <c r="H43" i="43"/>
  <c r="H35" i="31"/>
  <c r="J35" i="31" s="1"/>
  <c r="J35" i="43"/>
  <c r="H36" i="50"/>
  <c r="J36" i="50" s="1"/>
  <c r="J57" i="30"/>
  <c r="H57" i="43"/>
  <c r="H117" i="43"/>
  <c r="J117" i="30"/>
  <c r="H101" i="43"/>
  <c r="J101" i="30"/>
  <c r="J123" i="30"/>
  <c r="H123" i="43"/>
  <c r="J121" i="30"/>
  <c r="H121" i="43"/>
  <c r="J147" i="30"/>
  <c r="H147" i="43"/>
  <c r="J54" i="43"/>
  <c r="H54" i="31"/>
  <c r="J54" i="31" s="1"/>
  <c r="H55" i="50"/>
  <c r="J55" i="50" s="1"/>
  <c r="H29" i="31"/>
  <c r="J29" i="31" s="1"/>
  <c r="H30" i="50"/>
  <c r="J30" i="50" s="1"/>
  <c r="J29" i="43"/>
  <c r="H139" i="43"/>
  <c r="J139" i="30"/>
  <c r="J85" i="30"/>
  <c r="H85" i="43"/>
  <c r="J100" i="30"/>
  <c r="H100" i="43"/>
  <c r="J122" i="43"/>
  <c r="H122" i="31"/>
  <c r="J122" i="31" s="1"/>
  <c r="H76" i="31"/>
  <c r="J76" i="31" s="1"/>
  <c r="J76" i="43"/>
  <c r="H179" i="43"/>
  <c r="J179" i="30"/>
  <c r="J86" i="43"/>
  <c r="H86" i="31"/>
  <c r="J86" i="31" s="1"/>
  <c r="J129" i="43"/>
  <c r="H80" i="50"/>
  <c r="H129" i="31"/>
  <c r="J129" i="31" s="1"/>
  <c r="J82" i="30"/>
  <c r="H82" i="43"/>
  <c r="J82" i="43" s="1"/>
  <c r="H22" i="43"/>
  <c r="J22" i="30"/>
  <c r="H31" i="31"/>
  <c r="J31" i="31" s="1"/>
  <c r="J31" i="43"/>
  <c r="H32" i="50"/>
  <c r="J32" i="50" s="1"/>
  <c r="J65" i="30"/>
  <c r="H65" i="43"/>
  <c r="H163" i="30"/>
  <c r="J163" i="29"/>
  <c r="J62" i="29"/>
  <c r="H62" i="30"/>
  <c r="H114" i="43"/>
  <c r="J114" i="30"/>
  <c r="H97" i="30"/>
  <c r="J97" i="29"/>
  <c r="H176" i="43"/>
  <c r="J176" i="30"/>
  <c r="J116" i="43"/>
  <c r="H116" i="31"/>
  <c r="J116" i="31" s="1"/>
  <c r="J161" i="43"/>
  <c r="H161" i="31"/>
  <c r="J161" i="31" s="1"/>
  <c r="H105" i="50"/>
  <c r="J105" i="50" s="1"/>
  <c r="J118" i="43"/>
  <c r="H118" i="31"/>
  <c r="J118" i="31" s="1"/>
  <c r="J89" i="30"/>
  <c r="H89" i="43"/>
  <c r="J146" i="29"/>
  <c r="H146" i="30"/>
  <c r="H181" i="29"/>
  <c r="J181" i="28"/>
  <c r="H53" i="43"/>
  <c r="J53" i="30"/>
  <c r="H105" i="30"/>
  <c r="J105" i="29"/>
  <c r="H64" i="43"/>
  <c r="J64" i="30"/>
  <c r="J156" i="30"/>
  <c r="H156" i="43"/>
  <c r="H178" i="30"/>
  <c r="J178" i="29"/>
  <c r="J99" i="28"/>
  <c r="J41" i="30"/>
  <c r="H41" i="43"/>
  <c r="H91" i="43"/>
  <c r="J91" i="30"/>
  <c r="H69" i="30"/>
  <c r="J69" i="29"/>
  <c r="H75" i="31"/>
  <c r="J75" i="31" s="1"/>
  <c r="J75" i="43"/>
  <c r="J51" i="30"/>
  <c r="H51" i="43"/>
  <c r="H44" i="31"/>
  <c r="J44" i="31" s="1"/>
  <c r="H45" i="50"/>
  <c r="J45" i="50" s="1"/>
  <c r="J44" i="43"/>
  <c r="H120" i="30"/>
  <c r="J120" i="29"/>
  <c r="J98" i="28"/>
  <c r="H98" i="29"/>
  <c r="H96" i="30"/>
  <c r="J96" i="29"/>
  <c r="H27" i="30"/>
  <c r="H11" i="43"/>
  <c r="J11" i="30"/>
  <c r="J180" i="29"/>
  <c r="H180" i="30"/>
  <c r="H104" i="30"/>
  <c r="J104" i="29"/>
  <c r="J63" i="30"/>
  <c r="H63" i="43"/>
  <c r="H36" i="31"/>
  <c r="J36" i="31" s="1"/>
  <c r="H37" i="50"/>
  <c r="J37" i="50" s="1"/>
  <c r="J36" i="43"/>
  <c r="H88" i="43"/>
  <c r="J88" i="30"/>
  <c r="H92" i="30"/>
  <c r="J92" i="29"/>
  <c r="J140" i="29"/>
  <c r="H140" i="30"/>
  <c r="J141" i="29"/>
  <c r="H141" i="30"/>
  <c r="J115" i="43"/>
  <c r="H115" i="31"/>
  <c r="J115" i="31" s="1"/>
  <c r="J66" i="43"/>
  <c r="H66" i="31"/>
  <c r="J66" i="31" s="1"/>
  <c r="J131" i="43"/>
  <c r="H82" i="31"/>
  <c r="J82" i="31" s="1"/>
  <c r="H131" i="31"/>
  <c r="J131" i="31" s="1"/>
  <c r="H83" i="50"/>
  <c r="J83" i="50" s="1"/>
  <c r="J187" i="30"/>
  <c r="H187" i="43"/>
  <c r="J94" i="43"/>
  <c r="H94" i="31"/>
  <c r="J94" i="31" s="1"/>
  <c r="H64" i="50"/>
  <c r="J64" i="50" s="1"/>
  <c r="J145" i="43"/>
  <c r="H145" i="31"/>
  <c r="J145" i="31" s="1"/>
  <c r="H97" i="50"/>
  <c r="J97" i="50" s="1"/>
  <c r="H23" i="43"/>
  <c r="J23" i="30"/>
  <c r="J32" i="28"/>
  <c r="H127" i="31"/>
  <c r="J127" i="31" s="1"/>
  <c r="J127" i="43"/>
  <c r="H78" i="50"/>
  <c r="J78" i="50" s="1"/>
  <c r="H186" i="30"/>
  <c r="J186" i="29"/>
  <c r="H174" i="43"/>
  <c r="J174" i="30"/>
  <c r="H10" i="43"/>
  <c r="J10" i="30"/>
  <c r="H78" i="30"/>
  <c r="J78" i="29"/>
  <c r="H113" i="43"/>
  <c r="J113" i="30"/>
  <c r="J144" i="43"/>
  <c r="H144" i="31"/>
  <c r="J144" i="31" s="1"/>
  <c r="H96" i="50"/>
  <c r="J96" i="50" s="1"/>
  <c r="H15" i="30"/>
  <c r="J152" i="43"/>
  <c r="H152" i="31"/>
  <c r="J152" i="31" s="1"/>
  <c r="J12" i="30"/>
  <c r="H12" i="43"/>
  <c r="J9" i="30"/>
  <c r="H9" i="43"/>
  <c r="H60" i="28"/>
  <c r="J60" i="27"/>
  <c r="H175" i="31"/>
  <c r="J175" i="31" s="1"/>
  <c r="H119" i="50"/>
  <c r="J119" i="50" s="1"/>
  <c r="J175" i="43"/>
  <c r="H49" i="30"/>
  <c r="J49" i="29"/>
  <c r="J59" i="29"/>
  <c r="H59" i="30"/>
  <c r="H28" i="30"/>
  <c r="H47" i="29"/>
  <c r="J47" i="28"/>
  <c r="H40" i="30"/>
  <c r="J40" i="29"/>
  <c r="H67" i="30"/>
  <c r="J67" i="29"/>
  <c r="J95" i="43"/>
  <c r="H95" i="31"/>
  <c r="J95" i="31" s="1"/>
  <c r="H65" i="50"/>
  <c r="J65" i="50" s="1"/>
  <c r="J134" i="30"/>
  <c r="H134" i="43"/>
  <c r="J13" i="43"/>
  <c r="H13" i="31"/>
  <c r="J13" i="31" s="1"/>
  <c r="H14" i="50"/>
  <c r="J14" i="50" s="1"/>
  <c r="H30" i="31"/>
  <c r="J30" i="31" s="1"/>
  <c r="J30" i="43"/>
  <c r="H31" i="50"/>
  <c r="J31" i="50" s="1"/>
  <c r="H148" i="43"/>
  <c r="J148" i="30"/>
  <c r="H142" i="43"/>
  <c r="J142" i="30"/>
  <c r="H46" i="31" l="1"/>
  <c r="J46" i="31" s="1"/>
  <c r="J46" i="43"/>
  <c r="H47" i="50"/>
  <c r="J47" i="50" s="1"/>
  <c r="H129" i="50"/>
  <c r="J129" i="50" s="1"/>
  <c r="J185" i="43"/>
  <c r="H185" i="31"/>
  <c r="J185" i="31" s="1"/>
  <c r="J151" i="43"/>
  <c r="H151" i="31"/>
  <c r="J151" i="31" s="1"/>
  <c r="J7" i="43"/>
  <c r="I9" i="43" s="1"/>
  <c r="H7" i="50"/>
  <c r="J7" i="50" s="1"/>
  <c r="H7" i="31"/>
  <c r="J7" i="31" s="1"/>
  <c r="I9" i="31" s="1"/>
  <c r="J165" i="43"/>
  <c r="H165" i="31"/>
  <c r="J165" i="31" s="1"/>
  <c r="J143" i="30"/>
  <c r="H143" i="43"/>
  <c r="H87" i="43"/>
  <c r="J87" i="30"/>
  <c r="J77" i="43"/>
  <c r="H77" i="31"/>
  <c r="J77" i="31" s="1"/>
  <c r="H53" i="50"/>
  <c r="J53" i="50" s="1"/>
  <c r="H52" i="31"/>
  <c r="J52" i="31" s="1"/>
  <c r="J52" i="43"/>
  <c r="H42" i="31"/>
  <c r="J42" i="31" s="1"/>
  <c r="H43" i="50"/>
  <c r="J43" i="50" s="1"/>
  <c r="J42" i="43"/>
  <c r="H39" i="31"/>
  <c r="J39" i="31" s="1"/>
  <c r="J39" i="43"/>
  <c r="H40" i="50"/>
  <c r="J40" i="50" s="1"/>
  <c r="H20" i="43"/>
  <c r="J20" i="30"/>
  <c r="I20" i="30" s="1"/>
  <c r="H162" i="43"/>
  <c r="J162" i="30"/>
  <c r="H90" i="50"/>
  <c r="J90" i="50" s="1"/>
  <c r="H138" i="31"/>
  <c r="J138" i="31" s="1"/>
  <c r="J138" i="43"/>
  <c r="H133" i="43"/>
  <c r="J133" i="30"/>
  <c r="J68" i="30"/>
  <c r="H68" i="43"/>
  <c r="H71" i="30"/>
  <c r="J71" i="29"/>
  <c r="J56" i="43"/>
  <c r="H56" i="31"/>
  <c r="J56" i="31" s="1"/>
  <c r="H57" i="50"/>
  <c r="J57" i="50" s="1"/>
  <c r="H103" i="30"/>
  <c r="J103" i="29"/>
  <c r="J102" i="29"/>
  <c r="H102" i="30"/>
  <c r="H55" i="31"/>
  <c r="J55" i="31" s="1"/>
  <c r="H56" i="50"/>
  <c r="J56" i="50" s="1"/>
  <c r="J55" i="43"/>
  <c r="J37" i="43"/>
  <c r="H37" i="31"/>
  <c r="J37" i="31" s="1"/>
  <c r="H38" i="50"/>
  <c r="J38" i="50" s="1"/>
  <c r="J24" i="30"/>
  <c r="H24" i="43"/>
  <c r="J19" i="30"/>
  <c r="H19" i="43"/>
  <c r="H8" i="43"/>
  <c r="J8" i="30"/>
  <c r="H179" i="31"/>
  <c r="J179" i="31" s="1"/>
  <c r="J179" i="43"/>
  <c r="H123" i="50"/>
  <c r="J123" i="50" s="1"/>
  <c r="H101" i="31"/>
  <c r="J101" i="31" s="1"/>
  <c r="J101" i="43"/>
  <c r="H71" i="50"/>
  <c r="J71" i="50" s="1"/>
  <c r="J43" i="43"/>
  <c r="H44" i="50"/>
  <c r="J44" i="50" s="1"/>
  <c r="H43" i="31"/>
  <c r="J43" i="31" s="1"/>
  <c r="H85" i="31"/>
  <c r="J85" i="31" s="1"/>
  <c r="J85" i="43"/>
  <c r="J121" i="43"/>
  <c r="H121" i="31"/>
  <c r="J121" i="31" s="1"/>
  <c r="H58" i="50"/>
  <c r="J58" i="50" s="1"/>
  <c r="J57" i="43"/>
  <c r="H57" i="31"/>
  <c r="J57" i="31" s="1"/>
  <c r="H38" i="31"/>
  <c r="J38" i="31" s="1"/>
  <c r="J38" i="43"/>
  <c r="H39" i="50"/>
  <c r="J39" i="50" s="1"/>
  <c r="J139" i="43"/>
  <c r="H139" i="31"/>
  <c r="J139" i="31" s="1"/>
  <c r="H91" i="50"/>
  <c r="J91" i="50" s="1"/>
  <c r="J117" i="43"/>
  <c r="H117" i="31"/>
  <c r="J117" i="31" s="1"/>
  <c r="H70" i="50"/>
  <c r="J70" i="50" s="1"/>
  <c r="H100" i="31"/>
  <c r="J100" i="31" s="1"/>
  <c r="J100" i="43"/>
  <c r="H99" i="50"/>
  <c r="J99" i="50" s="1"/>
  <c r="H147" i="31"/>
  <c r="J147" i="31" s="1"/>
  <c r="J147" i="43"/>
  <c r="J123" i="43"/>
  <c r="H123" i="31"/>
  <c r="J123" i="31" s="1"/>
  <c r="H65" i="31"/>
  <c r="J65" i="31" s="1"/>
  <c r="J65" i="43"/>
  <c r="H22" i="31"/>
  <c r="J22" i="31" s="1"/>
  <c r="J22" i="43"/>
  <c r="H23" i="50"/>
  <c r="J23" i="50" s="1"/>
  <c r="H92" i="43"/>
  <c r="J92" i="30"/>
  <c r="J27" i="30"/>
  <c r="H27" i="43"/>
  <c r="H69" i="43"/>
  <c r="J69" i="30"/>
  <c r="H178" i="43"/>
  <c r="J178" i="30"/>
  <c r="H53" i="31"/>
  <c r="J53" i="31" s="1"/>
  <c r="H54" i="50"/>
  <c r="J54" i="50" s="1"/>
  <c r="J53" i="43"/>
  <c r="H104" i="43"/>
  <c r="J104" i="30"/>
  <c r="J156" i="43"/>
  <c r="H156" i="31"/>
  <c r="J156" i="31" s="1"/>
  <c r="H103" i="50"/>
  <c r="J103" i="50" s="1"/>
  <c r="J97" i="30"/>
  <c r="H97" i="43"/>
  <c r="J88" i="43"/>
  <c r="H88" i="31"/>
  <c r="J88" i="31" s="1"/>
  <c r="J180" i="30"/>
  <c r="H180" i="43"/>
  <c r="H91" i="31"/>
  <c r="J91" i="31" s="1"/>
  <c r="J91" i="43"/>
  <c r="H181" i="30"/>
  <c r="J181" i="29"/>
  <c r="H141" i="43"/>
  <c r="J141" i="30"/>
  <c r="H96" i="43"/>
  <c r="J96" i="30"/>
  <c r="H51" i="31"/>
  <c r="J51" i="31" s="1"/>
  <c r="J51" i="43"/>
  <c r="H52" i="50"/>
  <c r="J52" i="50" s="1"/>
  <c r="H41" i="31"/>
  <c r="J41" i="31" s="1"/>
  <c r="H42" i="50"/>
  <c r="J42" i="50" s="1"/>
  <c r="J41" i="43"/>
  <c r="J146" i="30"/>
  <c r="H146" i="43"/>
  <c r="J114" i="43"/>
  <c r="H114" i="31"/>
  <c r="J114" i="31" s="1"/>
  <c r="H98" i="30"/>
  <c r="J98" i="29"/>
  <c r="H64" i="31"/>
  <c r="J64" i="31" s="1"/>
  <c r="J64" i="43"/>
  <c r="H62" i="43"/>
  <c r="J62" i="30"/>
  <c r="H140" i="43"/>
  <c r="J140" i="30"/>
  <c r="J99" i="29"/>
  <c r="H99" i="30"/>
  <c r="J89" i="43"/>
  <c r="H89" i="31"/>
  <c r="J89" i="31" s="1"/>
  <c r="H63" i="31"/>
  <c r="J63" i="31" s="1"/>
  <c r="J63" i="43"/>
  <c r="H105" i="43"/>
  <c r="J105" i="30"/>
  <c r="H11" i="31"/>
  <c r="J11" i="31" s="1"/>
  <c r="J11" i="43"/>
  <c r="H11" i="50"/>
  <c r="H120" i="43"/>
  <c r="J120" i="30"/>
  <c r="H176" i="31"/>
  <c r="J176" i="31" s="1"/>
  <c r="J176" i="43"/>
  <c r="H120" i="50"/>
  <c r="J120" i="50" s="1"/>
  <c r="H163" i="43"/>
  <c r="J163" i="30"/>
  <c r="H148" i="31"/>
  <c r="J148" i="31" s="1"/>
  <c r="J148" i="43"/>
  <c r="H100" i="50"/>
  <c r="J100" i="50" s="1"/>
  <c r="H78" i="43"/>
  <c r="J78" i="30"/>
  <c r="H40" i="43"/>
  <c r="J40" i="30"/>
  <c r="H49" i="43"/>
  <c r="J49" i="30"/>
  <c r="J12" i="43"/>
  <c r="H12" i="31"/>
  <c r="J12" i="31" s="1"/>
  <c r="H12" i="50"/>
  <c r="H10" i="31"/>
  <c r="J10" i="31" s="1"/>
  <c r="H10" i="50"/>
  <c r="J10" i="43"/>
  <c r="H32" i="30"/>
  <c r="H47" i="30"/>
  <c r="J47" i="29"/>
  <c r="J60" i="28"/>
  <c r="H60" i="29"/>
  <c r="J113" i="43"/>
  <c r="H113" i="31"/>
  <c r="J113" i="31" s="1"/>
  <c r="H28" i="43"/>
  <c r="J28" i="30"/>
  <c r="H9" i="50"/>
  <c r="J9" i="50" s="1"/>
  <c r="J9" i="43"/>
  <c r="H9" i="31"/>
  <c r="J9" i="31" s="1"/>
  <c r="J174" i="43"/>
  <c r="H174" i="31"/>
  <c r="J174" i="31" s="1"/>
  <c r="H118" i="50"/>
  <c r="J118" i="50" s="1"/>
  <c r="H23" i="31"/>
  <c r="J23" i="31" s="1"/>
  <c r="H24" i="50"/>
  <c r="J24" i="50" s="1"/>
  <c r="J23" i="43"/>
  <c r="J142" i="43"/>
  <c r="H142" i="31"/>
  <c r="J142" i="31" s="1"/>
  <c r="H59" i="43"/>
  <c r="J59" i="30"/>
  <c r="J15" i="30"/>
  <c r="I16" i="30" s="1"/>
  <c r="H15" i="43"/>
  <c r="H186" i="43"/>
  <c r="J186" i="30"/>
  <c r="H134" i="31"/>
  <c r="J134" i="31" s="1"/>
  <c r="J134" i="43"/>
  <c r="H86" i="50"/>
  <c r="J86" i="50" s="1"/>
  <c r="H67" i="43"/>
  <c r="J67" i="30"/>
  <c r="J187" i="43"/>
  <c r="H131" i="50"/>
  <c r="J131" i="50" s="1"/>
  <c r="H187" i="31"/>
  <c r="J187" i="31" s="1"/>
  <c r="H95" i="50" l="1"/>
  <c r="J95" i="50" s="1"/>
  <c r="H143" i="31"/>
  <c r="J143" i="31" s="1"/>
  <c r="J143" i="43"/>
  <c r="J87" i="43"/>
  <c r="H87" i="31"/>
  <c r="J87" i="31" s="1"/>
  <c r="H21" i="50"/>
  <c r="J21" i="50" s="1"/>
  <c r="I21" i="50" s="1"/>
  <c r="J20" i="43"/>
  <c r="I20" i="43" s="1"/>
  <c r="H20" i="31"/>
  <c r="J20" i="31" s="1"/>
  <c r="I20" i="31" s="1"/>
  <c r="J162" i="43"/>
  <c r="H162" i="31"/>
  <c r="J162" i="31" s="1"/>
  <c r="H106" i="50"/>
  <c r="J106" i="50" s="1"/>
  <c r="H133" i="31"/>
  <c r="J133" i="31" s="1"/>
  <c r="J133" i="43"/>
  <c r="H85" i="50"/>
  <c r="J85" i="50" s="1"/>
  <c r="J68" i="43"/>
  <c r="H68" i="31"/>
  <c r="J68" i="31" s="1"/>
  <c r="J71" i="30"/>
  <c r="H71" i="43"/>
  <c r="J102" i="30"/>
  <c r="H102" i="43"/>
  <c r="H103" i="43"/>
  <c r="J103" i="30"/>
  <c r="J24" i="43"/>
  <c r="H24" i="31"/>
  <c r="J24" i="31" s="1"/>
  <c r="H25" i="50"/>
  <c r="J25" i="50" s="1"/>
  <c r="J19" i="43"/>
  <c r="H19" i="31"/>
  <c r="J19" i="31" s="1"/>
  <c r="H20" i="50"/>
  <c r="J20" i="50" s="1"/>
  <c r="J8" i="43"/>
  <c r="H8" i="50"/>
  <c r="J8" i="50" s="1"/>
  <c r="H8" i="31"/>
  <c r="J8" i="31" s="1"/>
  <c r="J62" i="43"/>
  <c r="H62" i="31"/>
  <c r="J62" i="31" s="1"/>
  <c r="H178" i="31"/>
  <c r="J178" i="31" s="1"/>
  <c r="J178" i="43"/>
  <c r="H122" i="50"/>
  <c r="J122" i="50" s="1"/>
  <c r="H96" i="31"/>
  <c r="J96" i="31" s="1"/>
  <c r="J96" i="43"/>
  <c r="H66" i="50"/>
  <c r="J66" i="50" s="1"/>
  <c r="J69" i="43"/>
  <c r="H69" i="31"/>
  <c r="J69" i="31" s="1"/>
  <c r="H99" i="43"/>
  <c r="J99" i="30"/>
  <c r="H104" i="31"/>
  <c r="J104" i="31" s="1"/>
  <c r="J104" i="43"/>
  <c r="H28" i="50"/>
  <c r="J28" i="50" s="1"/>
  <c r="H27" i="31"/>
  <c r="J27" i="31" s="1"/>
  <c r="J27" i="43"/>
  <c r="H120" i="31"/>
  <c r="J120" i="31" s="1"/>
  <c r="J120" i="43"/>
  <c r="H163" i="31"/>
  <c r="J163" i="31" s="1"/>
  <c r="J163" i="43"/>
  <c r="H98" i="43"/>
  <c r="J98" i="30"/>
  <c r="H141" i="31"/>
  <c r="J141" i="31" s="1"/>
  <c r="J141" i="43"/>
  <c r="H93" i="50"/>
  <c r="J93" i="50" s="1"/>
  <c r="J180" i="43"/>
  <c r="H180" i="31"/>
  <c r="J180" i="31" s="1"/>
  <c r="H124" i="50"/>
  <c r="J124" i="50" s="1"/>
  <c r="J97" i="43"/>
  <c r="H97" i="31"/>
  <c r="J97" i="31" s="1"/>
  <c r="H67" i="50"/>
  <c r="J67" i="50" s="1"/>
  <c r="J146" i="43"/>
  <c r="H146" i="31"/>
  <c r="J146" i="31" s="1"/>
  <c r="H98" i="50"/>
  <c r="J98" i="50" s="1"/>
  <c r="J105" i="43"/>
  <c r="H105" i="31"/>
  <c r="J105" i="31" s="1"/>
  <c r="J140" i="43"/>
  <c r="H140" i="31"/>
  <c r="J140" i="31" s="1"/>
  <c r="H92" i="50"/>
  <c r="J92" i="50" s="1"/>
  <c r="J181" i="30"/>
  <c r="H181" i="43"/>
  <c r="J92" i="43"/>
  <c r="H92" i="31"/>
  <c r="J92" i="31" s="1"/>
  <c r="H49" i="31"/>
  <c r="J49" i="31" s="1"/>
  <c r="H50" i="50"/>
  <c r="J50" i="50" s="1"/>
  <c r="J49" i="43"/>
  <c r="H59" i="31"/>
  <c r="J59" i="31" s="1"/>
  <c r="J59" i="43"/>
  <c r="H60" i="50"/>
  <c r="J60" i="50" s="1"/>
  <c r="J60" i="29"/>
  <c r="H60" i="30"/>
  <c r="H40" i="31"/>
  <c r="J40" i="31" s="1"/>
  <c r="H41" i="50"/>
  <c r="J41" i="50" s="1"/>
  <c r="J40" i="43"/>
  <c r="J67" i="43"/>
  <c r="H67" i="31"/>
  <c r="J67" i="31" s="1"/>
  <c r="H47" i="43"/>
  <c r="J47" i="30"/>
  <c r="H78" i="31"/>
  <c r="J78" i="31" s="1"/>
  <c r="J78" i="43"/>
  <c r="J32" i="30"/>
  <c r="H32" i="43"/>
  <c r="H186" i="31"/>
  <c r="J186" i="31" s="1"/>
  <c r="H130" i="50"/>
  <c r="J130" i="50" s="1"/>
  <c r="J186" i="43"/>
  <c r="H15" i="31"/>
  <c r="J15" i="31" s="1"/>
  <c r="H16" i="50"/>
  <c r="J16" i="50" s="1"/>
  <c r="I17" i="50" s="1"/>
  <c r="J15" i="43"/>
  <c r="I16" i="43" s="1"/>
  <c r="H28" i="31"/>
  <c r="J28" i="31" s="1"/>
  <c r="H29" i="50"/>
  <c r="J29" i="50" s="1"/>
  <c r="J28" i="43"/>
  <c r="J71" i="43" l="1"/>
  <c r="H71" i="31"/>
  <c r="J71" i="31" s="1"/>
  <c r="J102" i="43"/>
  <c r="H102" i="31"/>
  <c r="J102" i="31" s="1"/>
  <c r="H72" i="50"/>
  <c r="J72" i="50" s="1"/>
  <c r="H103" i="31"/>
  <c r="J103" i="31" s="1"/>
  <c r="J103" i="43"/>
  <c r="H98" i="31"/>
  <c r="J98" i="31" s="1"/>
  <c r="J98" i="43"/>
  <c r="H68" i="50"/>
  <c r="J68" i="50" s="1"/>
  <c r="H99" i="31"/>
  <c r="J99" i="31" s="1"/>
  <c r="H69" i="50"/>
  <c r="J69" i="50" s="1"/>
  <c r="J99" i="43"/>
  <c r="H181" i="31"/>
  <c r="J181" i="31" s="1"/>
  <c r="J181" i="43"/>
  <c r="H60" i="43"/>
  <c r="J60" i="30"/>
  <c r="H47" i="31"/>
  <c r="J47" i="31" s="1"/>
  <c r="J47" i="43"/>
  <c r="H48" i="50"/>
  <c r="J48" i="50" s="1"/>
  <c r="J32" i="43"/>
  <c r="H32" i="31"/>
  <c r="J32" i="31" s="1"/>
  <c r="H33" i="50"/>
  <c r="J33" i="50" s="1"/>
  <c r="H60" i="31" l="1"/>
  <c r="J60" i="31" s="1"/>
  <c r="J60" i="43"/>
  <c r="H61" i="50"/>
  <c r="J61" i="50" s="1"/>
</calcChain>
</file>

<file path=xl/sharedStrings.xml><?xml version="1.0" encoding="utf-8"?>
<sst xmlns="http://schemas.openxmlformats.org/spreadsheetml/2006/main" count="10764" uniqueCount="385">
  <si>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</si>
  <si>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</si>
  <si>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</si>
  <si>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</si>
  <si>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</si>
  <si>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</si>
  <si>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</si>
  <si>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</si>
  <si>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</si>
  <si>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</si>
  <si>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</si>
  <si>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</si>
  <si>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</si>
  <si>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</si>
  <si>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</si>
  <si>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</si>
  <si>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</si>
  <si>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</si>
  <si>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</si>
  <si>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</si>
  <si>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</si>
  <si>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</si>
  <si>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</si>
  <si>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</si>
  <si>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</si>
  <si>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</si>
  <si>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</si>
  <si>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</si>
  <si>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</si>
  <si>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</si>
  <si>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</si>
  <si>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</si>
  <si>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</si>
  <si>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</si>
  <si>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</si>
  <si>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</si>
  <si>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</si>
  <si>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</si>
  <si>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</si>
  <si>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</si>
  <si>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</si>
  <si>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</si>
  <si>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</si>
  <si>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</si>
  <si>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</si>
  <si>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</si>
  <si>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</si>
  <si>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</si>
  <si>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</si>
  <si>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</si>
  <si>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</si>
  <si>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</si>
  <si>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</si>
  <si>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</si>
  <si>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</si>
  <si>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</si>
  <si>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</si>
  <si>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</si>
  <si>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</si>
  <si>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</si>
  <si>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</si>
  <si>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</si>
  <si>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</si>
  <si>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</si>
  <si>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</si>
  <si>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</si>
  <si>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</si>
  <si>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</si>
  <si>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</si>
  <si>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</si>
  <si>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</si>
  <si>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</si>
  <si>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</si>
  <si>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</si>
  <si>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</si>
  <si>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</si>
  <si>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</si>
  <si>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</si>
  <si>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</si>
  <si>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</si>
  <si>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</si>
  <si>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</si>
  <si>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</si>
  <si>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</si>
  <si>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</si>
  <si>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</si>
  <si>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</si>
  <si>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</si>
  <si>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</si>
  <si>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</si>
  <si>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</si>
  <si>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</si>
  <si>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</si>
  <si>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</si>
  <si>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</si>
  <si>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</si>
  <si>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</si>
  <si>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</si>
  <si>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</si>
  <si>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</si>
  <si>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</si>
  <si>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</si>
  <si>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</si>
  <si>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</si>
  <si>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</si>
  <si>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</si>
  <si>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</si>
  <si>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</si>
  <si>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</si>
  <si>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</si>
  <si>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</si>
  <si>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</si>
  <si>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</si>
  <si>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</si>
  <si>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</si>
  <si>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</si>
  <si>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</si>
  <si>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</si>
  <si>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</si>
  <si>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</si>
  <si>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</si>
  <si>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</si>
  <si>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</si>
  <si>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</si>
  <si>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</si>
  <si>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</si>
  <si>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</si>
  <si>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</si>
  <si>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</si>
  <si>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</si>
  <si>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</si>
  <si>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</si>
  <si>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</si>
  <si>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</si>
  <si>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</si>
  <si>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</si>
  <si>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</si>
  <si>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</si>
  <si>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</si>
  <si>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</si>
  <si>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</si>
  <si>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</si>
  <si>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</si>
  <si>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</si>
  <si>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</si>
  <si>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</si>
  <si>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</si>
  <si>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</si>
  <si>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</si>
  <si>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</si>
  <si>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</si>
  <si>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</si>
  <si>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</si>
  <si>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</si>
  <si>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</si>
  <si>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</si>
  <si>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</si>
  <si>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</si>
  <si>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</si>
  <si>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</si>
  <si>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</si>
  <si>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</si>
  <si>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</si>
  <si>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</si>
  <si>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</si>
  <si>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</si>
  <si>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</si>
  <si>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</si>
  <si>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</si>
  <si>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</si>
  <si>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</si>
  <si>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</si>
  <si>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</si>
  <si>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</si>
  <si>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</si>
  <si>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</si>
  <si>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</si>
  <si>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</si>
  <si>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</si>
  <si>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</si>
  <si>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</si>
  <si>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</si>
  <si>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</si>
  <si>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</si>
  <si>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</si>
  <si>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</si>
  <si>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</si>
  <si>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</si>
  <si>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</si>
  <si>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</si>
  <si>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</si>
  <si>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</si>
  <si>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</si>
  <si>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</si>
  <si>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</si>
  <si>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</si>
  <si>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</si>
  <si>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</si>
  <si>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</si>
  <si>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</si>
  <si>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</si>
  <si>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</si>
  <si>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</si>
  <si>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</si>
  <si>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</si>
  <si>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</si>
  <si>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</si>
  <si>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</si>
  <si>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</si>
  <si>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</si>
  <si>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</si>
  <si>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</si>
  <si>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</si>
  <si>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</si>
  <si>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</si>
  <si>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</si>
  <si>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</si>
  <si>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</si>
  <si>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</si>
  <si>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</si>
  <si>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</si>
  <si>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</si>
  <si>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</si>
  <si>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</si>
  <si>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</si>
  <si>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</si>
  <si>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</si>
  <si>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</si>
  <si>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</si>
  <si>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</si>
  <si>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</si>
  <si>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</si>
  <si>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</si>
  <si>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</si>
  <si>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</si>
  <si>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</si>
  <si>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</si>
  <si>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</si>
  <si>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</si>
  <si>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</si>
  <si>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</si>
  <si>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</si>
  <si>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</si>
  <si>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</si>
  <si>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</si>
  <si>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</si>
  <si>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</si>
  <si>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</si>
  <si>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</si>
  <si>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</si>
  <si>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</si>
  <si>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</si>
  <si>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</si>
  <si>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</si>
  <si>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</si>
  <si>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</si>
  <si>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</si>
  <si>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</si>
  <si>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</si>
  <si>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</si>
  <si>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</si>
  <si>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</si>
  <si>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</si>
  <si>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</si>
  <si>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</si>
  <si>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</si>
  <si>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</si>
  <si>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</si>
  <si>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</si>
  <si>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</si>
  <si>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</si>
  <si>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</si>
  <si>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</si>
  <si>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</si>
  <si>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</si>
  <si>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</si>
  <si>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</si>
  <si>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</si>
  <si>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</si>
  <si>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</si>
  <si>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</si>
  <si>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</si>
  <si>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</si>
  <si>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</si>
  <si>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</si>
  <si>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</si>
  <si>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</si>
  <si>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</si>
  <si>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</si>
  <si>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</si>
  <si>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</si>
  <si>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</si>
  <si>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</si>
  <si>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</si>
  <si>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</si>
  <si>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</si>
  <si>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</si>
  <si>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</si>
  <si>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</si>
  <si>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</si>
  <si>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</si>
  <si>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</si>
  <si>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</si>
  <si>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</si>
  <si>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</si>
  <si>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</si>
  <si>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</si>
  <si>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</si>
  <si>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</si>
  <si>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</si>
  <si>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</si>
  <si>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</si>
  <si>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</si>
  <si>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</si>
  <si>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</si>
  <si>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</si>
  <si>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</si>
  <si>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</si>
  <si>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</si>
  <si>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</si>
  <si>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</si>
  <si>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</si>
  <si>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</si>
  <si>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</si>
  <si>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</si>
  <si>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</si>
  <si>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</si>
  <si>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</si>
  <si>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</si>
  <si>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</si>
  <si>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</si>
  <si>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</si>
  <si>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</si>
  <si>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</si>
  <si>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</si>
  <si>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</si>
  <si>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</si>
  <si>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</si>
  <si>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</si>
  <si>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</si>
  <si>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</si>
  <si>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</si>
  <si>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</si>
  <si>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</si>
  <si>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</si>
  <si>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</si>
  <si>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</si>
  <si>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</si>
  <si>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</si>
  <si>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</si>
  <si>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</si>
  <si>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</si>
  <si>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</si>
  <si>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</si>
  <si>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</si>
  <si>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</si>
  <si>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</si>
  <si>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</si>
  <si>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</si>
  <si>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</si>
  <si>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</si>
  <si>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</si>
  <si>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</si>
  <si>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</si>
  <si>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</si>
  <si>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</si>
  <si>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</si>
  <si>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</si>
  <si>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</si>
  <si>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</si>
  <si>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 xml:space="preserve">            </t>
  </si>
  <si>
    <t>Prepaired by---Dipak</t>
  </si>
  <si>
    <t>Prepaired by--- Dipak</t>
  </si>
  <si>
    <t>meter restart.</t>
  </si>
  <si>
    <t>previous reading inccorect</t>
  </si>
  <si>
    <t>previous reading not added</t>
  </si>
  <si>
    <t xml:space="preserve">                 </t>
  </si>
  <si>
    <t xml:space="preserve">Prepaired by--- Dipak </t>
  </si>
  <si>
    <t>`</t>
  </si>
  <si>
    <t xml:space="preserve">                                     </t>
  </si>
  <si>
    <t>Projrct Malpani Tankar- 08</t>
  </si>
  <si>
    <t>Prepaired by- DIPAK</t>
  </si>
  <si>
    <t>Prepaired by---Prakash</t>
  </si>
  <si>
    <t xml:space="preserve">   </t>
  </si>
  <si>
    <t>yesterday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</si>
</sst>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[$-14009]dd/mm/yy;@"/>
  </numFmts>
  <fonts count="9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20"/>
      <color theme="1"/>
      <name val="Calibri"/>
      <family val="2"/>
    </font>
    <font>
      <b/>
      <i/>
      <sz val="20"/>
      <name val="Arial Unicode MS"/>
      <family val="2"/>
    </font>
    <font>
      <sz val="18"/>
      <name val="Arial Unicode MS"/>
      <family val="2"/>
    </font>
    <font>
      <i/>
      <sz val="18"/>
      <color theme="0"/>
      <name val="Arial Unicode MS"/>
      <family val="2"/>
    </font>
    <font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indexed="8"/>
      <name val="Arial Unicode MS"/>
      <family val="2"/>
    </font>
    <font>
      <sz val="18"/>
      <color rgb="FFFF000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b/>
      <sz val="18"/>
      <color rgb="FF00B050"/>
      <name val="Arial Unicode MS"/>
      <family val="2"/>
    </font>
    <font>
      <b/>
      <i/>
      <sz val="18"/>
      <name val="Arial Unicode MS"/>
      <family val="2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indexed="10"/>
      <name val="Calibri"/>
      <family val="2"/>
      <scheme val="minor"/>
    </font>
    <font>
      <i/>
      <sz val="22"/>
      <name val="Calibri"/>
      <family val="2"/>
      <scheme val="minor"/>
    </font>
    <font>
      <b/>
      <sz val="2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99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6" fillId="8" borderId="1" xfId="3" applyNumberFormat="1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38" fontId="74" fillId="0" borderId="1" xfId="0" applyNumberFormat="1" applyFont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7" fillId="0" borderId="1" xfId="0" applyFont="1" applyBorder="1" applyAlignment="1">
      <alignment horizontal="center"/>
    </xf>
    <xf numFmtId="38" fontId="77" fillId="0" borderId="1" xfId="0" applyNumberFormat="1" applyFont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0" fontId="37" fillId="0" borderId="4" xfId="0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31" fillId="8" borderId="16" xfId="3" applyFont="1" applyFill="1" applyBorder="1" applyAlignment="1">
      <alignment horizontal="center" vertical="center"/>
    </xf>
    <xf numFmtId="166" fontId="78" fillId="2" borderId="0" xfId="3" applyNumberFormat="1" applyFont="1" applyFill="1" applyBorder="1" applyAlignment="1">
      <alignment horizontal="center" vertical="center" wrapText="1" shrinkToFit="1"/>
    </xf>
    <xf numFmtId="0" fontId="39" fillId="0" borderId="0" xfId="0" applyFont="1" applyBorder="1"/>
    <xf numFmtId="172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0" fontId="79" fillId="9" borderId="1" xfId="3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40" fillId="0" borderId="0" xfId="0" applyFont="1" applyBorder="1"/>
    <xf numFmtId="9" fontId="79" fillId="9" borderId="1" xfId="3" applyNumberFormat="1" applyFont="1" applyFill="1" applyBorder="1" applyAlignment="1">
      <alignment horizontal="left"/>
    </xf>
    <xf numFmtId="166" fontId="80" fillId="2" borderId="0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center"/>
    </xf>
    <xf numFmtId="0" fontId="40" fillId="0" borderId="1" xfId="0" applyFont="1" applyBorder="1"/>
    <xf numFmtId="2" fontId="79" fillId="8" borderId="9" xfId="3" applyNumberFormat="1" applyFont="1" applyFill="1" applyBorder="1" applyAlignment="1">
      <alignment horizontal="center"/>
    </xf>
    <xf numFmtId="2" fontId="40" fillId="0" borderId="0" xfId="0" applyNumberFormat="1" applyFont="1"/>
    <xf numFmtId="1" fontId="40" fillId="0" borderId="0" xfId="0" applyNumberFormat="1" applyFont="1"/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center"/>
    </xf>
    <xf numFmtId="169" fontId="79" fillId="8" borderId="1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9" fillId="13" borderId="1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9" fillId="8" borderId="1" xfId="3" applyFont="1" applyFill="1" applyBorder="1" applyAlignment="1">
      <alignment horizontal="left"/>
    </xf>
    <xf numFmtId="0" fontId="79" fillId="2" borderId="1" xfId="3" applyFont="1" applyFill="1" applyBorder="1" applyAlignment="1">
      <alignment horizontal="left" vertical="center"/>
    </xf>
    <xf numFmtId="0" fontId="79" fillId="13" borderId="1" xfId="3" applyFont="1" applyFill="1" applyBorder="1" applyAlignment="1">
      <alignment horizontal="center" vertical="center"/>
    </xf>
    <xf numFmtId="0" fontId="85" fillId="2" borderId="3" xfId="3" applyFont="1" applyFill="1" applyBorder="1" applyAlignment="1">
      <alignment horizontal="center"/>
    </xf>
    <xf numFmtId="0" fontId="85" fillId="2" borderId="4" xfId="3" applyFont="1" applyFill="1" applyBorder="1" applyAlignment="1">
      <alignment horizontal="center"/>
    </xf>
    <xf numFmtId="0" fontId="85" fillId="13" borderId="3" xfId="3" applyFont="1" applyFill="1" applyBorder="1" applyAlignment="1">
      <alignment horizontal="center"/>
    </xf>
    <xf numFmtId="0" fontId="85" fillId="13" borderId="4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left"/>
    </xf>
    <xf numFmtId="1" fontId="84" fillId="2" borderId="0" xfId="0" applyNumberFormat="1" applyFont="1" applyFill="1"/>
    <xf numFmtId="1" fontId="84" fillId="0" borderId="0" xfId="0" applyNumberFormat="1" applyFont="1"/>
    <xf numFmtId="2" fontId="79" fillId="8" borderId="1" xfId="3" applyNumberFormat="1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justify"/>
    </xf>
    <xf numFmtId="166" fontId="82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0" xfId="4" applyFont="1"/>
    <xf numFmtId="0" fontId="40" fillId="0" borderId="0" xfId="0" applyFont="1" applyAlignment="1">
      <alignment horizontal="center"/>
    </xf>
    <xf numFmtId="0" fontId="40" fillId="0" borderId="3" xfId="0" applyFont="1" applyBorder="1" applyAlignment="1"/>
    <xf numFmtId="0" fontId="40" fillId="0" borderId="4" xfId="0" applyFont="1" applyBorder="1" applyAlignment="1"/>
    <xf numFmtId="1" fontId="40" fillId="0" borderId="0" xfId="0" applyNumberFormat="1" applyFont="1" applyFill="1" applyAlignment="1">
      <alignment horizontal="center"/>
    </xf>
    <xf numFmtId="0" fontId="84" fillId="0" borderId="1" xfId="0" applyFont="1" applyFill="1" applyBorder="1"/>
    <xf numFmtId="0" fontId="40" fillId="2" borderId="0" xfId="0" applyFont="1" applyFill="1" applyBorder="1"/>
    <xf numFmtId="0" fontId="40" fillId="12" borderId="1" xfId="0" applyFont="1" applyFill="1" applyBorder="1" applyAlignment="1">
      <alignment horizontal="left"/>
    </xf>
    <xf numFmtId="9" fontId="32" fillId="9" borderId="1" xfId="4" applyNumberFormat="1" applyFont="1" applyFill="1" applyBorder="1"/>
    <xf numFmtId="0" fontId="32" fillId="9" borderId="1" xfId="3" applyFont="1" applyFill="1" applyBorder="1" applyAlignment="1"/>
    <xf numFmtId="0" fontId="32" fillId="12" borderId="1" xfId="3" applyFont="1" applyFill="1" applyBorder="1" applyAlignment="1">
      <alignment horizontal="center" vertical="center"/>
    </xf>
    <xf numFmtId="0" fontId="32" fillId="8" borderId="7" xfId="3" applyFont="1" applyFill="1" applyBorder="1" applyAlignment="1">
      <alignment horizontal="center"/>
    </xf>
    <xf numFmtId="0" fontId="32" fillId="12" borderId="1" xfId="3" applyFont="1" applyFill="1" applyBorder="1" applyAlignment="1">
      <alignment horizontal="center"/>
    </xf>
    <xf numFmtId="0" fontId="32" fillId="2" borderId="1" xfId="3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32" fillId="8" borderId="1" xfId="3" applyFont="1" applyFill="1" applyBorder="1" applyAlignment="1">
      <alignment horizontal="center" vertical="center"/>
    </xf>
    <xf numFmtId="164" fontId="42" fillId="8" borderId="1" xfId="8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17" borderId="3" xfId="3" applyFont="1" applyFill="1" applyBorder="1" applyAlignment="1">
      <alignment vertical="justify"/>
    </xf>
    <xf numFmtId="1" fontId="32" fillId="8" borderId="1" xfId="3" applyNumberFormat="1" applyFont="1" applyFill="1" applyBorder="1" applyAlignment="1">
      <alignment horizontal="center" vertical="center"/>
    </xf>
    <xf numFmtId="0" fontId="32" fillId="17" borderId="1" xfId="3" applyFont="1" applyFill="1" applyBorder="1" applyAlignment="1">
      <alignment horizontal="center"/>
    </xf>
    <xf numFmtId="0" fontId="37" fillId="0" borderId="0" xfId="0" applyFont="1" applyBorder="1"/>
    <xf numFmtId="0" fontId="32" fillId="8" borderId="6" xfId="3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/>
    </xf>
    <xf numFmtId="0" fontId="32" fillId="0" borderId="1" xfId="4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 vertical="center"/>
    </xf>
    <xf numFmtId="0" fontId="32" fillId="0" borderId="0" xfId="4" applyFont="1" applyFill="1" applyBorder="1" applyAlignment="1">
      <alignment horizontal="center"/>
    </xf>
    <xf numFmtId="0" fontId="32" fillId="0" borderId="1" xfId="4" applyFont="1" applyBorder="1" applyAlignment="1">
      <alignment horizontal="center"/>
    </xf>
    <xf numFmtId="0" fontId="37" fillId="0" borderId="1" xfId="0" applyFont="1" applyFill="1" applyBorder="1"/>
    <xf numFmtId="0" fontId="32" fillId="0" borderId="1" xfId="4" applyFont="1" applyFill="1" applyBorder="1"/>
    <xf numFmtId="0" fontId="37" fillId="0" borderId="4" xfId="0" applyFont="1" applyFill="1" applyBorder="1"/>
    <xf numFmtId="0" fontId="37" fillId="0" borderId="4" xfId="0" applyFont="1" applyFill="1" applyBorder="1" applyAlignment="1">
      <alignment horizontal="center"/>
    </xf>
    <xf numFmtId="0" fontId="37" fillId="12" borderId="1" xfId="0" applyFont="1" applyFill="1" applyBorder="1"/>
    <xf numFmtId="0" fontId="90" fillId="9" borderId="1" xfId="3" applyFont="1" applyFill="1" applyBorder="1" applyAlignment="1">
      <alignment horizontal="center"/>
    </xf>
    <xf numFmtId="38" fontId="90" fillId="9" borderId="1" xfId="3" applyNumberFormat="1" applyFont="1" applyFill="1" applyBorder="1" applyAlignment="1">
      <alignment horizontal="center"/>
    </xf>
    <xf numFmtId="1" fontId="90" fillId="9" borderId="1" xfId="3" applyNumberFormat="1" applyFont="1" applyFill="1" applyBorder="1" applyAlignment="1">
      <alignment horizontal="center"/>
    </xf>
    <xf numFmtId="1" fontId="90" fillId="9" borderId="12" xfId="3" applyNumberFormat="1" applyFont="1" applyFill="1" applyBorder="1" applyAlignment="1">
      <alignment horizontal="center"/>
    </xf>
    <xf numFmtId="2" fontId="90" fillId="9" borderId="1" xfId="3" applyNumberFormat="1" applyFont="1" applyFill="1" applyBorder="1" applyAlignment="1">
      <alignment horizontal="center"/>
    </xf>
    <xf numFmtId="9" fontId="90" fillId="9" borderId="1" xfId="3" applyNumberFormat="1" applyFont="1" applyFill="1" applyBorder="1" applyAlignment="1">
      <alignment horizontal="center"/>
    </xf>
    <xf numFmtId="0" fontId="89" fillId="0" borderId="1" xfId="0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0" fontId="90" fillId="12" borderId="1" xfId="3" applyFont="1" applyFill="1" applyBorder="1" applyAlignment="1">
      <alignment horizontal="center"/>
    </xf>
    <xf numFmtId="38" fontId="90" fillId="12" borderId="1" xfId="3" applyNumberFormat="1" applyFont="1" applyFill="1" applyBorder="1" applyAlignment="1">
      <alignment horizontal="center"/>
    </xf>
    <xf numFmtId="1" fontId="90" fillId="12" borderId="1" xfId="3" applyNumberFormat="1" applyFont="1" applyFill="1" applyBorder="1" applyAlignment="1">
      <alignment horizontal="center"/>
    </xf>
    <xf numFmtId="1" fontId="90" fillId="12" borderId="12" xfId="3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" fontId="90" fillId="0" borderId="1" xfId="5" applyNumberFormat="1" applyFont="1" applyFill="1" applyBorder="1" applyAlignment="1">
      <alignment horizontal="center"/>
    </xf>
    <xf numFmtId="1" fontId="90" fillId="2" borderId="1" xfId="3" applyNumberFormat="1" applyFont="1" applyFill="1" applyBorder="1" applyAlignment="1">
      <alignment horizontal="center"/>
    </xf>
    <xf numFmtId="1" fontId="90" fillId="8" borderId="12" xfId="5" applyNumberFormat="1" applyFont="1" applyFill="1" applyBorder="1" applyAlignment="1" applyProtection="1">
      <alignment horizontal="center"/>
    </xf>
    <xf numFmtId="1" fontId="90" fillId="2" borderId="7" xfId="3" applyNumberFormat="1" applyFont="1" applyFill="1" applyBorder="1" applyAlignment="1">
      <alignment horizontal="center"/>
    </xf>
    <xf numFmtId="1" fontId="90" fillId="0" borderId="1" xfId="4" applyNumberFormat="1" applyFont="1" applyBorder="1" applyAlignment="1">
      <alignment horizontal="center"/>
    </xf>
    <xf numFmtId="1" fontId="90" fillId="2" borderId="1" xfId="5" applyNumberFormat="1" applyFont="1" applyFill="1" applyBorder="1" applyAlignment="1">
      <alignment horizontal="center"/>
    </xf>
    <xf numFmtId="1" fontId="89" fillId="12" borderId="1" xfId="3" applyNumberFormat="1" applyFont="1" applyFill="1" applyBorder="1" applyAlignment="1">
      <alignment horizontal="center"/>
    </xf>
    <xf numFmtId="1" fontId="91" fillId="2" borderId="1" xfId="4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/>
    </xf>
    <xf numFmtId="1" fontId="90" fillId="2" borderId="1" xfId="4" applyNumberFormat="1" applyFont="1" applyFill="1" applyBorder="1" applyAlignment="1">
      <alignment horizontal="center"/>
    </xf>
    <xf numFmtId="1" fontId="90" fillId="2" borderId="12" xfId="5" applyNumberFormat="1" applyFont="1" applyFill="1" applyBorder="1" applyAlignment="1" applyProtection="1">
      <alignment horizontal="center"/>
    </xf>
    <xf numFmtId="1" fontId="91" fillId="0" borderId="1" xfId="4" applyNumberFormat="1" applyFont="1" applyBorder="1" applyAlignment="1">
      <alignment horizontal="center"/>
    </xf>
    <xf numFmtId="1" fontId="90" fillId="8" borderId="1" xfId="5" applyNumberFormat="1" applyFont="1" applyFill="1" applyBorder="1" applyAlignment="1">
      <alignment horizontal="center"/>
    </xf>
    <xf numFmtId="1" fontId="93" fillId="8" borderId="1" xfId="3" applyNumberFormat="1" applyFont="1" applyFill="1" applyBorder="1" applyAlignment="1">
      <alignment horizontal="center"/>
    </xf>
    <xf numFmtId="1" fontId="93" fillId="8" borderId="1" xfId="5" applyNumberFormat="1" applyFont="1" applyFill="1" applyBorder="1" applyAlignment="1">
      <alignment horizontal="center"/>
    </xf>
    <xf numFmtId="1" fontId="90" fillId="2" borderId="1" xfId="5" applyNumberFormat="1" applyFont="1" applyFill="1" applyBorder="1" applyAlignment="1" applyProtection="1">
      <alignment horizontal="center"/>
    </xf>
    <xf numFmtId="1" fontId="93" fillId="2" borderId="1" xfId="4" applyNumberFormat="1" applyFont="1" applyFill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8" borderId="1" xfId="3" applyNumberFormat="1" applyFont="1" applyFill="1" applyBorder="1" applyAlignment="1">
      <alignment horizontal="center"/>
    </xf>
    <xf numFmtId="1" fontId="89" fillId="8" borderId="1" xfId="3" applyNumberFormat="1" applyFont="1" applyFill="1" applyBorder="1" applyAlignment="1">
      <alignment horizontal="center"/>
    </xf>
    <xf numFmtId="1" fontId="92" fillId="8" borderId="1" xfId="3" applyNumberFormat="1" applyFont="1" applyFill="1" applyBorder="1" applyAlignment="1">
      <alignment horizontal="center"/>
    </xf>
    <xf numFmtId="1" fontId="89" fillId="0" borderId="1" xfId="0" applyNumberFormat="1" applyFont="1" applyBorder="1" applyAlignment="1">
      <alignment horizontal="center"/>
    </xf>
    <xf numFmtId="2" fontId="90" fillId="8" borderId="1" xfId="9" applyNumberFormat="1" applyFont="1" applyFill="1" applyBorder="1" applyAlignment="1">
      <alignment horizontal="center"/>
    </xf>
    <xf numFmtId="1" fontId="89" fillId="8" borderId="1" xfId="5" applyNumberFormat="1" applyFont="1" applyFill="1" applyBorder="1" applyAlignment="1" applyProtection="1">
      <alignment horizontal="center"/>
    </xf>
    <xf numFmtId="1" fontId="92" fillId="8" borderId="1" xfId="5" applyNumberFormat="1" applyFont="1" applyFill="1" applyBorder="1" applyAlignment="1" applyProtection="1">
      <alignment horizontal="center"/>
    </xf>
    <xf numFmtId="1" fontId="93" fillId="2" borderId="1" xfId="3" applyNumberFormat="1" applyFont="1" applyFill="1" applyBorder="1" applyAlignment="1">
      <alignment horizontal="center"/>
    </xf>
    <xf numFmtId="43" fontId="93" fillId="8" borderId="1" xfId="19" applyFont="1" applyFill="1" applyBorder="1" applyAlignment="1" applyProtection="1">
      <alignment horizontal="center"/>
    </xf>
    <xf numFmtId="1" fontId="90" fillId="8" borderId="1" xfId="19" applyNumberFormat="1" applyFont="1" applyFill="1" applyBorder="1" applyAlignment="1">
      <alignment horizontal="center"/>
    </xf>
    <xf numFmtId="43" fontId="93" fillId="2" borderId="1" xfId="19" applyFont="1" applyFill="1" applyBorder="1" applyAlignment="1">
      <alignment horizontal="center"/>
    </xf>
    <xf numFmtId="1" fontId="90" fillId="8" borderId="12" xfId="19" applyNumberFormat="1" applyFont="1" applyFill="1" applyBorder="1" applyAlignment="1" applyProtection="1">
      <alignment horizontal="center"/>
    </xf>
    <xf numFmtId="1" fontId="95" fillId="17" borderId="3" xfId="3" applyNumberFormat="1" applyFont="1" applyFill="1" applyBorder="1" applyAlignment="1">
      <alignment horizontal="center"/>
    </xf>
    <xf numFmtId="1" fontId="95" fillId="17" borderId="21" xfId="3" applyNumberFormat="1" applyFont="1" applyFill="1" applyBorder="1" applyAlignment="1">
      <alignment horizontal="center"/>
    </xf>
    <xf numFmtId="1" fontId="90" fillId="17" borderId="1" xfId="3" applyNumberFormat="1" applyFont="1" applyFill="1" applyBorder="1" applyAlignment="1">
      <alignment horizontal="center"/>
    </xf>
    <xf numFmtId="1" fontId="89" fillId="17" borderId="1" xfId="3" applyNumberFormat="1" applyFont="1" applyFill="1" applyBorder="1" applyAlignment="1">
      <alignment horizontal="center"/>
    </xf>
    <xf numFmtId="1" fontId="90" fillId="17" borderId="12" xfId="3" applyNumberFormat="1" applyFont="1" applyFill="1" applyBorder="1" applyAlignment="1">
      <alignment horizontal="center"/>
    </xf>
    <xf numFmtId="0" fontId="91" fillId="0" borderId="1" xfId="4" applyFont="1" applyBorder="1" applyAlignment="1">
      <alignment horizontal="center"/>
    </xf>
    <xf numFmtId="38" fontId="90" fillId="2" borderId="1" xfId="5" applyNumberFormat="1" applyFont="1" applyFill="1" applyBorder="1" applyAlignment="1">
      <alignment horizontal="center"/>
    </xf>
    <xf numFmtId="2" fontId="90" fillId="8" borderId="1" xfId="3" applyNumberFormat="1" applyFont="1" applyFill="1" applyBorder="1" applyAlignment="1">
      <alignment horizontal="center"/>
    </xf>
    <xf numFmtId="0" fontId="90" fillId="2" borderId="1" xfId="3" applyFont="1" applyFill="1" applyBorder="1" applyAlignment="1">
      <alignment horizontal="center"/>
    </xf>
    <xf numFmtId="38" fontId="89" fillId="2" borderId="1" xfId="3" applyNumberFormat="1" applyFont="1" applyFill="1" applyBorder="1" applyAlignment="1">
      <alignment horizontal="center"/>
    </xf>
    <xf numFmtId="165" fontId="90" fillId="8" borderId="1" xfId="7" applyFont="1" applyFill="1" applyBorder="1" applyAlignment="1">
      <alignment horizontal="center" wrapText="1"/>
    </xf>
    <xf numFmtId="0" fontId="89" fillId="0" borderId="0" xfId="0" applyFont="1" applyBorder="1" applyAlignment="1">
      <alignment horizontal="center"/>
    </xf>
    <xf numFmtId="38" fontId="89" fillId="0" borderId="0" xfId="0" applyNumberFormat="1" applyFont="1" applyBorder="1" applyAlignment="1">
      <alignment horizontal="center"/>
    </xf>
    <xf numFmtId="1" fontId="89" fillId="0" borderId="0" xfId="0" applyNumberFormat="1" applyFont="1" applyBorder="1" applyAlignment="1">
      <alignment horizontal="center"/>
    </xf>
    <xf numFmtId="1" fontId="89" fillId="0" borderId="24" xfId="0" applyNumberFormat="1" applyFont="1" applyBorder="1" applyAlignment="1">
      <alignment horizontal="center"/>
    </xf>
    <xf numFmtId="0" fontId="90" fillId="17" borderId="1" xfId="3" applyFont="1" applyFill="1" applyBorder="1" applyAlignment="1">
      <alignment horizontal="center"/>
    </xf>
    <xf numFmtId="38" fontId="89" fillId="17" borderId="1" xfId="3" applyNumberFormat="1" applyFont="1" applyFill="1" applyBorder="1" applyAlignment="1">
      <alignment horizontal="center"/>
    </xf>
    <xf numFmtId="0" fontId="89" fillId="17" borderId="1" xfId="3" applyFont="1" applyFill="1" applyBorder="1" applyAlignment="1">
      <alignment horizontal="center"/>
    </xf>
    <xf numFmtId="1" fontId="89" fillId="17" borderId="12" xfId="3" applyNumberFormat="1" applyFont="1" applyFill="1" applyBorder="1" applyAlignment="1">
      <alignment horizontal="center"/>
    </xf>
    <xf numFmtId="0" fontId="90" fillId="2" borderId="1" xfId="4" applyFont="1" applyFill="1" applyBorder="1" applyAlignment="1">
      <alignment horizontal="center"/>
    </xf>
    <xf numFmtId="0" fontId="90" fillId="0" borderId="1" xfId="4" applyFont="1" applyBorder="1" applyAlignment="1">
      <alignment horizontal="center"/>
    </xf>
    <xf numFmtId="38" fontId="90" fillId="12" borderId="1" xfId="5" applyNumberFormat="1" applyFont="1" applyFill="1" applyBorder="1" applyAlignment="1">
      <alignment horizontal="center"/>
    </xf>
    <xf numFmtId="1" fontId="90" fillId="12" borderId="1" xfId="5" applyNumberFormat="1" applyFont="1" applyFill="1" applyBorder="1" applyAlignment="1">
      <alignment horizontal="center"/>
    </xf>
    <xf numFmtId="1" fontId="90" fillId="12" borderId="12" xfId="5" applyNumberFormat="1" applyFont="1" applyFill="1" applyBorder="1" applyAlignment="1">
      <alignment horizontal="center"/>
    </xf>
    <xf numFmtId="0" fontId="91" fillId="0" borderId="1" xfId="4" applyFont="1" applyFill="1" applyBorder="1" applyAlignment="1">
      <alignment horizontal="center"/>
    </xf>
    <xf numFmtId="38" fontId="90" fillId="0" borderId="1" xfId="5" applyNumberFormat="1" applyFont="1" applyFill="1" applyBorder="1" applyAlignment="1">
      <alignment horizontal="center"/>
    </xf>
    <xf numFmtId="38" fontId="89" fillId="0" borderId="1" xfId="0" applyNumberFormat="1" applyFont="1" applyBorder="1" applyAlignment="1">
      <alignment horizontal="center"/>
    </xf>
    <xf numFmtId="38" fontId="89" fillId="12" borderId="1" xfId="3" applyNumberFormat="1" applyFont="1" applyFill="1" applyBorder="1" applyAlignment="1">
      <alignment horizontal="center"/>
    </xf>
    <xf numFmtId="0" fontId="89" fillId="12" borderId="1" xfId="3" applyFont="1" applyFill="1" applyBorder="1" applyAlignment="1">
      <alignment horizontal="center"/>
    </xf>
    <xf numFmtId="1" fontId="89" fillId="12" borderId="12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38" fontId="90" fillId="8" borderId="1" xfId="3" applyNumberFormat="1" applyFont="1" applyFill="1" applyBorder="1" applyAlignment="1">
      <alignment horizontal="center"/>
    </xf>
    <xf numFmtId="38" fontId="90" fillId="8" borderId="1" xfId="6" applyNumberFormat="1" applyFont="1" applyFill="1" applyBorder="1" applyAlignment="1">
      <alignment horizontal="center"/>
    </xf>
    <xf numFmtId="167" fontId="90" fillId="0" borderId="1" xfId="6" applyNumberFormat="1" applyFont="1" applyFill="1" applyBorder="1" applyAlignment="1">
      <alignment horizontal="center"/>
    </xf>
    <xf numFmtId="2" fontId="90" fillId="8" borderId="6" xfId="3" applyNumberFormat="1" applyFont="1" applyFill="1" applyBorder="1" applyAlignment="1">
      <alignment horizontal="center"/>
    </xf>
    <xf numFmtId="38" fontId="90" fillId="8" borderId="6" xfId="6" applyNumberFormat="1" applyFont="1" applyFill="1" applyBorder="1" applyAlignment="1">
      <alignment horizontal="center"/>
    </xf>
    <xf numFmtId="1" fontId="90" fillId="8" borderId="17" xfId="5" applyNumberFormat="1" applyFont="1" applyFill="1" applyBorder="1" applyAlignment="1" applyProtection="1">
      <alignment horizontal="center"/>
    </xf>
    <xf numFmtId="0" fontId="89" fillId="0" borderId="0" xfId="0" applyFont="1" applyAlignment="1">
      <alignment horizontal="center"/>
    </xf>
    <xf numFmtId="38" fontId="89" fillId="0" borderId="0" xfId="0" applyNumberFormat="1" applyFont="1" applyAlignment="1">
      <alignment horizontal="center"/>
    </xf>
    <xf numFmtId="1" fontId="89" fillId="0" borderId="0" xfId="0" applyNumberFormat="1" applyFont="1" applyAlignment="1">
      <alignment horizontal="center"/>
    </xf>
    <xf numFmtId="0" fontId="90" fillId="0" borderId="1" xfId="0" applyFont="1" applyBorder="1" applyAlignment="1">
      <alignment horizontal="center"/>
    </xf>
    <xf numFmtId="1" fontId="90" fillId="8" borderId="1" xfId="5" applyNumberFormat="1" applyFont="1" applyFill="1" applyBorder="1" applyAlignment="1" applyProtection="1">
      <alignment horizontal="center"/>
    </xf>
    <xf numFmtId="0" fontId="90" fillId="0" borderId="1" xfId="0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 wrapText="1"/>
    </xf>
    <xf numFmtId="0" fontId="91" fillId="0" borderId="1" xfId="4" applyFont="1" applyFill="1" applyBorder="1" applyAlignment="1">
      <alignment horizontal="center" wrapText="1"/>
    </xf>
    <xf numFmtId="0" fontId="91" fillId="0" borderId="1" xfId="4" applyFont="1" applyBorder="1" applyAlignment="1">
      <alignment horizontal="center" wrapText="1"/>
    </xf>
    <xf numFmtId="1" fontId="90" fillId="0" borderId="1" xfId="3" applyNumberFormat="1" applyFont="1" applyFill="1" applyBorder="1" applyAlignment="1">
      <alignment horizontal="center"/>
    </xf>
    <xf numFmtId="2" fontId="90" fillId="0" borderId="1" xfId="3" applyNumberFormat="1" applyFont="1" applyFill="1" applyBorder="1" applyAlignment="1">
      <alignment horizontal="center"/>
    </xf>
    <xf numFmtId="1" fontId="90" fillId="0" borderId="1" xfId="5" applyNumberFormat="1" applyFont="1" applyFill="1" applyBorder="1" applyAlignment="1" applyProtection="1">
      <alignment horizontal="center"/>
    </xf>
    <xf numFmtId="2" fontId="92" fillId="0" borderId="1" xfId="3" applyNumberFormat="1" applyFont="1" applyFill="1" applyBorder="1" applyAlignment="1">
      <alignment horizontal="center"/>
    </xf>
    <xf numFmtId="0" fontId="90" fillId="0" borderId="1" xfId="3" applyFont="1" applyFill="1" applyBorder="1" applyAlignment="1">
      <alignment horizontal="center"/>
    </xf>
    <xf numFmtId="0" fontId="90" fillId="0" borderId="0" xfId="3" applyFont="1" applyFill="1" applyBorder="1" applyAlignment="1">
      <alignment horizontal="center"/>
    </xf>
    <xf numFmtId="38" fontId="90" fillId="0" borderId="0" xfId="5" applyNumberFormat="1" applyFont="1" applyFill="1" applyBorder="1" applyAlignment="1">
      <alignment horizontal="center"/>
    </xf>
    <xf numFmtId="1" fontId="90" fillId="0" borderId="0" xfId="3" applyNumberFormat="1" applyFont="1" applyFill="1" applyBorder="1" applyAlignment="1">
      <alignment horizontal="center"/>
    </xf>
    <xf numFmtId="1" fontId="90" fillId="0" borderId="2" xfId="5" applyNumberFormat="1" applyFont="1" applyFill="1" applyBorder="1" applyAlignment="1" applyProtection="1">
      <alignment horizontal="center"/>
    </xf>
    <xf numFmtId="1" fontId="89" fillId="0" borderId="1" xfId="0" applyNumberFormat="1" applyFont="1" applyFill="1" applyBorder="1" applyAlignment="1">
      <alignment horizontal="center"/>
    </xf>
    <xf numFmtId="0" fontId="89" fillId="0" borderId="1" xfId="3" applyFont="1" applyFill="1" applyBorder="1" applyAlignment="1">
      <alignment horizontal="center"/>
    </xf>
    <xf numFmtId="38" fontId="90" fillId="0" borderId="1" xfId="3" applyNumberFormat="1" applyFont="1" applyFill="1" applyBorder="1" applyAlignment="1">
      <alignment horizontal="center"/>
    </xf>
    <xf numFmtId="1" fontId="90" fillId="0" borderId="12" xfId="5" applyNumberFormat="1" applyFont="1" applyFill="1" applyBorder="1" applyAlignment="1" applyProtection="1">
      <alignment horizontal="center"/>
    </xf>
    <xf numFmtId="1" fontId="89" fillId="0" borderId="12" xfId="0" applyNumberFormat="1" applyFont="1" applyBorder="1" applyAlignment="1">
      <alignment horizontal="center"/>
    </xf>
    <xf numFmtId="38" fontId="89" fillId="0" borderId="1" xfId="0" applyNumberFormat="1" applyFont="1" applyFill="1" applyBorder="1" applyAlignment="1">
      <alignment horizontal="center"/>
    </xf>
    <xf numFmtId="1" fontId="89" fillId="0" borderId="12" xfId="0" applyNumberFormat="1" applyFont="1" applyFill="1" applyBorder="1" applyAlignment="1">
      <alignment horizontal="center"/>
    </xf>
    <xf numFmtId="0" fontId="89" fillId="12" borderId="1" xfId="0" applyFont="1" applyFill="1" applyBorder="1" applyAlignment="1">
      <alignment horizontal="center"/>
    </xf>
    <xf numFmtId="38" fontId="89" fillId="12" borderId="1" xfId="0" applyNumberFormat="1" applyFont="1" applyFill="1" applyBorder="1" applyAlignment="1">
      <alignment horizontal="center"/>
    </xf>
    <xf numFmtId="1" fontId="89" fillId="12" borderId="1" xfId="0" applyNumberFormat="1" applyFont="1" applyFill="1" applyBorder="1" applyAlignment="1">
      <alignment horizontal="center"/>
    </xf>
    <xf numFmtId="2" fontId="96" fillId="2" borderId="1" xfId="3" applyNumberFormat="1" applyFont="1" applyFill="1" applyBorder="1" applyAlignment="1">
      <alignment horizontal="center"/>
    </xf>
    <xf numFmtId="38" fontId="96" fillId="8" borderId="1" xfId="3" applyNumberFormat="1" applyFont="1" applyFill="1" applyBorder="1" applyAlignment="1">
      <alignment horizontal="center" wrapText="1" shrinkToFit="1"/>
    </xf>
    <xf numFmtId="1" fontId="96" fillId="8" borderId="1" xfId="3" applyNumberFormat="1" applyFont="1" applyFill="1" applyBorder="1" applyAlignment="1">
      <alignment horizontal="center"/>
    </xf>
    <xf numFmtId="1" fontId="96" fillId="8" borderId="12" xfId="3" applyNumberFormat="1" applyFont="1" applyFill="1" applyBorder="1" applyAlignment="1">
      <alignment horizontal="center" wrapText="1" shrinkToFit="1"/>
    </xf>
    <xf numFmtId="2" fontId="44" fillId="0" borderId="1" xfId="4" applyNumberFormat="1" applyFont="1" applyFill="1" applyBorder="1" applyAlignment="1">
      <alignment horizontal="center" wrapText="1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1" fontId="91" fillId="0" borderId="1" xfId="4" applyNumberFormat="1" applyFont="1" applyFill="1" applyBorder="1" applyAlignment="1">
      <alignment horizontal="center"/>
    </xf>
    <xf numFmtId="1" fontId="90" fillId="0" borderId="1" xfId="4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2" fontId="38" fillId="0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0" fontId="38" fillId="10" borderId="1" xfId="0" applyFont="1" applyFill="1" applyBorder="1" applyAlignment="1">
      <alignment horizontal="center"/>
    </xf>
    <xf numFmtId="1" fontId="38" fillId="7" borderId="1" xfId="5" applyNumberFormat="1" applyFont="1" applyFill="1" applyBorder="1" applyAlignment="1">
      <alignment horizontal="center" vertical="center"/>
    </xf>
    <xf numFmtId="2" fontId="43" fillId="0" borderId="1" xfId="0" applyNumberFormat="1" applyFont="1" applyFill="1" applyBorder="1"/>
    <xf numFmtId="1" fontId="46" fillId="2" borderId="6" xfId="5" applyNumberFormat="1" applyFont="1" applyFill="1" applyBorder="1" applyAlignment="1">
      <alignment horizontal="center" vertical="center"/>
    </xf>
    <xf numFmtId="2" fontId="46" fillId="8" borderId="1" xfId="9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3" fillId="0" borderId="2" xfId="4" applyFont="1" applyBorder="1" applyAlignment="1">
      <alignment horizontal="left"/>
    </xf>
    <xf numFmtId="0" fontId="83" fillId="0" borderId="3" xfId="4" applyFont="1" applyBorder="1" applyAlignment="1">
      <alignment horizontal="left"/>
    </xf>
    <xf numFmtId="0" fontId="83" fillId="0" borderId="4" xfId="4" applyFont="1" applyBorder="1" applyAlignment="1">
      <alignment horizontal="left"/>
    </xf>
    <xf numFmtId="0" fontId="83" fillId="0" borderId="2" xfId="4" applyFont="1" applyFill="1" applyBorder="1" applyAlignment="1">
      <alignment horizontal="center"/>
    </xf>
    <xf numFmtId="0" fontId="83" fillId="0" borderId="3" xfId="4" applyFont="1" applyFill="1" applyBorder="1" applyAlignment="1">
      <alignment horizontal="center"/>
    </xf>
    <xf numFmtId="0" fontId="83" fillId="0" borderId="4" xfId="4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40" fillId="12" borderId="13" xfId="0" applyFont="1" applyFill="1" applyBorder="1" applyAlignment="1">
      <alignment horizontal="left"/>
    </xf>
    <xf numFmtId="0" fontId="40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0" fontId="83" fillId="0" borderId="1" xfId="4" applyFont="1" applyFill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40" fillId="2" borderId="2" xfId="0" applyFont="1" applyFill="1" applyBorder="1" applyAlignment="1">
      <alignment horizontal="left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40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40" fillId="12" borderId="0" xfId="0" applyFont="1" applyFill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40" fillId="12" borderId="3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35" fillId="8" borderId="14" xfId="3" applyFont="1" applyFill="1" applyBorder="1" applyAlignment="1">
      <alignment horizontal="center"/>
    </xf>
    <xf numFmtId="0" fontId="35" fillId="8" borderId="11" xfId="3" applyFont="1" applyFill="1" applyBorder="1" applyAlignment="1">
      <alignment horizontal="center"/>
    </xf>
    <xf numFmtId="0" fontId="3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90" fillId="9" borderId="2" xfId="3" applyFont="1" applyFill="1" applyBorder="1" applyAlignment="1">
      <alignment horizontal="center"/>
    </xf>
    <xf numFmtId="0" fontId="90" fillId="9" borderId="4" xfId="3" applyFont="1" applyFill="1" applyBorder="1" applyAlignment="1">
      <alignment horizontal="center"/>
    </xf>
    <xf numFmtId="0" fontId="86" fillId="17" borderId="13" xfId="3" applyFont="1" applyFill="1" applyBorder="1" applyAlignment="1">
      <alignment horizontal="center" vertical="center"/>
    </xf>
    <xf numFmtId="0" fontId="86" fillId="17" borderId="3" xfId="3" applyFont="1" applyFill="1" applyBorder="1" applyAlignment="1">
      <alignment horizontal="center" vertical="center"/>
    </xf>
    <xf numFmtId="0" fontId="40" fillId="0" borderId="13" xfId="0" applyFont="1" applyBorder="1" applyAlignment="1">
      <alignment horizontal="left"/>
    </xf>
    <xf numFmtId="0" fontId="83" fillId="0" borderId="2" xfId="4" applyFont="1" applyFill="1" applyBorder="1" applyAlignment="1">
      <alignment horizontal="left"/>
    </xf>
    <xf numFmtId="0" fontId="83" fillId="0" borderId="3" xfId="4" applyFont="1" applyFill="1" applyBorder="1" applyAlignment="1">
      <alignment horizontal="left"/>
    </xf>
    <xf numFmtId="0" fontId="83" fillId="0" borderId="4" xfId="4" applyFont="1" applyFill="1" applyBorder="1" applyAlignment="1">
      <alignment horizontal="left"/>
    </xf>
    <xf numFmtId="0" fontId="40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24.470000000001164</c:v>
                </c:pt>
                <c:pt idx="9">
                  <c:v>24.419999999998254</c:v>
                </c:pt>
                <c:pt idx="10">
                  <c:v>24.059999999997672</c:v>
                </c:pt>
                <c:pt idx="11">
                  <c:v>25.05000000000291</c:v>
                </c:pt>
                <c:pt idx="12">
                  <c:v>24.059999999997672</c:v>
                </c:pt>
                <c:pt idx="13">
                  <c:v>23.940000000002328</c:v>
                </c:pt>
                <c:pt idx="14">
                  <c:v>24</c:v>
                </c:pt>
                <c:pt idx="15">
                  <c:v>24.610000000001492</c:v>
                </c:pt>
                <c:pt idx="16">
                  <c:v>29.789999999997235</c:v>
                </c:pt>
                <c:pt idx="17">
                  <c:v>25.899999999996908</c:v>
                </c:pt>
                <c:pt idx="18">
                  <c:v>26.80000000000291</c:v>
                </c:pt>
                <c:pt idx="19">
                  <c:v>23.900000000001455</c:v>
                </c:pt>
                <c:pt idx="20">
                  <c:v>33</c:v>
                </c:pt>
                <c:pt idx="21">
                  <c:v>32.650000000001455</c:v>
                </c:pt>
                <c:pt idx="22">
                  <c:v>27.5600000000004</c:v>
                </c:pt>
                <c:pt idx="23">
                  <c:v>29.760000000002037</c:v>
                </c:pt>
                <c:pt idx="24">
                  <c:v>24.220000000001164</c:v>
                </c:pt>
                <c:pt idx="25">
                  <c:v>23.654999999998836</c:v>
                </c:pt>
                <c:pt idx="26">
                  <c:v>28.005000000000109</c:v>
                </c:pt>
                <c:pt idx="27">
                  <c:v>29.369999999997162</c:v>
                </c:pt>
                <c:pt idx="28">
                  <c:v>-776.56999999999971</c:v>
                </c:pt>
                <c:pt idx="29">
                  <c:v>24</c:v>
                </c:pt>
                <c:pt idx="30">
                  <c:v>28</c:v>
                </c:pt>
                <c:pt idx="31">
                  <c:v>-0.34999999999854481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00283136"/>
        <c:axId val="100284672"/>
      </c:lineChart>
      <c:catAx>
        <c:axId val="10028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4672"/>
        <c:crosses val="autoZero"/>
        <c:auto val="1"/>
        <c:lblAlgn val="ctr"/>
        <c:lblOffset val="100"/>
        <c:noMultiLvlLbl val="0"/>
      </c:catAx>
      <c:valAx>
        <c:axId val="10028467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0028313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21.479999999999563</c:v>
                </c:pt>
                <c:pt idx="1">
                  <c:v>18.860000000000582</c:v>
                </c:pt>
                <c:pt idx="2">
                  <c:v>21.359999999996944</c:v>
                </c:pt>
                <c:pt idx="3">
                  <c:v>23.30000000000291</c:v>
                </c:pt>
                <c:pt idx="4">
                  <c:v>21</c:v>
                </c:pt>
                <c:pt idx="5">
                  <c:v>21.090000000007421</c:v>
                </c:pt>
                <c:pt idx="6">
                  <c:v>19.729999999985012</c:v>
                </c:pt>
                <c:pt idx="7">
                  <c:v>23.600000000002183</c:v>
                </c:pt>
                <c:pt idx="8">
                  <c:v>23.790000000008149</c:v>
                </c:pt>
                <c:pt idx="9">
                  <c:v>21.619999999991705</c:v>
                </c:pt>
                <c:pt idx="10">
                  <c:v>19.240000000008877</c:v>
                </c:pt>
                <c:pt idx="11">
                  <c:v>9.4599999999918509</c:v>
                </c:pt>
                <c:pt idx="12">
                  <c:v>9.4700000000048021</c:v>
                </c:pt>
                <c:pt idx="13">
                  <c:v>10.930000000000291</c:v>
                </c:pt>
                <c:pt idx="14">
                  <c:v>18.069999999999709</c:v>
                </c:pt>
                <c:pt idx="15">
                  <c:v>20.770000000000437</c:v>
                </c:pt>
                <c:pt idx="16">
                  <c:v>19.479999999999563</c:v>
                </c:pt>
                <c:pt idx="17">
                  <c:v>23.75</c:v>
                </c:pt>
                <c:pt idx="18">
                  <c:v>24.720000000001164</c:v>
                </c:pt>
                <c:pt idx="19">
                  <c:v>24.069999999999709</c:v>
                </c:pt>
                <c:pt idx="20">
                  <c:v>23.950000000004366</c:v>
                </c:pt>
                <c:pt idx="21">
                  <c:v>16.449999999993452</c:v>
                </c:pt>
                <c:pt idx="22">
                  <c:v>22.710000000002765</c:v>
                </c:pt>
                <c:pt idx="23">
                  <c:v>24.399999999997817</c:v>
                </c:pt>
                <c:pt idx="24">
                  <c:v>20.57999999999447</c:v>
                </c:pt>
                <c:pt idx="25">
                  <c:v>23.810000000012224</c:v>
                </c:pt>
                <c:pt idx="26">
                  <c:v>18.41999999998734</c:v>
                </c:pt>
                <c:pt idx="27">
                  <c:v>17.66000000000713</c:v>
                </c:pt>
                <c:pt idx="28">
                  <c:v>-605.65999999999258</c:v>
                </c:pt>
                <c:pt idx="29">
                  <c:v>21.889999999992142</c:v>
                </c:pt>
                <c:pt idx="30">
                  <c:v>20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0309632"/>
        <c:axId val="99877248"/>
      </c:lineChart>
      <c:catAx>
        <c:axId val="1003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7248"/>
        <c:crosses val="autoZero"/>
        <c:auto val="1"/>
        <c:lblAlgn val="ctr"/>
        <c:lblOffset val="100"/>
        <c:noMultiLvlLbl val="0"/>
      </c:catAx>
      <c:valAx>
        <c:axId val="9987724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963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79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222</c:v>
                </c:pt>
                <c:pt idx="1">
                  <c:v>249</c:v>
                </c:pt>
                <c:pt idx="2">
                  <c:v>277</c:v>
                </c:pt>
                <c:pt idx="3">
                  <c:v>265</c:v>
                </c:pt>
                <c:pt idx="4">
                  <c:v>302</c:v>
                </c:pt>
                <c:pt idx="5">
                  <c:v>311</c:v>
                </c:pt>
                <c:pt idx="6">
                  <c:v>220</c:v>
                </c:pt>
                <c:pt idx="7">
                  <c:v>415</c:v>
                </c:pt>
                <c:pt idx="8">
                  <c:v>105</c:v>
                </c:pt>
                <c:pt idx="9">
                  <c:v>47</c:v>
                </c:pt>
                <c:pt idx="10">
                  <c:v>54</c:v>
                </c:pt>
                <c:pt idx="11">
                  <c:v>57</c:v>
                </c:pt>
                <c:pt idx="12">
                  <c:v>64</c:v>
                </c:pt>
                <c:pt idx="13">
                  <c:v>174</c:v>
                </c:pt>
                <c:pt idx="14">
                  <c:v>308</c:v>
                </c:pt>
                <c:pt idx="15">
                  <c:v>396</c:v>
                </c:pt>
                <c:pt idx="16">
                  <c:v>279</c:v>
                </c:pt>
                <c:pt idx="17">
                  <c:v>235</c:v>
                </c:pt>
                <c:pt idx="18">
                  <c:v>239</c:v>
                </c:pt>
                <c:pt idx="19">
                  <c:v>235</c:v>
                </c:pt>
                <c:pt idx="20">
                  <c:v>258</c:v>
                </c:pt>
                <c:pt idx="21">
                  <c:v>260</c:v>
                </c:pt>
                <c:pt idx="22">
                  <c:v>393</c:v>
                </c:pt>
                <c:pt idx="23">
                  <c:v>433</c:v>
                </c:pt>
                <c:pt idx="24">
                  <c:v>371</c:v>
                </c:pt>
                <c:pt idx="25">
                  <c:v>338</c:v>
                </c:pt>
                <c:pt idx="26">
                  <c:v>262</c:v>
                </c:pt>
                <c:pt idx="27">
                  <c:v>202</c:v>
                </c:pt>
                <c:pt idx="28">
                  <c:v>-1306</c:v>
                </c:pt>
                <c:pt idx="29">
                  <c:v>321</c:v>
                </c:pt>
                <c:pt idx="30">
                  <c:v>194</c:v>
                </c:pt>
                <c:pt idx="31">
                  <c:v>6180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9906688"/>
        <c:axId val="99908224"/>
      </c:lineChart>
      <c:catAx>
        <c:axId val="9990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08224"/>
        <c:crosses val="autoZero"/>
        <c:auto val="1"/>
        <c:lblAlgn val="ctr"/>
        <c:lblOffset val="100"/>
        <c:noMultiLvlLbl val="0"/>
      </c:catAx>
      <c:valAx>
        <c:axId val="999082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0668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74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1161.285000000149</c:v>
                </c:pt>
                <c:pt idx="1">
                  <c:v>1083</c:v>
                </c:pt>
                <c:pt idx="2">
                  <c:v>1112</c:v>
                </c:pt>
                <c:pt idx="3">
                  <c:v>1150</c:v>
                </c:pt>
                <c:pt idx="4">
                  <c:v>1134.2000000001863</c:v>
                </c:pt>
                <c:pt idx="5">
                  <c:v>1087.7999999998137</c:v>
                </c:pt>
                <c:pt idx="6">
                  <c:v>1130</c:v>
                </c:pt>
                <c:pt idx="7">
                  <c:v>1248</c:v>
                </c:pt>
                <c:pt idx="8">
                  <c:v>1162.7599999997765</c:v>
                </c:pt>
                <c:pt idx="9">
                  <c:v>1074.820000000298</c:v>
                </c:pt>
                <c:pt idx="10">
                  <c:v>1066.4199999999255</c:v>
                </c:pt>
                <c:pt idx="11">
                  <c:v>741.60999999986961</c:v>
                </c:pt>
                <c:pt idx="12">
                  <c:v>738.41360000008717</c:v>
                </c:pt>
                <c:pt idx="13">
                  <c:v>823.97640000004321</c:v>
                </c:pt>
                <c:pt idx="14">
                  <c:v>1071</c:v>
                </c:pt>
                <c:pt idx="15">
                  <c:v>1110</c:v>
                </c:pt>
                <c:pt idx="16">
                  <c:v>1229</c:v>
                </c:pt>
                <c:pt idx="17">
                  <c:v>1250</c:v>
                </c:pt>
                <c:pt idx="18">
                  <c:v>1250</c:v>
                </c:pt>
                <c:pt idx="19">
                  <c:v>1237</c:v>
                </c:pt>
                <c:pt idx="20">
                  <c:v>1216</c:v>
                </c:pt>
                <c:pt idx="21">
                  <c:v>1149</c:v>
                </c:pt>
                <c:pt idx="22">
                  <c:v>1205</c:v>
                </c:pt>
                <c:pt idx="23">
                  <c:v>1149</c:v>
                </c:pt>
                <c:pt idx="24">
                  <c:v>1179</c:v>
                </c:pt>
                <c:pt idx="25">
                  <c:v>1200</c:v>
                </c:pt>
                <c:pt idx="26">
                  <c:v>1170</c:v>
                </c:pt>
                <c:pt idx="27">
                  <c:v>1186</c:v>
                </c:pt>
                <c:pt idx="28">
                  <c:v>-33530.899999999907</c:v>
                </c:pt>
                <c:pt idx="29">
                  <c:v>1104.6529999999329</c:v>
                </c:pt>
                <c:pt idx="30">
                  <c:v>1110.9619999998249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57920"/>
        <c:axId val="101867904"/>
      </c:lineChart>
      <c:catAx>
        <c:axId val="10185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7904"/>
        <c:crosses val="autoZero"/>
        <c:auto val="1"/>
        <c:lblAlgn val="ctr"/>
        <c:lblOffset val="100"/>
        <c:noMultiLvlLbl val="0"/>
      </c:catAx>
      <c:valAx>
        <c:axId val="10186790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579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9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2949</c:v>
                </c:pt>
                <c:pt idx="1">
                  <c:v>2798.1899999999441</c:v>
                </c:pt>
                <c:pt idx="2">
                  <c:v>2880.2600000000093</c:v>
                </c:pt>
                <c:pt idx="3">
                  <c:v>2818.3400000000838</c:v>
                </c:pt>
                <c:pt idx="4">
                  <c:v>2837.2099999999627</c:v>
                </c:pt>
                <c:pt idx="5">
                  <c:v>2829</c:v>
                </c:pt>
                <c:pt idx="6">
                  <c:v>2806</c:v>
                </c:pt>
                <c:pt idx="7">
                  <c:v>2838</c:v>
                </c:pt>
                <c:pt idx="8">
                  <c:v>2782.3100000000559</c:v>
                </c:pt>
                <c:pt idx="9">
                  <c:v>2862.6899999999441</c:v>
                </c:pt>
                <c:pt idx="10">
                  <c:v>2794.1899999999441</c:v>
                </c:pt>
                <c:pt idx="11">
                  <c:v>2793.6000000000931</c:v>
                </c:pt>
                <c:pt idx="12">
                  <c:v>2751.4399999999441</c:v>
                </c:pt>
                <c:pt idx="13">
                  <c:v>2759.5200000000186</c:v>
                </c:pt>
                <c:pt idx="14">
                  <c:v>2852.25</c:v>
                </c:pt>
                <c:pt idx="15">
                  <c:v>2907.109999999986</c:v>
                </c:pt>
                <c:pt idx="16">
                  <c:v>2889.4400000000605</c:v>
                </c:pt>
                <c:pt idx="17">
                  <c:v>2879.5199999999022</c:v>
                </c:pt>
                <c:pt idx="18">
                  <c:v>2894.4000000000233</c:v>
                </c:pt>
                <c:pt idx="19">
                  <c:v>3029.5300000000279</c:v>
                </c:pt>
                <c:pt idx="20">
                  <c:v>2880</c:v>
                </c:pt>
                <c:pt idx="21">
                  <c:v>2880</c:v>
                </c:pt>
                <c:pt idx="22">
                  <c:v>2919</c:v>
                </c:pt>
                <c:pt idx="23">
                  <c:v>2852.6700000000419</c:v>
                </c:pt>
                <c:pt idx="24">
                  <c:v>2834.3999999999069</c:v>
                </c:pt>
                <c:pt idx="25">
                  <c:v>2791.0400000000373</c:v>
                </c:pt>
                <c:pt idx="26">
                  <c:v>2808.8000000000466</c:v>
                </c:pt>
                <c:pt idx="27">
                  <c:v>2727.0399999999208</c:v>
                </c:pt>
                <c:pt idx="28">
                  <c:v>-85297.359999999986</c:v>
                </c:pt>
                <c:pt idx="29">
                  <c:v>2812</c:v>
                </c:pt>
                <c:pt idx="30">
                  <c:v>2840.4100000000326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-3.0000000027939677E-2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3.0000000027939677E-2</c:v>
                </c:pt>
                <c:pt idx="9">
                  <c:v>-3.0000000027939677E-2</c:v>
                </c:pt>
                <c:pt idx="10">
                  <c:v>3.0000000027939677E-2</c:v>
                </c:pt>
                <c:pt idx="11">
                  <c:v>0</c:v>
                </c:pt>
                <c:pt idx="12">
                  <c:v>-3.0000000027939677E-2</c:v>
                </c:pt>
                <c:pt idx="13">
                  <c:v>3.0000000027939677E-2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-3.0000000027939677E-2</c:v>
                </c:pt>
                <c:pt idx="18">
                  <c:v>3.0000000027939677E-2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3.0000000027939677E-2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-3.0000000027939677E-2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01893632"/>
        <c:axId val="101895168"/>
      </c:lineChart>
      <c:catAx>
        <c:axId val="10189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5168"/>
        <c:crosses val="autoZero"/>
        <c:auto val="1"/>
        <c:lblAlgn val="ctr"/>
        <c:lblOffset val="100"/>
        <c:noMultiLvlLbl val="0"/>
      </c:catAx>
      <c:valAx>
        <c:axId val="10189516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363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2579</c:v>
                </c:pt>
                <c:pt idx="1">
                  <c:v>2523</c:v>
                </c:pt>
                <c:pt idx="2">
                  <c:v>2500</c:v>
                </c:pt>
                <c:pt idx="3">
                  <c:v>2404</c:v>
                </c:pt>
                <c:pt idx="4">
                  <c:v>2537</c:v>
                </c:pt>
                <c:pt idx="5">
                  <c:v>2617</c:v>
                </c:pt>
                <c:pt idx="6">
                  <c:v>2745</c:v>
                </c:pt>
                <c:pt idx="7">
                  <c:v>2682</c:v>
                </c:pt>
                <c:pt idx="8">
                  <c:v>2543.1500000000233</c:v>
                </c:pt>
                <c:pt idx="9">
                  <c:v>2550.8499999999767</c:v>
                </c:pt>
                <c:pt idx="10">
                  <c:v>2700.7099999999627</c:v>
                </c:pt>
                <c:pt idx="11">
                  <c:v>2548.0800000000745</c:v>
                </c:pt>
                <c:pt idx="12">
                  <c:v>2352.4799999999814</c:v>
                </c:pt>
                <c:pt idx="13">
                  <c:v>2629.7299999999814</c:v>
                </c:pt>
                <c:pt idx="14">
                  <c:v>2646</c:v>
                </c:pt>
                <c:pt idx="15">
                  <c:v>2949.8299999999581</c:v>
                </c:pt>
                <c:pt idx="16">
                  <c:v>3004.2000000000698</c:v>
                </c:pt>
                <c:pt idx="17">
                  <c:v>2925</c:v>
                </c:pt>
                <c:pt idx="18">
                  <c:v>2761.0399999999208</c:v>
                </c:pt>
                <c:pt idx="19">
                  <c:v>2863.9300000000512</c:v>
                </c:pt>
                <c:pt idx="20">
                  <c:v>2896</c:v>
                </c:pt>
                <c:pt idx="21">
                  <c:v>2877</c:v>
                </c:pt>
                <c:pt idx="22">
                  <c:v>2773</c:v>
                </c:pt>
                <c:pt idx="23">
                  <c:v>2773.4300000000512</c:v>
                </c:pt>
                <c:pt idx="24">
                  <c:v>2616.1199999999953</c:v>
                </c:pt>
                <c:pt idx="25">
                  <c:v>2914.1999999999534</c:v>
                </c:pt>
                <c:pt idx="26">
                  <c:v>2708.8000000000466</c:v>
                </c:pt>
                <c:pt idx="27">
                  <c:v>2655.6399999998976</c:v>
                </c:pt>
                <c:pt idx="28">
                  <c:v>-80489.639999999898</c:v>
                </c:pt>
                <c:pt idx="29">
                  <c:v>2464.4499999999534</c:v>
                </c:pt>
                <c:pt idx="30">
                  <c:v>2749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48800"/>
        <c:axId val="101958784"/>
      </c:lineChart>
      <c:catAx>
        <c:axId val="10194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58784"/>
        <c:crosses val="autoZero"/>
        <c:auto val="1"/>
        <c:lblAlgn val="ctr"/>
        <c:lblOffset val="100"/>
        <c:noMultiLvlLbl val="0"/>
      </c:catAx>
      <c:valAx>
        <c:axId val="10195878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8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0.46</c:v>
                </c:pt>
                <c:pt idx="2">
                  <c:v>0.8</c:v>
                </c:pt>
                <c:pt idx="3">
                  <c:v>1</c:v>
                </c:pt>
                <c:pt idx="4">
                  <c:v>0.81</c:v>
                </c:pt>
                <c:pt idx="5">
                  <c:v>0.74</c:v>
                </c:pt>
                <c:pt idx="6">
                  <c:v>0.84</c:v>
                </c:pt>
                <c:pt idx="7">
                  <c:v>0.78</c:v>
                </c:pt>
                <c:pt idx="8">
                  <c:v>0.49</c:v>
                </c:pt>
                <c:pt idx="9">
                  <c:v>0.47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0.5</c:v>
                </c:pt>
                <c:pt idx="14">
                  <c:v>0.5</c:v>
                </c:pt>
                <c:pt idx="15">
                  <c:v>0.83</c:v>
                </c:pt>
                <c:pt idx="16">
                  <c:v>0.91</c:v>
                </c:pt>
                <c:pt idx="17">
                  <c:v>0.82</c:v>
                </c:pt>
                <c:pt idx="18">
                  <c:v>0.82</c:v>
                </c:pt>
                <c:pt idx="19">
                  <c:v>0.85</c:v>
                </c:pt>
                <c:pt idx="20">
                  <c:v>0.88</c:v>
                </c:pt>
                <c:pt idx="21">
                  <c:v>0.83</c:v>
                </c:pt>
                <c:pt idx="22">
                  <c:v>0.89</c:v>
                </c:pt>
                <c:pt idx="23">
                  <c:v>0.41</c:v>
                </c:pt>
                <c:pt idx="24">
                  <c:v>0.3861</c:v>
                </c:pt>
                <c:pt idx="25">
                  <c:v>0.37</c:v>
                </c:pt>
                <c:pt idx="26">
                  <c:v>0.50990000000000002</c:v>
                </c:pt>
                <c:pt idx="27">
                  <c:v>0.8</c:v>
                </c:pt>
                <c:pt idx="28">
                  <c:v>1</c:v>
                </c:pt>
                <c:pt idx="29">
                  <c:v>0.5</c:v>
                </c:pt>
                <c:pt idx="30">
                  <c:v>28</c:v>
                </c:pt>
                <c:pt idx="31">
                  <c:v>1.5676129032258066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07232"/>
        <c:axId val="101808768"/>
      </c:lineChart>
      <c:catAx>
        <c:axId val="10180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08768"/>
        <c:crosses val="autoZero"/>
        <c:auto val="1"/>
        <c:lblAlgn val="ctr"/>
        <c:lblOffset val="100"/>
        <c:noMultiLvlLbl val="0"/>
      </c:catAx>
      <c:valAx>
        <c:axId val="1018087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1807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22366</c:v>
                </c:pt>
                <c:pt idx="1">
                  <c:v>22458</c:v>
                </c:pt>
                <c:pt idx="2">
                  <c:v>23549.310000000056</c:v>
                </c:pt>
                <c:pt idx="3">
                  <c:v>22365.689999999944</c:v>
                </c:pt>
                <c:pt idx="4">
                  <c:v>23051.869999999995</c:v>
                </c:pt>
                <c:pt idx="5">
                  <c:v>23696.130000000005</c:v>
                </c:pt>
                <c:pt idx="6">
                  <c:v>23753</c:v>
                </c:pt>
                <c:pt idx="7">
                  <c:v>23272</c:v>
                </c:pt>
                <c:pt idx="8">
                  <c:v>22239.420000000042</c:v>
                </c:pt>
                <c:pt idx="9">
                  <c:v>22634.090000000004</c:v>
                </c:pt>
                <c:pt idx="10">
                  <c:v>21484.029999999992</c:v>
                </c:pt>
                <c:pt idx="11">
                  <c:v>20559.380000000005</c:v>
                </c:pt>
                <c:pt idx="12">
                  <c:v>21408.770000000004</c:v>
                </c:pt>
                <c:pt idx="13">
                  <c:v>22111.61</c:v>
                </c:pt>
                <c:pt idx="14">
                  <c:v>23074.840000000011</c:v>
                </c:pt>
                <c:pt idx="15">
                  <c:v>23633.149999999994</c:v>
                </c:pt>
                <c:pt idx="16">
                  <c:v>24332.709999999992</c:v>
                </c:pt>
                <c:pt idx="17">
                  <c:v>24352</c:v>
                </c:pt>
                <c:pt idx="18">
                  <c:v>22484</c:v>
                </c:pt>
                <c:pt idx="19">
                  <c:v>25225</c:v>
                </c:pt>
                <c:pt idx="20">
                  <c:v>24854</c:v>
                </c:pt>
                <c:pt idx="21">
                  <c:v>26019</c:v>
                </c:pt>
                <c:pt idx="22">
                  <c:v>24414</c:v>
                </c:pt>
                <c:pt idx="23">
                  <c:v>24656.630000000005</c:v>
                </c:pt>
                <c:pt idx="24">
                  <c:v>22396.960000000021</c:v>
                </c:pt>
                <c:pt idx="25">
                  <c:v>22752.199999999953</c:v>
                </c:pt>
                <c:pt idx="26">
                  <c:v>22562.160000000033</c:v>
                </c:pt>
                <c:pt idx="27">
                  <c:v>22679.049999999988</c:v>
                </c:pt>
                <c:pt idx="28">
                  <c:v>305280.30000000005</c:v>
                </c:pt>
                <c:pt idx="29">
                  <c:v>22328.699999999953</c:v>
                </c:pt>
                <c:pt idx="30">
                  <c:v>24006</c:v>
                </c:pt>
                <c:pt idx="31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1837824"/>
        <c:axId val="102060800"/>
      </c:lineChart>
      <c:catAx>
        <c:axId val="1018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60800"/>
        <c:crosses val="autoZero"/>
        <c:auto val="1"/>
        <c:lblAlgn val="ctr"/>
        <c:lblOffset val="100"/>
        <c:noMultiLvlLbl val="0"/>
      </c:catAx>
      <c:valAx>
        <c:axId val="10206080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3782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13.440000000000509</c:v>
                </c:pt>
                <c:pt idx="1">
                  <c:v>10.279999999999745</c:v>
                </c:pt>
                <c:pt idx="2">
                  <c:v>11.950000000000728</c:v>
                </c:pt>
                <c:pt idx="3">
                  <c:v>11.219999999999345</c:v>
                </c:pt>
                <c:pt idx="4">
                  <c:v>13.239999999999782</c:v>
                </c:pt>
                <c:pt idx="5">
                  <c:v>12.25</c:v>
                </c:pt>
                <c:pt idx="6">
                  <c:v>12</c:v>
                </c:pt>
                <c:pt idx="7">
                  <c:v>12.890000000000327</c:v>
                </c:pt>
                <c:pt idx="8">
                  <c:v>12.409999999999854</c:v>
                </c:pt>
                <c:pt idx="9">
                  <c:v>12.109999999999673</c:v>
                </c:pt>
                <c:pt idx="10">
                  <c:v>11.5</c:v>
                </c:pt>
                <c:pt idx="11">
                  <c:v>11.360000000000582</c:v>
                </c:pt>
                <c:pt idx="12">
                  <c:v>11.719999999999345</c:v>
                </c:pt>
                <c:pt idx="13">
                  <c:v>11.600000000000364</c:v>
                </c:pt>
                <c:pt idx="14">
                  <c:v>12.119999999999891</c:v>
                </c:pt>
                <c:pt idx="15">
                  <c:v>12.340000000000146</c:v>
                </c:pt>
                <c:pt idx="16">
                  <c:v>12.079999999999927</c:v>
                </c:pt>
                <c:pt idx="17">
                  <c:v>11.859999999999673</c:v>
                </c:pt>
                <c:pt idx="18">
                  <c:v>11.770000000000437</c:v>
                </c:pt>
                <c:pt idx="19">
                  <c:v>11.609999999999673</c:v>
                </c:pt>
                <c:pt idx="20">
                  <c:v>10.760000000000218</c:v>
                </c:pt>
                <c:pt idx="21">
                  <c:v>10.649999999999636</c:v>
                </c:pt>
                <c:pt idx="22">
                  <c:v>11.160000000000764</c:v>
                </c:pt>
                <c:pt idx="23">
                  <c:v>10.710000000000036</c:v>
                </c:pt>
                <c:pt idx="24">
                  <c:v>11.399999999999636</c:v>
                </c:pt>
                <c:pt idx="25">
                  <c:v>11.680000000000291</c:v>
                </c:pt>
                <c:pt idx="26">
                  <c:v>9.0399999999999636</c:v>
                </c:pt>
                <c:pt idx="27">
                  <c:v>10.720000000000255</c:v>
                </c:pt>
                <c:pt idx="28">
                  <c:v>-347.85000000000036</c:v>
                </c:pt>
                <c:pt idx="29">
                  <c:v>9.4899999999997817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09568"/>
        <c:axId val="102111104"/>
      </c:lineChart>
      <c:catAx>
        <c:axId val="1021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11104"/>
        <c:crosses val="autoZero"/>
        <c:auto val="1"/>
        <c:lblAlgn val="ctr"/>
        <c:lblOffset val="100"/>
        <c:noMultiLvlLbl val="0"/>
      </c:catAx>
      <c:valAx>
        <c:axId val="10211110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095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305</c:v>
                </c:pt>
                <c:pt idx="1">
                  <c:v>342</c:v>
                </c:pt>
                <c:pt idx="2">
                  <c:v>318</c:v>
                </c:pt>
                <c:pt idx="3">
                  <c:v>320</c:v>
                </c:pt>
                <c:pt idx="4">
                  <c:v>344</c:v>
                </c:pt>
                <c:pt idx="5">
                  <c:v>305.61000000000058</c:v>
                </c:pt>
                <c:pt idx="6">
                  <c:v>311.38999999999942</c:v>
                </c:pt>
                <c:pt idx="7">
                  <c:v>295.92000000000007</c:v>
                </c:pt>
                <c:pt idx="8">
                  <c:v>286.07999999999993</c:v>
                </c:pt>
                <c:pt idx="9">
                  <c:v>299</c:v>
                </c:pt>
                <c:pt idx="10">
                  <c:v>286</c:v>
                </c:pt>
                <c:pt idx="11">
                  <c:v>326.70999999999913</c:v>
                </c:pt>
                <c:pt idx="12">
                  <c:v>318.63999999999942</c:v>
                </c:pt>
                <c:pt idx="13">
                  <c:v>305.65000000000146</c:v>
                </c:pt>
                <c:pt idx="14">
                  <c:v>307.56000000000131</c:v>
                </c:pt>
                <c:pt idx="15">
                  <c:v>305.5099999999984</c:v>
                </c:pt>
                <c:pt idx="16">
                  <c:v>303.93000000000029</c:v>
                </c:pt>
                <c:pt idx="17">
                  <c:v>291</c:v>
                </c:pt>
                <c:pt idx="18">
                  <c:v>301</c:v>
                </c:pt>
                <c:pt idx="19">
                  <c:v>257</c:v>
                </c:pt>
                <c:pt idx="20">
                  <c:v>274.54999999999927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675</c:v>
                </c:pt>
                <c:pt idx="1">
                  <c:v>626.70000000018626</c:v>
                </c:pt>
                <c:pt idx="2">
                  <c:v>600.79999999981374</c:v>
                </c:pt>
                <c:pt idx="3">
                  <c:v>647</c:v>
                </c:pt>
                <c:pt idx="4">
                  <c:v>721.80000000000291</c:v>
                </c:pt>
                <c:pt idx="5">
                  <c:v>731.34999999977299</c:v>
                </c:pt>
                <c:pt idx="6">
                  <c:v>616.43000000029861</c:v>
                </c:pt>
                <c:pt idx="7">
                  <c:v>590.49999999992542</c:v>
                </c:pt>
                <c:pt idx="8">
                  <c:v>285.3299999998726</c:v>
                </c:pt>
                <c:pt idx="9">
                  <c:v>286.81360000008135</c:v>
                </c:pt>
                <c:pt idx="10">
                  <c:v>360.97640000004321</c:v>
                </c:pt>
                <c:pt idx="11">
                  <c:v>573.09000000000378</c:v>
                </c:pt>
                <c:pt idx="12">
                  <c:v>580.76000000000204</c:v>
                </c:pt>
                <c:pt idx="13">
                  <c:v>713.94999999999709</c:v>
                </c:pt>
                <c:pt idx="14">
                  <c:v>824.63999999999578</c:v>
                </c:pt>
                <c:pt idx="15">
                  <c:v>674.29000000000451</c:v>
                </c:pt>
                <c:pt idx="16">
                  <c:v>731.06999999999971</c:v>
                </c:pt>
                <c:pt idx="17">
                  <c:v>739</c:v>
                </c:pt>
                <c:pt idx="18">
                  <c:v>669</c:v>
                </c:pt>
                <c:pt idx="19">
                  <c:v>742</c:v>
                </c:pt>
                <c:pt idx="20">
                  <c:v>676.84999999999491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116</c:v>
                </c:pt>
                <c:pt idx="1">
                  <c:v>109</c:v>
                </c:pt>
                <c:pt idx="2">
                  <c:v>114</c:v>
                </c:pt>
                <c:pt idx="3">
                  <c:v>116</c:v>
                </c:pt>
                <c:pt idx="4">
                  <c:v>125</c:v>
                </c:pt>
                <c:pt idx="5">
                  <c:v>84</c:v>
                </c:pt>
                <c:pt idx="6">
                  <c:v>100</c:v>
                </c:pt>
                <c:pt idx="7">
                  <c:v>131</c:v>
                </c:pt>
                <c:pt idx="8">
                  <c:v>112</c:v>
                </c:pt>
                <c:pt idx="9">
                  <c:v>105</c:v>
                </c:pt>
                <c:pt idx="10">
                  <c:v>113</c:v>
                </c:pt>
                <c:pt idx="11">
                  <c:v>122</c:v>
                </c:pt>
                <c:pt idx="12">
                  <c:v>154</c:v>
                </c:pt>
                <c:pt idx="13">
                  <c:v>148</c:v>
                </c:pt>
                <c:pt idx="14">
                  <c:v>57</c:v>
                </c:pt>
                <c:pt idx="15">
                  <c:v>216</c:v>
                </c:pt>
                <c:pt idx="16">
                  <c:v>149</c:v>
                </c:pt>
                <c:pt idx="17">
                  <c:v>127</c:v>
                </c:pt>
                <c:pt idx="18">
                  <c:v>121</c:v>
                </c:pt>
                <c:pt idx="19">
                  <c:v>155</c:v>
                </c:pt>
                <c:pt idx="20">
                  <c:v>134.60000000000582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73088"/>
        <c:axId val="102487168"/>
      </c:lineChart>
      <c:catAx>
        <c:axId val="1024730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487168"/>
        <c:crosses val="autoZero"/>
        <c:auto val="1"/>
        <c:lblAlgn val="ctr"/>
        <c:lblOffset val="100"/>
        <c:noMultiLvlLbl val="0"/>
      </c:catAx>
      <c:valAx>
        <c:axId val="1024871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473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7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0.23895757795503925</c:v>
                </c:pt>
                <c:pt idx="1">
                  <c:v>4638.1900000000023</c:v>
                </c:pt>
                <c:pt idx="2">
                  <c:v>3320.9999999999418</c:v>
                </c:pt>
                <c:pt idx="3">
                  <c:v>3150.570000000007</c:v>
                </c:pt>
                <c:pt idx="4">
                  <c:v>0</c:v>
                </c:pt>
                <c:pt idx="5">
                  <c:v>3625.4899999999907</c:v>
                </c:pt>
                <c:pt idx="6">
                  <c:v>3472</c:v>
                </c:pt>
                <c:pt idx="7">
                  <c:v>3412</c:v>
                </c:pt>
                <c:pt idx="8">
                  <c:v>3380.1699999999837</c:v>
                </c:pt>
                <c:pt idx="9">
                  <c:v>3491.0400000000373</c:v>
                </c:pt>
                <c:pt idx="10">
                  <c:v>2718.2099999999627</c:v>
                </c:pt>
                <c:pt idx="11">
                  <c:v>2806.0400000000373</c:v>
                </c:pt>
                <c:pt idx="12">
                  <c:v>3416.8399999999674</c:v>
                </c:pt>
                <c:pt idx="13">
                  <c:v>3541.0100000000093</c:v>
                </c:pt>
                <c:pt idx="14">
                  <c:v>3568.9700000000885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5856000"/>
        <c:axId val="10586598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838476</c:v>
                </c:pt>
                <c:pt idx="1">
                  <c:v>860934</c:v>
                </c:pt>
                <c:pt idx="2">
                  <c:v>906849</c:v>
                </c:pt>
                <c:pt idx="3">
                  <c:v>884483.31</c:v>
                </c:pt>
                <c:pt idx="4">
                  <c:v>0</c:v>
                </c:pt>
                <c:pt idx="5">
                  <c:v>953597</c:v>
                </c:pt>
                <c:pt idx="6">
                  <c:v>977350</c:v>
                </c:pt>
                <c:pt idx="7">
                  <c:v>1000622</c:v>
                </c:pt>
                <c:pt idx="8">
                  <c:v>1022861.42</c:v>
                </c:pt>
                <c:pt idx="9">
                  <c:v>45495.51</c:v>
                </c:pt>
                <c:pt idx="10">
                  <c:v>66979.539999999994</c:v>
                </c:pt>
                <c:pt idx="11">
                  <c:v>87538.92</c:v>
                </c:pt>
                <c:pt idx="12">
                  <c:v>108947.69</c:v>
                </c:pt>
                <c:pt idx="13">
                  <c:v>131059.3</c:v>
                </c:pt>
                <c:pt idx="14">
                  <c:v>154134.14000000001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7520"/>
        <c:axId val="105869312"/>
      </c:lineChart>
      <c:catAx>
        <c:axId val="10585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65984"/>
        <c:crosses val="autoZero"/>
        <c:auto val="1"/>
        <c:lblAlgn val="ctr"/>
        <c:lblOffset val="100"/>
        <c:noMultiLvlLbl val="0"/>
      </c:catAx>
      <c:valAx>
        <c:axId val="1058659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56000"/>
        <c:crosses val="autoZero"/>
        <c:crossBetween val="between"/>
        <c:minorUnit val="50"/>
      </c:valAx>
      <c:catAx>
        <c:axId val="105867520"/>
        <c:scaling>
          <c:orientation val="minMax"/>
        </c:scaling>
        <c:delete val="1"/>
        <c:axPos val="b"/>
        <c:majorTickMark val="out"/>
        <c:minorTickMark val="none"/>
        <c:tickLblPos val="none"/>
        <c:crossAx val="105869312"/>
        <c:crosses val="autoZero"/>
        <c:auto val="1"/>
        <c:lblAlgn val="ctr"/>
        <c:lblOffset val="100"/>
        <c:noMultiLvlLbl val="0"/>
      </c:catAx>
      <c:valAx>
        <c:axId val="1058693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6752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04192"/>
        <c:axId val="106505728"/>
      </c:lineChart>
      <c:catAx>
        <c:axId val="10650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5728"/>
        <c:crosses val="autoZero"/>
        <c:auto val="1"/>
        <c:lblAlgn val="ctr"/>
        <c:lblOffset val="100"/>
        <c:noMultiLvlLbl val="0"/>
      </c:catAx>
      <c:valAx>
        <c:axId val="1065057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41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838476</c:v>
                </c:pt>
                <c:pt idx="1">
                  <c:v>860934</c:v>
                </c:pt>
                <c:pt idx="2">
                  <c:v>906849</c:v>
                </c:pt>
                <c:pt idx="3">
                  <c:v>884483.31</c:v>
                </c:pt>
                <c:pt idx="4">
                  <c:v>0</c:v>
                </c:pt>
                <c:pt idx="5">
                  <c:v>953597</c:v>
                </c:pt>
                <c:pt idx="6">
                  <c:v>977350</c:v>
                </c:pt>
                <c:pt idx="7">
                  <c:v>1000622</c:v>
                </c:pt>
                <c:pt idx="8">
                  <c:v>1022861.42</c:v>
                </c:pt>
                <c:pt idx="9">
                  <c:v>45495.51</c:v>
                </c:pt>
                <c:pt idx="10">
                  <c:v>66979.539999999994</c:v>
                </c:pt>
                <c:pt idx="11">
                  <c:v>87538.92</c:v>
                </c:pt>
                <c:pt idx="12">
                  <c:v>108947.69</c:v>
                </c:pt>
                <c:pt idx="13">
                  <c:v>131059.3</c:v>
                </c:pt>
                <c:pt idx="14">
                  <c:v>154134.14000000001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6538880"/>
        <c:axId val="106540416"/>
      </c:lineChart>
      <c:catAx>
        <c:axId val="10653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40416"/>
        <c:crosses val="autoZero"/>
        <c:auto val="1"/>
        <c:lblAlgn val="ctr"/>
        <c:lblOffset val="100"/>
        <c:noMultiLvlLbl val="0"/>
      </c:catAx>
      <c:valAx>
        <c:axId val="10654041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88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526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193</c:v>
                </c:pt>
                <c:pt idx="1">
                  <c:v>201</c:v>
                </c:pt>
                <c:pt idx="2">
                  <c:v>233</c:v>
                </c:pt>
                <c:pt idx="3">
                  <c:v>220</c:v>
                </c:pt>
                <c:pt idx="4">
                  <c:v>0</c:v>
                </c:pt>
                <c:pt idx="5">
                  <c:v>219</c:v>
                </c:pt>
                <c:pt idx="6">
                  <c:v>213</c:v>
                </c:pt>
                <c:pt idx="7">
                  <c:v>213</c:v>
                </c:pt>
                <c:pt idx="8">
                  <c:v>179</c:v>
                </c:pt>
                <c:pt idx="9">
                  <c:v>167</c:v>
                </c:pt>
                <c:pt idx="10">
                  <c:v>169</c:v>
                </c:pt>
                <c:pt idx="11">
                  <c:v>168</c:v>
                </c:pt>
                <c:pt idx="12">
                  <c:v>151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30528"/>
        <c:axId val="10263206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838476</c:v>
                </c:pt>
                <c:pt idx="1">
                  <c:v>860934</c:v>
                </c:pt>
                <c:pt idx="2">
                  <c:v>906849</c:v>
                </c:pt>
                <c:pt idx="3">
                  <c:v>884483.31</c:v>
                </c:pt>
                <c:pt idx="4">
                  <c:v>0</c:v>
                </c:pt>
                <c:pt idx="5">
                  <c:v>953597</c:v>
                </c:pt>
                <c:pt idx="6">
                  <c:v>977350</c:v>
                </c:pt>
                <c:pt idx="7">
                  <c:v>1000622</c:v>
                </c:pt>
                <c:pt idx="8">
                  <c:v>1022861.42</c:v>
                </c:pt>
                <c:pt idx="9">
                  <c:v>45495.51</c:v>
                </c:pt>
                <c:pt idx="10">
                  <c:v>66979.539999999994</c:v>
                </c:pt>
                <c:pt idx="11">
                  <c:v>87538.92</c:v>
                </c:pt>
                <c:pt idx="12">
                  <c:v>108947.69</c:v>
                </c:pt>
                <c:pt idx="13">
                  <c:v>131059.3</c:v>
                </c:pt>
                <c:pt idx="14">
                  <c:v>154134.14000000001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54336"/>
        <c:axId val="102655872"/>
      </c:lineChart>
      <c:catAx>
        <c:axId val="10263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2064"/>
        <c:crosses val="autoZero"/>
        <c:auto val="1"/>
        <c:lblAlgn val="ctr"/>
        <c:lblOffset val="100"/>
        <c:noMultiLvlLbl val="0"/>
      </c:catAx>
      <c:valAx>
        <c:axId val="10263206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0528"/>
        <c:crosses val="autoZero"/>
        <c:crossBetween val="between"/>
      </c:valAx>
      <c:catAx>
        <c:axId val="102654336"/>
        <c:scaling>
          <c:orientation val="minMax"/>
        </c:scaling>
        <c:delete val="1"/>
        <c:axPos val="b"/>
        <c:majorTickMark val="out"/>
        <c:minorTickMark val="none"/>
        <c:tickLblPos val="none"/>
        <c:crossAx val="102655872"/>
        <c:crosses val="autoZero"/>
        <c:auto val="1"/>
        <c:lblAlgn val="ctr"/>
        <c:lblOffset val="100"/>
        <c:noMultiLvlLbl val="0"/>
      </c:catAx>
      <c:valAx>
        <c:axId val="1026558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54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20</c:v>
                </c:pt>
                <c:pt idx="1">
                  <c:v>21</c:v>
                </c:pt>
                <c:pt idx="2">
                  <c:v>35</c:v>
                </c:pt>
                <c:pt idx="3">
                  <c:v>24</c:v>
                </c:pt>
                <c:pt idx="4">
                  <c:v>0</c:v>
                </c:pt>
                <c:pt idx="5">
                  <c:v>34</c:v>
                </c:pt>
                <c:pt idx="6">
                  <c:v>23</c:v>
                </c:pt>
                <c:pt idx="7">
                  <c:v>33</c:v>
                </c:pt>
                <c:pt idx="8">
                  <c:v>13</c:v>
                </c:pt>
                <c:pt idx="9">
                  <c:v>16</c:v>
                </c:pt>
                <c:pt idx="10">
                  <c:v>11</c:v>
                </c:pt>
                <c:pt idx="11">
                  <c:v>17</c:v>
                </c:pt>
                <c:pt idx="12">
                  <c:v>16</c:v>
                </c:pt>
                <c:pt idx="13">
                  <c:v>15</c:v>
                </c:pt>
                <c:pt idx="1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11</c:v>
                </c:pt>
                <c:pt idx="13">
                  <c:v>172</c:v>
                </c:pt>
                <c:pt idx="14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68128"/>
        <c:axId val="10716966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838476</c:v>
                </c:pt>
                <c:pt idx="1">
                  <c:v>860934</c:v>
                </c:pt>
                <c:pt idx="2">
                  <c:v>906849</c:v>
                </c:pt>
                <c:pt idx="3">
                  <c:v>884483.31</c:v>
                </c:pt>
                <c:pt idx="4">
                  <c:v>0</c:v>
                </c:pt>
                <c:pt idx="5">
                  <c:v>953597</c:v>
                </c:pt>
                <c:pt idx="6">
                  <c:v>977350</c:v>
                </c:pt>
                <c:pt idx="7">
                  <c:v>1000622</c:v>
                </c:pt>
                <c:pt idx="8">
                  <c:v>1022861.42</c:v>
                </c:pt>
                <c:pt idx="9">
                  <c:v>45495.51</c:v>
                </c:pt>
                <c:pt idx="10">
                  <c:v>66979.539999999994</c:v>
                </c:pt>
                <c:pt idx="11">
                  <c:v>87538.92</c:v>
                </c:pt>
                <c:pt idx="12">
                  <c:v>108947.69</c:v>
                </c:pt>
                <c:pt idx="13">
                  <c:v>131059.3</c:v>
                </c:pt>
                <c:pt idx="14">
                  <c:v>154134.14000000001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71200"/>
        <c:axId val="107177088"/>
      </c:lineChart>
      <c:catAx>
        <c:axId val="1071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9664"/>
        <c:crosses val="autoZero"/>
        <c:auto val="1"/>
        <c:lblAlgn val="ctr"/>
        <c:lblOffset val="100"/>
        <c:noMultiLvlLbl val="0"/>
      </c:catAx>
      <c:valAx>
        <c:axId val="10716966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8128"/>
        <c:crosses val="autoZero"/>
        <c:crossBetween val="between"/>
        <c:majorUnit val="2"/>
      </c:valAx>
      <c:catAx>
        <c:axId val="107171200"/>
        <c:scaling>
          <c:orientation val="minMax"/>
        </c:scaling>
        <c:delete val="1"/>
        <c:axPos val="b"/>
        <c:majorTickMark val="out"/>
        <c:minorTickMark val="none"/>
        <c:tickLblPos val="none"/>
        <c:crossAx val="107177088"/>
        <c:crosses val="autoZero"/>
        <c:auto val="1"/>
        <c:lblAlgn val="ctr"/>
        <c:lblOffset val="100"/>
        <c:noMultiLvlLbl val="0"/>
      </c:catAx>
      <c:valAx>
        <c:axId val="1071770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7120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9" workbookViewId="0">
      <selection activeCell="L27" sqref="L27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2</v>
      </c>
      <c r="D2" s="274">
        <v>2023</v>
      </c>
      <c r="E2" s="275">
        <f>(IF('Daily HLP'!H4&gt;0,'Daily HLP'!H4,0))</f>
        <v>22366</v>
      </c>
      <c r="F2" s="276">
        <v>10</v>
      </c>
      <c r="G2" s="276">
        <f>(IF('Daily HLP'!L4&gt;0,'Daily HLP'!L4,0))</f>
        <v>1161.285000000149</v>
      </c>
      <c r="H2" s="276">
        <v>66</v>
      </c>
      <c r="I2" s="276">
        <f>(IF('Daily HLP'!O4&gt;0,'Daily HLP'!O4,0))</f>
        <v>222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2</v>
      </c>
      <c r="D3" s="274">
        <v>2023</v>
      </c>
      <c r="E3" s="275">
        <f>(IF('Daily HLP'!H5&gt;0,'Daily HLP'!H5,0))</f>
        <v>22458</v>
      </c>
      <c r="F3" s="276">
        <v>10</v>
      </c>
      <c r="G3" s="276">
        <f>(IF('Daily HLP'!L5&gt;0,'Daily HLP'!L5,0))</f>
        <v>1083</v>
      </c>
      <c r="H3" s="276">
        <v>66</v>
      </c>
      <c r="I3" s="276">
        <f>(IF('Daily HLP'!O5&gt;0,'Daily HLP'!O5,0))</f>
        <v>249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2</v>
      </c>
      <c r="D4" s="274">
        <v>2023</v>
      </c>
      <c r="E4" s="275">
        <f>(IF('Daily HLP'!H6&gt;0,'Daily HLP'!H6,0))</f>
        <v>23549.310000000056</v>
      </c>
      <c r="F4" s="276">
        <v>10</v>
      </c>
      <c r="G4" s="276">
        <f>(IF('Daily HLP'!L6&gt;0,'Daily HLP'!L6,0))</f>
        <v>1112</v>
      </c>
      <c r="H4" s="276">
        <v>66</v>
      </c>
      <c r="I4" s="276">
        <f>(IF('Daily HLP'!O6&gt;0,'Daily HLP'!O6,0))</f>
        <v>277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2</v>
      </c>
      <c r="D5" s="274">
        <v>2023</v>
      </c>
      <c r="E5" s="275">
        <f>(IF('Daily HLP'!H7&gt;0,'Daily HLP'!H7,0))</f>
        <v>22365.689999999944</v>
      </c>
      <c r="F5" s="276">
        <v>10</v>
      </c>
      <c r="G5" s="276">
        <f>(IF('Daily HLP'!L7&gt;0,'Daily HLP'!L7,0))</f>
        <v>1150</v>
      </c>
      <c r="H5" s="276">
        <v>66</v>
      </c>
      <c r="I5" s="276">
        <f>(IF('Daily HLP'!O7&gt;0,'Daily HLP'!O7,0))</f>
        <v>265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2</v>
      </c>
      <c r="D6" s="274">
        <v>2023</v>
      </c>
      <c r="E6" s="275">
        <f>(IF('Daily HLP'!H8&gt;0,'Daily HLP'!H8,0))</f>
        <v>23051.869999999995</v>
      </c>
      <c r="F6" s="276">
        <v>10</v>
      </c>
      <c r="G6" s="276">
        <f>(IF('Daily HLP'!L8&gt;0,'Daily HLP'!L8,0))</f>
        <v>1134.2000000001863</v>
      </c>
      <c r="H6" s="276">
        <v>66</v>
      </c>
      <c r="I6" s="276">
        <f>(IF('Daily HLP'!O8&gt;0,'Daily HLP'!O8,0))</f>
        <v>302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2</v>
      </c>
      <c r="D7" s="274">
        <v>2023</v>
      </c>
      <c r="E7" s="275">
        <f>(IF('Daily HLP'!H9&gt;0,'Daily HLP'!H9,0))</f>
        <v>23696.130000000005</v>
      </c>
      <c r="F7" s="276">
        <v>10</v>
      </c>
      <c r="G7" s="276">
        <f>(IF('Daily HLP'!L9&gt;0,'Daily HLP'!L9,0))</f>
        <v>1087.7999999998137</v>
      </c>
      <c r="H7" s="276">
        <v>66</v>
      </c>
      <c r="I7" s="276">
        <f>(IF('Daily HLP'!O9&gt;0,'Daily HLP'!O9,0))</f>
        <v>311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2</v>
      </c>
      <c r="D8" s="274">
        <v>2023</v>
      </c>
      <c r="E8" s="275">
        <f>(IF('Daily HLP'!H10&gt;0,'Daily HLP'!H10,0))</f>
        <v>23753</v>
      </c>
      <c r="F8" s="276">
        <v>10</v>
      </c>
      <c r="G8" s="276">
        <f>(IF('Daily HLP'!L10&gt;0,'Daily HLP'!L10,0))</f>
        <v>1130</v>
      </c>
      <c r="H8" s="276">
        <v>66</v>
      </c>
      <c r="I8" s="276">
        <f>(IF('Daily HLP'!O10&gt;0,'Daily HLP'!O10,0))</f>
        <v>220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2</v>
      </c>
      <c r="D9" s="274">
        <v>2023</v>
      </c>
      <c r="E9" s="275">
        <f>(IF('Daily HLP'!H11&gt;0,'Daily HLP'!H11,0))</f>
        <v>23272</v>
      </c>
      <c r="F9" s="276">
        <v>10</v>
      </c>
      <c r="G9" s="276">
        <f>(IF('Daily HLP'!L11&gt;0,'Daily HLP'!L11,0))</f>
        <v>1248</v>
      </c>
      <c r="H9" s="276">
        <v>66</v>
      </c>
      <c r="I9" s="276">
        <f>(IF('Daily HLP'!O11&gt;0,'Daily HLP'!O11,0))</f>
        <v>415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2</v>
      </c>
      <c r="D10" s="274">
        <v>2023</v>
      </c>
      <c r="E10" s="275">
        <f>(IF('Daily HLP'!H12&gt;0,'Daily HLP'!H12,0))</f>
        <v>22239.420000000042</v>
      </c>
      <c r="F10" s="276">
        <v>10</v>
      </c>
      <c r="G10" s="276">
        <f>(IF('Daily HLP'!L12&gt;0,'Daily HLP'!L12,0))</f>
        <v>1162.7599999997765</v>
      </c>
      <c r="H10" s="276">
        <v>66</v>
      </c>
      <c r="I10" s="276">
        <f>(IF('Daily HLP'!O12&gt;0,'Daily HLP'!O12,0))</f>
        <v>105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2</v>
      </c>
      <c r="D11" s="274">
        <v>2023</v>
      </c>
      <c r="E11" s="275">
        <f>(IF('Daily HLP'!H13&gt;0,'Daily HLP'!H13,0))</f>
        <v>22634.090000000004</v>
      </c>
      <c r="F11" s="276">
        <v>10</v>
      </c>
      <c r="G11" s="276">
        <f>(IF('Daily HLP'!L13&gt;0,'Daily HLP'!L13,0))</f>
        <v>1074.820000000298</v>
      </c>
      <c r="H11" s="276">
        <v>66</v>
      </c>
      <c r="I11" s="276">
        <f>(IF('Daily HLP'!O13&gt;0,'Daily HLP'!O13,0))</f>
        <v>47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2</v>
      </c>
      <c r="D12" s="274">
        <v>2023</v>
      </c>
      <c r="E12" s="275">
        <f>(IF('Daily HLP'!H14&gt;0,'Daily HLP'!H14,0))</f>
        <v>21484.029999999992</v>
      </c>
      <c r="F12" s="276">
        <v>10</v>
      </c>
      <c r="G12" s="276">
        <f>(IF('Daily HLP'!L14&gt;0,'Daily HLP'!L14,0))</f>
        <v>1066.4199999999255</v>
      </c>
      <c r="H12" s="276">
        <v>66</v>
      </c>
      <c r="I12" s="276">
        <f>(IF('Daily HLP'!O14&gt;0,'Daily HLP'!O14,0))</f>
        <v>54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2</v>
      </c>
      <c r="D13" s="274">
        <v>2023</v>
      </c>
      <c r="E13" s="275">
        <f>(IF('Daily HLP'!H15&gt;0,'Daily HLP'!H15,0))</f>
        <v>20559.380000000005</v>
      </c>
      <c r="F13" s="276">
        <v>10</v>
      </c>
      <c r="G13" s="276">
        <f>(IF('Daily HLP'!L15&gt;0,'Daily HLP'!L15,0))</f>
        <v>741.60999999986961</v>
      </c>
      <c r="H13" s="276">
        <v>66</v>
      </c>
      <c r="I13" s="276">
        <f>(IF('Daily HLP'!O15&gt;0,'Daily HLP'!O15,0))</f>
        <v>57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2</v>
      </c>
      <c r="D14" s="274">
        <v>2023</v>
      </c>
      <c r="E14" s="275">
        <f>(IF('Daily HLP'!H16&gt;0,'Daily HLP'!H16,0))</f>
        <v>21408.770000000004</v>
      </c>
      <c r="F14" s="276">
        <v>10</v>
      </c>
      <c r="G14" s="276">
        <f>(IF('Daily HLP'!L16&gt;0,'Daily HLP'!L16,0))</f>
        <v>738.41360000008717</v>
      </c>
      <c r="H14" s="276">
        <v>66</v>
      </c>
      <c r="I14" s="276">
        <f>(IF('Daily HLP'!O16&gt;0,'Daily HLP'!O16,0))</f>
        <v>64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2</v>
      </c>
      <c r="D15" s="274">
        <v>2023</v>
      </c>
      <c r="E15" s="275">
        <f>(IF('Daily HLP'!H17&gt;0,'Daily HLP'!H17,0))</f>
        <v>22111.61</v>
      </c>
      <c r="F15" s="276">
        <v>10</v>
      </c>
      <c r="G15" s="276">
        <f>(IF('Daily HLP'!L17&gt;0,'Daily HLP'!L17,0))</f>
        <v>823.97640000004321</v>
      </c>
      <c r="H15" s="276">
        <v>66</v>
      </c>
      <c r="I15" s="276">
        <f>(IF('Daily HLP'!O17&gt;0,'Daily HLP'!O17,0))</f>
        <v>174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2</v>
      </c>
      <c r="D16" s="274">
        <v>2023</v>
      </c>
      <c r="E16" s="275">
        <f>(IF('Daily HLP'!H18&gt;0,'Daily HLP'!H18,0))</f>
        <v>23074.840000000011</v>
      </c>
      <c r="F16" s="276">
        <v>10</v>
      </c>
      <c r="G16" s="276">
        <f>(IF('Daily HLP'!L18&gt;0,'Daily HLP'!L18,0))</f>
        <v>1071</v>
      </c>
      <c r="H16" s="276">
        <v>66</v>
      </c>
      <c r="I16" s="276">
        <f>(IF('Daily HLP'!O18&gt;0,'Daily HLP'!O18,0))</f>
        <v>308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2</v>
      </c>
      <c r="D17" s="274">
        <v>2023</v>
      </c>
      <c r="E17" s="275">
        <f>(IF('Daily HLP'!H19&gt;0,'Daily HLP'!H19,0))</f>
        <v>23633.149999999994</v>
      </c>
      <c r="F17" s="276">
        <v>10</v>
      </c>
      <c r="G17" s="276">
        <f>(IF('Daily HLP'!L19&gt;0,'Daily HLP'!L19,0))</f>
        <v>1110</v>
      </c>
      <c r="H17" s="276">
        <v>66</v>
      </c>
      <c r="I17" s="276">
        <f>(IF('Daily HLP'!O19&gt;0,'Daily HLP'!O19,0))</f>
        <v>396</v>
      </c>
      <c r="J17" s="276">
        <v>100</v>
      </c>
      <c r="K17" s="281">
        <f>Occupancy!G17</f>
        <v>158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2</v>
      </c>
      <c r="D18" s="274">
        <v>2023</v>
      </c>
      <c r="E18" s="275">
        <f>(IF('Daily HLP'!H20&gt;0,'Daily HLP'!H20,0))</f>
        <v>24332.709999999992</v>
      </c>
      <c r="F18" s="276">
        <v>10</v>
      </c>
      <c r="G18" s="276">
        <f>(IF('Daily HLP'!L20&gt;0,'Daily HLP'!L20,0))</f>
        <v>1229</v>
      </c>
      <c r="H18" s="276">
        <v>66</v>
      </c>
      <c r="I18" s="276">
        <f>(IF('Daily HLP'!O20&gt;0,'Daily HLP'!O20,0))</f>
        <v>279</v>
      </c>
      <c r="J18" s="276">
        <v>100</v>
      </c>
      <c r="K18" s="281">
        <f>Occupancy!G18</f>
        <v>158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2</v>
      </c>
      <c r="D19" s="274">
        <v>2023</v>
      </c>
      <c r="E19" s="275">
        <f>(IF('Daily HLP'!H21&gt;0,'Daily HLP'!H21,0))</f>
        <v>24352</v>
      </c>
      <c r="F19" s="276">
        <v>10</v>
      </c>
      <c r="G19" s="276">
        <f>(IF('Daily HLP'!L21&gt;0,'Daily HLP'!L21,0))</f>
        <v>1250</v>
      </c>
      <c r="H19" s="276">
        <v>66</v>
      </c>
      <c r="I19" s="276">
        <f>(IF('Daily HLP'!O21&gt;0,'Daily HLP'!O21,0))</f>
        <v>235</v>
      </c>
      <c r="J19" s="276">
        <v>100</v>
      </c>
      <c r="K19" s="281">
        <f>Occupancy!G19</f>
        <v>160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2</v>
      </c>
      <c r="D20" s="274">
        <v>2023</v>
      </c>
      <c r="E20" s="275">
        <f>(IF('Daily HLP'!H22&gt;0,'Daily HLP'!H22,0))</f>
        <v>22484</v>
      </c>
      <c r="F20" s="276">
        <v>10</v>
      </c>
      <c r="G20" s="276">
        <f>(IF('Daily HLP'!L22&gt;0,'Daily HLP'!L22,0))</f>
        <v>1250</v>
      </c>
      <c r="H20" s="276">
        <v>66</v>
      </c>
      <c r="I20" s="276">
        <f>(IF('Daily HLP'!O22&gt;0,'Daily HLP'!O22,0))</f>
        <v>239</v>
      </c>
      <c r="J20" s="276">
        <v>100</v>
      </c>
      <c r="K20" s="281">
        <f>Occupancy!G20</f>
        <v>166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2</v>
      </c>
      <c r="D21" s="274">
        <v>2023</v>
      </c>
      <c r="E21" s="275">
        <f>(IF('Daily HLP'!H23&gt;0,'Daily HLP'!H23,0))</f>
        <v>25225</v>
      </c>
      <c r="F21" s="276">
        <v>10</v>
      </c>
      <c r="G21" s="276">
        <f>(IF('Daily HLP'!L23&gt;0,'Daily HLP'!L23,0))</f>
        <v>1237</v>
      </c>
      <c r="H21" s="276">
        <v>66</v>
      </c>
      <c r="I21" s="276">
        <f>(IF('Daily HLP'!O23&gt;0,'Daily HLP'!O23,0))</f>
        <v>235</v>
      </c>
      <c r="J21" s="276">
        <v>100</v>
      </c>
      <c r="K21" s="281">
        <f>Occupancy!G21</f>
        <v>152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2</v>
      </c>
      <c r="D22" s="274">
        <v>2023</v>
      </c>
      <c r="E22" s="275">
        <f>(IF('Daily HLP'!H24&gt;0,'Daily HLP'!H24,0))</f>
        <v>24854</v>
      </c>
      <c r="F22" s="276">
        <v>10</v>
      </c>
      <c r="G22" s="276">
        <f>(IF('Daily HLP'!L24&gt;0,'Daily HLP'!L24,0))</f>
        <v>1216</v>
      </c>
      <c r="H22" s="276">
        <v>66</v>
      </c>
      <c r="I22" s="276">
        <f>(IF('Daily HLP'!O24&gt;0,'Daily HLP'!O24,0))</f>
        <v>258</v>
      </c>
      <c r="J22" s="276">
        <v>100</v>
      </c>
      <c r="K22" s="281">
        <f>Occupancy!G22</f>
        <v>144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2</v>
      </c>
      <c r="D23" s="274">
        <v>2023</v>
      </c>
      <c r="E23" s="275">
        <f>(IF('Daily HLP'!H25&gt;0,'Daily HLP'!H25,0))</f>
        <v>26019</v>
      </c>
      <c r="F23" s="276">
        <v>10</v>
      </c>
      <c r="G23" s="276">
        <f>(IF('Daily HLP'!L25&gt;0,'Daily HLP'!L25,0))</f>
        <v>1149</v>
      </c>
      <c r="H23" s="276">
        <v>66</v>
      </c>
      <c r="I23" s="276">
        <f>(IF('Daily HLP'!O25&gt;0,'Daily HLP'!O25,0))</f>
        <v>260</v>
      </c>
      <c r="J23" s="276">
        <v>100</v>
      </c>
      <c r="K23" s="281">
        <f>Occupancy!G23</f>
        <v>135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2</v>
      </c>
      <c r="D24" s="274">
        <v>2023</v>
      </c>
      <c r="E24" s="275">
        <f>(IF('Daily HLP'!H26&gt;0,'Daily HLP'!H26,0))</f>
        <v>24414</v>
      </c>
      <c r="F24" s="276">
        <v>10</v>
      </c>
      <c r="G24" s="276">
        <f>(IF('Daily HLP'!L26&gt;0,'Daily HLP'!L26,0))</f>
        <v>1205</v>
      </c>
      <c r="H24" s="276">
        <v>66</v>
      </c>
      <c r="I24" s="276">
        <f>(IF('Daily HLP'!O26&gt;0,'Daily HLP'!O26,0))</f>
        <v>393</v>
      </c>
      <c r="J24" s="276">
        <v>100</v>
      </c>
      <c r="K24" s="281">
        <f>Occupancy!G24</f>
        <v>141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2</v>
      </c>
      <c r="D25" s="274">
        <v>2023</v>
      </c>
      <c r="E25" s="275">
        <f>(IF('Daily HLP'!H27&gt;0,'Daily HLP'!H27,0))</f>
        <v>24656.630000000005</v>
      </c>
      <c r="F25" s="276">
        <v>10</v>
      </c>
      <c r="G25" s="276">
        <f>(IF('Daily HLP'!L27&gt;0,'Daily HLP'!L27,0))</f>
        <v>1149</v>
      </c>
      <c r="H25" s="276">
        <v>66</v>
      </c>
      <c r="I25" s="276">
        <f>(IF('Daily HLP'!O27&gt;0,'Daily HLP'!O27,0))</f>
        <v>433</v>
      </c>
      <c r="J25" s="276">
        <v>100</v>
      </c>
      <c r="K25" s="281">
        <f>Occupancy!G25</f>
        <v>155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2</v>
      </c>
      <c r="D26" s="274">
        <v>2023</v>
      </c>
      <c r="E26" s="275">
        <f>(IF('Daily HLP'!H28&gt;0,'Daily HLP'!H28,0))</f>
        <v>22396.960000000021</v>
      </c>
      <c r="F26" s="276">
        <v>10</v>
      </c>
      <c r="G26" s="276">
        <f>(IF('Daily HLP'!L28&gt;0,'Daily HLP'!L28,0))</f>
        <v>1179</v>
      </c>
      <c r="H26" s="276">
        <v>66</v>
      </c>
      <c r="I26" s="276">
        <f>(IF('Daily HLP'!O28&gt;0,'Daily HLP'!O28,0))</f>
        <v>371</v>
      </c>
      <c r="J26" s="276">
        <v>100</v>
      </c>
      <c r="K26" s="281">
        <f>Occupancy!G26</f>
        <v>158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2</v>
      </c>
      <c r="D27" s="274">
        <v>2023</v>
      </c>
      <c r="E27" s="275">
        <f>(IF('Daily HLP'!H29&gt;0,'Daily HLP'!H29,0))</f>
        <v>22752.199999999953</v>
      </c>
      <c r="F27" s="276">
        <v>10</v>
      </c>
      <c r="G27" s="276">
        <f>(IF('Daily HLP'!L29&gt;0,'Daily HLP'!L29,0))</f>
        <v>1200</v>
      </c>
      <c r="H27" s="276">
        <v>66</v>
      </c>
      <c r="I27" s="276">
        <f>(IF('Daily HLP'!O29&gt;0,'Daily HLP'!O29,0))</f>
        <v>338</v>
      </c>
      <c r="J27" s="276">
        <v>100</v>
      </c>
      <c r="K27" s="281">
        <f>Occupancy!G27</f>
        <v>151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2</v>
      </c>
      <c r="D28" s="274">
        <v>2023</v>
      </c>
      <c r="E28" s="275">
        <f>(IF('Daily HLP'!H30&gt;0,'Daily HLP'!H30,0))</f>
        <v>22562.160000000033</v>
      </c>
      <c r="F28" s="276">
        <v>10</v>
      </c>
      <c r="G28" s="276">
        <f>(IF('Daily HLP'!L30&gt;0,'Daily HLP'!L30,0))</f>
        <v>1170</v>
      </c>
      <c r="H28" s="276">
        <v>66</v>
      </c>
      <c r="I28" s="276">
        <f>(IF('Daily HLP'!O30&gt;0,'Daily HLP'!O30,0))</f>
        <v>262</v>
      </c>
      <c r="J28" s="276">
        <v>100</v>
      </c>
      <c r="K28" s="281">
        <f>Occupancy!G28</f>
        <v>161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2</v>
      </c>
      <c r="D29" s="274">
        <v>2023</v>
      </c>
      <c r="E29" s="275">
        <f>(IF('Daily HLP'!H31&gt;0,'Daily HLP'!H31,0))</f>
        <v>22679.049999999988</v>
      </c>
      <c r="F29" s="276">
        <v>10</v>
      </c>
      <c r="G29" s="276">
        <f>(IF('Daily HLP'!L31&gt;0,'Daily HLP'!L31,0))</f>
        <v>1186</v>
      </c>
      <c r="H29" s="276">
        <v>66</v>
      </c>
      <c r="I29" s="276">
        <f>(IF('Daily HLP'!O31&gt;0,'Daily HLP'!O31,0))</f>
        <v>202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2</v>
      </c>
      <c r="D30" s="274">
        <v>2023</v>
      </c>
      <c r="F30" s="276"/>
      <c r="G30" s="276"/>
      <c r="H30" s="276"/>
      <c r="I30" s="276"/>
      <c r="J30" s="276"/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2</v>
      </c>
      <c r="D31" s="274">
        <v>2023</v>
      </c>
      <c r="F31" s="276"/>
      <c r="G31" s="276"/>
      <c r="H31" s="276"/>
      <c r="I31" s="276"/>
      <c r="J31" s="276"/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2</v>
      </c>
      <c r="D32" s="274">
        <v>2023</v>
      </c>
      <c r="F32" s="276"/>
      <c r="G32" s="276"/>
      <c r="H32" s="276"/>
      <c r="I32" s="276"/>
      <c r="J32" s="276"/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8" sqref="C28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2</v>
      </c>
      <c r="D2" s="288">
        <v>2023</v>
      </c>
      <c r="E2" s="294">
        <f>(IF('Section Load'!F5&gt;0,'Section Load'!F5,0))</f>
        <v>3155</v>
      </c>
      <c r="F2" s="294">
        <f>(IF('Section Load'!G5&gt;0,'Section Load'!G5,0))</f>
        <v>1493.4400000000023</v>
      </c>
      <c r="G2" s="294">
        <f>(IF('Section Load'!H5&gt;0,'Section Load'!H5,0))</f>
        <v>2665</v>
      </c>
      <c r="H2" s="294">
        <f>(IF('Section Load'!I5&gt;0,'Section Load'!I5,0))</f>
        <v>2949</v>
      </c>
      <c r="I2" s="294">
        <f>(IF('Section Load'!J5&gt;0,'Section Load'!J5,0))</f>
        <v>5272.359999999986</v>
      </c>
      <c r="J2" s="294">
        <f>(IF('Section Load'!K5&gt;0,'Section Load'!K5,0))</f>
        <v>2516</v>
      </c>
      <c r="K2" s="294">
        <f>(IF('Section Load'!L5&gt;0,'Section Load'!L5,0))</f>
        <v>1254</v>
      </c>
      <c r="L2" s="294">
        <f>(IF('Section Load'!M5&gt;0,'Section Load'!M5,0))</f>
        <v>1049</v>
      </c>
      <c r="M2" s="294">
        <f>(IF('Section Load'!N5&gt;0,'Section Load'!N5,0))</f>
        <v>100</v>
      </c>
      <c r="N2" s="294">
        <f>(IF('Section Load'!O5&gt;0,'Section Load'!O5,0))</f>
        <v>134</v>
      </c>
      <c r="O2" s="294">
        <f>(IF('Section Load'!P5&gt;0,'Section Load'!P5,0))</f>
        <v>33</v>
      </c>
      <c r="P2" s="294">
        <f>(IF('Section Load'!Q5&gt;0,'Section Load'!Q5,0))</f>
        <v>245</v>
      </c>
      <c r="Q2" s="294">
        <f>(IF('Section Load'!R5&gt;0,'Section Load'!R5,0))</f>
        <v>109</v>
      </c>
      <c r="R2" s="294">
        <f>(IF('Section Load'!S5&gt;0,'Section Load'!S5,0))</f>
        <v>164</v>
      </c>
      <c r="S2" s="294">
        <f>(IF('Section Load'!T5&gt;0,'Section Load'!T5,0))</f>
        <v>42</v>
      </c>
      <c r="T2" s="294">
        <f>(IF('Section Load'!U5&gt;0,'Section Load'!U5,0))</f>
        <v>375</v>
      </c>
      <c r="U2" s="294">
        <f>(IF('Section Load'!V5&gt;0,'Section Load'!V5,0))</f>
        <v>388.11999999999534</v>
      </c>
      <c r="V2" s="294">
        <f>(IF('Section Load'!W5&gt;0,'Section Load'!W5,0))</f>
        <v>365.76000000000931</v>
      </c>
      <c r="W2" s="294">
        <f>(IF('Section Load'!X5&gt;0,'Section Load'!X5,0))</f>
        <v>34</v>
      </c>
      <c r="X2" s="294">
        <f>(IF('Section Load'!Y5&gt;0,'Section Load'!Y5,0))</f>
        <v>254.17999999999302</v>
      </c>
      <c r="Y2" s="294">
        <f>(IF('Section Load'!Z5&gt;0,'Section Load'!Z5,0))</f>
        <v>301</v>
      </c>
      <c r="Z2" s="294">
        <f>(IF('Section Load'!AA5&gt;0,'Section Load'!AA5,0))</f>
        <v>177</v>
      </c>
      <c r="AA2" s="294">
        <f>(IF('Section Load'!AB5&gt;0,'Section Load'!AB5,0))</f>
        <v>40</v>
      </c>
      <c r="AB2" s="294">
        <f>(IF('Section Load'!AC5&gt;0,'Section Load'!AC5,0))</f>
        <v>0</v>
      </c>
      <c r="AC2" s="294">
        <f>(IF('Section Load'!AD5&gt;0,'Section Load'!AD5,0))</f>
        <v>3</v>
      </c>
      <c r="AD2" s="294">
        <f>(IF('Section Load'!AE5&gt;0,'Section Load'!AE5,0))</f>
        <v>561</v>
      </c>
      <c r="AE2" s="294">
        <f>(IF('Section Load'!AF5&gt;0,'Section Load'!AF5,0))</f>
        <v>276.60099999999511</v>
      </c>
      <c r="AF2" s="294">
        <f>(IF('Section Load'!AG5&gt;0,'Section Load'!AG5,0))</f>
        <v>677.47000000000116</v>
      </c>
      <c r="AG2" s="294">
        <f>(IF('Section Load'!AH5&gt;0,'Section Load'!AH5,0))</f>
        <v>37</v>
      </c>
      <c r="AH2" s="294">
        <f>(IF('Section Load'!AI5&gt;0,'Section Load'!AI5,0))</f>
        <v>367</v>
      </c>
      <c r="AI2" s="294">
        <f>(IF('Section Load'!AJ5&gt;0,'Section Load'!AJ5,0))</f>
        <v>448</v>
      </c>
      <c r="AJ2" s="294">
        <f>(IF('Section Load'!AK5&gt;0,'Section Load'!AK5,0))</f>
        <v>297</v>
      </c>
      <c r="AK2" s="294">
        <f>(IF('Section Load'!AL5&gt;0,'Section Load'!AL5,0))</f>
        <v>315</v>
      </c>
      <c r="AL2" s="294">
        <f>(IF('Section Load'!AM5&gt;0,'Section Load'!AM5,0))</f>
        <v>507</v>
      </c>
      <c r="AM2" s="295">
        <f>(IF('Water Report'!$D$7&gt;0,'Water Report'!$D$7,0))</f>
        <v>119</v>
      </c>
      <c r="AN2" s="295">
        <f>(IF('Water Report'!$D$8&gt;0,'Water Report'!$D$8,0))</f>
        <v>143</v>
      </c>
      <c r="AO2" s="295">
        <f>(IF('Water Report'!$D$9&gt;0,'Water Report'!$D$9,0))</f>
        <v>129</v>
      </c>
      <c r="AP2" s="295">
        <f>(IF('Water Report'!$D$10&gt;0,'Water Report'!$D$10,0))</f>
        <v>29</v>
      </c>
      <c r="AQ2" s="295">
        <f>(IF('Water Report'!$D$11&gt;0,'Water Report'!$D$11,0))</f>
        <v>7</v>
      </c>
      <c r="AR2" s="295">
        <f>(IF('Water Report'!$D$13&gt;0,'Water Report'!$D$13,0))</f>
        <v>15</v>
      </c>
      <c r="AS2" s="295">
        <f>(IF('Water Report'!$D$14&gt;0,'Water Report'!$D$14,0))</f>
        <v>5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14</v>
      </c>
      <c r="AX2" s="301">
        <f>(IF('Water Report'!$D$21&gt;0,'Water Report'!$D$21,0))</f>
        <v>154</v>
      </c>
      <c r="AY2" s="301">
        <f>(IF('Water Report'!$D$22&gt;0,'Water Report'!$D$22,0))</f>
        <v>0</v>
      </c>
      <c r="AZ2" s="301">
        <f>(IF('Water Report'!$D$23&gt;0,'Water Report'!$D$23,0))</f>
        <v>7</v>
      </c>
      <c r="BA2" s="301">
        <f>(IF('Water Report'!$D$14&gt;0,'Water Report'!$D$14,0))</f>
        <v>5</v>
      </c>
      <c r="BB2" s="301">
        <f>(IF('Water Report'!$D$15&gt;0,'Water Report'!$D$15,0))</f>
        <v>8</v>
      </c>
      <c r="BC2" s="301">
        <f>(IF('Water Report'!$D$13&gt;0,'Water Report'!$D$13,0))</f>
        <v>15</v>
      </c>
      <c r="BD2" s="301">
        <f>(IF('Water Report'!$D$24&gt;0,'Water Report'!$D$24,0))</f>
        <v>222</v>
      </c>
      <c r="BE2" s="301">
        <f>(IF('Water Report'!$D$25&gt;0,'Water Report'!$D$25,0))</f>
        <v>178</v>
      </c>
      <c r="BF2" s="301">
        <f>(IF('Water Report'!$D$27&gt;0,'Water Report'!$D$27,0))</f>
        <v>176</v>
      </c>
      <c r="BG2" s="296">
        <f>(IF('Section Load'!AN5&gt;0,'Section Load'!AN5,0))</f>
        <v>1161.285000000149</v>
      </c>
      <c r="BH2" s="296">
        <f>(IF('Section Load'!AO5&gt;0,'Section Load'!AO5,0))</f>
        <v>370</v>
      </c>
      <c r="BI2" s="296">
        <f>(IF('Section Load'!AP5&gt;0,'Section Load'!AP5,0))</f>
        <v>0</v>
      </c>
      <c r="BJ2" s="296">
        <f>(IF('Section Load'!AQ5&gt;0,'Section Load'!AQ5,0))</f>
        <v>129</v>
      </c>
      <c r="BK2" s="296">
        <f>(IF('Section Load'!AR5&gt;0,'Section Load'!AR5,0))</f>
        <v>51</v>
      </c>
      <c r="BL2" s="296">
        <f>(IF('Section Load'!AS5&gt;0,'Section Load'!AS5,0))</f>
        <v>0</v>
      </c>
      <c r="BM2" s="296">
        <f>(IF('Section Load'!AT5&gt;0,'Section Load'!AT5,0))</f>
        <v>611.28500000014901</v>
      </c>
    </row>
    <row r="3" spans="1:65">
      <c r="A3" s="287" t="s">
        <v>268</v>
      </c>
      <c r="B3" s="288">
        <f>B2+1</f>
        <v>2</v>
      </c>
      <c r="C3" s="288">
        <v>2</v>
      </c>
      <c r="D3" s="288">
        <v>2023</v>
      </c>
      <c r="E3" s="294">
        <f>(IF('Section Load'!F6&gt;0,'Section Load'!F6,0))</f>
        <v>3052.7099999999627</v>
      </c>
      <c r="F3" s="294">
        <f>(IF('Section Load'!G6&gt;0,'Section Load'!G6,0))</f>
        <v>1444.9599999999627</v>
      </c>
      <c r="G3" s="294">
        <f>(IF('Section Load'!H6&gt;0,'Section Load'!H6,0))</f>
        <v>2647.5699999999488</v>
      </c>
      <c r="H3" s="294">
        <f>(IF('Section Load'!I6&gt;0,'Section Load'!I6,0))</f>
        <v>2798.1899999999441</v>
      </c>
      <c r="I3" s="294">
        <f>(IF('Section Load'!J6&gt;0,'Section Load'!J6,0))</f>
        <v>4638.1900000000023</v>
      </c>
      <c r="J3" s="294">
        <f>(IF('Section Load'!K6&gt;0,'Section Load'!K6,0))</f>
        <v>2483.9899999999907</v>
      </c>
      <c r="K3" s="294">
        <f>(IF('Section Load'!L6&gt;0,'Section Load'!L6,0))</f>
        <v>1293.390000000014</v>
      </c>
      <c r="L3" s="294">
        <f>(IF('Section Load'!M6&gt;0,'Section Load'!M6,0))</f>
        <v>1009</v>
      </c>
      <c r="M3" s="294">
        <f>(IF('Section Load'!N6&gt;0,'Section Load'!N6,0))</f>
        <v>128</v>
      </c>
      <c r="N3" s="294">
        <f>(IF('Section Load'!O6&gt;0,'Section Load'!O6,0))</f>
        <v>160</v>
      </c>
      <c r="O3" s="294">
        <f>(IF('Section Load'!P6&gt;0,'Section Load'!P6,0))</f>
        <v>31.177499999999782</v>
      </c>
      <c r="P3" s="294">
        <f>(IF('Section Load'!Q6&gt;0,'Section Load'!Q6,0))</f>
        <v>222.36999999999534</v>
      </c>
      <c r="Q3" s="294">
        <f>(IF('Section Load'!R6&gt;0,'Section Load'!R6,0))</f>
        <v>98.900000000001455</v>
      </c>
      <c r="R3" s="294">
        <f>(IF('Section Load'!S6&gt;0,'Section Load'!S6,0))</f>
        <v>258</v>
      </c>
      <c r="S3" s="294">
        <f>(IF('Section Load'!T6&gt;0,'Section Load'!T6,0))</f>
        <v>37</v>
      </c>
      <c r="T3" s="294">
        <f>(IF('Section Load'!U6&gt;0,'Section Load'!U6,0))</f>
        <v>165</v>
      </c>
      <c r="U3" s="294">
        <f>(IF('Section Load'!V6&gt;0,'Section Load'!V6,0))</f>
        <v>377.64000000001397</v>
      </c>
      <c r="V3" s="294">
        <f>(IF('Section Load'!W6&gt;0,'Section Load'!W6,0))</f>
        <v>386.07999999995809</v>
      </c>
      <c r="W3" s="294">
        <f>(IF('Section Load'!X6&gt;0,'Section Load'!X6,0))</f>
        <v>34</v>
      </c>
      <c r="X3" s="294">
        <f>(IF('Section Load'!Y6&gt;0,'Section Load'!Y6,0))</f>
        <v>245.4600000000064</v>
      </c>
      <c r="Y3" s="294">
        <f>(IF('Section Load'!Z6&gt;0,'Section Load'!Z6,0))</f>
        <v>304</v>
      </c>
      <c r="Z3" s="294">
        <f>(IF('Section Load'!AA6&gt;0,'Section Load'!AA6,0))</f>
        <v>236</v>
      </c>
      <c r="AA3" s="294">
        <f>(IF('Section Load'!AB6&gt;0,'Section Load'!AB6,0))</f>
        <v>40</v>
      </c>
      <c r="AB3" s="294">
        <f>(IF('Section Load'!AC6&gt;0,'Section Load'!AC6,0))</f>
        <v>0</v>
      </c>
      <c r="AC3" s="294">
        <f>(IF('Section Load'!AD6&gt;0,'Section Load'!AD6,0))</f>
        <v>6.5</v>
      </c>
      <c r="AD3" s="294">
        <f>(IF('Section Load'!AE6&gt;0,'Section Load'!AE6,0))</f>
        <v>473</v>
      </c>
      <c r="AE3" s="294">
        <f>(IF('Section Load'!AF6&gt;0,'Section Load'!AF6,0))</f>
        <v>276</v>
      </c>
      <c r="AF3" s="294">
        <f>(IF('Section Load'!AG6&gt;0,'Section Load'!AG6,0))</f>
        <v>683</v>
      </c>
      <c r="AG3" s="294">
        <f>(IF('Section Load'!AH6&gt;0,'Section Load'!AH6,0))</f>
        <v>36.940000000002328</v>
      </c>
      <c r="AH3" s="294">
        <f>(IF('Section Load'!AI6&gt;0,'Section Load'!AI6,0))</f>
        <v>377.44000000000233</v>
      </c>
      <c r="AI3" s="294">
        <f>(IF('Section Load'!AJ6&gt;0,'Section Load'!AJ6,0))</f>
        <v>438</v>
      </c>
      <c r="AJ3" s="294">
        <f>(IF('Section Load'!AK6&gt;0,'Section Load'!AK6,0))</f>
        <v>281</v>
      </c>
      <c r="AK3" s="294">
        <f>(IF('Section Load'!AL6&gt;0,'Section Load'!AL6,0))</f>
        <v>298</v>
      </c>
      <c r="AL3" s="294">
        <f>(IF('Section Load'!AM6&gt;0,'Section Load'!AM6,0))</f>
        <v>582</v>
      </c>
      <c r="AM3" s="295">
        <f>(IF('Water Report'!$E$7&gt;0,'Water Report'!$E$7,0))</f>
        <v>129</v>
      </c>
      <c r="AN3" s="295">
        <f>(IF('Water Report'!$E$8&gt;0,'Water Report'!$E$8,0))</f>
        <v>74</v>
      </c>
      <c r="AO3" s="295">
        <f>(IF('Water Report'!$E$9&gt;0,'Water Report'!$E$9,0))</f>
        <v>142</v>
      </c>
      <c r="AP3" s="295">
        <f>(IF('Water Report'!$E$10&gt;0,'Water Report'!$E$10,0))</f>
        <v>15</v>
      </c>
      <c r="AQ3" s="295">
        <f>(IF('Water Report'!$E$11&gt;0,'Water Report'!$E$11,0))</f>
        <v>16</v>
      </c>
      <c r="AR3" s="295">
        <f>(IF('Water Report'!$E$13&gt;0,'Water Report'!$E$13,0))</f>
        <v>15</v>
      </c>
      <c r="AS3" s="295">
        <f>(IF('Water Report'!$E$14&gt;0,'Water Report'!$E$14,0))</f>
        <v>6</v>
      </c>
      <c r="AT3" s="295">
        <f>(IF('Water Report'!$E$15&gt;0,'Water Report'!$E$15,0))</f>
        <v>7</v>
      </c>
      <c r="AU3" s="295">
        <f>(IF('Water Report'!$E$17&gt;0,'Water Report'!$E$17,0))</f>
        <v>2</v>
      </c>
      <c r="AV3" s="295">
        <f>(IF('Water Report'!$E$18&gt;0,'Water Report'!$E$18,0))</f>
        <v>9</v>
      </c>
      <c r="AW3" s="295">
        <f>(IF('Water Report'!$E$19&gt;0,'Water Report'!$E$19,0))</f>
        <v>12</v>
      </c>
      <c r="AX3" s="301">
        <f>(IF('Water Report'!$E$21&gt;0,'Water Report'!$E$21,0))</f>
        <v>116</v>
      </c>
      <c r="AY3" s="301">
        <f>(IF('Water Report'!$E$22&gt;0,'Water Report'!$E$22,0))</f>
        <v>0</v>
      </c>
      <c r="AZ3" s="301">
        <f>(IF('Water Report'!$E$23&gt;0,'Water Report'!$E$23,0))</f>
        <v>3</v>
      </c>
      <c r="BA3" s="301">
        <f>(IF('Water Report'!$E$14&gt;0,'Water Report'!$E$14,0))</f>
        <v>6</v>
      </c>
      <c r="BB3" s="301">
        <f>(IF('Water Report'!$E$15&gt;0,'Water Report'!$E$15,0))</f>
        <v>7</v>
      </c>
      <c r="BC3" s="301">
        <f>(IF('Water Report'!$E$13&gt;0,'Water Report'!$E$13,0))</f>
        <v>15</v>
      </c>
      <c r="BD3" s="301">
        <f>(IF('Water Report'!$E$24&gt;0,'Water Report'!$E$24,0))</f>
        <v>249</v>
      </c>
      <c r="BE3" s="301">
        <f>(IF('Water Report'!$E$25&gt;0,'Water Report'!$E$25,0))</f>
        <v>186</v>
      </c>
      <c r="BF3" s="301">
        <f>(IF('Water Report'!$E$27&gt;0,'Water Report'!$E$27,0))</f>
        <v>134</v>
      </c>
      <c r="BG3" s="296">
        <f>(IF('Section Load'!AN6&gt;0,'Section Load'!AN6,0))</f>
        <v>1083</v>
      </c>
      <c r="BH3" s="296">
        <f>(IF('Section Load'!AO6&gt;0,'Section Load'!AO6,0))</f>
        <v>293</v>
      </c>
      <c r="BI3" s="296">
        <f>(IF('Section Load'!AP6&gt;0,'Section Load'!AP6,0))</f>
        <v>0</v>
      </c>
      <c r="BJ3" s="296">
        <f>(IF('Section Load'!AQ6&gt;0,'Section Load'!AQ6,0))</f>
        <v>111</v>
      </c>
      <c r="BK3" s="296">
        <f>(IF('Section Load'!AR6&gt;0,'Section Load'!AR6,0))</f>
        <v>43</v>
      </c>
      <c r="BL3" s="296">
        <f>(IF('Section Load'!AS6&gt;0,'Section Load'!AS6,0))</f>
        <v>0</v>
      </c>
      <c r="BM3" s="296">
        <f>(IF('Section Load'!AT6&gt;0,'Section Load'!AT6,0))</f>
        <v>636</v>
      </c>
    </row>
    <row r="4" spans="1:65">
      <c r="A4" s="287" t="s">
        <v>268</v>
      </c>
      <c r="B4" s="288">
        <f t="shared" ref="B4:B32" si="0">B3+1</f>
        <v>3</v>
      </c>
      <c r="C4" s="288">
        <v>2</v>
      </c>
      <c r="D4" s="288">
        <v>2023</v>
      </c>
      <c r="E4" s="294">
        <f>(IF('Section Load'!F7&gt;0,'Section Load'!F7,0))</f>
        <v>2999.2900000000373</v>
      </c>
      <c r="F4" s="294">
        <f>(IF('Section Load'!G7&gt;0,'Section Load'!G7,0))</f>
        <v>1455.0300000000279</v>
      </c>
      <c r="G4" s="294">
        <f>(IF('Section Load'!H7&gt;0,'Section Load'!H7,0))</f>
        <v>2822.4300000000512</v>
      </c>
      <c r="H4" s="294">
        <f>(IF('Section Load'!I7&gt;0,'Section Load'!I7,0))</f>
        <v>2880.2299999999814</v>
      </c>
      <c r="I4" s="294">
        <f>(IF('Section Load'!J7&gt;0,'Section Load'!J7,0))</f>
        <v>3320.9999999999418</v>
      </c>
      <c r="J4" s="294">
        <f>(IF('Section Load'!K7&gt;0,'Section Load'!K7,0))</f>
        <v>2638.0100000000093</v>
      </c>
      <c r="K4" s="294">
        <f>(IF('Section Load'!L7&gt;0,'Section Load'!L7,0))</f>
        <v>1949.6799999999348</v>
      </c>
      <c r="L4" s="294">
        <f>(IF('Section Load'!M7&gt;0,'Section Load'!M7,0))</f>
        <v>1123.9000000000233</v>
      </c>
      <c r="M4" s="294">
        <f>(IF('Section Load'!N7&gt;0,'Section Load'!N7,0))</f>
        <v>133</v>
      </c>
      <c r="N4" s="294">
        <f>(IF('Section Load'!O7&gt;0,'Section Load'!O7,0))</f>
        <v>180</v>
      </c>
      <c r="O4" s="294">
        <f>(IF('Section Load'!P7&gt;0,'Section Load'!P7,0))</f>
        <v>30.822500000000218</v>
      </c>
      <c r="P4" s="294">
        <f>(IF('Section Load'!Q7&gt;0,'Section Load'!Q7,0))</f>
        <v>237.63000000000466</v>
      </c>
      <c r="Q4" s="294">
        <f>(IF('Section Load'!R7&gt;0,'Section Load'!R7,0))</f>
        <v>99.599999999998545</v>
      </c>
      <c r="R4" s="294">
        <f>(IF('Section Load'!S7&gt;0,'Section Load'!S7,0))</f>
        <v>181</v>
      </c>
      <c r="S4" s="294">
        <f>(IF('Section Load'!T7&gt;0,'Section Load'!T7,0))</f>
        <v>55</v>
      </c>
      <c r="T4" s="294">
        <f>(IF('Section Load'!U7&gt;0,'Section Load'!U7,0))</f>
        <v>277</v>
      </c>
      <c r="U4" s="294">
        <f>(IF('Section Load'!V7&gt;0,'Section Load'!V7,0))</f>
        <v>400.79999999993015</v>
      </c>
      <c r="V4" s="294">
        <f>(IF('Section Load'!W7&gt;0,'Section Load'!W7,0))</f>
        <v>339.92000000004191</v>
      </c>
      <c r="W4" s="294">
        <f>(IF('Section Load'!X7&gt;0,'Section Load'!X7,0))</f>
        <v>31.739999999999782</v>
      </c>
      <c r="X4" s="294">
        <f>(IF('Section Load'!Y7&gt;0,'Section Load'!Y7,0))</f>
        <v>244.15999999998894</v>
      </c>
      <c r="Y4" s="294">
        <f>(IF('Section Load'!Z7&gt;0,'Section Load'!Z7,0))</f>
        <v>328</v>
      </c>
      <c r="Z4" s="294">
        <f>(IF('Section Load'!AA7&gt;0,'Section Load'!AA7,0))</f>
        <v>167</v>
      </c>
      <c r="AA4" s="294">
        <f>(IF('Section Load'!AB7&gt;0,'Section Load'!AB7,0))</f>
        <v>39.700000000000045</v>
      </c>
      <c r="AB4" s="294">
        <f>(IF('Section Load'!AC7&gt;0,'Section Load'!AC7,0))</f>
        <v>0</v>
      </c>
      <c r="AC4" s="294">
        <f>(IF('Section Load'!AD7&gt;0,'Section Load'!AD7,0))</f>
        <v>0.5</v>
      </c>
      <c r="AD4" s="294">
        <f>(IF('Section Load'!AE7&gt;0,'Section Load'!AE7,0))</f>
        <v>439</v>
      </c>
      <c r="AE4" s="294">
        <f>(IF('Section Load'!AF7&gt;0,'Section Load'!AF7,0))</f>
        <v>268</v>
      </c>
      <c r="AF4" s="294">
        <f>(IF('Section Load'!AG7&gt;0,'Section Load'!AG7,0))</f>
        <v>710</v>
      </c>
      <c r="AG4" s="294">
        <f>(IF('Section Load'!AH7&gt;0,'Section Load'!AH7,0))</f>
        <v>40.059999999997672</v>
      </c>
      <c r="AH4" s="294">
        <f>(IF('Section Load'!AI7&gt;0,'Section Load'!AI7,0))</f>
        <v>398.66999999999825</v>
      </c>
      <c r="AI4" s="294">
        <f>(IF('Section Load'!AJ7&gt;0,'Section Load'!AJ7,0))</f>
        <v>457.5</v>
      </c>
      <c r="AJ4" s="294">
        <f>(IF('Section Load'!AK7&gt;0,'Section Load'!AK7,0))</f>
        <v>300</v>
      </c>
      <c r="AK4" s="294">
        <f>(IF('Section Load'!AL7&gt;0,'Section Load'!AL7,0))</f>
        <v>311.14299999999639</v>
      </c>
      <c r="AL4" s="294">
        <f>(IF('Section Load'!AM7&gt;0,'Section Load'!AM7,0))</f>
        <v>504</v>
      </c>
      <c r="AM4" s="295">
        <f>(IF('Water Report'!$F$7&gt;0,'Water Report'!$F$7,0))</f>
        <v>129.29999999998836</v>
      </c>
      <c r="AN4" s="295">
        <f>(IF('Water Report'!$F$8&gt;0,'Water Report'!$F$8,0))</f>
        <v>74</v>
      </c>
      <c r="AO4" s="295">
        <f>(IF('Water Report'!$F$9&gt;0,'Water Report'!$G$9,0))</f>
        <v>145</v>
      </c>
      <c r="AP4" s="295">
        <f>(IF('Water Report'!$F$10&gt;0,'Water Report'!$F$10,0))</f>
        <v>17</v>
      </c>
      <c r="AQ4" s="295">
        <f>(IF('Water Report'!$F$11&gt;0,'Water Report'!$F$11,0))</f>
        <v>30</v>
      </c>
      <c r="AR4" s="295">
        <f>(IF('Water Report'!$F$13&gt;0,'Water Report'!$F$13,0))</f>
        <v>20</v>
      </c>
      <c r="AS4" s="295">
        <f>(IF('Water Report'!$F$14&gt;0,'Water Report'!$F$14,0))</f>
        <v>4</v>
      </c>
      <c r="AT4" s="295">
        <f>(IF('Water Report'!$F$15&gt;0,'Water Report'!$F$15,0))</f>
        <v>9</v>
      </c>
      <c r="AU4" s="295">
        <f>(IF('Water Report'!$F$17&gt;0,'Water Report'!$F$17,0))</f>
        <v>2</v>
      </c>
      <c r="AV4" s="295">
        <f>(IF('Water Report'!$F$18&gt;0,'Water Report'!$F$18,0))</f>
        <v>14</v>
      </c>
      <c r="AW4" s="295">
        <f>(IF('Water Report'!$F$19&gt;0,'Water Report'!$F$19,0))</f>
        <v>11</v>
      </c>
      <c r="AX4" s="301">
        <f>(IF('Water Report'!$F$21&gt;0,'Water Report'!$F$21,0))</f>
        <v>121</v>
      </c>
      <c r="AY4" s="301">
        <f>(IF('Water Report'!$F$22&gt;0,'Water Report'!$F$22,0))</f>
        <v>0</v>
      </c>
      <c r="AZ4" s="301">
        <f>(IF('Water Report'!$F$23&gt;0,'Water Report'!$F$23,0))</f>
        <v>6</v>
      </c>
      <c r="BA4" s="301">
        <f>(IF('Water Report'!$F$14&gt;0,'Water Report'!$F$14,0))</f>
        <v>4</v>
      </c>
      <c r="BB4" s="301">
        <f>(IF('Water Report'!$F$15&gt;0,'Water Report'!$F$15,0))</f>
        <v>9</v>
      </c>
      <c r="BC4" s="301">
        <f>(IF('Water Report'!$F$13&gt;0,'Water Report'!$F$13,0))</f>
        <v>20</v>
      </c>
      <c r="BD4" s="301">
        <f>(IF('Water Report'!$F$24&gt;0,'Water Report'!$F$24,0))</f>
        <v>277</v>
      </c>
      <c r="BE4" s="301">
        <f>(IF('Water Report'!$F$25&gt;0,'Water Report'!$F$25,0))</f>
        <v>200</v>
      </c>
      <c r="BF4" s="301">
        <f>(IF('Water Report'!$F$27&gt;0,'Water Report'!$F$27,0))</f>
        <v>147</v>
      </c>
      <c r="BG4" s="296">
        <f>(IF('Section Load'!AN7&gt;0,'Section Load'!AN7,0))</f>
        <v>1112</v>
      </c>
      <c r="BH4" s="296">
        <f>(IF('Section Load'!AO7&gt;0,'Section Load'!AO7,0))</f>
        <v>304</v>
      </c>
      <c r="BI4" s="296">
        <f>(IF('Section Load'!AP7&gt;0,'Section Load'!AP7,0))</f>
        <v>0</v>
      </c>
      <c r="BJ4" s="296">
        <f>(IF('Section Load'!AQ7&gt;0,'Section Load'!AQ7,0))</f>
        <v>101</v>
      </c>
      <c r="BK4" s="296">
        <f>(IF('Section Load'!AR7&gt;0,'Section Load'!AR7,0))</f>
        <v>49</v>
      </c>
      <c r="BL4" s="296">
        <f>(IF('Section Load'!AS7&gt;0,'Section Load'!AS7,0))</f>
        <v>0</v>
      </c>
      <c r="BM4" s="296">
        <f>(IF('Section Load'!AT7&gt;0,'Section Load'!AT7,0))</f>
        <v>658</v>
      </c>
    </row>
    <row r="5" spans="1:65">
      <c r="A5" s="287" t="s">
        <v>268</v>
      </c>
      <c r="B5" s="288">
        <f t="shared" si="0"/>
        <v>4</v>
      </c>
      <c r="C5" s="288">
        <v>2</v>
      </c>
      <c r="D5" s="288">
        <v>2023</v>
      </c>
      <c r="E5" s="294">
        <f>(IF('Section Load'!F8&gt;0,'Section Load'!F8,0))</f>
        <v>2937</v>
      </c>
      <c r="F5" s="294">
        <f>(IF('Section Load'!G8&gt;0,'Section Load'!G8,0))</f>
        <v>1470.570000000007</v>
      </c>
      <c r="G5" s="294">
        <f>(IF('Section Load'!H8&gt;0,'Section Load'!H8,0))</f>
        <v>2762</v>
      </c>
      <c r="H5" s="294">
        <f>(IF('Section Load'!I8&gt;0,'Section Load'!I8,0))</f>
        <v>2818.3400000000838</v>
      </c>
      <c r="I5" s="294">
        <f>(IF('Section Load'!J8&gt;0,'Section Load'!J8,0))</f>
        <v>3150.570000000007</v>
      </c>
      <c r="J5" s="294">
        <f>(IF('Section Load'!K8&gt;0,'Section Load'!K8,0))</f>
        <v>2585</v>
      </c>
      <c r="K5" s="294">
        <f>(IF('Section Load'!L8&gt;0,'Section Load'!L8,0))</f>
        <v>1188.9300000000512</v>
      </c>
      <c r="L5" s="294">
        <f>(IF('Section Load'!M8&gt;0,'Section Load'!M8,0))</f>
        <v>925.09999999997672</v>
      </c>
      <c r="M5" s="294">
        <f>(IF('Section Load'!N8&gt;0,'Section Load'!N8,0))</f>
        <v>133</v>
      </c>
      <c r="N5" s="294">
        <f>(IF('Section Load'!O8&gt;0,'Section Load'!O8,0))</f>
        <v>134</v>
      </c>
      <c r="O5" s="294">
        <f>(IF('Section Load'!P8&gt;0,'Section Load'!P8,0))</f>
        <v>30.979999999999563</v>
      </c>
      <c r="P5" s="294">
        <f>(IF('Section Load'!Q8&gt;0,'Section Load'!Q8,0))</f>
        <v>243</v>
      </c>
      <c r="Q5" s="294">
        <f>(IF('Section Load'!R8&gt;0,'Section Load'!R8,0))</f>
        <v>81.089999999996508</v>
      </c>
      <c r="R5" s="294">
        <f>(IF('Section Load'!S8&gt;0,'Section Load'!S8,0))</f>
        <v>147</v>
      </c>
      <c r="S5" s="294">
        <f>(IF('Section Load'!T8&gt;0,'Section Load'!T8,0))</f>
        <v>67</v>
      </c>
      <c r="T5" s="294">
        <f>(IF('Section Load'!U8&gt;0,'Section Load'!U8,0))</f>
        <v>290</v>
      </c>
      <c r="U5" s="294">
        <f>(IF('Section Load'!V8&gt;0,'Section Load'!V8,0))</f>
        <v>344.80000000004657</v>
      </c>
      <c r="V5" s="294">
        <f>(IF('Section Load'!W8&gt;0,'Section Load'!W8,0))</f>
        <v>342</v>
      </c>
      <c r="W5" s="294">
        <f>(IF('Section Load'!X8&gt;0,'Section Load'!X8,0))</f>
        <v>37.930000000000291</v>
      </c>
      <c r="X5" s="294">
        <f>(IF('Section Load'!Y8&gt;0,'Section Load'!Y8,0))</f>
        <v>253.70000000001164</v>
      </c>
      <c r="Y5" s="294">
        <f>(IF('Section Load'!Z8&gt;0,'Section Load'!Z8,0))</f>
        <v>332</v>
      </c>
      <c r="Z5" s="294">
        <f>(IF('Section Load'!AA8&gt;0,'Section Load'!AA8,0))</f>
        <v>118.15999999997439</v>
      </c>
      <c r="AA5" s="294">
        <f>(IF('Section Load'!AB8&gt;0,'Section Load'!AB8,0))</f>
        <v>32.299999999999955</v>
      </c>
      <c r="AB5" s="294">
        <f>(IF('Section Load'!AC8&gt;0,'Section Load'!AC8,0))</f>
        <v>0</v>
      </c>
      <c r="AC5" s="294">
        <f>(IF('Section Load'!AD8&gt;0,'Section Load'!AD8,0))</f>
        <v>1.3999999999996362</v>
      </c>
      <c r="AD5" s="294">
        <f>(IF('Section Load'!AE8&gt;0,'Section Load'!AE8,0))</f>
        <v>491</v>
      </c>
      <c r="AE5" s="294">
        <f>(IF('Section Load'!AF8&gt;0,'Section Load'!AF8,0))</f>
        <v>269</v>
      </c>
      <c r="AF5" s="294">
        <f>(IF('Section Load'!AG8&gt;0,'Section Load'!AG8,0))</f>
        <v>642</v>
      </c>
      <c r="AG5" s="294">
        <f>(IF('Section Load'!AH8&gt;0,'Section Load'!AH8,0))</f>
        <v>39.209999999999127</v>
      </c>
      <c r="AH5" s="294">
        <f>(IF('Section Load'!AI8&gt;0,'Section Load'!AI8,0))</f>
        <v>398.58000000000175</v>
      </c>
      <c r="AI5" s="294">
        <f>(IF('Section Load'!AJ8&gt;0,'Section Load'!AJ8,0))</f>
        <v>459.5</v>
      </c>
      <c r="AJ5" s="294">
        <f>(IF('Section Load'!AK8&gt;0,'Section Load'!AK8,0))</f>
        <v>301</v>
      </c>
      <c r="AK5" s="294">
        <f>(IF('Section Load'!AL8&gt;0,'Section Load'!AL8,0))</f>
        <v>302.5570000000007</v>
      </c>
      <c r="AL5" s="294">
        <f>(IF('Section Load'!AM8&gt;0,'Section Load'!AM8,0))</f>
        <v>467</v>
      </c>
      <c r="AM5" s="295">
        <f>(IF('Water Report'!$G$7&gt;0,'Water Report'!$F$7,0))</f>
        <v>129.29999999998836</v>
      </c>
      <c r="AN5" s="295">
        <f>(IF('Water Report'!$G$8&gt;0,'Water Report'!$F$8,0))</f>
        <v>74</v>
      </c>
      <c r="AO5" s="295">
        <f>(IF('Water Report'!$G$9&gt;0,'Water Report'!$H$9,0))</f>
        <v>114</v>
      </c>
      <c r="AP5" s="295">
        <f>(IF('Water Report'!$G$10&gt;0,'Water Report'!$G$10,0))</f>
        <v>18</v>
      </c>
      <c r="AQ5" s="295">
        <f>(IF('Water Report'!$G$11&gt;0,'Water Report'!$G$11,0))</f>
        <v>30</v>
      </c>
      <c r="AR5" s="295">
        <f>(IF('Water Report'!$G$13&gt;0,'Water Report'!$G$13,0))</f>
        <v>32</v>
      </c>
      <c r="AS5" s="295">
        <f>(IF('Water Report'!$G$14&gt;0,'Water Report'!$G$14,0))</f>
        <v>3</v>
      </c>
      <c r="AT5" s="295">
        <f>(IF('Water Report'!$G$15&gt;0,'Water Report'!$G$15,0))</f>
        <v>5</v>
      </c>
      <c r="AU5" s="295">
        <f>(IF('Water Report'!$G$17&gt;0,'Water Report'!$G$17,0))</f>
        <v>2</v>
      </c>
      <c r="AV5" s="295">
        <f>(IF('Water Report'!$G$18&gt;0,'Water Report'!$G$18,0))</f>
        <v>9</v>
      </c>
      <c r="AW5" s="295">
        <f>(IF('Water Report'!$G$19&gt;0,'Water Report'!$G$19,0))</f>
        <v>4</v>
      </c>
      <c r="AX5" s="301">
        <f>(IF('Water Report'!$G$21&gt;0,'Water Report'!$G$21,0))</f>
        <v>143</v>
      </c>
      <c r="AY5" s="301">
        <f>(IF('Water Report'!$G$22&gt;0,'Water Report'!$G$22,0))</f>
        <v>0</v>
      </c>
      <c r="AZ5" s="301">
        <f>(IF('Water Report'!$G$23&gt;0,'Water Report'!$G$23,0))</f>
        <v>10</v>
      </c>
      <c r="BA5" s="301">
        <f>(IF('Water Report'!$G$14&gt;0,'Water Report'!$G$14,0))</f>
        <v>3</v>
      </c>
      <c r="BB5" s="301">
        <f>(IF('Water Report'!$G$15&gt;0,'Water Report'!$G$15,0))</f>
        <v>5</v>
      </c>
      <c r="BC5" s="301">
        <f>(IF('Water Report'!$G$13&gt;0,'Water Report'!$G$13,0))</f>
        <v>32</v>
      </c>
      <c r="BD5" s="301">
        <f>(IF('Water Report'!$G$24&gt;0,'Water Report'!$G$24,0))</f>
        <v>265</v>
      </c>
      <c r="BE5" s="301">
        <f>(IF('Water Report'!$G$25&gt;0,'Water Report'!$G$25,0))</f>
        <v>201</v>
      </c>
      <c r="BF5" s="301">
        <f>(IF('Water Report'!$G$27&gt;0,'Water Report'!$G$27,0))</f>
        <v>185</v>
      </c>
      <c r="BG5" s="296">
        <f>(IF('Section Load'!AN8&gt;0,'Section Load'!AN8,0))</f>
        <v>1150</v>
      </c>
      <c r="BH5" s="296">
        <f>(IF('Section Load'!AO8&gt;0,'Section Load'!AO8,0))</f>
        <v>305</v>
      </c>
      <c r="BI5" s="296">
        <f>(IF('Section Load'!AP8&gt;0,'Section Load'!AP8,0))</f>
        <v>0</v>
      </c>
      <c r="BJ5" s="296">
        <f>(IF('Section Load'!AQ8&gt;0,'Section Load'!AQ8,0))</f>
        <v>116</v>
      </c>
      <c r="BK5" s="296">
        <f>(IF('Section Load'!AR8&gt;0,'Section Load'!AR8,0))</f>
        <v>54</v>
      </c>
      <c r="BL5" s="296">
        <f>(IF('Section Load'!AS8&gt;0,'Section Load'!AS8,0))</f>
        <v>0</v>
      </c>
      <c r="BM5" s="296">
        <f>(IF('Section Load'!AT8&gt;0,'Section Load'!AT8,0))</f>
        <v>675</v>
      </c>
    </row>
    <row r="6" spans="1:65">
      <c r="A6" s="287" t="s">
        <v>268</v>
      </c>
      <c r="B6" s="288">
        <f t="shared" si="0"/>
        <v>5</v>
      </c>
      <c r="C6" s="288">
        <v>2</v>
      </c>
      <c r="D6" s="288">
        <v>2023</v>
      </c>
      <c r="E6" s="294">
        <f>(IF('Section Load'!F9&gt;0,'Section Load'!F9,0))</f>
        <v>3086.8299999999581</v>
      </c>
      <c r="F6" s="294">
        <f>(IF('Section Load'!G9&gt;0,'Section Load'!G9,0))</f>
        <v>1511</v>
      </c>
      <c r="G6" s="294">
        <f>(IF('Section Load'!H9&gt;0,'Section Load'!H9,0))</f>
        <v>2739.4300000000003</v>
      </c>
      <c r="H6" s="294">
        <f>(IF('Section Load'!I9&gt;0,'Section Load'!I9,0))</f>
        <v>2837.2099999999627</v>
      </c>
      <c r="I6" s="294">
        <f>(IF('Section Load'!J9&gt;0,'Section Load'!J9,0))</f>
        <v>3609.8400000000256</v>
      </c>
      <c r="J6" s="294">
        <f>(IF('Section Load'!K9&gt;0,'Section Load'!K9,0))</f>
        <v>2660</v>
      </c>
      <c r="K6" s="294">
        <f>(IF('Section Load'!L9&gt;0,'Section Load'!L9,0))</f>
        <v>1129.359999999986</v>
      </c>
      <c r="L6" s="294">
        <f>(IF('Section Load'!M9&gt;0,'Section Load'!M9,0))</f>
        <v>1036.5900000000256</v>
      </c>
      <c r="M6" s="294">
        <f>(IF('Section Load'!N9&gt;0,'Section Load'!N9,0))</f>
        <v>96</v>
      </c>
      <c r="N6" s="294">
        <f>(IF('Section Load'!O9&gt;0,'Section Load'!O9,0))</f>
        <v>138</v>
      </c>
      <c r="O6" s="294">
        <f>(IF('Section Load'!P9&gt;0,'Section Load'!P9,0))</f>
        <v>31.230000000000473</v>
      </c>
      <c r="P6" s="294">
        <f>(IF('Section Load'!Q9&gt;0,'Section Load'!Q9,0))</f>
        <v>264</v>
      </c>
      <c r="Q6" s="294">
        <f>(IF('Section Load'!R9&gt;0,'Section Load'!R9,0))</f>
        <v>82.410000000003492</v>
      </c>
      <c r="R6" s="294">
        <f>(IF('Section Load'!S9&gt;0,'Section Load'!S9,0))</f>
        <v>317</v>
      </c>
      <c r="S6" s="294">
        <f>(IF('Section Load'!T9&gt;0,'Section Load'!T9,0))</f>
        <v>38</v>
      </c>
      <c r="T6" s="294">
        <f>(IF('Section Load'!U9&gt;0,'Section Load'!U9,0))</f>
        <v>281</v>
      </c>
      <c r="U6" s="294">
        <f>(IF('Section Load'!V9&gt;0,'Section Load'!V9,0))</f>
        <v>367.52000000001863</v>
      </c>
      <c r="V6" s="294">
        <f>(IF('Section Load'!W9&gt;0,'Section Load'!W9,0))</f>
        <v>326.40000000002328</v>
      </c>
      <c r="W6" s="294">
        <f>(IF('Section Load'!X9&gt;0,'Section Load'!X9,0))</f>
        <v>30.329999999999927</v>
      </c>
      <c r="X6" s="294">
        <f>(IF('Section Load'!Y9&gt;0,'Section Load'!Y9,0))</f>
        <v>269.56699999999546</v>
      </c>
      <c r="Y6" s="294">
        <f>(IF('Section Load'!Z9&gt;0,'Section Load'!Z9,0))</f>
        <v>342</v>
      </c>
      <c r="Z6" s="294">
        <f>(IF('Section Load'!AA9&gt;0,'Section Load'!AA9,0))</f>
        <v>46.840000000025611</v>
      </c>
      <c r="AA6" s="294">
        <f>(IF('Section Load'!AB9&gt;0,'Section Load'!AB9,0))</f>
        <v>21</v>
      </c>
      <c r="AB6" s="294">
        <f>(IF('Section Load'!AC9&gt;0,'Section Load'!AC9,0))</f>
        <v>0</v>
      </c>
      <c r="AC6" s="294">
        <f>(IF('Section Load'!AD9&gt;0,'Section Load'!AD9,0))</f>
        <v>0</v>
      </c>
      <c r="AD6" s="294">
        <f>(IF('Section Load'!AE9&gt;0,'Section Load'!AE9,0))</f>
        <v>426</v>
      </c>
      <c r="AE6" s="294">
        <f>(IF('Section Load'!AF9&gt;0,'Section Load'!AF9,0))</f>
        <v>258</v>
      </c>
      <c r="AF6" s="294">
        <f>(IF('Section Load'!AG9&gt;0,'Section Load'!AG9,0))</f>
        <v>676</v>
      </c>
      <c r="AG6" s="294">
        <f>(IF('Section Load'!AH9&gt;0,'Section Load'!AH9,0))</f>
        <v>39.790000000000873</v>
      </c>
      <c r="AH6" s="294">
        <f>(IF('Section Load'!AI9&gt;0,'Section Load'!AI9,0))</f>
        <v>396.02000000000407</v>
      </c>
      <c r="AI6" s="294">
        <f>(IF('Section Load'!AJ9&gt;0,'Section Load'!AJ9,0))</f>
        <v>413</v>
      </c>
      <c r="AJ6" s="294">
        <f>(IF('Section Load'!AK9&gt;0,'Section Load'!AK9,0))</f>
        <v>328</v>
      </c>
      <c r="AK6" s="294">
        <f>(IF('Section Load'!AL9&gt;0,'Section Load'!AL9,0))</f>
        <v>310.30000000000291</v>
      </c>
      <c r="AL6" s="294">
        <f>(IF('Section Load'!AM9&gt;0,'Section Load'!AM9,0))</f>
        <v>483</v>
      </c>
      <c r="AM6" s="295">
        <f>(IF('Water Report'!$H$7&gt;0,'Water Report'!$H$7,0))</f>
        <v>124</v>
      </c>
      <c r="AN6" s="295">
        <f>(IF('Water Report'!$H$8&gt;0,'Water Report'!$H$8,0))</f>
        <v>66</v>
      </c>
      <c r="AO6" s="295">
        <f>(IF('Water Report'!$H$9&gt;0,'Water Report'!$H$9,0))</f>
        <v>114</v>
      </c>
      <c r="AP6" s="295">
        <f>(IF('Water Report'!$H$10&gt;0,'Water Report'!$H$10,0))</f>
        <v>22</v>
      </c>
      <c r="AQ6" s="295">
        <f>(IF('Water Report'!$H$11&gt;0,'Water Report'!$H$11,0))</f>
        <v>26</v>
      </c>
      <c r="AR6" s="295">
        <f>(IF('Water Report'!$H$13&gt;0,'Water Report'!$H$13,0))</f>
        <v>20</v>
      </c>
      <c r="AS6" s="295">
        <f>(IF('Water Report'!$H$14&gt;0,'Water Report'!$H$14,0))</f>
        <v>2</v>
      </c>
      <c r="AT6" s="295">
        <f>(IF('Water Report'!$H$15&gt;0,'Water Report'!$H$15,0))</f>
        <v>7</v>
      </c>
      <c r="AU6" s="295">
        <f>(IF('Water Report'!$H$17&gt;0,'Water Report'!$H$17,0))</f>
        <v>0</v>
      </c>
      <c r="AV6" s="295">
        <f>(IF('Water Report'!$H$18&gt;0,'Water Report'!$H$18,0))</f>
        <v>11</v>
      </c>
      <c r="AW6" s="295">
        <f>(IF('Water Report'!$H$19&gt;0,'Water Report'!$H$19,0))</f>
        <v>28</v>
      </c>
      <c r="AX6" s="301">
        <f>(IF('Water Report'!$H$21&gt;0,'Water Report'!$H$21,0))</f>
        <v>61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2</v>
      </c>
      <c r="BB6" s="301">
        <f>(IF('Water Report'!$H$15&gt;0,'Water Report'!$H$15,0))</f>
        <v>7</v>
      </c>
      <c r="BC6" s="301">
        <f>(IF('Water Report'!$H$13&gt;0,'Water Report'!$H$13,0))</f>
        <v>20</v>
      </c>
      <c r="BD6" s="301">
        <f>(IF('Water Report'!$H$24&gt;0,'Water Report'!$H$24,0))</f>
        <v>302</v>
      </c>
      <c r="BE6" s="301">
        <f>(IF('Water Report'!$H$25&gt;0,'Water Report'!$H$25,0))</f>
        <v>171</v>
      </c>
      <c r="BF6" s="301">
        <f>(IF('Water Report'!$H$27&gt;0,'Water Report'!$H$27,0))</f>
        <v>81</v>
      </c>
      <c r="BG6" s="296">
        <f>(IF('Section Load'!AN9&gt;0,'Section Load'!AN9,0))</f>
        <v>1134.2000000001863</v>
      </c>
      <c r="BH6" s="296">
        <f>(IF('Section Load'!AO9&gt;0,'Section Load'!AO9,0))</f>
        <v>342</v>
      </c>
      <c r="BI6" s="296">
        <f>(IF('Section Load'!AP9&gt;0,'Section Load'!AP9,0))</f>
        <v>0</v>
      </c>
      <c r="BJ6" s="296">
        <f>(IF('Section Load'!AQ9&gt;0,'Section Load'!AQ9,0))</f>
        <v>109</v>
      </c>
      <c r="BK6" s="296">
        <f>(IF('Section Load'!AR9&gt;0,'Section Load'!AR9,0))</f>
        <v>56</v>
      </c>
      <c r="BL6" s="296">
        <f>(IF('Section Load'!AS9&gt;0,'Section Load'!AS9,0))</f>
        <v>0.5</v>
      </c>
      <c r="BM6" s="296">
        <f>(IF('Section Load'!AT9&gt;0,'Section Load'!AT9,0))</f>
        <v>626.70000000018626</v>
      </c>
    </row>
    <row r="7" spans="1:65">
      <c r="A7" s="287" t="s">
        <v>268</v>
      </c>
      <c r="B7" s="288">
        <f t="shared" si="0"/>
        <v>6</v>
      </c>
      <c r="C7" s="288">
        <v>2</v>
      </c>
      <c r="D7" s="288">
        <v>2023</v>
      </c>
      <c r="E7" s="294">
        <f>(IF('Section Load'!F10&gt;0,'Section Load'!F10,0))</f>
        <v>3158.1700000000419</v>
      </c>
      <c r="F7" s="294">
        <f>(IF('Section Load'!G10&gt;0,'Section Load'!G10,0))</f>
        <v>1555</v>
      </c>
      <c r="G7" s="294">
        <f>(IF('Section Load'!H10&gt;0,'Section Load'!H10,0))</f>
        <v>2717.5699999999997</v>
      </c>
      <c r="H7" s="294">
        <f>(IF('Section Load'!I10&gt;0,'Section Load'!I10,0))</f>
        <v>2829</v>
      </c>
      <c r="I7" s="294">
        <f>(IF('Section Load'!J10&gt;0,'Section Load'!J10,0))</f>
        <v>3625.4899999999907</v>
      </c>
      <c r="J7" s="294">
        <f>(IF('Section Load'!K10&gt;0,'Section Load'!K10,0))</f>
        <v>2664</v>
      </c>
      <c r="K7" s="294">
        <f>(IF('Section Load'!L10&gt;0,'Section Load'!L10,0))</f>
        <v>1416.640000000014</v>
      </c>
      <c r="L7" s="294">
        <f>(IF('Section Load'!M10&gt;0,'Section Load'!M10,0))</f>
        <v>1112.4099999999744</v>
      </c>
      <c r="M7" s="294">
        <f>(IF('Section Load'!N10&gt;0,'Section Load'!N10,0))</f>
        <v>107</v>
      </c>
      <c r="N7" s="294">
        <f>(IF('Section Load'!O10&gt;0,'Section Load'!O10,0))</f>
        <v>136</v>
      </c>
      <c r="O7" s="294">
        <f>(IF('Section Load'!P10&gt;0,'Section Load'!P10,0))</f>
        <v>30.789999999999964</v>
      </c>
      <c r="P7" s="294">
        <f>(IF('Section Load'!Q10&gt;0,'Section Load'!Q10,0))</f>
        <v>254</v>
      </c>
      <c r="Q7" s="294">
        <f>(IF('Section Load'!R10&gt;0,'Section Load'!R10,0))</f>
        <v>85</v>
      </c>
      <c r="R7" s="294">
        <f>(IF('Section Load'!S10&gt;0,'Section Load'!S10,0))</f>
        <v>322</v>
      </c>
      <c r="S7" s="294">
        <f>(IF('Section Load'!T10&gt;0,'Section Load'!T10,0))</f>
        <v>31</v>
      </c>
      <c r="T7" s="294">
        <f>(IF('Section Load'!U10&gt;0,'Section Load'!U10,0))</f>
        <v>284</v>
      </c>
      <c r="U7" s="294">
        <f>(IF('Section Load'!V10&gt;0,'Section Load'!V10,0))</f>
        <v>380.23999999999069</v>
      </c>
      <c r="V7" s="294">
        <f>(IF('Section Load'!W10&gt;0,'Section Load'!W10,0))</f>
        <v>363.59999999997672</v>
      </c>
      <c r="W7" s="294">
        <f>(IF('Section Load'!X10&gt;0,'Section Load'!X10,0))</f>
        <v>32</v>
      </c>
      <c r="X7" s="294">
        <f>(IF('Section Load'!Y10&gt;0,'Section Load'!Y10,0))</f>
        <v>250.11299999999756</v>
      </c>
      <c r="Y7" s="294">
        <f>(IF('Section Load'!Z10&gt;0,'Section Load'!Z10,0))</f>
        <v>377</v>
      </c>
      <c r="Z7" s="294">
        <f>(IF('Section Load'!AA10&gt;0,'Section Load'!AA10,0))</f>
        <v>124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16</v>
      </c>
      <c r="AD7" s="294">
        <f>(IF('Section Load'!AE10&gt;0,'Section Load'!AE10,0))</f>
        <v>471</v>
      </c>
      <c r="AE7" s="294">
        <f>(IF('Section Load'!AF10&gt;0,'Section Load'!AF10,0))</f>
        <v>229</v>
      </c>
      <c r="AF7" s="294">
        <f>(IF('Section Load'!AG10&gt;0,'Section Load'!AG10,0))</f>
        <v>721</v>
      </c>
      <c r="AG7" s="294">
        <f>(IF('Section Load'!AH10&gt;0,'Section Load'!AH10,0))</f>
        <v>49</v>
      </c>
      <c r="AH7" s="294">
        <f>(IF('Section Load'!AI10&gt;0,'Section Load'!AI10,0))</f>
        <v>377.2899999999936</v>
      </c>
      <c r="AI7" s="294">
        <f>(IF('Section Load'!AJ10&gt;0,'Section Load'!AJ10,0))</f>
        <v>409</v>
      </c>
      <c r="AJ7" s="294">
        <f>(IF('Section Load'!AK10&gt;0,'Section Load'!AK10,0))</f>
        <v>335</v>
      </c>
      <c r="AK7" s="294">
        <f>(IF('Section Load'!AL10&gt;0,'Section Load'!AL10,0))</f>
        <v>310</v>
      </c>
      <c r="AL7" s="294">
        <f>(IF('Section Load'!AM10&gt;0,'Section Load'!AM10,0))</f>
        <v>442</v>
      </c>
      <c r="AM7" s="295">
        <f>(IF('Water Report'!$I$7&gt;0,'Water Report'!$I$7,0))</f>
        <v>111</v>
      </c>
      <c r="AN7" s="295">
        <f>(IF('Water Report'!$I$8&gt;0,'Water Report'!$I$8,0))</f>
        <v>88</v>
      </c>
      <c r="AO7" s="295">
        <f>(IF('Water Report'!$I$9&gt;0,'Water Report'!$I$9,0))</f>
        <v>135</v>
      </c>
      <c r="AP7" s="295">
        <f>(IF('Water Report'!$I$10&gt;0,'Water Report'!$I$10,0))</f>
        <v>27</v>
      </c>
      <c r="AQ7" s="295">
        <f>(IF('Water Report'!$I$11&gt;0,'Water Report'!$I$11,0))</f>
        <v>19</v>
      </c>
      <c r="AR7" s="295">
        <f>(IF('Water Report'!$I$13&gt;0,'Water Report'!$I$13,0))</f>
        <v>30</v>
      </c>
      <c r="AS7" s="295">
        <f>(IF('Water Report'!$I$14&gt;0,'Water Report'!$I$14,0))</f>
        <v>4</v>
      </c>
      <c r="AT7" s="295">
        <f>(IF('Water Report'!$I$15&gt;0,'Water Report'!$I$15,0))</f>
        <v>4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14</v>
      </c>
      <c r="AX7" s="301">
        <f>(IF('Water Report'!$I$21&gt;0,'Water Report'!$I$21,0))</f>
        <v>118</v>
      </c>
      <c r="AY7" s="301">
        <f>(IF('Water Report'!$I$22&gt;0,'Water Report'!$I$22,0))</f>
        <v>0</v>
      </c>
      <c r="AZ7" s="301">
        <f>(IF('Water Report'!$I$23&gt;0,'Water Report'!$I$23,0))</f>
        <v>9</v>
      </c>
      <c r="BA7" s="301">
        <f>(IF('Water Report'!$I$14&gt;0,'Water Report'!$I$14,0))</f>
        <v>4</v>
      </c>
      <c r="BB7" s="301">
        <f>(IF('Water Report'!$I$15&gt;0,'Water Report'!$I$15,0))</f>
        <v>4</v>
      </c>
      <c r="BC7" s="301">
        <f>(IF('Water Report'!$I$13&gt;0,'Water Report'!$I$13,0))</f>
        <v>30</v>
      </c>
      <c r="BD7" s="301">
        <f>(IF('Water Report'!$I$24&gt;0,'Water Report'!$I$24,0))</f>
        <v>311</v>
      </c>
      <c r="BE7" s="301">
        <f>(IF('Water Report'!$I$25&gt;0,'Water Report'!$I$25,0))</f>
        <v>189</v>
      </c>
      <c r="BF7" s="301">
        <f>(IF('Water Report'!$I$27&gt;0,'Water Report'!$I$27,0))</f>
        <v>157</v>
      </c>
      <c r="BG7" s="296">
        <f>(IF('Section Load'!AN10&gt;0,'Section Load'!AN10,0))</f>
        <v>1087.7999999998137</v>
      </c>
      <c r="BH7" s="296">
        <f>(IF('Section Load'!AO10&gt;0,'Section Load'!AO10,0))</f>
        <v>318</v>
      </c>
      <c r="BI7" s="296">
        <f>(IF('Section Load'!AP10&gt;0,'Section Load'!AP10,0))</f>
        <v>0</v>
      </c>
      <c r="BJ7" s="296">
        <f>(IF('Section Load'!AQ10&gt;0,'Section Load'!AQ10,0))</f>
        <v>114</v>
      </c>
      <c r="BK7" s="296">
        <f>(IF('Section Load'!AR10&gt;0,'Section Load'!AR10,0))</f>
        <v>55</v>
      </c>
      <c r="BL7" s="296">
        <f>(IF('Section Load'!AS10&gt;0,'Section Load'!AS10,0))</f>
        <v>0</v>
      </c>
      <c r="BM7" s="296">
        <f>(IF('Section Load'!AT10&gt;0,'Section Load'!AT10,0))</f>
        <v>600.79999999981374</v>
      </c>
    </row>
    <row r="8" spans="1:65">
      <c r="A8" s="287" t="s">
        <v>268</v>
      </c>
      <c r="B8" s="288">
        <f t="shared" si="0"/>
        <v>7</v>
      </c>
      <c r="C8" s="288">
        <v>2</v>
      </c>
      <c r="D8" s="288">
        <v>2023</v>
      </c>
      <c r="E8" s="294">
        <f>(IF('Section Load'!F11&gt;0,'Section Load'!F11,0))</f>
        <v>3302</v>
      </c>
      <c r="F8" s="294">
        <f>(IF('Section Load'!G11&gt;0,'Section Load'!G11,0))</f>
        <v>1488</v>
      </c>
      <c r="G8" s="294">
        <f>(IF('Section Load'!H11&gt;0,'Section Load'!H11,0))</f>
        <v>2729</v>
      </c>
      <c r="H8" s="294">
        <f>(IF('Section Load'!I11&gt;0,'Section Load'!I11,0))</f>
        <v>2806</v>
      </c>
      <c r="I8" s="294">
        <f>(IF('Section Load'!J11&gt;0,'Section Load'!J11,0))</f>
        <v>3472</v>
      </c>
      <c r="J8" s="294">
        <f>(IF('Section Load'!K11&gt;0,'Section Load'!K11,0))</f>
        <v>2678</v>
      </c>
      <c r="K8" s="294">
        <f>(IF('Section Load'!L11&gt;0,'Section Load'!L11,0))</f>
        <v>1524</v>
      </c>
      <c r="L8" s="294">
        <f>(IF('Section Load'!M11&gt;0,'Section Load'!M11,0))</f>
        <v>1116</v>
      </c>
      <c r="M8" s="294">
        <f>(IF('Section Load'!N11&gt;0,'Section Load'!N11,0))</f>
        <v>113</v>
      </c>
      <c r="N8" s="294">
        <f>(IF('Section Load'!O11&gt;0,'Section Load'!O11,0))</f>
        <v>149</v>
      </c>
      <c r="O8" s="294">
        <f>(IF('Section Load'!P11&gt;0,'Section Load'!P11,0))</f>
        <v>31</v>
      </c>
      <c r="P8" s="294">
        <f>(IF('Section Load'!Q11&gt;0,'Section Load'!Q11,0))</f>
        <v>227</v>
      </c>
      <c r="Q8" s="294">
        <f>(IF('Section Load'!R11&gt;0,'Section Load'!R11,0))</f>
        <v>96</v>
      </c>
      <c r="R8" s="294">
        <f>(IF('Section Load'!S11&gt;0,'Section Load'!S11,0))</f>
        <v>118</v>
      </c>
      <c r="S8" s="294">
        <f>(IF('Section Load'!T11&gt;0,'Section Load'!T11,0))</f>
        <v>30</v>
      </c>
      <c r="T8" s="294">
        <f>(IF('Section Load'!U11&gt;0,'Section Load'!U11,0))</f>
        <v>263</v>
      </c>
      <c r="U8" s="294">
        <f>(IF('Section Load'!V11&gt;0,'Section Load'!V11,0))</f>
        <v>370</v>
      </c>
      <c r="V8" s="294">
        <f>(IF('Section Load'!W11&gt;0,'Section Load'!W11,0))</f>
        <v>375</v>
      </c>
      <c r="W8" s="294">
        <f>(IF('Section Load'!X11&gt;0,'Section Load'!X11,0))</f>
        <v>31</v>
      </c>
      <c r="X8" s="294">
        <f>(IF('Section Load'!Y11&gt;0,'Section Load'!Y11,0))</f>
        <v>307</v>
      </c>
      <c r="Y8" s="294">
        <f>(IF('Section Load'!Z11&gt;0,'Section Load'!Z11,0))</f>
        <v>347</v>
      </c>
      <c r="Z8" s="294">
        <f>(IF('Section Load'!AA11&gt;0,'Section Load'!AA11,0))</f>
        <v>126</v>
      </c>
      <c r="AA8" s="294">
        <f>(IF('Section Load'!AB11&gt;0,'Section Load'!AB11,0))</f>
        <v>41</v>
      </c>
      <c r="AB8" s="294">
        <f>(IF('Section Load'!AC11&gt;0,'Section Load'!AC11,0))</f>
        <v>0</v>
      </c>
      <c r="AC8" s="294">
        <f>(IF('Section Load'!AD11&gt;0,'Section Load'!AD11,0))</f>
        <v>4</v>
      </c>
      <c r="AD8" s="294">
        <f>(IF('Section Load'!AE11&gt;0,'Section Load'!AE11,0))</f>
        <v>411</v>
      </c>
      <c r="AE8" s="294">
        <f>(IF('Section Load'!AF11&gt;0,'Section Load'!AF11,0))</f>
        <v>253</v>
      </c>
      <c r="AF8" s="294">
        <f>(IF('Section Load'!AG11&gt;0,'Section Load'!AG11,0))</f>
        <v>732</v>
      </c>
      <c r="AG8" s="294">
        <f>(IF('Section Load'!AH11&gt;0,'Section Load'!AH11,0))</f>
        <v>59</v>
      </c>
      <c r="AH8" s="294">
        <f>(IF('Section Load'!AI11&gt;0,'Section Load'!AI11,0))</f>
        <v>364</v>
      </c>
      <c r="AI8" s="294">
        <f>(IF('Section Load'!AJ11&gt;0,'Section Load'!AJ11,0))</f>
        <v>397</v>
      </c>
      <c r="AJ8" s="294">
        <f>(IF('Section Load'!AK11&gt;0,'Section Load'!AK11,0))</f>
        <v>319</v>
      </c>
      <c r="AK8" s="294">
        <f>(IF('Section Load'!AL11&gt;0,'Section Load'!AL11,0))</f>
        <v>309</v>
      </c>
      <c r="AL8" s="294">
        <f>(IF('Section Load'!AM11&gt;0,'Section Load'!AM11,0))</f>
        <v>600</v>
      </c>
      <c r="AM8" s="295">
        <f>(IF('Water Report'!$J$7&gt;0,'Water Report'!$J$7,0))</f>
        <v>147</v>
      </c>
      <c r="AN8" s="295">
        <f>(IF('Water Report'!$J$8&gt;0,'Water Report'!$J$8,0))</f>
        <v>94</v>
      </c>
      <c r="AO8" s="295">
        <f>(IF('Water Report'!$J$9&gt;0,'Water Report'!$J$9,0))</f>
        <v>140</v>
      </c>
      <c r="AP8" s="295">
        <f>(IF('Water Report'!$J$10&gt;0,'Water Report'!$J$10,0))</f>
        <v>22</v>
      </c>
      <c r="AQ8" s="295">
        <f>(IF('Water Report'!$J$11&gt;0,'Water Report'!$J$11,0))</f>
        <v>20</v>
      </c>
      <c r="AR8" s="295">
        <f>(IF('Water Report'!$J$13&gt;0,'Water Report'!$J$13,0))</f>
        <v>21</v>
      </c>
      <c r="AS8" s="295">
        <f>(IF('Water Report'!$J$14&gt;0,'Water Report'!$J$14,0))</f>
        <v>2</v>
      </c>
      <c r="AT8" s="295">
        <f>(IF('Water Report'!$J$15&gt;0,'Water Report'!$J$15,0))</f>
        <v>8</v>
      </c>
      <c r="AU8" s="295">
        <f>(IF('Water Report'!$J$17&gt;0,'Water Report'!$J$17,0))</f>
        <v>1</v>
      </c>
      <c r="AV8" s="295">
        <f>(IF('Water Report'!$J$18&gt;0,'Water Report'!$J$18,0))</f>
        <v>10</v>
      </c>
      <c r="AW8" s="295">
        <f>(IF('Water Report'!$J$19&gt;0,'Water Report'!$J$19,0))</f>
        <v>14</v>
      </c>
      <c r="AX8" s="301">
        <f>(IF('Water Report'!$J$21&gt;0,'Water Report'!$J$21,0))</f>
        <v>92</v>
      </c>
      <c r="AY8" s="301">
        <f>(IF('Water Report'!$J$22&gt;0,'Water Report'!$J$22,0))</f>
        <v>0</v>
      </c>
      <c r="AZ8" s="301">
        <f>(IF('Water Report'!$J$23&gt;0,'Water Report'!$J$23,0))</f>
        <v>4</v>
      </c>
      <c r="BA8" s="301">
        <f>(IF('Water Report'!$J$14&gt;0,'Water Report'!$J$14,0))</f>
        <v>2</v>
      </c>
      <c r="BB8" s="301">
        <f>(IF('Water Report'!$J$15&gt;0,'Water Report'!$J$15,0))</f>
        <v>8</v>
      </c>
      <c r="BC8" s="301">
        <f>(IF('Water Report'!$J$13&gt;0,'Water Report'!$J$13,0))</f>
        <v>21</v>
      </c>
      <c r="BD8" s="301">
        <f>(IF('Water Report'!$J$24&gt;0,'Water Report'!$J$24,0))</f>
        <v>220</v>
      </c>
      <c r="BE8" s="301">
        <f>(IF('Water Report'!$J$25&gt;0,'Water Report'!$J$25,0))</f>
        <v>192</v>
      </c>
      <c r="BF8" s="301">
        <f>(IF('Water Report'!$J$27&gt;0,'Water Report'!$J$27,0))</f>
        <v>117</v>
      </c>
      <c r="BG8" s="296">
        <f>(IF('Section Load'!AN11&gt;0,'Section Load'!AN11,0))</f>
        <v>1130</v>
      </c>
      <c r="BH8" s="296">
        <f>(IF('Section Load'!AO11&gt;0,'Section Load'!AO11,0))</f>
        <v>320</v>
      </c>
      <c r="BI8" s="296">
        <f>(IF('Section Load'!AP11&gt;0,'Section Load'!AP11,0))</f>
        <v>0</v>
      </c>
      <c r="BJ8" s="296">
        <f>(IF('Section Load'!AQ11&gt;0,'Section Load'!AQ11,0))</f>
        <v>116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647</v>
      </c>
    </row>
    <row r="9" spans="1:65">
      <c r="A9" s="287" t="s">
        <v>268</v>
      </c>
      <c r="B9" s="288">
        <f t="shared" si="0"/>
        <v>8</v>
      </c>
      <c r="C9" s="288">
        <v>2</v>
      </c>
      <c r="D9" s="288">
        <v>2023</v>
      </c>
      <c r="E9" s="294">
        <f>(IF('Section Load'!F12&gt;0,'Section Load'!F12,0))</f>
        <v>3250.7900000000373</v>
      </c>
      <c r="F9" s="294">
        <f>(IF('Section Load'!G12&gt;0,'Section Load'!G12,0))</f>
        <v>1465</v>
      </c>
      <c r="G9" s="294">
        <f>(IF('Section Load'!H12&gt;0,'Section Load'!H12,0))</f>
        <v>2794</v>
      </c>
      <c r="H9" s="294">
        <f>(IF('Section Load'!I12&gt;0,'Section Load'!I12,0))</f>
        <v>2838</v>
      </c>
      <c r="I9" s="294">
        <f>(IF('Section Load'!J12&gt;0,'Section Load'!J12,0))</f>
        <v>3412</v>
      </c>
      <c r="J9" s="294">
        <f>(IF('Section Load'!K12&gt;0,'Section Load'!K12,0))</f>
        <v>2448</v>
      </c>
      <c r="K9" s="294">
        <f>(IF('Section Load'!L12&gt;0,'Section Load'!L12,0))</f>
        <v>1565</v>
      </c>
      <c r="L9" s="294">
        <f>(IF('Section Load'!M12&gt;0,'Section Load'!M12,0))</f>
        <v>946</v>
      </c>
      <c r="M9" s="294">
        <f>(IF('Section Load'!N12&gt;0,'Section Load'!N12,0))</f>
        <v>155</v>
      </c>
      <c r="N9" s="294">
        <f>(IF('Section Load'!O12&gt;0,'Section Load'!O12,0))</f>
        <v>156</v>
      </c>
      <c r="O9" s="294">
        <f>(IF('Section Load'!P12&gt;0,'Section Load'!P12,0))</f>
        <v>31</v>
      </c>
      <c r="P9" s="294">
        <f>(IF('Section Load'!Q12&gt;0,'Section Load'!Q12,0))</f>
        <v>253</v>
      </c>
      <c r="Q9" s="294">
        <f>(IF('Section Load'!R12&gt;0,'Section Load'!R12,0))</f>
        <v>91</v>
      </c>
      <c r="R9" s="294">
        <f>(IF('Section Load'!S12&gt;0,'Section Load'!S12,0))</f>
        <v>125</v>
      </c>
      <c r="S9" s="294">
        <f>(IF('Section Load'!T12&gt;0,'Section Load'!T12,0))</f>
        <v>33</v>
      </c>
      <c r="T9" s="294">
        <f>(IF('Section Load'!U12&gt;0,'Section Load'!U12,0))</f>
        <v>271</v>
      </c>
      <c r="U9" s="294">
        <f>(IF('Section Load'!V12&gt;0,'Section Load'!V12,0))</f>
        <v>387</v>
      </c>
      <c r="V9" s="294">
        <f>(IF('Section Load'!W12&gt;0,'Section Load'!W12,0))</f>
        <v>352</v>
      </c>
      <c r="W9" s="294">
        <f>(IF('Section Load'!X12&gt;0,'Section Load'!X12,0))</f>
        <v>32</v>
      </c>
      <c r="X9" s="294">
        <f>(IF('Section Load'!Y12&gt;0,'Section Load'!Y12,0))</f>
        <v>267</v>
      </c>
      <c r="Y9" s="294">
        <f>(IF('Section Load'!Z12&gt;0,'Section Load'!Z12,0))</f>
        <v>317</v>
      </c>
      <c r="Z9" s="294">
        <f>(IF('Section Load'!AA12&gt;0,'Section Load'!AA12,0))</f>
        <v>122</v>
      </c>
      <c r="AA9" s="294">
        <f>(IF('Section Load'!AB12&gt;0,'Section Load'!AB12,0))</f>
        <v>28</v>
      </c>
      <c r="AB9" s="294">
        <f>(IF('Section Load'!AC12&gt;0,'Section Load'!AC12,0))</f>
        <v>0</v>
      </c>
      <c r="AC9" s="294">
        <f>(IF('Section Load'!AD12&gt;0,'Section Load'!AD12,0))</f>
        <v>0.5</v>
      </c>
      <c r="AD9" s="294">
        <f>(IF('Section Load'!AE12&gt;0,'Section Load'!AE12,0))</f>
        <v>496</v>
      </c>
      <c r="AE9" s="294">
        <f>(IF('Section Load'!AF12&gt;0,'Section Load'!AF12,0))</f>
        <v>242</v>
      </c>
      <c r="AF9" s="294">
        <f>(IF('Section Load'!AG12&gt;0,'Section Load'!AG12,0))</f>
        <v>704</v>
      </c>
      <c r="AG9" s="294">
        <f>(IF('Section Load'!AH12&gt;0,'Section Load'!AH12,0))</f>
        <v>62</v>
      </c>
      <c r="AH9" s="294">
        <f>(IF('Section Load'!AI12&gt;0,'Section Load'!AI12,0))</f>
        <v>385</v>
      </c>
      <c r="AI9" s="294">
        <f>(IF('Section Load'!AJ12&gt;0,'Section Load'!AJ12,0))</f>
        <v>390</v>
      </c>
      <c r="AJ9" s="294">
        <f>(IF('Section Load'!AK12&gt;0,'Section Load'!AK12,0))</f>
        <v>318</v>
      </c>
      <c r="AK9" s="294">
        <f>(IF('Section Load'!AL12&gt;0,'Section Load'!AL12,0))</f>
        <v>302</v>
      </c>
      <c r="AL9" s="294">
        <f>(IF('Section Load'!AM12&gt;0,'Section Load'!AM12,0))</f>
        <v>723</v>
      </c>
      <c r="AM9" s="295">
        <f>(IF('Water Report'!$K$7&gt;0,'Water Report'!$K$7,0))</f>
        <v>156</v>
      </c>
      <c r="AN9" s="295">
        <f>(IF('Water Report'!$K$8&gt;0,'Water Report'!$K$8,0))</f>
        <v>1</v>
      </c>
      <c r="AO9" s="295">
        <f>(IF('Water Report'!$K$9&gt;0,'Water Report'!$K$9,0))</f>
        <v>137</v>
      </c>
      <c r="AP9" s="295">
        <f>(IF('Water Report'!$K$10&gt;0,'Water Report'!$K$10,0))</f>
        <v>10</v>
      </c>
      <c r="AQ9" s="295">
        <f>(IF('Water Report'!$K$11&gt;0,'Water Report'!$K$11,0))</f>
        <v>24</v>
      </c>
      <c r="AR9" s="295">
        <f>(IF('Water Report'!$K$13&gt;0,'Water Report'!$K$13,0))</f>
        <v>24</v>
      </c>
      <c r="AS9" s="295">
        <f>(IF('Water Report'!$K$14&gt;0,'Water Report'!$K$14,0))</f>
        <v>9</v>
      </c>
      <c r="AT9" s="295">
        <f>(IF('Water Report'!$K$15&gt;0,'Water Report'!$K$15,0))</f>
        <v>9</v>
      </c>
      <c r="AU9" s="295">
        <f>(IF('Water Report'!$K$17&gt;0,'Water Report'!$K$17,0))</f>
        <v>0</v>
      </c>
      <c r="AV9" s="295">
        <f>(IF('Water Report'!$K$18&gt;0,'Water Report'!$K$18,0))</f>
        <v>13</v>
      </c>
      <c r="AW9" s="295">
        <f>(IF('Water Report'!$K$19&gt;0,'Water Report'!$K$19,0))</f>
        <v>15</v>
      </c>
      <c r="AX9" s="301">
        <f>(IF('Water Report'!$K$21&gt;0,'Water Report'!$K$21,0))</f>
        <v>88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9</v>
      </c>
      <c r="BB9" s="301">
        <f>(IF('Water Report'!$K$15&gt;0,'Water Report'!$K$15,0))</f>
        <v>9</v>
      </c>
      <c r="BC9" s="301">
        <f>(IF('Water Report'!$K$13&gt;0,'Water Report'!$K$13,0))</f>
        <v>24</v>
      </c>
      <c r="BD9" s="301">
        <f>(IF('Water Report'!$K$24&gt;0,'Water Report'!$K$24,0))</f>
        <v>415</v>
      </c>
      <c r="BE9" s="301">
        <f>(IF('Water Report'!$K$25&gt;0,'Water Report'!$K$25,0))</f>
        <v>189</v>
      </c>
      <c r="BF9" s="301">
        <f>(IF('Water Report'!$K$27&gt;0,'Water Report'!$K$27,0))</f>
        <v>112</v>
      </c>
      <c r="BG9" s="296">
        <f>(IF('Section Load'!AN12&gt;0,'Section Load'!AN12,0))</f>
        <v>1248</v>
      </c>
      <c r="BH9" s="296">
        <f>(IF('Section Load'!AO12&gt;0,'Section Load'!AO12,0))</f>
        <v>344</v>
      </c>
      <c r="BI9" s="296">
        <f>(IF('Section Load'!AP12&gt;0,'Section Load'!AP12,0))</f>
        <v>0.19999999999708962</v>
      </c>
      <c r="BJ9" s="296">
        <f>(IF('Section Load'!AQ12&gt;0,'Section Load'!AQ12,0))</f>
        <v>125</v>
      </c>
      <c r="BK9" s="296">
        <f>(IF('Section Load'!AR12&gt;0,'Section Load'!AR12,0))</f>
        <v>57</v>
      </c>
      <c r="BL9" s="296">
        <f>(IF('Section Load'!AS12&gt;0,'Section Load'!AS12,0))</f>
        <v>0</v>
      </c>
      <c r="BM9" s="296">
        <f>(IF('Section Load'!AT12&gt;0,'Section Load'!AT12,0))</f>
        <v>721.80000000000291</v>
      </c>
    </row>
    <row r="10" spans="1:65">
      <c r="A10" s="287" t="s">
        <v>268</v>
      </c>
      <c r="B10" s="288">
        <f t="shared" si="0"/>
        <v>9</v>
      </c>
      <c r="C10" s="288">
        <v>2</v>
      </c>
      <c r="D10" s="288">
        <v>2023</v>
      </c>
      <c r="E10" s="294">
        <f>(IF('Section Load'!F13&gt;0,'Section Load'!F13,0))</f>
        <v>3086.2700000000186</v>
      </c>
      <c r="F10" s="294">
        <f>(IF('Section Load'!G13&gt;0,'Section Load'!G13,0))</f>
        <v>1388.5900000000256</v>
      </c>
      <c r="G10" s="294">
        <f>(IF('Section Load'!H13&gt;0,'Section Load'!H13,0))</f>
        <v>2435.8600000000515</v>
      </c>
      <c r="H10" s="294">
        <f>(IF('Section Load'!I13&gt;0,'Section Load'!I13,0))</f>
        <v>2782.3400000000838</v>
      </c>
      <c r="I10" s="294">
        <f>(IF('Section Load'!J13&gt;0,'Section Load'!J13,0))</f>
        <v>3380.1699999999837</v>
      </c>
      <c r="J10" s="294">
        <f>(IF('Section Load'!K13&gt;0,'Section Load'!K13,0))</f>
        <v>2617.7900000000373</v>
      </c>
      <c r="K10" s="294">
        <f>(IF('Section Load'!L13&gt;0,'Section Load'!L13,0))</f>
        <v>1214.7099999999627</v>
      </c>
      <c r="L10" s="294">
        <f>(IF('Section Load'!M13&gt;0,'Section Load'!M13,0))</f>
        <v>987.54999999998836</v>
      </c>
      <c r="M10" s="294">
        <f>(IF('Section Load'!N13&gt;0,'Section Load'!N13,0))</f>
        <v>113</v>
      </c>
      <c r="N10" s="294">
        <f>(IF('Section Load'!O13&gt;0,'Section Load'!O13,0))</f>
        <v>158</v>
      </c>
      <c r="O10" s="294">
        <f>(IF('Section Load'!P13&gt;0,'Section Load'!P13,0))</f>
        <v>32</v>
      </c>
      <c r="P10" s="294">
        <f>(IF('Section Load'!Q13&gt;0,'Section Load'!Q13,0))</f>
        <v>254</v>
      </c>
      <c r="Q10" s="294">
        <f>(IF('Section Load'!R13&gt;0,'Section Load'!R13,0))</f>
        <v>90</v>
      </c>
      <c r="R10" s="294">
        <f>(IF('Section Load'!S13&gt;0,'Section Load'!S13,0))</f>
        <v>294</v>
      </c>
      <c r="S10" s="294">
        <f>(IF('Section Load'!T13&gt;0,'Section Load'!T13,0))</f>
        <v>28</v>
      </c>
      <c r="T10" s="294">
        <f>(IF('Section Load'!U13&gt;0,'Section Load'!U13,0))</f>
        <v>237</v>
      </c>
      <c r="U10" s="294">
        <f>(IF('Section Load'!V13&gt;0,'Section Load'!V13,0))</f>
        <v>340</v>
      </c>
      <c r="V10" s="294">
        <f>(IF('Section Load'!W13&gt;0,'Section Load'!W13,0))</f>
        <v>334</v>
      </c>
      <c r="W10" s="294">
        <f>(IF('Section Load'!X13&gt;0,'Section Load'!X13,0))</f>
        <v>32</v>
      </c>
      <c r="X10" s="294">
        <f>(IF('Section Load'!Y13&gt;0,'Section Load'!Y13,0))</f>
        <v>260.58999999999651</v>
      </c>
      <c r="Y10" s="294">
        <f>(IF('Section Load'!Z13&gt;0,'Section Load'!Z13,0))</f>
        <v>367</v>
      </c>
      <c r="Z10" s="294">
        <f>(IF('Section Load'!AA13&gt;0,'Section Load'!AA13,0))</f>
        <v>195</v>
      </c>
      <c r="AA10" s="294">
        <f>(IF('Section Load'!AB13&gt;0,'Section Load'!AB13,0))</f>
        <v>29</v>
      </c>
      <c r="AB10" s="294">
        <f>(IF('Section Load'!AC13&gt;0,'Section Load'!AC13,0))</f>
        <v>0</v>
      </c>
      <c r="AC10" s="294">
        <f>(IF('Section Load'!AD13&gt;0,'Section Load'!AD13,0))</f>
        <v>2.5</v>
      </c>
      <c r="AD10" s="294">
        <f>(IF('Section Load'!AE13&gt;0,'Section Load'!AE13,0))</f>
        <v>446</v>
      </c>
      <c r="AE10" s="294">
        <f>(IF('Section Load'!AF13&gt;0,'Section Load'!AF13,0))</f>
        <v>261</v>
      </c>
      <c r="AF10" s="294">
        <f>(IF('Section Load'!AG13&gt;0,'Section Load'!AG13,0))</f>
        <v>711</v>
      </c>
      <c r="AG10" s="294">
        <f>(IF('Section Load'!AH13&gt;0,'Section Load'!AH13,0))</f>
        <v>60</v>
      </c>
      <c r="AH10" s="294">
        <f>(IF('Section Load'!AI13&gt;0,'Section Load'!AI13,0))</f>
        <v>364</v>
      </c>
      <c r="AI10" s="294">
        <f>(IF('Section Load'!AJ13&gt;0,'Section Load'!AJ13,0))</f>
        <v>412</v>
      </c>
      <c r="AJ10" s="294">
        <f>(IF('Section Load'!AK13&gt;0,'Section Load'!AK13,0))</f>
        <v>308</v>
      </c>
      <c r="AK10" s="294">
        <f>(IF('Section Load'!AL13&gt;0,'Section Load'!AL13,0))</f>
        <v>306.60000000000582</v>
      </c>
      <c r="AL10" s="294">
        <f>(IF('Section Load'!AM13&gt;0,'Section Load'!AM13,0))</f>
        <v>544</v>
      </c>
      <c r="AM10" s="295">
        <f>(IF('Water Report'!$L$7&gt;0,'Water Report'!$L$7,0))</f>
        <v>9</v>
      </c>
      <c r="AN10" s="295">
        <f>(IF('Water Report'!$L$8&gt;0,'Water Report'!$L$8,0))</f>
        <v>45</v>
      </c>
      <c r="AO10" s="295">
        <f>(IF('Water Report'!$L$9&gt;0,'Water Report'!$L$9,0))</f>
        <v>131</v>
      </c>
      <c r="AP10" s="295">
        <f>(IF('Water Report'!$L$10&gt;0,'Water Report'!$L$10,0))</f>
        <v>6</v>
      </c>
      <c r="AQ10" s="295">
        <f>(IF('Water Report'!$L$11&gt;0,'Water Report'!$L$11,0))</f>
        <v>22</v>
      </c>
      <c r="AR10" s="295">
        <f>(IF('Water Report'!$L$13&gt;0,'Water Report'!$L$13,0))</f>
        <v>10</v>
      </c>
      <c r="AS10" s="295">
        <f>(IF('Water Report'!$L$14&gt;0,'Water Report'!$L$14,0))</f>
        <v>3</v>
      </c>
      <c r="AT10" s="295">
        <f>(IF('Water Report'!$L$15&gt;0,'Water Report'!$L$15,0))</f>
        <v>7</v>
      </c>
      <c r="AU10" s="295">
        <f>(IF('Water Report'!$L$17&gt;0,'Water Report'!$L$17,0))</f>
        <v>3</v>
      </c>
      <c r="AV10" s="295">
        <f>(IF('Water Report'!$L$18&gt;0,'Water Report'!$L$18,0))</f>
        <v>11</v>
      </c>
      <c r="AW10" s="295">
        <f>(IF('Water Report'!$L$19&gt;0,'Water Report'!$L$19,0))</f>
        <v>17</v>
      </c>
      <c r="AX10" s="301">
        <f>(IF('Water Report'!$L$21&gt;0,'Water Report'!$L$21,0))</f>
        <v>93</v>
      </c>
      <c r="AY10" s="301">
        <f>(IF('Water Report'!$L$22&gt;0,'Water Report'!$L$22,0))</f>
        <v>0</v>
      </c>
      <c r="AZ10" s="301">
        <f>(IF('Water Report'!$L$23&gt;0,'Water Report'!$L$23,0))</f>
        <v>5</v>
      </c>
      <c r="BA10" s="301">
        <f>(IF('Water Report'!$L$14&gt;0,'Water Report'!$L$14,0))</f>
        <v>3</v>
      </c>
      <c r="BB10" s="301">
        <f>(IF('Water Report'!$L$15&gt;0,'Water Report'!$L$15,0))</f>
        <v>7</v>
      </c>
      <c r="BC10" s="301">
        <f>(IF('Water Report'!$L$13&gt;0,'Water Report'!$L$13,0))</f>
        <v>10</v>
      </c>
      <c r="BD10" s="301">
        <f>(IF('Water Report'!$L$24&gt;0,'Water Report'!$L$24,0))</f>
        <v>105</v>
      </c>
      <c r="BE10" s="301">
        <f>(IF('Water Report'!$L$25&gt;0,'Water Report'!$L$25,0))</f>
        <v>169</v>
      </c>
      <c r="BF10" s="301">
        <f>(IF('Water Report'!$L$27&gt;0,'Water Report'!$L$27,0))</f>
        <v>108</v>
      </c>
      <c r="BG10" s="296">
        <f>(IF('Section Load'!AN13&gt;0,'Section Load'!AN13,0))</f>
        <v>1162.7599999997765</v>
      </c>
      <c r="BH10" s="296">
        <f>(IF('Section Load'!AO13&gt;0,'Section Load'!AO13,0))</f>
        <v>305.61000000000058</v>
      </c>
      <c r="BI10" s="296">
        <f>(IF('Section Load'!AP13&gt;0,'Section Load'!AP13,0))</f>
        <v>0</v>
      </c>
      <c r="BJ10" s="296">
        <f>(IF('Section Load'!AQ13&gt;0,'Section Load'!AQ13,0))</f>
        <v>84</v>
      </c>
      <c r="BK10" s="296">
        <f>(IF('Section Load'!AR13&gt;0,'Section Load'!AR13,0))</f>
        <v>42</v>
      </c>
      <c r="BL10" s="296">
        <f>(IF('Section Load'!AS13&gt;0,'Section Load'!AS13,0))</f>
        <v>0</v>
      </c>
      <c r="BM10" s="296">
        <f>(IF('Section Load'!AT13&gt;0,'Section Load'!AT13,0))</f>
        <v>731.34999999977299</v>
      </c>
    </row>
    <row r="11" spans="1:65">
      <c r="A11" s="287" t="s">
        <v>268</v>
      </c>
      <c r="B11" s="288">
        <f t="shared" si="0"/>
        <v>10</v>
      </c>
      <c r="C11" s="288">
        <v>2</v>
      </c>
      <c r="D11" s="288">
        <v>2023</v>
      </c>
      <c r="E11" s="294">
        <f>(IF('Section Load'!F14&gt;0,'Section Load'!F14,0))</f>
        <v>3098.9399999999441</v>
      </c>
      <c r="F11" s="294">
        <f>(IF('Section Load'!G14&gt;0,'Section Load'!G14,0))</f>
        <v>1391.4099999999744</v>
      </c>
      <c r="G11" s="294">
        <f>(IF('Section Load'!H14&gt;0,'Section Load'!H14,0))</f>
        <v>2439.5699999999488</v>
      </c>
      <c r="H11" s="294">
        <f>(IF('Section Load'!I14&gt;0,'Section Load'!I14,0))</f>
        <v>2862.6599999999162</v>
      </c>
      <c r="I11" s="294">
        <f>(IF('Section Load'!J14&gt;0,'Section Load'!J14,0))</f>
        <v>3491.0400000000373</v>
      </c>
      <c r="J11" s="294">
        <f>(IF('Section Load'!K14&gt;0,'Section Load'!K14,0))</f>
        <v>2611.8099999999395</v>
      </c>
      <c r="K11" s="294">
        <f>(IF('Section Load'!L14&gt;0,'Section Load'!L14,0))</f>
        <v>1246.2900000000373</v>
      </c>
      <c r="L11" s="294">
        <f>(IF('Section Load'!M14&gt;0,'Section Load'!M14,0))</f>
        <v>1005.4500000000116</v>
      </c>
      <c r="M11" s="294">
        <f>(IF('Section Load'!N14&gt;0,'Section Load'!N14,0))</f>
        <v>101</v>
      </c>
      <c r="N11" s="294">
        <f>(IF('Section Load'!O14&gt;0,'Section Load'!O14,0))</f>
        <v>153</v>
      </c>
      <c r="O11" s="294">
        <f>(IF('Section Load'!P14&gt;0,'Section Load'!P14,0))</f>
        <v>30.890000000000327</v>
      </c>
      <c r="P11" s="294">
        <f>(IF('Section Load'!Q14&gt;0,'Section Load'!Q14,0))</f>
        <v>245.67000000001281</v>
      </c>
      <c r="Q11" s="294">
        <f>(IF('Section Load'!R14&gt;0,'Section Load'!R14,0))</f>
        <v>89</v>
      </c>
      <c r="R11" s="294">
        <f>(IF('Section Load'!S14&gt;0,'Section Load'!S14,0))</f>
        <v>214</v>
      </c>
      <c r="S11" s="294">
        <f>(IF('Section Load'!T14&gt;0,'Section Load'!T14,0))</f>
        <v>31</v>
      </c>
      <c r="T11" s="294">
        <f>(IF('Section Load'!U14&gt;0,'Section Load'!U14,0))</f>
        <v>243</v>
      </c>
      <c r="U11" s="294">
        <f>(IF('Section Load'!V14&gt;0,'Section Load'!V14,0))</f>
        <v>341</v>
      </c>
      <c r="V11" s="294">
        <f>(IF('Section Load'!W14&gt;0,'Section Load'!W14,0))</f>
        <v>256</v>
      </c>
      <c r="W11" s="294">
        <f>(IF('Section Load'!X14&gt;0,'Section Load'!X14,0))</f>
        <v>34.399999999999636</v>
      </c>
      <c r="X11" s="294">
        <f>(IF('Section Load'!Y14&gt;0,'Section Load'!Y14,0))</f>
        <v>258.27999999999884</v>
      </c>
      <c r="Y11" s="294">
        <f>(IF('Section Load'!Z14&gt;0,'Section Load'!Z14,0))</f>
        <v>340</v>
      </c>
      <c r="Z11" s="294">
        <f>(IF('Section Load'!AA14&gt;0,'Section Load'!AA14,0))</f>
        <v>199</v>
      </c>
      <c r="AA11" s="294">
        <f>(IF('Section Load'!AB14&gt;0,'Section Load'!AB14,0))</f>
        <v>46.400000000000091</v>
      </c>
      <c r="AB11" s="294">
        <f>(IF('Section Load'!AC14&gt;0,'Section Load'!AC14,0))</f>
        <v>0</v>
      </c>
      <c r="AC11" s="294">
        <f>(IF('Section Load'!AD14&gt;0,'Section Load'!AD14,0))</f>
        <v>1.3999999999996362</v>
      </c>
      <c r="AD11" s="294">
        <f>(IF('Section Load'!AE14&gt;0,'Section Load'!AE14,0))</f>
        <v>458</v>
      </c>
      <c r="AE11" s="294">
        <f>(IF('Section Load'!AF14&gt;0,'Section Load'!AF14,0))</f>
        <v>222.89999999999418</v>
      </c>
      <c r="AF11" s="294">
        <f>(IF('Section Load'!AG14&gt;0,'Section Load'!AG14,0))</f>
        <v>737.39999999999418</v>
      </c>
      <c r="AG11" s="294">
        <f>(IF('Section Load'!AH14&gt;0,'Section Load'!AH14,0))</f>
        <v>61.580000000001746</v>
      </c>
      <c r="AH11" s="294">
        <f>(IF('Section Load'!AI14&gt;0,'Section Load'!AI14,0))</f>
        <v>401.69999999999709</v>
      </c>
      <c r="AI11" s="294">
        <f>(IF('Section Load'!AJ14&gt;0,'Section Load'!AJ14,0))</f>
        <v>445.60000000000582</v>
      </c>
      <c r="AJ11" s="294">
        <f>(IF('Section Load'!AK14&gt;0,'Section Load'!AK14,0))</f>
        <v>313.30000000000291</v>
      </c>
      <c r="AK11" s="294">
        <f>(IF('Section Load'!AL14&gt;0,'Section Load'!AL14,0))</f>
        <v>303.39999999999418</v>
      </c>
      <c r="AL11" s="294">
        <f>(IF('Section Load'!AM14&gt;0,'Section Load'!AM14,0))</f>
        <v>506</v>
      </c>
      <c r="AM11" s="295">
        <f>(IF('Water Report'!$M$7&gt;0,'Water Report'!$M$7,0))</f>
        <v>0</v>
      </c>
      <c r="AN11" s="295">
        <f>(IF('Water Report'!$M$8&gt;0,'Water Report'!$M$8,0))</f>
        <v>93</v>
      </c>
      <c r="AO11" s="295">
        <f>(IF('Water Report'!$M$9&gt;0,'Water Report'!$M$9,0))</f>
        <v>114</v>
      </c>
      <c r="AP11" s="295">
        <f>(IF('Water Report'!$M$10&gt;0,'Water Report'!$M$10,0))</f>
        <v>9</v>
      </c>
      <c r="AQ11" s="295">
        <f>(IF('Water Report'!$M$11&gt;0,'Water Report'!$M$11,0))</f>
        <v>22</v>
      </c>
      <c r="AR11" s="295">
        <f>(IF('Water Report'!$M$13&gt;0,'Water Report'!$M$13,0))</f>
        <v>10</v>
      </c>
      <c r="AS11" s="295">
        <f>(IF('Water Report'!$M$14&gt;0,'Water Report'!$M$14,0))</f>
        <v>6</v>
      </c>
      <c r="AT11" s="295">
        <f>(IF('Water Report'!$M$15&gt;0,'Water Report'!$M$15,0))</f>
        <v>6</v>
      </c>
      <c r="AU11" s="295">
        <f>(IF('Water Report'!$M$17&gt;0,'Water Report'!$M$17,0))</f>
        <v>2</v>
      </c>
      <c r="AV11" s="295">
        <f>(IF('Water Report'!$M$18&gt;0,'Water Report'!$M$18,0))</f>
        <v>10</v>
      </c>
      <c r="AW11" s="295">
        <f>(IF('Water Report'!$M$19&gt;0,'Water Report'!$M$19,0))</f>
        <v>13</v>
      </c>
      <c r="AX11" s="301">
        <f>(IF('Water Report'!$M$21&gt;0,'Water Report'!$M$21,0))</f>
        <v>92</v>
      </c>
      <c r="AY11" s="301">
        <f>(IF('Water Report'!$M$22&gt;0,'Water Report'!$M$22,0))</f>
        <v>0</v>
      </c>
      <c r="AZ11" s="301">
        <f>(IF('Water Report'!$M$23&gt;0,'Water Report'!$M$23,0))</f>
        <v>1</v>
      </c>
      <c r="BA11" s="301">
        <f>(IF('Water Report'!$M$14&gt;0,'Water Report'!$M$14,0))</f>
        <v>6</v>
      </c>
      <c r="BB11" s="301">
        <f>(IF('Water Report'!$M$15&gt;0,'Water Report'!$M$15,0))</f>
        <v>6</v>
      </c>
      <c r="BC11" s="301">
        <f>(IF('Water Report'!$M$13&gt;0,'Water Report'!$M$13,0))</f>
        <v>10</v>
      </c>
      <c r="BD11" s="301">
        <f>(IF('Water Report'!$M$24&gt;0,'Water Report'!$M$24,0))</f>
        <v>47</v>
      </c>
      <c r="BE11" s="301">
        <f>(IF('Water Report'!$M$25&gt;0,'Water Report'!$M$25,0))</f>
        <v>157</v>
      </c>
      <c r="BF11" s="301">
        <f>(IF('Water Report'!$M$27&gt;0,'Water Report'!$M$27,0))</f>
        <v>103</v>
      </c>
      <c r="BG11" s="296">
        <f>(IF('Section Load'!AN14&gt;0,'Section Load'!AN14,0))</f>
        <v>1074.820000000298</v>
      </c>
      <c r="BH11" s="296">
        <f>(IF('Section Load'!AO14&gt;0,'Section Load'!AO14,0))</f>
        <v>311.38999999999942</v>
      </c>
      <c r="BI11" s="296">
        <f>(IF('Section Load'!AP14&gt;0,'Section Load'!AP14,0))</f>
        <v>0</v>
      </c>
      <c r="BJ11" s="296">
        <f>(IF('Section Load'!AQ14&gt;0,'Section Load'!AQ14,0))</f>
        <v>100</v>
      </c>
      <c r="BK11" s="296">
        <f>(IF('Section Load'!AR14&gt;0,'Section Load'!AR14,0))</f>
        <v>47</v>
      </c>
      <c r="BL11" s="296">
        <f>(IF('Section Load'!AS14&gt;0,'Section Load'!AS14,0))</f>
        <v>0</v>
      </c>
      <c r="BM11" s="296">
        <f>(IF('Section Load'!AT14&gt;0,'Section Load'!AT14,0))</f>
        <v>616.43000000029861</v>
      </c>
    </row>
    <row r="12" spans="1:65">
      <c r="A12" s="287" t="s">
        <v>268</v>
      </c>
      <c r="B12" s="288">
        <f t="shared" si="0"/>
        <v>11</v>
      </c>
      <c r="C12" s="288">
        <v>2</v>
      </c>
      <c r="D12" s="288">
        <v>2023</v>
      </c>
      <c r="E12" s="294">
        <f>(IF('Section Load'!F15&gt;0,'Section Load'!F15,0))</f>
        <v>3210.4599999999627</v>
      </c>
      <c r="F12" s="294">
        <f>(IF('Section Load'!G15&gt;0,'Section Load'!G15,0))</f>
        <v>1366.1900000000023</v>
      </c>
      <c r="G12" s="294">
        <f>(IF('Section Load'!H15&gt;0,'Section Load'!H15,0))</f>
        <v>2416.75</v>
      </c>
      <c r="H12" s="294">
        <f>(IF('Section Load'!I15&gt;0,'Section Load'!I15,0))</f>
        <v>2794.2199999999721</v>
      </c>
      <c r="I12" s="294">
        <f>(IF('Section Load'!J15&gt;0,'Section Load'!J15,0))</f>
        <v>2718.2099999999627</v>
      </c>
      <c r="J12" s="294">
        <f>(IF('Section Load'!K15&gt;0,'Section Load'!K15,0))</f>
        <v>2619.8699999999953</v>
      </c>
      <c r="K12" s="294">
        <f>(IF('Section Load'!L15&gt;0,'Section Load'!L15,0))</f>
        <v>1156.9499999999534</v>
      </c>
      <c r="L12" s="294">
        <f>(IF('Section Load'!M15&gt;0,'Section Load'!M15,0))</f>
        <v>1010.4699999999721</v>
      </c>
      <c r="M12" s="294">
        <f>(IF('Section Load'!N15&gt;0,'Section Load'!N15,0))</f>
        <v>105</v>
      </c>
      <c r="N12" s="294">
        <f>(IF('Section Load'!O15&gt;0,'Section Load'!O15,0))</f>
        <v>121</v>
      </c>
      <c r="O12" s="294">
        <f>(IF('Section Load'!P15&gt;0,'Section Load'!P15,0))</f>
        <v>30.9399999999996</v>
      </c>
      <c r="P12" s="294">
        <f>(IF('Section Load'!Q15&gt;0,'Section Load'!Q15,0))</f>
        <v>250.93999999997322</v>
      </c>
      <c r="Q12" s="294">
        <f>(IF('Section Load'!R15&gt;0,'Section Load'!R15,0))</f>
        <v>81.900000000001455</v>
      </c>
      <c r="R12" s="294">
        <f>(IF('Section Load'!S15&gt;0,'Section Load'!S15,0))</f>
        <v>191</v>
      </c>
      <c r="S12" s="294">
        <f>(IF('Section Load'!T15&gt;0,'Section Load'!T15,0))</f>
        <v>31</v>
      </c>
      <c r="T12" s="294">
        <f>(IF('Section Load'!U15&gt;0,'Section Load'!U15,0))</f>
        <v>232</v>
      </c>
      <c r="U12" s="294">
        <f>(IF('Section Load'!V15&gt;0,'Section Load'!V15,0))</f>
        <v>368</v>
      </c>
      <c r="V12" s="294">
        <f>(IF('Section Load'!W15&gt;0,'Section Load'!W15,0))</f>
        <v>361</v>
      </c>
      <c r="W12" s="294">
        <f>(IF('Section Load'!X15&gt;0,'Section Load'!X15,0))</f>
        <v>28.909999999999854</v>
      </c>
      <c r="X12" s="294">
        <f>(IF('Section Load'!Y15&gt;0,'Section Load'!Y15,0))</f>
        <v>258.63999999999942</v>
      </c>
      <c r="Y12" s="294">
        <f>(IF('Section Load'!Z15&gt;0,'Section Load'!Z15,0))</f>
        <v>353</v>
      </c>
      <c r="Z12" s="294">
        <f>(IF('Section Load'!AA15&gt;0,'Section Load'!AA15,0))</f>
        <v>162</v>
      </c>
      <c r="AA12" s="294">
        <f>(IF('Section Load'!AB15&gt;0,'Section Load'!AB15,0))</f>
        <v>53.299999999999727</v>
      </c>
      <c r="AB12" s="294">
        <f>(IF('Section Load'!AC15&gt;0,'Section Load'!AC15,0))</f>
        <v>4.680000000000291</v>
      </c>
      <c r="AC12" s="294">
        <f>(IF('Section Load'!AD15&gt;0,'Section Load'!AD15,0))</f>
        <v>1.7000000000007276</v>
      </c>
      <c r="AD12" s="294">
        <f>(IF('Section Load'!AE15&gt;0,'Section Load'!AE15,0))</f>
        <v>429</v>
      </c>
      <c r="AE12" s="294">
        <f>(IF('Section Load'!AF15&gt;0,'Section Load'!AF15,0))</f>
        <v>209.10000000000582</v>
      </c>
      <c r="AF12" s="294">
        <f>(IF('Section Load'!AG15&gt;0,'Section Load'!AG15,0))</f>
        <v>728.60000000000582</v>
      </c>
      <c r="AG12" s="294">
        <f>(IF('Section Load'!AH15&gt;0,'Section Load'!AH15,0))</f>
        <v>61.419999999998254</v>
      </c>
      <c r="AH12" s="294">
        <f>(IF('Section Load'!AI15&gt;0,'Section Load'!AI15,0))</f>
        <v>388.30000000000291</v>
      </c>
      <c r="AI12" s="294">
        <f>(IF('Section Load'!AJ15&gt;0,'Section Load'!AJ15,0))</f>
        <v>450.39999999999418</v>
      </c>
      <c r="AJ12" s="294">
        <f>(IF('Section Load'!AK15&gt;0,'Section Load'!AK15,0))</f>
        <v>319.30000000000291</v>
      </c>
      <c r="AK12" s="294">
        <f>(IF('Section Load'!AL15&gt;0,'Section Load'!AL15,0))</f>
        <v>307</v>
      </c>
      <c r="AL12" s="294">
        <f>(IF('Section Load'!AM15&gt;0,'Section Load'!AM15,0))</f>
        <v>860</v>
      </c>
      <c r="AM12" s="295">
        <f>(IF('Water Report'!$N$7&gt;0,'Water Report'!$N$7,0))</f>
        <v>0</v>
      </c>
      <c r="AN12" s="295">
        <f>(IF('Water Report'!$N$8&gt;0,'Water Report'!$N$8,0))</f>
        <v>132</v>
      </c>
      <c r="AO12" s="295">
        <f>(IF('Water Report'!$N$9&gt;0,'Water Report'!$N$9,0))</f>
        <v>106</v>
      </c>
      <c r="AP12" s="295">
        <f>(IF('Water Report'!$N$10&gt;0,'Water Report'!$N$10,0))</f>
        <v>10</v>
      </c>
      <c r="AQ12" s="295">
        <f>(IF('Water Report'!$N$11&gt;0,'Water Report'!$N$11,0))</f>
        <v>36</v>
      </c>
      <c r="AR12" s="295">
        <f>(IF('Water Report'!$N$13&gt;0,'Water Report'!$N$13,0))</f>
        <v>8</v>
      </c>
      <c r="AS12" s="295">
        <f>(IF('Water Report'!$N$14&gt;0,'Water Report'!$N$14,0))</f>
        <v>3</v>
      </c>
      <c r="AT12" s="295">
        <f>(IF('Water Report'!$N$15&gt;0,'Water Report'!$N$15,0))</f>
        <v>6</v>
      </c>
      <c r="AU12" s="295">
        <f>(IF('Water Report'!$N$17&gt;0,'Water Report'!$N$17,0))</f>
        <v>2</v>
      </c>
      <c r="AV12" s="295">
        <f>(IF('Water Report'!$N$18&gt;0,'Water Report'!$N$18,0))</f>
        <v>11</v>
      </c>
      <c r="AW12" s="295">
        <f>(IF('Water Report'!$N$19&gt;0,'Water Report'!$N$19,0))</f>
        <v>12</v>
      </c>
      <c r="AX12" s="301">
        <f>(IF('Water Report'!$N$21&gt;0,'Water Report'!$N$21,0))</f>
        <v>109</v>
      </c>
      <c r="AY12" s="301">
        <f>(IF('Water Report'!$N$22&gt;0,'Water Report'!$N$22,0))</f>
        <v>0</v>
      </c>
      <c r="AZ12" s="301">
        <f>(IF('Water Report'!$N$23&gt;0,'Water Report'!$N$23,0))</f>
        <v>2</v>
      </c>
      <c r="BA12" s="301">
        <f>(IF('Water Report'!$N$14&gt;0,'Water Report'!$N$14,0))</f>
        <v>3</v>
      </c>
      <c r="BB12" s="301">
        <f>(IF('Water Report'!$N$15&gt;0,'Water Report'!$N$15,0))</f>
        <v>6</v>
      </c>
      <c r="BC12" s="301">
        <f>(IF('Water Report'!$N$13&gt;0,'Water Report'!$N$13,0))</f>
        <v>8</v>
      </c>
      <c r="BD12" s="301">
        <f>(IF('Water Report'!$N$24&gt;0,'Water Report'!$N$24,0))</f>
        <v>54</v>
      </c>
      <c r="BE12" s="301">
        <f>(IF('Water Report'!$N$25&gt;0,'Water Report'!$N$25,0))</f>
        <v>161</v>
      </c>
      <c r="BF12" s="301">
        <f>(IF('Water Report'!$N$27&gt;0,'Water Report'!$N$27,0))</f>
        <v>119</v>
      </c>
      <c r="BG12" s="296">
        <f>(IF('Section Load'!AN15&gt;0,'Section Load'!AN15,0))</f>
        <v>1066.4199999999255</v>
      </c>
      <c r="BH12" s="296">
        <f>(IF('Section Load'!AO15&gt;0,'Section Load'!AO15,0))</f>
        <v>295.92000000000007</v>
      </c>
      <c r="BI12" s="296">
        <f>(IF('Section Load'!AP15&gt;0,'Section Load'!AP15,0))</f>
        <v>0</v>
      </c>
      <c r="BJ12" s="296">
        <f>(IF('Section Load'!AQ15&gt;0,'Section Load'!AQ15,0))</f>
        <v>131</v>
      </c>
      <c r="BK12" s="296">
        <f>(IF('Section Load'!AR15&gt;0,'Section Load'!AR15,0))</f>
        <v>49</v>
      </c>
      <c r="BL12" s="296">
        <f>(IF('Section Load'!AS15&gt;0,'Section Load'!AS15,0))</f>
        <v>0</v>
      </c>
      <c r="BM12" s="296">
        <f>(IF('Section Load'!AT15&gt;0,'Section Load'!AT15,0))</f>
        <v>590.49999999992542</v>
      </c>
    </row>
    <row r="13" spans="1:65">
      <c r="A13" s="287" t="s">
        <v>268</v>
      </c>
      <c r="B13" s="288">
        <f t="shared" si="0"/>
        <v>12</v>
      </c>
      <c r="C13" s="288">
        <v>2</v>
      </c>
      <c r="D13" s="288">
        <v>2023</v>
      </c>
      <c r="E13" s="294">
        <f>(IF('Section Load'!F16&gt;0,'Section Load'!F16,0))</f>
        <v>3075.2000000000698</v>
      </c>
      <c r="F13" s="294">
        <f>(IF('Section Load'!G16&gt;0,'Section Load'!G16,0))</f>
        <v>1336.1599999999744</v>
      </c>
      <c r="G13" s="294">
        <f>(IF('Section Load'!H16&gt;0,'Section Load'!H16,0))</f>
        <v>2375.5200000000186</v>
      </c>
      <c r="H13" s="294">
        <f>(IF('Section Load'!I16&gt;0,'Section Load'!I16,0))</f>
        <v>2793.6000000000931</v>
      </c>
      <c r="I13" s="294">
        <f>(IF('Section Load'!J16&gt;0,'Section Load'!J16,0))</f>
        <v>2806.0400000000373</v>
      </c>
      <c r="J13" s="294">
        <f>(IF('Section Load'!K16&gt;0,'Section Load'!K16,0))</f>
        <v>2614.2399999999907</v>
      </c>
      <c r="K13" s="294">
        <f>(IF('Section Load'!L16&gt;0,'Section Load'!L16,0))</f>
        <v>1137.4800000000978</v>
      </c>
      <c r="L13" s="294">
        <f>(IF('Section Load'!M16&gt;0,'Section Load'!M16,0))</f>
        <v>734.44000000000233</v>
      </c>
      <c r="M13" s="294">
        <f>(IF('Section Load'!N16&gt;0,'Section Load'!N16,0))</f>
        <v>112</v>
      </c>
      <c r="N13" s="294">
        <f>(IF('Section Load'!O16&gt;0,'Section Load'!O16,0))</f>
        <v>150</v>
      </c>
      <c r="O13" s="294">
        <f>(IF('Section Load'!P16&gt;0,'Section Load'!P16,0))</f>
        <v>30.980000000000473</v>
      </c>
      <c r="P13" s="294">
        <f>(IF('Section Load'!Q16&gt;0,'Section Load'!Q16,0))</f>
        <v>255.35000000000582</v>
      </c>
      <c r="Q13" s="294">
        <f>(IF('Section Load'!R16&gt;0,'Section Load'!R16,0))</f>
        <v>83</v>
      </c>
      <c r="R13" s="294">
        <f>(IF('Section Load'!S16&gt;0,'Section Load'!S16,0))</f>
        <v>161</v>
      </c>
      <c r="S13" s="294">
        <f>(IF('Section Load'!T16&gt;0,'Section Load'!T16,0))</f>
        <v>30</v>
      </c>
      <c r="T13" s="294">
        <f>(IF('Section Load'!U16&gt;0,'Section Load'!U16,0))</f>
        <v>227</v>
      </c>
      <c r="U13" s="294">
        <f>(IF('Section Load'!V16&gt;0,'Section Load'!V16,0))</f>
        <v>360</v>
      </c>
      <c r="V13" s="294">
        <f>(IF('Section Load'!W16&gt;0,'Section Load'!W16,0))</f>
        <v>321.59999999997672</v>
      </c>
      <c r="W13" s="294">
        <f>(IF('Section Load'!X16&gt;0,'Section Load'!X16,0))</f>
        <v>31.06000000000131</v>
      </c>
      <c r="X13" s="294">
        <f>(IF('Section Load'!Y16&gt;0,'Section Load'!Y16,0))</f>
        <v>53.010000000009313</v>
      </c>
      <c r="Y13" s="294">
        <f>(IF('Section Load'!Z16&gt;0,'Section Load'!Z16,0))</f>
        <v>335</v>
      </c>
      <c r="Z13" s="294">
        <f>(IF('Section Load'!AA16&gt;0,'Section Load'!AA16,0))</f>
        <v>71.099999999976717</v>
      </c>
      <c r="AA13" s="294">
        <f>(IF('Section Load'!AB16&gt;0,'Section Load'!AB16,0))</f>
        <v>50.800000000000182</v>
      </c>
      <c r="AB13" s="294">
        <f>(IF('Section Load'!AC16&gt;0,'Section Load'!AC16,0))</f>
        <v>0</v>
      </c>
      <c r="AC13" s="294">
        <f>(IF('Section Load'!AD16&gt;0,'Section Load'!AD16,0))</f>
        <v>0.6999999999998181</v>
      </c>
      <c r="AD13" s="294">
        <f>(IF('Section Load'!AE16&gt;0,'Section Load'!AE16,0))</f>
        <v>404</v>
      </c>
      <c r="AE13" s="294">
        <f>(IF('Section Load'!AF16&gt;0,'Section Load'!AF16,0))</f>
        <v>234.44999999999709</v>
      </c>
      <c r="AF13" s="294">
        <f>(IF('Section Load'!AG16&gt;0,'Section Load'!AG16,0))</f>
        <v>705.20000000001164</v>
      </c>
      <c r="AG13" s="294">
        <f>(IF('Section Load'!AH16&gt;0,'Section Load'!AH16,0))</f>
        <v>65.400000000001455</v>
      </c>
      <c r="AH13" s="294">
        <f>(IF('Section Load'!AI16&gt;0,'Section Load'!AI16,0))</f>
        <v>387.80000000000291</v>
      </c>
      <c r="AI13" s="294">
        <f>(IF('Section Load'!AJ16&gt;0,'Section Load'!AJ16,0))</f>
        <v>438.89999999999418</v>
      </c>
      <c r="AJ13" s="294">
        <f>(IF('Section Load'!AK16&gt;0,'Section Load'!AK16,0))</f>
        <v>334</v>
      </c>
      <c r="AK13" s="294">
        <f>(IF('Section Load'!AL16&gt;0,'Section Load'!AL16,0))</f>
        <v>317.80000000000291</v>
      </c>
      <c r="AL13" s="294">
        <f>(IF('Section Load'!AM16&gt;0,'Section Load'!AM16,0))</f>
        <v>699</v>
      </c>
      <c r="AM13" s="295">
        <f>(IF('Water Report'!$O$7&gt;0,'Water Report'!$O$7,0))</f>
        <v>0</v>
      </c>
      <c r="AN13" s="295">
        <f>(IF('Water Report'!$O$8&gt;0,'Water Report'!$O$8,0))</f>
        <v>116</v>
      </c>
      <c r="AO13" s="295">
        <f>(IF('Water Report'!$O$9&gt;0,'Water Report'!$O$9,0))</f>
        <v>101</v>
      </c>
      <c r="AP13" s="295">
        <f>(IF('Water Report'!$O$10&gt;0,'Water Report'!$O$10,0))</f>
        <v>9</v>
      </c>
      <c r="AQ13" s="295">
        <f>(IF('Water Report'!$O$11&gt;0,'Water Report'!$O$11,0))</f>
        <v>35</v>
      </c>
      <c r="AR13" s="295">
        <f>(IF('Water Report'!$O$13&gt;0,'Water Report'!$O$13,0))</f>
        <v>13</v>
      </c>
      <c r="AS13" s="295">
        <f>(IF('Water Report'!$O$14&gt;0,'Water Report'!$O$14,0))</f>
        <v>4</v>
      </c>
      <c r="AT13" s="295">
        <f>(IF('Water Report'!$O$15&gt;0,'Water Report'!$O$15,0))</f>
        <v>6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9</v>
      </c>
      <c r="AX13" s="301">
        <f>(IF('Water Report'!$O$21&gt;0,'Water Report'!$O$21,0))</f>
        <v>92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4</v>
      </c>
      <c r="BB13" s="301">
        <f>(IF('Water Report'!$O$15&gt;0,'Water Report'!$O$15,0))</f>
        <v>6</v>
      </c>
      <c r="BC13" s="301">
        <f>(IF('Water Report'!$O$13&gt;0,'Water Report'!$O$13,0))</f>
        <v>13</v>
      </c>
      <c r="BD13" s="301">
        <f>(IF('Water Report'!$O$24&gt;0,'Water Report'!$O$24,0))</f>
        <v>57</v>
      </c>
      <c r="BE13" s="301">
        <f>(IF('Water Report'!$O$25&gt;0,'Water Report'!$O$25,0))</f>
        <v>155</v>
      </c>
      <c r="BF13" s="301">
        <f>(IF('Water Report'!$O$27&gt;0,'Water Report'!$O$27,0))</f>
        <v>105</v>
      </c>
      <c r="BG13" s="296">
        <f>(IF('Section Load'!AN16&gt;0,'Section Load'!AN16,0))</f>
        <v>741.60999999986961</v>
      </c>
      <c r="BH13" s="296">
        <f>(IF('Section Load'!AO16&gt;0,'Section Load'!AO16,0))</f>
        <v>286.07999999999993</v>
      </c>
      <c r="BI13" s="296">
        <f>(IF('Section Load'!AP16&gt;0,'Section Load'!AP16,0))</f>
        <v>0.19999999999708962</v>
      </c>
      <c r="BJ13" s="296">
        <f>(IF('Section Load'!AQ16&gt;0,'Section Load'!AQ16,0))</f>
        <v>112</v>
      </c>
      <c r="BK13" s="296">
        <f>(IF('Section Load'!AR16&gt;0,'Section Load'!AR16,0))</f>
        <v>58</v>
      </c>
      <c r="BL13" s="296">
        <f>(IF('Section Load'!AS16&gt;0,'Section Load'!AS16,0))</f>
        <v>0</v>
      </c>
      <c r="BM13" s="296">
        <f>(IF('Section Load'!AT16&gt;0,'Section Load'!AT16,0))</f>
        <v>285.3299999998726</v>
      </c>
    </row>
    <row r="14" spans="1:65">
      <c r="A14" s="287" t="s">
        <v>268</v>
      </c>
      <c r="B14" s="288">
        <f t="shared" si="0"/>
        <v>13</v>
      </c>
      <c r="C14" s="288">
        <v>2</v>
      </c>
      <c r="D14" s="288">
        <v>2023</v>
      </c>
      <c r="E14" s="294">
        <f>(IF('Section Load'!F17&gt;0,'Section Load'!F17,0))</f>
        <v>2867.609999999986</v>
      </c>
      <c r="F14" s="294">
        <f>(IF('Section Load'!G17&gt;0,'Section Load'!G17,0))</f>
        <v>1353.6500000000233</v>
      </c>
      <c r="G14" s="294">
        <f>(IF('Section Load'!H17&gt;0,'Section Load'!H17,0))</f>
        <v>2302.1600000000326</v>
      </c>
      <c r="H14" s="294">
        <f>(IF('Section Load'!I17&gt;0,'Section Load'!I17,0))</f>
        <v>2751.4099999999162</v>
      </c>
      <c r="I14" s="294">
        <f>(IF('Section Load'!J17&gt;0,'Section Load'!J17,0))</f>
        <v>3416.8399999999674</v>
      </c>
      <c r="J14" s="294">
        <f>(IF('Section Load'!K17&gt;0,'Section Load'!K17,0))</f>
        <v>2558.9600000000792</v>
      </c>
      <c r="K14" s="294">
        <f>(IF('Section Load'!L17&gt;0,'Section Load'!L17,0))</f>
        <v>1562.5199999999022</v>
      </c>
      <c r="L14" s="294">
        <f>(IF('Section Load'!M17&gt;0,'Section Load'!M17,0))</f>
        <v>807.09000000002561</v>
      </c>
      <c r="M14" s="294">
        <f>(IF('Section Load'!N17&gt;0,'Section Load'!N17,0))</f>
        <v>120</v>
      </c>
      <c r="N14" s="294">
        <f>(IF('Section Load'!O17&gt;0,'Section Load'!O17,0))</f>
        <v>116</v>
      </c>
      <c r="O14" s="294">
        <f>(IF('Section Load'!P17&gt;0,'Section Load'!P17,0))</f>
        <v>32.889999999999418</v>
      </c>
      <c r="P14" s="294">
        <f>(IF('Section Load'!Q17&gt;0,'Section Load'!Q17,0))</f>
        <v>261.04000000000815</v>
      </c>
      <c r="Q14" s="294">
        <f>(IF('Section Load'!R17&gt;0,'Section Load'!R17,0))</f>
        <v>83.900000000001455</v>
      </c>
      <c r="R14" s="294">
        <f>(IF('Section Load'!S17&gt;0,'Section Load'!S17,0))</f>
        <v>219</v>
      </c>
      <c r="S14" s="294">
        <f>(IF('Section Load'!T17&gt;0,'Section Load'!T17,0))</f>
        <v>37</v>
      </c>
      <c r="T14" s="294">
        <f>(IF('Section Load'!U17&gt;0,'Section Load'!U17,0))</f>
        <v>222</v>
      </c>
      <c r="U14" s="294">
        <f>(IF('Section Load'!V17&gt;0,'Section Load'!V17,0))</f>
        <v>383.92000000004191</v>
      </c>
      <c r="V14" s="294">
        <f>(IF('Section Load'!W17&gt;0,'Section Load'!W17,0))</f>
        <v>300.47999999998137</v>
      </c>
      <c r="W14" s="294">
        <f>(IF('Section Load'!X17&gt;0,'Section Load'!X17,0))</f>
        <v>30.347999999999956</v>
      </c>
      <c r="X14" s="294">
        <f>(IF('Section Load'!Y17&gt;0,'Section Load'!Y17,0))</f>
        <v>50.479999999995925</v>
      </c>
      <c r="Y14" s="294">
        <f>(IF('Section Load'!Z17&gt;0,'Section Load'!Z17,0))</f>
        <v>335</v>
      </c>
      <c r="Z14" s="294">
        <f>(IF('Section Load'!AA17&gt;0,'Section Load'!AA17,0))</f>
        <v>177.94000000000233</v>
      </c>
      <c r="AA14" s="294">
        <f>(IF('Section Load'!AB17&gt;0,'Section Load'!AB17,0))</f>
        <v>55.800000000000182</v>
      </c>
      <c r="AB14" s="294">
        <f>(IF('Section Load'!AC17&gt;0,'Section Load'!AC17,0))</f>
        <v>0</v>
      </c>
      <c r="AC14" s="294">
        <f>(IF('Section Load'!AD17&gt;0,'Section Load'!AD17,0))</f>
        <v>1.3000000000001819</v>
      </c>
      <c r="AD14" s="294">
        <f>(IF('Section Load'!AE17&gt;0,'Section Load'!AE17,0))</f>
        <v>395</v>
      </c>
      <c r="AE14" s="294">
        <f>(IF('Section Load'!AF17&gt;0,'Section Load'!AF17,0))</f>
        <v>220.91999999999825</v>
      </c>
      <c r="AF14" s="294">
        <f>(IF('Section Load'!AG17&gt;0,'Section Load'!AG17,0))</f>
        <v>695.97000000000116</v>
      </c>
      <c r="AG14" s="294">
        <f>(IF('Section Load'!AH17&gt;0,'Section Load'!AH17,0))</f>
        <v>58.599999999998545</v>
      </c>
      <c r="AH14" s="294">
        <f>(IF('Section Load'!AI17&gt;0,'Section Load'!AI17,0))</f>
        <v>374.19999999999709</v>
      </c>
      <c r="AI14" s="294">
        <f>(IF('Section Load'!AJ17&gt;0,'Section Load'!AJ17,0))</f>
        <v>424.10000000000582</v>
      </c>
      <c r="AJ14" s="294">
        <f>(IF('Section Load'!AK17&gt;0,'Section Load'!AK17,0))</f>
        <v>305.75</v>
      </c>
      <c r="AK14" s="294">
        <f>(IF('Section Load'!AL17&gt;0,'Section Load'!AL17,0))</f>
        <v>306.24700000000303</v>
      </c>
      <c r="AL14" s="294">
        <f>(IF('Section Load'!AM17&gt;0,'Section Load'!AM17,0))</f>
        <v>536</v>
      </c>
      <c r="AM14" s="295">
        <f>(IF('Water Report'!$P$7&gt;0,'Water Report'!$P$7,0))</f>
        <v>0</v>
      </c>
      <c r="AN14" s="295">
        <f>(IF('Water Report'!$P$8&gt;0,'Water Report'!$P$8,0))</f>
        <v>91</v>
      </c>
      <c r="AO14" s="295">
        <f>(IF('Water Report'!$P$9&gt;0,'Water Report'!$P$9,0))</f>
        <v>83</v>
      </c>
      <c r="AP14" s="295">
        <f>(IF('Water Report'!$P$10&gt;0,'Water Report'!$P$10,0))</f>
        <v>9</v>
      </c>
      <c r="AQ14" s="295">
        <f>(IF('Water Report'!$P$11&gt;0,'Water Report'!$P$11,0))</f>
        <v>32</v>
      </c>
      <c r="AR14" s="295">
        <f>(IF('Water Report'!$P$13&gt;0,'Water Report'!$P$13,0))</f>
        <v>9</v>
      </c>
      <c r="AS14" s="295">
        <f>(IF('Water Report'!$P$14&gt;0,'Water Report'!$P$14,0))</f>
        <v>7</v>
      </c>
      <c r="AT14" s="295">
        <f>(IF('Water Report'!$P$15&gt;0,'Water Report'!$P$15,0))</f>
        <v>11</v>
      </c>
      <c r="AU14" s="295">
        <f>(IF('Water Report'!$P$17&gt;0,'Water Report'!$P$17,0))</f>
        <v>4</v>
      </c>
      <c r="AV14" s="295">
        <f>(IF('Water Report'!$P$18&gt;0,'Water Report'!$P$18,0))</f>
        <v>0</v>
      </c>
      <c r="AW14" s="295">
        <f>(IF('Water Report'!$P$19&gt;0,'Water Report'!$P$19,0))</f>
        <v>9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7</v>
      </c>
      <c r="BB14" s="301">
        <f>(IF('Water Report'!$P$15&gt;0,'Water Report'!$P$15,0))</f>
        <v>11</v>
      </c>
      <c r="BC14" s="301">
        <f>(IF('Water Report'!$P$13&gt;0,'Water Report'!$P$13,0))</f>
        <v>9</v>
      </c>
      <c r="BD14" s="301">
        <f>(IF('Water Report'!$P$24&gt;0,'Water Report'!$P$24,0))</f>
        <v>64</v>
      </c>
      <c r="BE14" s="301">
        <f>(IF('Water Report'!$P$25&gt;0,'Water Report'!$P$25,0))</f>
        <v>142</v>
      </c>
      <c r="BF14" s="301">
        <f>(IF('Water Report'!$P$27&gt;0,'Water Report'!$P$27,0))</f>
        <v>87</v>
      </c>
      <c r="BG14" s="296">
        <f>(IF('Section Load'!AN17&gt;0,'Section Load'!AN17,0))</f>
        <v>738.41360000008717</v>
      </c>
      <c r="BH14" s="296">
        <f>(IF('Section Load'!AO17&gt;0,'Section Load'!AO17,0))</f>
        <v>299</v>
      </c>
      <c r="BI14" s="296">
        <f>(IF('Section Load'!AP17&gt;0,'Section Load'!AP17,0))</f>
        <v>0</v>
      </c>
      <c r="BJ14" s="296">
        <f>(IF('Section Load'!AQ17&gt;0,'Section Load'!AQ17,0))</f>
        <v>105</v>
      </c>
      <c r="BK14" s="296">
        <f>(IF('Section Load'!AR17&gt;0,'Section Load'!AR17,0))</f>
        <v>48</v>
      </c>
      <c r="BL14" s="296">
        <f>(IF('Section Load'!AS17&gt;0,'Section Load'!AS17,0))</f>
        <v>0</v>
      </c>
      <c r="BM14" s="296">
        <f>(IF('Section Load'!AT17&gt;0,'Section Load'!AT17,0))</f>
        <v>286.81360000008135</v>
      </c>
    </row>
    <row r="15" spans="1:65">
      <c r="A15" s="287" t="s">
        <v>268</v>
      </c>
      <c r="B15" s="288">
        <f t="shared" si="0"/>
        <v>14</v>
      </c>
      <c r="C15" s="288">
        <v>2</v>
      </c>
      <c r="D15" s="288">
        <v>2023</v>
      </c>
      <c r="E15" s="294">
        <f>(IF('Section Load'!F18&gt;0,'Section Load'!F18,0))</f>
        <v>3173.7299999999814</v>
      </c>
      <c r="F15" s="294">
        <f>(IF('Section Load'!G18&gt;0,'Section Load'!G18,0))</f>
        <v>1369.75</v>
      </c>
      <c r="G15" s="294">
        <f>(IF('Section Load'!H18&gt;0,'Section Load'!H18,0))</f>
        <v>2361.4899999999252</v>
      </c>
      <c r="H15" s="294">
        <f>(IF('Section Load'!I18&gt;0,'Section Load'!I18,0))</f>
        <v>2759.5500000000466</v>
      </c>
      <c r="I15" s="294">
        <f>(IF('Section Load'!J18&gt;0,'Section Load'!J18,0))</f>
        <v>3541.0100000000093</v>
      </c>
      <c r="J15" s="294">
        <f>(IF('Section Load'!K18&gt;0,'Section Load'!K18,0))</f>
        <v>2594.0799999999581</v>
      </c>
      <c r="K15" s="294">
        <f>(IF('Section Load'!L18&gt;0,'Section Load'!L18,0))</f>
        <v>1637.7200000000885</v>
      </c>
      <c r="L15" s="294">
        <f>(IF('Section Load'!M18&gt;0,'Section Load'!M18,0))</f>
        <v>948.86999999999534</v>
      </c>
      <c r="M15" s="294">
        <f>(IF('Section Load'!N18&gt;0,'Section Load'!N18,0))</f>
        <v>115</v>
      </c>
      <c r="N15" s="294">
        <f>(IF('Section Load'!O18&gt;0,'Section Load'!O18,0))</f>
        <v>124</v>
      </c>
      <c r="O15" s="294">
        <f>(IF('Section Load'!P18&gt;0,'Section Load'!P18,0))</f>
        <v>30.300000000000182</v>
      </c>
      <c r="P15" s="294">
        <f>(IF('Section Load'!Q18&gt;0,'Section Load'!Q18,0))</f>
        <v>231.04999999998836</v>
      </c>
      <c r="Q15" s="294">
        <f>(IF('Section Load'!R18&gt;0,'Section Load'!R18,0))</f>
        <v>82.534999999996217</v>
      </c>
      <c r="R15" s="294">
        <f>(IF('Section Load'!S18&gt;0,'Section Load'!S18,0))</f>
        <v>226</v>
      </c>
      <c r="S15" s="294">
        <f>(IF('Section Load'!T18&gt;0,'Section Load'!T18,0))</f>
        <v>25</v>
      </c>
      <c r="T15" s="294">
        <f>(IF('Section Load'!U18&gt;0,'Section Load'!U18,0))</f>
        <v>226</v>
      </c>
      <c r="U15" s="294">
        <f>(IF('Section Load'!V18&gt;0,'Section Load'!V18,0))</f>
        <v>395.35999999998603</v>
      </c>
      <c r="V15" s="294">
        <f>(IF('Section Load'!W18&gt;0,'Section Load'!W18,0))</f>
        <v>347.92000000004191</v>
      </c>
      <c r="W15" s="294">
        <f>(IF('Section Load'!X18&gt;0,'Section Load'!X18,0))</f>
        <v>32.331999999998516</v>
      </c>
      <c r="X15" s="294">
        <f>(IF('Section Load'!Y18&gt;0,'Section Load'!Y18,0))</f>
        <v>55.589999999996508</v>
      </c>
      <c r="Y15" s="294">
        <f>(IF('Section Load'!Z18&gt;0,'Section Load'!Z18,0))</f>
        <v>342</v>
      </c>
      <c r="Z15" s="294">
        <f>(IF('Section Load'!AA18&gt;0,'Section Load'!AA18,0))</f>
        <v>158.28000000002794</v>
      </c>
      <c r="AA15" s="294">
        <f>(IF('Section Load'!AB18&gt;0,'Section Load'!AB18,0))</f>
        <v>46.699999999999818</v>
      </c>
      <c r="AB15" s="294">
        <f>(IF('Section Load'!AC18&gt;0,'Section Load'!AC18,0))</f>
        <v>9.5999999999985448</v>
      </c>
      <c r="AC15" s="294">
        <f>(IF('Section Load'!AD18&gt;0,'Section Load'!AD18,0))</f>
        <v>0</v>
      </c>
      <c r="AD15" s="294">
        <f>(IF('Section Load'!AE18&gt;0,'Section Load'!AE18,0))</f>
        <v>410.67999999999302</v>
      </c>
      <c r="AE15" s="294">
        <f>(IF('Section Load'!AF18&gt;0,'Section Load'!AF18,0))</f>
        <v>213.84500000000116</v>
      </c>
      <c r="AF15" s="294">
        <f>(IF('Section Load'!AG18&gt;0,'Section Load'!AG18,0))</f>
        <v>720.57999999998719</v>
      </c>
      <c r="AG15" s="294">
        <f>(IF('Section Load'!AH18&gt;0,'Section Load'!AH18,0))</f>
        <v>60.699000000000524</v>
      </c>
      <c r="AH15" s="294">
        <f>(IF('Section Load'!AI18&gt;0,'Section Load'!AI18,0))</f>
        <v>384.39999999999418</v>
      </c>
      <c r="AI15" s="294">
        <f>(IF('Section Load'!AJ18&gt;0,'Section Load'!AJ18,0))</f>
        <v>431.64000000001397</v>
      </c>
      <c r="AJ15" s="294">
        <f>(IF('Section Load'!AK18&gt;0,'Section Load'!AK18,0))</f>
        <v>280.11999999999534</v>
      </c>
      <c r="AK15" s="294">
        <f>(IF('Section Load'!AL18&gt;0,'Section Load'!AL18,0))</f>
        <v>315.80799999998999</v>
      </c>
      <c r="AL15" s="294">
        <f>(IF('Section Load'!AM18&gt;0,'Section Load'!AM18,0))</f>
        <v>588</v>
      </c>
      <c r="AM15" s="295">
        <f>(IF('Water Report'!$Q$7&gt;0,'Water Report'!$Q$7,0))</f>
        <v>0</v>
      </c>
      <c r="AN15" s="295">
        <f>(IF('Water Report'!$Q$8&gt;0,'Water Report'!$Q$8,0))</f>
        <v>102</v>
      </c>
      <c r="AO15" s="295">
        <f>(IF('Water Report'!$Q$9&gt;0,'Water Report'!$Q$9,0))</f>
        <v>99</v>
      </c>
      <c r="AP15" s="295">
        <f>(IF('Water Report'!$Q$10&gt;0,'Water Report'!$Q$10,0))</f>
        <v>12</v>
      </c>
      <c r="AQ15" s="295">
        <f>(IF('Water Report'!$Q$11&gt;0,'Water Report'!$Q$11,0))</f>
        <v>40</v>
      </c>
      <c r="AR15" s="295">
        <f>(IF('Water Report'!$Q$13&gt;0,'Water Report'!$Q$13,0))</f>
        <v>11</v>
      </c>
      <c r="AS15" s="295">
        <f>(IF('Water Report'!$Q$14&gt;0,'Water Report'!$Q$14,0))</f>
        <v>4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0</v>
      </c>
      <c r="AW15" s="295">
        <f>(IF('Water Report'!$Q$19&gt;0,'Water Report'!$Q$19,0))</f>
        <v>9</v>
      </c>
      <c r="AX15" s="301">
        <f>(IF('Water Report'!$Q$21&gt;0,'Water Report'!$Q$21,0))</f>
        <v>45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4</v>
      </c>
      <c r="BB15" s="301">
        <f>(IF('Water Report'!$Q$15&gt;0,'Water Report'!$Q$15,0))</f>
        <v>6</v>
      </c>
      <c r="BC15" s="301">
        <f>(IF('Water Report'!$Q$13&gt;0,'Water Report'!$Q$13,0))</f>
        <v>11</v>
      </c>
      <c r="BD15" s="301">
        <f>(IF('Water Report'!$Q$24&gt;0,'Water Report'!$Q$24,0))</f>
        <v>174</v>
      </c>
      <c r="BE15" s="301">
        <f>(IF('Water Report'!$Q$25&gt;0,'Water Report'!$Q$25,0))</f>
        <v>161</v>
      </c>
      <c r="BF15" s="301">
        <f>(IF('Water Report'!$Q$27&gt;0,'Water Report'!$Q$27,0))</f>
        <v>56</v>
      </c>
      <c r="BG15" s="296">
        <f>(IF('Section Load'!AN18&gt;0,'Section Load'!AN18,0))</f>
        <v>823.97640000004321</v>
      </c>
      <c r="BH15" s="296">
        <f>(IF('Section Load'!AO18&gt;0,'Section Load'!AO18,0))</f>
        <v>286</v>
      </c>
      <c r="BI15" s="296">
        <f>(IF('Section Load'!AP18&gt;0,'Section Load'!AP18,0))</f>
        <v>0</v>
      </c>
      <c r="BJ15" s="296">
        <f>(IF('Section Load'!AQ18&gt;0,'Section Load'!AQ18,0))</f>
        <v>113</v>
      </c>
      <c r="BK15" s="296">
        <f>(IF('Section Load'!AR18&gt;0,'Section Load'!AR18,0))</f>
        <v>64</v>
      </c>
      <c r="BL15" s="296">
        <f>(IF('Section Load'!AS18&gt;0,'Section Load'!AS18,0))</f>
        <v>0</v>
      </c>
      <c r="BM15" s="296">
        <f>(IF('Section Load'!AT18&gt;0,'Section Load'!AT18,0))</f>
        <v>360.97640000004321</v>
      </c>
    </row>
    <row r="16" spans="1:65">
      <c r="A16" s="287" t="s">
        <v>268</v>
      </c>
      <c r="B16" s="288">
        <f t="shared" si="0"/>
        <v>15</v>
      </c>
      <c r="C16" s="288">
        <v>2</v>
      </c>
      <c r="D16" s="288">
        <v>2023</v>
      </c>
      <c r="E16" s="294">
        <f>(IF('Section Load'!F19&gt;0,'Section Load'!F19,0))</f>
        <v>3189.8299999999581</v>
      </c>
      <c r="F16" s="294">
        <f>(IF('Section Load'!G19&gt;0,'Section Load'!G19,0))</f>
        <v>1354.6900000000023</v>
      </c>
      <c r="G16" s="294">
        <f>(IF('Section Load'!H19&gt;0,'Section Load'!H19,0))</f>
        <v>2676.2399999999907</v>
      </c>
      <c r="H16" s="294">
        <f>(IF('Section Load'!I19&gt;0,'Section Load'!I19,0))</f>
        <v>2852.25</v>
      </c>
      <c r="I16" s="294">
        <f>(IF('Section Load'!J19&gt;0,'Section Load'!J19,0))</f>
        <v>3568.9700000000885</v>
      </c>
      <c r="J16" s="294">
        <f>(IF('Section Load'!K19&gt;0,'Section Load'!K19,0))</f>
        <v>2608.25</v>
      </c>
      <c r="K16" s="294">
        <f>(IF('Section Load'!L19&gt;0,'Section Load'!L19,0))</f>
        <v>1526.3299999999581</v>
      </c>
      <c r="L16" s="294">
        <f>(IF('Section Load'!M19&gt;0,'Section Load'!M19,0))</f>
        <v>1252</v>
      </c>
      <c r="M16" s="294">
        <f>(IF('Section Load'!N19&gt;0,'Section Load'!N19,0))</f>
        <v>107</v>
      </c>
      <c r="N16" s="294">
        <f>(IF('Section Load'!O19&gt;0,'Section Load'!O19,0))</f>
        <v>155</v>
      </c>
      <c r="O16" s="294">
        <f>(IF('Section Load'!P19&gt;0,'Section Load'!P19,0))</f>
        <v>33</v>
      </c>
      <c r="P16" s="294">
        <f>(IF('Section Load'!Q19&gt;0,'Section Load'!Q19,0))</f>
        <v>306.19000000000233</v>
      </c>
      <c r="Q16" s="294">
        <f>(IF('Section Load'!R19&gt;0,'Section Load'!R19,0))</f>
        <v>82.665000000000873</v>
      </c>
      <c r="R16" s="294">
        <f>(IF('Section Load'!S19&gt;0,'Section Load'!S19,0))</f>
        <v>322</v>
      </c>
      <c r="S16" s="294">
        <f>(IF('Section Load'!T19&gt;0,'Section Load'!T19,0))</f>
        <v>49</v>
      </c>
      <c r="T16" s="294">
        <f>(IF('Section Load'!U19&gt;0,'Section Load'!U19,0))</f>
        <v>234</v>
      </c>
      <c r="U16" s="294">
        <f>(IF('Section Load'!V19&gt;0,'Section Load'!V19,0))</f>
        <v>380.71999999997206</v>
      </c>
      <c r="V16" s="294">
        <f>(IF('Section Load'!W19&gt;0,'Section Load'!W19,0))</f>
        <v>411.11999999999534</v>
      </c>
      <c r="W16" s="294">
        <f>(IF('Section Load'!X19&gt;0,'Section Load'!X19,0))</f>
        <v>29.950000000000728</v>
      </c>
      <c r="X16" s="294">
        <f>(IF('Section Load'!Y19&gt;0,'Section Load'!Y19,0))</f>
        <v>242.91999999999825</v>
      </c>
      <c r="Y16" s="294">
        <f>(IF('Section Load'!Z19&gt;0,'Section Load'!Z19,0))</f>
        <v>426</v>
      </c>
      <c r="Z16" s="294">
        <f>(IF('Section Load'!AA19&gt;0,'Section Load'!AA19,0))</f>
        <v>157.20000000001164</v>
      </c>
      <c r="AA16" s="294">
        <f>(IF('Section Load'!AB19&gt;0,'Section Load'!AB19,0))</f>
        <v>46</v>
      </c>
      <c r="AB16" s="294">
        <f>(IF('Section Load'!AC19&gt;0,'Section Load'!AC19,0))</f>
        <v>8.4000000000014552</v>
      </c>
      <c r="AC16" s="294">
        <f>(IF('Section Load'!AD19&gt;0,'Section Load'!AD19,0))</f>
        <v>0</v>
      </c>
      <c r="AD16" s="294">
        <f>(IF('Section Load'!AE19&gt;0,'Section Load'!AE19,0))</f>
        <v>415.32000000000698</v>
      </c>
      <c r="AE16" s="294">
        <f>(IF('Section Load'!AF19&gt;0,'Section Load'!AF19,0))</f>
        <v>241.38500000000931</v>
      </c>
      <c r="AF16" s="294">
        <f>(IF('Section Load'!AG19&gt;0,'Section Load'!AG19,0))</f>
        <v>710.92000000001281</v>
      </c>
      <c r="AG16" s="294">
        <f>(IF('Section Load'!AH19&gt;0,'Section Load'!AH19,0))</f>
        <v>56.601000000002387</v>
      </c>
      <c r="AH16" s="294">
        <f>(IF('Section Load'!AI19&gt;0,'Section Load'!AI19,0))</f>
        <v>400.60000000000582</v>
      </c>
      <c r="AI16" s="294">
        <f>(IF('Section Load'!AJ19&gt;0,'Section Load'!AJ19,0))</f>
        <v>436.35999999998603</v>
      </c>
      <c r="AJ16" s="294">
        <f>(IF('Section Load'!AK19&gt;0,'Section Load'!AK19,0))</f>
        <v>298.10000000000582</v>
      </c>
      <c r="AK16" s="294">
        <f>(IF('Section Load'!AL19&gt;0,'Section Load'!AL19,0))</f>
        <v>314.14500000000407</v>
      </c>
      <c r="AL16" s="294">
        <f>(IF('Section Load'!AM19&gt;0,'Section Load'!AM19,0))</f>
        <v>724</v>
      </c>
      <c r="AM16" s="295">
        <f>(IF('Water Report'!$R$7&gt;0,'Water Report'!$R$7,0))</f>
        <v>52</v>
      </c>
      <c r="AN16" s="295">
        <f>(IF('Water Report'!$R$8&gt;0,'Water Report'!$R$8,0))</f>
        <v>89</v>
      </c>
      <c r="AO16" s="295">
        <f>(IF('Water Report'!$R$9&gt;0,'Water Report'!$R$9,0))</f>
        <v>145</v>
      </c>
      <c r="AP16" s="295">
        <f>(IF('Water Report'!$R$10&gt;0,'Water Report'!$R$10,0))</f>
        <v>9</v>
      </c>
      <c r="AQ16" s="295">
        <f>(IF('Water Report'!$R$11&gt;0,'Water Report'!$R$11,0))</f>
        <v>16</v>
      </c>
      <c r="AR16" s="295">
        <f>(IF('Water Report'!$R$13&gt;0,'Water Report'!$R$13,0))</f>
        <v>17</v>
      </c>
      <c r="AS16" s="295">
        <f>(IF('Water Report'!$R$14&gt;0,'Water Report'!$R$14,0))</f>
        <v>9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11</v>
      </c>
      <c r="AW16" s="295">
        <f>(IF('Water Report'!$R$19&gt;0,'Water Report'!$R$19,0))</f>
        <v>15</v>
      </c>
      <c r="AX16" s="301">
        <f>(IF('Water Report'!$R$21&gt;0,'Water Report'!$R$21,0))</f>
        <v>159</v>
      </c>
      <c r="AY16" s="301">
        <f>(IF('Water Report'!$R$22&gt;0,'Water Report'!$R$22,0))</f>
        <v>0</v>
      </c>
      <c r="AZ16" s="301">
        <f>(IF('Water Report'!$R$23&gt;0,'Water Report'!$R$23,0))</f>
        <v>13</v>
      </c>
      <c r="BA16" s="301">
        <f>(IF('Water Report'!$R$14&gt;0,'Water Report'!$R$14,0))</f>
        <v>9</v>
      </c>
      <c r="BB16" s="301">
        <f>(IF('Water Report'!$R$15&gt;0,'Water Report'!$R$15,0))</f>
        <v>7</v>
      </c>
      <c r="BC16" s="301">
        <f>(IF('Water Report'!$R$13&gt;0,'Water Report'!$R$13,0))</f>
        <v>17</v>
      </c>
      <c r="BD16" s="301">
        <f>(IF('Water Report'!$R$24&gt;0,'Water Report'!$R$24,0))</f>
        <v>308</v>
      </c>
      <c r="BE16" s="301">
        <f>(IF('Water Report'!$R$25&gt;0,'Water Report'!$R$25,0))</f>
        <v>186</v>
      </c>
      <c r="BF16" s="301">
        <f>(IF('Water Report'!$R$27&gt;0,'Water Report'!$R$27,0))</f>
        <v>189</v>
      </c>
      <c r="BG16" s="296">
        <f>(IF('Section Load'!AN19&gt;0,'Section Load'!AN19,0))</f>
        <v>1071</v>
      </c>
      <c r="BH16" s="296">
        <f>(IF('Section Load'!AO19&gt;0,'Section Load'!AO19,0))</f>
        <v>326.70999999999913</v>
      </c>
      <c r="BI16" s="296">
        <f>(IF('Section Load'!AP19&gt;0,'Section Load'!AP19,0))</f>
        <v>0.19999999999708962</v>
      </c>
      <c r="BJ16" s="296">
        <f>(IF('Section Load'!AQ19&gt;0,'Section Load'!AQ19,0))</f>
        <v>122</v>
      </c>
      <c r="BK16" s="296">
        <f>(IF('Section Load'!AR19&gt;0,'Section Load'!AR19,0))</f>
        <v>49</v>
      </c>
      <c r="BL16" s="296">
        <f>(IF('Section Load'!AS19&gt;0,'Section Load'!AS19,0))</f>
        <v>0</v>
      </c>
      <c r="BM16" s="296">
        <f>(IF('Section Load'!AT19&gt;0,'Section Load'!AT19,0))</f>
        <v>573.09000000000378</v>
      </c>
    </row>
    <row r="17" spans="1:65">
      <c r="A17" s="287" t="s">
        <v>268</v>
      </c>
      <c r="B17" s="288">
        <f t="shared" si="0"/>
        <v>16</v>
      </c>
      <c r="C17" s="288">
        <v>2</v>
      </c>
      <c r="D17" s="288">
        <v>2023</v>
      </c>
      <c r="E17" s="294">
        <f>(IF('Section Load'!F20&gt;0,'Section Load'!F20,0))</f>
        <v>3462.7099999999627</v>
      </c>
      <c r="F17" s="294">
        <f>(IF('Section Load'!G20&gt;0,'Section Load'!G20,0))</f>
        <v>1415.6300000000047</v>
      </c>
      <c r="G17" s="294">
        <f>(IF('Section Load'!H20&gt;0,'Section Load'!H20,0))</f>
        <v>2706.9099999999817</v>
      </c>
      <c r="H17" s="294">
        <f>(IF('Section Load'!I20&gt;0,'Section Load'!I20,0))</f>
        <v>2907.109999999986</v>
      </c>
      <c r="I17" s="294">
        <f>(IF('Section Load'!J20&gt;0,'Section Load'!J20,0))</f>
        <v>3528.0599999999395</v>
      </c>
      <c r="J17" s="294">
        <f>(IF('Section Load'!K20&gt;0,'Section Load'!K20,0))</f>
        <v>2706.1500000000233</v>
      </c>
      <c r="K17" s="294">
        <f>(IF('Section Load'!L20&gt;0,'Section Load'!L20,0))</f>
        <v>1797.5500000000466</v>
      </c>
      <c r="L17" s="294">
        <f>(IF('Section Load'!M20&gt;0,'Section Load'!M20,0))</f>
        <v>1219.8400000000256</v>
      </c>
      <c r="M17" s="294">
        <f>(IF('Section Load'!N20&gt;0,'Section Load'!N20,0))</f>
        <v>131</v>
      </c>
      <c r="N17" s="294">
        <f>(IF('Section Load'!O20&gt;0,'Section Load'!O20,0))</f>
        <v>155</v>
      </c>
      <c r="O17" s="294">
        <f>(IF('Section Load'!P20&gt;0,'Section Load'!P20,0))</f>
        <v>37</v>
      </c>
      <c r="P17" s="294">
        <f>(IF('Section Load'!Q20&gt;0,'Section Load'!Q20,0))</f>
        <v>259.76000000000931</v>
      </c>
      <c r="Q17" s="294">
        <f>(IF('Section Load'!R20&gt;0,'Section Load'!R20,0))</f>
        <v>91.989999999997963</v>
      </c>
      <c r="R17" s="294">
        <f>(IF('Section Load'!S20&gt;0,'Section Load'!S20,0))</f>
        <v>98</v>
      </c>
      <c r="S17" s="294">
        <f>(IF('Section Load'!T20&gt;0,'Section Load'!T20,0))</f>
        <v>55</v>
      </c>
      <c r="T17" s="294">
        <f>(IF('Section Load'!U20&gt;0,'Section Load'!U20,0))</f>
        <v>232</v>
      </c>
      <c r="U17" s="294">
        <f>(IF('Section Load'!V20&gt;0,'Section Load'!V20,0))</f>
        <v>403</v>
      </c>
      <c r="V17" s="294">
        <f>(IF('Section Load'!W20&gt;0,'Section Load'!W20,0))</f>
        <v>353.76000000000931</v>
      </c>
      <c r="W17" s="294">
        <f>(IF('Section Load'!X20&gt;0,'Section Load'!X20,0))</f>
        <v>34.1299999999992</v>
      </c>
      <c r="X17" s="294">
        <f>(IF('Section Load'!Y20&gt;0,'Section Load'!Y20,0))</f>
        <v>262.59000000001106</v>
      </c>
      <c r="Y17" s="294">
        <f>(IF('Section Load'!Z20&gt;0,'Section Load'!Z20,0))</f>
        <v>388</v>
      </c>
      <c r="Z17" s="294">
        <f>(IF('Section Load'!AA20&gt;0,'Section Load'!AA20,0))</f>
        <v>178.47999999998137</v>
      </c>
      <c r="AA17" s="294">
        <f>(IF('Section Load'!AB20&gt;0,'Section Load'!AB20,0))</f>
        <v>64</v>
      </c>
      <c r="AB17" s="294">
        <f>(IF('Section Load'!AC20&gt;0,'Section Load'!AC20,0))</f>
        <v>4.6300000000010186</v>
      </c>
      <c r="AC17" s="294">
        <f>(IF('Section Load'!AD20&gt;0,'Section Load'!AD20,0))</f>
        <v>0</v>
      </c>
      <c r="AD17" s="294">
        <f>(IF('Section Load'!AE20&gt;0,'Section Load'!AE20,0))</f>
        <v>428.04999999998836</v>
      </c>
      <c r="AE17" s="294">
        <f>(IF('Section Load'!AF20&gt;0,'Section Load'!AF20,0))</f>
        <v>241.36000000000058</v>
      </c>
      <c r="AF17" s="294">
        <f>(IF('Section Load'!AG20&gt;0,'Section Load'!AG20,0))</f>
        <v>664.83999999999651</v>
      </c>
      <c r="AG17" s="294">
        <f>(IF('Section Load'!AH20&gt;0,'Section Load'!AH20,0))</f>
        <v>58.889999999999418</v>
      </c>
      <c r="AH17" s="294">
        <f>(IF('Section Load'!AI20&gt;0,'Section Load'!AI20,0))</f>
        <v>430.60000000000582</v>
      </c>
      <c r="AI17" s="294">
        <f>(IF('Section Load'!AJ20&gt;0,'Section Load'!AJ20,0))</f>
        <v>461.63000000000466</v>
      </c>
      <c r="AJ17" s="294">
        <f>(IF('Section Load'!AK20&gt;0,'Section Load'!AK20,0))</f>
        <v>301.09999999999127</v>
      </c>
      <c r="AK17" s="294">
        <f>(IF('Section Load'!AL20&gt;0,'Section Load'!AL20,0))</f>
        <v>318.61999999999534</v>
      </c>
      <c r="AL17" s="294">
        <f>(IF('Section Load'!AM20&gt;0,'Section Load'!AM20,0))</f>
        <v>775</v>
      </c>
      <c r="AM17" s="295">
        <f>(IF('Water Report'!$S$7&gt;0,'Water Report'!$S$7,0))</f>
        <v>85</v>
      </c>
      <c r="AN17" s="295">
        <f>(IF('Water Report'!$S$8&gt;0,'Water Report'!$S$8,0))</f>
        <v>127</v>
      </c>
      <c r="AO17" s="295">
        <f>(IF('Water Report'!$S$9&gt;0,'Water Report'!$S$9,0))</f>
        <v>132</v>
      </c>
      <c r="AP17" s="295">
        <f>(IF('Water Report'!$S$10&gt;0,'Water Report'!$D$10,0))</f>
        <v>29</v>
      </c>
      <c r="AQ17" s="295">
        <f>(IF('Water Report'!$S$11&gt;0,'Water Report'!$D$11,0))</f>
        <v>7</v>
      </c>
      <c r="AR17" s="295">
        <f>(IF('Water Report'!$S$13&gt;0,'Water Report'!$D$13,0))</f>
        <v>15</v>
      </c>
      <c r="AS17" s="295">
        <f>(IF('Water Report'!$S$14&gt;0,'Water Report'!$D$14,0))</f>
        <v>5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14</v>
      </c>
      <c r="AX17" s="301">
        <f>(IF('Water Report'!$S$21&gt;0,'Water Report'!$D$21,0))</f>
        <v>154</v>
      </c>
      <c r="AY17" s="301">
        <f>(IF('Water Report'!$S$22&gt;0,'Water Report'!$D$22,0))</f>
        <v>0</v>
      </c>
      <c r="AZ17" s="301">
        <f>(IF('Water Report'!$S$23&gt;0,'Water Report'!$D$23,0))</f>
        <v>7</v>
      </c>
      <c r="BA17" s="301">
        <f>(IF('Water Report'!$S$14&gt;0,'Water Report'!$D$14,0))</f>
        <v>5</v>
      </c>
      <c r="BB17" s="301">
        <f>(IF('Water Report'!$S$15&gt;0,'Water Report'!$D$15,0))</f>
        <v>8</v>
      </c>
      <c r="BC17" s="301">
        <f>(IF('Water Report'!$S$13&gt;0,'Water Report'!$D$13,0))</f>
        <v>15</v>
      </c>
      <c r="BD17" s="301">
        <f>(IF('Water Report'!$S$24&gt;0,'Water Report'!$D$24,0))</f>
        <v>222</v>
      </c>
      <c r="BE17" s="301">
        <f>(IF('Water Report'!$S$25&gt;0,'Water Report'!$D$25,0))</f>
        <v>178</v>
      </c>
      <c r="BF17" s="301">
        <f>(IF('Water Report'!$S$27&gt;0,'Water Report'!$D$27,0))</f>
        <v>176</v>
      </c>
      <c r="BG17" s="296">
        <f>(IF('Section Load'!AN20&gt;0,'Section Load'!AN20,0))</f>
        <v>1110</v>
      </c>
      <c r="BH17" s="296">
        <f>(IF('Section Load'!AO20&gt;0,'Section Load'!AO20,0))</f>
        <v>318.63999999999942</v>
      </c>
      <c r="BI17" s="296">
        <f>(IF('Section Load'!AP20&gt;0,'Section Load'!AP20,0))</f>
        <v>0</v>
      </c>
      <c r="BJ17" s="296">
        <f>(IF('Section Load'!AQ20&gt;0,'Section Load'!AQ20,0))</f>
        <v>154</v>
      </c>
      <c r="BK17" s="296">
        <f>(IF('Section Load'!AR20&gt;0,'Section Load'!AR20,0))</f>
        <v>56.599999999998545</v>
      </c>
      <c r="BL17" s="296">
        <f>(IF('Section Load'!AS20&gt;0,'Section Load'!AS20,0))</f>
        <v>0</v>
      </c>
      <c r="BM17" s="296">
        <f>(IF('Section Load'!AT20&gt;0,'Section Load'!AT20,0))</f>
        <v>580.76000000000204</v>
      </c>
    </row>
    <row r="18" spans="1:65">
      <c r="A18" s="287" t="s">
        <v>268</v>
      </c>
      <c r="B18" s="288">
        <f t="shared" si="0"/>
        <v>17</v>
      </c>
      <c r="C18" s="288">
        <v>2</v>
      </c>
      <c r="D18" s="288">
        <v>2023</v>
      </c>
      <c r="E18" s="294">
        <f>(IF('Section Load'!F21&gt;0,'Section Load'!F21,0))</f>
        <v>3505.4900000001071</v>
      </c>
      <c r="F18" s="294">
        <f>(IF('Section Load'!G21&gt;0,'Section Load'!G21,0))</f>
        <v>1531.3699999999953</v>
      </c>
      <c r="G18" s="294">
        <f>(IF('Section Load'!H21&gt;0,'Section Load'!H21,0))</f>
        <v>2781.9300000000512</v>
      </c>
      <c r="H18" s="294">
        <f>(IF('Section Load'!I21&gt;0,'Section Load'!I21,0))</f>
        <v>2889.4400000000605</v>
      </c>
      <c r="I18" s="294">
        <f>(IF('Section Load'!J21&gt;0,'Section Load'!J21,0))</f>
        <v>4460.8000000000466</v>
      </c>
      <c r="J18" s="294">
        <f>(IF('Section Load'!K21&gt;0,'Section Load'!K21,0))</f>
        <v>2772.8499999999767</v>
      </c>
      <c r="K18" s="294">
        <f>(IF('Section Load'!L21&gt;0,'Section Load'!L21,0))</f>
        <v>1798.4499999999534</v>
      </c>
      <c r="L18" s="294">
        <f>(IF('Section Load'!M21&gt;0,'Section Load'!M21,0))</f>
        <v>1213.289999999979</v>
      </c>
      <c r="M18" s="294">
        <f>(IF('Section Load'!N21&gt;0,'Section Load'!N21,0))</f>
        <v>139</v>
      </c>
      <c r="N18" s="294">
        <f>(IF('Section Load'!O21&gt;0,'Section Load'!O21,0))</f>
        <v>185</v>
      </c>
      <c r="O18" s="294">
        <f>(IF('Section Load'!P21&gt;0,'Section Load'!P21,0))</f>
        <v>36</v>
      </c>
      <c r="P18" s="294">
        <f>(IF('Section Load'!Q21&gt;0,'Section Load'!Q21,0))</f>
        <v>252</v>
      </c>
      <c r="Q18" s="294">
        <f>(IF('Section Load'!R21&gt;0,'Section Load'!R21,0))</f>
        <v>101.88000000000466</v>
      </c>
      <c r="R18" s="294">
        <f>(IF('Section Load'!S21&gt;0,'Section Load'!S21,0))</f>
        <v>234</v>
      </c>
      <c r="S18" s="294">
        <f>(IF('Section Load'!T21&gt;0,'Section Load'!T21,0))</f>
        <v>57</v>
      </c>
      <c r="T18" s="294">
        <f>(IF('Section Load'!U21&gt;0,'Section Load'!U21,0))</f>
        <v>254</v>
      </c>
      <c r="U18" s="294">
        <f>(IF('Section Load'!V21&gt;0,'Section Load'!V21,0))</f>
        <v>433</v>
      </c>
      <c r="V18" s="294">
        <f>(IF('Section Load'!W21&gt;0,'Section Load'!W21,0))</f>
        <v>439.22999999998137</v>
      </c>
      <c r="W18" s="294">
        <f>(IF('Section Load'!X21&gt;0,'Section Load'!X21,0))</f>
        <v>27.8700000000008</v>
      </c>
      <c r="X18" s="294">
        <f>(IF('Section Load'!Y21&gt;0,'Section Load'!Y21,0))</f>
        <v>260.86000000000058</v>
      </c>
      <c r="Y18" s="294">
        <f>(IF('Section Load'!Z21&gt;0,'Section Load'!Z21,0))</f>
        <v>389</v>
      </c>
      <c r="Z18" s="294">
        <f>(IF('Section Load'!AA21&gt;0,'Section Load'!AA21,0))</f>
        <v>180.20000000001164</v>
      </c>
      <c r="AA18" s="294">
        <f>(IF('Section Load'!AB21&gt;0,'Section Load'!AB21,0))</f>
        <v>53</v>
      </c>
      <c r="AB18" s="294">
        <f>(IF('Section Load'!AC21&gt;0,'Section Load'!AC21,0))</f>
        <v>3.3699999999989814</v>
      </c>
      <c r="AC18" s="294">
        <f>(IF('Section Load'!AD21&gt;0,'Section Load'!AD21,0))</f>
        <v>9</v>
      </c>
      <c r="AD18" s="294">
        <f>(IF('Section Load'!AE21&gt;0,'Section Load'!AE21,0))</f>
        <v>394.27000000001863</v>
      </c>
      <c r="AE18" s="294">
        <f>(IF('Section Load'!AF21&gt;0,'Section Load'!AF21,0))</f>
        <v>191.50999999999476</v>
      </c>
      <c r="AF18" s="294">
        <f>(IF('Section Load'!AG21&gt;0,'Section Load'!AG21,0))</f>
        <v>706.4199999999837</v>
      </c>
      <c r="AG18" s="294">
        <f>(IF('Section Load'!AH21&gt;0,'Section Load'!AH21,0))</f>
        <v>60.809999999997672</v>
      </c>
      <c r="AH18" s="294">
        <f>(IF('Section Load'!AI21&gt;0,'Section Load'!AI21,0))</f>
        <v>412.6299999999901</v>
      </c>
      <c r="AI18" s="294">
        <f>(IF('Section Load'!AJ21&gt;0,'Section Load'!AJ21,0))</f>
        <v>468.97000000000116</v>
      </c>
      <c r="AJ18" s="294">
        <f>(IF('Section Load'!AK21&gt;0,'Section Load'!AK21,0))</f>
        <v>281.80000000000291</v>
      </c>
      <c r="AK18" s="294">
        <f>(IF('Section Load'!AL21&gt;0,'Section Load'!AL21,0))</f>
        <v>311.01000000000931</v>
      </c>
      <c r="AL18" s="294">
        <f>(IF('Section Load'!AM21&gt;0,'Section Load'!AM21,0))</f>
        <v>880</v>
      </c>
      <c r="AM18" s="295">
        <f>(IF('Water Report'!$T$7&gt;0,'Water Report'!$T$7,0))</f>
        <v>144</v>
      </c>
      <c r="AN18" s="295">
        <f>(IF('Water Report'!$T$8&gt;0,'Water Report'!$T$8,0))</f>
        <v>76</v>
      </c>
      <c r="AO18" s="295">
        <f>(IF('Water Report'!$T$9&gt;0,'Water Report'!$T$9,0))</f>
        <v>133</v>
      </c>
      <c r="AP18" s="295">
        <f>(IF('Water Report'!$T$10&gt;0,'Water Report'!$T$10,0))</f>
        <v>13</v>
      </c>
      <c r="AQ18" s="295">
        <f>(IF('Water Report'!$T$11&gt;0,'Water Report'!$T$11,0))</f>
        <v>22</v>
      </c>
      <c r="AR18" s="295">
        <f>(IF('Water Report'!$T$13&gt;0,'Water Report'!$T$13,0))</f>
        <v>28</v>
      </c>
      <c r="AS18" s="295">
        <f>(IF('Water Report'!$T$14&gt;0,'Water Report'!$T$14,0))</f>
        <v>4</v>
      </c>
      <c r="AT18" s="295">
        <f>(IF('Water Report'!$T$15&gt;0,'Water Report'!$T$15,0))</f>
        <v>13</v>
      </c>
      <c r="AU18" s="295">
        <f>(IF('Water Report'!$T$17&gt;0,'Water Report'!$T$17,0))</f>
        <v>0</v>
      </c>
      <c r="AV18" s="295">
        <f>(IF('Water Report'!$T$18&gt;0,'Water Report'!$T$18,0))</f>
        <v>13</v>
      </c>
      <c r="AW18" s="295">
        <f>(IF('Water Report'!$T$19&gt;0,'Water Report'!$T$19,0))</f>
        <v>12</v>
      </c>
      <c r="AX18" s="301">
        <f>(IF('Water Report'!$T$21&gt;0,'Water Report'!$T$21,0))</f>
        <v>136</v>
      </c>
      <c r="AY18" s="301">
        <f>(IF('Water Report'!$T$22&gt;0,'Water Report'!$T$22,0))</f>
        <v>0</v>
      </c>
      <c r="AZ18" s="301">
        <f>(IF('Water Report'!$T$23&gt;0,'Water Report'!$T$23,0))</f>
        <v>7</v>
      </c>
      <c r="BA18" s="301">
        <f>(IF('Water Report'!$T$14&gt;0,'Water Report'!$T$14,0))</f>
        <v>4</v>
      </c>
      <c r="BB18" s="301">
        <f>(IF('Water Report'!$T$15&gt;0,'Water Report'!$T$15,0))</f>
        <v>13</v>
      </c>
      <c r="BC18" s="301">
        <f>(IF('Water Report'!$T$13&gt;0,'Water Report'!$T$13,0))</f>
        <v>28</v>
      </c>
      <c r="BD18" s="301">
        <f>(IF('Water Report'!$T$24&gt;0,'Water Report'!$T$24,0))</f>
        <v>279</v>
      </c>
      <c r="BE18" s="301">
        <f>(IF('Water Report'!$T$25&gt;0,'Water Report'!$T$25,0))</f>
        <v>185</v>
      </c>
      <c r="BF18" s="301">
        <f>(IF('Water Report'!$T$27&gt;0,'Water Report'!$T$27,0))</f>
        <v>171</v>
      </c>
      <c r="BG18" s="296">
        <f>(IF('Section Load'!AN21&gt;0,'Section Load'!AN21,0))</f>
        <v>1229</v>
      </c>
      <c r="BH18" s="296">
        <f>(IF('Section Load'!AO21&gt;0,'Section Load'!AO21,0))</f>
        <v>305.65000000000146</v>
      </c>
      <c r="BI18" s="296">
        <f>(IF('Section Load'!AP21&gt;0,'Section Load'!AP21,0))</f>
        <v>0</v>
      </c>
      <c r="BJ18" s="296">
        <f>(IF('Section Load'!AQ21&gt;0,'Section Load'!AQ21,0))</f>
        <v>148</v>
      </c>
      <c r="BK18" s="296">
        <f>(IF('Section Load'!AR21&gt;0,'Section Load'!AR21,0))</f>
        <v>61.400000000001455</v>
      </c>
      <c r="BL18" s="296">
        <f>(IF('Section Load'!AS21&gt;0,'Section Load'!AS21,0))</f>
        <v>0</v>
      </c>
      <c r="BM18" s="296">
        <f>(IF('Section Load'!AT21&gt;0,'Section Load'!AT21,0))</f>
        <v>713.94999999999709</v>
      </c>
    </row>
    <row r="19" spans="1:65">
      <c r="A19" s="287" t="s">
        <v>268</v>
      </c>
      <c r="B19" s="288">
        <f t="shared" si="0"/>
        <v>18</v>
      </c>
      <c r="C19" s="288">
        <v>2</v>
      </c>
      <c r="D19" s="288">
        <v>2023</v>
      </c>
      <c r="E19" s="294">
        <f>(IF('Section Load'!F22&gt;0,'Section Load'!F22,0))</f>
        <v>3468.3499999999767</v>
      </c>
      <c r="F19" s="294">
        <f>(IF('Section Load'!G22&gt;0,'Section Load'!G22,0))</f>
        <v>1258.5489999999991</v>
      </c>
      <c r="G19" s="294">
        <f>(IF('Section Load'!H22&gt;0,'Section Load'!H22,0))</f>
        <v>2661.7299999999814</v>
      </c>
      <c r="H19" s="294">
        <f>(IF('Section Load'!I22&gt;0,'Section Load'!I22,0))</f>
        <v>2879.4899999998743</v>
      </c>
      <c r="I19" s="294">
        <f>(IF('Section Load'!J22&gt;0,'Section Load'!J22,0))</f>
        <v>3962.7699999999022</v>
      </c>
      <c r="J19" s="294">
        <f>(IF('Section Load'!K22&gt;0,'Section Load'!K22,0))</f>
        <v>2447.0999999999767</v>
      </c>
      <c r="K19" s="294">
        <f>(IF('Section Load'!L22&gt;0,'Section Load'!L22,0))</f>
        <v>1837.1899999999441</v>
      </c>
      <c r="L19" s="294">
        <f>(IF('Section Load'!M22&gt;0,'Section Load'!M22,0))</f>
        <v>1264.9099999999744</v>
      </c>
      <c r="M19" s="294">
        <f>(IF('Section Load'!N22&gt;0,'Section Load'!N22,0))</f>
        <v>139</v>
      </c>
      <c r="N19" s="294">
        <f>(IF('Section Load'!O22&gt;0,'Section Load'!O22,0))</f>
        <v>154</v>
      </c>
      <c r="O19" s="294">
        <f>(IF('Section Load'!P22&gt;0,'Section Load'!P22,0))</f>
        <v>32</v>
      </c>
      <c r="P19" s="294">
        <f>(IF('Section Load'!Q22&gt;0,'Section Load'!Q22,0))</f>
        <v>267.5</v>
      </c>
      <c r="Q19" s="294">
        <f>(IF('Section Load'!R22&gt;0,'Section Load'!R22,0))</f>
        <v>98.229999999995925</v>
      </c>
      <c r="R19" s="294">
        <f>(IF('Section Load'!S22&gt;0,'Section Load'!S22,0))</f>
        <v>235</v>
      </c>
      <c r="S19" s="294">
        <f>(IF('Section Load'!T22&gt;0,'Section Load'!T22,0))</f>
        <v>41</v>
      </c>
      <c r="T19" s="294">
        <f>(IF('Section Load'!U22&gt;0,'Section Load'!U22,0))</f>
        <v>257</v>
      </c>
      <c r="U19" s="294">
        <f>(IF('Section Load'!V22&gt;0,'Section Load'!V22,0))</f>
        <v>408.31999999994878</v>
      </c>
      <c r="V19" s="294">
        <f>(IF('Section Load'!W22&gt;0,'Section Load'!W22,0))</f>
        <v>444.93000000005122</v>
      </c>
      <c r="W19" s="294">
        <f>(IF('Section Load'!X22&gt;0,'Section Load'!X22,0))</f>
        <v>34.5</v>
      </c>
      <c r="X19" s="294">
        <f>(IF('Section Load'!Y22&gt;0,'Section Load'!Y22,0))</f>
        <v>269.97999999999593</v>
      </c>
      <c r="Y19" s="294">
        <f>(IF('Section Load'!Z22&gt;0,'Section Load'!Z22,0))</f>
        <v>369</v>
      </c>
      <c r="Z19" s="294">
        <f>(IF('Section Load'!AA22&gt;0,'Section Load'!AA22,0))</f>
        <v>178.44000000000233</v>
      </c>
      <c r="AA19" s="294">
        <f>(IF('Section Load'!AB22&gt;0,'Section Load'!AB22,0))</f>
        <v>51.300000000000182</v>
      </c>
      <c r="AB19" s="294">
        <f>(IF('Section Load'!AC22&gt;0,'Section Load'!AC22,0))</f>
        <v>11.75</v>
      </c>
      <c r="AC19" s="294">
        <f>(IF('Section Load'!AD22&gt;0,'Section Load'!AD22,0))</f>
        <v>1.5</v>
      </c>
      <c r="AD19" s="294">
        <f>(IF('Section Load'!AE22&gt;0,'Section Load'!AE22,0))</f>
        <v>422.41000000000349</v>
      </c>
      <c r="AE19" s="294">
        <f>(IF('Section Load'!AF22&gt;0,'Section Load'!AF22,0))</f>
        <v>292.13000000000466</v>
      </c>
      <c r="AF19" s="294">
        <f>(IF('Section Load'!AG22&gt;0,'Section Load'!AG22,0))</f>
        <v>687.07000000000698</v>
      </c>
      <c r="AG19" s="294">
        <f>(IF('Section Load'!AH22&gt;0,'Section Load'!AH22,0))</f>
        <v>71.05000000000291</v>
      </c>
      <c r="AH19" s="294">
        <f>(IF('Section Load'!AI22&gt;0,'Section Load'!AI22,0))</f>
        <v>404.49000000000524</v>
      </c>
      <c r="AI19" s="294">
        <f>(IF('Section Load'!AJ22&gt;0,'Section Load'!AJ22,0))</f>
        <v>520.89999999999418</v>
      </c>
      <c r="AJ19" s="294">
        <f>(IF('Section Load'!AK22&gt;0,'Section Load'!AK22,0))</f>
        <v>283.33000000000175</v>
      </c>
      <c r="AK19" s="294">
        <f>(IF('Section Load'!AL22&gt;0,'Section Load'!AL22,0))</f>
        <v>306.51900000000023</v>
      </c>
      <c r="AL19" s="294">
        <f>(IF('Section Load'!AM22&gt;0,'Section Load'!AM22,0))</f>
        <v>0</v>
      </c>
      <c r="AM19" s="295">
        <f>(IF('Water Report'!$U$7&gt;0,'Water Report'!$U$7,0))</f>
        <v>92</v>
      </c>
      <c r="AN19" s="295">
        <f>(IF('Water Report'!$U$8&gt;0,'Water Report'!$U$8,0))</f>
        <v>90</v>
      </c>
      <c r="AO19" s="295">
        <f>(IF('Water Report'!$U$9&gt;0,'Water Report'!$U$9,0))</f>
        <v>162</v>
      </c>
      <c r="AP19" s="295">
        <f>(IF('Water Report'!$U$10&gt;0,'Water Report'!$U$10,0))</f>
        <v>10</v>
      </c>
      <c r="AQ19" s="295">
        <f>(IF('Water Report'!$U$11&gt;0,'Water Report'!$U$11,0))</f>
        <v>28</v>
      </c>
      <c r="AR19" s="295">
        <f>(IF('Water Report'!$U$13&gt;0,'Water Report'!$U$13,0))</f>
        <v>30</v>
      </c>
      <c r="AS19" s="295">
        <f>(IF('Water Report'!$U$14&gt;0,'Water Report'!$U$14,0))</f>
        <v>4</v>
      </c>
      <c r="AT19" s="295">
        <f>(IF('Water Report'!$U$15&gt;0,'Water Report'!$U$15,0))</f>
        <v>7</v>
      </c>
      <c r="AU19" s="295">
        <f>(IF('Water Report'!$U$17&gt;0,'Water Report'!$U$17,0))</f>
        <v>1</v>
      </c>
      <c r="AV19" s="295">
        <f>(IF('Water Report'!$U$18&gt;0,'Water Report'!$U$18,0))</f>
        <v>10</v>
      </c>
      <c r="AW19" s="295">
        <f>(IF('Water Report'!$U$19&gt;0,'Water Report'!$U$19,0))</f>
        <v>17</v>
      </c>
      <c r="AX19" s="301">
        <f>(IF('Water Report'!$U$21&gt;0,'Water Report'!$U$21,0))</f>
        <v>114</v>
      </c>
      <c r="AY19" s="301">
        <f>(IF('Water Report'!$U$22&gt;0,'Water Report'!$U$22,0))</f>
        <v>0</v>
      </c>
      <c r="AZ19" s="301">
        <f>(IF('Water Report'!$U$23&gt;0,'Water Report'!$U$23,0))</f>
        <v>8</v>
      </c>
      <c r="BA19" s="301">
        <f>(IF('Water Report'!$U$14&gt;0,'Water Report'!$U$14,0))</f>
        <v>4</v>
      </c>
      <c r="BB19" s="301">
        <f>(IF('Water Report'!$U$15&gt;0,'Water Report'!$U$15,0))</f>
        <v>7</v>
      </c>
      <c r="BC19" s="301">
        <f>(IF('Water Report'!$U$13&gt;0,'Water Report'!$U$13,0))</f>
        <v>30</v>
      </c>
      <c r="BD19" s="301">
        <f>(IF('Water Report'!$U$24&gt;0,'Water Report'!$U$24,0))</f>
        <v>235</v>
      </c>
      <c r="BE19" s="301">
        <f>(IF('Water Report'!$U$25&gt;0,'Water Report'!$U$25,0))</f>
        <v>211</v>
      </c>
      <c r="BF19" s="301">
        <f>(IF('Water Report'!$U$27&gt;0,'Water Report'!$U$27,0))</f>
        <v>152</v>
      </c>
      <c r="BG19" s="296">
        <f>(IF('Section Load'!AN22&gt;0,'Section Load'!AN22,0))</f>
        <v>1250</v>
      </c>
      <c r="BH19" s="296">
        <f>(IF('Section Load'!AO22&gt;0,'Section Load'!AO22,0))</f>
        <v>307.56000000000131</v>
      </c>
      <c r="BI19" s="296">
        <f>(IF('Section Load'!AP22&gt;0,'Section Load'!AP22,0))</f>
        <v>0</v>
      </c>
      <c r="BJ19" s="296">
        <f>(IF('Section Load'!AQ22&gt;0,'Section Load'!AQ22,0))</f>
        <v>57</v>
      </c>
      <c r="BK19" s="296">
        <f>(IF('Section Load'!AR22&gt;0,'Section Load'!AR22,0))</f>
        <v>60.80000000000291</v>
      </c>
      <c r="BL19" s="296">
        <f>(IF('Section Load'!AS22&gt;0,'Section Load'!AS22,0))</f>
        <v>0</v>
      </c>
      <c r="BM19" s="296">
        <f>(IF('Section Load'!AT22&gt;0,'Section Load'!AT22,0))</f>
        <v>824.63999999999578</v>
      </c>
    </row>
    <row r="20" spans="1:65">
      <c r="A20" s="287" t="s">
        <v>268</v>
      </c>
      <c r="B20" s="288">
        <f t="shared" si="0"/>
        <v>19</v>
      </c>
      <c r="C20" s="288">
        <v>2</v>
      </c>
      <c r="D20" s="288">
        <v>2023</v>
      </c>
      <c r="E20" s="294">
        <f>(IF('Section Load'!F23&gt;0,'Section Load'!F23,0))</f>
        <v>3305.1899999999441</v>
      </c>
      <c r="F20" s="294">
        <f>(IF('Section Load'!G23&gt;0,'Section Load'!G23,0))</f>
        <v>1356.4810000000289</v>
      </c>
      <c r="G20" s="294">
        <f>(IF('Section Load'!H23&gt;0,'Section Load'!H23,0))</f>
        <v>2578.5</v>
      </c>
      <c r="H20" s="294">
        <f>(IF('Section Load'!I23&gt;0,'Section Load'!I23,0))</f>
        <v>2894.4300000000512</v>
      </c>
      <c r="I20" s="294">
        <f>(IF('Section Load'!J23&gt;0,'Section Load'!J23,0))</f>
        <v>4257.4400000000605</v>
      </c>
      <c r="J20" s="294">
        <f>(IF('Section Load'!K23&gt;0,'Section Load'!K23,0))</f>
        <v>2367.8000000000466</v>
      </c>
      <c r="K20" s="294">
        <f>(IF('Section Load'!L23&gt;0,'Section Load'!L23,0))</f>
        <v>1450.4000000000233</v>
      </c>
      <c r="L20" s="294">
        <f>(IF('Section Load'!M23&gt;0,'Section Load'!M23,0))</f>
        <v>1068.640000000014</v>
      </c>
      <c r="M20" s="294">
        <f>(IF('Section Load'!N23&gt;0,'Section Load'!N23,0))</f>
        <v>135</v>
      </c>
      <c r="N20" s="294">
        <f>(IF('Section Load'!O23&gt;0,'Section Load'!O23,0))</f>
        <v>154</v>
      </c>
      <c r="O20" s="294">
        <f>(IF('Section Load'!P23&gt;0,'Section Load'!P23,0))</f>
        <v>34</v>
      </c>
      <c r="P20" s="294">
        <f>(IF('Section Load'!Q23&gt;0,'Section Load'!Q23,0))</f>
        <v>250.64999999999418</v>
      </c>
      <c r="Q20" s="294">
        <f>(IF('Section Load'!R23&gt;0,'Section Load'!R23,0))</f>
        <v>95.900000000001455</v>
      </c>
      <c r="R20" s="294">
        <f>(IF('Section Load'!S23&gt;0,'Section Load'!S23,0))</f>
        <v>189</v>
      </c>
      <c r="S20" s="294">
        <f>(IF('Section Load'!T23&gt;0,'Section Load'!T23,0))</f>
        <v>25</v>
      </c>
      <c r="T20" s="294">
        <f>(IF('Section Load'!U23&gt;0,'Section Load'!U23,0))</f>
        <v>244</v>
      </c>
      <c r="U20" s="294">
        <f>(IF('Section Load'!V23&gt;0,'Section Load'!V23,0))</f>
        <v>406.96000000007916</v>
      </c>
      <c r="V20" s="294">
        <f>(IF('Section Load'!W23&gt;0,'Section Load'!W23,0))</f>
        <v>396.88000000000466</v>
      </c>
      <c r="W20" s="294">
        <f>(IF('Section Load'!X23&gt;0,'Section Load'!X23,0))</f>
        <v>37.200000000000728</v>
      </c>
      <c r="X20" s="294">
        <f>(IF('Section Load'!Y23&gt;0,'Section Load'!Y23,0))</f>
        <v>313.25999999999476</v>
      </c>
      <c r="Y20" s="294">
        <f>(IF('Section Load'!Z23&gt;0,'Section Load'!Z23,0))</f>
        <v>366</v>
      </c>
      <c r="Z20" s="294">
        <f>(IF('Section Load'!AA23&gt;0,'Section Load'!AA23,0))</f>
        <v>70.320000000006985</v>
      </c>
      <c r="AA20" s="294">
        <f>(IF('Section Load'!AB23&gt;0,'Section Load'!AB23,0))</f>
        <v>39.199999999999818</v>
      </c>
      <c r="AB20" s="294">
        <f>(IF('Section Load'!AC23&gt;0,'Section Load'!AC23,0))</f>
        <v>12.169999999998254</v>
      </c>
      <c r="AC20" s="294">
        <f>(IF('Section Load'!AD23&gt;0,'Section Load'!AD23,0))</f>
        <v>0.1000000000003638</v>
      </c>
      <c r="AD20" s="294">
        <f>(IF('Section Load'!AE23&gt;0,'Section Load'!AE23,0))</f>
        <v>400.56999999997788</v>
      </c>
      <c r="AE20" s="294">
        <f>(IF('Section Load'!AF23&gt;0,'Section Load'!AF23,0))</f>
        <v>240</v>
      </c>
      <c r="AF20" s="294">
        <f>(IF('Section Load'!AG23&gt;0,'Section Load'!AG23,0))</f>
        <v>715.19000000000233</v>
      </c>
      <c r="AG20" s="294">
        <f>(IF('Section Load'!AH23&gt;0,'Section Load'!AH23,0))</f>
        <v>69.94999999999709</v>
      </c>
      <c r="AH20" s="294">
        <f>(IF('Section Load'!AI23&gt;0,'Section Load'!AI23,0))</f>
        <v>399.27999999999884</v>
      </c>
      <c r="AI20" s="294">
        <f>(IF('Section Load'!AJ23&gt;0,'Section Load'!AJ23,0))</f>
        <v>413.5</v>
      </c>
      <c r="AJ20" s="294">
        <f>(IF('Section Load'!AK23&gt;0,'Section Load'!AK23,0))</f>
        <v>293.69999999999709</v>
      </c>
      <c r="AK20" s="294">
        <f>(IF('Section Load'!AL23&gt;0,'Section Load'!AL23,0))</f>
        <v>307.85099999999511</v>
      </c>
      <c r="AL20" s="294">
        <f>(IF('Section Load'!AM23&gt;0,'Section Load'!AM23,0))</f>
        <v>0</v>
      </c>
      <c r="AM20" s="295">
        <f>(IF('Water Report'!$V$7&gt;0,'Water Report'!$V$7,0))</f>
        <v>74</v>
      </c>
      <c r="AN20" s="295">
        <f>(IF('Water Report'!$V$8&gt;0,'Water Report'!$V$8,0))</f>
        <v>110</v>
      </c>
      <c r="AO20" s="295">
        <f>(IF('Water Report'!$V$9&gt;0,'Water Report'!$V$9,0))</f>
        <v>108</v>
      </c>
      <c r="AP20" s="295">
        <f>(IF('Water Report'!$V$10&gt;0,'Water Report'!$V$10,0))</f>
        <v>12</v>
      </c>
      <c r="AQ20" s="295">
        <f>(IF('Water Report'!$V$11&gt;0,'Water Report'!$V$11,0))</f>
        <v>20</v>
      </c>
      <c r="AR20" s="295">
        <f>(IF('Water Report'!$V$13&gt;0,'Water Report'!$V$13,0))</f>
        <v>22</v>
      </c>
      <c r="AS20" s="295">
        <f>(IF('Water Report'!$V$14&gt;0,'Water Report'!$V$14,0))</f>
        <v>3</v>
      </c>
      <c r="AT20" s="295">
        <f>(IF('Water Report'!$V$15&gt;0,'Water Report'!$V$15,0))</f>
        <v>5</v>
      </c>
      <c r="AU20" s="295">
        <f>(IF('Water Report'!$V$17&gt;0,'Water Report'!$V$17,0))</f>
        <v>1</v>
      </c>
      <c r="AV20" s="295">
        <f>(IF('Water Report'!$V$18&gt;0,'Water Report'!$V$18,0))</f>
        <v>15</v>
      </c>
      <c r="AW20" s="295">
        <f>(IF('Water Report'!$V$19&gt;0,'Water Report'!$V$19,0))</f>
        <v>15</v>
      </c>
      <c r="AX20" s="301">
        <f>(IF('Water Report'!$V$21&gt;0,'Water Report'!$V$21,0))</f>
        <v>99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3</v>
      </c>
      <c r="BB20" s="301">
        <f>(IF('Water Report'!$V$15&gt;0,'Water Report'!$V$15,0))</f>
        <v>5</v>
      </c>
      <c r="BC20" s="301">
        <f>(IF('Water Report'!$V$13&gt;0,'Water Report'!$V$13,0))</f>
        <v>22</v>
      </c>
      <c r="BD20" s="301">
        <f>(IF('Water Report'!$V$24&gt;0,'Water Report'!$V$24,0))</f>
        <v>239</v>
      </c>
      <c r="BE20" s="301">
        <f>(IF('Water Report'!$V$25&gt;0,'Water Report'!$V$25,0))</f>
        <v>148</v>
      </c>
      <c r="BF20" s="301">
        <f>(IF('Water Report'!$V$27&gt;0,'Water Report'!$V$27,0))</f>
        <v>121</v>
      </c>
      <c r="BG20" s="296">
        <f>(IF('Section Load'!AN23&gt;0,'Section Load'!AN23,0))</f>
        <v>1250</v>
      </c>
      <c r="BH20" s="296">
        <f>(IF('Section Load'!AO23&gt;0,'Section Load'!AO23,0))</f>
        <v>305.5099999999984</v>
      </c>
      <c r="BI20" s="296">
        <f>(IF('Section Load'!AP23&gt;0,'Section Load'!AP23,0))</f>
        <v>0</v>
      </c>
      <c r="BJ20" s="296">
        <f>(IF('Section Load'!AQ23&gt;0,'Section Load'!AQ23,0))</f>
        <v>216</v>
      </c>
      <c r="BK20" s="296">
        <f>(IF('Section Load'!AR23&gt;0,'Section Load'!AR23,0))</f>
        <v>54.19999999999709</v>
      </c>
      <c r="BL20" s="296">
        <f>(IF('Section Load'!AS23&gt;0,'Section Load'!AS23,0))</f>
        <v>0</v>
      </c>
      <c r="BM20" s="296">
        <f>(IF('Section Load'!AT23&gt;0,'Section Load'!AT23,0))</f>
        <v>674.29000000000451</v>
      </c>
    </row>
    <row r="21" spans="1:65">
      <c r="A21" s="287" t="s">
        <v>268</v>
      </c>
      <c r="B21" s="288">
        <f t="shared" si="0"/>
        <v>20</v>
      </c>
      <c r="C21" s="288">
        <v>2</v>
      </c>
      <c r="D21" s="288">
        <v>2023</v>
      </c>
      <c r="E21" s="294">
        <f>(IF('Section Load'!F24&gt;0,'Section Load'!F24,0))</f>
        <v>3448.4300000000512</v>
      </c>
      <c r="F21" s="294">
        <f>(IF('Section Load'!G24&gt;0,'Section Load'!G24,0))</f>
        <v>1472.5299999999697</v>
      </c>
      <c r="G21" s="294">
        <f>(IF('Section Load'!H24&gt;0,'Section Load'!H24,0))</f>
        <v>2652.7700000000186</v>
      </c>
      <c r="H21" s="294">
        <f>(IF('Section Load'!I24&gt;0,'Section Load'!I24,0))</f>
        <v>3029.5</v>
      </c>
      <c r="I21" s="294">
        <f>(IF('Section Load'!J24&gt;0,'Section Load'!J24,0))</f>
        <v>3986.3699999999953</v>
      </c>
      <c r="J21" s="294">
        <f>(IF('Section Load'!K24&gt;0,'Section Load'!K24,0))</f>
        <v>2442.0999999999767</v>
      </c>
      <c r="K21" s="294">
        <f>(IF('Section Load'!L24&gt;0,'Section Load'!L24,0))</f>
        <v>1719.4100000000326</v>
      </c>
      <c r="L21" s="294">
        <f>(IF('Section Load'!M24&gt;0,'Section Load'!M24,0))</f>
        <v>1063.4500000000116</v>
      </c>
      <c r="M21" s="294">
        <f>(IF('Section Load'!N24&gt;0,'Section Load'!N24,0))</f>
        <v>123</v>
      </c>
      <c r="N21" s="294">
        <f>(IF('Section Load'!O24&gt;0,'Section Load'!O24,0))</f>
        <v>179</v>
      </c>
      <c r="O21" s="294">
        <f>(IF('Section Load'!P24&gt;0,'Section Load'!P24,0))</f>
        <v>35</v>
      </c>
      <c r="P21" s="294">
        <f>(IF('Section Load'!Q24&gt;0,'Section Load'!Q24,0))</f>
        <v>254.85000000000582</v>
      </c>
      <c r="Q21" s="294">
        <f>(IF('Section Load'!R24&gt;0,'Section Load'!R24,0))</f>
        <v>92</v>
      </c>
      <c r="R21" s="294">
        <f>(IF('Section Load'!S24&gt;0,'Section Load'!S24,0))</f>
        <v>245</v>
      </c>
      <c r="S21" s="294">
        <f>(IF('Section Load'!T24&gt;0,'Section Load'!T24,0))</f>
        <v>34</v>
      </c>
      <c r="T21" s="294">
        <f>(IF('Section Load'!U24&gt;0,'Section Load'!U24,0))</f>
        <v>254</v>
      </c>
      <c r="U21" s="294">
        <f>(IF('Section Load'!V24&gt;0,'Section Load'!V24,0))</f>
        <v>411.71999999997206</v>
      </c>
      <c r="V21" s="294">
        <f>(IF('Section Load'!W24&gt;0,'Section Load'!W24,0))</f>
        <v>380.07999999995809</v>
      </c>
      <c r="W21" s="294">
        <f>(IF('Section Load'!X24&gt;0,'Section Load'!X24,0))</f>
        <v>29.299999999999272</v>
      </c>
      <c r="X21" s="294">
        <f>(IF('Section Load'!Y24&gt;0,'Section Load'!Y24,0))</f>
        <v>323.80000000000291</v>
      </c>
      <c r="Y21" s="294">
        <f>(IF('Section Load'!Z24&gt;0,'Section Load'!Z24,0))</f>
        <v>359</v>
      </c>
      <c r="Z21" s="294">
        <f>(IF('Section Load'!AA24&gt;0,'Section Load'!AA24,0))</f>
        <v>217.03999999997905</v>
      </c>
      <c r="AA21" s="294">
        <f>(IF('Section Load'!AB24&gt;0,'Section Load'!AB24,0))</f>
        <v>50.5</v>
      </c>
      <c r="AB21" s="294">
        <f>(IF('Section Load'!AC24&gt;0,'Section Load'!AC24,0))</f>
        <v>5.0800000000017462</v>
      </c>
      <c r="AC21" s="294">
        <f>(IF('Section Load'!AD24&gt;0,'Section Load'!AD24,0))</f>
        <v>4.3999999999996362</v>
      </c>
      <c r="AD21" s="294">
        <f>(IF('Section Load'!AE24&gt;0,'Section Load'!AE24,0))</f>
        <v>499.70000000001164</v>
      </c>
      <c r="AE21" s="294">
        <f>(IF('Section Load'!AF24&gt;0,'Section Load'!AF24,0))</f>
        <v>259.39999999999418</v>
      </c>
      <c r="AF21" s="294">
        <f>(IF('Section Load'!AG24&gt;0,'Section Load'!AG24,0))</f>
        <v>723.80999999999767</v>
      </c>
      <c r="AG21" s="294">
        <f>(IF('Section Load'!AH24&gt;0,'Section Load'!AH24,0))</f>
        <v>73</v>
      </c>
      <c r="AH21" s="294">
        <f>(IF('Section Load'!AI24&gt;0,'Section Load'!AI24,0))</f>
        <v>403</v>
      </c>
      <c r="AI21" s="294">
        <f>(IF('Section Load'!AJ24&gt;0,'Section Load'!AJ24,0))</f>
        <v>461</v>
      </c>
      <c r="AJ21" s="294">
        <f>(IF('Section Load'!AK24&gt;0,'Section Load'!AK24,0))</f>
        <v>300.5</v>
      </c>
      <c r="AK21" s="294">
        <f>(IF('Section Load'!AL24&gt;0,'Section Load'!AL24,0))</f>
        <v>309</v>
      </c>
      <c r="AL21" s="294">
        <f>(IF('Section Load'!AM24&gt;0,'Section Load'!AM24,0))</f>
        <v>0</v>
      </c>
      <c r="AM21" s="295">
        <f>(IF('Water Report'!$W$7&gt;0,'Water Report'!$W$7,0))</f>
        <v>56</v>
      </c>
      <c r="AN21" s="295">
        <f>(IF('Water Report'!$W$8&gt;0,'Water Report'!$W$8,0))</f>
        <v>97</v>
      </c>
      <c r="AO21" s="295">
        <f>(IF('Water Report'!$W$9&gt;0,'Water Report'!$W$9,0))</f>
        <v>137</v>
      </c>
      <c r="AP21" s="295">
        <f>(IF('Water Report'!$W$10&gt;0,'Water Report'!$W$10,0))</f>
        <v>13</v>
      </c>
      <c r="AQ21" s="295">
        <f>(IF('Water Report'!$W$11&gt;0,'Water Report'!$W$11,0))</f>
        <v>16</v>
      </c>
      <c r="AR21" s="295">
        <f>(IF('Water Report'!$W$13&gt;0,'Water Report'!$W$13,0))</f>
        <v>21</v>
      </c>
      <c r="AS21" s="295">
        <f>(IF('Water Report'!$W$14&gt;0,'Water Report'!$W$14,0))</f>
        <v>12</v>
      </c>
      <c r="AT21" s="295">
        <f>(IF('Water Report'!$W$15&gt;0,'Water Report'!$W$15,0))</f>
        <v>5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17</v>
      </c>
      <c r="AX21" s="301">
        <f>(IF('Water Report'!$W$21&gt;0,'Water Report'!$W$21,0))</f>
        <v>115</v>
      </c>
      <c r="AY21" s="301">
        <f>(IF('Water Report'!$W$22&gt;0,'Water Report'!$W$22,0))</f>
        <v>0</v>
      </c>
      <c r="AZ21" s="301">
        <f>(IF('Water Report'!$W$23&gt;0,'Water Report'!$W$23,0))</f>
        <v>6</v>
      </c>
      <c r="BA21" s="301">
        <f>(IF('Water Report'!$W$14&gt;0,'Water Report'!$W$14,0))</f>
        <v>12</v>
      </c>
      <c r="BB21" s="301">
        <f>(IF('Water Report'!$W$15&gt;0,'Water Report'!$W$15,0))</f>
        <v>5</v>
      </c>
      <c r="BC21" s="301">
        <f>(IF('Water Report'!$W$13&gt;0,'Water Report'!$W$13,0))</f>
        <v>21</v>
      </c>
      <c r="BD21" s="301">
        <f>(IF('Water Report'!$W$24&gt;0,'Water Report'!$W$24,0))</f>
        <v>235</v>
      </c>
      <c r="BE21" s="301">
        <f>(IF('Water Report'!$W$25&gt;0,'Water Report'!$W$25,0))</f>
        <v>183</v>
      </c>
      <c r="BF21" s="301">
        <f>(IF('Water Report'!$W$27&gt;0,'Water Report'!$W$27,0))</f>
        <v>142</v>
      </c>
      <c r="BG21" s="296">
        <f>(IF('Section Load'!AN24&gt;0,'Section Load'!AN24,0))</f>
        <v>1237</v>
      </c>
      <c r="BH21" s="296">
        <f>(IF('Section Load'!AO24&gt;0,'Section Load'!AO24,0))</f>
        <v>303.93000000000029</v>
      </c>
      <c r="BI21" s="296">
        <f>(IF('Section Load'!AP24&gt;0,'Section Load'!AP24,0))</f>
        <v>0</v>
      </c>
      <c r="BJ21" s="296">
        <f>(IF('Section Load'!AQ24&gt;0,'Section Load'!AQ24,0))</f>
        <v>149</v>
      </c>
      <c r="BK21" s="296">
        <f>(IF('Section Load'!AR24&gt;0,'Section Load'!AR24,0))</f>
        <v>53</v>
      </c>
      <c r="BL21" s="296">
        <f>(IF('Section Load'!AS24&gt;0,'Section Load'!AS24,0))</f>
        <v>0</v>
      </c>
      <c r="BM21" s="296">
        <f>(IF('Section Load'!AT24&gt;0,'Section Load'!AT24,0))</f>
        <v>731.06999999999971</v>
      </c>
    </row>
    <row r="22" spans="1:65">
      <c r="A22" s="287" t="s">
        <v>268</v>
      </c>
      <c r="B22" s="288">
        <f t="shared" si="0"/>
        <v>21</v>
      </c>
      <c r="C22" s="288">
        <v>2</v>
      </c>
      <c r="D22" s="288">
        <v>2023</v>
      </c>
      <c r="E22" s="294">
        <f>(IF('Section Load'!F25&gt;0,'Section Load'!F25,0))</f>
        <v>3405</v>
      </c>
      <c r="F22" s="294">
        <f>(IF('Section Load'!G25&gt;0,'Section Load'!G25,0))</f>
        <v>1453</v>
      </c>
      <c r="G22" s="294">
        <f>(IF('Section Load'!H25&gt;0,'Section Load'!H25,0))</f>
        <v>2677.5699999999997</v>
      </c>
      <c r="H22" s="294">
        <f>(IF('Section Load'!I25&gt;0,'Section Load'!I25,0))</f>
        <v>2880</v>
      </c>
      <c r="I22" s="294">
        <f>(IF('Section Load'!J25&gt;0,'Section Load'!J25,0))</f>
        <v>4981</v>
      </c>
      <c r="J22" s="294">
        <f>(IF('Section Load'!K25&gt;0,'Section Load'!K25,0))</f>
        <v>2656</v>
      </c>
      <c r="K22" s="294">
        <f>(IF('Section Load'!L25&gt;0,'Section Load'!L25,0))</f>
        <v>1622</v>
      </c>
      <c r="L22" s="294">
        <f>(IF('Section Load'!M25&gt;0,'Section Load'!M25,0))</f>
        <v>1103</v>
      </c>
      <c r="M22" s="294">
        <f>(IF('Section Load'!N25&gt;0,'Section Load'!N25,0))</f>
        <v>124</v>
      </c>
      <c r="N22" s="294">
        <f>(IF('Section Load'!O25&gt;0,'Section Load'!O25,0))</f>
        <v>157</v>
      </c>
      <c r="O22" s="294">
        <f>(IF('Section Load'!P25&gt;0,'Section Load'!P25,0))</f>
        <v>34</v>
      </c>
      <c r="P22" s="294">
        <f>(IF('Section Load'!Q25&gt;0,'Section Load'!Q25,0))</f>
        <v>271</v>
      </c>
      <c r="Q22" s="294">
        <f>(IF('Section Load'!R25&gt;0,'Section Load'!R25,0))</f>
        <v>98</v>
      </c>
      <c r="R22" s="294">
        <f>(IF('Section Load'!S25&gt;0,'Section Load'!S25,0))</f>
        <v>237</v>
      </c>
      <c r="S22" s="294">
        <f>(IF('Section Load'!T25&gt;0,'Section Load'!T25,0))</f>
        <v>36</v>
      </c>
      <c r="T22" s="294">
        <f>(IF('Section Load'!U25&gt;0,'Section Load'!U25,0))</f>
        <v>259</v>
      </c>
      <c r="U22" s="294">
        <f>(IF('Section Load'!V25&gt;0,'Section Load'!V25,0))</f>
        <v>437</v>
      </c>
      <c r="V22" s="294">
        <f>(IF('Section Load'!W25&gt;0,'Section Load'!W25,0))</f>
        <v>413</v>
      </c>
      <c r="W22" s="294">
        <f>(IF('Section Load'!X25&gt;0,'Section Load'!X25,0))</f>
        <v>35</v>
      </c>
      <c r="X22" s="294">
        <f>(IF('Section Load'!Y25&gt;0,'Section Load'!Y25,0))</f>
        <v>285</v>
      </c>
      <c r="Y22" s="294">
        <f>(IF('Section Load'!Z25&gt;0,'Section Load'!Z25,0))</f>
        <v>386</v>
      </c>
      <c r="Z22" s="294">
        <f>(IF('Section Load'!AA25&gt;0,'Section Load'!AA25,0))</f>
        <v>209</v>
      </c>
      <c r="AA22" s="294">
        <f>(IF('Section Load'!AB25&gt;0,'Section Load'!AB25,0))</f>
        <v>47</v>
      </c>
      <c r="AB22" s="294">
        <f>(IF('Section Load'!AC25&gt;0,'Section Load'!AC25,0))</f>
        <v>6</v>
      </c>
      <c r="AC22" s="294">
        <f>(IF('Section Load'!AD25&gt;0,'Section Load'!AD25,0))</f>
        <v>3</v>
      </c>
      <c r="AD22" s="294">
        <f>(IF('Section Load'!AE25&gt;0,'Section Load'!AE25,0))</f>
        <v>413</v>
      </c>
      <c r="AE22" s="294">
        <f>(IF('Section Load'!AF25&gt;0,'Section Load'!AF25,0))</f>
        <v>248</v>
      </c>
      <c r="AF22" s="294">
        <f>(IF('Section Load'!AG25&gt;0,'Section Load'!AG25,0))</f>
        <v>730</v>
      </c>
      <c r="AG22" s="294">
        <f>(IF('Section Load'!AH25&gt;0,'Section Load'!AH25,0))</f>
        <v>72</v>
      </c>
      <c r="AH22" s="294">
        <f>(IF('Section Load'!AI25&gt;0,'Section Load'!AI25,0))</f>
        <v>387</v>
      </c>
      <c r="AI22" s="294">
        <f>(IF('Section Load'!AJ25&gt;0,'Section Load'!AJ25,0))</f>
        <v>439</v>
      </c>
      <c r="AJ22" s="294">
        <f>(IF('Section Load'!AK25&gt;0,'Section Load'!AK25,0))</f>
        <v>287</v>
      </c>
      <c r="AK22" s="294">
        <f>(IF('Section Load'!AL25&gt;0,'Section Load'!AL25,0))</f>
        <v>303</v>
      </c>
      <c r="AL22" s="294">
        <f>(IF('Section Load'!AM25&gt;0,'Section Load'!AM25,0))</f>
        <v>0</v>
      </c>
      <c r="AM22" s="295">
        <f>(IF('Water Report'!$X$7&gt;0,'Water Report'!$X$7,0))</f>
        <v>52</v>
      </c>
      <c r="AN22" s="295">
        <f>(IF('Water Report'!$X$8&gt;0,'Water Report'!$X$8,0))</f>
        <v>104</v>
      </c>
      <c r="AO22" s="295">
        <f>(IF('Water Report'!$X$9&gt;0,'Water Report'!$X$9,0))</f>
        <v>138</v>
      </c>
      <c r="AP22" s="295">
        <f>(IF('Water Report'!$X$10&gt;0,'Water Report'!$X$10,0))</f>
        <v>17</v>
      </c>
      <c r="AQ22" s="295">
        <f>(IF('Water Report'!$X$11&gt;0,'Water Report'!$X$11,0))</f>
        <v>20</v>
      </c>
      <c r="AR22" s="295">
        <f>(IF('Water Report'!$X$13&gt;0,'Water Report'!$X$13,0))</f>
        <v>38</v>
      </c>
      <c r="AS22" s="295">
        <f>(IF('Water Report'!$X$14&gt;0,'Water Report'!$X$14,0))</f>
        <v>3</v>
      </c>
      <c r="AT22" s="295">
        <f>(IF('Water Report'!$X$15&gt;0,'Water Report'!$X$15,0))</f>
        <v>6</v>
      </c>
      <c r="AU22" s="295">
        <f>(IF('Water Report'!$X$17&gt;0,'Water Report'!$X$17,0))</f>
        <v>0</v>
      </c>
      <c r="AV22" s="295">
        <f>(IF('Water Report'!$X$18&gt;0,'Water Report'!$X$18,0))</f>
        <v>13</v>
      </c>
      <c r="AW22" s="295">
        <f>(IF('Water Report'!$X$19&gt;0,'Water Report'!$X$19,0))</f>
        <v>17</v>
      </c>
      <c r="AX22" s="301">
        <f>(IF('Water Report'!$X$21&gt;0,'Water Report'!$X$21,0))</f>
        <v>115</v>
      </c>
      <c r="AY22" s="301">
        <f>(IF('Water Report'!$X$22&gt;0,'Water Report'!$X$22,0))</f>
        <v>0</v>
      </c>
      <c r="AZ22" s="301">
        <f>(IF('Water Report'!$X$23&gt;0,'Water Report'!$X$23,0))</f>
        <v>7</v>
      </c>
      <c r="BA22" s="301">
        <f>(IF('Water Report'!$X$14&gt;0,'Water Report'!$X$14,0))</f>
        <v>3</v>
      </c>
      <c r="BB22" s="301">
        <f>(IF('Water Report'!$X$15&gt;0,'Water Report'!$X$15,0))</f>
        <v>6</v>
      </c>
      <c r="BC22" s="301">
        <f>(IF('Water Report'!$X$13&gt;0,'Water Report'!$X$13,0))</f>
        <v>38</v>
      </c>
      <c r="BD22" s="301">
        <f>(IF('Water Report'!$X$24&gt;0,'Water Report'!$X$24,0))</f>
        <v>258</v>
      </c>
      <c r="BE22" s="301">
        <f>(IF('Water Report'!$X$25&gt;0,'Water Report'!$X$25,0))</f>
        <v>184</v>
      </c>
      <c r="BF22" s="301">
        <f>(IF('Water Report'!$X$27&gt;0,'Water Report'!$X$27,0))</f>
        <v>160</v>
      </c>
      <c r="BG22" s="296">
        <f>(IF('Section Load'!AN25&gt;0,'Section Load'!AN25,0))</f>
        <v>1216</v>
      </c>
      <c r="BH22" s="296">
        <f>(IF('Section Load'!AO25&gt;0,'Section Load'!AO25,0))</f>
        <v>291</v>
      </c>
      <c r="BI22" s="296">
        <f>(IF('Section Load'!AP25&gt;0,'Section Load'!AP25,0))</f>
        <v>0</v>
      </c>
      <c r="BJ22" s="296">
        <f>(IF('Section Load'!AQ25&gt;0,'Section Load'!AQ25,0))</f>
        <v>127</v>
      </c>
      <c r="BK22" s="296">
        <f>(IF('Section Load'!AR25&gt;0,'Section Load'!AR25,0))</f>
        <v>59</v>
      </c>
      <c r="BL22" s="296">
        <f>(IF('Section Load'!AS25&gt;0,'Section Load'!AS25,0))</f>
        <v>0</v>
      </c>
      <c r="BM22" s="296">
        <f>(IF('Section Load'!AT25&gt;0,'Section Load'!AT25,0))</f>
        <v>739</v>
      </c>
    </row>
    <row r="23" spans="1:65">
      <c r="A23" s="287" t="s">
        <v>268</v>
      </c>
      <c r="B23" s="288">
        <f t="shared" si="0"/>
        <v>22</v>
      </c>
      <c r="C23" s="288">
        <v>2</v>
      </c>
      <c r="D23" s="288">
        <v>2023</v>
      </c>
      <c r="E23" s="294">
        <f>(IF('Section Load'!F26&gt;0,'Section Load'!F26,0))</f>
        <v>3398</v>
      </c>
      <c r="F23" s="294">
        <f>(IF('Section Load'!G26&gt;0,'Section Load'!G26,0))</f>
        <v>1511</v>
      </c>
      <c r="G23" s="294">
        <f>(IF('Section Load'!H26&gt;0,'Section Load'!H26,0))</f>
        <v>2767</v>
      </c>
      <c r="H23" s="294">
        <f>(IF('Section Load'!I26&gt;0,'Section Load'!I26,0))</f>
        <v>2880</v>
      </c>
      <c r="I23" s="294">
        <f>(IF('Section Load'!J26&gt;0,'Section Load'!J26,0))</f>
        <v>6595.4500000000116</v>
      </c>
      <c r="J23" s="294">
        <f>(IF('Section Load'!K26&gt;0,'Section Load'!K26,0))</f>
        <v>2663</v>
      </c>
      <c r="K23" s="294">
        <f>(IF('Section Load'!L26&gt;0,'Section Load'!L26,0))</f>
        <v>1951</v>
      </c>
      <c r="L23" s="294">
        <f>(IF('Section Load'!M26&gt;0,'Section Load'!M26,0))</f>
        <v>1220</v>
      </c>
      <c r="M23" s="294">
        <f>(IF('Section Load'!N26&gt;0,'Section Load'!N26,0))</f>
        <v>157</v>
      </c>
      <c r="N23" s="294">
        <f>(IF('Section Load'!O26&gt;0,'Section Load'!O26,0))</f>
        <v>148</v>
      </c>
      <c r="O23" s="294">
        <f>(IF('Section Load'!P26&gt;0,'Section Load'!P26,0))</f>
        <v>34</v>
      </c>
      <c r="P23" s="294">
        <f>(IF('Section Load'!Q26&gt;0,'Section Load'!Q26,0))</f>
        <v>284</v>
      </c>
      <c r="Q23" s="294">
        <f>(IF('Section Load'!R26&gt;0,'Section Load'!R26,0))</f>
        <v>96</v>
      </c>
      <c r="R23" s="294">
        <f>(IF('Section Load'!S26&gt;0,'Section Load'!S26,0))</f>
        <v>195</v>
      </c>
      <c r="S23" s="294">
        <f>(IF('Section Load'!T26&gt;0,'Section Load'!T26,0))</f>
        <v>28</v>
      </c>
      <c r="T23" s="294">
        <f>(IF('Section Load'!U26&gt;0,'Section Load'!U26,0))</f>
        <v>251</v>
      </c>
      <c r="U23" s="294">
        <f>(IF('Section Load'!V26&gt;0,'Section Load'!V26,0))</f>
        <v>423</v>
      </c>
      <c r="V23" s="294">
        <f>(IF('Section Load'!W26&gt;0,'Section Load'!W26,0))</f>
        <v>437</v>
      </c>
      <c r="W23" s="294">
        <f>(IF('Section Load'!X26&gt;0,'Section Load'!X26,0))</f>
        <v>34</v>
      </c>
      <c r="X23" s="294">
        <f>(IF('Section Load'!Y26&gt;0,'Section Load'!Y26,0))</f>
        <v>251</v>
      </c>
      <c r="Y23" s="294">
        <f>(IF('Section Load'!Z26&gt;0,'Section Load'!Z26,0))</f>
        <v>328</v>
      </c>
      <c r="Z23" s="294">
        <f>(IF('Section Load'!AA26&gt;0,'Section Load'!AA26,0))</f>
        <v>201</v>
      </c>
      <c r="AA23" s="294">
        <f>(IF('Section Load'!AB26&gt;0,'Section Load'!AB26,0))</f>
        <v>41</v>
      </c>
      <c r="AB23" s="294">
        <f>(IF('Section Load'!AC26&gt;0,'Section Load'!AC26,0))</f>
        <v>3.6199999999989814</v>
      </c>
      <c r="AC23" s="294">
        <f>(IF('Section Load'!AD26&gt;0,'Section Load'!AD26,0))</f>
        <v>2</v>
      </c>
      <c r="AD23" s="294">
        <f>(IF('Section Load'!AE26&gt;0,'Section Load'!AE26,0))</f>
        <v>378</v>
      </c>
      <c r="AE23" s="294">
        <f>(IF('Section Load'!AF26&gt;0,'Section Load'!AF26,0))</f>
        <v>279</v>
      </c>
      <c r="AF23" s="294">
        <f>(IF('Section Load'!AG26&gt;0,'Section Load'!AG26,0))</f>
        <v>731</v>
      </c>
      <c r="AG23" s="294">
        <f>(IF('Section Load'!AH26&gt;0,'Section Load'!AH26,0))</f>
        <v>78</v>
      </c>
      <c r="AH23" s="294">
        <f>(IF('Section Load'!AI26&gt;0,'Section Load'!AI26,0))</f>
        <v>389</v>
      </c>
      <c r="AI23" s="294">
        <f>(IF('Section Load'!AJ26&gt;0,'Section Load'!AJ26,0))</f>
        <v>431</v>
      </c>
      <c r="AJ23" s="294">
        <f>(IF('Section Load'!AK26&gt;0,'Section Load'!AK26,0))</f>
        <v>302</v>
      </c>
      <c r="AK23" s="294">
        <f>(IF('Section Load'!AL26&gt;0,'Section Load'!AL26,0))</f>
        <v>309</v>
      </c>
      <c r="AL23" s="294">
        <f>(IF('Section Load'!AM26&gt;0,'Section Load'!AM26,0))</f>
        <v>0</v>
      </c>
      <c r="AM23" s="295">
        <f>(IF('Water Report'!$Y$7&gt;0,'Water Report'!$Y$7,0))</f>
        <v>136</v>
      </c>
      <c r="AN23" s="295">
        <f>(IF('Water Report'!$Y$8&gt;0,'Water Report'!$Y$8,0))</f>
        <v>64</v>
      </c>
      <c r="AO23" s="295">
        <f>(IF('Water Report'!$Y$9&gt;0,'Water Report'!$Y$9,0))</f>
        <v>139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27</v>
      </c>
      <c r="AS23" s="295">
        <f>(IF('Water Report'!$Y$14&gt;0,'Water Report'!$Y$14,0))</f>
        <v>10</v>
      </c>
      <c r="AT23" s="295">
        <f>(IF('Water Report'!$Y$15&gt;0,'Water Report'!$Y$15,0))</f>
        <v>7</v>
      </c>
      <c r="AU23" s="295">
        <f>(IF('Water Report'!$Y$17&gt;0,'Water Report'!$Y$17,0))</f>
        <v>1</v>
      </c>
      <c r="AV23" s="295">
        <f>(IF('Water Report'!$Y$18&gt;0,'Water Report'!$Y$18,0))</f>
        <v>10</v>
      </c>
      <c r="AW23" s="295">
        <f>(IF('Water Report'!$Y$19&gt;0,'Water Report'!$Y$19,0))</f>
        <v>11</v>
      </c>
      <c r="AX23" s="301">
        <f>(IF('Water Report'!$Y$21&gt;0,'Water Report'!$Y$21,0))</f>
        <v>59</v>
      </c>
      <c r="AY23" s="301">
        <f>(IF('Water Report'!$Y$22&gt;0,'Water Report'!$Y$22,0))</f>
        <v>0</v>
      </c>
      <c r="AZ23" s="301">
        <f>(IF('Water Report'!$Y$23&gt;0,'Water Report'!$Y$23,0))</f>
        <v>2</v>
      </c>
      <c r="BA23" s="301">
        <f>(IF('Water Report'!$Y$14&gt;0,'Water Report'!$Y$14,0))</f>
        <v>10</v>
      </c>
      <c r="BB23" s="301">
        <f>(IF('Water Report'!$Y$15&gt;0,'Water Report'!$Y$15,0))</f>
        <v>7</v>
      </c>
      <c r="BC23" s="301">
        <f>(IF('Water Report'!$Y$13&gt;0,'Water Report'!$Y$13,0))</f>
        <v>27</v>
      </c>
      <c r="BD23" s="301">
        <f>(IF('Water Report'!$Y$24&gt;0,'Water Report'!$Y$24,0))</f>
        <v>260</v>
      </c>
      <c r="BE23" s="301">
        <f>(IF('Water Report'!$Y$25&gt;0,'Water Report'!$Y$25,0))</f>
        <v>190</v>
      </c>
      <c r="BF23" s="301">
        <f>(IF('Water Report'!$Y$27&gt;0,'Water Report'!$Y$27,0))</f>
        <v>88</v>
      </c>
      <c r="BG23" s="296">
        <f>(IF('Section Load'!AN26&gt;0,'Section Load'!AN26,0))</f>
        <v>1149</v>
      </c>
      <c r="BH23" s="296">
        <f>(IF('Section Load'!AO26&gt;0,'Section Load'!AO26,0))</f>
        <v>301</v>
      </c>
      <c r="BI23" s="296">
        <f>(IF('Section Load'!AP26&gt;0,'Section Load'!AP26,0))</f>
        <v>0</v>
      </c>
      <c r="BJ23" s="296">
        <f>(IF('Section Load'!AQ26&gt;0,'Section Load'!AQ26,0))</f>
        <v>121</v>
      </c>
      <c r="BK23" s="296">
        <f>(IF('Section Load'!AR26&gt;0,'Section Load'!AR26,0))</f>
        <v>58</v>
      </c>
      <c r="BL23" s="296">
        <f>(IF('Section Load'!AS26&gt;0,'Section Load'!AS26,0))</f>
        <v>0</v>
      </c>
      <c r="BM23" s="296">
        <f>(IF('Section Load'!AT26&gt;0,'Section Load'!AT26,0))</f>
        <v>669</v>
      </c>
    </row>
    <row r="24" spans="1:65">
      <c r="A24" s="287" t="s">
        <v>268</v>
      </c>
      <c r="B24" s="288">
        <f t="shared" si="0"/>
        <v>23</v>
      </c>
      <c r="C24" s="288">
        <v>2</v>
      </c>
      <c r="D24" s="288">
        <v>2023</v>
      </c>
      <c r="E24" s="294">
        <f>(IF('Section Load'!F27&gt;0,'Section Load'!F27,0))</f>
        <v>3361</v>
      </c>
      <c r="F24" s="294">
        <f>(IF('Section Load'!G27&gt;0,'Section Load'!G27,0))</f>
        <v>1527</v>
      </c>
      <c r="G24" s="294">
        <f>(IF('Section Load'!H27&gt;0,'Section Load'!H27,0))</f>
        <v>2763</v>
      </c>
      <c r="H24" s="294">
        <f>(IF('Section Load'!I27&gt;0,'Section Load'!I27,0))</f>
        <v>2919</v>
      </c>
      <c r="I24" s="294">
        <f>(IF('Section Load'!J27&gt;0,'Section Load'!J27,0))</f>
        <v>5364.6300000000047</v>
      </c>
      <c r="J24" s="294">
        <f>(IF('Section Load'!K27&gt;0,'Section Load'!K27,0))</f>
        <v>2508</v>
      </c>
      <c r="K24" s="294">
        <f>(IF('Section Load'!L27&gt;0,'Section Load'!L27,0))</f>
        <v>1606</v>
      </c>
      <c r="L24" s="294">
        <f>(IF('Section Load'!M27&gt;0,'Section Load'!M27,0))</f>
        <v>1150</v>
      </c>
      <c r="M24" s="294">
        <f>(IF('Section Load'!N27&gt;0,'Section Load'!N27,0))</f>
        <v>198</v>
      </c>
      <c r="N24" s="294">
        <f>(IF('Section Load'!O27&gt;0,'Section Load'!O27,0))</f>
        <v>162</v>
      </c>
      <c r="O24" s="294">
        <f>(IF('Section Load'!P27&gt;0,'Section Load'!P27,0))</f>
        <v>37</v>
      </c>
      <c r="P24" s="294">
        <f>(IF('Section Load'!Q27&gt;0,'Section Load'!Q27,0))</f>
        <v>269</v>
      </c>
      <c r="Q24" s="294">
        <f>(IF('Section Load'!R27&gt;0,'Section Load'!R27,0))</f>
        <v>98</v>
      </c>
      <c r="R24" s="294">
        <f>(IF('Section Load'!S27&gt;0,'Section Load'!S27,0))</f>
        <v>238</v>
      </c>
      <c r="S24" s="294">
        <f>(IF('Section Load'!T27&gt;0,'Section Load'!T27,0))</f>
        <v>35</v>
      </c>
      <c r="T24" s="294">
        <f>(IF('Section Load'!U27&gt;0,'Section Load'!U27,0))</f>
        <v>254</v>
      </c>
      <c r="U24" s="294">
        <f>(IF('Section Load'!V27&gt;0,'Section Load'!V27,0))</f>
        <v>434</v>
      </c>
      <c r="V24" s="294">
        <f>(IF('Section Load'!W27&gt;0,'Section Load'!W27,0))</f>
        <v>455</v>
      </c>
      <c r="W24" s="294">
        <f>(IF('Section Load'!X27&gt;0,'Section Load'!X27,0))</f>
        <v>37</v>
      </c>
      <c r="X24" s="294">
        <f>(IF('Section Load'!Y27&gt;0,'Section Load'!Y27,0))</f>
        <v>339</v>
      </c>
      <c r="Y24" s="294">
        <f>(IF('Section Load'!Z27&gt;0,'Section Load'!Z27,0))</f>
        <v>270</v>
      </c>
      <c r="Z24" s="294">
        <f>(IF('Section Load'!AA27&gt;0,'Section Load'!AA27,0))</f>
        <v>192</v>
      </c>
      <c r="AA24" s="294">
        <f>(IF('Section Load'!AB27&gt;0,'Section Load'!AB27,0))</f>
        <v>44</v>
      </c>
      <c r="AB24" s="294">
        <f>(IF('Section Load'!AC27&gt;0,'Section Load'!AC27,0))</f>
        <v>10.380000000001019</v>
      </c>
      <c r="AC24" s="294">
        <f>(IF('Section Load'!AD27&gt;0,'Section Load'!AD27,0))</f>
        <v>3</v>
      </c>
      <c r="AD24" s="294">
        <f>(IF('Section Load'!AE27&gt;0,'Section Load'!AE27,0))</f>
        <v>424</v>
      </c>
      <c r="AE24" s="294">
        <f>(IF('Section Load'!AF27&gt;0,'Section Load'!AF27,0))</f>
        <v>278</v>
      </c>
      <c r="AF24" s="294">
        <f>(IF('Section Load'!AG27&gt;0,'Section Load'!AG27,0))</f>
        <v>730</v>
      </c>
      <c r="AG24" s="294">
        <f>(IF('Section Load'!AH27&gt;0,'Section Load'!AH27,0))</f>
        <v>76</v>
      </c>
      <c r="AH24" s="294">
        <f>(IF('Section Load'!AI27&gt;0,'Section Load'!AI27,0))</f>
        <v>376</v>
      </c>
      <c r="AI24" s="294">
        <f>(IF('Section Load'!AJ27&gt;0,'Section Load'!AJ27,0))</f>
        <v>425</v>
      </c>
      <c r="AJ24" s="294">
        <f>(IF('Section Load'!AK27&gt;0,'Section Load'!AK27,0))</f>
        <v>301</v>
      </c>
      <c r="AK24" s="294">
        <f>(IF('Section Load'!AL27&gt;0,'Section Load'!AL27,0))</f>
        <v>305</v>
      </c>
      <c r="AL24" s="294">
        <f>(IF('Section Load'!AM27&gt;0,'Section Load'!AM27,0))</f>
        <v>0.16999999998370185</v>
      </c>
      <c r="AM24" s="295">
        <f>(IF('Water Report'!$Z$7&gt;0,'Water Report'!$Z$7,0))</f>
        <v>101</v>
      </c>
      <c r="AN24" s="295">
        <f>(IF('Water Report'!$Z$8&gt;0,'Water Report'!$Z$8,0))</f>
        <v>17</v>
      </c>
      <c r="AO24" s="295">
        <f>(IF('Water Report'!$Z$9&gt;0,'Water Report'!$Z$9,0))</f>
        <v>187</v>
      </c>
      <c r="AP24" s="295">
        <f>(IF('Water Report'!$Z$10&gt;0,'Water Report'!$Z$10,0))</f>
        <v>15</v>
      </c>
      <c r="AQ24" s="295">
        <f>(IF('Water Report'!$Z$11&gt;0,'Water Report'!$Z$11,0))</f>
        <v>72</v>
      </c>
      <c r="AR24" s="295">
        <f>(IF('Water Report'!$Z$13&gt;0,'Water Report'!$Z$13,0))</f>
        <v>36</v>
      </c>
      <c r="AS24" s="295">
        <f>(IF('Water Report'!$Z$14&gt;0,'Water Report'!$Z$14,0))</f>
        <v>28</v>
      </c>
      <c r="AT24" s="295">
        <f>(IF('Water Report'!$Z$15&gt;0,'Water Report'!$Z$15,0))</f>
        <v>18</v>
      </c>
      <c r="AU24" s="295">
        <f>(IF('Water Report'!$Z$17&gt;0,'Water Report'!$Z$17,0))</f>
        <v>0</v>
      </c>
      <c r="AV24" s="295">
        <f>(IF('Water Report'!$Z$18&gt;0,'Water Report'!$Z$18,0))</f>
        <v>14</v>
      </c>
      <c r="AW24" s="295">
        <f>(IF('Water Report'!$Z$19&gt;0,'Water Report'!$Z$19,0))</f>
        <v>14</v>
      </c>
      <c r="AX24" s="301">
        <f>(IF('Water Report'!$Z$21&gt;0,'Water Report'!$Z$21,0))</f>
        <v>59</v>
      </c>
      <c r="AY24" s="301">
        <f>(IF('Water Report'!$Z$22&gt;0,'Water Report'!$Z$22,0))</f>
        <v>0</v>
      </c>
      <c r="AZ24" s="301">
        <f>(IF('Water Report'!$Z$23&gt;0,'Water Report'!$Z$23,0))</f>
        <v>1</v>
      </c>
      <c r="BA24" s="301">
        <f>(IF('Water Report'!$Z$14&gt;0,'Water Report'!$Z$14,0))</f>
        <v>28</v>
      </c>
      <c r="BB24" s="301">
        <f>(IF('Water Report'!$Z$15&gt;0,'Water Report'!$Z$15,0))</f>
        <v>18</v>
      </c>
      <c r="BC24" s="301">
        <f>(IF('Water Report'!$Z$13&gt;0,'Water Report'!$Z$13,0))</f>
        <v>36</v>
      </c>
      <c r="BD24" s="301">
        <f>(IF('Water Report'!$Z$24&gt;0,'Water Report'!$Z$24,0))</f>
        <v>393</v>
      </c>
      <c r="BE24" s="301">
        <f>(IF('Water Report'!$Z$25&gt;0,'Water Report'!$Z$25,0))</f>
        <v>320</v>
      </c>
      <c r="BF24" s="301">
        <f>(IF('Water Report'!$Z$27&gt;0,'Water Report'!$Z$27,0))</f>
        <v>96</v>
      </c>
      <c r="BG24" s="296">
        <f>(IF('Section Load'!AN27&gt;0,'Section Load'!AN27,0))</f>
        <v>1205</v>
      </c>
      <c r="BH24" s="296">
        <f>(IF('Section Load'!AO27&gt;0,'Section Load'!AO27,0))</f>
        <v>257</v>
      </c>
      <c r="BI24" s="296">
        <f>(IF('Section Load'!AP27&gt;0,'Section Load'!AP27,0))</f>
        <v>0</v>
      </c>
      <c r="BJ24" s="296">
        <f>(IF('Section Load'!AQ27&gt;0,'Section Load'!AQ27,0))</f>
        <v>155</v>
      </c>
      <c r="BK24" s="296">
        <f>(IF('Section Load'!AR27&gt;0,'Section Load'!AR27,0))</f>
        <v>51</v>
      </c>
      <c r="BL24" s="296">
        <f>(IF('Section Load'!AS27&gt;0,'Section Load'!AS27,0))</f>
        <v>0</v>
      </c>
      <c r="BM24" s="296">
        <f>(IF('Section Load'!AT27&gt;0,'Section Load'!AT27,0))</f>
        <v>742</v>
      </c>
    </row>
    <row r="25" spans="1:65">
      <c r="A25" s="287" t="s">
        <v>268</v>
      </c>
      <c r="B25" s="288">
        <f t="shared" si="0"/>
        <v>24</v>
      </c>
      <c r="C25" s="288">
        <v>2</v>
      </c>
      <c r="D25" s="288">
        <v>2023</v>
      </c>
      <c r="E25" s="294">
        <f>(IF('Section Load'!F28&gt;0,'Section Load'!F28,0))</f>
        <v>3434.2200000000885</v>
      </c>
      <c r="F25" s="294">
        <f>(IF('Section Load'!G28&gt;0,'Section Load'!G28,0))</f>
        <v>1529.9099999999744</v>
      </c>
      <c r="G25" s="294">
        <f>(IF('Section Load'!H28&gt;0,'Section Load'!H28,0))</f>
        <v>2899.9800000000469</v>
      </c>
      <c r="H25" s="294">
        <f>(IF('Section Load'!I28&gt;0,'Section Load'!I28,0))</f>
        <v>2852.6700000000419</v>
      </c>
      <c r="I25" s="294">
        <f>(IF('Section Load'!J28&gt;0,'Section Load'!J28,0))</f>
        <v>4055.2200000000303</v>
      </c>
      <c r="J25" s="294">
        <f>(IF('Section Load'!K28&gt;0,'Section Load'!K28,0))</f>
        <v>2435.0699999999488</v>
      </c>
      <c r="K25" s="294">
        <f>(IF('Section Load'!L28&gt;0,'Section Load'!L28,0))</f>
        <v>1472.1899999999441</v>
      </c>
      <c r="L25" s="294">
        <f>(IF('Section Load'!M28&gt;0,'Section Load'!M28,0))</f>
        <v>1297.5499999999884</v>
      </c>
      <c r="M25" s="294">
        <f>(IF('Section Load'!N28&gt;0,'Section Load'!N28,0))</f>
        <v>168</v>
      </c>
      <c r="N25" s="294">
        <f>(IF('Section Load'!O28&gt;0,'Section Load'!O28,0))</f>
        <v>157</v>
      </c>
      <c r="O25" s="294">
        <f>(IF('Section Load'!P28&gt;0,'Section Load'!P28,0))</f>
        <v>35.699999999999818</v>
      </c>
      <c r="P25" s="294">
        <f>(IF('Section Load'!Q28&gt;0,'Section Load'!Q28,0))</f>
        <v>296.72000000000116</v>
      </c>
      <c r="Q25" s="294">
        <f>(IF('Section Load'!R28&gt;0,'Section Load'!R28,0))</f>
        <v>110.33000000000175</v>
      </c>
      <c r="R25" s="294">
        <f>(IF('Section Load'!S28&gt;0,'Section Load'!S28,0))</f>
        <v>222</v>
      </c>
      <c r="S25" s="294">
        <f>(IF('Section Load'!T28&gt;0,'Section Load'!T28,0))</f>
        <v>30</v>
      </c>
      <c r="T25" s="294">
        <f>(IF('Section Load'!U28&gt;0,'Section Load'!U28,0))</f>
        <v>257</v>
      </c>
      <c r="U25" s="294">
        <f>(IF('Section Load'!V28&gt;0,'Section Load'!V28,0))</f>
        <v>392</v>
      </c>
      <c r="V25" s="294">
        <f>(IF('Section Load'!W28&gt;0,'Section Load'!W28,0))</f>
        <v>472.8399999999674</v>
      </c>
      <c r="W25" s="294">
        <f>(IF('Section Load'!X28&gt;0,'Section Load'!X28,0))</f>
        <v>30.409999999999854</v>
      </c>
      <c r="X25" s="294">
        <f>(IF('Section Load'!Y28&gt;0,'Section Load'!Y28,0))</f>
        <v>336.02999999999884</v>
      </c>
      <c r="Y25" s="294">
        <f>(IF('Section Load'!Z28&gt;0,'Section Load'!Z28,0))</f>
        <v>297</v>
      </c>
      <c r="Z25" s="294">
        <f>(IF('Section Load'!AA28&gt;0,'Section Load'!AA28,0))</f>
        <v>189.64000000001397</v>
      </c>
      <c r="AA25" s="294">
        <f>(IF('Section Load'!AB28&gt;0,'Section Load'!AB28,0))</f>
        <v>42.800000000000182</v>
      </c>
      <c r="AB25" s="294">
        <f>(IF('Section Load'!AC28&gt;0,'Section Load'!AC28,0))</f>
        <v>6.9199999999982538</v>
      </c>
      <c r="AC25" s="294">
        <f>(IF('Section Load'!AD28&gt;0,'Section Load'!AD28,0))</f>
        <v>1</v>
      </c>
      <c r="AD25" s="294">
        <f>(IF('Section Load'!AE28&gt;0,'Section Load'!AE28,0))</f>
        <v>316.55999999999767</v>
      </c>
      <c r="AE25" s="294">
        <f>(IF('Section Load'!AF28&gt;0,'Section Load'!AF28,0))</f>
        <v>297.58999999999651</v>
      </c>
      <c r="AF25" s="294">
        <f>(IF('Section Load'!AG28&gt;0,'Section Load'!AG28,0))</f>
        <v>696.42999999999302</v>
      </c>
      <c r="AG25" s="294">
        <f>(IF('Section Load'!AH28&gt;0,'Section Load'!AH28,0))</f>
        <v>74.610000000000582</v>
      </c>
      <c r="AH25" s="294">
        <f>(IF('Section Load'!AI28&gt;0,'Section Load'!AI28,0))</f>
        <v>408.66999999999825</v>
      </c>
      <c r="AI25" s="294">
        <f>(IF('Section Load'!AJ28&gt;0,'Section Load'!AJ28,0))</f>
        <v>437.25</v>
      </c>
      <c r="AJ25" s="294">
        <f>(IF('Section Load'!AK28&gt;0,'Section Load'!AK28,0))</f>
        <v>311.63000000000466</v>
      </c>
      <c r="AK25" s="294">
        <f>(IF('Section Load'!AL28&gt;0,'Section Load'!AL28,0))</f>
        <v>315.72000000000116</v>
      </c>
      <c r="AL25" s="294">
        <f>(IF('Section Load'!AM28&gt;0,'Section Load'!AM28,0))</f>
        <v>783</v>
      </c>
      <c r="AM25" s="295">
        <f>(IF('Water Report'!$AA$7&gt;0,'Water Report'!$AA$7,0))</f>
        <v>135</v>
      </c>
      <c r="AN25" s="295">
        <f>(IF('Water Report'!$AA$8&gt;0,'Water Report'!$AA$8,0))</f>
        <v>79</v>
      </c>
      <c r="AO25" s="295">
        <f>(IF('Water Report'!$AA$9&gt;0,'Water Report'!$AA$9,0))</f>
        <v>150</v>
      </c>
      <c r="AP25" s="295">
        <f>(IF('Water Report'!$AA$10&gt;0,'Water Report'!$AA$10,0))</f>
        <v>13</v>
      </c>
      <c r="AQ25" s="295">
        <f>(IF('Water Report'!$AA$11&gt;0,'Water Report'!$AA$11,0))</f>
        <v>70</v>
      </c>
      <c r="AR25" s="295">
        <f>(IF('Water Report'!$AA$13&gt;0,'Water Report'!$AA$13,0))</f>
        <v>27</v>
      </c>
      <c r="AS25" s="295">
        <f>(IF('Water Report'!$AA$14&gt;0,'Water Report'!$AA$14,0))</f>
        <v>3</v>
      </c>
      <c r="AT25" s="295">
        <f>(IF('Water Report'!$AA$15&gt;0,'Water Report'!$AA$15,0))</f>
        <v>10</v>
      </c>
      <c r="AU25" s="295">
        <f>(IF('Water Report'!$AA$17&gt;0,'Water Report'!$AA$17,0))</f>
        <v>4</v>
      </c>
      <c r="AV25" s="295">
        <f>(IF('Water Report'!$AA$18&gt;0,'Water Report'!$AA$18,0))</f>
        <v>9</v>
      </c>
      <c r="AW25" s="295">
        <f>(IF('Water Report'!$AA$19&gt;0,'Water Report'!$AA$19,0))</f>
        <v>13</v>
      </c>
      <c r="AX25" s="301">
        <f>(IF('Water Report'!$AA$21&gt;0,'Water Report'!$AA$21,0))</f>
        <v>48</v>
      </c>
      <c r="AY25" s="301">
        <f>(IF('Water Report'!$AA$22&gt;0,'Water Report'!$AA$22,0))</f>
        <v>0</v>
      </c>
      <c r="AZ25" s="301">
        <f>(IF('Water Report'!$AA$23&gt;0,'Water Report'!$AA$23,0))</f>
        <v>9</v>
      </c>
      <c r="BA25" s="301">
        <f>(IF('Water Report'!$AA$14&gt;0,'Water Report'!$AA$14,0))</f>
        <v>3</v>
      </c>
      <c r="BB25" s="301">
        <f>(IF('Water Report'!$AA$15&gt;0,'Water Report'!$AA$15,0))</f>
        <v>10</v>
      </c>
      <c r="BC25" s="301">
        <f>(IF('Water Report'!$AA$13&gt;0,'Water Report'!$AA$13,0))</f>
        <v>27</v>
      </c>
      <c r="BD25" s="301">
        <f>(IF('Water Report'!$AA$24&gt;0,'Water Report'!$AA$24,0))</f>
        <v>433</v>
      </c>
      <c r="BE25" s="301">
        <f>(IF('Water Report'!$AA$25&gt;0,'Water Report'!$AA$25,0))</f>
        <v>246</v>
      </c>
      <c r="BF25" s="301">
        <f>(IF('Water Report'!$AA$27&gt;0,'Water Report'!$AA$27,0))</f>
        <v>84</v>
      </c>
      <c r="BG25" s="296">
        <f>(IF('Section Load'!AN28&gt;0,'Section Load'!AN28,0))</f>
        <v>1149</v>
      </c>
      <c r="BH25" s="296">
        <f>(IF('Section Load'!AO28&gt;0,'Section Load'!AO28,0))</f>
        <v>274.54999999999927</v>
      </c>
      <c r="BI25" s="296">
        <f>(IF('Section Load'!AP28&gt;0,'Section Load'!AP28,0))</f>
        <v>0</v>
      </c>
      <c r="BJ25" s="296">
        <f>(IF('Section Load'!AQ28&gt;0,'Section Load'!AQ28,0))</f>
        <v>134.60000000000582</v>
      </c>
      <c r="BK25" s="296">
        <f>(IF('Section Load'!AR28&gt;0,'Section Load'!AR28,0))</f>
        <v>63</v>
      </c>
      <c r="BL25" s="296">
        <f>(IF('Section Load'!AS28&gt;0,'Section Load'!AS28,0))</f>
        <v>0</v>
      </c>
      <c r="BM25" s="296">
        <f>(IF('Section Load'!AT28&gt;0,'Section Load'!AT28,0))</f>
        <v>676.84999999999491</v>
      </c>
    </row>
    <row r="26" spans="1:65">
      <c r="A26" s="287" t="s">
        <v>268</v>
      </c>
      <c r="B26" s="288">
        <f>B25+1</f>
        <v>25</v>
      </c>
      <c r="C26" s="288">
        <v>2</v>
      </c>
      <c r="D26" s="288">
        <v>2023</v>
      </c>
      <c r="E26" s="294">
        <f>(IF('Section Load'!F29&gt;0,'Section Load'!F29,0))</f>
        <v>3177.3199999999488</v>
      </c>
      <c r="F26" s="294">
        <f>(IF('Section Load'!G29&gt;0,'Section Load'!G29,0))</f>
        <v>1439.2400000000489</v>
      </c>
      <c r="G26" s="294">
        <f>(IF('Section Load'!H29&gt;0,'Section Load'!H29,0))</f>
        <v>2763.1199999999953</v>
      </c>
      <c r="H26" s="294">
        <f>(IF('Section Load'!I29&gt;0,'Section Load'!I29,0))</f>
        <v>2834.4299999999348</v>
      </c>
      <c r="I26" s="294">
        <f>(IF('Section Load'!J29&gt;0,'Section Load'!J29,0))</f>
        <v>3214.320000000007</v>
      </c>
      <c r="J26" s="294">
        <f>(IF('Section Load'!K29&gt;0,'Section Load'!K29,0))</f>
        <v>2257.9200000000419</v>
      </c>
      <c r="K26" s="294">
        <f>(IF('Section Load'!L29&gt;0,'Section Load'!L29,0))</f>
        <v>1262.0400000000373</v>
      </c>
      <c r="L26" s="294">
        <f>(IF('Section Load'!M29&gt;0,'Section Load'!M29,0))</f>
        <v>1132.8400000000256</v>
      </c>
      <c r="M26" s="294">
        <f>(IF('Section Load'!N29&gt;0,'Section Load'!N29,0))</f>
        <v>62</v>
      </c>
      <c r="N26" s="294">
        <f>(IF('Section Load'!O29&gt;0,'Section Load'!O29,0))</f>
        <v>145</v>
      </c>
      <c r="O26" s="294">
        <f>(IF('Section Load'!P29&gt;0,'Section Load'!P29,0))</f>
        <v>35.300000000000182</v>
      </c>
      <c r="P26" s="294">
        <f>(IF('Section Load'!Q29&gt;0,'Section Load'!Q29,0))</f>
        <v>248.02999999999884</v>
      </c>
      <c r="Q26" s="294">
        <f>(IF('Section Load'!R29&gt;0,'Section Load'!R29,0))</f>
        <v>85.139999999999418</v>
      </c>
      <c r="R26" s="294">
        <f>(IF('Section Load'!S29&gt;0,'Section Load'!S29,0))</f>
        <v>219</v>
      </c>
      <c r="S26" s="294">
        <f>(IF('Section Load'!T29&gt;0,'Section Load'!T29,0))</f>
        <v>29</v>
      </c>
      <c r="T26" s="294">
        <f>(IF('Section Load'!U29&gt;0,'Section Load'!U29,0))</f>
        <v>259</v>
      </c>
      <c r="U26" s="294">
        <f>(IF('Section Load'!V29&gt;0,'Section Load'!V29,0))</f>
        <v>375</v>
      </c>
      <c r="V26" s="294">
        <f>(IF('Section Load'!W29&gt;0,'Section Load'!W29,0))</f>
        <v>388.47999999998137</v>
      </c>
      <c r="W26" s="294">
        <f>(IF('Section Load'!X29&gt;0,'Section Load'!X29,0))</f>
        <v>30.579999999999927</v>
      </c>
      <c r="X26" s="294">
        <f>(IF('Section Load'!Y29&gt;0,'Section Load'!Y29,0))</f>
        <v>305.19999999999709</v>
      </c>
      <c r="Y26" s="294">
        <f>(IF('Section Load'!Z29&gt;0,'Section Load'!Z29,0))</f>
        <v>315</v>
      </c>
      <c r="Z26" s="294">
        <f>(IF('Section Load'!AA29&gt;0,'Section Load'!AA29,0))</f>
        <v>159.20000000001164</v>
      </c>
      <c r="AA26" s="294">
        <f>(IF('Section Load'!AB29&gt;0,'Section Load'!AB29,0))</f>
        <v>28</v>
      </c>
      <c r="AB26" s="294">
        <f>(IF('Section Load'!AC29&gt;0,'Section Load'!AC29,0))</f>
        <v>1.3400000000001455</v>
      </c>
      <c r="AC26" s="294">
        <f>(IF('Section Load'!AD29&gt;0,'Section Load'!AD29,0))</f>
        <v>0</v>
      </c>
      <c r="AD26" s="294">
        <f>(IF('Section Load'!AE29&gt;0,'Section Load'!AE29,0))</f>
        <v>374.05999999999767</v>
      </c>
      <c r="AE26" s="294">
        <f>(IF('Section Load'!AF29&gt;0,'Section Load'!AF29,0))</f>
        <v>276.44000000000233</v>
      </c>
      <c r="AF26" s="294">
        <f>(IF('Section Load'!AG29&gt;0,'Section Load'!AG29,0))</f>
        <v>649.26000000000931</v>
      </c>
      <c r="AG26" s="294">
        <f>(IF('Section Load'!AH29&gt;0,'Section Load'!AH29,0))</f>
        <v>77.629999999997381</v>
      </c>
      <c r="AH26" s="294">
        <f>(IF('Section Load'!AI29&gt;0,'Section Load'!AI29,0))</f>
        <v>401.49000000000524</v>
      </c>
      <c r="AI26" s="294">
        <f>(IF('Section Load'!AJ29&gt;0,'Section Load'!AJ29,0))</f>
        <v>427.38000000000466</v>
      </c>
      <c r="AJ26" s="294">
        <f>(IF('Section Load'!AK29&gt;0,'Section Load'!AK29,0))</f>
        <v>292.59999999999127</v>
      </c>
      <c r="AK26" s="294">
        <f>(IF('Section Load'!AL29&gt;0,'Section Load'!AL29,0))</f>
        <v>306.88000000000466</v>
      </c>
      <c r="AL26" s="294">
        <f>(IF('Section Load'!AM29&gt;0,'Section Load'!AM29,0))</f>
        <v>702</v>
      </c>
      <c r="AM26" s="295">
        <f>(IF('Water Report'!$AB$7&gt;0,'Water Report'!$AB$7,0))</f>
        <v>175</v>
      </c>
      <c r="AN26" s="295">
        <f>(IF('Water Report'!$AB$8&gt;0,'Water Report'!$AB$8,0))</f>
        <v>90</v>
      </c>
      <c r="AO26" s="295">
        <f>(IF('Water Report'!$AB$9&gt;0,'Water Report'!$AB$9,0))</f>
        <v>146</v>
      </c>
      <c r="AP26" s="295">
        <f>(IF('Water Report'!$AB$10&gt;0,'Water Report'!$AB$10,0))</f>
        <v>21</v>
      </c>
      <c r="AQ26" s="295">
        <f>(IF('Water Report'!$AB$11&gt;0,'Water Report'!$AB$11,0))</f>
        <v>39</v>
      </c>
      <c r="AR26" s="295">
        <f>(IF('Water Report'!$AB$13&gt;0,'Water Report'!$AB$13,0))</f>
        <v>14</v>
      </c>
      <c r="AS26" s="295">
        <f>(IF('Water Report'!$AB$14&gt;0,'Water Report'!$AB$14,0))</f>
        <v>6</v>
      </c>
      <c r="AT26" s="295">
        <f>(IF('Water Report'!$AB$15&gt;0,'Water Report'!$AB$15,0))</f>
        <v>7</v>
      </c>
      <c r="AU26" s="295">
        <f>(IF('Water Report'!$AB$17&gt;0,'Water Report'!$AB$17,0))</f>
        <v>4</v>
      </c>
      <c r="AV26" s="295">
        <f>(IF('Water Report'!$AB$18&gt;0,'Water Report'!$AB$18,0))</f>
        <v>12</v>
      </c>
      <c r="AW26" s="295">
        <f>(IF('Water Report'!$AB$19&gt;0,'Water Report'!$AB$19,0))</f>
        <v>13</v>
      </c>
      <c r="AX26" s="301">
        <f>(IF('Water Report'!$AB$21&gt;0,'Water Report'!$AB$21,0))</f>
        <v>0</v>
      </c>
      <c r="AY26" s="301">
        <f>(IF('Water Report'!$AB$22&gt;0,'Water Report'!$AB$22,0))</f>
        <v>28</v>
      </c>
      <c r="AZ26" s="301">
        <f>(IF('Water Report'!$AB$23&gt;0,'Water Report'!$AB$23,0))</f>
        <v>13</v>
      </c>
      <c r="BA26" s="301">
        <f>(IF('Water Report'!$AB$14&gt;0,'Water Report'!$AB$14,0))</f>
        <v>6</v>
      </c>
      <c r="BB26" s="301">
        <f>(IF('Water Report'!$AB$15&gt;0,'Water Report'!$AB$15,0))</f>
        <v>7</v>
      </c>
      <c r="BC26" s="301">
        <f>(IF('Water Report'!$AB$13&gt;0,'Water Report'!$AB$13,0))</f>
        <v>14</v>
      </c>
      <c r="BD26" s="301">
        <f>(IF('Water Report'!$AB$24&gt;0,'Water Report'!$AB$24,0))</f>
        <v>371</v>
      </c>
      <c r="BE26" s="301">
        <f>(IF('Water Report'!$AB$25&gt;0,'Water Report'!$AB$25,0))</f>
        <v>219</v>
      </c>
      <c r="BF26" s="301">
        <f>(IF('Water Report'!$AB$27&gt;0,'Water Report'!$AB$27,0))</f>
        <v>27</v>
      </c>
      <c r="BG26" s="296">
        <f>(IF('Section Load'!AN29&gt;0,'Section Load'!AN29,0))</f>
        <v>1179</v>
      </c>
      <c r="BH26" s="296">
        <f>(IF('Section Load'!AO29&gt;0,'Section Load'!AO29,0))</f>
        <v>289.54999999999927</v>
      </c>
      <c r="BI26" s="296">
        <f>(IF('Section Load'!AP29&gt;0,'Section Load'!AP29,0))</f>
        <v>0</v>
      </c>
      <c r="BJ26" s="296">
        <f>(IF('Section Load'!AQ29&gt;0,'Section Load'!AQ29,0))</f>
        <v>108.10000000000582</v>
      </c>
      <c r="BK26" s="296">
        <f>(IF('Section Load'!AR29&gt;0,'Section Load'!AR29,0))</f>
        <v>58</v>
      </c>
      <c r="BL26" s="296">
        <f>(IF('Section Load'!AS29&gt;0,'Section Load'!AS29,0))</f>
        <v>0</v>
      </c>
      <c r="BM26" s="296">
        <f>(IF('Section Load'!AT29&gt;0,'Section Load'!AT29,0))</f>
        <v>723.34999999999491</v>
      </c>
    </row>
    <row r="27" spans="1:65">
      <c r="A27" s="287" t="s">
        <v>268</v>
      </c>
      <c r="B27" s="288">
        <f t="shared" si="0"/>
        <v>26</v>
      </c>
      <c r="C27" s="288">
        <v>2</v>
      </c>
      <c r="D27" s="288">
        <v>2023</v>
      </c>
      <c r="E27" s="294">
        <f>(IF('Section Load'!F30&gt;0,'Section Load'!F30,0))</f>
        <v>3391.7999999999302</v>
      </c>
      <c r="F27" s="294">
        <f>(IF('Section Load'!G30&gt;0,'Section Load'!G30,0))</f>
        <v>1401</v>
      </c>
      <c r="G27" s="294">
        <f>(IF('Section Load'!H30&gt;0,'Section Load'!H30,0))</f>
        <v>2712.640000000014</v>
      </c>
      <c r="H27" s="294">
        <f>(IF('Section Load'!I30&gt;0,'Section Load'!I30,0))</f>
        <v>2791.0400000000373</v>
      </c>
      <c r="I27" s="294">
        <f>(IF('Section Load'!J30&gt;0,'Section Load'!J30,0))</f>
        <v>3409.960000000021</v>
      </c>
      <c r="J27" s="294">
        <f>(IF('Section Load'!K30&gt;0,'Section Load'!K30,0))</f>
        <v>2294.8800000000047</v>
      </c>
      <c r="K27" s="294">
        <f>(IF('Section Load'!L30&gt;0,'Section Load'!L30,0))</f>
        <v>1226.6800000000512</v>
      </c>
      <c r="L27" s="294">
        <f>(IF('Section Load'!M30&gt;0,'Section Load'!M30,0))</f>
        <v>903.47999999998137</v>
      </c>
      <c r="M27" s="294">
        <f>(IF('Section Load'!N30&gt;0,'Section Load'!N30,0))</f>
        <v>260</v>
      </c>
      <c r="N27" s="294">
        <f>(IF('Section Load'!O30&gt;0,'Section Load'!O30,0))</f>
        <v>146</v>
      </c>
      <c r="O27" s="294">
        <f>(IF('Section Load'!P30&gt;0,'Section Load'!P30,0))</f>
        <v>35.510000000000218</v>
      </c>
      <c r="P27" s="294">
        <f>(IF('Section Load'!Q30&gt;0,'Section Load'!Q30,0))</f>
        <v>256.73999999999069</v>
      </c>
      <c r="Q27" s="294">
        <f>(IF('Section Load'!R30&gt;0,'Section Load'!R30,0))</f>
        <v>82.94999999999709</v>
      </c>
      <c r="R27" s="294">
        <f>(IF('Section Load'!S30&gt;0,'Section Load'!S30,0))</f>
        <v>209</v>
      </c>
      <c r="S27" s="294">
        <f>(IF('Section Load'!T30&gt;0,'Section Load'!T30,0))</f>
        <v>26</v>
      </c>
      <c r="T27" s="294">
        <f>(IF('Section Load'!U30&gt;0,'Section Load'!U30,0))</f>
        <v>246</v>
      </c>
      <c r="U27" s="294">
        <f>(IF('Section Load'!V30&gt;0,'Section Load'!V30,0))</f>
        <v>381.11999999999534</v>
      </c>
      <c r="V27" s="294">
        <f>(IF('Section Load'!W30&gt;0,'Section Load'!W30,0))</f>
        <v>303.76000000000931</v>
      </c>
      <c r="W27" s="294">
        <f>(IF('Section Load'!X30&gt;0,'Section Load'!X30,0))</f>
        <v>33.210000000000946</v>
      </c>
      <c r="X27" s="294">
        <f>(IF('Section Load'!Y30&gt;0,'Section Load'!Y30,0))</f>
        <v>298.25</v>
      </c>
      <c r="Y27" s="294">
        <f>(IF('Section Load'!Z30&gt;0,'Section Load'!Z30,0))</f>
        <v>317</v>
      </c>
      <c r="Z27" s="294">
        <f>(IF('Section Load'!AA30&gt;0,'Section Load'!AA30,0))</f>
        <v>68.449999999953434</v>
      </c>
      <c r="AA27" s="294">
        <f>(IF('Section Load'!AB30&gt;0,'Section Load'!AB30,0))</f>
        <v>12.699999999999818</v>
      </c>
      <c r="AB27" s="294">
        <f>(IF('Section Load'!AC30&gt;0,'Section Load'!AC30,0))</f>
        <v>5.1500000000014552</v>
      </c>
      <c r="AC27" s="294">
        <f>(IF('Section Load'!AD30&gt;0,'Section Load'!AD30,0))</f>
        <v>1.3000000000001819</v>
      </c>
      <c r="AD27" s="294">
        <f>(IF('Section Load'!AE30&gt;0,'Section Load'!AE30,0))</f>
        <v>342.11999999999534</v>
      </c>
      <c r="AE27" s="294">
        <f>(IF('Section Load'!AF30&gt;0,'Section Load'!AF30,0))</f>
        <v>289.74000000000524</v>
      </c>
      <c r="AF27" s="294">
        <f>(IF('Section Load'!AG30&gt;0,'Section Load'!AG30,0))</f>
        <v>628.61999999999534</v>
      </c>
      <c r="AG27" s="294">
        <f>(IF('Section Load'!AH30&gt;0,'Section Load'!AH30,0))</f>
        <v>81.75</v>
      </c>
      <c r="AH27" s="294">
        <f>(IF('Section Load'!AI30&gt;0,'Section Load'!AI30,0))</f>
        <v>402.7899999999936</v>
      </c>
      <c r="AI27" s="294">
        <f>(IF('Section Load'!AJ30&gt;0,'Section Load'!AJ30,0))</f>
        <v>427.54999999998836</v>
      </c>
      <c r="AJ27" s="294">
        <f>(IF('Section Load'!AK30&gt;0,'Section Load'!AK30,0))</f>
        <v>300.36000000000058</v>
      </c>
      <c r="AK27" s="294">
        <f>(IF('Section Load'!AL30&gt;0,'Section Load'!AL30,0))</f>
        <v>313.19999999999709</v>
      </c>
      <c r="AL27" s="294">
        <f>(IF('Section Load'!AM30&gt;0,'Section Load'!AM30,0))</f>
        <v>765</v>
      </c>
      <c r="AM27" s="295">
        <f>(IF('Water Report'!$AC$7&gt;0,'Water Report'!$AC$7,0))</f>
        <v>105</v>
      </c>
      <c r="AN27" s="295">
        <f>(IF('Water Report'!$AC$8&gt;0,'Water Report'!$AC$8,0))</f>
        <v>84</v>
      </c>
      <c r="AO27" s="295">
        <f>(IF('Water Report'!$AC$9&gt;0,'Water Report'!$AC$9,0))</f>
        <v>95</v>
      </c>
      <c r="AP27" s="295">
        <f>(IF('Water Report'!$AC$10&gt;0,'Water Report'!$AC$10,0))</f>
        <v>11</v>
      </c>
      <c r="AQ27" s="295">
        <f>(IF('Water Report'!$AC$11&gt;0,'Water Report'!$AC$11,0))</f>
        <v>34</v>
      </c>
      <c r="AR27" s="295">
        <f>(IF('Water Report'!$AC$13&gt;0,'Water Report'!$AC$13,0))</f>
        <v>10</v>
      </c>
      <c r="AS27" s="295">
        <f>(IF('Water Report'!$AC$14&gt;0,'Water Report'!$AC$14,0))</f>
        <v>9.2999999999992724</v>
      </c>
      <c r="AT27" s="295">
        <f>(IF('Water Report'!$AC$15&gt;0,'Water Report'!$AC$15,0))</f>
        <v>1</v>
      </c>
      <c r="AU27" s="295">
        <f>(IF('Water Report'!$AC$17&gt;0,'Water Report'!$AC$17,0))</f>
        <v>2</v>
      </c>
      <c r="AV27" s="295">
        <f>(IF('Water Report'!$AC$18&gt;0,'Water Report'!$AC$18,0))</f>
        <v>13</v>
      </c>
      <c r="AW27" s="295">
        <f>(IF('Water Report'!$AC$19&gt;0,'Water Report'!$AC$19,0))</f>
        <v>16</v>
      </c>
      <c r="AX27" s="301">
        <f>(IF('Water Report'!$AC$21&gt;0,'Water Report'!$AC$21,0))</f>
        <v>72</v>
      </c>
      <c r="AY27" s="301">
        <f>(IF('Water Report'!$AC$22&gt;0,'Water Report'!$AC$22,0))</f>
        <v>3</v>
      </c>
      <c r="AZ27" s="301">
        <f>(IF('Water Report'!$AC$23&gt;0,'Water Report'!$AC$23,0))</f>
        <v>0</v>
      </c>
      <c r="BA27" s="301">
        <f>(IF('Water Report'!$AC$14&gt;0,'Water Report'!$AC$14,0))</f>
        <v>9.2999999999992724</v>
      </c>
      <c r="BB27" s="301">
        <f>(IF('Water Report'!$AC$15&gt;0,'Water Report'!$AC$15,0))</f>
        <v>1</v>
      </c>
      <c r="BC27" s="301">
        <f>(IF('Water Report'!$AC$13&gt;0,'Water Report'!$AC$13,0))</f>
        <v>10</v>
      </c>
      <c r="BD27" s="301">
        <f>(IF('Water Report'!$AC$24&gt;0,'Water Report'!$AC$24,0))</f>
        <v>338</v>
      </c>
      <c r="BE27" s="301">
        <f>(IF('Water Report'!$AC$25&gt;0,'Water Report'!$AC$25,0))</f>
        <v>150.29999999999927</v>
      </c>
      <c r="BF27" s="301">
        <f>(IF('Water Report'!$AC$27&gt;0,'Water Report'!$AC$27,0))</f>
        <v>82</v>
      </c>
      <c r="BG27" s="296">
        <f>(IF('Section Load'!AN30&gt;0,'Section Load'!AN30,0))</f>
        <v>1200</v>
      </c>
      <c r="BH27" s="296">
        <f>(IF('Section Load'!AO30&gt;0,'Section Load'!AO30,0))</f>
        <v>302.54000000000087</v>
      </c>
      <c r="BI27" s="296">
        <f>(IF('Section Load'!AP30&gt;0,'Section Load'!AP30,0))</f>
        <v>0</v>
      </c>
      <c r="BJ27" s="296">
        <f>(IF('Section Load'!AQ30&gt;0,'Section Load'!AQ30,0))</f>
        <v>105.60999999998603</v>
      </c>
      <c r="BK27" s="296">
        <f>(IF('Section Load'!AR30&gt;0,'Section Load'!AR30,0))</f>
        <v>61</v>
      </c>
      <c r="BL27" s="296">
        <f>(IF('Section Load'!AS30&gt;0,'Section Load'!AS30,0))</f>
        <v>0</v>
      </c>
      <c r="BM27" s="296">
        <f>(IF('Section Load'!AT30&gt;0,'Section Load'!AT30,0))</f>
        <v>730.8500000000131</v>
      </c>
    </row>
    <row r="28" spans="1:65">
      <c r="A28" s="287" t="s">
        <v>268</v>
      </c>
      <c r="B28" s="288">
        <f t="shared" si="0"/>
        <v>27</v>
      </c>
      <c r="C28" s="288">
        <v>2</v>
      </c>
      <c r="D28" s="288">
        <v>2023</v>
      </c>
      <c r="E28" s="294">
        <f>(IF('Section Load'!F31&gt;0,'Section Load'!F31,0))</f>
        <v>3174.1600000000326</v>
      </c>
      <c r="F28" s="294">
        <f>(IF('Section Load'!G31&gt;0,'Section Load'!G31,0))</f>
        <v>1530.1999999999534</v>
      </c>
      <c r="G28" s="294">
        <f>(IF('Section Load'!H31&gt;0,'Section Load'!H31,0))</f>
        <v>2671.2799999999115</v>
      </c>
      <c r="H28" s="294">
        <f>(IF('Section Load'!I31&gt;0,'Section Load'!I31,0))</f>
        <v>2808.8000000000466</v>
      </c>
      <c r="I28" s="294">
        <f>(IF('Section Load'!J31&gt;0,'Section Load'!J31,0))</f>
        <v>4240.3599999999278</v>
      </c>
      <c r="J28" s="294">
        <f>(IF('Section Load'!K31&gt;0,'Section Load'!K31,0))</f>
        <v>2372.2399999999907</v>
      </c>
      <c r="K28" s="294">
        <f>(IF('Section Load'!L31&gt;0,'Section Load'!L31,0))</f>
        <v>1419.2399999999907</v>
      </c>
      <c r="L28" s="294">
        <f>(IF('Section Load'!M31&gt;0,'Section Load'!M31,0))</f>
        <v>1008.359999999986</v>
      </c>
      <c r="M28" s="294">
        <f>(IF('Section Load'!N31&gt;0,'Section Load'!N31,0))</f>
        <v>148</v>
      </c>
      <c r="N28" s="294">
        <f>(IF('Section Load'!O31&gt;0,'Section Load'!O31,0))</f>
        <v>149</v>
      </c>
      <c r="O28" s="294">
        <f>(IF('Section Load'!P31&gt;0,'Section Load'!P31,0))</f>
        <v>34.539999999999964</v>
      </c>
      <c r="P28" s="294">
        <f>(IF('Section Load'!Q31&gt;0,'Section Load'!Q31,0))</f>
        <v>273.23000000001048</v>
      </c>
      <c r="Q28" s="294">
        <f>(IF('Section Load'!R31&gt;0,'Section Load'!R31,0))</f>
        <v>89.05000000000291</v>
      </c>
      <c r="R28" s="294">
        <f>(IF('Section Load'!S31&gt;0,'Section Load'!S31,0))</f>
        <v>194</v>
      </c>
      <c r="S28" s="294">
        <f>(IF('Section Load'!T31&gt;0,'Section Load'!T31,0))</f>
        <v>30</v>
      </c>
      <c r="T28" s="294">
        <f>(IF('Section Load'!U31&gt;0,'Section Load'!U31,0))</f>
        <v>252</v>
      </c>
      <c r="U28" s="294">
        <f>(IF('Section Load'!V31&gt;0,'Section Load'!V31,0))</f>
        <v>347.52000000001863</v>
      </c>
      <c r="V28" s="294">
        <f>(IF('Section Load'!W31&gt;0,'Section Load'!W31,0))</f>
        <v>318.23999999999069</v>
      </c>
      <c r="W28" s="294">
        <f>(IF('Section Load'!X31&gt;0,'Section Load'!X31,0))</f>
        <v>27.75</v>
      </c>
      <c r="X28" s="294">
        <f>(IF('Section Load'!Y31&gt;0,'Section Load'!Y31,0))</f>
        <v>255.05999999999767</v>
      </c>
      <c r="Y28" s="294">
        <f>(IF('Section Load'!Z31&gt;0,'Section Load'!Z31,0))</f>
        <v>344</v>
      </c>
      <c r="Z28" s="294">
        <f>(IF('Section Load'!AA31&gt;0,'Section Load'!AA31,0))</f>
        <v>210.63000000000466</v>
      </c>
      <c r="AA28" s="294">
        <f>(IF('Section Load'!AB31&gt;0,'Section Load'!AB31,0))</f>
        <v>36.699999999999818</v>
      </c>
      <c r="AB28" s="294">
        <f>(IF('Section Load'!AC31&gt;0,'Section Load'!AC31,0))</f>
        <v>4.6399999999994179</v>
      </c>
      <c r="AC28" s="294">
        <f>(IF('Section Load'!AD31&gt;0,'Section Load'!AD31,0))</f>
        <v>1.3999999999996362</v>
      </c>
      <c r="AD28" s="294">
        <f>(IF('Section Load'!AE31&gt;0,'Section Load'!AE31,0))</f>
        <v>361.72000000000116</v>
      </c>
      <c r="AE28" s="294">
        <f>(IF('Section Load'!AF31&gt;0,'Section Load'!AF31,0))</f>
        <v>286.5</v>
      </c>
      <c r="AF28" s="294">
        <f>(IF('Section Load'!AG31&gt;0,'Section Load'!AG31,0))</f>
        <v>640.95999999999185</v>
      </c>
      <c r="AG28" s="294">
        <f>(IF('Section Load'!AH31&gt;0,'Section Load'!AH31,0))</f>
        <v>88.440000000002328</v>
      </c>
      <c r="AH28" s="294">
        <f>(IF('Section Load'!AI31&gt;0,'Section Load'!AI31,0))</f>
        <v>380.83999999999651</v>
      </c>
      <c r="AI28" s="294">
        <f>(IF('Section Load'!AJ31&gt;0,'Section Load'!AJ31,0))</f>
        <v>432.99000000001979</v>
      </c>
      <c r="AJ28" s="294">
        <f>(IF('Section Load'!AK31&gt;0,'Section Load'!AK31,0))</f>
        <v>296</v>
      </c>
      <c r="AK28" s="294">
        <f>(IF('Section Load'!AL31&gt;0,'Section Load'!AL31,0))</f>
        <v>304.11000000000058</v>
      </c>
      <c r="AL28" s="294">
        <f>(IF('Section Load'!AM31&gt;0,'Section Load'!AM31,0))</f>
        <v>763</v>
      </c>
      <c r="AM28" s="295">
        <f>(IF('Water Report'!$AD$7&gt;0,'Water Report'!$AD$7,0))</f>
        <v>120.20000000001164</v>
      </c>
      <c r="AN28" s="295">
        <f>(IF('Water Report'!$AD$8&gt;0,'Water Report'!$AD$8,0))</f>
        <v>45</v>
      </c>
      <c r="AO28" s="295">
        <f>(IF('Water Report'!$AD$9&gt;0,'Water Report'!$AD$9,0))</f>
        <v>125</v>
      </c>
      <c r="AP28" s="295">
        <f>(IF('Water Report'!$AD$10&gt;0,'Water Report'!AD$10,0))</f>
        <v>17</v>
      </c>
      <c r="AQ28" s="295">
        <f>(IF('Water Report'!$AD$11&gt;0,'Water Report'!AE$11,0))</f>
        <v>24</v>
      </c>
      <c r="AR28" s="295">
        <f>(IF('Water Report'!$AD$13&gt;0,'Water Report'!AF$13,0))</f>
        <v>-605</v>
      </c>
      <c r="AS28" s="295">
        <f>(IF('Water Report'!$AD$14&gt;0,'Water Report'!AG$14,0))</f>
        <v>10</v>
      </c>
      <c r="AT28" s="295">
        <f>(IF('Water Report'!$AD$15&gt;0,'Water Report'!AH$15,0))</f>
        <v>17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1170</v>
      </c>
      <c r="BH28" s="296">
        <f>(IF('Section Load'!AO31&gt;0,'Section Load'!AO31,0))</f>
        <v>232.09000000000015</v>
      </c>
      <c r="BI28" s="296">
        <f>(IF('Section Load'!AP31&gt;0,'Section Load'!AP31,0))</f>
        <v>0</v>
      </c>
      <c r="BJ28" s="296">
        <f>(IF('Section Load'!AQ31&gt;0,'Section Load'!AQ31,0))</f>
        <v>100.58999999999651</v>
      </c>
      <c r="BK28" s="296">
        <f>(IF('Section Load'!AR31&gt;0,'Section Load'!AR31,0))</f>
        <v>40.599999999998545</v>
      </c>
      <c r="BL28" s="296">
        <f>(IF('Section Load'!AS31&gt;0,'Section Load'!AS31,0))</f>
        <v>0</v>
      </c>
      <c r="BM28" s="296">
        <f>(IF('Section Load'!AT31&gt;0,'Section Load'!AT31,0))</f>
        <v>796.7200000000048</v>
      </c>
    </row>
    <row r="29" spans="1:65">
      <c r="A29" s="287" t="s">
        <v>268</v>
      </c>
      <c r="B29" s="288">
        <f t="shared" si="0"/>
        <v>28</v>
      </c>
      <c r="C29" s="288">
        <v>2</v>
      </c>
      <c r="D29" s="288">
        <v>2023</v>
      </c>
      <c r="E29" s="294">
        <f>(IF('Section Load'!F32&gt;0,'Section Load'!F32,0))</f>
        <v>3139.6899999999441</v>
      </c>
      <c r="F29" s="294">
        <f>(IF('Section Load'!G32&gt;0,'Section Load'!G32,0))</f>
        <v>1489.0900000000256</v>
      </c>
      <c r="G29" s="294">
        <f>(IF('Section Load'!H32&gt;0,'Section Load'!H32,0))</f>
        <v>2644.4100000000326</v>
      </c>
      <c r="H29" s="294">
        <f>(IF('Section Load'!I32&gt;0,'Section Load'!I32,0))</f>
        <v>2727.0399999999208</v>
      </c>
      <c r="I29" s="294">
        <f>(IF('Section Load'!J32&gt;0,'Section Load'!J32,0))</f>
        <v>4798.9000000000233</v>
      </c>
      <c r="J29" s="294">
        <f>(IF('Section Load'!K32&gt;0,'Section Load'!K32,0))</f>
        <v>2448.890000000014</v>
      </c>
      <c r="K29" s="294">
        <f>(IF('Section Load'!L32&gt;0,'Section Load'!L32,0))</f>
        <v>1859.8499999999767</v>
      </c>
      <c r="L29" s="294">
        <f>(IF('Section Load'!M32&gt;0,'Section Load'!M32,0))</f>
        <v>691.96000000002095</v>
      </c>
      <c r="M29" s="294">
        <f>(IF('Section Load'!N32&gt;0,'Section Load'!N32,0))</f>
        <v>158</v>
      </c>
      <c r="N29" s="294">
        <f>(IF('Section Load'!O32&gt;0,'Section Load'!O32,0))</f>
        <v>157</v>
      </c>
      <c r="O29" s="294">
        <f>(IF('Section Load'!P32&gt;0,'Section Load'!P32,0))</f>
        <v>32.949999999999818</v>
      </c>
      <c r="P29" s="294">
        <f>(IF('Section Load'!Q32&gt;0,'Section Load'!Q32,0))</f>
        <v>264.27999999999884</v>
      </c>
      <c r="Q29" s="294">
        <f>(IF('Section Load'!R32&gt;0,'Section Load'!R32,0))</f>
        <v>87.529999999998836</v>
      </c>
      <c r="R29" s="294">
        <f>(IF('Section Load'!S32&gt;0,'Section Load'!S32,0))</f>
        <v>176</v>
      </c>
      <c r="S29" s="294">
        <f>(IF('Section Load'!T32&gt;0,'Section Load'!T32,0))</f>
        <v>26</v>
      </c>
      <c r="T29" s="294">
        <f>(IF('Section Load'!U32&gt;0,'Section Load'!U32,0))</f>
        <v>240</v>
      </c>
      <c r="U29" s="294">
        <f>(IF('Section Load'!V32&gt;0,'Section Load'!V32,0))</f>
        <v>380.1600000000326</v>
      </c>
      <c r="V29" s="294">
        <f>(IF('Section Load'!W32&gt;0,'Section Load'!W32,0))</f>
        <v>242.72000000008848</v>
      </c>
      <c r="W29" s="294">
        <f>(IF('Section Load'!X32&gt;0,'Section Load'!X32,0))</f>
        <v>29.049999999999272</v>
      </c>
      <c r="X29" s="294">
        <f>(IF('Section Load'!Y32&gt;0,'Section Load'!Y32,0))</f>
        <v>257.4600000000064</v>
      </c>
      <c r="Y29" s="294">
        <f>(IF('Section Load'!Z32&gt;0,'Section Load'!Z32,0))</f>
        <v>343</v>
      </c>
      <c r="Z29" s="294">
        <f>(IF('Section Load'!AA32&gt;0,'Section Load'!AA32,0))</f>
        <v>217.11999999999534</v>
      </c>
      <c r="AA29" s="294">
        <f>(IF('Section Load'!AB32&gt;0,'Section Load'!AB32,0))</f>
        <v>24.800000000000182</v>
      </c>
      <c r="AB29" s="294">
        <f>(IF('Section Load'!AC32&gt;0,'Section Load'!AC32,0))</f>
        <v>6.7200000000011642</v>
      </c>
      <c r="AC29" s="294">
        <f>(IF('Section Load'!AD32&gt;0,'Section Load'!AD32,0))</f>
        <v>2.3000000000001819</v>
      </c>
      <c r="AD29" s="294">
        <f>(IF('Section Load'!AE32&gt;0,'Section Load'!AE32,0))</f>
        <v>346.54000000000815</v>
      </c>
      <c r="AE29" s="294">
        <f>(IF('Section Load'!AF32&gt;0,'Section Load'!AF32,0))</f>
        <v>257.72999999999593</v>
      </c>
      <c r="AF29" s="294">
        <f>(IF('Section Load'!AG32&gt;0,'Section Load'!AG32,0))</f>
        <v>626.73000000001048</v>
      </c>
      <c r="AG29" s="294">
        <f>(IF('Section Load'!AH32&gt;0,'Section Load'!AH32,0))</f>
        <v>98.559999999997672</v>
      </c>
      <c r="AH29" s="294">
        <f>(IF('Section Load'!AI32&gt;0,'Section Load'!AI32,0))</f>
        <v>363.2100000000064</v>
      </c>
      <c r="AI29" s="294">
        <f>(IF('Section Load'!AJ32&gt;0,'Section Load'!AJ32,0))</f>
        <v>415.82999999998719</v>
      </c>
      <c r="AJ29" s="294">
        <f>(IF('Section Load'!AK32&gt;0,'Section Load'!AK32,0))</f>
        <v>289.41000000000349</v>
      </c>
      <c r="AK29" s="294">
        <f>(IF('Section Load'!AL32&gt;0,'Section Load'!AL32,0))</f>
        <v>297.6299999999901</v>
      </c>
      <c r="AL29" s="294">
        <f>(IF('Section Load'!AM32&gt;0,'Section Load'!AM32,0))</f>
        <v>812</v>
      </c>
      <c r="AM29" s="295">
        <f>(IF('Water Report'!$AE$7&gt;0,'Water Report'!$AE$7,0))</f>
        <v>112.79999999998836</v>
      </c>
      <c r="AN29" s="295">
        <f>(IF('Water Report'!$AE$8&gt;0,'Water Report'!$AE$8,0))</f>
        <v>84</v>
      </c>
      <c r="AO29" s="295">
        <f>(IF('Water Report'!$AE$9&gt;0,'Water Report'!$AE$9,0))</f>
        <v>98</v>
      </c>
      <c r="AP29" s="295">
        <f>(IF('Water Report'!$AE$10&gt;0,'Water Report'!$AE$10,0))</f>
        <v>6</v>
      </c>
      <c r="AQ29" s="295">
        <f>(IF('Water Report'!$AE$11&gt;0,'Water Report'!$AE$11,0))</f>
        <v>24</v>
      </c>
      <c r="AR29" s="295">
        <f>(IF('Water Report'!$AE$13&gt;0,'Water Report'!$AE$13,0))</f>
        <v>16</v>
      </c>
      <c r="AS29" s="295">
        <f>(IF('Water Report'!$AE$14&gt;0,'Water Report'!$AE$14,0))</f>
        <v>4</v>
      </c>
      <c r="AT29" s="295">
        <f>(IF('Water Report'!$AE$15&gt;0,'Water Report'!$AE$15,0))</f>
        <v>3</v>
      </c>
      <c r="AU29" s="295">
        <f>(IF('Water Report'!$AE$17&gt;0,'Water Report'!$AE$17,0))</f>
        <v>0</v>
      </c>
      <c r="AV29" s="295">
        <f>(IF('Water Report'!$AE$18&gt;0,'Water Report'!$AE$18,0))</f>
        <v>11</v>
      </c>
      <c r="AW29" s="295">
        <f>(IF('Water Report'!$AE$19&gt;0,'Water Report'!$AE$19,0))</f>
        <v>18</v>
      </c>
      <c r="AX29" s="301">
        <f>(IF('Water Report'!$AE$21&gt;0,'Water Report'!$AE$21,0))</f>
        <v>79</v>
      </c>
      <c r="AY29" s="301">
        <f>(IF('Water Report'!$AE$22&gt;0,'Water Report'!$AE$22,0))</f>
        <v>16</v>
      </c>
      <c r="AZ29" s="301">
        <f>(IF('Water Report'!$AE$23&gt;0,'Water Report'!$AE$23,0))</f>
        <v>3</v>
      </c>
      <c r="BA29" s="301">
        <f>(IF('Water Report'!$AE$14&gt;0,'Water Report'!$AE$14,0))</f>
        <v>4</v>
      </c>
      <c r="BB29" s="301">
        <f>(IF('Water Report'!$AE$15&gt;0,'Water Report'!$AE$15,0))</f>
        <v>3</v>
      </c>
      <c r="BC29" s="301">
        <f>(IF('Water Report'!$AE$13&gt;0,'Water Report'!$AE$13,0))</f>
        <v>16</v>
      </c>
      <c r="BD29" s="301">
        <f>(IF('Water Report'!$AE$24&gt;0,'Water Report'!$AE$24,0))</f>
        <v>202</v>
      </c>
      <c r="BE29" s="301">
        <f>(IF('Water Report'!$AE$25&gt;0,'Water Report'!$AE$25,0))</f>
        <v>135</v>
      </c>
      <c r="BF29" s="301">
        <f>(IF('Water Report'!$AE$27&gt;0,'Water Report'!$AE$27,0))</f>
        <v>98</v>
      </c>
      <c r="BG29" s="296">
        <f>(IF('Section Load'!AN32&gt;0,'Section Load'!AN32,0))</f>
        <v>1186</v>
      </c>
      <c r="BH29" s="296">
        <f>(IF('Section Load'!AO32&gt;0,'Section Load'!AO32,0))</f>
        <v>275.97999999999956</v>
      </c>
      <c r="BI29" s="296">
        <f>(IF('Section Load'!AP32&gt;0,'Section Load'!AP32,0))</f>
        <v>0</v>
      </c>
      <c r="BJ29" s="296">
        <f>(IF('Section Load'!AQ32&gt;0,'Section Load'!AQ32,0))</f>
        <v>99.100000000005821</v>
      </c>
      <c r="BK29" s="296">
        <f>(IF('Section Load'!AR32&gt;0,'Section Load'!AR32,0))</f>
        <v>54.400000000001455</v>
      </c>
      <c r="BL29" s="296">
        <f>(IF('Section Load'!AS32&gt;0,'Section Load'!AS32,0))</f>
        <v>0</v>
      </c>
      <c r="BM29" s="296">
        <f>(IF('Section Load'!AT32&gt;0,'Section Load'!AT32,0))</f>
        <v>756.51999999999316</v>
      </c>
    </row>
    <row r="30" spans="1:65">
      <c r="A30" s="287" t="s">
        <v>268</v>
      </c>
      <c r="B30" s="288"/>
      <c r="C30" s="288"/>
      <c r="D30" s="288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301"/>
      <c r="AY30" s="301"/>
      <c r="AZ30" s="301"/>
      <c r="BA30" s="301"/>
      <c r="BB30" s="301"/>
      <c r="BC30" s="301"/>
      <c r="BD30" s="301"/>
      <c r="BE30" s="301"/>
      <c r="BF30" s="301"/>
      <c r="BG30" s="296"/>
      <c r="BH30" s="296"/>
      <c r="BI30" s="296"/>
      <c r="BJ30" s="296"/>
      <c r="BK30" s="296"/>
      <c r="BL30" s="296"/>
      <c r="BM30" s="296"/>
    </row>
    <row r="31" spans="1:65">
      <c r="A31" s="287" t="s">
        <v>268</v>
      </c>
      <c r="B31" s="288"/>
      <c r="C31" s="288"/>
      <c r="D31" s="288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301"/>
      <c r="AY31" s="301"/>
      <c r="AZ31" s="301"/>
      <c r="BA31" s="301"/>
      <c r="BB31" s="301"/>
      <c r="BC31" s="301"/>
      <c r="BD31" s="301"/>
      <c r="BE31" s="301"/>
      <c r="BF31" s="301"/>
      <c r="BG31" s="296"/>
      <c r="BH31" s="296"/>
      <c r="BI31" s="296"/>
      <c r="BJ31" s="296"/>
      <c r="BK31" s="296"/>
      <c r="BL31" s="296"/>
      <c r="BM31" s="296"/>
    </row>
    <row r="32" spans="1:65">
      <c r="A32" s="287" t="s">
        <v>268</v>
      </c>
      <c r="B32" s="288"/>
      <c r="C32" s="288"/>
      <c r="D32" s="288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301"/>
      <c r="AY32" s="301"/>
      <c r="AZ32" s="301"/>
      <c r="BA32" s="301"/>
      <c r="BB32" s="301"/>
      <c r="BC32" s="301"/>
      <c r="BD32" s="301"/>
      <c r="BE32" s="301"/>
      <c r="BF32" s="301"/>
      <c r="BG32" s="296"/>
      <c r="BH32" s="296"/>
      <c r="BI32" s="296"/>
      <c r="BJ32" s="296"/>
      <c r="BK32" s="296"/>
      <c r="BL32" s="296"/>
      <c r="BM32" s="296"/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O14" sqref="O1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  <c r="AQ1" s="761"/>
      <c r="AR1" s="761"/>
      <c r="AS1" s="761"/>
      <c r="AT1" s="761"/>
      <c r="AU1" s="761"/>
      <c r="AV1" s="761"/>
      <c r="AW1" s="761"/>
      <c r="AX1" s="761"/>
      <c r="AY1" s="761"/>
      <c r="AZ1" s="761"/>
      <c r="BA1" s="761"/>
      <c r="BB1" s="761"/>
      <c r="BC1" s="761"/>
      <c r="BD1" s="761"/>
      <c r="BE1" s="761"/>
      <c r="BF1" s="761"/>
      <c r="BG1" s="761"/>
      <c r="BH1" s="761"/>
      <c r="BI1" s="761"/>
      <c r="BJ1" s="761"/>
      <c r="BK1" s="761"/>
      <c r="BL1" s="761"/>
      <c r="BM1" s="761"/>
      <c r="BN1" s="761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2" t="s">
        <v>5</v>
      </c>
      <c r="I2" s="762"/>
      <c r="J2" s="762"/>
      <c r="K2" s="44"/>
      <c r="L2" s="763" t="s">
        <v>6</v>
      </c>
      <c r="M2" s="763"/>
      <c r="N2" s="763"/>
      <c r="O2" s="764" t="s">
        <v>7</v>
      </c>
      <c r="P2" s="764"/>
      <c r="Q2" s="764"/>
      <c r="R2" s="44" t="s">
        <v>8</v>
      </c>
      <c r="S2" s="765" t="s">
        <v>9</v>
      </c>
      <c r="T2" s="765"/>
      <c r="U2" s="765"/>
      <c r="V2" s="766" t="s">
        <v>10</v>
      </c>
      <c r="W2" s="767"/>
      <c r="X2" s="768"/>
      <c r="Y2" s="263"/>
      <c r="Z2" s="769" t="s">
        <v>11</v>
      </c>
      <c r="AA2" s="769"/>
      <c r="AB2" s="769"/>
      <c r="AC2" s="769"/>
      <c r="AD2" s="264"/>
      <c r="AE2" s="264" t="s">
        <v>12</v>
      </c>
      <c r="AF2" s="264" t="s">
        <v>13</v>
      </c>
      <c r="AG2" s="769" t="s">
        <v>14</v>
      </c>
      <c r="AH2" s="769"/>
      <c r="AI2" s="769"/>
      <c r="AJ2" s="264" t="s">
        <v>15</v>
      </c>
      <c r="AK2" s="769" t="s">
        <v>16</v>
      </c>
      <c r="AL2" s="769"/>
      <c r="AM2" s="769"/>
      <c r="AN2" s="264" t="s">
        <v>17</v>
      </c>
      <c r="AO2" s="5" t="s">
        <v>18</v>
      </c>
      <c r="AP2" s="770" t="s">
        <v>19</v>
      </c>
      <c r="AQ2" s="771"/>
      <c r="AR2" s="771"/>
      <c r="AS2" s="771"/>
      <c r="AT2" s="771"/>
      <c r="AU2" s="771"/>
      <c r="AV2" s="771"/>
      <c r="AW2" s="771"/>
      <c r="AX2" s="771"/>
      <c r="AY2" s="772"/>
      <c r="AZ2" s="770" t="s">
        <v>20</v>
      </c>
      <c r="BA2" s="771"/>
      <c r="BB2" s="771"/>
      <c r="BC2" s="771"/>
      <c r="BD2" s="771"/>
      <c r="BE2" s="771"/>
      <c r="BF2" s="771"/>
      <c r="BG2" s="771"/>
      <c r="BH2" s="77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22064</v>
      </c>
      <c r="H4" s="19">
        <f>'1'!G8</f>
        <v>22366</v>
      </c>
      <c r="I4" s="19">
        <v>9</v>
      </c>
      <c r="J4" s="49">
        <f>H4*I4</f>
        <v>201294</v>
      </c>
      <c r="K4" s="45">
        <f>H4/202</f>
        <v>110.72277227722772</v>
      </c>
      <c r="L4" s="19">
        <f>'1'!G15</f>
        <v>1161.285000000149</v>
      </c>
      <c r="M4" s="19">
        <v>56.2</v>
      </c>
      <c r="N4" s="45">
        <f>L4*M4</f>
        <v>65264.217000008379</v>
      </c>
      <c r="O4" s="19">
        <f>'1'!G20</f>
        <v>222</v>
      </c>
      <c r="P4" s="19">
        <v>108</v>
      </c>
      <c r="Q4" s="46">
        <f t="shared" ref="Q4:Q33" si="0">O4*P4</f>
        <v>23976</v>
      </c>
      <c r="R4" s="47">
        <f t="shared" ref="R4:R34" si="1">O4/(F4*202/100)</f>
        <v>119.45759793370641</v>
      </c>
      <c r="S4" s="19">
        <f>'1'!G24</f>
        <v>0</v>
      </c>
      <c r="T4" s="19">
        <v>69</v>
      </c>
      <c r="U4" s="48">
        <f>S4*T4</f>
        <v>0</v>
      </c>
      <c r="V4" s="22">
        <f>'1'!G65</f>
        <v>129</v>
      </c>
      <c r="W4" s="22">
        <f>'1'!G66</f>
        <v>29</v>
      </c>
      <c r="X4" s="22">
        <f>'1'!G67</f>
        <v>7</v>
      </c>
      <c r="Y4" s="22">
        <f>V4+W4+X4</f>
        <v>165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0</v>
      </c>
      <c r="AD4" s="19">
        <f>Z4+AA4+AB4+AC4</f>
        <v>24</v>
      </c>
      <c r="AE4" s="23">
        <f t="shared" ref="AE4:AE33" si="2">AU4+AV4+BE4+BF4</f>
        <v>5272.359999999986</v>
      </c>
      <c r="AF4" s="23">
        <f>AE4/AD4</f>
        <v>219.68166666666608</v>
      </c>
      <c r="AG4" s="19">
        <f>'1'!G88</f>
        <v>10</v>
      </c>
      <c r="AH4" s="19">
        <f>'1'!G89</f>
        <v>4.4799999999995634</v>
      </c>
      <c r="AI4" s="19">
        <f>'1'!G90</f>
        <v>7</v>
      </c>
      <c r="AJ4" s="19">
        <f>AG4+AH4+AI4</f>
        <v>21.479999999999563</v>
      </c>
      <c r="AK4" s="19">
        <f>'1'!G91</f>
        <v>0</v>
      </c>
      <c r="AL4" s="19">
        <f>'1'!G92</f>
        <v>13.440000000000509</v>
      </c>
      <c r="AM4" s="19"/>
      <c r="AN4" s="19">
        <f>AK4+AL4</f>
        <v>13.440000000000509</v>
      </c>
      <c r="AO4" s="52">
        <f>'1'!G74</f>
        <v>370</v>
      </c>
      <c r="AP4" s="55">
        <f>'1'!G35</f>
        <v>2579</v>
      </c>
      <c r="AQ4" s="19">
        <f>'1'!G37</f>
        <v>1493</v>
      </c>
      <c r="AR4" s="19">
        <f>'1'!G38</f>
        <v>2665</v>
      </c>
      <c r="AS4" s="19">
        <f>'1'!G39</f>
        <v>2949</v>
      </c>
      <c r="AT4" s="19">
        <f>'1'!G40</f>
        <v>458</v>
      </c>
      <c r="AU4" s="19">
        <f>'1'!G41</f>
        <v>-1.0000000009313226E-2</v>
      </c>
      <c r="AV4" s="19">
        <f>'1'!G42</f>
        <v>5272.3699999999953</v>
      </c>
      <c r="AW4" s="19">
        <f>'1'!G43</f>
        <v>0</v>
      </c>
      <c r="AX4" s="19">
        <f>'1'!G44</f>
        <v>0</v>
      </c>
      <c r="AY4" s="56">
        <f>'1'!G36</f>
        <v>1049</v>
      </c>
      <c r="AZ4" s="55">
        <f>'1'!G49</f>
        <v>576</v>
      </c>
      <c r="BA4" s="19">
        <f>'1'!G51</f>
        <v>0.44000000000232831</v>
      </c>
      <c r="BB4" s="19">
        <f>'1'!G52</f>
        <v>0</v>
      </c>
      <c r="BC4" s="19">
        <f>'1'!G53</f>
        <v>0</v>
      </c>
      <c r="BD4" s="19">
        <f>'1'!G54</f>
        <v>399.7899999999936</v>
      </c>
      <c r="BE4" s="19">
        <f>'1'!G55</f>
        <v>0</v>
      </c>
      <c r="BF4" s="19">
        <f>'1'!G56</f>
        <v>0</v>
      </c>
      <c r="BG4" s="19">
        <f>'1'!G57</f>
        <v>2516</v>
      </c>
      <c r="BH4" s="56">
        <f>'1'!G50</f>
        <v>1254</v>
      </c>
      <c r="BI4" s="60">
        <f>SUM(AU4,AV4,BE4,BF4)</f>
        <v>5272.359999999986</v>
      </c>
      <c r="BJ4" s="60">
        <f>'1'!G133</f>
        <v>507</v>
      </c>
      <c r="BK4" s="23">
        <f>SUM(AP4,AU4,AV4,AW4,AZ4,BE4,BF4,BG4)/H4%</f>
        <v>48.928552266833528</v>
      </c>
      <c r="BL4" s="23">
        <f>SUM(AS4,BC4)/H4%</f>
        <v>13.185191808995798</v>
      </c>
      <c r="BM4" s="24">
        <f>(AR4+BB4)/H4</f>
        <v>0.11915407314674059</v>
      </c>
      <c r="BN4" s="25">
        <f>J4+N4+Q4+U4</f>
        <v>290534.21700000839</v>
      </c>
      <c r="BO4" s="38">
        <f>SUM(AU4,AV4,AW4,BE4,BF4,BG4,BJ4)</f>
        <v>8295.359999999986</v>
      </c>
      <c r="BP4">
        <f>BO4/(AD4*280)</f>
        <v>1.2344285714285694</v>
      </c>
      <c r="BQ4" s="38">
        <f>SUM(AU4,AV4,BE4,BF4)/(AD4*400)</f>
        <v>0.54920416666666516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0.46</v>
      </c>
      <c r="G5" s="19">
        <f>'2'!G7</f>
        <v>22098.209999999963</v>
      </c>
      <c r="H5" s="19">
        <f>'2'!G8</f>
        <v>22458</v>
      </c>
      <c r="I5" s="19">
        <v>9</v>
      </c>
      <c r="J5" s="49">
        <f t="shared" ref="J5:J34" si="3">H5*I5</f>
        <v>202122</v>
      </c>
      <c r="K5" s="45">
        <f t="shared" ref="K5:K33" si="4">H5/202</f>
        <v>111.17821782178218</v>
      </c>
      <c r="L5" s="19">
        <f>'2'!G15</f>
        <v>1083</v>
      </c>
      <c r="M5" s="19">
        <v>56.2</v>
      </c>
      <c r="N5" s="45">
        <f t="shared" ref="N5:N33" si="5">L5*M5</f>
        <v>60864.600000000006</v>
      </c>
      <c r="O5" s="19">
        <f>'2'!G20</f>
        <v>249</v>
      </c>
      <c r="P5" s="19">
        <v>108</v>
      </c>
      <c r="Q5" s="46">
        <f t="shared" si="0"/>
        <v>26892</v>
      </c>
      <c r="R5" s="47">
        <f t="shared" si="1"/>
        <v>267.97244941885492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'2'!G65</f>
        <v>142</v>
      </c>
      <c r="W5" s="22">
        <f>'2'!G66</f>
        <v>15</v>
      </c>
      <c r="X5" s="22">
        <f>'2'!G67</f>
        <v>16</v>
      </c>
      <c r="Y5" s="22">
        <f t="shared" ref="Y5:Y33" si="7">V5+W5+X5</f>
        <v>173</v>
      </c>
      <c r="Z5" s="19">
        <f>'2'!G84</f>
        <v>0</v>
      </c>
      <c r="AA5" s="19">
        <f>'2'!G85</f>
        <v>21</v>
      </c>
      <c r="AB5" s="19">
        <f>'2'!G86</f>
        <v>0</v>
      </c>
      <c r="AC5" s="19">
        <f>'2'!G87</f>
        <v>5</v>
      </c>
      <c r="AD5" s="19">
        <f t="shared" ref="AD5:AD33" si="8">Z5+AA5+AB5+AC5</f>
        <v>26</v>
      </c>
      <c r="AE5" s="23">
        <f t="shared" si="2"/>
        <v>4638.1900000000023</v>
      </c>
      <c r="AF5" s="23">
        <f t="shared" ref="AF5:AF33" si="9">AE5/AD5</f>
        <v>178.39192307692318</v>
      </c>
      <c r="AG5" s="19">
        <f>'2'!G88</f>
        <v>3.2200000000011642</v>
      </c>
      <c r="AH5" s="19">
        <f>'2'!G89</f>
        <v>9.8899999999994179</v>
      </c>
      <c r="AI5" s="19">
        <f>'2'!G90</f>
        <v>5.75</v>
      </c>
      <c r="AJ5" s="19">
        <f t="shared" ref="AJ5:AJ33" si="10">AG5+AH5+AI5</f>
        <v>18.860000000000582</v>
      </c>
      <c r="AK5" s="19">
        <f>'2'!G91</f>
        <v>0</v>
      </c>
      <c r="AL5" s="19">
        <f>'2'!G92</f>
        <v>10.279999999999745</v>
      </c>
      <c r="AM5" s="19"/>
      <c r="AN5" s="19">
        <f t="shared" ref="AN5:AN33" si="11">AK5+AL5</f>
        <v>10.279999999999745</v>
      </c>
      <c r="AO5" s="52">
        <f>'2'!G74</f>
        <v>293</v>
      </c>
      <c r="AP5" s="55">
        <f>'2'!G35</f>
        <v>2523</v>
      </c>
      <c r="AQ5" s="19">
        <f>'2'!G37</f>
        <v>1444.9099999999744</v>
      </c>
      <c r="AR5" s="19">
        <f>'2'!G38</f>
        <v>2647.5699999999488</v>
      </c>
      <c r="AS5" s="19">
        <f>'2'!G39</f>
        <v>2798.1899999999441</v>
      </c>
      <c r="AT5" s="19">
        <f>'2'!G40</f>
        <v>544.97000000000116</v>
      </c>
      <c r="AU5" s="19">
        <f>'2'!G41</f>
        <v>1.0000000009313226E-2</v>
      </c>
      <c r="AV5" s="19">
        <f>'2'!G42</f>
        <v>3974.5899999999674</v>
      </c>
      <c r="AW5" s="19">
        <f>'2'!G43</f>
        <v>0</v>
      </c>
      <c r="AX5" s="19">
        <f>'2'!G44</f>
        <v>0</v>
      </c>
      <c r="AY5" s="56">
        <f>'2'!G36</f>
        <v>1009</v>
      </c>
      <c r="AZ5" s="55">
        <f>'2'!G49</f>
        <v>529.70999999996275</v>
      </c>
      <c r="BA5" s="19">
        <f>'2'!G51</f>
        <v>4.9999999988358468E-2</v>
      </c>
      <c r="BB5" s="19">
        <f>'2'!G52</f>
        <v>0</v>
      </c>
      <c r="BC5" s="19">
        <f>'2'!G53</f>
        <v>0</v>
      </c>
      <c r="BD5" s="19">
        <f>'2'!G54</f>
        <v>354.10000000000582</v>
      </c>
      <c r="BE5" s="19">
        <f>'2'!G55</f>
        <v>0</v>
      </c>
      <c r="BF5" s="19">
        <f>'2'!G56</f>
        <v>663.59000000002561</v>
      </c>
      <c r="BG5" s="19">
        <f>'2'!G57</f>
        <v>2483.9899999999907</v>
      </c>
      <c r="BH5" s="56">
        <f>'2'!G50</f>
        <v>1293.390000000014</v>
      </c>
      <c r="BI5" s="60">
        <f t="shared" ref="BI5:BI32" si="12">SUM(AU5,AV5,BE5,BF5)</f>
        <v>4638.1900000000023</v>
      </c>
      <c r="BJ5" s="60">
        <f>'2'!G133</f>
        <v>582</v>
      </c>
      <c r="BK5" s="23">
        <f t="shared" ref="BK5:BK33" si="13">SUM(AP5,AU5,AV5,AW5,AZ5,BE5,BF5,BG5)/H5%</f>
        <v>45.306305102858467</v>
      </c>
      <c r="BL5" s="23">
        <f t="shared" ref="BL5:BL33" si="14">SUM(AS5,BC5)/H5%</f>
        <v>12.45965802831928</v>
      </c>
      <c r="BM5" s="24">
        <f t="shared" ref="BM5:BM33" si="15">(AR5+BB5)/H5</f>
        <v>0.11788983881022125</v>
      </c>
      <c r="BN5" s="25">
        <f t="shared" ref="BN5:BN33" si="16">J5+N5+Q5+U5</f>
        <v>289878.59999999998</v>
      </c>
      <c r="BO5" s="38">
        <f t="shared" ref="BO5:BO35" si="17">SUM(AU5,AV5,AW5,BE5,BF5,BG5,BJ5)</f>
        <v>7704.179999999993</v>
      </c>
      <c r="BP5">
        <f t="shared" ref="BP5:BP35" si="18">BO5/(AD5*280)</f>
        <v>1.0582664835164826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0.8</v>
      </c>
      <c r="G6" s="19">
        <f>'3'!G7</f>
        <v>22965.790000000037</v>
      </c>
      <c r="H6" s="19">
        <f>'3'!G8</f>
        <v>23549.310000000056</v>
      </c>
      <c r="I6" s="19">
        <v>9</v>
      </c>
      <c r="J6" s="49">
        <f t="shared" si="3"/>
        <v>211943.7900000005</v>
      </c>
      <c r="K6" s="45">
        <f t="shared" si="4"/>
        <v>116.5807425742577</v>
      </c>
      <c r="L6" s="19">
        <f>'3'!G15</f>
        <v>1112</v>
      </c>
      <c r="M6" s="19">
        <v>56.2</v>
      </c>
      <c r="N6" s="45">
        <f t="shared" si="5"/>
        <v>62494.400000000001</v>
      </c>
      <c r="O6" s="19">
        <f>'3'!G20</f>
        <v>277</v>
      </c>
      <c r="P6" s="19">
        <v>108</v>
      </c>
      <c r="Q6" s="46">
        <f t="shared" si="0"/>
        <v>29916</v>
      </c>
      <c r="R6" s="47">
        <f t="shared" si="1"/>
        <v>171.41089108910887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140</v>
      </c>
      <c r="W6" s="22">
        <f>'3'!G66</f>
        <v>17</v>
      </c>
      <c r="X6" s="22">
        <f>'3'!G67</f>
        <v>30</v>
      </c>
      <c r="Y6" s="22">
        <f>V6+W6+X6</f>
        <v>187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25</v>
      </c>
      <c r="AD6" s="19">
        <f t="shared" si="8"/>
        <v>25</v>
      </c>
      <c r="AE6" s="23">
        <f t="shared" si="2"/>
        <v>3320.9999999999418</v>
      </c>
      <c r="AF6" s="23">
        <f t="shared" si="9"/>
        <v>132.83999999999767</v>
      </c>
      <c r="AG6" s="19">
        <f>'3'!G88</f>
        <v>7.7799999999988358</v>
      </c>
      <c r="AH6" s="19">
        <f>'3'!G89</f>
        <v>4.6300000000010186</v>
      </c>
      <c r="AI6" s="19">
        <f>'3'!G90</f>
        <v>8.9499999999970896</v>
      </c>
      <c r="AJ6" s="19">
        <f t="shared" si="10"/>
        <v>21.359999999996944</v>
      </c>
      <c r="AK6" s="19">
        <f>'3'!G91</f>
        <v>3.3900000000003274</v>
      </c>
      <c r="AL6" s="19">
        <f>'3'!G92</f>
        <v>8.5600000000004002</v>
      </c>
      <c r="AM6" s="19"/>
      <c r="AN6" s="19">
        <f t="shared" si="11"/>
        <v>11.950000000000728</v>
      </c>
      <c r="AO6" s="52">
        <f>'3'!G74</f>
        <v>304</v>
      </c>
      <c r="AP6" s="55">
        <f>'3'!G35</f>
        <v>2500</v>
      </c>
      <c r="AQ6" s="19">
        <f>'3'!G37</f>
        <v>1455.0800000000163</v>
      </c>
      <c r="AR6" s="19">
        <f>'3'!G38</f>
        <v>2822.4300000000512</v>
      </c>
      <c r="AS6" s="19">
        <f>'3'!G39</f>
        <v>2880.2600000000093</v>
      </c>
      <c r="AT6" s="19">
        <f>'3'!G40</f>
        <v>210.98000000001048</v>
      </c>
      <c r="AU6" s="19">
        <f>'3'!G41</f>
        <v>-0.41000000003259629</v>
      </c>
      <c r="AV6" s="19">
        <f>'3'!G42</f>
        <v>0</v>
      </c>
      <c r="AW6" s="19">
        <f>'3'!G43</f>
        <v>0</v>
      </c>
      <c r="AX6" s="19">
        <f>'3'!G44</f>
        <v>0</v>
      </c>
      <c r="AY6" s="56">
        <f>'3'!G36</f>
        <v>1123.9000000000233</v>
      </c>
      <c r="AZ6" s="55">
        <f>'3'!G49</f>
        <v>499.29000000003725</v>
      </c>
      <c r="BA6" s="19">
        <f>'3'!G51</f>
        <v>-4.9999999988358468E-2</v>
      </c>
      <c r="BB6" s="19">
        <f>'3'!G52</f>
        <v>0</v>
      </c>
      <c r="BC6" s="19">
        <f>'3'!G53</f>
        <v>-3.0000000027939677E-2</v>
      </c>
      <c r="BD6" s="19">
        <f>'3'!G54</f>
        <v>284.89999999999418</v>
      </c>
      <c r="BE6" s="19">
        <f>'3'!G55</f>
        <v>0</v>
      </c>
      <c r="BF6" s="19">
        <f>'3'!G56</f>
        <v>3321.4099999999744</v>
      </c>
      <c r="BG6" s="19">
        <f>'3'!G57</f>
        <v>2638.0100000000093</v>
      </c>
      <c r="BH6" s="56">
        <f>'3'!G50</f>
        <v>1949.6799999999348</v>
      </c>
      <c r="BI6" s="60">
        <f t="shared" si="12"/>
        <v>3320.9999999999418</v>
      </c>
      <c r="BJ6" s="60">
        <f>'3'!G133</f>
        <v>504</v>
      </c>
      <c r="BK6" s="23">
        <f t="shared" si="13"/>
        <v>38.040605011356881</v>
      </c>
      <c r="BL6" s="23">
        <f t="shared" si="14"/>
        <v>12.230634358288945</v>
      </c>
      <c r="BM6" s="24">
        <f t="shared" si="15"/>
        <v>0.11985191922820858</v>
      </c>
      <c r="BN6" s="25">
        <f t="shared" si="16"/>
        <v>304354.19000000053</v>
      </c>
      <c r="BO6" s="38">
        <f t="shared" si="17"/>
        <v>6463.0099999999511</v>
      </c>
      <c r="BP6">
        <f t="shared" si="18"/>
        <v>0.92328714285713587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21764</v>
      </c>
      <c r="H7" s="19">
        <f>'4'!G8</f>
        <v>22365.689999999944</v>
      </c>
      <c r="I7" s="19">
        <v>9</v>
      </c>
      <c r="J7" s="49">
        <f t="shared" si="3"/>
        <v>201291.2099999995</v>
      </c>
      <c r="K7" s="45">
        <f t="shared" si="4"/>
        <v>110.72123762376209</v>
      </c>
      <c r="L7" s="19">
        <f>'4'!G15</f>
        <v>1150</v>
      </c>
      <c r="M7" s="19">
        <v>56.2</v>
      </c>
      <c r="N7" s="45">
        <f t="shared" si="5"/>
        <v>64630</v>
      </c>
      <c r="O7" s="19">
        <f>'4'!G20</f>
        <v>265</v>
      </c>
      <c r="P7" s="19">
        <v>108</v>
      </c>
      <c r="Q7" s="46">
        <f t="shared" si="0"/>
        <v>28620</v>
      </c>
      <c r="R7" s="47">
        <f t="shared" si="1"/>
        <v>131.1881188118812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145</v>
      </c>
      <c r="W7" s="22">
        <f>'4'!G66</f>
        <v>18</v>
      </c>
      <c r="X7" s="22">
        <f>'4'!G67</f>
        <v>30</v>
      </c>
      <c r="Y7" s="22">
        <f t="shared" si="7"/>
        <v>193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3150.570000000007</v>
      </c>
      <c r="AF7" s="23">
        <f t="shared" si="9"/>
        <v>131.27375000000029</v>
      </c>
      <c r="AG7" s="19">
        <f>'4'!G88</f>
        <v>9</v>
      </c>
      <c r="AH7" s="19">
        <f>'4'!G89</f>
        <v>5</v>
      </c>
      <c r="AI7" s="19">
        <f>'4'!G90</f>
        <v>9.3000000000029104</v>
      </c>
      <c r="AJ7" s="19">
        <f t="shared" si="10"/>
        <v>23.30000000000291</v>
      </c>
      <c r="AK7" s="19">
        <f>'4'!G91</f>
        <v>8.9099999999998545</v>
      </c>
      <c r="AL7" s="19">
        <f>'4'!G92</f>
        <v>2.3099999999994907</v>
      </c>
      <c r="AM7" s="19"/>
      <c r="AN7" s="19">
        <f t="shared" si="11"/>
        <v>11.219999999999345</v>
      </c>
      <c r="AO7" s="52">
        <f>'4'!G74</f>
        <v>305</v>
      </c>
      <c r="AP7" s="55">
        <f>'4'!G35</f>
        <v>2404</v>
      </c>
      <c r="AQ7" s="19">
        <f>'4'!G37</f>
        <v>1471.0100000000093</v>
      </c>
      <c r="AR7" s="19">
        <f>'4'!G38</f>
        <v>2762</v>
      </c>
      <c r="AS7" s="19">
        <f>'4'!G39</f>
        <v>2818.3400000000838</v>
      </c>
      <c r="AT7" s="19">
        <f>'4'!G40</f>
        <v>210.04999999998836</v>
      </c>
      <c r="AU7" s="19">
        <f>'4'!G41</f>
        <v>-9.9999999976716936E-2</v>
      </c>
      <c r="AV7" s="19">
        <f>'4'!G42</f>
        <v>0</v>
      </c>
      <c r="AW7" s="19">
        <f>'4'!G43</f>
        <v>0</v>
      </c>
      <c r="AX7" s="19">
        <f>'4'!G44</f>
        <v>0</v>
      </c>
      <c r="AY7" s="56">
        <f>'4'!G36</f>
        <v>925.09999999997672</v>
      </c>
      <c r="AZ7" s="55">
        <f>'4'!G49</f>
        <v>533</v>
      </c>
      <c r="BA7" s="19">
        <f>'4'!G51</f>
        <v>-0.44000000000232831</v>
      </c>
      <c r="BB7" s="19">
        <f>'4'!G52</f>
        <v>0</v>
      </c>
      <c r="BC7" s="19">
        <f>'4'!G53</f>
        <v>0</v>
      </c>
      <c r="BD7" s="19">
        <f>'4'!G54</f>
        <v>276</v>
      </c>
      <c r="BE7" s="19">
        <f>'4'!G55</f>
        <v>0</v>
      </c>
      <c r="BF7" s="19">
        <f>'4'!G56</f>
        <v>3150.6699999999837</v>
      </c>
      <c r="BG7" s="19">
        <f>'4'!G57</f>
        <v>2585</v>
      </c>
      <c r="BH7" s="56">
        <f>'4'!G50</f>
        <v>1188.9300000000512</v>
      </c>
      <c r="BI7" s="60">
        <f t="shared" si="12"/>
        <v>3150.570000000007</v>
      </c>
      <c r="BJ7" s="60">
        <f>'3'!G133</f>
        <v>504</v>
      </c>
      <c r="BK7" s="23">
        <f t="shared" si="13"/>
        <v>38.776223760590568</v>
      </c>
      <c r="BL7" s="23">
        <f t="shared" si="14"/>
        <v>12.60117617654582</v>
      </c>
      <c r="BM7" s="24">
        <f t="shared" si="15"/>
        <v>0.1234927247940934</v>
      </c>
      <c r="BN7" s="25">
        <f t="shared" si="16"/>
        <v>294541.2099999995</v>
      </c>
      <c r="BO7" s="38">
        <f t="shared" si="17"/>
        <v>6239.570000000007</v>
      </c>
      <c r="BP7">
        <f t="shared" si="18"/>
        <v>0.92850744047619149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0.81</v>
      </c>
      <c r="G8" s="19">
        <f>'5'!G7</f>
        <v>22531</v>
      </c>
      <c r="H8" s="19">
        <f>'5'!G8</f>
        <v>23051.869999999995</v>
      </c>
      <c r="I8" s="19">
        <v>9</v>
      </c>
      <c r="J8" s="49">
        <f t="shared" si="3"/>
        <v>207466.82999999996</v>
      </c>
      <c r="K8" s="45">
        <f t="shared" si="4"/>
        <v>114.11816831683166</v>
      </c>
      <c r="L8" s="19">
        <f>'5'!G15</f>
        <v>1134.2000000001863</v>
      </c>
      <c r="M8" s="19">
        <v>56.2</v>
      </c>
      <c r="N8" s="45">
        <f t="shared" si="5"/>
        <v>63742.040000010471</v>
      </c>
      <c r="O8" s="19">
        <f>'5'!G20</f>
        <v>302</v>
      </c>
      <c r="P8" s="19">
        <v>108</v>
      </c>
      <c r="Q8" s="46">
        <f t="shared" si="0"/>
        <v>32616</v>
      </c>
      <c r="R8" s="47">
        <f t="shared" si="1"/>
        <v>184.57401295685122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114</v>
      </c>
      <c r="W8" s="22">
        <f>'5'!G66</f>
        <v>22</v>
      </c>
      <c r="X8" s="22">
        <f>'5'!G67</f>
        <v>26</v>
      </c>
      <c r="Y8" s="22">
        <f t="shared" si="7"/>
        <v>162</v>
      </c>
      <c r="Z8" s="19">
        <f>'5'!G84</f>
        <v>0</v>
      </c>
      <c r="AA8" s="19">
        <f>'5'!G85</f>
        <v>0</v>
      </c>
      <c r="AB8" s="19">
        <f>'5'!G86</f>
        <v>0</v>
      </c>
      <c r="AC8" s="19">
        <f>'5'!G87</f>
        <v>24</v>
      </c>
      <c r="AD8" s="19">
        <f t="shared" si="8"/>
        <v>24</v>
      </c>
      <c r="AE8" s="23">
        <f t="shared" si="2"/>
        <v>3609.8400000000256</v>
      </c>
      <c r="AF8" s="23">
        <f t="shared" si="9"/>
        <v>150.41000000000108</v>
      </c>
      <c r="AG8" s="19">
        <f>'5'!G88</f>
        <v>10</v>
      </c>
      <c r="AH8" s="19">
        <f>'5'!G89</f>
        <v>5</v>
      </c>
      <c r="AI8" s="19">
        <f>'5'!G90</f>
        <v>6</v>
      </c>
      <c r="AJ8" s="19">
        <f t="shared" si="10"/>
        <v>21</v>
      </c>
      <c r="AK8" s="19">
        <f>'5'!G91</f>
        <v>13.239999999999782</v>
      </c>
      <c r="AL8" s="19">
        <f>'5'!G92</f>
        <v>0</v>
      </c>
      <c r="AM8" s="19"/>
      <c r="AN8" s="19">
        <f t="shared" si="11"/>
        <v>13.239999999999782</v>
      </c>
      <c r="AO8" s="52">
        <f>'5'!G74</f>
        <v>342</v>
      </c>
      <c r="AP8" s="55">
        <f>'5'!G35</f>
        <v>2537</v>
      </c>
      <c r="AQ8" s="19">
        <f>'5'!G37</f>
        <v>1511</v>
      </c>
      <c r="AR8" s="19">
        <f>'5'!G38</f>
        <v>2739</v>
      </c>
      <c r="AS8" s="19">
        <f>'5'!G39</f>
        <v>2837.2099999999627</v>
      </c>
      <c r="AT8" s="19">
        <f>'5'!G40</f>
        <v>211</v>
      </c>
      <c r="AU8" s="19">
        <f>'5'!G41</f>
        <v>0</v>
      </c>
      <c r="AV8" s="19">
        <f>'5'!G42</f>
        <v>0</v>
      </c>
      <c r="AW8" s="19">
        <f>'5'!G43</f>
        <v>0</v>
      </c>
      <c r="AX8" s="19">
        <f>'5'!G44</f>
        <v>0</v>
      </c>
      <c r="AY8" s="56">
        <f>'5'!G36</f>
        <v>1036.5900000000256</v>
      </c>
      <c r="AZ8" s="55">
        <f>'5'!G49</f>
        <v>549.82999999995809</v>
      </c>
      <c r="BA8" s="19">
        <f>'5'!G51</f>
        <v>0</v>
      </c>
      <c r="BB8" s="19">
        <f>'5'!G52</f>
        <v>0.43000000000006366</v>
      </c>
      <c r="BC8" s="19">
        <f>'5'!G53</f>
        <v>0</v>
      </c>
      <c r="BD8" s="19">
        <f>'5'!G54</f>
        <v>285.30000000000291</v>
      </c>
      <c r="BE8" s="19">
        <f>'5'!G55</f>
        <v>0</v>
      </c>
      <c r="BF8" s="19">
        <f>'5'!G56</f>
        <v>3609.8400000000256</v>
      </c>
      <c r="BG8" s="19">
        <f>'5'!G57</f>
        <v>2660</v>
      </c>
      <c r="BH8" s="56">
        <f>'5'!G50</f>
        <v>1129.359999999986</v>
      </c>
      <c r="BI8" s="60">
        <f t="shared" si="12"/>
        <v>3609.8400000000256</v>
      </c>
      <c r="BJ8" s="60">
        <f>'5'!G133</f>
        <v>483</v>
      </c>
      <c r="BK8" s="23">
        <f t="shared" si="13"/>
        <v>40.589635461244512</v>
      </c>
      <c r="BL8" s="23">
        <f t="shared" si="14"/>
        <v>12.307938575048199</v>
      </c>
      <c r="BM8" s="24">
        <f t="shared" si="15"/>
        <v>0.11883764744465421</v>
      </c>
      <c r="BN8" s="25">
        <f t="shared" si="16"/>
        <v>303824.87000001041</v>
      </c>
      <c r="BO8" s="38">
        <f t="shared" si="17"/>
        <v>6752.8400000000256</v>
      </c>
      <c r="BP8">
        <f t="shared" si="18"/>
        <v>1.0048869047619087</v>
      </c>
    </row>
    <row r="9" spans="1:69">
      <c r="A9" s="16">
        <v>6</v>
      </c>
      <c r="B9" s="17">
        <v>6</v>
      </c>
      <c r="C9" s="26"/>
      <c r="D9" s="19">
        <f>'6'!D3</f>
        <v>26</v>
      </c>
      <c r="E9" s="50">
        <f>'6'!D4</f>
        <v>0.78</v>
      </c>
      <c r="F9" s="50">
        <f>'6'!D2</f>
        <v>0.74</v>
      </c>
      <c r="G9" s="19">
        <f>'6'!G7</f>
        <v>23089</v>
      </c>
      <c r="H9" s="19">
        <f>'6'!G8</f>
        <v>23696.130000000005</v>
      </c>
      <c r="I9" s="19">
        <v>9</v>
      </c>
      <c r="J9" s="49">
        <f t="shared" si="3"/>
        <v>213265.17000000004</v>
      </c>
      <c r="K9" s="45">
        <f t="shared" si="4"/>
        <v>117.30757425742577</v>
      </c>
      <c r="L9" s="19">
        <f>'6'!G15</f>
        <v>1087.7999999998137</v>
      </c>
      <c r="M9" s="19">
        <v>56.2</v>
      </c>
      <c r="N9" s="45">
        <f t="shared" si="5"/>
        <v>61134.359999989538</v>
      </c>
      <c r="O9" s="19">
        <f>'6'!G20</f>
        <v>311</v>
      </c>
      <c r="P9" s="19">
        <v>108</v>
      </c>
      <c r="Q9" s="46">
        <f t="shared" si="0"/>
        <v>33588</v>
      </c>
      <c r="R9" s="47">
        <f t="shared" si="1"/>
        <v>208.05458924270806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135</v>
      </c>
      <c r="W9" s="22">
        <f>'6'!G66</f>
        <v>27</v>
      </c>
      <c r="X9" s="22">
        <f>'6'!G67</f>
        <v>19</v>
      </c>
      <c r="Y9" s="22">
        <f t="shared" si="7"/>
        <v>181</v>
      </c>
      <c r="Z9" s="19">
        <f>'6'!G84</f>
        <v>0</v>
      </c>
      <c r="AA9" s="19">
        <f>'6'!G85</f>
        <v>0</v>
      </c>
      <c r="AB9" s="19">
        <f>'6'!G86</f>
        <v>0</v>
      </c>
      <c r="AC9" s="19">
        <f>'6'!G87</f>
        <v>24</v>
      </c>
      <c r="AD9" s="19">
        <f t="shared" si="8"/>
        <v>24</v>
      </c>
      <c r="AE9" s="23">
        <f t="shared" si="2"/>
        <v>3625.4899999999907</v>
      </c>
      <c r="AF9" s="23">
        <f t="shared" si="9"/>
        <v>151.06208333333294</v>
      </c>
      <c r="AG9" s="19">
        <f>'6'!G88</f>
        <v>7.5</v>
      </c>
      <c r="AH9" s="19">
        <f>'6'!G89</f>
        <v>5.6300000000010186</v>
      </c>
      <c r="AI9" s="19">
        <f>'6'!G90</f>
        <v>7.9600000000064028</v>
      </c>
      <c r="AJ9" s="19">
        <f t="shared" si="10"/>
        <v>21.090000000007421</v>
      </c>
      <c r="AK9" s="19">
        <f>'6'!G91</f>
        <v>12.25</v>
      </c>
      <c r="AL9" s="19">
        <f>'6'!G92</f>
        <v>0</v>
      </c>
      <c r="AM9" s="19"/>
      <c r="AN9" s="19">
        <f t="shared" si="11"/>
        <v>12.25</v>
      </c>
      <c r="AO9" s="52">
        <f>'6'!G74</f>
        <v>318</v>
      </c>
      <c r="AP9" s="55">
        <f>'6'!G35</f>
        <v>2617</v>
      </c>
      <c r="AQ9" s="19">
        <f>'6'!G37</f>
        <v>1555</v>
      </c>
      <c r="AR9" s="19">
        <f>'6'!G38</f>
        <v>2718</v>
      </c>
      <c r="AS9" s="19">
        <f>'6'!G39</f>
        <v>2829</v>
      </c>
      <c r="AT9" s="19">
        <f>'6'!G40</f>
        <v>218</v>
      </c>
      <c r="AU9" s="19">
        <f>'6'!G41</f>
        <v>0</v>
      </c>
      <c r="AV9" s="19">
        <f>'6'!G42</f>
        <v>0</v>
      </c>
      <c r="AW9" s="19">
        <f>'6'!G43</f>
        <v>0</v>
      </c>
      <c r="AX9" s="19">
        <f>'6'!G44</f>
        <v>0</v>
      </c>
      <c r="AY9" s="56">
        <f>'6'!G36</f>
        <v>1112.4099999999744</v>
      </c>
      <c r="AZ9" s="55">
        <f>'6'!G49</f>
        <v>541.17000000004191</v>
      </c>
      <c r="BA9" s="19">
        <f>'6'!G51</f>
        <v>0</v>
      </c>
      <c r="BB9" s="19">
        <f>'6'!G52</f>
        <v>-0.43000000000006366</v>
      </c>
      <c r="BC9" s="19">
        <f>'6'!G53</f>
        <v>0</v>
      </c>
      <c r="BD9" s="19">
        <f>'6'!G54</f>
        <v>285.69999999999709</v>
      </c>
      <c r="BE9" s="19">
        <f>'6'!G55</f>
        <v>0</v>
      </c>
      <c r="BF9" s="19">
        <f>'6'!G56</f>
        <v>3625.4899999999907</v>
      </c>
      <c r="BG9" s="19">
        <f>'6'!G57</f>
        <v>2664</v>
      </c>
      <c r="BH9" s="56">
        <f>'6'!G50</f>
        <v>1416.640000000014</v>
      </c>
      <c r="BI9" s="60">
        <f t="shared" si="12"/>
        <v>3625.4899999999907</v>
      </c>
      <c r="BJ9" s="60">
        <f>'6'!G133</f>
        <v>442</v>
      </c>
      <c r="BK9" s="23">
        <f t="shared" si="13"/>
        <v>39.870054730456118</v>
      </c>
      <c r="BL9" s="23">
        <f t="shared" si="14"/>
        <v>11.938658337880486</v>
      </c>
      <c r="BM9" s="24">
        <f t="shared" si="15"/>
        <v>0.11468412774575423</v>
      </c>
      <c r="BN9" s="25">
        <f t="shared" si="16"/>
        <v>307987.52999998955</v>
      </c>
      <c r="BO9" s="38">
        <f t="shared" si="17"/>
        <v>6731.4899999999907</v>
      </c>
      <c r="BP9">
        <f t="shared" si="18"/>
        <v>1.00170982142857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0.84</v>
      </c>
      <c r="G10" s="19">
        <f>'7'!G7</f>
        <v>23161</v>
      </c>
      <c r="H10" s="19">
        <f>'7'!G8</f>
        <v>23753</v>
      </c>
      <c r="I10" s="19">
        <v>9</v>
      </c>
      <c r="J10" s="49">
        <f t="shared" si="3"/>
        <v>213777</v>
      </c>
      <c r="K10" s="45">
        <f t="shared" si="4"/>
        <v>117.58910891089108</v>
      </c>
      <c r="L10" s="19">
        <f>'7'!G15</f>
        <v>1130</v>
      </c>
      <c r="M10" s="19">
        <v>56.2</v>
      </c>
      <c r="N10" s="45">
        <f t="shared" si="5"/>
        <v>63506</v>
      </c>
      <c r="O10" s="19">
        <f>'7'!G20</f>
        <v>220</v>
      </c>
      <c r="P10" s="19">
        <v>108</v>
      </c>
      <c r="Q10" s="46">
        <f t="shared" si="0"/>
        <v>23760</v>
      </c>
      <c r="R10" s="47">
        <f t="shared" si="1"/>
        <v>129.65582272512964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140</v>
      </c>
      <c r="W10" s="22">
        <f>'7'!G66</f>
        <v>22</v>
      </c>
      <c r="X10" s="22">
        <f>'7'!G67</f>
        <v>20</v>
      </c>
      <c r="Y10" s="22">
        <f t="shared" si="7"/>
        <v>182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</v>
      </c>
      <c r="AD10" s="19">
        <f t="shared" si="8"/>
        <v>24</v>
      </c>
      <c r="AE10" s="23">
        <f t="shared" si="2"/>
        <v>3472</v>
      </c>
      <c r="AF10" s="23">
        <f t="shared" si="9"/>
        <v>144.66666666666666</v>
      </c>
      <c r="AG10" s="19">
        <f>'7'!G88</f>
        <v>4.3899999999994179</v>
      </c>
      <c r="AH10" s="19">
        <f>'7'!G89</f>
        <v>9.3699999999989814</v>
      </c>
      <c r="AI10" s="19">
        <f>'7'!G90</f>
        <v>5.9699999999866122</v>
      </c>
      <c r="AJ10" s="19">
        <f t="shared" si="10"/>
        <v>19.729999999985012</v>
      </c>
      <c r="AK10" s="19">
        <f>'7'!G91</f>
        <v>12</v>
      </c>
      <c r="AL10" s="19">
        <f>'7'!G92</f>
        <v>0</v>
      </c>
      <c r="AM10" s="19"/>
      <c r="AN10" s="19">
        <f t="shared" si="11"/>
        <v>12</v>
      </c>
      <c r="AO10" s="52">
        <f>'7'!G74</f>
        <v>320</v>
      </c>
      <c r="AP10" s="55">
        <f>'7'!G35</f>
        <v>2745</v>
      </c>
      <c r="AQ10" s="19">
        <f>'7'!G37</f>
        <v>1488</v>
      </c>
      <c r="AR10" s="19">
        <f>'7'!G38</f>
        <v>2729</v>
      </c>
      <c r="AS10" s="19">
        <f>'7'!G39</f>
        <v>2806</v>
      </c>
      <c r="AT10" s="19">
        <f>'7'!G40</f>
        <v>214</v>
      </c>
      <c r="AU10" s="19">
        <f>'7'!G41</f>
        <v>0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1116</v>
      </c>
      <c r="AZ10" s="55">
        <f>'7'!G49</f>
        <v>557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280</v>
      </c>
      <c r="BE10" s="19">
        <f>'7'!G55</f>
        <v>0</v>
      </c>
      <c r="BF10" s="19">
        <f>'7'!G56</f>
        <v>3472</v>
      </c>
      <c r="BG10" s="19">
        <f>'7'!G57</f>
        <v>2678</v>
      </c>
      <c r="BH10" s="56">
        <f>'7'!G50</f>
        <v>1524</v>
      </c>
      <c r="BI10" s="60">
        <f t="shared" si="12"/>
        <v>3472</v>
      </c>
      <c r="BJ10" s="60">
        <f>'7'!G133</f>
        <v>600</v>
      </c>
      <c r="BK10" s="23">
        <f t="shared" si="13"/>
        <v>39.792868269271253</v>
      </c>
      <c r="BL10" s="23">
        <f t="shared" si="14"/>
        <v>11.813244642781964</v>
      </c>
      <c r="BM10" s="24">
        <f t="shared" si="15"/>
        <v>0.11489075064202417</v>
      </c>
      <c r="BN10" s="25">
        <f t="shared" si="16"/>
        <v>301043</v>
      </c>
      <c r="BO10" s="38">
        <f t="shared" si="17"/>
        <v>6750</v>
      </c>
      <c r="BP10">
        <f t="shared" si="18"/>
        <v>1.0044642857142858</v>
      </c>
    </row>
    <row r="11" spans="1:69">
      <c r="A11" s="16">
        <v>8</v>
      </c>
      <c r="B11" s="26">
        <v>8</v>
      </c>
      <c r="C11" s="18"/>
      <c r="D11" s="19">
        <f>'8'!D3</f>
        <v>26</v>
      </c>
      <c r="E11" s="50">
        <f>'8'!D4</f>
        <v>0.78</v>
      </c>
      <c r="F11" s="50">
        <f>'8'!D2</f>
        <v>0.78</v>
      </c>
      <c r="G11" s="19">
        <f>'8'!G7</f>
        <v>22705</v>
      </c>
      <c r="H11" s="19">
        <f>'8'!G8</f>
        <v>23272</v>
      </c>
      <c r="I11" s="19">
        <v>9</v>
      </c>
      <c r="J11" s="49">
        <f t="shared" si="3"/>
        <v>209448</v>
      </c>
      <c r="K11" s="45">
        <f t="shared" si="4"/>
        <v>115.20792079207921</v>
      </c>
      <c r="L11" s="19">
        <f>'8'!G15</f>
        <v>1248</v>
      </c>
      <c r="M11" s="19">
        <v>56.2</v>
      </c>
      <c r="N11" s="45">
        <f t="shared" si="5"/>
        <v>70137.600000000006</v>
      </c>
      <c r="O11" s="19">
        <f>'8'!G20</f>
        <v>415</v>
      </c>
      <c r="P11" s="19">
        <v>108</v>
      </c>
      <c r="Q11" s="46">
        <f t="shared" si="0"/>
        <v>44820</v>
      </c>
      <c r="R11" s="47">
        <f t="shared" si="1"/>
        <v>263.3917237877634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137</v>
      </c>
      <c r="W11" s="22">
        <f>'8'!G66</f>
        <v>10</v>
      </c>
      <c r="X11" s="22">
        <f>'8'!G67</f>
        <v>24</v>
      </c>
      <c r="Y11" s="22">
        <f t="shared" si="7"/>
        <v>171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</v>
      </c>
      <c r="AD11" s="19">
        <f t="shared" si="8"/>
        <v>24</v>
      </c>
      <c r="AE11" s="23">
        <f t="shared" si="2"/>
        <v>3412</v>
      </c>
      <c r="AF11" s="23">
        <f t="shared" si="9"/>
        <v>142.16666666666666</v>
      </c>
      <c r="AG11" s="19">
        <f>'8'!G88</f>
        <v>4.6000000000021828</v>
      </c>
      <c r="AH11" s="19">
        <f>'8'!G89</f>
        <v>11.5</v>
      </c>
      <c r="AI11" s="19">
        <f>'8'!G90</f>
        <v>7.5</v>
      </c>
      <c r="AJ11" s="19">
        <f t="shared" si="10"/>
        <v>23.600000000002183</v>
      </c>
      <c r="AK11" s="19">
        <f>'8'!G91</f>
        <v>12.890000000000327</v>
      </c>
      <c r="AL11" s="19">
        <f>'8'!G92</f>
        <v>0</v>
      </c>
      <c r="AM11" s="19"/>
      <c r="AN11" s="19">
        <f t="shared" si="11"/>
        <v>12.890000000000327</v>
      </c>
      <c r="AO11" s="52">
        <f>'8'!G74</f>
        <v>344</v>
      </c>
      <c r="AP11" s="55">
        <f>'8'!G35</f>
        <v>2682</v>
      </c>
      <c r="AQ11" s="19">
        <f>'8'!G37</f>
        <v>1465</v>
      </c>
      <c r="AR11" s="19">
        <f>'8'!G38</f>
        <v>2794</v>
      </c>
      <c r="AS11" s="19">
        <f>'8'!G39</f>
        <v>2838</v>
      </c>
      <c r="AT11" s="19">
        <f>'8'!G40</f>
        <v>220</v>
      </c>
      <c r="AU11" s="19">
        <f>'8'!G41</f>
        <v>0</v>
      </c>
      <c r="AV11" s="19">
        <f>'8'!G42</f>
        <v>0</v>
      </c>
      <c r="AW11" s="19">
        <f>'8'!G43</f>
        <v>0</v>
      </c>
      <c r="AX11" s="23">
        <f>'8'!G44</f>
        <v>0</v>
      </c>
      <c r="AY11" s="56">
        <f>'8'!G36</f>
        <v>946</v>
      </c>
      <c r="AZ11" s="55">
        <f>'8'!G49</f>
        <v>568.79000000003725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285</v>
      </c>
      <c r="BE11" s="19">
        <f>'8'!G55</f>
        <v>0</v>
      </c>
      <c r="BF11" s="19">
        <f>'8'!G56</f>
        <v>3412</v>
      </c>
      <c r="BG11" s="19">
        <f>'8'!G57</f>
        <v>2448</v>
      </c>
      <c r="BH11" s="56">
        <f>'8'!G50</f>
        <v>1565</v>
      </c>
      <c r="BI11" s="60">
        <f t="shared" si="12"/>
        <v>3412</v>
      </c>
      <c r="BJ11" s="60">
        <f>'8'!G133</f>
        <v>723</v>
      </c>
      <c r="BK11" s="23">
        <f t="shared" si="13"/>
        <v>39.149149192162419</v>
      </c>
      <c r="BL11" s="23">
        <f t="shared" si="14"/>
        <v>12.194912341010657</v>
      </c>
      <c r="BM11" s="24">
        <f t="shared" si="15"/>
        <v>0.12005843932622895</v>
      </c>
      <c r="BN11" s="25">
        <f t="shared" si="16"/>
        <v>324405.59999999998</v>
      </c>
      <c r="BO11" s="38">
        <f t="shared" si="17"/>
        <v>6583</v>
      </c>
      <c r="BP11">
        <f t="shared" si="18"/>
        <v>0.97961309523809526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0.49</v>
      </c>
      <c r="G12" s="19">
        <f>'9'!G7</f>
        <v>21811.469999999972</v>
      </c>
      <c r="H12" s="19">
        <f>'9'!G8</f>
        <v>22239.420000000042</v>
      </c>
      <c r="I12" s="19">
        <v>9</v>
      </c>
      <c r="J12" s="49">
        <f t="shared" si="3"/>
        <v>200154.78000000038</v>
      </c>
      <c r="K12" s="45">
        <f t="shared" si="4"/>
        <v>110.0961386138616</v>
      </c>
      <c r="L12" s="19">
        <f>'9'!G15</f>
        <v>1162.7599999997765</v>
      </c>
      <c r="M12" s="19">
        <v>56.2</v>
      </c>
      <c r="N12" s="45">
        <f t="shared" si="5"/>
        <v>65347.111999987443</v>
      </c>
      <c r="O12" s="19">
        <f>'9'!G20</f>
        <v>105</v>
      </c>
      <c r="P12" s="19">
        <v>108</v>
      </c>
      <c r="Q12" s="46">
        <f t="shared" si="0"/>
        <v>11340</v>
      </c>
      <c r="R12" s="47">
        <f t="shared" si="1"/>
        <v>106.08203677510608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131</v>
      </c>
      <c r="W12" s="22">
        <f>'9'!G66</f>
        <v>6</v>
      </c>
      <c r="X12" s="22">
        <f>'9'!G67</f>
        <v>22</v>
      </c>
      <c r="Y12" s="22">
        <f t="shared" si="7"/>
        <v>159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24.470000000001164</v>
      </c>
      <c r="AD12" s="19">
        <f t="shared" si="8"/>
        <v>24.470000000001164</v>
      </c>
      <c r="AE12" s="23">
        <f t="shared" si="2"/>
        <v>3380.1699999999837</v>
      </c>
      <c r="AF12" s="23">
        <f t="shared" si="9"/>
        <v>138.13526767469648</v>
      </c>
      <c r="AG12" s="19">
        <f>'9'!G88</f>
        <v>4.3599999999969441</v>
      </c>
      <c r="AH12" s="19">
        <f>'9'!G89</f>
        <v>10.729999999999563</v>
      </c>
      <c r="AI12" s="19">
        <f>'9'!G90</f>
        <v>8.7000000000116415</v>
      </c>
      <c r="AJ12" s="19">
        <f t="shared" si="10"/>
        <v>23.790000000008149</v>
      </c>
      <c r="AK12" s="19">
        <f>'9'!G91</f>
        <v>12.409999999999854</v>
      </c>
      <c r="AL12" s="19">
        <f>'9'!G92</f>
        <v>0</v>
      </c>
      <c r="AM12" s="19"/>
      <c r="AN12" s="19">
        <f t="shared" si="11"/>
        <v>12.409999999999854</v>
      </c>
      <c r="AO12" s="52">
        <f>'9'!G74</f>
        <v>305.61000000000058</v>
      </c>
      <c r="AP12" s="55">
        <f>'9'!G35</f>
        <v>2543.1500000000233</v>
      </c>
      <c r="AQ12" s="19">
        <f>'9'!G37</f>
        <v>1388.1500000000233</v>
      </c>
      <c r="AR12" s="19">
        <f>'9'!G38</f>
        <v>2435.4300000000512</v>
      </c>
      <c r="AS12" s="19">
        <f>'9'!G39</f>
        <v>2782.3100000000559</v>
      </c>
      <c r="AT12" s="19">
        <f>'9'!G40</f>
        <v>223.97000000000116</v>
      </c>
      <c r="AU12" s="19">
        <f>'9'!G41</f>
        <v>0.5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987.54999999998836</v>
      </c>
      <c r="AZ12" s="55">
        <f>'9'!G49</f>
        <v>543.11999999999534</v>
      </c>
      <c r="BA12" s="19">
        <f>'9'!G51</f>
        <v>0.44000000000232831</v>
      </c>
      <c r="BB12" s="19">
        <f>'9'!G52</f>
        <v>0.43000000000006366</v>
      </c>
      <c r="BC12" s="19">
        <f>'9'!G53</f>
        <v>3.0000000027939677E-2</v>
      </c>
      <c r="BD12" s="19">
        <f>'9'!G54</f>
        <v>284.41999999999825</v>
      </c>
      <c r="BE12" s="19">
        <f>'9'!G55</f>
        <v>0</v>
      </c>
      <c r="BF12" s="19">
        <f>'9'!G56</f>
        <v>3379.6699999999837</v>
      </c>
      <c r="BG12" s="19">
        <f>'9'!G57</f>
        <v>2617.7900000000373</v>
      </c>
      <c r="BH12" s="56">
        <f>'9'!G50</f>
        <v>1214.7099999999627</v>
      </c>
      <c r="BI12" s="60">
        <f t="shared" si="12"/>
        <v>3380.1699999999837</v>
      </c>
      <c r="BJ12" s="60">
        <f>'8'!G133</f>
        <v>723</v>
      </c>
      <c r="BK12" s="23">
        <f t="shared" si="13"/>
        <v>40.847423179201719</v>
      </c>
      <c r="BL12" s="23">
        <f t="shared" si="14"/>
        <v>12.510847854845489</v>
      </c>
      <c r="BM12" s="24">
        <f t="shared" si="15"/>
        <v>0.10952893555677472</v>
      </c>
      <c r="BN12" s="25">
        <f t="shared" si="16"/>
        <v>276841.89199998783</v>
      </c>
      <c r="BO12" s="38">
        <f t="shared" si="17"/>
        <v>6720.960000000021</v>
      </c>
      <c r="BP12">
        <f t="shared" si="18"/>
        <v>0.98093292077758498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0.47</v>
      </c>
      <c r="G13" s="19">
        <f>'10'!G7</f>
        <v>22153.20000000007</v>
      </c>
      <c r="H13" s="19">
        <f>'10'!G8</f>
        <v>22634.090000000004</v>
      </c>
      <c r="I13" s="19">
        <v>9</v>
      </c>
      <c r="J13" s="49">
        <f t="shared" si="3"/>
        <v>203706.81000000003</v>
      </c>
      <c r="K13" s="45">
        <f t="shared" si="4"/>
        <v>112.04995049504953</v>
      </c>
      <c r="L13" s="19">
        <f>'10'!G15</f>
        <v>1074.820000000298</v>
      </c>
      <c r="M13" s="19">
        <v>56.2</v>
      </c>
      <c r="N13" s="45">
        <f t="shared" si="5"/>
        <v>60404.884000016755</v>
      </c>
      <c r="O13" s="19">
        <f>'10'!G20</f>
        <v>47</v>
      </c>
      <c r="P13" s="19">
        <v>108</v>
      </c>
      <c r="Q13" s="46">
        <f t="shared" si="0"/>
        <v>5076</v>
      </c>
      <c r="R13" s="47">
        <f t="shared" si="1"/>
        <v>49.504950495049506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114</v>
      </c>
      <c r="W13" s="22">
        <f>'10'!G66</f>
        <v>9</v>
      </c>
      <c r="X13" s="22">
        <f>'10'!G67</f>
        <v>22</v>
      </c>
      <c r="Y13" s="22">
        <f t="shared" si="7"/>
        <v>145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24.419999999998254</v>
      </c>
      <c r="AD13" s="19">
        <f t="shared" si="8"/>
        <v>24.419999999998254</v>
      </c>
      <c r="AE13" s="23">
        <f t="shared" si="2"/>
        <v>3491.0400000000373</v>
      </c>
      <c r="AF13" s="23">
        <f t="shared" si="9"/>
        <v>142.95823095824269</v>
      </c>
      <c r="AG13" s="19">
        <f>'10'!G88</f>
        <v>8.6700000000018917</v>
      </c>
      <c r="AH13" s="19">
        <f>'10'!G89</f>
        <v>4.4000000000014552</v>
      </c>
      <c r="AI13" s="19">
        <f>'10'!G90</f>
        <v>8.5499999999883585</v>
      </c>
      <c r="AJ13" s="19">
        <f t="shared" si="10"/>
        <v>21.619999999991705</v>
      </c>
      <c r="AK13" s="19">
        <f>'10'!G91</f>
        <v>12.109999999999673</v>
      </c>
      <c r="AL13" s="19">
        <f>'10'!G92</f>
        <v>0</v>
      </c>
      <c r="AM13" s="19"/>
      <c r="AN13" s="19">
        <f t="shared" si="11"/>
        <v>12.109999999999673</v>
      </c>
      <c r="AO13" s="52">
        <f>'10'!G74</f>
        <v>311.38999999999942</v>
      </c>
      <c r="AP13" s="55">
        <f>'10'!G35</f>
        <v>2550.8499999999767</v>
      </c>
      <c r="AQ13" s="19">
        <f>'10'!G37</f>
        <v>1391.8499999999767</v>
      </c>
      <c r="AR13" s="19">
        <f>'10'!G38</f>
        <v>2439.5699999999488</v>
      </c>
      <c r="AS13" s="19">
        <f>'10'!G39</f>
        <v>2862.6899999999441</v>
      </c>
      <c r="AT13" s="19">
        <f>'10'!G40</f>
        <v>224.02999999999884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1005.4500000000116</v>
      </c>
      <c r="AZ13" s="55">
        <f>'10'!G49</f>
        <v>548.0899999999674</v>
      </c>
      <c r="BA13" s="19">
        <f>'10'!G51</f>
        <v>-0.44000000000232831</v>
      </c>
      <c r="BB13" s="19">
        <f>'10'!G52</f>
        <v>0</v>
      </c>
      <c r="BC13" s="19">
        <f>'10'!G53</f>
        <v>-3.0000000027939677E-2</v>
      </c>
      <c r="BD13" s="19">
        <f>'10'!G54</f>
        <v>284.52999999999884</v>
      </c>
      <c r="BE13" s="19">
        <f>'10'!G55</f>
        <v>0</v>
      </c>
      <c r="BF13" s="19">
        <f>'10'!G56</f>
        <v>3491.0400000000373</v>
      </c>
      <c r="BG13" s="19">
        <f>'10'!G57</f>
        <v>2611.8099999999395</v>
      </c>
      <c r="BH13" s="56">
        <f>'10'!G50</f>
        <v>1246.2900000000373</v>
      </c>
      <c r="BI13" s="60">
        <f t="shared" si="12"/>
        <v>3491.0400000000373</v>
      </c>
      <c r="BJ13" s="60">
        <f>'8'!G133</f>
        <v>723</v>
      </c>
      <c r="BK13" s="23">
        <f t="shared" si="13"/>
        <v>40.654561327625366</v>
      </c>
      <c r="BL13" s="23">
        <f t="shared" si="14"/>
        <v>12.6475594998514</v>
      </c>
      <c r="BM13" s="24">
        <f t="shared" si="15"/>
        <v>0.10778299458913296</v>
      </c>
      <c r="BN13" s="25">
        <f t="shared" si="16"/>
        <v>269187.69400001678</v>
      </c>
      <c r="BO13" s="38">
        <f t="shared" si="17"/>
        <v>6825.8499999999767</v>
      </c>
      <c r="BP13">
        <f t="shared" si="18"/>
        <v>0.99828156078162877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0.5</v>
      </c>
      <c r="G14" s="19">
        <f>'11'!G7</f>
        <v>20876.399999999907</v>
      </c>
      <c r="H14" s="19">
        <f>'11'!G8</f>
        <v>21484.029999999992</v>
      </c>
      <c r="I14" s="19">
        <v>9</v>
      </c>
      <c r="J14" s="49">
        <f t="shared" si="3"/>
        <v>193356.26999999993</v>
      </c>
      <c r="K14" s="45">
        <f t="shared" si="4"/>
        <v>106.3565841584158</v>
      </c>
      <c r="L14" s="19">
        <f>'11'!G15</f>
        <v>1066.4199999999255</v>
      </c>
      <c r="M14" s="19">
        <v>56.2</v>
      </c>
      <c r="N14" s="45">
        <f t="shared" si="5"/>
        <v>59932.803999995813</v>
      </c>
      <c r="O14" s="19">
        <f>'11'!G20</f>
        <v>54</v>
      </c>
      <c r="P14" s="19">
        <v>108</v>
      </c>
      <c r="Q14" s="46">
        <f t="shared" si="0"/>
        <v>5832</v>
      </c>
      <c r="R14" s="47">
        <f t="shared" si="1"/>
        <v>53.465346534653463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106</v>
      </c>
      <c r="W14" s="22">
        <f>'11'!G66</f>
        <v>10</v>
      </c>
      <c r="X14" s="22">
        <f>'11'!G67</f>
        <v>36</v>
      </c>
      <c r="Y14" s="22">
        <f t="shared" si="7"/>
        <v>152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24.059999999997672</v>
      </c>
      <c r="AD14" s="19">
        <f t="shared" si="8"/>
        <v>24.059999999997672</v>
      </c>
      <c r="AE14" s="23">
        <f t="shared" si="2"/>
        <v>2718.2099999999627</v>
      </c>
      <c r="AF14" s="23">
        <f t="shared" si="9"/>
        <v>112.97630922694205</v>
      </c>
      <c r="AG14" s="19">
        <f>'11'!G88</f>
        <v>4.680000000000291</v>
      </c>
      <c r="AH14" s="19">
        <f>'11'!G89</f>
        <v>7.4399999999986903</v>
      </c>
      <c r="AI14" s="19">
        <f>'11'!G90</f>
        <v>7.1200000000098953</v>
      </c>
      <c r="AJ14" s="19">
        <f t="shared" si="10"/>
        <v>19.240000000008877</v>
      </c>
      <c r="AK14" s="19">
        <f>'11'!G91</f>
        <v>11.5</v>
      </c>
      <c r="AL14" s="19">
        <f>'11'!G92</f>
        <v>0</v>
      </c>
      <c r="AM14" s="19"/>
      <c r="AN14" s="19">
        <f t="shared" si="11"/>
        <v>11.5</v>
      </c>
      <c r="AO14" s="52">
        <f>'11'!G74</f>
        <v>295.92000000000007</v>
      </c>
      <c r="AP14" s="55">
        <f>'11'!G35</f>
        <v>2700.7099999999627</v>
      </c>
      <c r="AQ14" s="19">
        <f>'11'!G37</f>
        <v>1365.75</v>
      </c>
      <c r="AR14" s="19">
        <f>'11'!G38</f>
        <v>2416.75</v>
      </c>
      <c r="AS14" s="19">
        <f>'11'!G39</f>
        <v>2794.1899999999441</v>
      </c>
      <c r="AT14" s="19">
        <f>'11'!G40</f>
        <v>217.30999999999767</v>
      </c>
      <c r="AU14" s="19">
        <f>'11'!G41</f>
        <v>1.0000000009313226E-2</v>
      </c>
      <c r="AV14" s="19">
        <f>'11'!G42</f>
        <v>0</v>
      </c>
      <c r="AW14" s="19">
        <f>'11'!G43</f>
        <v>0</v>
      </c>
      <c r="AX14" s="23">
        <f>'11'!G44</f>
        <v>0</v>
      </c>
      <c r="AY14" s="56">
        <f>'11'!G36</f>
        <v>1010.4699999999721</v>
      </c>
      <c r="AZ14" s="55">
        <f>'11'!G49</f>
        <v>509.75</v>
      </c>
      <c r="BA14" s="19">
        <f>'11'!G51</f>
        <v>0.44000000000232831</v>
      </c>
      <c r="BB14" s="19">
        <f>'11'!G52</f>
        <v>0</v>
      </c>
      <c r="BC14" s="19">
        <f>'11'!G53</f>
        <v>3.0000000027939677E-2</v>
      </c>
      <c r="BD14" s="19">
        <f>'11'!G54</f>
        <v>388.83999999999651</v>
      </c>
      <c r="BE14" s="19">
        <f>'11'!G55</f>
        <v>0</v>
      </c>
      <c r="BF14" s="19">
        <f>'11'!G56</f>
        <v>2718.1999999999534</v>
      </c>
      <c r="BG14" s="19">
        <f>'11'!G57</f>
        <v>2619.8699999999953</v>
      </c>
      <c r="BH14" s="56">
        <f>'11'!G50</f>
        <v>1156.9499999999534</v>
      </c>
      <c r="BI14" s="60">
        <f t="shared" si="12"/>
        <v>2718.2099999999627</v>
      </c>
      <c r="BJ14" s="60">
        <f>'11'!G133</f>
        <v>860</v>
      </c>
      <c r="BK14" s="23">
        <f t="shared" si="13"/>
        <v>39.790206958377567</v>
      </c>
      <c r="BL14" s="23">
        <f t="shared" si="14"/>
        <v>13.006032853240164</v>
      </c>
      <c r="BM14" s="24">
        <f t="shared" si="15"/>
        <v>0.11249053366616975</v>
      </c>
      <c r="BN14" s="25">
        <f t="shared" si="16"/>
        <v>259121.07399999574</v>
      </c>
      <c r="BO14" s="38">
        <f t="shared" si="17"/>
        <v>6198.0799999999581</v>
      </c>
      <c r="BP14">
        <f t="shared" si="18"/>
        <v>0.92003325020789661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0.49</v>
      </c>
      <c r="G15" s="19">
        <f>'12'!G7</f>
        <v>20081.840000000084</v>
      </c>
      <c r="H15" s="19">
        <f>'12'!G8</f>
        <v>20559.380000000005</v>
      </c>
      <c r="I15" s="19">
        <v>9</v>
      </c>
      <c r="J15" s="49">
        <f t="shared" si="3"/>
        <v>185034.42000000004</v>
      </c>
      <c r="K15" s="45">
        <f t="shared" si="4"/>
        <v>101.77910891089111</v>
      </c>
      <c r="L15" s="19">
        <f>'12'!G15</f>
        <v>741.60999999986961</v>
      </c>
      <c r="M15" s="19">
        <v>56.2</v>
      </c>
      <c r="N15" s="41">
        <f t="shared" si="5"/>
        <v>41678.481999992677</v>
      </c>
      <c r="O15" s="19">
        <f>'12'!G20</f>
        <v>57</v>
      </c>
      <c r="P15" s="19">
        <v>108</v>
      </c>
      <c r="Q15" s="46">
        <f t="shared" si="0"/>
        <v>6156</v>
      </c>
      <c r="R15" s="47">
        <f t="shared" si="1"/>
        <v>57.587391392200445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101</v>
      </c>
      <c r="W15" s="22">
        <f>'12'!G66</f>
        <v>9</v>
      </c>
      <c r="X15" s="22">
        <f>'12'!G67</f>
        <v>35</v>
      </c>
      <c r="Y15" s="22">
        <f t="shared" si="7"/>
        <v>145</v>
      </c>
      <c r="Z15" s="19">
        <f>'12'!G84</f>
        <v>0</v>
      </c>
      <c r="AA15" s="19">
        <f>'12'!G85</f>
        <v>0</v>
      </c>
      <c r="AB15" s="19">
        <f>'12'!G86</f>
        <v>10</v>
      </c>
      <c r="AC15" s="19">
        <f>'12'!G87</f>
        <v>15.05000000000291</v>
      </c>
      <c r="AD15" s="19">
        <f t="shared" si="8"/>
        <v>25.05000000000291</v>
      </c>
      <c r="AE15" s="23">
        <f t="shared" si="2"/>
        <v>2806.0400000000373</v>
      </c>
      <c r="AF15" s="23">
        <f t="shared" si="9"/>
        <v>112.01756487024795</v>
      </c>
      <c r="AG15" s="19">
        <f>'12'!G88</f>
        <v>0</v>
      </c>
      <c r="AH15" s="19">
        <f>'12'!G89</f>
        <v>0</v>
      </c>
      <c r="AI15" s="19">
        <f>'12'!G90</f>
        <v>9.4599999999918509</v>
      </c>
      <c r="AJ15" s="19">
        <f t="shared" si="10"/>
        <v>9.4599999999918509</v>
      </c>
      <c r="AK15" s="19">
        <f>'12'!G91</f>
        <v>11.360000000000582</v>
      </c>
      <c r="AL15" s="19">
        <f>'12'!G92</f>
        <v>0</v>
      </c>
      <c r="AM15" s="19"/>
      <c r="AN15" s="19">
        <f t="shared" si="11"/>
        <v>11.360000000000582</v>
      </c>
      <c r="AO15" s="52">
        <f>'12'!G74</f>
        <v>286.07999999999993</v>
      </c>
      <c r="AP15" s="55">
        <f>'12'!G35</f>
        <v>2548.0800000000745</v>
      </c>
      <c r="AQ15" s="19">
        <f>'12'!G37</f>
        <v>1336.1599999999744</v>
      </c>
      <c r="AR15" s="19">
        <f>'12'!G38</f>
        <v>2375.5200000000186</v>
      </c>
      <c r="AS15" s="19">
        <f>'12'!G39</f>
        <v>2793.6000000000931</v>
      </c>
      <c r="AT15" s="19">
        <f>'12'!G40</f>
        <v>213.61999999999534</v>
      </c>
      <c r="AU15" s="19">
        <f>'12'!G41</f>
        <v>0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734.44000000000233</v>
      </c>
      <c r="AZ15" s="55">
        <f>'12'!G49</f>
        <v>527.11999999999534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410.17000000001281</v>
      </c>
      <c r="BE15" s="19">
        <f>'12'!G55</f>
        <v>1334.4000000000233</v>
      </c>
      <c r="BF15" s="19">
        <f>'12'!G56</f>
        <v>1471.640000000014</v>
      </c>
      <c r="BG15" s="19">
        <f>'12'!G57</f>
        <v>2614.2399999999907</v>
      </c>
      <c r="BH15" s="56">
        <f>'12'!G50</f>
        <v>1137.4800000000978</v>
      </c>
      <c r="BI15" s="60">
        <f t="shared" si="12"/>
        <v>2806.0400000000373</v>
      </c>
      <c r="BJ15" s="60">
        <f>'12'!G133</f>
        <v>699</v>
      </c>
      <c r="BK15" s="23">
        <f t="shared" si="13"/>
        <v>41.321674097176547</v>
      </c>
      <c r="BL15" s="23">
        <f t="shared" si="14"/>
        <v>13.587958391741836</v>
      </c>
      <c r="BM15" s="24">
        <f t="shared" si="15"/>
        <v>0.11554434034489455</v>
      </c>
      <c r="BN15" s="25">
        <f t="shared" si="16"/>
        <v>232868.90199999273</v>
      </c>
      <c r="BO15" s="38">
        <f t="shared" si="17"/>
        <v>6119.2800000000279</v>
      </c>
      <c r="BP15">
        <f t="shared" si="18"/>
        <v>0.87243798118039873</v>
      </c>
    </row>
    <row r="16" spans="1:69">
      <c r="A16" s="16">
        <v>13</v>
      </c>
      <c r="B16" s="26">
        <v>13</v>
      </c>
      <c r="C16" s="26"/>
      <c r="D16" s="19">
        <f>'13'!D3</f>
        <v>33</v>
      </c>
      <c r="E16" s="50">
        <f>'13'!D4</f>
        <v>0.82</v>
      </c>
      <c r="F16" s="50">
        <f>'13'!D2</f>
        <v>0.49</v>
      </c>
      <c r="G16" s="19">
        <f>'13'!G7</f>
        <v>20966.079999999958</v>
      </c>
      <c r="H16" s="19">
        <f>'13'!G8</f>
        <v>21408.770000000004</v>
      </c>
      <c r="I16" s="19">
        <v>9</v>
      </c>
      <c r="J16" s="49">
        <f t="shared" si="3"/>
        <v>192678.93000000005</v>
      </c>
      <c r="K16" s="45">
        <f t="shared" si="4"/>
        <v>105.98400990099012</v>
      </c>
      <c r="L16" s="19">
        <f>'13'!G15</f>
        <v>738.41360000008717</v>
      </c>
      <c r="M16" s="19">
        <v>56.2</v>
      </c>
      <c r="N16" s="41">
        <f t="shared" si="5"/>
        <v>41498.844320004901</v>
      </c>
      <c r="O16" s="19">
        <f>'13'!G20</f>
        <v>64</v>
      </c>
      <c r="P16" s="19">
        <v>108</v>
      </c>
      <c r="Q16" s="46">
        <f t="shared" si="0"/>
        <v>6912</v>
      </c>
      <c r="R16" s="47">
        <f t="shared" si="1"/>
        <v>64.659527177207522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83</v>
      </c>
      <c r="W16" s="22">
        <f>'13'!G66</f>
        <v>9</v>
      </c>
      <c r="X16" s="22">
        <f>'13'!G67</f>
        <v>32</v>
      </c>
      <c r="Y16" s="22">
        <f t="shared" si="7"/>
        <v>124</v>
      </c>
      <c r="Z16" s="19">
        <f>'13'!G84</f>
        <v>0</v>
      </c>
      <c r="AA16" s="19">
        <f>'13'!G85</f>
        <v>0</v>
      </c>
      <c r="AB16" s="19">
        <f>'13'!G86</f>
        <v>24.059999999997672</v>
      </c>
      <c r="AC16" s="19">
        <f>'13'!G87</f>
        <v>0</v>
      </c>
      <c r="AD16" s="19">
        <f t="shared" si="8"/>
        <v>24.059999999997672</v>
      </c>
      <c r="AE16" s="23">
        <f t="shared" si="2"/>
        <v>3416.8399999999674</v>
      </c>
      <c r="AF16" s="23">
        <f t="shared" si="9"/>
        <v>142.01330008313792</v>
      </c>
      <c r="AG16" s="19">
        <f>'13'!G88</f>
        <v>-0.2000000000007276</v>
      </c>
      <c r="AH16" s="19">
        <f>'13'!G89</f>
        <v>-6.9999999999708962E-2</v>
      </c>
      <c r="AI16" s="19">
        <f>'13'!G90</f>
        <v>9.7400000000052387</v>
      </c>
      <c r="AJ16" s="19">
        <f t="shared" si="10"/>
        <v>9.4700000000048021</v>
      </c>
      <c r="AK16" s="19">
        <f>'13'!G91</f>
        <v>9.3499999999994543</v>
      </c>
      <c r="AL16" s="19">
        <f>'13'!G92</f>
        <v>2.3699999999998909</v>
      </c>
      <c r="AM16" s="19"/>
      <c r="AN16" s="19">
        <f t="shared" si="11"/>
        <v>11.719999999999345</v>
      </c>
      <c r="AO16" s="52">
        <f>'13'!G74</f>
        <v>299</v>
      </c>
      <c r="AP16" s="55">
        <f>'13'!G35</f>
        <v>2352.4799999999814</v>
      </c>
      <c r="AQ16" s="19">
        <f>'13'!G37</f>
        <v>1354.0900000000256</v>
      </c>
      <c r="AR16" s="19">
        <f>'13'!G38</f>
        <v>2302.1600000000326</v>
      </c>
      <c r="AS16" s="19">
        <f>'13'!G39</f>
        <v>2751.4399999999441</v>
      </c>
      <c r="AT16" s="19">
        <f>'13'!G40</f>
        <v>201.72000000000116</v>
      </c>
      <c r="AU16" s="19">
        <f>'13'!G41</f>
        <v>0</v>
      </c>
      <c r="AV16" s="19">
        <f>'13'!G42</f>
        <v>0</v>
      </c>
      <c r="AW16" s="19">
        <f>'13'!G43</f>
        <v>0</v>
      </c>
      <c r="AX16" s="23">
        <f>'13'!G44</f>
        <v>0</v>
      </c>
      <c r="AY16" s="56">
        <f>'13'!G36</f>
        <v>807.09000000002561</v>
      </c>
      <c r="AZ16" s="55">
        <f>'13'!G49</f>
        <v>515.13000000000466</v>
      </c>
      <c r="BA16" s="19">
        <f>'13'!G51</f>
        <v>-0.44000000000232831</v>
      </c>
      <c r="BB16" s="19">
        <f>'13'!G52</f>
        <v>0</v>
      </c>
      <c r="BC16" s="19">
        <f>'13'!G53</f>
        <v>-3.0000000027939677E-2</v>
      </c>
      <c r="BD16" s="19">
        <f>'13'!G54</f>
        <v>373.63999999999942</v>
      </c>
      <c r="BE16" s="19">
        <f>'13'!G55</f>
        <v>3416.8399999999674</v>
      </c>
      <c r="BF16" s="19">
        <f>'13'!G56</f>
        <v>0</v>
      </c>
      <c r="BG16" s="19">
        <f>'13'!G57</f>
        <v>2558.9600000000792</v>
      </c>
      <c r="BH16" s="56">
        <f>'13'!G50</f>
        <v>1562.5199999999022</v>
      </c>
      <c r="BI16" s="60">
        <f t="shared" si="12"/>
        <v>3416.8399999999674</v>
      </c>
      <c r="BJ16" s="60">
        <f>'13'!G133</f>
        <v>536</v>
      </c>
      <c r="BK16" s="23">
        <f t="shared" si="13"/>
        <v>41.307417474240843</v>
      </c>
      <c r="BL16" s="23">
        <f t="shared" si="14"/>
        <v>12.851789243379772</v>
      </c>
      <c r="BM16" s="24">
        <f t="shared" si="15"/>
        <v>0.10753350145758174</v>
      </c>
      <c r="BN16" s="25">
        <f t="shared" si="16"/>
        <v>241089.77432000494</v>
      </c>
      <c r="BO16" s="38">
        <f t="shared" si="17"/>
        <v>6511.8000000000466</v>
      </c>
      <c r="BP16">
        <f t="shared" si="18"/>
        <v>0.96660135375856149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0.5</v>
      </c>
      <c r="G17" s="19">
        <f>'14'!G7</f>
        <v>21687.940000000061</v>
      </c>
      <c r="H17" s="19">
        <f>'14'!G8</f>
        <v>22111.61</v>
      </c>
      <c r="I17" s="19">
        <v>9</v>
      </c>
      <c r="J17" s="49">
        <f t="shared" si="3"/>
        <v>199004.49</v>
      </c>
      <c r="K17" s="45">
        <f t="shared" si="4"/>
        <v>109.46341584158417</v>
      </c>
      <c r="L17" s="19">
        <f>'14'!G15</f>
        <v>823.97640000004321</v>
      </c>
      <c r="M17" s="19">
        <v>56.2</v>
      </c>
      <c r="N17" s="41">
        <f t="shared" si="5"/>
        <v>46307.473680002433</v>
      </c>
      <c r="O17" s="19">
        <f>'14'!G20</f>
        <v>174</v>
      </c>
      <c r="P17" s="19">
        <v>108</v>
      </c>
      <c r="Q17" s="46">
        <f t="shared" si="0"/>
        <v>18792</v>
      </c>
      <c r="R17" s="47">
        <f t="shared" si="1"/>
        <v>172.27722772277227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99</v>
      </c>
      <c r="W17" s="22">
        <f>'14'!G66</f>
        <v>12</v>
      </c>
      <c r="X17" s="22">
        <f>'14'!G67</f>
        <v>40</v>
      </c>
      <c r="Y17" s="22">
        <f>V17+W17+X17</f>
        <v>151</v>
      </c>
      <c r="Z17" s="19">
        <f>'14'!G84</f>
        <v>0</v>
      </c>
      <c r="AA17" s="19">
        <f>'14'!G85</f>
        <v>0</v>
      </c>
      <c r="AB17" s="19">
        <f>'14'!G86</f>
        <v>23.940000000002328</v>
      </c>
      <c r="AC17" s="19">
        <f>'14'!G87</f>
        <v>0</v>
      </c>
      <c r="AD17" s="19">
        <f t="shared" si="8"/>
        <v>23.940000000002328</v>
      </c>
      <c r="AE17" s="23">
        <f t="shared" si="2"/>
        <v>3541.0100000000093</v>
      </c>
      <c r="AF17" s="23">
        <f t="shared" si="9"/>
        <v>147.91186299079635</v>
      </c>
      <c r="AG17" s="19">
        <f>'14'!G88</f>
        <v>9.5999999999985448</v>
      </c>
      <c r="AH17" s="19">
        <f>'14'!G89</f>
        <v>0.33000000000174623</v>
      </c>
      <c r="AI17" s="19">
        <f>'14'!G90</f>
        <v>1</v>
      </c>
      <c r="AJ17" s="19">
        <f t="shared" si="10"/>
        <v>10.930000000000291</v>
      </c>
      <c r="AK17" s="19">
        <f>'14'!G91</f>
        <v>11.840000000000146</v>
      </c>
      <c r="AL17" s="19">
        <f>'14'!G92</f>
        <v>-0.23999999999978172</v>
      </c>
      <c r="AM17" s="19"/>
      <c r="AN17" s="19">
        <f t="shared" si="11"/>
        <v>11.600000000000364</v>
      </c>
      <c r="AO17" s="52">
        <f>'14'!G44</f>
        <v>0</v>
      </c>
      <c r="AP17" s="55">
        <f>'14'!G35</f>
        <v>2629.7299999999814</v>
      </c>
      <c r="AQ17" s="19">
        <f>'14'!G37</f>
        <v>1369.3099999999977</v>
      </c>
      <c r="AR17" s="19">
        <f>'14'!G38</f>
        <v>2361.9199999999255</v>
      </c>
      <c r="AS17" s="19">
        <f>'14'!G39</f>
        <v>2759.5200000000186</v>
      </c>
      <c r="AT17" s="19">
        <f>'14'!G40</f>
        <v>201.66000000000349</v>
      </c>
      <c r="AU17" s="19">
        <f>'14'!G41</f>
        <v>0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948.86999999999534</v>
      </c>
      <c r="AZ17" s="55">
        <f>'14'!G49</f>
        <v>544</v>
      </c>
      <c r="BA17" s="19">
        <f>'14'!G51</f>
        <v>0.44000000000232831</v>
      </c>
      <c r="BB17" s="19">
        <f>'14'!G52</f>
        <v>-0.43000000000006366</v>
      </c>
      <c r="BC17" s="19">
        <f>'14'!G53</f>
        <v>3.0000000027939677E-2</v>
      </c>
      <c r="BD17" s="19">
        <f>'14'!G54</f>
        <v>281.31999999999243</v>
      </c>
      <c r="BE17" s="19">
        <f>'14'!G55</f>
        <v>3541.0100000000093</v>
      </c>
      <c r="BF17" s="19">
        <f>'14'!G56</f>
        <v>0</v>
      </c>
      <c r="BG17" s="19">
        <f>'14'!G57</f>
        <v>2594.0799999999581</v>
      </c>
      <c r="BH17" s="56">
        <f>'14'!G50</f>
        <v>1637.7200000000885</v>
      </c>
      <c r="BI17" s="60">
        <f t="shared" si="12"/>
        <v>3541.0100000000093</v>
      </c>
      <c r="BJ17" s="60">
        <f>'14'!G133</f>
        <v>588</v>
      </c>
      <c r="BK17" s="23">
        <f t="shared" si="13"/>
        <v>42.099241077424701</v>
      </c>
      <c r="BL17" s="23">
        <f t="shared" si="14"/>
        <v>12.480095298352524</v>
      </c>
      <c r="BM17" s="24">
        <f t="shared" si="15"/>
        <v>0.10679864559839493</v>
      </c>
      <c r="BN17" s="25">
        <f t="shared" si="16"/>
        <v>264103.96368000243</v>
      </c>
      <c r="BO17" s="38">
        <f t="shared" si="17"/>
        <v>6723.0899999999674</v>
      </c>
      <c r="BP17">
        <f t="shared" si="18"/>
        <v>1.0029672395272875</v>
      </c>
    </row>
    <row r="18" spans="1:68">
      <c r="A18" s="16">
        <v>15</v>
      </c>
      <c r="B18" s="26">
        <v>15</v>
      </c>
      <c r="C18" s="18"/>
      <c r="D18" s="19">
        <f>'15'!D3</f>
        <v>25</v>
      </c>
      <c r="E18" s="50">
        <f>'15'!D4</f>
        <v>0.78</v>
      </c>
      <c r="F18" s="50">
        <f>'15'!D2</f>
        <v>0.5</v>
      </c>
      <c r="G18" s="19">
        <f>'15'!G7</f>
        <v>22618.069999999949</v>
      </c>
      <c r="H18" s="19">
        <f>'15'!G8</f>
        <v>23074.840000000011</v>
      </c>
      <c r="I18" s="19">
        <v>9</v>
      </c>
      <c r="J18" s="49">
        <f t="shared" si="3"/>
        <v>207673.56000000011</v>
      </c>
      <c r="K18" s="45">
        <f t="shared" si="4"/>
        <v>114.23188118811886</v>
      </c>
      <c r="L18" s="19">
        <f>'15'!G15</f>
        <v>1071</v>
      </c>
      <c r="M18" s="19">
        <v>56.2</v>
      </c>
      <c r="N18" s="41">
        <f t="shared" si="5"/>
        <v>60190.200000000004</v>
      </c>
      <c r="O18" s="19">
        <f>'15'!G20</f>
        <v>308</v>
      </c>
      <c r="P18" s="19">
        <v>108</v>
      </c>
      <c r="Q18" s="46">
        <f t="shared" si="0"/>
        <v>33264</v>
      </c>
      <c r="R18" s="47">
        <f t="shared" si="1"/>
        <v>304.95049504950492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145</v>
      </c>
      <c r="W18" s="22">
        <f>'15'!G66</f>
        <v>9</v>
      </c>
      <c r="X18" s="22">
        <f>'15'!G67</f>
        <v>16</v>
      </c>
      <c r="Y18" s="22">
        <f t="shared" si="7"/>
        <v>170</v>
      </c>
      <c r="Z18" s="19">
        <f>'15'!G84</f>
        <v>0</v>
      </c>
      <c r="AA18" s="19">
        <f>'15'!G85</f>
        <v>0</v>
      </c>
      <c r="AB18" s="19">
        <f>'15'!G86</f>
        <v>24</v>
      </c>
      <c r="AC18" s="19">
        <f>'15'!G87</f>
        <v>0</v>
      </c>
      <c r="AD18" s="19">
        <f t="shared" si="8"/>
        <v>24</v>
      </c>
      <c r="AE18" s="23">
        <f t="shared" si="2"/>
        <v>3568.9700000000885</v>
      </c>
      <c r="AF18" s="23">
        <f t="shared" si="9"/>
        <v>148.70708333333701</v>
      </c>
      <c r="AG18" s="19">
        <f>'15'!G88</f>
        <v>8.4000000000014552</v>
      </c>
      <c r="AH18" s="19">
        <f>'15'!G89</f>
        <v>5.6699999999982538</v>
      </c>
      <c r="AI18" s="19">
        <f>'15'!G90</f>
        <v>4</v>
      </c>
      <c r="AJ18" s="19">
        <f t="shared" si="10"/>
        <v>18.069999999999709</v>
      </c>
      <c r="AK18" s="19">
        <f>'15'!G91</f>
        <v>12.119999999999891</v>
      </c>
      <c r="AL18" s="19">
        <f>'15'!G92</f>
        <v>0</v>
      </c>
      <c r="AM18" s="19"/>
      <c r="AN18" s="19">
        <f t="shared" si="11"/>
        <v>12.119999999999891</v>
      </c>
      <c r="AO18" s="52">
        <f>'15'!G74</f>
        <v>326.70999999999913</v>
      </c>
      <c r="AP18" s="55">
        <f>'15'!G35</f>
        <v>2646</v>
      </c>
      <c r="AQ18" s="19">
        <f>'15'!G37</f>
        <v>1354.6900000000023</v>
      </c>
      <c r="AR18" s="19">
        <f>'15'!G38</f>
        <v>2676.2399999999907</v>
      </c>
      <c r="AS18" s="19">
        <f>'15'!G39</f>
        <v>2852.25</v>
      </c>
      <c r="AT18" s="19">
        <f>'15'!G40</f>
        <v>199.69000000000233</v>
      </c>
      <c r="AU18" s="19">
        <f>'15'!G41</f>
        <v>0</v>
      </c>
      <c r="AV18" s="19">
        <f>'15'!G42</f>
        <v>-2.9999999911524355E-2</v>
      </c>
      <c r="AW18" s="19">
        <f>'15'!G43</f>
        <v>0</v>
      </c>
      <c r="AX18" s="23">
        <f>'15'!G44</f>
        <v>0</v>
      </c>
      <c r="AY18" s="56">
        <f>'15'!G36</f>
        <v>1252</v>
      </c>
      <c r="AZ18" s="55">
        <f>'15'!G49</f>
        <v>543.82999999995809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281.63000000000466</v>
      </c>
      <c r="BE18" s="19">
        <f>'15'!G55</f>
        <v>3569</v>
      </c>
      <c r="BF18" s="19">
        <f>'15'!G56</f>
        <v>0</v>
      </c>
      <c r="BG18" s="19">
        <f>'15'!G57</f>
        <v>2608.25</v>
      </c>
      <c r="BH18" s="56">
        <f>'15'!G50</f>
        <v>1526.3299999999581</v>
      </c>
      <c r="BI18" s="60">
        <f t="shared" si="12"/>
        <v>3568.9700000000885</v>
      </c>
      <c r="BJ18" s="60">
        <f>'15'!G133</f>
        <v>724</v>
      </c>
      <c r="BK18" s="23">
        <f t="shared" si="13"/>
        <v>40.594214304411395</v>
      </c>
      <c r="BL18" s="23">
        <f t="shared" si="14"/>
        <v>12.36086577415054</v>
      </c>
      <c r="BM18" s="24">
        <f t="shared" si="15"/>
        <v>0.11598086920645991</v>
      </c>
      <c r="BN18" s="25">
        <f t="shared" si="16"/>
        <v>301127.76000000013</v>
      </c>
      <c r="BO18" s="38">
        <f t="shared" si="17"/>
        <v>6901.2200000000885</v>
      </c>
      <c r="BP18">
        <f t="shared" si="18"/>
        <v>1.0269672619047752</v>
      </c>
    </row>
    <row r="19" spans="1:68">
      <c r="A19" s="16">
        <v>16</v>
      </c>
      <c r="B19" s="26">
        <v>16</v>
      </c>
      <c r="C19" s="26"/>
      <c r="D19" s="19">
        <f>'16'!D3</f>
        <v>23</v>
      </c>
      <c r="E19" s="50">
        <f>'16'!D4</f>
        <v>0.77</v>
      </c>
      <c r="F19" s="50">
        <f>'16'!D2</f>
        <v>0.83</v>
      </c>
      <c r="G19" s="19">
        <f>'16'!G7</f>
        <v>23088.390000000014</v>
      </c>
      <c r="H19" s="19">
        <f>'16'!G8</f>
        <v>23633.149999999994</v>
      </c>
      <c r="I19" s="19">
        <v>9</v>
      </c>
      <c r="J19" s="49">
        <f t="shared" si="3"/>
        <v>212698.34999999995</v>
      </c>
      <c r="K19" s="45">
        <f t="shared" si="4"/>
        <v>116.99579207920789</v>
      </c>
      <c r="L19" s="19">
        <f>'16'!G15</f>
        <v>1110</v>
      </c>
      <c r="M19" s="19">
        <v>56.2</v>
      </c>
      <c r="N19" s="41">
        <f t="shared" si="5"/>
        <v>62382</v>
      </c>
      <c r="O19" s="19">
        <f>'16'!G20</f>
        <v>396</v>
      </c>
      <c r="P19" s="19">
        <v>108</v>
      </c>
      <c r="Q19" s="46">
        <f t="shared" si="0"/>
        <v>42768</v>
      </c>
      <c r="R19" s="47">
        <f t="shared" si="1"/>
        <v>236.19229392818801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132</v>
      </c>
      <c r="W19" s="22">
        <f>'16'!G66</f>
        <v>13</v>
      </c>
      <c r="X19" s="22">
        <f>'16'!G67</f>
        <v>20</v>
      </c>
      <c r="Y19" s="22">
        <f t="shared" si="7"/>
        <v>165</v>
      </c>
      <c r="Z19" s="19">
        <f>'16'!G84</f>
        <v>0</v>
      </c>
      <c r="AA19" s="19">
        <f>'16'!G85</f>
        <v>2.9999999999745341E-2</v>
      </c>
      <c r="AB19" s="19">
        <f>'16'!G86</f>
        <v>24.480000000003201</v>
      </c>
      <c r="AC19" s="19">
        <f>'16'!G87</f>
        <v>9.9999999998544808E-2</v>
      </c>
      <c r="AD19" s="19">
        <f t="shared" si="8"/>
        <v>24.610000000001492</v>
      </c>
      <c r="AE19" s="23">
        <f t="shared" si="2"/>
        <v>3528.0599999999395</v>
      </c>
      <c r="AF19" s="23">
        <f t="shared" si="9"/>
        <v>143.35879723688441</v>
      </c>
      <c r="AG19" s="19">
        <f>'16'!G88</f>
        <v>4.6300000000010186</v>
      </c>
      <c r="AH19" s="19">
        <f>'16'!G89</f>
        <v>11.169999999998254</v>
      </c>
      <c r="AI19" s="19">
        <f>'16'!G90</f>
        <v>4.9700000000011642</v>
      </c>
      <c r="AJ19" s="19">
        <f t="shared" si="10"/>
        <v>20.770000000000437</v>
      </c>
      <c r="AK19" s="19">
        <f>'16'!G91</f>
        <v>12.340000000000146</v>
      </c>
      <c r="AL19" s="19">
        <f>'16'!G92</f>
        <v>0</v>
      </c>
      <c r="AM19" s="19"/>
      <c r="AN19" s="19">
        <f t="shared" si="11"/>
        <v>12.340000000000146</v>
      </c>
      <c r="AO19" s="52">
        <f>'16'!G74</f>
        <v>318.63999999999942</v>
      </c>
      <c r="AP19" s="55">
        <f>'16'!G35</f>
        <v>2949.8299999999581</v>
      </c>
      <c r="AQ19" s="19">
        <f>'16'!G37</f>
        <v>1415.6300000000047</v>
      </c>
      <c r="AR19" s="19">
        <f>'16'!G38</f>
        <v>2706.4799999999814</v>
      </c>
      <c r="AS19" s="19">
        <f>'16'!G39</f>
        <v>2907.109999999986</v>
      </c>
      <c r="AT19" s="19">
        <f>'16'!G40</f>
        <v>204.85000000000582</v>
      </c>
      <c r="AU19" s="19">
        <f>'16'!G41</f>
        <v>0</v>
      </c>
      <c r="AV19" s="19">
        <f>'16'!G42</f>
        <v>2.9999999911524355E-2</v>
      </c>
      <c r="AW19" s="19">
        <f>'16'!G43</f>
        <v>0</v>
      </c>
      <c r="AX19" s="23">
        <f>'16'!G44</f>
        <v>0</v>
      </c>
      <c r="AY19" s="56">
        <f>'16'!G36</f>
        <v>1219.8400000000256</v>
      </c>
      <c r="AZ19" s="55">
        <f>'16'!G49</f>
        <v>512.88000000000466</v>
      </c>
      <c r="BA19" s="19">
        <f>'16'!G51</f>
        <v>0</v>
      </c>
      <c r="BB19" s="19">
        <f>'16'!G52</f>
        <v>0.43000000000006366</v>
      </c>
      <c r="BC19" s="19">
        <f>'16'!G53</f>
        <v>0</v>
      </c>
      <c r="BD19" s="19">
        <f>'16'!G54</f>
        <v>287.6299999999901</v>
      </c>
      <c r="BE19" s="19">
        <f>'16'!G55</f>
        <v>3528.0300000000279</v>
      </c>
      <c r="BF19" s="19">
        <f>'16'!G56</f>
        <v>0</v>
      </c>
      <c r="BG19" s="19">
        <f>'16'!G57</f>
        <v>2706.1500000000233</v>
      </c>
      <c r="BH19" s="56">
        <f>'16'!G50</f>
        <v>1797.5500000000466</v>
      </c>
      <c r="BI19" s="60">
        <f t="shared" si="12"/>
        <v>3528.0599999999395</v>
      </c>
      <c r="BJ19" s="60">
        <f>'16'!G133</f>
        <v>775</v>
      </c>
      <c r="BK19" s="23">
        <f t="shared" si="13"/>
        <v>41.031009408394262</v>
      </c>
      <c r="BL19" s="23">
        <f t="shared" si="14"/>
        <v>12.300983999170599</v>
      </c>
      <c r="BM19" s="24">
        <f t="shared" si="15"/>
        <v>0.11453868824088123</v>
      </c>
      <c r="BN19" s="25">
        <f t="shared" si="16"/>
        <v>317848.34999999998</v>
      </c>
      <c r="BO19" s="38">
        <f t="shared" si="17"/>
        <v>7009.2099999999627</v>
      </c>
      <c r="BP19">
        <f t="shared" si="18"/>
        <v>1.0171837812735152</v>
      </c>
    </row>
    <row r="20" spans="1:68">
      <c r="A20" s="16">
        <v>17</v>
      </c>
      <c r="B20" s="27">
        <v>17</v>
      </c>
      <c r="C20" s="26"/>
      <c r="D20" s="19">
        <f>'17'!D3</f>
        <v>23</v>
      </c>
      <c r="E20" s="50">
        <f>'17'!D4</f>
        <v>0.77</v>
      </c>
      <c r="F20" s="50">
        <f>'17'!D2</f>
        <v>0.91</v>
      </c>
      <c r="G20" s="19">
        <f>'17'!G7</f>
        <v>23527.609999999986</v>
      </c>
      <c r="H20" s="19">
        <f>'17'!G8</f>
        <v>24332.709999999992</v>
      </c>
      <c r="I20" s="19">
        <v>9</v>
      </c>
      <c r="J20" s="49">
        <f t="shared" si="3"/>
        <v>218994.38999999993</v>
      </c>
      <c r="K20" s="45">
        <f t="shared" si="4"/>
        <v>120.45896039603956</v>
      </c>
      <c r="L20" s="19">
        <f>'17'!G15</f>
        <v>1229</v>
      </c>
      <c r="M20" s="19">
        <v>56.2</v>
      </c>
      <c r="N20" s="41">
        <f t="shared" si="5"/>
        <v>69069.8</v>
      </c>
      <c r="O20" s="19">
        <f>'17'!G20</f>
        <v>279</v>
      </c>
      <c r="P20" s="19">
        <v>108</v>
      </c>
      <c r="Q20" s="46">
        <f t="shared" si="0"/>
        <v>30132</v>
      </c>
      <c r="R20" s="47">
        <f t="shared" si="1"/>
        <v>151.7789141551518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133</v>
      </c>
      <c r="W20" s="22">
        <f>'17'!G66</f>
        <v>13</v>
      </c>
      <c r="X20" s="22">
        <f>'17'!G67</f>
        <v>22</v>
      </c>
      <c r="Y20" s="22">
        <f t="shared" si="7"/>
        <v>168</v>
      </c>
      <c r="Z20" s="19">
        <f>'17'!G84</f>
        <v>0</v>
      </c>
      <c r="AA20" s="19">
        <f>'17'!G85</f>
        <v>6.2700000000004366</v>
      </c>
      <c r="AB20" s="19">
        <f>'17'!G86</f>
        <v>23.519999999996799</v>
      </c>
      <c r="AC20" s="19">
        <f>'17'!G87</f>
        <v>0</v>
      </c>
      <c r="AD20" s="19">
        <f t="shared" si="8"/>
        <v>29.789999999997235</v>
      </c>
      <c r="AE20" s="23">
        <f t="shared" si="2"/>
        <v>4460.8000000000466</v>
      </c>
      <c r="AF20" s="23">
        <f t="shared" si="9"/>
        <v>149.74152400135819</v>
      </c>
      <c r="AG20" s="19">
        <f>'17'!G88</f>
        <v>3.3699999999989814</v>
      </c>
      <c r="AH20" s="19">
        <f>'17'!G89</f>
        <v>10.080000000001746</v>
      </c>
      <c r="AI20" s="19">
        <f>'17'!G90</f>
        <v>6.0299999999988358</v>
      </c>
      <c r="AJ20" s="19">
        <f t="shared" si="10"/>
        <v>19.479999999999563</v>
      </c>
      <c r="AK20" s="19">
        <f>'17'!G91</f>
        <v>11.840000000000146</v>
      </c>
      <c r="AL20" s="19">
        <f>'17'!G92</f>
        <v>0.23999999999978172</v>
      </c>
      <c r="AM20" s="19"/>
      <c r="AN20" s="19">
        <f t="shared" si="11"/>
        <v>12.079999999999927</v>
      </c>
      <c r="AO20" s="52">
        <f>'17'!G74</f>
        <v>305.65000000000146</v>
      </c>
      <c r="AP20" s="55">
        <f>'17'!G35</f>
        <v>3004.2000000000698</v>
      </c>
      <c r="AQ20" s="19">
        <f>'17'!G37</f>
        <v>1531.3699999999953</v>
      </c>
      <c r="AR20" s="19">
        <f>'17'!G38</f>
        <v>2781.9300000000512</v>
      </c>
      <c r="AS20" s="19">
        <f>'17'!G39</f>
        <v>2889.4400000000605</v>
      </c>
      <c r="AT20" s="19">
        <f>'17'!G40</f>
        <v>225.9199999999837</v>
      </c>
      <c r="AU20" s="19">
        <f>'17'!G41</f>
        <v>0</v>
      </c>
      <c r="AV20" s="19">
        <f>'17'!G42</f>
        <v>1159.0400000000373</v>
      </c>
      <c r="AW20" s="19">
        <f>'17'!G43</f>
        <v>0</v>
      </c>
      <c r="AX20" s="23">
        <f>'17'!G44</f>
        <v>0</v>
      </c>
      <c r="AY20" s="56">
        <f>'17'!G36</f>
        <v>1213.289999999979</v>
      </c>
      <c r="AZ20" s="55">
        <f>'17'!G49</f>
        <v>501.29000000003725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275.80000000000291</v>
      </c>
      <c r="BE20" s="19">
        <f>'17'!G55</f>
        <v>3301.7600000000093</v>
      </c>
      <c r="BF20" s="19">
        <f>'17'!G56</f>
        <v>0</v>
      </c>
      <c r="BG20" s="19">
        <f>'17'!G57</f>
        <v>2772.8499999999767</v>
      </c>
      <c r="BH20" s="56">
        <f>'17'!G50</f>
        <v>1798.4499999999534</v>
      </c>
      <c r="BI20" s="60">
        <f t="shared" si="12"/>
        <v>4460.8000000000466</v>
      </c>
      <c r="BJ20" s="60">
        <f>'17'!G133</f>
        <v>880</v>
      </c>
      <c r="BK20" s="23">
        <f t="shared" si="13"/>
        <v>44.134582625610278</v>
      </c>
      <c r="BL20" s="23">
        <f t="shared" si="14"/>
        <v>11.874715146812918</v>
      </c>
      <c r="BM20" s="24">
        <f t="shared" si="15"/>
        <v>0.11432881910810806</v>
      </c>
      <c r="BN20" s="25">
        <f t="shared" si="16"/>
        <v>318196.18999999994</v>
      </c>
      <c r="BO20" s="38">
        <f t="shared" si="17"/>
        <v>8113.6500000000233</v>
      </c>
      <c r="BP20">
        <f t="shared" si="18"/>
        <v>0.97271975255368248</v>
      </c>
    </row>
    <row r="21" spans="1:68">
      <c r="A21" s="16">
        <v>18</v>
      </c>
      <c r="B21" s="27">
        <v>18</v>
      </c>
      <c r="C21" s="27"/>
      <c r="D21" s="19">
        <f>'18 '!D3</f>
        <v>22</v>
      </c>
      <c r="E21" s="50">
        <f>'18 '!D4</f>
        <v>0.78</v>
      </c>
      <c r="F21" s="50">
        <f>'18 '!D2</f>
        <v>0.82</v>
      </c>
      <c r="G21" s="19">
        <f>'18 '!G7</f>
        <v>23547</v>
      </c>
      <c r="H21" s="19">
        <f>'18 '!G8</f>
        <v>24352</v>
      </c>
      <c r="I21" s="19">
        <v>9</v>
      </c>
      <c r="J21" s="49">
        <f t="shared" si="3"/>
        <v>219168</v>
      </c>
      <c r="K21" s="45">
        <f t="shared" si="4"/>
        <v>120.55445544554455</v>
      </c>
      <c r="L21" s="19">
        <f>'18 '!G15</f>
        <v>1250</v>
      </c>
      <c r="M21" s="19">
        <v>56.2</v>
      </c>
      <c r="N21" s="41">
        <f t="shared" si="5"/>
        <v>70250</v>
      </c>
      <c r="O21" s="19">
        <f>'18 '!G20</f>
        <v>235</v>
      </c>
      <c r="P21" s="19">
        <v>108</v>
      </c>
      <c r="Q21" s="46">
        <f t="shared" si="0"/>
        <v>25380</v>
      </c>
      <c r="R21" s="47">
        <f t="shared" si="1"/>
        <v>141.87394349191018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162</v>
      </c>
      <c r="W21" s="22">
        <f>'18 '!G66</f>
        <v>10</v>
      </c>
      <c r="X21" s="22">
        <f>'18 '!G67</f>
        <v>28</v>
      </c>
      <c r="Y21" s="22">
        <f t="shared" si="7"/>
        <v>200</v>
      </c>
      <c r="Z21" s="19">
        <f>'18 '!G84</f>
        <v>0</v>
      </c>
      <c r="AA21" s="19">
        <f>'18 '!G85</f>
        <v>1.6999999999998181</v>
      </c>
      <c r="AB21" s="19">
        <f>'18 '!G86</f>
        <v>24.19999999999709</v>
      </c>
      <c r="AC21" s="19">
        <f>'18 '!G87</f>
        <v>0</v>
      </c>
      <c r="AD21" s="19">
        <f t="shared" si="8"/>
        <v>25.899999999996908</v>
      </c>
      <c r="AE21" s="23">
        <f t="shared" si="2"/>
        <v>3962.7699999999022</v>
      </c>
      <c r="AF21" s="23">
        <f t="shared" si="9"/>
        <v>153.00270270271719</v>
      </c>
      <c r="AG21" s="19">
        <f>'18 '!G88</f>
        <v>11.75</v>
      </c>
      <c r="AH21" s="19">
        <f>'18 '!G89</f>
        <v>2.9700000000011642</v>
      </c>
      <c r="AI21" s="19">
        <f>'18 '!G90</f>
        <v>9.0299999999988358</v>
      </c>
      <c r="AJ21" s="19">
        <f t="shared" si="10"/>
        <v>23.75</v>
      </c>
      <c r="AK21" s="19">
        <f>'18 '!G91</f>
        <v>11.859999999999673</v>
      </c>
      <c r="AL21" s="19">
        <f>'18 '!G92</f>
        <v>0</v>
      </c>
      <c r="AM21" s="19"/>
      <c r="AN21" s="19">
        <f t="shared" si="11"/>
        <v>11.859999999999673</v>
      </c>
      <c r="AO21" s="52">
        <f>'18 '!G74</f>
        <v>307.56000000000131</v>
      </c>
      <c r="AP21" s="55">
        <f>'18 '!G35</f>
        <v>2925</v>
      </c>
      <c r="AQ21" s="19">
        <f>'18 '!G37</f>
        <v>1258.5489999999991</v>
      </c>
      <c r="AR21" s="19">
        <f>'18 '!G38</f>
        <v>2661.7299999999814</v>
      </c>
      <c r="AS21" s="19">
        <f>'18 '!G39</f>
        <v>2879.5199999999022</v>
      </c>
      <c r="AT21" s="19">
        <f>'18 '!G40</f>
        <v>210.95000000001164</v>
      </c>
      <c r="AU21" s="19">
        <f>'18 '!G41</f>
        <v>0</v>
      </c>
      <c r="AV21" s="19">
        <f>'18 '!G42</f>
        <v>514.36999999999534</v>
      </c>
      <c r="AW21" s="19">
        <f>'18 '!G43</f>
        <v>0</v>
      </c>
      <c r="AX21" s="23">
        <f>'18 '!G44</f>
        <v>0</v>
      </c>
      <c r="AY21" s="56">
        <f>'18 '!G36</f>
        <v>1264.9099999999744</v>
      </c>
      <c r="AZ21" s="55">
        <f>'18 '!G49</f>
        <v>543.34999999997672</v>
      </c>
      <c r="BA21" s="19">
        <f>'18 '!G51</f>
        <v>0</v>
      </c>
      <c r="BB21" s="19">
        <f>'18 '!G52</f>
        <v>0</v>
      </c>
      <c r="BC21" s="19">
        <f>'18 '!G53</f>
        <v>-3.0000000027939677E-2</v>
      </c>
      <c r="BD21" s="19">
        <f>'18 '!G54</f>
        <v>275.84000000001106</v>
      </c>
      <c r="BE21" s="19">
        <f>'18 '!G55</f>
        <v>3448.3999999999069</v>
      </c>
      <c r="BF21" s="19">
        <f>'18 '!G56</f>
        <v>0</v>
      </c>
      <c r="BG21" s="19">
        <f>'18 '!G57</f>
        <v>2447.0999999999767</v>
      </c>
      <c r="BH21" s="56">
        <f>'18 '!G50</f>
        <v>1837.1899999999441</v>
      </c>
      <c r="BI21" s="60">
        <f t="shared" si="12"/>
        <v>3962.7699999999022</v>
      </c>
      <c r="BJ21" s="60">
        <f>'18 '!G133</f>
        <v>0</v>
      </c>
      <c r="BK21" s="23">
        <f t="shared" si="13"/>
        <v>40.564306833113726</v>
      </c>
      <c r="BL21" s="23">
        <f t="shared" si="14"/>
        <v>11.824449737187393</v>
      </c>
      <c r="BM21" s="24">
        <f t="shared" si="15"/>
        <v>0.10930231603153669</v>
      </c>
      <c r="BN21" s="25">
        <f t="shared" si="16"/>
        <v>314798</v>
      </c>
      <c r="BO21" s="38">
        <f t="shared" si="17"/>
        <v>6409.8699999998789</v>
      </c>
      <c r="BP21">
        <f t="shared" si="18"/>
        <v>0.88387617209054659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22027</v>
      </c>
      <c r="H22" s="19">
        <f>'19'!G8</f>
        <v>22484</v>
      </c>
      <c r="I22" s="19">
        <v>9</v>
      </c>
      <c r="J22" s="49">
        <f t="shared" si="3"/>
        <v>202356</v>
      </c>
      <c r="K22" s="45">
        <f t="shared" si="4"/>
        <v>111.3069306930693</v>
      </c>
      <c r="L22" s="19">
        <f>'19'!G15</f>
        <v>1250</v>
      </c>
      <c r="M22" s="19">
        <v>56.2</v>
      </c>
      <c r="N22" s="41">
        <f t="shared" si="5"/>
        <v>70250</v>
      </c>
      <c r="O22" s="19">
        <f>'19'!G20</f>
        <v>239</v>
      </c>
      <c r="P22" s="19">
        <v>108</v>
      </c>
      <c r="Q22" s="46">
        <f t="shared" si="0"/>
        <v>25812</v>
      </c>
      <c r="R22" s="47">
        <f t="shared" si="1"/>
        <v>144.28881912581502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108</v>
      </c>
      <c r="W22" s="22">
        <f>'19'!G66</f>
        <v>12</v>
      </c>
      <c r="X22" s="22">
        <f>'19'!G67</f>
        <v>20</v>
      </c>
      <c r="Y22" s="22">
        <f t="shared" si="7"/>
        <v>140</v>
      </c>
      <c r="Z22" s="19">
        <f>'19'!G84</f>
        <v>0</v>
      </c>
      <c r="AA22" s="19">
        <f>'19'!G85</f>
        <v>3</v>
      </c>
      <c r="AB22" s="19">
        <f>'19'!G86</f>
        <v>23.80000000000291</v>
      </c>
      <c r="AC22" s="19">
        <f>'19'!G87</f>
        <v>0</v>
      </c>
      <c r="AD22" s="19">
        <f t="shared" si="8"/>
        <v>26.80000000000291</v>
      </c>
      <c r="AE22" s="23">
        <f t="shared" si="2"/>
        <v>4257.4400000000605</v>
      </c>
      <c r="AF22" s="23">
        <f t="shared" si="9"/>
        <v>158.85970149252233</v>
      </c>
      <c r="AG22" s="19">
        <f>'19'!G88</f>
        <v>12.169999999998254</v>
      </c>
      <c r="AH22" s="19">
        <f>'19'!G89</f>
        <v>2.1100000000005821</v>
      </c>
      <c r="AI22" s="19">
        <f>'19'!G90</f>
        <v>10.440000000002328</v>
      </c>
      <c r="AJ22" s="19">
        <f t="shared" si="10"/>
        <v>24.720000000001164</v>
      </c>
      <c r="AK22" s="19">
        <f>'19'!G91</f>
        <v>11.770000000000437</v>
      </c>
      <c r="AL22" s="19">
        <f>'19'!G92</f>
        <v>0</v>
      </c>
      <c r="AM22" s="19"/>
      <c r="AN22" s="19">
        <f t="shared" si="11"/>
        <v>11.770000000000437</v>
      </c>
      <c r="AO22" s="52">
        <f>'19'!G74</f>
        <v>305.5099999999984</v>
      </c>
      <c r="AP22" s="55">
        <f>'19'!G35</f>
        <v>2761.0399999999208</v>
      </c>
      <c r="AQ22" s="19">
        <f>'19'!G37</f>
        <v>1356.4810000000289</v>
      </c>
      <c r="AR22" s="19">
        <f>'19'!G38</f>
        <v>2578.5</v>
      </c>
      <c r="AS22" s="19">
        <f>'19'!G39</f>
        <v>2894.4000000000233</v>
      </c>
      <c r="AT22" s="19">
        <f>'19'!G40</f>
        <v>200.42999999999302</v>
      </c>
      <c r="AU22" s="19">
        <f>'19'!G41</f>
        <v>0</v>
      </c>
      <c r="AV22" s="19">
        <f>'19'!G42</f>
        <v>733</v>
      </c>
      <c r="AW22" s="19">
        <f>'19'!G43</f>
        <v>0</v>
      </c>
      <c r="AX22" s="23">
        <f>'19'!G44</f>
        <v>0</v>
      </c>
      <c r="AY22" s="56">
        <f>'19'!G36</f>
        <v>1068.640000000014</v>
      </c>
      <c r="AZ22" s="55">
        <f>'19'!G49</f>
        <v>544.15000000002328</v>
      </c>
      <c r="BA22" s="19">
        <f>'19'!G51</f>
        <v>0</v>
      </c>
      <c r="BB22" s="19">
        <f>'19'!G52</f>
        <v>0</v>
      </c>
      <c r="BC22" s="19">
        <f>'19'!G53</f>
        <v>3.0000000027939677E-2</v>
      </c>
      <c r="BD22" s="19">
        <f>'19'!G54</f>
        <v>279.91999999999825</v>
      </c>
      <c r="BE22" s="19">
        <f>'19'!G55</f>
        <v>3524.4400000000605</v>
      </c>
      <c r="BF22" s="19">
        <f>'19'!G56</f>
        <v>0</v>
      </c>
      <c r="BG22" s="19">
        <f>'19'!G57</f>
        <v>2367.8000000000466</v>
      </c>
      <c r="BH22" s="56">
        <f>'19'!G50</f>
        <v>1450.4000000000233</v>
      </c>
      <c r="BI22" s="60">
        <f t="shared" si="12"/>
        <v>4257.4400000000605</v>
      </c>
      <c r="BJ22" s="60">
        <f>'19'!G133</f>
        <v>-0.16999999998370185</v>
      </c>
      <c r="BK22" s="23">
        <f t="shared" si="13"/>
        <v>44.166651841309601</v>
      </c>
      <c r="BL22" s="23">
        <f t="shared" si="14"/>
        <v>12.873287671233104</v>
      </c>
      <c r="BM22" s="24">
        <f t="shared" si="15"/>
        <v>0.11468155132538695</v>
      </c>
      <c r="BN22" s="25">
        <f t="shared" si="16"/>
        <v>298418</v>
      </c>
      <c r="BO22" s="38">
        <f t="shared" si="17"/>
        <v>6625.0700000001234</v>
      </c>
      <c r="BP22">
        <f t="shared" si="18"/>
        <v>0.88287180170567747</v>
      </c>
    </row>
    <row r="23" spans="1:68">
      <c r="A23" s="16">
        <v>20</v>
      </c>
      <c r="B23" s="26">
        <v>20</v>
      </c>
      <c r="C23" s="26"/>
      <c r="D23" s="19">
        <f>'20'!D3</f>
        <v>26</v>
      </c>
      <c r="E23" s="50">
        <f>'20'!D4</f>
        <v>0.78</v>
      </c>
      <c r="F23" s="50">
        <f>'20'!D2</f>
        <v>0.85</v>
      </c>
      <c r="G23" s="19">
        <f>'20'!G7</f>
        <v>24669</v>
      </c>
      <c r="H23" s="19">
        <f>'20'!G8</f>
        <v>25225</v>
      </c>
      <c r="I23" s="19">
        <v>9</v>
      </c>
      <c r="J23" s="49">
        <f t="shared" si="3"/>
        <v>227025</v>
      </c>
      <c r="K23" s="45">
        <f t="shared" si="4"/>
        <v>124.87623762376238</v>
      </c>
      <c r="L23" s="19">
        <f>'20'!G15</f>
        <v>1237</v>
      </c>
      <c r="M23" s="19">
        <v>56.2</v>
      </c>
      <c r="N23" s="41">
        <f t="shared" si="5"/>
        <v>69519.400000000009</v>
      </c>
      <c r="O23" s="19">
        <f>'20'!G20</f>
        <v>235</v>
      </c>
      <c r="P23" s="19">
        <v>108</v>
      </c>
      <c r="Q23" s="46">
        <f t="shared" si="0"/>
        <v>25380</v>
      </c>
      <c r="R23" s="47">
        <f t="shared" si="1"/>
        <v>136.86662783925453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137</v>
      </c>
      <c r="W23" s="22">
        <f>'20'!G66</f>
        <v>13</v>
      </c>
      <c r="X23" s="22">
        <f>'20'!G67</f>
        <v>16</v>
      </c>
      <c r="Y23" s="22">
        <f t="shared" si="7"/>
        <v>166</v>
      </c>
      <c r="Z23" s="19">
        <f>'20'!G84</f>
        <v>0</v>
      </c>
      <c r="AA23" s="19">
        <f>'20'!G85</f>
        <v>0</v>
      </c>
      <c r="AB23" s="19">
        <f>'20'!G86</f>
        <v>24</v>
      </c>
      <c r="AC23" s="19">
        <f>'20'!G87</f>
        <v>-9.9999999998544808E-2</v>
      </c>
      <c r="AD23" s="19">
        <f t="shared" si="8"/>
        <v>23.900000000001455</v>
      </c>
      <c r="AE23" s="23">
        <f t="shared" si="2"/>
        <v>3986.3699999999953</v>
      </c>
      <c r="AF23" s="23">
        <f t="shared" si="9"/>
        <v>166.79372384936204</v>
      </c>
      <c r="AG23" s="19">
        <f>'20'!G88</f>
        <v>5.0800000000017462</v>
      </c>
      <c r="AH23" s="19">
        <f>'20'!G89</f>
        <v>9.4599999999991269</v>
      </c>
      <c r="AI23" s="19">
        <f>'20'!G90</f>
        <v>9.5299999999988358</v>
      </c>
      <c r="AJ23" s="19">
        <f t="shared" si="10"/>
        <v>24.069999999999709</v>
      </c>
      <c r="AK23" s="19">
        <f>'20'!G91</f>
        <v>11.609999999999673</v>
      </c>
      <c r="AL23" s="19">
        <f>'20'!G92</f>
        <v>0</v>
      </c>
      <c r="AM23" s="19"/>
      <c r="AN23" s="19">
        <f t="shared" si="11"/>
        <v>11.609999999999673</v>
      </c>
      <c r="AO23" s="52">
        <f>'20'!G74</f>
        <v>303.93000000000029</v>
      </c>
      <c r="AP23" s="55">
        <f>'20'!G35</f>
        <v>2863.9300000000512</v>
      </c>
      <c r="AQ23" s="19">
        <f>'20'!G37</f>
        <v>1472.9699999999721</v>
      </c>
      <c r="AR23" s="19">
        <f>'20'!G38</f>
        <v>2652.7700000000186</v>
      </c>
      <c r="AS23" s="19">
        <f>'20'!G39</f>
        <v>3029.5300000000279</v>
      </c>
      <c r="AT23" s="19">
        <f>'20'!G40</f>
        <v>207.85000000000582</v>
      </c>
      <c r="AU23" s="19">
        <f>'20'!G41</f>
        <v>0</v>
      </c>
      <c r="AV23" s="19">
        <f>'20'!G42</f>
        <v>0</v>
      </c>
      <c r="AW23" s="19">
        <f>'20'!G43</f>
        <v>0</v>
      </c>
      <c r="AX23" s="23">
        <f>'20'!G44</f>
        <v>0</v>
      </c>
      <c r="AY23" s="56">
        <f>'20'!G36</f>
        <v>1063.4500000000116</v>
      </c>
      <c r="AZ23" s="55">
        <f>'20'!G49</f>
        <v>584.5</v>
      </c>
      <c r="BA23" s="19">
        <f>'20'!G51</f>
        <v>-0.44000000000232831</v>
      </c>
      <c r="BB23" s="19">
        <f>'20'!G52</f>
        <v>0</v>
      </c>
      <c r="BC23" s="19">
        <f>'20'!G588</f>
        <v>0</v>
      </c>
      <c r="BD23" s="19">
        <f>'20'!G54</f>
        <v>285.25999999999476</v>
      </c>
      <c r="BE23" s="19">
        <f>'20'!G55</f>
        <v>3986.3699999999953</v>
      </c>
      <c r="BF23" s="19">
        <f>'20'!G56</f>
        <v>0</v>
      </c>
      <c r="BG23" s="19">
        <f>'20'!G57</f>
        <v>2442.0999999999767</v>
      </c>
      <c r="BH23" s="56">
        <f>'20'!G50</f>
        <v>1719.4100000000326</v>
      </c>
      <c r="BI23" s="60">
        <f t="shared" si="12"/>
        <v>3986.3699999999953</v>
      </c>
      <c r="BJ23" s="60">
        <f>'20'!G133</f>
        <v>0</v>
      </c>
      <c r="BK23" s="23">
        <f t="shared" si="13"/>
        <v>39.155203171456982</v>
      </c>
      <c r="BL23" s="23">
        <f t="shared" si="14"/>
        <v>12.010029732408436</v>
      </c>
      <c r="BM23" s="24">
        <f t="shared" si="15"/>
        <v>0.10516432111001064</v>
      </c>
      <c r="BN23" s="25">
        <f t="shared" si="16"/>
        <v>321924.40000000002</v>
      </c>
      <c r="BO23" s="38">
        <f t="shared" si="17"/>
        <v>6428.4699999999721</v>
      </c>
      <c r="BP23">
        <f t="shared" si="18"/>
        <v>0.96062014345480884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0.77</v>
      </c>
      <c r="F24" s="50">
        <f>'21'!D2</f>
        <v>0.88</v>
      </c>
      <c r="G24" s="19">
        <f>'21'!G7</f>
        <v>24286</v>
      </c>
      <c r="H24" s="19">
        <f>'21'!G8</f>
        <v>24854</v>
      </c>
      <c r="I24" s="19">
        <v>9</v>
      </c>
      <c r="J24" s="49">
        <f t="shared" si="3"/>
        <v>223686</v>
      </c>
      <c r="K24" s="45">
        <f t="shared" si="4"/>
        <v>123.03960396039604</v>
      </c>
      <c r="L24" s="19">
        <f>'21'!G15</f>
        <v>1216</v>
      </c>
      <c r="M24" s="19">
        <v>56.2</v>
      </c>
      <c r="N24" s="41">
        <f t="shared" si="5"/>
        <v>68339.199999999997</v>
      </c>
      <c r="O24" s="19">
        <f>'21'!G20</f>
        <v>258</v>
      </c>
      <c r="P24" s="19">
        <v>108</v>
      </c>
      <c r="Q24" s="46">
        <f t="shared" si="0"/>
        <v>27864</v>
      </c>
      <c r="R24" s="47">
        <f t="shared" si="1"/>
        <v>145.13951395139514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138</v>
      </c>
      <c r="W24" s="22">
        <f>'21'!G66</f>
        <v>17</v>
      </c>
      <c r="X24" s="22">
        <f>'21'!G67</f>
        <v>20</v>
      </c>
      <c r="Y24" s="22">
        <f t="shared" si="7"/>
        <v>175</v>
      </c>
      <c r="Z24" s="19">
        <f>'21'!G84</f>
        <v>0</v>
      </c>
      <c r="AA24" s="19">
        <f>'21'!G85</f>
        <v>9</v>
      </c>
      <c r="AB24" s="19">
        <f>'21'!G86</f>
        <v>24</v>
      </c>
      <c r="AC24" s="19">
        <f>'21'!G87</f>
        <v>0</v>
      </c>
      <c r="AD24" s="19">
        <f t="shared" si="8"/>
        <v>33</v>
      </c>
      <c r="AE24" s="23">
        <f t="shared" si="2"/>
        <v>4981</v>
      </c>
      <c r="AF24" s="23">
        <f t="shared" si="9"/>
        <v>150.93939393939394</v>
      </c>
      <c r="AG24" s="19">
        <f>'21'!G88</f>
        <v>6</v>
      </c>
      <c r="AH24" s="19">
        <f>'21'!G89</f>
        <v>11.209999999999127</v>
      </c>
      <c r="AI24" s="19">
        <f>'21'!G90</f>
        <v>6.7400000000052387</v>
      </c>
      <c r="AJ24" s="19">
        <f t="shared" si="10"/>
        <v>23.950000000004366</v>
      </c>
      <c r="AK24" s="19">
        <f>'21'!G91</f>
        <v>11</v>
      </c>
      <c r="AL24" s="19">
        <f>'21'!G92</f>
        <v>-0.23999999999978172</v>
      </c>
      <c r="AM24" s="19"/>
      <c r="AN24" s="19">
        <f t="shared" si="11"/>
        <v>10.760000000000218</v>
      </c>
      <c r="AO24" s="52">
        <f>'21'!G74</f>
        <v>291</v>
      </c>
      <c r="AP24" s="55">
        <f>'21'!G35</f>
        <v>2896</v>
      </c>
      <c r="AQ24" s="19">
        <f>'21'!G37</f>
        <v>1453</v>
      </c>
      <c r="AR24" s="19">
        <f>'21'!G38</f>
        <v>2678</v>
      </c>
      <c r="AS24" s="19">
        <f>'21'!G39</f>
        <v>2880</v>
      </c>
      <c r="AT24" s="19">
        <f>'21'!G40</f>
        <v>386</v>
      </c>
      <c r="AU24" s="19">
        <f>'21'!G41</f>
        <v>0</v>
      </c>
      <c r="AV24" s="19">
        <f>'21'!G42</f>
        <v>1522</v>
      </c>
      <c r="AW24" s="19">
        <f>'21'!G43</f>
        <v>0</v>
      </c>
      <c r="AX24" s="23">
        <f>'21'!G44</f>
        <v>0</v>
      </c>
      <c r="AY24" s="56">
        <f>'21'!G36</f>
        <v>1103</v>
      </c>
      <c r="AZ24" s="55">
        <f>'21'!G49</f>
        <v>509</v>
      </c>
      <c r="BA24" s="19">
        <f>'21'!G51</f>
        <v>0</v>
      </c>
      <c r="BB24" s="19">
        <f>'21'!G52</f>
        <v>-0.43000000000006366</v>
      </c>
      <c r="BC24" s="19">
        <f>'21'!G53</f>
        <v>0</v>
      </c>
      <c r="BD24" s="19">
        <f>'21'!G54</f>
        <v>281</v>
      </c>
      <c r="BE24" s="19">
        <f>'21'!G55</f>
        <v>3459</v>
      </c>
      <c r="BF24" s="19">
        <f>'21'!G56</f>
        <v>0</v>
      </c>
      <c r="BG24" s="19">
        <f>'21'!G57</f>
        <v>2656</v>
      </c>
      <c r="BH24" s="56">
        <f>'21'!G50</f>
        <v>1622</v>
      </c>
      <c r="BI24" s="60">
        <f t="shared" si="12"/>
        <v>4981</v>
      </c>
      <c r="BJ24" s="60">
        <f>'21'!G133</f>
        <v>0</v>
      </c>
      <c r="BK24" s="23">
        <f t="shared" si="13"/>
        <v>44.42745634505512</v>
      </c>
      <c r="BL24" s="23">
        <f t="shared" si="14"/>
        <v>11.587672004506317</v>
      </c>
      <c r="BM24" s="24">
        <f t="shared" si="15"/>
        <v>0.1077319546149513</v>
      </c>
      <c r="BN24" s="25">
        <f t="shared" si="16"/>
        <v>319889.2</v>
      </c>
      <c r="BO24" s="38">
        <f t="shared" si="17"/>
        <v>7637</v>
      </c>
      <c r="BP24">
        <f t="shared" si="18"/>
        <v>0.82651515151515154</v>
      </c>
    </row>
    <row r="25" spans="1:68">
      <c r="A25" s="16">
        <v>22</v>
      </c>
      <c r="B25" s="27">
        <v>22</v>
      </c>
      <c r="C25" s="28"/>
      <c r="D25" s="19">
        <f>'22'!D3</f>
        <v>24</v>
      </c>
      <c r="E25" s="50">
        <f>'22'!D4</f>
        <v>0.78</v>
      </c>
      <c r="F25" s="50">
        <f>'22'!D2</f>
        <v>0.83</v>
      </c>
      <c r="G25" s="19">
        <f>'22'!G7</f>
        <v>25520</v>
      </c>
      <c r="H25" s="19">
        <f>'22'!G8</f>
        <v>26019</v>
      </c>
      <c r="I25" s="19">
        <v>9</v>
      </c>
      <c r="J25" s="49">
        <f t="shared" si="3"/>
        <v>234171</v>
      </c>
      <c r="K25" s="45">
        <f t="shared" si="4"/>
        <v>128.80693069306932</v>
      </c>
      <c r="L25" s="19">
        <f>'22'!G15</f>
        <v>1149</v>
      </c>
      <c r="M25" s="19">
        <v>56.2</v>
      </c>
      <c r="N25" s="41">
        <f t="shared" si="5"/>
        <v>64573.8</v>
      </c>
      <c r="O25" s="19">
        <f>'22'!G20</f>
        <v>260</v>
      </c>
      <c r="P25" s="19">
        <v>108</v>
      </c>
      <c r="Q25" s="46">
        <f t="shared" si="0"/>
        <v>28080</v>
      </c>
      <c r="R25" s="47">
        <f t="shared" si="1"/>
        <v>155.07574853870929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139</v>
      </c>
      <c r="W25" s="22">
        <f>'22'!G66</f>
        <v>14</v>
      </c>
      <c r="X25" s="22">
        <f>'22'!G67</f>
        <v>20</v>
      </c>
      <c r="Y25" s="22">
        <f t="shared" si="7"/>
        <v>173</v>
      </c>
      <c r="Z25" s="19">
        <f>'22'!G84</f>
        <v>-0.34999999999854481</v>
      </c>
      <c r="AA25" s="19">
        <f>'22'!G85</f>
        <v>24</v>
      </c>
      <c r="AB25" s="19">
        <f>'22'!G86</f>
        <v>7</v>
      </c>
      <c r="AC25" s="19">
        <f>'22'!G87</f>
        <v>2</v>
      </c>
      <c r="AD25" s="19">
        <f t="shared" si="8"/>
        <v>32.650000000001455</v>
      </c>
      <c r="AE25" s="23">
        <f t="shared" si="2"/>
        <v>6595.4500000000116</v>
      </c>
      <c r="AF25" s="23">
        <f t="shared" si="9"/>
        <v>202.00459418069579</v>
      </c>
      <c r="AG25" s="19">
        <f>'22'!G88</f>
        <v>3.6199999999989814</v>
      </c>
      <c r="AH25" s="19">
        <f>'22'!G89</f>
        <v>10.569999999999709</v>
      </c>
      <c r="AI25" s="19">
        <f>'22'!G90</f>
        <v>2.2599999999947613</v>
      </c>
      <c r="AJ25" s="19">
        <f t="shared" si="10"/>
        <v>16.449999999993452</v>
      </c>
      <c r="AK25" s="19">
        <f>'22'!G91</f>
        <v>10.649999999999636</v>
      </c>
      <c r="AL25" s="19">
        <f>'22'!G92</f>
        <v>0</v>
      </c>
      <c r="AM25" s="19"/>
      <c r="AN25" s="19">
        <f t="shared" si="11"/>
        <v>10.649999999999636</v>
      </c>
      <c r="AO25" s="52">
        <f>'22'!G74</f>
        <v>301</v>
      </c>
      <c r="AP25" s="55">
        <f>'22'!G35</f>
        <v>2877</v>
      </c>
      <c r="AQ25" s="19">
        <f>'22'!G37</f>
        <v>1511</v>
      </c>
      <c r="AR25" s="19">
        <f>'22'!G38</f>
        <v>2767</v>
      </c>
      <c r="AS25" s="19">
        <f>'22'!G39</f>
        <v>2880</v>
      </c>
      <c r="AT25" s="19">
        <f>'22'!G40</f>
        <v>691</v>
      </c>
      <c r="AU25" s="19">
        <f>'22'!G41</f>
        <v>0</v>
      </c>
      <c r="AV25" s="19">
        <f>'22'!G42</f>
        <v>5405</v>
      </c>
      <c r="AW25" s="19">
        <f>'22'!G43</f>
        <v>0</v>
      </c>
      <c r="AX25" s="23">
        <f>'22'!G44</f>
        <v>0</v>
      </c>
      <c r="AY25" s="56">
        <f>'22'!G36</f>
        <v>1220</v>
      </c>
      <c r="AZ25" s="55">
        <f>'22'!G49</f>
        <v>521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363</v>
      </c>
      <c r="BE25" s="19">
        <f>'22'!G55</f>
        <v>847</v>
      </c>
      <c r="BF25" s="19">
        <f>'22'!G56</f>
        <v>343.45000000001164</v>
      </c>
      <c r="BG25" s="19">
        <f>'22'!G57</f>
        <v>2663</v>
      </c>
      <c r="BH25" s="56">
        <f>'22'!G50</f>
        <v>1951</v>
      </c>
      <c r="BI25" s="60">
        <f t="shared" si="12"/>
        <v>6595.4500000000116</v>
      </c>
      <c r="BJ25" s="60">
        <f>'22'!G133</f>
        <v>0</v>
      </c>
      <c r="BK25" s="23">
        <f t="shared" si="13"/>
        <v>48.64310696029829</v>
      </c>
      <c r="BL25" s="23">
        <f t="shared" si="14"/>
        <v>11.068834313386372</v>
      </c>
      <c r="BM25" s="24">
        <f t="shared" si="15"/>
        <v>0.10634536300395865</v>
      </c>
      <c r="BN25" s="25">
        <f t="shared" si="16"/>
        <v>326824.8</v>
      </c>
      <c r="BO25" s="38">
        <f t="shared" si="17"/>
        <v>9258.4500000000116</v>
      </c>
      <c r="BP25">
        <f t="shared" si="18"/>
        <v>1.0127379129292933</v>
      </c>
    </row>
    <row r="26" spans="1:68">
      <c r="A26" s="16">
        <v>23</v>
      </c>
      <c r="B26" s="27">
        <v>23</v>
      </c>
      <c r="C26" s="28"/>
      <c r="D26" s="19">
        <f>'23'!D3</f>
        <v>25</v>
      </c>
      <c r="E26" s="50">
        <f>'23'!D4</f>
        <v>0.79</v>
      </c>
      <c r="F26" s="50">
        <f>'23'!D2</f>
        <v>0.89</v>
      </c>
      <c r="G26" s="19">
        <f>'23'!G7</f>
        <v>24021</v>
      </c>
      <c r="H26" s="19">
        <f>'23'!G8</f>
        <v>24414</v>
      </c>
      <c r="I26" s="19">
        <v>9</v>
      </c>
      <c r="J26" s="49">
        <f t="shared" si="3"/>
        <v>219726</v>
      </c>
      <c r="K26" s="45">
        <f t="shared" si="4"/>
        <v>120.86138613861387</v>
      </c>
      <c r="L26" s="19">
        <f>'23'!G15</f>
        <v>1205</v>
      </c>
      <c r="M26" s="19">
        <v>56.2</v>
      </c>
      <c r="N26" s="41">
        <f t="shared" si="5"/>
        <v>67721</v>
      </c>
      <c r="O26" s="19">
        <f>'23'!G20</f>
        <v>393</v>
      </c>
      <c r="P26" s="19">
        <v>108</v>
      </c>
      <c r="Q26" s="46">
        <f t="shared" si="0"/>
        <v>42444</v>
      </c>
      <c r="R26" s="47">
        <f t="shared" si="1"/>
        <v>218.60051173656692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187</v>
      </c>
      <c r="W26" s="22">
        <f>'23'!G66</f>
        <v>15</v>
      </c>
      <c r="X26" s="22">
        <f>'23'!G67</f>
        <v>72</v>
      </c>
      <c r="Y26" s="22">
        <f t="shared" si="7"/>
        <v>274</v>
      </c>
      <c r="Z26" s="19">
        <f>'23'!G84</f>
        <v>0</v>
      </c>
      <c r="AA26" s="19">
        <f>'23'!G85</f>
        <v>18.5600000000004</v>
      </c>
      <c r="AB26" s="19">
        <f>'23'!G86</f>
        <v>9</v>
      </c>
      <c r="AC26" s="19">
        <f>'23'!G87</f>
        <v>0</v>
      </c>
      <c r="AD26" s="19">
        <f t="shared" si="8"/>
        <v>27.5600000000004</v>
      </c>
      <c r="AE26" s="23">
        <f t="shared" si="2"/>
        <v>5364.6300000000047</v>
      </c>
      <c r="AF26" s="23">
        <f t="shared" si="9"/>
        <v>194.65275761973609</v>
      </c>
      <c r="AG26" s="19">
        <f>'23'!G88</f>
        <v>10.380000000001019</v>
      </c>
      <c r="AH26" s="19">
        <f>'23'!G89</f>
        <v>1.3300000000017462</v>
      </c>
      <c r="AI26" s="19">
        <f>'23'!G90</f>
        <v>11</v>
      </c>
      <c r="AJ26" s="19">
        <f t="shared" si="10"/>
        <v>22.710000000002765</v>
      </c>
      <c r="AK26" s="19">
        <f>'23'!G91</f>
        <v>11.160000000000764</v>
      </c>
      <c r="AL26" s="19">
        <f>'23'!G92</f>
        <v>0</v>
      </c>
      <c r="AM26" s="19"/>
      <c r="AN26" s="19">
        <f t="shared" si="11"/>
        <v>11.160000000000764</v>
      </c>
      <c r="AO26" s="52">
        <f>'23'!G74</f>
        <v>257</v>
      </c>
      <c r="AP26" s="55">
        <f>'23'!G35</f>
        <v>2773</v>
      </c>
      <c r="AQ26" s="19">
        <f>'23'!G37</f>
        <v>1527</v>
      </c>
      <c r="AR26" s="19">
        <f>'23'!G38</f>
        <v>2763</v>
      </c>
      <c r="AS26" s="19">
        <f>'23'!G39</f>
        <v>2919</v>
      </c>
      <c r="AT26" s="19">
        <f>'23'!G40</f>
        <v>490</v>
      </c>
      <c r="AU26" s="19">
        <f>'23'!G41</f>
        <v>0</v>
      </c>
      <c r="AV26" s="19">
        <f>'23'!G42</f>
        <v>3877.6300000000047</v>
      </c>
      <c r="AW26" s="19">
        <f>'23'!G43</f>
        <v>0</v>
      </c>
      <c r="AX26" s="23">
        <f>'23'!G44</f>
        <v>0</v>
      </c>
      <c r="AY26" s="56">
        <f>'23'!G36</f>
        <v>1150</v>
      </c>
      <c r="AZ26" s="55">
        <f>'23'!G49</f>
        <v>588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357</v>
      </c>
      <c r="BE26" s="19">
        <f>'23'!G55</f>
        <v>1487</v>
      </c>
      <c r="BF26" s="19">
        <f>'23'!G56</f>
        <v>0</v>
      </c>
      <c r="BG26" s="19">
        <f>'23'!G57</f>
        <v>2508</v>
      </c>
      <c r="BH26" s="56">
        <f>'23'!G50</f>
        <v>1606</v>
      </c>
      <c r="BI26" s="60">
        <f t="shared" si="12"/>
        <v>5364.6300000000047</v>
      </c>
      <c r="BJ26" s="60">
        <f>'23'!G133</f>
        <v>0.16999999998370185</v>
      </c>
      <c r="BK26" s="23">
        <f t="shared" si="13"/>
        <v>46.013066273449681</v>
      </c>
      <c r="BL26" s="23">
        <f t="shared" si="14"/>
        <v>11.956254608011797</v>
      </c>
      <c r="BM26" s="24">
        <f t="shared" si="15"/>
        <v>0.11317276972229048</v>
      </c>
      <c r="BN26" s="25">
        <f t="shared" si="16"/>
        <v>329891</v>
      </c>
      <c r="BO26" s="38">
        <f t="shared" si="17"/>
        <v>7872.7999999999884</v>
      </c>
      <c r="BP26">
        <f t="shared" si="18"/>
        <v>1.0202156334231642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0.41</v>
      </c>
      <c r="G27" s="19">
        <f>'24'!G7</f>
        <v>23934.709999999992</v>
      </c>
      <c r="H27" s="19">
        <f>'24'!G8</f>
        <v>24656.630000000005</v>
      </c>
      <c r="I27" s="19">
        <v>9</v>
      </c>
      <c r="J27" s="49">
        <f t="shared" si="3"/>
        <v>221909.67000000004</v>
      </c>
      <c r="K27" s="45">
        <f t="shared" si="4"/>
        <v>122.06252475247527</v>
      </c>
      <c r="L27" s="19">
        <f>'24'!G15</f>
        <v>1149</v>
      </c>
      <c r="M27" s="19">
        <v>56.2</v>
      </c>
      <c r="N27" s="41">
        <f t="shared" si="5"/>
        <v>64573.8</v>
      </c>
      <c r="O27" s="19">
        <f>'24'!G20</f>
        <v>433</v>
      </c>
      <c r="P27" s="19">
        <v>108</v>
      </c>
      <c r="Q27" s="46">
        <f t="shared" si="0"/>
        <v>46764</v>
      </c>
      <c r="R27" s="47">
        <f t="shared" si="1"/>
        <v>522.82057474040096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150</v>
      </c>
      <c r="W27" s="22">
        <f>'24'!G66</f>
        <v>13</v>
      </c>
      <c r="X27" s="22">
        <f>'24'!G67</f>
        <v>70</v>
      </c>
      <c r="Y27" s="22">
        <f t="shared" si="7"/>
        <v>233</v>
      </c>
      <c r="Z27" s="19">
        <f>'24'!G84</f>
        <v>0</v>
      </c>
      <c r="AA27" s="19">
        <f>'24'!G85</f>
        <v>0</v>
      </c>
      <c r="AB27" s="19">
        <f>'24'!G86</f>
        <v>18.55000000000291</v>
      </c>
      <c r="AC27" s="19">
        <f>'24'!G87</f>
        <v>11.209999999999127</v>
      </c>
      <c r="AD27" s="19">
        <f t="shared" si="8"/>
        <v>29.760000000002037</v>
      </c>
      <c r="AE27" s="23">
        <f t="shared" si="2"/>
        <v>4055.2200000000303</v>
      </c>
      <c r="AF27" s="23">
        <f t="shared" si="9"/>
        <v>136.26411290321749</v>
      </c>
      <c r="AG27" s="19">
        <f>'24'!G88</f>
        <v>6.9199999999982538</v>
      </c>
      <c r="AH27" s="19">
        <f>'24'!G89</f>
        <v>1.3999999999978172</v>
      </c>
      <c r="AI27" s="19">
        <f>'24'!G90</f>
        <v>16.080000000001746</v>
      </c>
      <c r="AJ27" s="19">
        <f t="shared" si="10"/>
        <v>24.399999999997817</v>
      </c>
      <c r="AK27" s="19">
        <f>'24'!G91</f>
        <v>10.710000000000036</v>
      </c>
      <c r="AL27" s="19">
        <f>'24'!G92</f>
        <v>0</v>
      </c>
      <c r="AM27" s="19"/>
      <c r="AN27" s="19">
        <f t="shared" si="11"/>
        <v>10.710000000000036</v>
      </c>
      <c r="AO27" s="52">
        <f>'24'!G74</f>
        <v>274.54999999999927</v>
      </c>
      <c r="AP27" s="55">
        <f>'24'!G35</f>
        <v>2773.4300000000512</v>
      </c>
      <c r="AQ27" s="19">
        <f>'24'!G37</f>
        <v>1529.4699999999721</v>
      </c>
      <c r="AR27" s="19">
        <f>'24'!G38</f>
        <v>2899.5500000000466</v>
      </c>
      <c r="AS27" s="19">
        <f>'24'!G39</f>
        <v>2852.6700000000419</v>
      </c>
      <c r="AT27" s="19">
        <f>'24'!G40</f>
        <v>213.23000000001048</v>
      </c>
      <c r="AU27" s="19">
        <f>'24'!G41</f>
        <v>0</v>
      </c>
      <c r="AV27" s="19">
        <f>'24'!G42</f>
        <v>0</v>
      </c>
      <c r="AW27" s="19">
        <f>'24'!G43</f>
        <v>0</v>
      </c>
      <c r="AX27" s="23">
        <f>'24'!G44</f>
        <v>0</v>
      </c>
      <c r="AY27" s="56">
        <f>'24'!G36</f>
        <v>1297.5499999999884</v>
      </c>
      <c r="AZ27" s="55">
        <f>'24'!G49</f>
        <v>660.79000000003725</v>
      </c>
      <c r="BA27" s="19">
        <f>'24'!G51</f>
        <v>0.44000000000232831</v>
      </c>
      <c r="BB27" s="19">
        <f>'24'!G52</f>
        <v>0.43000000000006366</v>
      </c>
      <c r="BC27" s="19">
        <f>'24'!G53</f>
        <v>0</v>
      </c>
      <c r="BD27" s="19">
        <f>'24'!G54</f>
        <v>281.29999999998836</v>
      </c>
      <c r="BE27" s="19">
        <f>'24'!G55</f>
        <v>2544.9100000000326</v>
      </c>
      <c r="BF27" s="19">
        <f>'24'!G56</f>
        <v>1510.3099999999977</v>
      </c>
      <c r="BG27" s="19">
        <f>'24'!G57</f>
        <v>2435.0699999999488</v>
      </c>
      <c r="BH27" s="56">
        <f>'24'!G50</f>
        <v>1472.1899999999441</v>
      </c>
      <c r="BI27" s="60">
        <f t="shared" si="12"/>
        <v>4055.2200000000303</v>
      </c>
      <c r="BJ27" s="60">
        <f>'24'!G133</f>
        <v>783</v>
      </c>
      <c r="BK27" s="23">
        <f t="shared" si="13"/>
        <v>40.250877755800637</v>
      </c>
      <c r="BL27" s="23">
        <f t="shared" si="14"/>
        <v>11.56958594909378</v>
      </c>
      <c r="BM27" s="24">
        <f t="shared" si="15"/>
        <v>0.11761461318923333</v>
      </c>
      <c r="BN27" s="25">
        <f t="shared" si="16"/>
        <v>333247.47000000003</v>
      </c>
      <c r="BO27" s="38">
        <f t="shared" si="17"/>
        <v>7273.289999999979</v>
      </c>
      <c r="BP27">
        <f t="shared" si="18"/>
        <v>0.872850662442334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0.3861</v>
      </c>
      <c r="G28" s="19">
        <f>'25'!G7</f>
        <v>21921.080000000016</v>
      </c>
      <c r="H28" s="19">
        <f>'25'!G8</f>
        <v>22396.960000000021</v>
      </c>
      <c r="I28" s="19">
        <v>9</v>
      </c>
      <c r="J28" s="49">
        <f t="shared" si="3"/>
        <v>201572.64000000019</v>
      </c>
      <c r="K28" s="45">
        <f t="shared" si="4"/>
        <v>110.87603960396049</v>
      </c>
      <c r="L28" s="19">
        <f>'25'!G15</f>
        <v>1179</v>
      </c>
      <c r="M28" s="19">
        <v>56.2</v>
      </c>
      <c r="N28" s="41">
        <f t="shared" si="5"/>
        <v>66259.8</v>
      </c>
      <c r="O28" s="19">
        <f>'25'!G20</f>
        <v>371</v>
      </c>
      <c r="P28" s="19">
        <v>108</v>
      </c>
      <c r="Q28" s="46">
        <f t="shared" si="0"/>
        <v>40068</v>
      </c>
      <c r="R28" s="47">
        <f t="shared" si="1"/>
        <v>475.68859450047569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146</v>
      </c>
      <c r="W28" s="22">
        <f>'25'!G66</f>
        <v>21</v>
      </c>
      <c r="X28" s="22">
        <f>'25'!G67</f>
        <v>39</v>
      </c>
      <c r="Y28" s="22">
        <f t="shared" si="7"/>
        <v>206</v>
      </c>
      <c r="Z28" s="19">
        <f>'25'!G84</f>
        <v>0</v>
      </c>
      <c r="AA28" s="19">
        <f>'25'!G85</f>
        <v>0</v>
      </c>
      <c r="AB28" s="19">
        <f>'25'!G86</f>
        <v>0</v>
      </c>
      <c r="AC28" s="19">
        <f>'25'!G87</f>
        <v>24.220000000001164</v>
      </c>
      <c r="AD28" s="19">
        <f t="shared" si="8"/>
        <v>24.220000000001164</v>
      </c>
      <c r="AE28" s="23">
        <f t="shared" si="2"/>
        <v>3214.320000000007</v>
      </c>
      <c r="AF28" s="23">
        <f t="shared" si="9"/>
        <v>132.71345995044808</v>
      </c>
      <c r="AG28" s="19">
        <f>'25'!G88</f>
        <v>1.3400000000001455</v>
      </c>
      <c r="AH28" s="19">
        <f>'25'!G89</f>
        <v>10.119999999998981</v>
      </c>
      <c r="AI28" s="19">
        <f>'25'!G90</f>
        <v>9.1199999999953434</v>
      </c>
      <c r="AJ28" s="19">
        <f t="shared" si="10"/>
        <v>20.57999999999447</v>
      </c>
      <c r="AK28" s="19">
        <f>'25'!G91</f>
        <v>11.059999999999491</v>
      </c>
      <c r="AL28" s="19">
        <f>'25'!G92</f>
        <v>0.34000000000014552</v>
      </c>
      <c r="AM28" s="19"/>
      <c r="AN28" s="19">
        <f t="shared" si="11"/>
        <v>11.399999999999636</v>
      </c>
      <c r="AO28" s="52">
        <f>'25'!G74</f>
        <v>289.54999999999927</v>
      </c>
      <c r="AP28" s="55">
        <f>'25'!G35</f>
        <v>2616.1199999999953</v>
      </c>
      <c r="AQ28" s="19">
        <f>'25'!G37</f>
        <v>1439.2400000000489</v>
      </c>
      <c r="AR28" s="19">
        <f>'25'!G38</f>
        <v>2763.1199999999953</v>
      </c>
      <c r="AS28" s="19">
        <f>'25'!G39</f>
        <v>2834.3999999999069</v>
      </c>
      <c r="AT28" s="19">
        <f>'25'!G40</f>
        <v>207.19999999998254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1132.8400000000256</v>
      </c>
      <c r="AZ28" s="55">
        <f>'25'!G49</f>
        <v>561.19999999995343</v>
      </c>
      <c r="BA28" s="19">
        <f>'25'!G51</f>
        <v>0</v>
      </c>
      <c r="BB28" s="19">
        <f>'25'!G52</f>
        <v>0</v>
      </c>
      <c r="BC28" s="19">
        <f>'25'!G53</f>
        <v>3.0000000027939677E-2</v>
      </c>
      <c r="BD28" s="19">
        <f>'24'!G54</f>
        <v>281.29999999998836</v>
      </c>
      <c r="BE28" s="19">
        <f>'25'!G55</f>
        <v>0</v>
      </c>
      <c r="BF28" s="19">
        <f>'25'!G56</f>
        <v>3214.320000000007</v>
      </c>
      <c r="BG28" s="19">
        <f>'25'!G57</f>
        <v>2257.9200000000419</v>
      </c>
      <c r="BH28" s="56">
        <f>'25'!G50</f>
        <v>1262.0400000000373</v>
      </c>
      <c r="BI28" s="60">
        <f t="shared" si="12"/>
        <v>3214.320000000007</v>
      </c>
      <c r="BJ28" s="60">
        <f>'25'!G133</f>
        <v>702</v>
      </c>
      <c r="BK28" s="23">
        <f t="shared" si="13"/>
        <v>38.619348340131829</v>
      </c>
      <c r="BL28" s="23">
        <f t="shared" si="14"/>
        <v>12.655422878818966</v>
      </c>
      <c r="BM28" s="24">
        <f t="shared" si="15"/>
        <v>0.12337031454268761</v>
      </c>
      <c r="BN28" s="25">
        <f t="shared" si="16"/>
        <v>307900.44000000018</v>
      </c>
      <c r="BO28" s="38">
        <f t="shared" si="17"/>
        <v>6174.2400000000489</v>
      </c>
      <c r="BP28">
        <f t="shared" si="18"/>
        <v>0.9104400141559148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0.37</v>
      </c>
      <c r="G29" s="19">
        <f>'26'!G7</f>
        <v>22123.819999999978</v>
      </c>
      <c r="H29" s="19">
        <f>'26'!G8</f>
        <v>22752.199999999953</v>
      </c>
      <c r="I29" s="19">
        <v>9</v>
      </c>
      <c r="J29" s="49">
        <f t="shared" si="3"/>
        <v>204769.79999999958</v>
      </c>
      <c r="K29" s="45">
        <f t="shared" si="4"/>
        <v>112.6346534653463</v>
      </c>
      <c r="L29" s="19">
        <f>'26'!G15</f>
        <v>1200</v>
      </c>
      <c r="M29" s="19">
        <v>56.2</v>
      </c>
      <c r="N29" s="41">
        <f t="shared" si="5"/>
        <v>67440</v>
      </c>
      <c r="O29" s="19">
        <f>'26'!G20</f>
        <v>338</v>
      </c>
      <c r="P29" s="19">
        <v>108</v>
      </c>
      <c r="Q29" s="46">
        <f t="shared" si="0"/>
        <v>36504</v>
      </c>
      <c r="R29" s="47">
        <f t="shared" si="1"/>
        <v>452.23441263045225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95</v>
      </c>
      <c r="W29" s="22">
        <f>'26'!G66</f>
        <v>11</v>
      </c>
      <c r="X29" s="22">
        <f>'26'!G67</f>
        <v>34</v>
      </c>
      <c r="Y29" s="22">
        <f t="shared" si="7"/>
        <v>140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23.654999999998836</v>
      </c>
      <c r="AD29" s="19">
        <f t="shared" si="8"/>
        <v>23.654999999998836</v>
      </c>
      <c r="AE29" s="23">
        <f t="shared" si="2"/>
        <v>3409.960000000021</v>
      </c>
      <c r="AF29" s="23">
        <f t="shared" si="9"/>
        <v>144.15387867259307</v>
      </c>
      <c r="AG29" s="19">
        <f>'26'!G88</f>
        <v>5.1500000000014552</v>
      </c>
      <c r="AH29" s="19">
        <f>'26'!G89</f>
        <v>12.480000000003201</v>
      </c>
      <c r="AI29" s="19">
        <f>'26'!G90</f>
        <v>6.180000000007567</v>
      </c>
      <c r="AJ29" s="19">
        <f t="shared" si="10"/>
        <v>23.810000000012224</v>
      </c>
      <c r="AK29" s="19">
        <f>'26'!G91</f>
        <v>11.680000000000291</v>
      </c>
      <c r="AL29" s="19">
        <f>'26'!G92</f>
        <v>0</v>
      </c>
      <c r="AM29" s="19"/>
      <c r="AN29" s="19">
        <f t="shared" si="11"/>
        <v>11.680000000000291</v>
      </c>
      <c r="AO29" s="52">
        <f>'26'!G74</f>
        <v>302.54000000000087</v>
      </c>
      <c r="AP29" s="55">
        <f>'26'!G35</f>
        <v>2914.1999999999534</v>
      </c>
      <c r="AQ29" s="19">
        <f>'26'!G37</f>
        <v>1401</v>
      </c>
      <c r="AR29" s="19">
        <f>'26'!G38</f>
        <v>2712.640000000014</v>
      </c>
      <c r="AS29" s="19">
        <f>'26'!G39</f>
        <v>2791.0400000000373</v>
      </c>
      <c r="AT29" s="19">
        <f>'26'!G40</f>
        <v>213.36000000001513</v>
      </c>
      <c r="AU29" s="19">
        <f>'26'!G41</f>
        <v>0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903.47999999998137</v>
      </c>
      <c r="AZ29" s="55">
        <f>'26'!G49</f>
        <v>477.59999999997672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361.72999999998137</v>
      </c>
      <c r="BE29" s="19">
        <f>'26'!G55</f>
        <v>0</v>
      </c>
      <c r="BF29" s="19">
        <f>'26'!G56</f>
        <v>3409.960000000021</v>
      </c>
      <c r="BG29" s="19">
        <f>'26'!G57</f>
        <v>2294.8800000000047</v>
      </c>
      <c r="BH29" s="56">
        <f>'26'!G50</f>
        <v>1226.6800000000512</v>
      </c>
      <c r="BI29" s="60">
        <f t="shared" si="12"/>
        <v>3409.960000000021</v>
      </c>
      <c r="BJ29" s="60">
        <f>'26'!G133</f>
        <v>765</v>
      </c>
      <c r="BK29" s="23">
        <f t="shared" si="13"/>
        <v>39.981364439482661</v>
      </c>
      <c r="BL29" s="23">
        <f t="shared" si="14"/>
        <v>12.267121421225388</v>
      </c>
      <c r="BM29" s="24">
        <f t="shared" si="15"/>
        <v>0.1192253935883132</v>
      </c>
      <c r="BN29" s="25">
        <f t="shared" si="16"/>
        <v>308713.79999999958</v>
      </c>
      <c r="BO29" s="38">
        <f t="shared" si="17"/>
        <v>6469.8400000000256</v>
      </c>
      <c r="BP29">
        <f t="shared" si="18"/>
        <v>0.9768155328079754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0.50990000000000002</v>
      </c>
      <c r="G30" s="19">
        <f>'27'!G7</f>
        <v>22037.320000000007</v>
      </c>
      <c r="H30" s="19">
        <f>'27'!G8</f>
        <v>22562.160000000033</v>
      </c>
      <c r="I30" s="19">
        <v>9</v>
      </c>
      <c r="J30" s="49">
        <f t="shared" si="3"/>
        <v>203059.44000000029</v>
      </c>
      <c r="K30" s="45">
        <f t="shared" si="4"/>
        <v>111.69386138613878</v>
      </c>
      <c r="L30" s="19">
        <f>'27'!G15</f>
        <v>1170</v>
      </c>
      <c r="M30" s="19">
        <v>56.2</v>
      </c>
      <c r="N30" s="41">
        <f t="shared" si="5"/>
        <v>65754</v>
      </c>
      <c r="O30" s="19">
        <f>'27'!G20</f>
        <v>262</v>
      </c>
      <c r="P30" s="19">
        <v>108</v>
      </c>
      <c r="Q30" s="46">
        <f t="shared" si="0"/>
        <v>28296</v>
      </c>
      <c r="R30" s="47">
        <f t="shared" si="1"/>
        <v>254.36942596005042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125</v>
      </c>
      <c r="W30" s="22">
        <f>'27'!G66</f>
        <v>17</v>
      </c>
      <c r="X30" s="22">
        <f>'27'!G67</f>
        <v>23</v>
      </c>
      <c r="Y30" s="22">
        <f t="shared" si="7"/>
        <v>165</v>
      </c>
      <c r="Z30" s="19">
        <f>'27'!G84</f>
        <v>0</v>
      </c>
      <c r="AA30" s="19">
        <f>'27'!G85</f>
        <v>13.519999999999527</v>
      </c>
      <c r="AB30" s="19">
        <f>'27'!G86</f>
        <v>0</v>
      </c>
      <c r="AC30" s="19">
        <f>'27'!G87</f>
        <v>14.485000000000582</v>
      </c>
      <c r="AD30" s="19">
        <f t="shared" si="8"/>
        <v>28.005000000000109</v>
      </c>
      <c r="AE30" s="23">
        <f t="shared" si="2"/>
        <v>4240.3599999999278</v>
      </c>
      <c r="AF30" s="23">
        <f t="shared" si="9"/>
        <v>151.41439028744551</v>
      </c>
      <c r="AG30" s="19">
        <f>'27'!G88</f>
        <v>4.6399999999994179</v>
      </c>
      <c r="AH30" s="19">
        <f>'27'!G89</f>
        <v>9.7599999999983993</v>
      </c>
      <c r="AI30" s="19">
        <f>'27'!G90</f>
        <v>4.0199999999895226</v>
      </c>
      <c r="AJ30" s="19">
        <f t="shared" si="10"/>
        <v>18.41999999998734</v>
      </c>
      <c r="AK30" s="19">
        <f>'27'!G91</f>
        <v>9.0399999999999636</v>
      </c>
      <c r="AL30" s="19">
        <f>'27'!G92</f>
        <v>0</v>
      </c>
      <c r="AM30" s="19"/>
      <c r="AN30" s="19">
        <f t="shared" si="11"/>
        <v>9.0399999999999636</v>
      </c>
      <c r="AO30" s="52">
        <f>'27'!G74</f>
        <v>232.09000000000015</v>
      </c>
      <c r="AP30" s="55">
        <f>'27'!G35</f>
        <v>2708.8000000000466</v>
      </c>
      <c r="AQ30" s="19">
        <f>'27'!G37</f>
        <v>1530.1999999999534</v>
      </c>
      <c r="AR30" s="19">
        <f>'27'!G38</f>
        <v>2671.2799999999115</v>
      </c>
      <c r="AS30" s="19">
        <f>'27'!G39</f>
        <v>2808.8000000000466</v>
      </c>
      <c r="AT30" s="19">
        <f>'27'!G40</f>
        <v>462.60000000000582</v>
      </c>
      <c r="AU30" s="19">
        <f>'27'!G41</f>
        <v>0</v>
      </c>
      <c r="AV30" s="19">
        <f>'27'!G42</f>
        <v>2733.8399999999674</v>
      </c>
      <c r="AW30" s="19">
        <f>'27'!G43</f>
        <v>0</v>
      </c>
      <c r="AX30" s="23">
        <f>'27'!G44</f>
        <v>0</v>
      </c>
      <c r="AY30" s="56">
        <f>'27'!G36</f>
        <v>1008.359999999986</v>
      </c>
      <c r="AZ30" s="55">
        <f>'27'!G49</f>
        <v>465.35999999998603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393.85000000000582</v>
      </c>
      <c r="BE30" s="19">
        <f>'27'!G55</f>
        <v>0</v>
      </c>
      <c r="BF30" s="19">
        <f>'27'!G56</f>
        <v>1506.5199999999604</v>
      </c>
      <c r="BG30" s="19">
        <f>'27'!G57</f>
        <v>2372.2399999999907</v>
      </c>
      <c r="BH30" s="56">
        <f>'27'!G50</f>
        <v>1419.2399999999907</v>
      </c>
      <c r="BI30" s="60">
        <f t="shared" si="12"/>
        <v>4240.3599999999278</v>
      </c>
      <c r="BJ30" s="60">
        <f>'27'!G133</f>
        <v>763</v>
      </c>
      <c r="BK30" s="23">
        <f t="shared" si="13"/>
        <v>43.376875263715611</v>
      </c>
      <c r="BL30" s="23">
        <f t="shared" si="14"/>
        <v>12.449162668822678</v>
      </c>
      <c r="BM30" s="24">
        <f t="shared" si="15"/>
        <v>0.11839646558662414</v>
      </c>
      <c r="BN30" s="25">
        <f t="shared" si="16"/>
        <v>297109.44000000029</v>
      </c>
      <c r="BO30" s="38">
        <f t="shared" si="17"/>
        <v>7375.5999999999185</v>
      </c>
      <c r="BP30">
        <f t="shared" si="18"/>
        <v>0.94059734231130787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22166.070000000007</v>
      </c>
      <c r="H31" s="19">
        <f>'28'!G8</f>
        <v>22679.049999999988</v>
      </c>
      <c r="I31" s="19">
        <v>9</v>
      </c>
      <c r="J31" s="49">
        <f t="shared" si="3"/>
        <v>204111.4499999999</v>
      </c>
      <c r="K31" s="45">
        <f t="shared" si="4"/>
        <v>112.27252475247519</v>
      </c>
      <c r="L31" s="19">
        <f>'28'!G15</f>
        <v>1186</v>
      </c>
      <c r="M31" s="19">
        <v>56.2</v>
      </c>
      <c r="N31" s="41">
        <f t="shared" si="5"/>
        <v>66653.2</v>
      </c>
      <c r="O31" s="19">
        <f>'28'!G20</f>
        <v>202</v>
      </c>
      <c r="P31" s="19">
        <v>108</v>
      </c>
      <c r="Q31" s="46">
        <f t="shared" si="0"/>
        <v>21816</v>
      </c>
      <c r="R31" s="47">
        <f t="shared" si="1"/>
        <v>124.99999999999997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98</v>
      </c>
      <c r="W31" s="22">
        <f>'28'!G66</f>
        <v>6</v>
      </c>
      <c r="X31" s="22">
        <f>'28'!G67</f>
        <v>24</v>
      </c>
      <c r="Y31" s="22">
        <f t="shared" si="7"/>
        <v>128</v>
      </c>
      <c r="Z31" s="19">
        <f>'28'!G84</f>
        <v>0</v>
      </c>
      <c r="AA31" s="19">
        <f>'28'!G85</f>
        <v>22.920000000000073</v>
      </c>
      <c r="AB31" s="19">
        <f>'28'!G86</f>
        <v>6.4499999999970896</v>
      </c>
      <c r="AC31" s="19">
        <f>'28'!G87</f>
        <v>0</v>
      </c>
      <c r="AD31" s="19">
        <f t="shared" si="8"/>
        <v>29.369999999997162</v>
      </c>
      <c r="AE31" s="23">
        <f t="shared" si="2"/>
        <v>4798.9000000000233</v>
      </c>
      <c r="AF31" s="23">
        <f t="shared" si="9"/>
        <v>163.39462036092908</v>
      </c>
      <c r="AG31" s="19">
        <f>'28'!G88</f>
        <v>6.7200000000011642</v>
      </c>
      <c r="AH31" s="19">
        <f>'28'!G89</f>
        <v>9.3400000000001455</v>
      </c>
      <c r="AI31" s="19">
        <f>'28'!G90</f>
        <v>1.6000000000058208</v>
      </c>
      <c r="AJ31" s="19">
        <f t="shared" si="10"/>
        <v>17.66000000000713</v>
      </c>
      <c r="AK31" s="19">
        <f>'28'!G91</f>
        <v>10.720000000000255</v>
      </c>
      <c r="AL31" s="19">
        <f>'28'!G92</f>
        <v>0</v>
      </c>
      <c r="AM31" s="19"/>
      <c r="AN31" s="19">
        <f t="shared" si="11"/>
        <v>10.720000000000255</v>
      </c>
      <c r="AO31" s="52">
        <f>'28'!G74</f>
        <v>275.97999999999956</v>
      </c>
      <c r="AP31" s="55">
        <f>'28'!G35</f>
        <v>2655.6399999998976</v>
      </c>
      <c r="AQ31" s="19">
        <f>'28'!G37</f>
        <v>1489.0900000000256</v>
      </c>
      <c r="AR31" s="19">
        <f>'28'!G38</f>
        <v>2644.4100000000326</v>
      </c>
      <c r="AS31" s="19">
        <f>'28'!G39</f>
        <v>2727.0399999999208</v>
      </c>
      <c r="AT31" s="19">
        <f>'28'!G40</f>
        <v>659.61999999999534</v>
      </c>
      <c r="AU31" s="19">
        <f>'28'!G41</f>
        <v>-1.0000000009313226E-2</v>
      </c>
      <c r="AV31" s="19">
        <f>'28'!G42</f>
        <v>4068.9300000000512</v>
      </c>
      <c r="AW31" s="86">
        <f>'28'!G43</f>
        <v>0</v>
      </c>
      <c r="AX31" s="23">
        <f>'28'!G44</f>
        <v>0</v>
      </c>
      <c r="AY31" s="56">
        <f>'28'!G36</f>
        <v>691.96000000002095</v>
      </c>
      <c r="AZ31" s="55">
        <f>'28'!G49</f>
        <v>484.05000000004657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360.44000000000233</v>
      </c>
      <c r="BE31" s="19">
        <f>'28'!G55</f>
        <v>730.0899999999674</v>
      </c>
      <c r="BF31" s="19">
        <f>'28'!G56</f>
        <v>-0.10999999998603016</v>
      </c>
      <c r="BG31" s="19">
        <f>'28'!G57</f>
        <v>2448.890000000014</v>
      </c>
      <c r="BH31" s="56">
        <f>'28'!G50</f>
        <v>1859.8499999999767</v>
      </c>
      <c r="BI31" s="60">
        <f t="shared" si="12"/>
        <v>4798.9000000000233</v>
      </c>
      <c r="BJ31" s="60">
        <f>'28'!G133</f>
        <v>812</v>
      </c>
      <c r="BK31" s="23">
        <f>SUM(AP31,AU31,AV31,AW31,AZ31,BE31,BF31,BG31)/H31%</f>
        <v>45.802094884926774</v>
      </c>
      <c r="BL31" s="23">
        <f t="shared" si="14"/>
        <v>12.024489561952208</v>
      </c>
      <c r="BM31" s="24">
        <f t="shared" si="15"/>
        <v>0.11660144494588767</v>
      </c>
      <c r="BN31" s="25">
        <f t="shared" si="16"/>
        <v>292580.64999999991</v>
      </c>
      <c r="BO31" s="38">
        <f t="shared" si="17"/>
        <v>8059.7900000000373</v>
      </c>
      <c r="BP31">
        <f t="shared" si="18"/>
        <v>0.98008050002441949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320619.90000000002</v>
      </c>
      <c r="H32" s="19">
        <f>'29'!G8</f>
        <v>305280.30000000005</v>
      </c>
      <c r="I32" s="19">
        <v>9</v>
      </c>
      <c r="J32" s="49">
        <f t="shared" si="3"/>
        <v>2747522.7</v>
      </c>
      <c r="K32" s="45">
        <f t="shared" si="4"/>
        <v>1511.2886138613865</v>
      </c>
      <c r="L32" s="19">
        <f>'29'!G15</f>
        <v>-33530.899999999907</v>
      </c>
      <c r="M32" s="19">
        <v>56.2</v>
      </c>
      <c r="N32" s="41">
        <f t="shared" si="5"/>
        <v>-1884436.579999995</v>
      </c>
      <c r="O32" s="19">
        <f>'29'!G20</f>
        <v>-1306</v>
      </c>
      <c r="P32" s="19">
        <v>108</v>
      </c>
      <c r="Q32" s="46">
        <f t="shared" si="0"/>
        <v>-141048</v>
      </c>
      <c r="R32" s="47">
        <f t="shared" si="1"/>
        <v>-646.53465346534654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-3857</v>
      </c>
      <c r="W32" s="22">
        <f>'29'!G66</f>
        <v>-477</v>
      </c>
      <c r="X32" s="22">
        <f>'29'!G67</f>
        <v>-833</v>
      </c>
      <c r="Y32" s="22">
        <f t="shared" si="7"/>
        <v>-5167</v>
      </c>
      <c r="Z32" s="19">
        <f>'29'!G84</f>
        <v>0</v>
      </c>
      <c r="AA32" s="19">
        <f>'29'!G85</f>
        <v>-154</v>
      </c>
      <c r="AB32" s="19">
        <f>'29'!G86</f>
        <v>-267</v>
      </c>
      <c r="AC32" s="19">
        <f>'29'!G87</f>
        <v>-355.56999999999971</v>
      </c>
      <c r="AD32" s="19">
        <f t="shared" si="8"/>
        <v>-776.56999999999971</v>
      </c>
      <c r="AE32" s="23">
        <f t="shared" si="2"/>
        <v>-118177.43</v>
      </c>
      <c r="AF32" s="23">
        <f t="shared" si="9"/>
        <v>152.17872181516159</v>
      </c>
      <c r="AG32" s="19">
        <f>'29'!G88</f>
        <v>-192.77000000000044</v>
      </c>
      <c r="AH32" s="19">
        <f>'29'!G89</f>
        <v>-195.45999999999913</v>
      </c>
      <c r="AI32" s="19">
        <f>'29'!G90</f>
        <v>-217.42999999999302</v>
      </c>
      <c r="AJ32" s="19">
        <f t="shared" si="10"/>
        <v>-605.65999999999258</v>
      </c>
      <c r="AK32" s="19">
        <f>'29'!G91</f>
        <v>-289.02000000000044</v>
      </c>
      <c r="AL32" s="19">
        <f>'29'!G92</f>
        <v>-58.829999999999927</v>
      </c>
      <c r="AM32" s="19"/>
      <c r="AN32" s="19">
        <f t="shared" si="11"/>
        <v>-347.85000000000036</v>
      </c>
      <c r="AO32" s="52">
        <f>'29'!G74</f>
        <v>-9070.81</v>
      </c>
      <c r="AP32" s="55">
        <f>'29'!G35</f>
        <v>-80489.639999999898</v>
      </c>
      <c r="AQ32" s="19">
        <f>'29'!G37</f>
        <v>-43252.049999999988</v>
      </c>
      <c r="AR32" s="19">
        <f>'29'!G38</f>
        <v>-79588.969999999972</v>
      </c>
      <c r="AS32" s="19">
        <f>'29'!G39</f>
        <v>-85297.359999999986</v>
      </c>
      <c r="AT32" s="19">
        <f>'29'!G40</f>
        <v>-8592.2799999999988</v>
      </c>
      <c r="AU32" s="19">
        <f>'29'!G41</f>
        <v>0</v>
      </c>
      <c r="AV32" s="19">
        <f>'29'!G42</f>
        <v>-31645.969999999972</v>
      </c>
      <c r="AW32" s="19">
        <f>'29'!G43</f>
        <v>0</v>
      </c>
      <c r="AX32" s="23">
        <f>'29'!G44</f>
        <v>0</v>
      </c>
      <c r="AY32" s="56">
        <f>'29'!G36</f>
        <v>-31489.599999999977</v>
      </c>
      <c r="AZ32" s="55">
        <f>'29'!G49</f>
        <v>-16133.089999999967</v>
      </c>
      <c r="BA32" s="19">
        <f>'29'!G51</f>
        <v>0</v>
      </c>
      <c r="BB32" s="19">
        <f>'29'!G52</f>
        <v>-0.43000000000006366</v>
      </c>
      <c r="BC32" s="19">
        <f>'29'!G53</f>
        <v>-3.0000000027939677E-2</v>
      </c>
      <c r="BD32" s="19">
        <f>'29'!G54</f>
        <v>-9422.429999999993</v>
      </c>
      <c r="BE32" s="19">
        <f>'29'!G55</f>
        <v>-38718.25</v>
      </c>
      <c r="BF32" s="19">
        <f>'29'!G56</f>
        <v>-47813.210000000021</v>
      </c>
      <c r="BG32" s="19">
        <f>'29'!G57</f>
        <v>-76302.410000000033</v>
      </c>
      <c r="BH32" s="56">
        <f>'29'!G50</f>
        <v>-44485.410000000033</v>
      </c>
      <c r="BI32" s="60">
        <f t="shared" si="12"/>
        <v>-118177.43</v>
      </c>
      <c r="BJ32" s="60">
        <f>'29'!G133</f>
        <v>-20380</v>
      </c>
      <c r="BK32" s="23">
        <f t="shared" si="13"/>
        <v>-95.35583200095121</v>
      </c>
      <c r="BL32" s="23">
        <f t="shared" si="14"/>
        <v>-27.940679434604856</v>
      </c>
      <c r="BM32" s="24">
        <f t="shared" si="15"/>
        <v>-0.26070925637848219</v>
      </c>
      <c r="BN32" s="25">
        <f t="shared" si="16"/>
        <v>722038.12000000523</v>
      </c>
      <c r="BO32" s="38">
        <f t="shared" si="17"/>
        <v>-214859.84000000003</v>
      </c>
      <c r="BP32">
        <f t="shared" si="18"/>
        <v>0.98813573976405455</v>
      </c>
    </row>
    <row r="33" spans="1:68">
      <c r="A33" s="16">
        <v>30</v>
      </c>
      <c r="B33" s="27">
        <v>30</v>
      </c>
      <c r="C33" s="28"/>
      <c r="D33" s="19">
        <f>'30'!D3</f>
        <v>28</v>
      </c>
      <c r="E33" s="50">
        <f>'30'!D4</f>
        <v>0.78</v>
      </c>
      <c r="F33" s="50">
        <f>'30'!D2</f>
        <v>0.5</v>
      </c>
      <c r="G33" s="19">
        <f>'30'!G7</f>
        <v>21796.099999999977</v>
      </c>
      <c r="H33" s="19">
        <f>'30'!G8</f>
        <v>22328.699999999953</v>
      </c>
      <c r="I33" s="19">
        <v>9</v>
      </c>
      <c r="J33" s="49">
        <f t="shared" si="3"/>
        <v>200958.29999999958</v>
      </c>
      <c r="K33" s="45">
        <f t="shared" si="4"/>
        <v>110.53811881188096</v>
      </c>
      <c r="L33" s="19">
        <f>'30'!G15</f>
        <v>1104.6529999999329</v>
      </c>
      <c r="M33" s="19">
        <v>56.2</v>
      </c>
      <c r="N33" s="41">
        <f t="shared" si="5"/>
        <v>62081.498599996237</v>
      </c>
      <c r="O33" s="19">
        <f>'30'!G20</f>
        <v>321</v>
      </c>
      <c r="P33" s="19">
        <v>108</v>
      </c>
      <c r="Q33" s="46">
        <f t="shared" si="0"/>
        <v>34668</v>
      </c>
      <c r="R33" s="47">
        <f t="shared" si="1"/>
        <v>317.8217821782178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109</v>
      </c>
      <c r="W33" s="22">
        <f>'30'!G66</f>
        <v>38</v>
      </c>
      <c r="X33" s="22">
        <f>'30'!G67</f>
        <v>28</v>
      </c>
      <c r="Y33" s="22">
        <f t="shared" si="7"/>
        <v>175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3269.7200000000303</v>
      </c>
      <c r="AF33" s="23">
        <f t="shared" si="9"/>
        <v>136.23833333333459</v>
      </c>
      <c r="AG33" s="19">
        <f>'30'!G88</f>
        <v>10</v>
      </c>
      <c r="AH33" s="19">
        <f>'30'!G89</f>
        <v>4.4599999999991269</v>
      </c>
      <c r="AI33" s="19">
        <f>'30'!G90</f>
        <v>7.4299999999930151</v>
      </c>
      <c r="AJ33" s="19">
        <f t="shared" si="10"/>
        <v>21.889999999992142</v>
      </c>
      <c r="AK33" s="19">
        <f>'30'!G91</f>
        <v>0</v>
      </c>
      <c r="AL33" s="19">
        <f>'30'!G92</f>
        <v>9.4899999999997817</v>
      </c>
      <c r="AM33" s="19"/>
      <c r="AN33" s="19">
        <f t="shared" si="11"/>
        <v>9.4899999999997817</v>
      </c>
      <c r="AO33" s="52">
        <f>'30'!G74</f>
        <v>265.10000000000036</v>
      </c>
      <c r="AP33" s="55">
        <f>'30'!G35</f>
        <v>2464.4499999999534</v>
      </c>
      <c r="AQ33" s="19">
        <f>'30'!G37</f>
        <v>1422.3999999999651</v>
      </c>
      <c r="AR33" s="19">
        <f>'30'!G38</f>
        <v>2733.4499999999534</v>
      </c>
      <c r="AS33" s="19">
        <f>'30'!G39</f>
        <v>2812</v>
      </c>
      <c r="AT33" s="19">
        <f>'30'!G40</f>
        <v>196.16000000000349</v>
      </c>
      <c r="AU33" s="19">
        <f>'30'!G41</f>
        <v>0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888.29999999998836</v>
      </c>
      <c r="AZ33" s="55">
        <f>'30'!G49</f>
        <v>519.19999999995343</v>
      </c>
      <c r="BA33" s="19">
        <f>'30'!G51</f>
        <v>-0.44000000000232831</v>
      </c>
      <c r="BB33" s="19">
        <f>'30'!G52</f>
        <v>0.43000000000006366</v>
      </c>
      <c r="BC33" s="19">
        <f>'30'!G53</f>
        <v>0</v>
      </c>
      <c r="BD33" s="19">
        <f>'30'!G54</f>
        <v>278.11999999999534</v>
      </c>
      <c r="BE33" s="19">
        <f>'30'!G55</f>
        <v>0</v>
      </c>
      <c r="BF33" s="19">
        <f>'30'!G56</f>
        <v>3269.7200000000303</v>
      </c>
      <c r="BG33" s="19">
        <f>'30'!G57</f>
        <v>2442.7200000000885</v>
      </c>
      <c r="BH33" s="56">
        <f>'30'!G50</f>
        <v>1146.2399999999907</v>
      </c>
      <c r="BI33" s="60">
        <f t="shared" ref="BI33" si="19">SUM(AU33,AV33,BE33,BF33)</f>
        <v>3269.7200000000303</v>
      </c>
      <c r="BJ33" s="60">
        <f>'30'!G133</f>
        <v>616</v>
      </c>
      <c r="BK33" s="23">
        <f t="shared" si="13"/>
        <v>38.945796217424409</v>
      </c>
      <c r="BL33" s="23">
        <f t="shared" si="14"/>
        <v>12.593657490136041</v>
      </c>
      <c r="BM33" s="24">
        <f t="shared" si="15"/>
        <v>0.12243793861711427</v>
      </c>
      <c r="BN33" s="25">
        <f t="shared" si="16"/>
        <v>297707.79859999579</v>
      </c>
      <c r="BO33" s="38">
        <f t="shared" si="17"/>
        <v>6328.4400000001187</v>
      </c>
      <c r="BP33">
        <f t="shared" si="18"/>
        <v>0.94173214285716056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23574</v>
      </c>
      <c r="H34" s="19">
        <f>'31'!G8</f>
        <v>24006</v>
      </c>
      <c r="I34" s="19">
        <v>9</v>
      </c>
      <c r="J34" s="49">
        <f t="shared" si="3"/>
        <v>216054</v>
      </c>
      <c r="K34" s="45">
        <f t="shared" ref="K34" si="20">H34/202</f>
        <v>118.84158415841584</v>
      </c>
      <c r="L34" s="19">
        <f>'31'!G15</f>
        <v>1110.9619999998249</v>
      </c>
      <c r="M34" s="19">
        <v>56.2</v>
      </c>
      <c r="N34" s="41">
        <f t="shared" ref="N34" si="21">L34*M34</f>
        <v>62436.064399990166</v>
      </c>
      <c r="O34" s="19">
        <f>'31'!G20</f>
        <v>194</v>
      </c>
      <c r="P34" s="19">
        <v>108</v>
      </c>
      <c r="Q34" s="46">
        <f t="shared" ref="Q34" si="22">O34*P34</f>
        <v>20952</v>
      </c>
      <c r="R34" s="47">
        <f t="shared" si="1"/>
        <v>3.4299858557284297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137</v>
      </c>
      <c r="W34" s="22">
        <f>'31'!G66</f>
        <v>40</v>
      </c>
      <c r="X34" s="22">
        <f>'31'!G67</f>
        <v>22</v>
      </c>
      <c r="Y34" s="22">
        <f t="shared" ref="Y34" si="24">V34+W34+X34</f>
        <v>199</v>
      </c>
      <c r="Z34" s="19">
        <f>'31'!G84</f>
        <v>0</v>
      </c>
      <c r="AA34" s="19">
        <f>'31'!G85</f>
        <v>10</v>
      </c>
      <c r="AB34" s="19">
        <f>'31'!G86</f>
        <v>0</v>
      </c>
      <c r="AC34" s="19">
        <f>'31'!G87</f>
        <v>18</v>
      </c>
      <c r="AD34" s="19">
        <f t="shared" ref="AD34" si="25">Z34+AA34+AB34+AC34</f>
        <v>28</v>
      </c>
      <c r="AE34" s="23">
        <f t="shared" ref="AE34" si="26">AU34+AV34+BE34+BF34</f>
        <v>4628.6999999999534</v>
      </c>
      <c r="AF34" s="23">
        <f t="shared" ref="AF34" si="27">AE34/AD34</f>
        <v>165.31071428571263</v>
      </c>
      <c r="AG34" s="19">
        <f>'31'!G88</f>
        <v>9</v>
      </c>
      <c r="AH34" s="19">
        <f>'31'!G89</f>
        <v>5</v>
      </c>
      <c r="AI34" s="19">
        <f>'31'!G90</f>
        <v>6</v>
      </c>
      <c r="AJ34" s="19">
        <f t="shared" ref="AJ34" si="28">AG34+AH34+AI34</f>
        <v>20</v>
      </c>
      <c r="AK34" s="19">
        <f>'31'!G91</f>
        <v>0.21000000000003638</v>
      </c>
      <c r="AL34" s="19">
        <f>'31'!G92</f>
        <v>12.279999999999745</v>
      </c>
      <c r="AM34" s="19"/>
      <c r="AN34" s="19">
        <f t="shared" ref="AN34" si="29">AK34+AL34</f>
        <v>12.489999999999782</v>
      </c>
      <c r="AO34" s="52">
        <f>'31'!G74</f>
        <v>334</v>
      </c>
      <c r="AP34" s="55">
        <f>'31'!G35</f>
        <v>2749</v>
      </c>
      <c r="AQ34" s="19">
        <f>'31'!G37</f>
        <v>1471.6500000000233</v>
      </c>
      <c r="AR34" s="19">
        <f>'31'!G38</f>
        <v>2690.5200000000186</v>
      </c>
      <c r="AS34" s="19">
        <f>'31'!G39</f>
        <v>2840.4100000000326</v>
      </c>
      <c r="AT34" s="19">
        <f>'31'!G40</f>
        <v>254.10999999998603</v>
      </c>
      <c r="AU34" s="19">
        <f>'31'!G41</f>
        <v>1.0000000009313226E-2</v>
      </c>
      <c r="AV34" s="19">
        <f>'31'!G42</f>
        <v>2385.1999999999534</v>
      </c>
      <c r="AW34" s="19">
        <f>'31'!G43</f>
        <v>0</v>
      </c>
      <c r="AX34" s="23">
        <f>'31'!G44</f>
        <v>0</v>
      </c>
      <c r="AY34" s="56">
        <f>'31'!G36</f>
        <v>1200.109999999986</v>
      </c>
      <c r="AZ34" s="55">
        <f>'31'!G49</f>
        <v>574.89000000001397</v>
      </c>
      <c r="BA34" s="19">
        <f>'31'!G51</f>
        <v>0</v>
      </c>
      <c r="BB34" s="19">
        <f>'31'!G52</f>
        <v>-0.43000000000006366</v>
      </c>
      <c r="BC34" s="19">
        <f>'31'!G53</f>
        <v>3.0000000027939677E-2</v>
      </c>
      <c r="BD34" s="19">
        <f>'31'!G54</f>
        <v>307.52000000000407</v>
      </c>
      <c r="BE34" s="19">
        <f>'31'!G55</f>
        <v>0</v>
      </c>
      <c r="BF34" s="19">
        <f>'31'!G56</f>
        <v>2243.4899999999907</v>
      </c>
      <c r="BG34" s="19">
        <f>'31'!G57</f>
        <v>2589.6899999999441</v>
      </c>
      <c r="BH34" s="56">
        <f>'31'!G50</f>
        <v>1514.1700000000419</v>
      </c>
      <c r="BI34" s="60">
        <f t="shared" ref="BI34" si="30">SUM(AU34,AV34,BE34,BF34)</f>
        <v>4628.6999999999534</v>
      </c>
      <c r="BJ34" s="60">
        <f>'31'!G133</f>
        <v>693</v>
      </c>
      <c r="BK34" s="23">
        <f t="shared" ref="BK34" si="31">SUM(AP34,AU34,AV34,AW34,AZ34,BE34,BF34,BG34)/H34%</f>
        <v>43.915187869698876</v>
      </c>
      <c r="BL34" s="23">
        <f t="shared" ref="BL34" si="32">SUM(AS34,BC34)/H34%</f>
        <v>11.83220861451329</v>
      </c>
      <c r="BM34" s="24">
        <f t="shared" ref="BM34" si="33">(AR34+BB34)/H34</f>
        <v>0.11205906856619255</v>
      </c>
      <c r="BN34" s="25">
        <f t="shared" ref="BN34" si="34">J34+N34+Q34+U34</f>
        <v>299442.06439999014</v>
      </c>
      <c r="BO34" s="38">
        <f t="shared" ref="BO34" si="35">SUM(AU34,AV34,AW34,BE34,BF34,BG34,BJ34)</f>
        <v>7911.3899999998976</v>
      </c>
      <c r="BP34">
        <f t="shared" ref="BP34" si="36">BO34/(AD34*280)</f>
        <v>1.0091058673469258</v>
      </c>
    </row>
    <row r="35" spans="1:68">
      <c r="A35" s="16" t="s">
        <v>196</v>
      </c>
      <c r="B35" s="30"/>
      <c r="C35" s="31"/>
      <c r="D35" s="32">
        <f>AVERAGE(D4:D34)</f>
        <v>27.580645161290324</v>
      </c>
      <c r="E35" s="33"/>
      <c r="F35" s="73">
        <f>AVERAGE(F4:F34)</f>
        <v>1.5676129032258066</v>
      </c>
      <c r="G35" s="34">
        <f>SUM(G4:G34)</f>
        <v>999432</v>
      </c>
      <c r="H35" s="34">
        <f t="shared" ref="H35:BN35" si="37">SUM(H4:H34)</f>
        <v>1000000</v>
      </c>
      <c r="I35" s="19">
        <v>9</v>
      </c>
      <c r="J35" s="34">
        <f t="shared" si="37"/>
        <v>9000000</v>
      </c>
      <c r="K35" s="34">
        <f t="shared" si="37"/>
        <v>4950.4950495049516</v>
      </c>
      <c r="L35" s="34">
        <f t="shared" si="37"/>
        <v>0</v>
      </c>
      <c r="M35" s="34">
        <f t="shared" si="37"/>
        <v>1742.200000000001</v>
      </c>
      <c r="N35" s="34">
        <f t="shared" si="37"/>
        <v>-4.0745362639427185E-10</v>
      </c>
      <c r="O35" s="34">
        <f t="shared" si="37"/>
        <v>6180</v>
      </c>
      <c r="P35" s="34">
        <f t="shared" si="37"/>
        <v>3348</v>
      </c>
      <c r="Q35" s="34">
        <f t="shared" si="37"/>
        <v>667440</v>
      </c>
      <c r="R35" s="34">
        <f t="shared" si="37"/>
        <v>5118.8786762794698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0</v>
      </c>
      <c r="W35" s="34">
        <f t="shared" si="37"/>
        <v>0</v>
      </c>
      <c r="X35" s="34">
        <f t="shared" si="37"/>
        <v>0</v>
      </c>
      <c r="Y35" s="34">
        <f t="shared" si="37"/>
        <v>0</v>
      </c>
      <c r="Z35" s="34">
        <f t="shared" si="37"/>
        <v>-0.34999999999854481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-0.34999999999854481</v>
      </c>
      <c r="AE35" s="34">
        <f t="shared" si="37"/>
        <v>0</v>
      </c>
      <c r="AF35" s="34">
        <f t="shared" si="37"/>
        <v>4696.2338021791666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-286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0</v>
      </c>
      <c r="AV35" s="34">
        <f t="shared" si="37"/>
        <v>0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3.0000000027939677E-2</v>
      </c>
      <c r="BD35" s="34">
        <f t="shared" si="37"/>
        <v>2.6199999999662396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0</v>
      </c>
      <c r="BJ35" s="34">
        <f t="shared" si="37"/>
        <v>-4393</v>
      </c>
      <c r="BK35" s="34">
        <f t="shared" si="37"/>
        <v>1160.7392284421494</v>
      </c>
      <c r="BL35" s="34">
        <f t="shared" si="37"/>
        <v>341.12375954710728</v>
      </c>
      <c r="BM35" s="34">
        <f t="shared" si="37"/>
        <v>3.1787811073720285</v>
      </c>
      <c r="BN35" s="34">
        <f t="shared" si="37"/>
        <v>9667440</v>
      </c>
      <c r="BO35" s="38">
        <f t="shared" si="17"/>
        <v>-4393</v>
      </c>
      <c r="BP35">
        <f t="shared" si="18"/>
        <v>44.82653061243127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-4</v>
      </c>
      <c r="E36" s="35">
        <f t="shared" si="38"/>
        <v>-2.0000000000000018E-2</v>
      </c>
      <c r="F36" s="35">
        <f t="shared" si="38"/>
        <v>0</v>
      </c>
      <c r="G36" s="35"/>
      <c r="H36" s="35">
        <f t="shared" ref="H36:AN36" si="39">H18-H17</f>
        <v>963.23000000001048</v>
      </c>
      <c r="I36" s="35">
        <f t="shared" si="39"/>
        <v>0</v>
      </c>
      <c r="J36" s="42">
        <f t="shared" si="39"/>
        <v>8669.0700000001234</v>
      </c>
      <c r="K36" s="42">
        <f t="shared" si="39"/>
        <v>4.7684653465346969</v>
      </c>
      <c r="L36" s="35">
        <f t="shared" si="39"/>
        <v>247.02359999995679</v>
      </c>
      <c r="M36" s="35">
        <f t="shared" si="39"/>
        <v>0</v>
      </c>
      <c r="N36" s="42">
        <f t="shared" si="39"/>
        <v>13882.726319997571</v>
      </c>
      <c r="O36" s="35">
        <f t="shared" si="39"/>
        <v>134</v>
      </c>
      <c r="P36" s="35">
        <f t="shared" si="39"/>
        <v>0</v>
      </c>
      <c r="Q36" s="42">
        <f t="shared" si="39"/>
        <v>14472</v>
      </c>
      <c r="R36" s="42">
        <f t="shared" si="39"/>
        <v>132.67326732673266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46</v>
      </c>
      <c r="W36" s="35">
        <f t="shared" si="39"/>
        <v>-3</v>
      </c>
      <c r="X36" s="35">
        <f t="shared" si="39"/>
        <v>-24</v>
      </c>
      <c r="Y36" s="35">
        <f t="shared" si="39"/>
        <v>19</v>
      </c>
      <c r="Z36" s="35">
        <f t="shared" si="39"/>
        <v>0</v>
      </c>
      <c r="AA36" s="35">
        <f t="shared" si="39"/>
        <v>0</v>
      </c>
      <c r="AB36" s="35">
        <f t="shared" si="39"/>
        <v>5.9999999997671694E-2</v>
      </c>
      <c r="AC36" s="35">
        <f t="shared" si="39"/>
        <v>0</v>
      </c>
      <c r="AD36" s="35">
        <f t="shared" si="39"/>
        <v>5.9999999997671694E-2</v>
      </c>
      <c r="AE36" s="35">
        <f t="shared" si="39"/>
        <v>27.960000000079162</v>
      </c>
      <c r="AF36" s="35">
        <f t="shared" si="39"/>
        <v>0.79522034254065943</v>
      </c>
      <c r="AG36" s="35">
        <f t="shared" si="39"/>
        <v>-1.1999999999970896</v>
      </c>
      <c r="AH36" s="35">
        <f t="shared" si="39"/>
        <v>5.3399999999965075</v>
      </c>
      <c r="AI36" s="35">
        <f t="shared" si="39"/>
        <v>3</v>
      </c>
      <c r="AJ36" s="35">
        <f t="shared" si="39"/>
        <v>7.1399999999994179</v>
      </c>
      <c r="AK36" s="35">
        <f t="shared" si="39"/>
        <v>0.27999999999974534</v>
      </c>
      <c r="AL36" s="35">
        <f t="shared" si="39"/>
        <v>0.23999999999978172</v>
      </c>
      <c r="AM36" s="35">
        <f t="shared" si="39"/>
        <v>0</v>
      </c>
      <c r="AN36" s="35">
        <f t="shared" si="39"/>
        <v>0.51999999999952706</v>
      </c>
      <c r="AO36" s="35"/>
      <c r="AP36" s="35">
        <f t="shared" ref="AP36:AW36" si="40">AP18-AP17</f>
        <v>16.270000000018626</v>
      </c>
      <c r="AQ36" s="35">
        <f t="shared" si="40"/>
        <v>-14.619999999995343</v>
      </c>
      <c r="AR36" s="35">
        <f t="shared" si="40"/>
        <v>314.32000000006519</v>
      </c>
      <c r="AS36" s="35">
        <f t="shared" si="40"/>
        <v>92.729999999981374</v>
      </c>
      <c r="AT36" s="35">
        <f t="shared" si="40"/>
        <v>-1.9700000000011642</v>
      </c>
      <c r="AU36" s="35">
        <f t="shared" si="40"/>
        <v>0</v>
      </c>
      <c r="AV36" s="35">
        <f t="shared" si="40"/>
        <v>-2.9999999911524355E-2</v>
      </c>
      <c r="AW36" s="35">
        <f t="shared" si="40"/>
        <v>0</v>
      </c>
      <c r="AX36" s="35"/>
      <c r="AY36" s="35"/>
      <c r="AZ36" s="35">
        <f t="shared" ref="AZ36:BG36" si="41">AZ18-AZ17</f>
        <v>-0.17000000004190952</v>
      </c>
      <c r="BA36" s="35">
        <f t="shared" si="41"/>
        <v>-0.44000000000232831</v>
      </c>
      <c r="BB36" s="35">
        <f t="shared" si="41"/>
        <v>0.43000000000006366</v>
      </c>
      <c r="BC36" s="35">
        <f t="shared" si="41"/>
        <v>-3.0000000027939677E-2</v>
      </c>
      <c r="BD36" s="35">
        <f t="shared" si="41"/>
        <v>0.31000000001222361</v>
      </c>
      <c r="BE36" s="35">
        <f t="shared" si="41"/>
        <v>27.989999999990687</v>
      </c>
      <c r="BF36" s="35">
        <f t="shared" si="41"/>
        <v>0</v>
      </c>
      <c r="BG36" s="35">
        <f t="shared" si="41"/>
        <v>14.17000000004191</v>
      </c>
      <c r="BH36" s="35"/>
      <c r="BI36" s="35"/>
      <c r="BJ36" s="35"/>
      <c r="BK36" s="35">
        <f>BK18-BK17</f>
        <v>-1.5050267730133058</v>
      </c>
      <c r="BL36" s="35">
        <f>BL18-BL17</f>
        <v>-0.11922952420198385</v>
      </c>
      <c r="BM36" s="35"/>
      <c r="BN36" s="35">
        <f>BN18-BN17</f>
        <v>37023.796319997695</v>
      </c>
      <c r="BO36" s="35">
        <f>BO18-BO17</f>
        <v>178.13000000012107</v>
      </c>
    </row>
    <row r="37" spans="1:68">
      <c r="F37" s="38">
        <f>AVERAGE(F4:F35)</f>
        <v>1.5676129032258066</v>
      </c>
      <c r="G37" s="38"/>
      <c r="H37" s="38">
        <f>AVERAGE(H4:H35)</f>
        <v>62500</v>
      </c>
    </row>
    <row r="38" spans="1:68">
      <c r="B38" s="36" t="s">
        <v>66</v>
      </c>
      <c r="F38" s="72">
        <f>AVERAGE(F4:F35)</f>
        <v>1.5676129032258066</v>
      </c>
      <c r="G38" s="72"/>
    </row>
    <row r="41" spans="1:68">
      <c r="BI41">
        <f>(BI31+BJ31)/400</f>
        <v>14.027250000000059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9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79" t="s">
        <v>353</v>
      </c>
    </row>
    <row r="2" spans="1:17">
      <c r="A2" s="248">
        <v>1</v>
      </c>
      <c r="B2" s="380">
        <f>C2/202%</f>
        <v>77.227722772277232</v>
      </c>
      <c r="C2" s="380">
        <v>156</v>
      </c>
      <c r="D2" s="380">
        <v>5</v>
      </c>
      <c r="E2" s="380">
        <f>(C2+D2)/202%</f>
        <v>79.702970297029708</v>
      </c>
      <c r="F2" s="381">
        <v>451</v>
      </c>
      <c r="G2" s="381">
        <f>C2+D2</f>
        <v>161</v>
      </c>
      <c r="H2" s="382">
        <f>C2/202%</f>
        <v>77.227722772277232</v>
      </c>
      <c r="I2" s="383"/>
      <c r="J2" s="382">
        <f>'Section Load'!C5/G2</f>
        <v>138.91925465838509</v>
      </c>
      <c r="K2">
        <f>10/202</f>
        <v>4.9504950495049507E-2</v>
      </c>
    </row>
    <row r="3" spans="1:17">
      <c r="A3" s="248">
        <v>2</v>
      </c>
      <c r="B3" s="380">
        <f t="shared" ref="B3:B32" si="0">C3/202%</f>
        <v>73.267326732673268</v>
      </c>
      <c r="C3" s="380">
        <v>148</v>
      </c>
      <c r="D3" s="380">
        <v>4</v>
      </c>
      <c r="E3" s="380">
        <f t="shared" ref="E3:E32" si="1">(C3+D3)/202%</f>
        <v>75.247524752475243</v>
      </c>
      <c r="F3" s="381">
        <v>351</v>
      </c>
      <c r="G3" s="381">
        <f t="shared" ref="G3:G31" si="2">C3+D3</f>
        <v>152</v>
      </c>
      <c r="H3" s="382">
        <f t="shared" ref="H3:H32" si="3">C3/202%</f>
        <v>73.267326732673268</v>
      </c>
      <c r="I3" s="383"/>
      <c r="J3" s="382">
        <f>'Section Load'!C6/G3</f>
        <v>147.75</v>
      </c>
    </row>
    <row r="4" spans="1:17">
      <c r="A4" s="248">
        <v>3</v>
      </c>
      <c r="B4" s="380">
        <f t="shared" si="0"/>
        <v>84.653465346534659</v>
      </c>
      <c r="C4" s="380">
        <v>171</v>
      </c>
      <c r="D4" s="380">
        <v>5</v>
      </c>
      <c r="E4" s="380">
        <f t="shared" si="1"/>
        <v>87.128712871287135</v>
      </c>
      <c r="F4" s="381">
        <v>369</v>
      </c>
      <c r="G4" s="381">
        <f t="shared" si="2"/>
        <v>176</v>
      </c>
      <c r="H4" s="382">
        <f t="shared" si="3"/>
        <v>84.653465346534659</v>
      </c>
      <c r="I4" s="383"/>
      <c r="J4" s="382">
        <f>'Section Load'!C7/G4</f>
        <v>133.80289772727303</v>
      </c>
      <c r="Q4" s="402">
        <f>C2/202</f>
        <v>0.7722772277227723</v>
      </c>
    </row>
    <row r="5" spans="1:17">
      <c r="A5" s="248">
        <v>4</v>
      </c>
      <c r="B5" s="380">
        <f t="shared" si="0"/>
        <v>86.138613861386133</v>
      </c>
      <c r="C5" s="380">
        <v>174</v>
      </c>
      <c r="D5" s="380">
        <v>5</v>
      </c>
      <c r="E5" s="380">
        <f t="shared" si="1"/>
        <v>88.613861386138609</v>
      </c>
      <c r="F5" s="381">
        <v>455</v>
      </c>
      <c r="G5" s="381">
        <f t="shared" si="2"/>
        <v>179</v>
      </c>
      <c r="H5" s="382">
        <f t="shared" si="3"/>
        <v>86.138613861386133</v>
      </c>
      <c r="I5" s="383"/>
      <c r="J5" s="382">
        <f>'Section Load'!C8/G5</f>
        <v>124.94798882681533</v>
      </c>
    </row>
    <row r="6" spans="1:17">
      <c r="A6" s="248">
        <v>5</v>
      </c>
      <c r="B6" s="380">
        <f t="shared" si="0"/>
        <v>83.168316831683171</v>
      </c>
      <c r="C6" s="380">
        <v>168</v>
      </c>
      <c r="D6" s="380">
        <v>6</v>
      </c>
      <c r="E6" s="380">
        <f t="shared" si="1"/>
        <v>86.138613861386133</v>
      </c>
      <c r="F6" s="381">
        <v>482</v>
      </c>
      <c r="G6" s="381">
        <f t="shared" si="2"/>
        <v>174</v>
      </c>
      <c r="H6" s="382">
        <f t="shared" si="3"/>
        <v>83.168316831683171</v>
      </c>
      <c r="I6" s="383"/>
      <c r="J6" s="382">
        <f>'Section Load'!C9/G6</f>
        <v>132.48201149425284</v>
      </c>
    </row>
    <row r="7" spans="1:17">
      <c r="A7" s="248">
        <v>6</v>
      </c>
      <c r="B7" s="380">
        <f t="shared" si="0"/>
        <v>80.198019801980195</v>
      </c>
      <c r="C7" s="380">
        <v>162</v>
      </c>
      <c r="D7" s="380">
        <v>5</v>
      </c>
      <c r="E7" s="380">
        <f t="shared" si="1"/>
        <v>82.67326732673267</v>
      </c>
      <c r="F7" s="381">
        <v>551</v>
      </c>
      <c r="G7" s="381">
        <f t="shared" si="2"/>
        <v>167</v>
      </c>
      <c r="H7" s="382">
        <f t="shared" si="3"/>
        <v>80.198019801980195</v>
      </c>
      <c r="I7" s="383"/>
      <c r="J7" s="382">
        <f>'Section Load'!C10/G7</f>
        <v>141.89299401197607</v>
      </c>
    </row>
    <row r="8" spans="1:17">
      <c r="A8" s="248">
        <v>7</v>
      </c>
      <c r="B8" s="380">
        <f t="shared" si="0"/>
        <v>76.237623762376231</v>
      </c>
      <c r="C8" s="380">
        <v>154</v>
      </c>
      <c r="D8" s="380">
        <v>7</v>
      </c>
      <c r="E8" s="380">
        <f t="shared" si="1"/>
        <v>79.702970297029708</v>
      </c>
      <c r="F8" s="381">
        <v>658</v>
      </c>
      <c r="G8" s="381">
        <f t="shared" si="2"/>
        <v>161</v>
      </c>
      <c r="H8" s="382">
        <f t="shared" si="3"/>
        <v>76.237623762376231</v>
      </c>
      <c r="I8" s="383"/>
      <c r="J8" s="382">
        <f>'Section Load'!C11/G8</f>
        <v>147.53416149068323</v>
      </c>
      <c r="K8" s="533"/>
    </row>
    <row r="9" spans="1:17">
      <c r="A9" s="248">
        <v>8</v>
      </c>
      <c r="B9" s="380">
        <f t="shared" si="0"/>
        <v>69.306930693069305</v>
      </c>
      <c r="C9" s="380">
        <v>140</v>
      </c>
      <c r="D9" s="380">
        <v>5</v>
      </c>
      <c r="E9" s="380">
        <f t="shared" si="1"/>
        <v>71.78217821782178</v>
      </c>
      <c r="F9" s="381">
        <v>542</v>
      </c>
      <c r="G9" s="381">
        <f t="shared" si="2"/>
        <v>145</v>
      </c>
      <c r="H9" s="382">
        <f t="shared" si="3"/>
        <v>69.306930693069305</v>
      </c>
      <c r="I9" s="383"/>
      <c r="J9" s="382">
        <f>'Section Load'!C12/G9</f>
        <v>160.49655172413793</v>
      </c>
    </row>
    <row r="10" spans="1:17">
      <c r="A10" s="248">
        <v>9</v>
      </c>
      <c r="B10" s="380">
        <f t="shared" si="0"/>
        <v>76.732673267326732</v>
      </c>
      <c r="C10" s="380">
        <v>155</v>
      </c>
      <c r="D10" s="380">
        <v>6</v>
      </c>
      <c r="E10" s="380">
        <f t="shared" si="1"/>
        <v>79.702970297029708</v>
      </c>
      <c r="F10" s="381">
        <v>398</v>
      </c>
      <c r="G10" s="381">
        <f t="shared" si="2"/>
        <v>161</v>
      </c>
      <c r="H10" s="382">
        <f t="shared" si="3"/>
        <v>76.732673267326732</v>
      </c>
      <c r="I10" s="383"/>
      <c r="J10" s="382">
        <f>'Section Load'!C13/G10</f>
        <v>138.13304347826113</v>
      </c>
      <c r="K10" s="553" t="s">
        <v>369</v>
      </c>
      <c r="L10" s="553"/>
    </row>
    <row r="11" spans="1:17">
      <c r="A11" s="248">
        <v>10</v>
      </c>
      <c r="B11" s="380">
        <f t="shared" si="0"/>
        <v>76.237623762376231</v>
      </c>
      <c r="C11" s="380">
        <v>154</v>
      </c>
      <c r="D11" s="380">
        <v>4</v>
      </c>
      <c r="E11" s="380">
        <f t="shared" si="1"/>
        <v>78.21782178217822</v>
      </c>
      <c r="F11" s="381">
        <v>474</v>
      </c>
      <c r="G11" s="381">
        <f t="shared" si="2"/>
        <v>158</v>
      </c>
      <c r="H11" s="382">
        <f t="shared" si="3"/>
        <v>76.237623762376231</v>
      </c>
      <c r="I11" s="383"/>
      <c r="J11" s="382">
        <f>'Section Load'!C14/G11</f>
        <v>143.25373417721522</v>
      </c>
      <c r="K11" s="553"/>
      <c r="L11" s="553"/>
    </row>
    <row r="12" spans="1:17">
      <c r="A12" s="248">
        <v>11</v>
      </c>
      <c r="B12" s="380">
        <f t="shared" si="0"/>
        <v>79.207920792079207</v>
      </c>
      <c r="C12" s="380">
        <v>160</v>
      </c>
      <c r="D12" s="380">
        <v>4</v>
      </c>
      <c r="E12" s="380">
        <f t="shared" si="1"/>
        <v>81.188118811881182</v>
      </c>
      <c r="F12" s="381"/>
      <c r="G12" s="381">
        <f t="shared" si="2"/>
        <v>164</v>
      </c>
      <c r="H12" s="382">
        <f t="shared" si="3"/>
        <v>79.207920792079207</v>
      </c>
      <c r="I12" s="383"/>
      <c r="J12" s="382">
        <f>'Section Load'!C15/G12</f>
        <v>131.00018292682921</v>
      </c>
      <c r="K12" s="553"/>
      <c r="L12" s="553"/>
    </row>
    <row r="13" spans="1:17">
      <c r="A13" s="248">
        <v>12</v>
      </c>
      <c r="B13" s="380">
        <f t="shared" si="0"/>
        <v>80.693069306930695</v>
      </c>
      <c r="C13" s="380">
        <v>163</v>
      </c>
      <c r="D13" s="380">
        <v>1</v>
      </c>
      <c r="E13" s="380">
        <f t="shared" si="1"/>
        <v>81.188118811881182</v>
      </c>
      <c r="F13" s="380"/>
      <c r="G13" s="381">
        <f t="shared" si="2"/>
        <v>164</v>
      </c>
      <c r="H13" s="382">
        <f t="shared" si="3"/>
        <v>80.693069306930695</v>
      </c>
      <c r="I13" s="383"/>
      <c r="J13" s="382">
        <f>'Section Load'!C16/G13</f>
        <v>125.36207317073173</v>
      </c>
    </row>
    <row r="14" spans="1:17">
      <c r="A14" s="248">
        <v>13</v>
      </c>
      <c r="B14" s="380">
        <f t="shared" si="0"/>
        <v>82.178217821782184</v>
      </c>
      <c r="C14" s="380">
        <v>166</v>
      </c>
      <c r="D14" s="380">
        <v>1</v>
      </c>
      <c r="E14" s="380">
        <f t="shared" si="1"/>
        <v>82.67326732673267</v>
      </c>
      <c r="F14" s="380"/>
      <c r="G14" s="381">
        <f t="shared" si="2"/>
        <v>167</v>
      </c>
      <c r="H14" s="382">
        <f t="shared" si="3"/>
        <v>82.178217821782184</v>
      </c>
      <c r="I14" s="383"/>
      <c r="J14" s="382">
        <f>'Section Load'!C17/G14</f>
        <v>128.19622754491022</v>
      </c>
    </row>
    <row r="15" spans="1:17">
      <c r="A15" s="248">
        <v>14</v>
      </c>
      <c r="B15" s="380">
        <f t="shared" si="0"/>
        <v>83.168316831683171</v>
      </c>
      <c r="C15" s="380">
        <v>168</v>
      </c>
      <c r="D15" s="380">
        <v>1</v>
      </c>
      <c r="E15" s="380">
        <f t="shared" si="1"/>
        <v>83.663366336633658</v>
      </c>
      <c r="F15" s="380"/>
      <c r="G15" s="381">
        <f t="shared" si="2"/>
        <v>169</v>
      </c>
      <c r="H15" s="382">
        <f t="shared" si="3"/>
        <v>83.168316831683171</v>
      </c>
      <c r="I15" s="383"/>
      <c r="J15" s="382">
        <f>'Section Load'!C18/G15</f>
        <v>130.83792899408283</v>
      </c>
    </row>
    <row r="16" spans="1:17">
      <c r="A16" s="248">
        <v>15</v>
      </c>
      <c r="B16" s="380">
        <f t="shared" si="0"/>
        <v>59.900990099009903</v>
      </c>
      <c r="C16" s="380">
        <v>121</v>
      </c>
      <c r="D16" s="380">
        <v>1</v>
      </c>
      <c r="E16" s="380">
        <f t="shared" si="1"/>
        <v>60.396039603960396</v>
      </c>
      <c r="F16" s="380"/>
      <c r="G16" s="381">
        <f t="shared" si="2"/>
        <v>122</v>
      </c>
      <c r="H16" s="382">
        <f t="shared" si="3"/>
        <v>59.900990099009903</v>
      </c>
      <c r="I16" s="383"/>
      <c r="J16" s="382">
        <f>'Section Load'!C19/G16</f>
        <v>189.13803278688533</v>
      </c>
    </row>
    <row r="17" spans="1:10">
      <c r="A17" s="248">
        <v>16</v>
      </c>
      <c r="B17" s="380">
        <f t="shared" si="0"/>
        <v>76.237623762376231</v>
      </c>
      <c r="C17" s="380">
        <v>154</v>
      </c>
      <c r="D17" s="380">
        <v>4</v>
      </c>
      <c r="E17" s="380">
        <f t="shared" si="1"/>
        <v>78.21782178217822</v>
      </c>
      <c r="F17" s="380"/>
      <c r="G17" s="381">
        <f t="shared" si="2"/>
        <v>158</v>
      </c>
      <c r="H17" s="382">
        <f t="shared" si="3"/>
        <v>76.237623762376231</v>
      </c>
      <c r="I17" s="383"/>
      <c r="J17" s="382">
        <f>'Section Load'!C20/G17</f>
        <v>149.57689873417718</v>
      </c>
    </row>
    <row r="18" spans="1:10">
      <c r="A18" s="248">
        <v>17</v>
      </c>
      <c r="B18" s="380">
        <f t="shared" si="0"/>
        <v>74.257425742574256</v>
      </c>
      <c r="C18" s="380">
        <v>150</v>
      </c>
      <c r="D18" s="380">
        <v>8</v>
      </c>
      <c r="E18" s="380">
        <f t="shared" si="1"/>
        <v>78.21782178217822</v>
      </c>
      <c r="F18" s="380"/>
      <c r="G18" s="381">
        <f t="shared" si="2"/>
        <v>158</v>
      </c>
      <c r="H18" s="382">
        <f t="shared" si="3"/>
        <v>74.257425742574256</v>
      </c>
      <c r="I18" s="383"/>
      <c r="J18" s="382">
        <f>'Section Load'!C21/G18</f>
        <v>154.00449367088603</v>
      </c>
    </row>
    <row r="19" spans="1:10">
      <c r="A19" s="248">
        <v>18</v>
      </c>
      <c r="B19" s="380">
        <f t="shared" si="0"/>
        <v>75.247524752475243</v>
      </c>
      <c r="C19" s="384">
        <v>152</v>
      </c>
      <c r="D19" s="384">
        <v>8</v>
      </c>
      <c r="E19" s="380">
        <f t="shared" si="1"/>
        <v>79.207920792079207</v>
      </c>
      <c r="F19" s="384"/>
      <c r="G19" s="381">
        <f t="shared" si="2"/>
        <v>160</v>
      </c>
      <c r="H19" s="382">
        <f t="shared" si="3"/>
        <v>75.247524752475243</v>
      </c>
      <c r="I19" s="383"/>
      <c r="J19" s="382">
        <f>'Section Load'!C22/G19</f>
        <v>152.19999999999999</v>
      </c>
    </row>
    <row r="20" spans="1:10">
      <c r="A20" s="248">
        <v>19</v>
      </c>
      <c r="B20" s="380">
        <f t="shared" si="0"/>
        <v>78.21782178217822</v>
      </c>
      <c r="C20" s="380">
        <v>158</v>
      </c>
      <c r="D20" s="380">
        <v>8</v>
      </c>
      <c r="E20" s="380">
        <f t="shared" si="1"/>
        <v>82.178217821782184</v>
      </c>
      <c r="F20" s="380"/>
      <c r="G20" s="381">
        <f t="shared" si="2"/>
        <v>166</v>
      </c>
      <c r="H20" s="382">
        <f t="shared" si="3"/>
        <v>78.21782178217822</v>
      </c>
      <c r="I20" s="383"/>
      <c r="J20" s="382">
        <f>'Section Load'!C23/G20</f>
        <v>135.44578313253012</v>
      </c>
    </row>
    <row r="21" spans="1:10">
      <c r="A21" s="248">
        <v>20</v>
      </c>
      <c r="B21" s="380">
        <f t="shared" si="0"/>
        <v>74.257425742574256</v>
      </c>
      <c r="C21" s="380">
        <v>150</v>
      </c>
      <c r="D21" s="380">
        <v>2</v>
      </c>
      <c r="E21" s="380">
        <f t="shared" si="1"/>
        <v>75.247524752475243</v>
      </c>
      <c r="F21" s="380"/>
      <c r="G21" s="381">
        <f t="shared" si="2"/>
        <v>152</v>
      </c>
      <c r="H21" s="382">
        <f t="shared" si="3"/>
        <v>74.257425742574256</v>
      </c>
      <c r="I21" s="383"/>
      <c r="J21" s="382">
        <f>'Section Load'!C24/G21</f>
        <v>165.95394736842104</v>
      </c>
    </row>
    <row r="22" spans="1:10">
      <c r="A22" s="248">
        <v>21</v>
      </c>
      <c r="B22" s="380">
        <f t="shared" si="0"/>
        <v>70.297029702970292</v>
      </c>
      <c r="C22" s="380">
        <v>142</v>
      </c>
      <c r="D22" s="380">
        <v>2</v>
      </c>
      <c r="E22" s="380">
        <f t="shared" si="1"/>
        <v>71.287128712871294</v>
      </c>
      <c r="F22" s="380"/>
      <c r="G22" s="381">
        <f t="shared" si="2"/>
        <v>144</v>
      </c>
      <c r="H22" s="382">
        <f t="shared" si="3"/>
        <v>70.297029702970292</v>
      </c>
      <c r="I22" s="383"/>
      <c r="J22" s="382">
        <f>'Section Load'!C25/G22</f>
        <v>172.59722222222223</v>
      </c>
    </row>
    <row r="23" spans="1:10">
      <c r="A23" s="248">
        <v>22</v>
      </c>
      <c r="B23" s="380">
        <v>83</v>
      </c>
      <c r="C23" s="380">
        <v>131</v>
      </c>
      <c r="D23" s="380">
        <v>4</v>
      </c>
      <c r="E23" s="380">
        <f t="shared" si="1"/>
        <v>66.831683168316829</v>
      </c>
      <c r="F23" s="380"/>
      <c r="G23" s="381">
        <f t="shared" si="2"/>
        <v>135</v>
      </c>
      <c r="H23" s="382">
        <f t="shared" si="3"/>
        <v>64.851485148514854</v>
      </c>
      <c r="I23" s="383"/>
      <c r="J23" s="382">
        <f>'Section Load'!C26/G23</f>
        <v>192.73333333333332</v>
      </c>
    </row>
    <row r="24" spans="1:10">
      <c r="A24" s="248">
        <v>23</v>
      </c>
      <c r="B24" s="380">
        <v>98</v>
      </c>
      <c r="C24" s="380">
        <v>137</v>
      </c>
      <c r="D24" s="380">
        <v>4</v>
      </c>
      <c r="E24" s="380">
        <f t="shared" si="1"/>
        <v>69.801980198019805</v>
      </c>
      <c r="F24" s="380"/>
      <c r="G24" s="381">
        <f t="shared" si="2"/>
        <v>141</v>
      </c>
      <c r="H24" s="382">
        <f t="shared" si="3"/>
        <v>67.821782178217816</v>
      </c>
      <c r="I24" s="383"/>
      <c r="J24" s="382">
        <f>'Section Load'!C27/G24</f>
        <v>173.14893617021278</v>
      </c>
    </row>
    <row r="25" spans="1:10">
      <c r="A25" s="248">
        <v>24</v>
      </c>
      <c r="B25" s="380">
        <f t="shared" si="0"/>
        <v>74.257425742574256</v>
      </c>
      <c r="C25" s="380">
        <v>150</v>
      </c>
      <c r="D25" s="380">
        <v>5</v>
      </c>
      <c r="E25" s="380">
        <f t="shared" si="1"/>
        <v>76.732673267326732</v>
      </c>
      <c r="F25" s="380"/>
      <c r="G25" s="381">
        <f t="shared" si="2"/>
        <v>155</v>
      </c>
      <c r="H25" s="382">
        <f t="shared" si="3"/>
        <v>74.257425742574256</v>
      </c>
      <c r="I25" s="383"/>
      <c r="J25" s="382">
        <f>'Section Load'!C28/G25</f>
        <v>159.07503225806454</v>
      </c>
    </row>
    <row r="26" spans="1:10">
      <c r="A26" s="248">
        <v>25</v>
      </c>
      <c r="B26" s="380">
        <f t="shared" si="0"/>
        <v>74.752475247524757</v>
      </c>
      <c r="C26" s="380">
        <v>151</v>
      </c>
      <c r="D26" s="380">
        <v>7</v>
      </c>
      <c r="E26" s="380">
        <f t="shared" si="1"/>
        <v>78.21782178217822</v>
      </c>
      <c r="F26" s="380"/>
      <c r="G26" s="381">
        <f t="shared" si="2"/>
        <v>158</v>
      </c>
      <c r="H26" s="382">
        <f t="shared" si="3"/>
        <v>74.752475247524757</v>
      </c>
      <c r="I26" s="383"/>
      <c r="J26" s="382">
        <f>'Section Load'!C29/G26</f>
        <v>141.7529113924052</v>
      </c>
    </row>
    <row r="27" spans="1:10">
      <c r="A27" s="248">
        <v>26</v>
      </c>
      <c r="B27" s="380">
        <f t="shared" si="0"/>
        <v>70.792079207920793</v>
      </c>
      <c r="C27" s="380">
        <v>143</v>
      </c>
      <c r="D27" s="380">
        <v>8</v>
      </c>
      <c r="E27" s="380">
        <f t="shared" si="1"/>
        <v>74.752475247524757</v>
      </c>
      <c r="F27" s="380"/>
      <c r="G27" s="381">
        <f t="shared" si="2"/>
        <v>151</v>
      </c>
      <c r="H27" s="382">
        <f t="shared" si="3"/>
        <v>70.792079207920793</v>
      </c>
      <c r="I27" s="383"/>
      <c r="J27" s="382">
        <f>'Section Load'!C30/G27</f>
        <v>150.67682119205267</v>
      </c>
    </row>
    <row r="28" spans="1:10">
      <c r="A28" s="248">
        <v>27</v>
      </c>
      <c r="B28" s="380">
        <f t="shared" si="0"/>
        <v>75.742574257425744</v>
      </c>
      <c r="C28" s="380">
        <v>153</v>
      </c>
      <c r="D28" s="380">
        <v>8</v>
      </c>
      <c r="E28" s="380">
        <f t="shared" si="1"/>
        <v>79.702970297029708</v>
      </c>
      <c r="F28" s="380"/>
      <c r="G28" s="381">
        <f t="shared" si="2"/>
        <v>161</v>
      </c>
      <c r="H28" s="382">
        <f t="shared" si="3"/>
        <v>75.742574257425744</v>
      </c>
      <c r="I28" s="383"/>
      <c r="J28" s="382">
        <f>'Section Load'!C31/G28</f>
        <v>140.137639751553</v>
      </c>
    </row>
    <row r="29" spans="1:10">
      <c r="A29" s="248">
        <v>28</v>
      </c>
      <c r="B29" s="380">
        <f t="shared" si="0"/>
        <v>0</v>
      </c>
      <c r="C29" s="380"/>
      <c r="D29" s="380"/>
      <c r="E29" s="380">
        <f t="shared" si="1"/>
        <v>0</v>
      </c>
      <c r="F29" s="380"/>
      <c r="G29" s="381">
        <f t="shared" si="2"/>
        <v>0</v>
      </c>
      <c r="H29" s="382">
        <f t="shared" si="3"/>
        <v>0</v>
      </c>
      <c r="I29" s="383"/>
      <c r="J29" s="382" t="e">
        <f>'Section Load'!C32/G29</f>
        <v>#DIV/0!</v>
      </c>
    </row>
    <row r="30" spans="1:10">
      <c r="A30" s="248">
        <v>29</v>
      </c>
      <c r="B30" s="380">
        <f>C30/202%</f>
        <v>0</v>
      </c>
      <c r="C30" s="380"/>
      <c r="D30" s="380"/>
      <c r="E30" s="380">
        <f t="shared" si="1"/>
        <v>0</v>
      </c>
      <c r="F30" s="380"/>
      <c r="G30" s="381">
        <f t="shared" si="2"/>
        <v>0</v>
      </c>
      <c r="H30" s="382">
        <f>C30/202%</f>
        <v>0</v>
      </c>
      <c r="I30" s="383"/>
      <c r="J30" s="382" t="e">
        <f>'Section Load'!C33/G30</f>
        <v>#DIV/0!</v>
      </c>
    </row>
    <row r="31" spans="1:10">
      <c r="A31" s="248">
        <v>30</v>
      </c>
      <c r="B31" s="380">
        <f t="shared" si="0"/>
        <v>0</v>
      </c>
      <c r="C31" s="380"/>
      <c r="D31" s="380"/>
      <c r="E31" s="380">
        <f t="shared" si="1"/>
        <v>0</v>
      </c>
      <c r="F31" s="380"/>
      <c r="G31" s="385">
        <f t="shared" si="2"/>
        <v>0</v>
      </c>
      <c r="H31" s="382">
        <f t="shared" si="3"/>
        <v>0</v>
      </c>
      <c r="I31" s="383"/>
      <c r="J31" s="382" t="e">
        <f>'Section Load'!C34/G31</f>
        <v>#DIV/0!</v>
      </c>
    </row>
    <row r="32" spans="1:10">
      <c r="A32" s="248">
        <v>31</v>
      </c>
      <c r="B32" s="380">
        <f t="shared" si="0"/>
        <v>0</v>
      </c>
      <c r="C32" s="380"/>
      <c r="D32" s="380"/>
      <c r="E32" s="380">
        <f t="shared" si="1"/>
        <v>0</v>
      </c>
      <c r="F32" s="380"/>
      <c r="G32" s="385"/>
      <c r="H32" s="382">
        <f t="shared" si="3"/>
        <v>0</v>
      </c>
      <c r="I32" s="383"/>
      <c r="J32" s="382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K14" sqref="AK1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0" width="6.21875" customWidth="1"/>
    <col min="11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147.75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170</v>
      </c>
      <c r="E5" s="91">
        <f>'2'!G18</f>
        <v>190</v>
      </c>
      <c r="F5" s="91">
        <f>'3'!G18</f>
        <v>220</v>
      </c>
      <c r="G5" s="91">
        <f>'4'!G18</f>
        <v>210</v>
      </c>
      <c r="H5" s="91">
        <f>'5'!G18</f>
        <v>250</v>
      </c>
      <c r="I5" s="91">
        <f>'6'!G18</f>
        <v>260</v>
      </c>
      <c r="J5" s="91">
        <f>'7'!G18</f>
        <v>170</v>
      </c>
      <c r="K5" s="91">
        <f>'8'!G18</f>
        <v>370</v>
      </c>
      <c r="L5" s="91">
        <f>'9'!G18</f>
        <v>50</v>
      </c>
      <c r="M5" s="91">
        <f>'10'!G18</f>
        <v>0</v>
      </c>
      <c r="N5" s="91">
        <f>'11'!G18</f>
        <v>0</v>
      </c>
      <c r="O5" s="91">
        <f>'12'!G18</f>
        <v>0</v>
      </c>
      <c r="P5" s="91">
        <f>'13'!G18</f>
        <v>0</v>
      </c>
      <c r="Q5" s="91">
        <f>'14'!G18</f>
        <v>110</v>
      </c>
      <c r="R5" s="91">
        <f>'15'!G18</f>
        <v>270</v>
      </c>
      <c r="S5" s="91">
        <f>'16'!G18</f>
        <v>360</v>
      </c>
      <c r="T5" s="91">
        <f>'17'!G18</f>
        <v>230</v>
      </c>
      <c r="U5" s="91">
        <f>'18 '!G18</f>
        <v>180</v>
      </c>
      <c r="V5" s="91">
        <f>'19'!G18</f>
        <v>190</v>
      </c>
      <c r="W5" s="91">
        <f>'20'!G18</f>
        <v>180</v>
      </c>
      <c r="X5" s="91">
        <f>'21'!G18</f>
        <v>200</v>
      </c>
      <c r="Y5" s="91">
        <f>'22'!G18</f>
        <v>200</v>
      </c>
      <c r="Z5" s="91">
        <f>'23'!G18</f>
        <v>340</v>
      </c>
      <c r="AA5" s="91">
        <f>'24'!G18</f>
        <v>390</v>
      </c>
      <c r="AB5" s="91">
        <f>'25'!G18</f>
        <v>320</v>
      </c>
      <c r="AC5" s="91">
        <f>'26'!G18</f>
        <v>300</v>
      </c>
      <c r="AD5" s="91">
        <f>'27'!G18</f>
        <v>210</v>
      </c>
      <c r="AE5" s="91">
        <f>'28'!G18</f>
        <v>150</v>
      </c>
      <c r="AF5" s="91">
        <f>'29'!G18</f>
        <v>250</v>
      </c>
      <c r="AG5" s="91">
        <f>'30'!G18</f>
        <v>280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59</v>
      </c>
      <c r="F6" s="91">
        <f>'3'!G19</f>
        <v>57</v>
      </c>
      <c r="G6" s="91">
        <f>'4'!G19</f>
        <v>55</v>
      </c>
      <c r="H6" s="91">
        <f>'5'!G19</f>
        <v>52</v>
      </c>
      <c r="I6" s="91">
        <f>'6'!G19</f>
        <v>51</v>
      </c>
      <c r="J6" s="91">
        <f>'7'!G19</f>
        <v>50</v>
      </c>
      <c r="K6" s="91">
        <f>'8'!G19</f>
        <v>45</v>
      </c>
      <c r="L6" s="91">
        <f>'9'!G19</f>
        <v>55</v>
      </c>
      <c r="M6" s="91">
        <f>'10'!G19</f>
        <v>47</v>
      </c>
      <c r="N6" s="91">
        <f>'11'!G19</f>
        <v>54</v>
      </c>
      <c r="O6" s="91">
        <f>'12'!G19</f>
        <v>57</v>
      </c>
      <c r="P6" s="91">
        <f>'13'!G19</f>
        <v>64</v>
      </c>
      <c r="Q6" s="91">
        <f>'14'!G19</f>
        <v>64</v>
      </c>
      <c r="R6" s="91">
        <f>'15'!G19</f>
        <v>38</v>
      </c>
      <c r="S6" s="91">
        <f>'16'!G19</f>
        <v>36</v>
      </c>
      <c r="T6" s="91">
        <f>'17'!G19</f>
        <v>49</v>
      </c>
      <c r="U6" s="91">
        <f>'18 '!G19</f>
        <v>55</v>
      </c>
      <c r="V6" s="91">
        <f>'19'!G19</f>
        <v>49</v>
      </c>
      <c r="W6" s="91">
        <f>'20'!G19</f>
        <v>55</v>
      </c>
      <c r="X6" s="91">
        <f>'21'!G19</f>
        <v>58</v>
      </c>
      <c r="Y6" s="91">
        <f>'22'!G19</f>
        <v>60</v>
      </c>
      <c r="Z6" s="91">
        <f>'23'!G19</f>
        <v>53</v>
      </c>
      <c r="AA6" s="91">
        <f>'24'!G19</f>
        <v>43</v>
      </c>
      <c r="AB6" s="91">
        <f>'25'!G19</f>
        <v>51</v>
      </c>
      <c r="AC6" s="91">
        <f>'26'!G19</f>
        <v>38</v>
      </c>
      <c r="AD6" s="91">
        <f>'27'!G19</f>
        <v>52</v>
      </c>
      <c r="AE6" s="91">
        <f>'28'!G19</f>
        <v>52</v>
      </c>
      <c r="AF6" s="91">
        <f>'29'!G19</f>
        <v>-1556</v>
      </c>
      <c r="AG6" s="91">
        <f>'30'!G19</f>
        <v>41</v>
      </c>
      <c r="AH6" s="91">
        <f>'31'!G19</f>
        <v>64</v>
      </c>
      <c r="AI6" s="90"/>
    </row>
    <row r="7" spans="2:35">
      <c r="B7" s="93"/>
      <c r="C7" s="90" t="s">
        <v>70</v>
      </c>
      <c r="D7" s="91">
        <f>'1'!G62</f>
        <v>119</v>
      </c>
      <c r="E7" s="91">
        <f>'2'!G62</f>
        <v>129</v>
      </c>
      <c r="F7" s="91">
        <f>'3'!G62</f>
        <v>129.29999999998836</v>
      </c>
      <c r="G7" s="91">
        <f>'4'!G62</f>
        <v>141.70000000001164</v>
      </c>
      <c r="H7" s="91">
        <f>'5'!G62</f>
        <v>124</v>
      </c>
      <c r="I7" s="91">
        <f>'6'!G62</f>
        <v>111</v>
      </c>
      <c r="J7" s="91">
        <f>'7'!G62</f>
        <v>147</v>
      </c>
      <c r="K7" s="91">
        <f>'8'!G62</f>
        <v>156</v>
      </c>
      <c r="L7" s="91">
        <f>'9'!G62</f>
        <v>9</v>
      </c>
      <c r="M7" s="91">
        <f>'10'!G62</f>
        <v>0</v>
      </c>
      <c r="N7" s="91">
        <f>'11'!G62</f>
        <v>0</v>
      </c>
      <c r="O7" s="91">
        <f>'12'!G62</f>
        <v>0</v>
      </c>
      <c r="P7" s="91">
        <f>'13'!G62</f>
        <v>0</v>
      </c>
      <c r="Q7" s="91">
        <f>'14'!G62</f>
        <v>0</v>
      </c>
      <c r="R7" s="91">
        <f>'15'!G62</f>
        <v>52</v>
      </c>
      <c r="S7" s="91">
        <f>'16'!G62</f>
        <v>85</v>
      </c>
      <c r="T7" s="91">
        <f>'17'!G62</f>
        <v>144</v>
      </c>
      <c r="U7" s="91">
        <f>'18 '!G62</f>
        <v>92</v>
      </c>
      <c r="V7" s="91">
        <f>'19'!G62</f>
        <v>74</v>
      </c>
      <c r="W7" s="91">
        <f>'20'!G62</f>
        <v>56</v>
      </c>
      <c r="X7" s="91">
        <f>'21'!G62</f>
        <v>52</v>
      </c>
      <c r="Y7" s="91">
        <f>'22'!G62</f>
        <v>136</v>
      </c>
      <c r="Z7" s="91">
        <f>'23'!G62</f>
        <v>101</v>
      </c>
      <c r="AA7" s="91">
        <f>'24'!G62</f>
        <v>135</v>
      </c>
      <c r="AB7" s="91">
        <f>'25'!G62</f>
        <v>175</v>
      </c>
      <c r="AC7" s="91">
        <f>'26'!G62</f>
        <v>105</v>
      </c>
      <c r="AD7" s="91">
        <f>'27'!G62</f>
        <v>120.20000000001164</v>
      </c>
      <c r="AE7" s="91">
        <f>'28'!G62</f>
        <v>112.79999999998836</v>
      </c>
      <c r="AF7" s="91">
        <f>'29'!G62</f>
        <v>-2780</v>
      </c>
      <c r="AG7" s="91">
        <f>'30'!G62</f>
        <v>109</v>
      </c>
      <c r="AH7" s="91">
        <f>'31'!G62</f>
        <v>165</v>
      </c>
      <c r="AI7" s="90"/>
    </row>
    <row r="8" spans="2:35">
      <c r="B8" s="93"/>
      <c r="C8" s="90" t="s">
        <v>299</v>
      </c>
      <c r="D8" s="91">
        <f>'1'!G63</f>
        <v>143</v>
      </c>
      <c r="E8" s="91">
        <f>'2'!G63</f>
        <v>74</v>
      </c>
      <c r="F8" s="91">
        <f>'3'!G63</f>
        <v>74</v>
      </c>
      <c r="G8" s="91">
        <f>'4'!G63</f>
        <v>99</v>
      </c>
      <c r="H8" s="91">
        <f>'5'!G63</f>
        <v>66</v>
      </c>
      <c r="I8" s="91">
        <f>'6'!G63</f>
        <v>88</v>
      </c>
      <c r="J8" s="91">
        <f>'7'!G63</f>
        <v>94</v>
      </c>
      <c r="K8" s="91">
        <f>'8'!G63</f>
        <v>1</v>
      </c>
      <c r="L8" s="91">
        <f>'9'!G63</f>
        <v>45</v>
      </c>
      <c r="M8" s="91">
        <f>'10'!G63</f>
        <v>93</v>
      </c>
      <c r="N8" s="91">
        <f>'11'!G63</f>
        <v>132</v>
      </c>
      <c r="O8" s="91">
        <f>'12'!G63</f>
        <v>116</v>
      </c>
      <c r="P8" s="91">
        <f>'13'!G63</f>
        <v>91</v>
      </c>
      <c r="Q8" s="91">
        <f>'14'!G63</f>
        <v>102</v>
      </c>
      <c r="R8" s="91">
        <f>'15'!G63</f>
        <v>89</v>
      </c>
      <c r="S8" s="91">
        <f>'16'!G63</f>
        <v>127</v>
      </c>
      <c r="T8" s="91">
        <f>'17'!G63</f>
        <v>76</v>
      </c>
      <c r="U8" s="91">
        <f>'18 '!G63</f>
        <v>90</v>
      </c>
      <c r="V8" s="91">
        <f>'19'!G63</f>
        <v>110</v>
      </c>
      <c r="W8" s="91">
        <f>'20'!G63</f>
        <v>97</v>
      </c>
      <c r="X8" s="91">
        <f>'21'!G63</f>
        <v>104</v>
      </c>
      <c r="Y8" s="91">
        <f>'22'!G63</f>
        <v>64</v>
      </c>
      <c r="Z8" s="91">
        <f>'23'!G63</f>
        <v>17</v>
      </c>
      <c r="AA8" s="91">
        <f>'24'!G63</f>
        <v>79</v>
      </c>
      <c r="AB8" s="91">
        <f>'25'!G63</f>
        <v>90</v>
      </c>
      <c r="AC8" s="91">
        <f>'26'!G63</f>
        <v>84</v>
      </c>
      <c r="AD8" s="91">
        <f>'27'!G63</f>
        <v>45</v>
      </c>
      <c r="AE8" s="91">
        <f>'28'!G63</f>
        <v>84</v>
      </c>
      <c r="AF8" s="91">
        <f>'29'!G63</f>
        <v>-2604</v>
      </c>
      <c r="AG8" s="91">
        <f>'30'!G63</f>
        <v>140</v>
      </c>
      <c r="AH8" s="91">
        <f>'31'!G63</f>
        <v>90</v>
      </c>
      <c r="AI8" s="90"/>
    </row>
    <row r="9" spans="2:35">
      <c r="B9" s="773" t="s">
        <v>71</v>
      </c>
      <c r="C9" s="90" t="s">
        <v>31</v>
      </c>
      <c r="D9" s="91">
        <f>'1'!G65</f>
        <v>129</v>
      </c>
      <c r="E9" s="91">
        <f>'2'!G65</f>
        <v>142</v>
      </c>
      <c r="F9" s="91">
        <f>'3'!G65</f>
        <v>140</v>
      </c>
      <c r="G9" s="91">
        <f>'4'!G65</f>
        <v>145</v>
      </c>
      <c r="H9" s="91">
        <f>'5'!G65</f>
        <v>114</v>
      </c>
      <c r="I9" s="91">
        <f>'6'!G65</f>
        <v>135</v>
      </c>
      <c r="J9" s="91">
        <f>'7'!G65</f>
        <v>140</v>
      </c>
      <c r="K9" s="91">
        <f>'8'!G65</f>
        <v>137</v>
      </c>
      <c r="L9" s="91">
        <f>'9'!G65</f>
        <v>131</v>
      </c>
      <c r="M9" s="91">
        <f>'10'!G65</f>
        <v>114</v>
      </c>
      <c r="N9" s="91">
        <f>'11'!G65</f>
        <v>106</v>
      </c>
      <c r="O9" s="91">
        <f>'12'!G65</f>
        <v>101</v>
      </c>
      <c r="P9" s="91">
        <f>'13'!G65</f>
        <v>83</v>
      </c>
      <c r="Q9" s="91">
        <f>'14'!G65</f>
        <v>99</v>
      </c>
      <c r="R9" s="91">
        <f>'15'!G65</f>
        <v>145</v>
      </c>
      <c r="S9" s="91">
        <f>'16'!G65</f>
        <v>132</v>
      </c>
      <c r="T9" s="91">
        <f>'17'!G65</f>
        <v>133</v>
      </c>
      <c r="U9" s="91">
        <f>'18 '!G65</f>
        <v>162</v>
      </c>
      <c r="V9" s="91">
        <f>'19'!G65</f>
        <v>108</v>
      </c>
      <c r="W9" s="91">
        <f>'20'!G65</f>
        <v>137</v>
      </c>
      <c r="X9" s="91">
        <f>'21'!G65</f>
        <v>138</v>
      </c>
      <c r="Y9" s="91">
        <f>'22'!G65</f>
        <v>139</v>
      </c>
      <c r="Z9" s="91">
        <f>'23'!G65</f>
        <v>187</v>
      </c>
      <c r="AA9" s="91">
        <f>'24'!G65</f>
        <v>150</v>
      </c>
      <c r="AB9" s="91">
        <f>'25'!G65</f>
        <v>146</v>
      </c>
      <c r="AC9" s="91">
        <f>'26'!G65</f>
        <v>95</v>
      </c>
      <c r="AD9" s="91">
        <f>'27'!G65</f>
        <v>125</v>
      </c>
      <c r="AE9" s="91">
        <f>'28'!G65</f>
        <v>98</v>
      </c>
      <c r="AF9" s="91">
        <f>'29'!G65</f>
        <v>-3857</v>
      </c>
      <c r="AG9" s="91">
        <f>'30'!G65</f>
        <v>109</v>
      </c>
      <c r="AH9" s="91">
        <f>'31'!G65</f>
        <v>137</v>
      </c>
      <c r="AI9" s="90"/>
    </row>
    <row r="10" spans="2:35">
      <c r="B10" s="773"/>
      <c r="C10" s="90" t="s">
        <v>32</v>
      </c>
      <c r="D10" s="91">
        <f>'1'!G66</f>
        <v>29</v>
      </c>
      <c r="E10" s="91">
        <f>'2'!G66</f>
        <v>15</v>
      </c>
      <c r="F10" s="91">
        <f>'3'!G66</f>
        <v>17</v>
      </c>
      <c r="G10" s="91">
        <f>'4'!G66</f>
        <v>18</v>
      </c>
      <c r="H10" s="91">
        <f>'5'!G66</f>
        <v>22</v>
      </c>
      <c r="I10" s="91">
        <f>'6'!G66</f>
        <v>27</v>
      </c>
      <c r="J10" s="91">
        <f>'7'!G66</f>
        <v>22</v>
      </c>
      <c r="K10" s="91">
        <f>'8'!G66</f>
        <v>10</v>
      </c>
      <c r="L10" s="91">
        <f>'9'!G66</f>
        <v>6</v>
      </c>
      <c r="M10" s="91">
        <f>'10'!G66</f>
        <v>9</v>
      </c>
      <c r="N10" s="91">
        <f>'11'!G66</f>
        <v>10</v>
      </c>
      <c r="O10" s="91">
        <f>'12'!G66</f>
        <v>9</v>
      </c>
      <c r="P10" s="91">
        <f>'13'!G66</f>
        <v>9</v>
      </c>
      <c r="Q10" s="91">
        <f>'14'!G66</f>
        <v>12</v>
      </c>
      <c r="R10" s="91">
        <f>'15'!G66</f>
        <v>9</v>
      </c>
      <c r="S10" s="91">
        <f>'16'!G66</f>
        <v>13</v>
      </c>
      <c r="T10" s="91">
        <f>'17'!G66</f>
        <v>13</v>
      </c>
      <c r="U10" s="91">
        <f>'18 '!G66</f>
        <v>10</v>
      </c>
      <c r="V10" s="91">
        <f>'19'!G66</f>
        <v>12</v>
      </c>
      <c r="W10" s="91">
        <f>'20'!G66</f>
        <v>13</v>
      </c>
      <c r="X10" s="91">
        <f>'21'!G66</f>
        <v>17</v>
      </c>
      <c r="Y10" s="91">
        <f>'22'!G66</f>
        <v>14</v>
      </c>
      <c r="Z10" s="91">
        <f>'23'!G66</f>
        <v>15</v>
      </c>
      <c r="AA10" s="91">
        <f>'24'!G66</f>
        <v>13</v>
      </c>
      <c r="AB10" s="91">
        <f>'25'!G66</f>
        <v>21</v>
      </c>
      <c r="AC10" s="91">
        <f>'26'!G66</f>
        <v>11</v>
      </c>
      <c r="AD10" s="91">
        <f>'27'!G66</f>
        <v>17</v>
      </c>
      <c r="AE10" s="91">
        <f>'28'!G66</f>
        <v>6</v>
      </c>
      <c r="AF10" s="91">
        <f>'29'!G66</f>
        <v>-477</v>
      </c>
      <c r="AG10" s="91">
        <f>'30'!G66</f>
        <v>38</v>
      </c>
      <c r="AH10" s="91">
        <f>'31'!G66</f>
        <v>40</v>
      </c>
      <c r="AI10" s="90"/>
    </row>
    <row r="11" spans="2:35">
      <c r="B11" s="773"/>
      <c r="C11" s="90" t="s">
        <v>33</v>
      </c>
      <c r="D11" s="91">
        <f>'1'!G67</f>
        <v>7</v>
      </c>
      <c r="E11" s="91">
        <f>'2'!G67</f>
        <v>16</v>
      </c>
      <c r="F11" s="91">
        <f>'3'!G67</f>
        <v>30</v>
      </c>
      <c r="G11" s="91">
        <f>'4'!G67</f>
        <v>30</v>
      </c>
      <c r="H11" s="91">
        <f>'5'!G67</f>
        <v>26</v>
      </c>
      <c r="I11" s="91">
        <f>'6'!G67</f>
        <v>19</v>
      </c>
      <c r="J11" s="91">
        <f>'7'!G67</f>
        <v>20</v>
      </c>
      <c r="K11" s="91">
        <f>'8'!G67</f>
        <v>24</v>
      </c>
      <c r="L11" s="91">
        <f>'9'!G67</f>
        <v>22</v>
      </c>
      <c r="M11" s="91">
        <f>'10'!G67</f>
        <v>22</v>
      </c>
      <c r="N11" s="91">
        <f>'11'!G67</f>
        <v>36</v>
      </c>
      <c r="O11" s="91">
        <f>'12'!G67</f>
        <v>35</v>
      </c>
      <c r="P11" s="91">
        <f>'13'!G67</f>
        <v>32</v>
      </c>
      <c r="Q11" s="91">
        <f>'14'!G67</f>
        <v>40</v>
      </c>
      <c r="R11" s="91">
        <f>'15'!G67</f>
        <v>16</v>
      </c>
      <c r="S11" s="91">
        <f>'16'!G67</f>
        <v>20</v>
      </c>
      <c r="T11" s="91">
        <f>'17'!G67</f>
        <v>22</v>
      </c>
      <c r="U11" s="91">
        <f>'18 '!G67</f>
        <v>28</v>
      </c>
      <c r="V11" s="91">
        <f>'19'!G67</f>
        <v>20</v>
      </c>
      <c r="W11" s="91">
        <f>'20'!G67</f>
        <v>16</v>
      </c>
      <c r="X11" s="91">
        <f>'21'!G67</f>
        <v>20</v>
      </c>
      <c r="Y11" s="91">
        <f>'22'!G67</f>
        <v>20</v>
      </c>
      <c r="Z11" s="91">
        <f>'23'!G67</f>
        <v>72</v>
      </c>
      <c r="AA11" s="91">
        <f>'24'!G67</f>
        <v>70</v>
      </c>
      <c r="AB11" s="91">
        <f>'25'!G67</f>
        <v>39</v>
      </c>
      <c r="AC11" s="91">
        <f>'26'!G67</f>
        <v>34</v>
      </c>
      <c r="AD11" s="91">
        <f>'27'!G67</f>
        <v>23</v>
      </c>
      <c r="AE11" s="91">
        <f>'28'!G67</f>
        <v>24</v>
      </c>
      <c r="AF11" s="91">
        <f>'29'!G67</f>
        <v>-833</v>
      </c>
      <c r="AG11" s="91">
        <f>'30'!G67</f>
        <v>28</v>
      </c>
      <c r="AH11" s="91">
        <f>'31'!G67</f>
        <v>22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3" t="s">
        <v>72</v>
      </c>
      <c r="C13" s="90" t="s">
        <v>31</v>
      </c>
      <c r="D13" s="91">
        <f>'1'!G68</f>
        <v>15</v>
      </c>
      <c r="E13" s="91">
        <f>'2'!G68</f>
        <v>15</v>
      </c>
      <c r="F13" s="91">
        <f>'3'!G68</f>
        <v>20</v>
      </c>
      <c r="G13" s="91">
        <f>'4'!G68</f>
        <v>32</v>
      </c>
      <c r="H13" s="91">
        <f>'5'!G68</f>
        <v>20</v>
      </c>
      <c r="I13" s="91">
        <f>'6'!G68</f>
        <v>30</v>
      </c>
      <c r="J13" s="91">
        <f>'7'!G68</f>
        <v>21</v>
      </c>
      <c r="K13" s="91">
        <f>'8'!G68</f>
        <v>24</v>
      </c>
      <c r="L13" s="91">
        <f>'9'!G68</f>
        <v>10</v>
      </c>
      <c r="M13" s="91">
        <f>'10'!G68</f>
        <v>10</v>
      </c>
      <c r="N13" s="91">
        <f>'11'!G68</f>
        <v>8</v>
      </c>
      <c r="O13" s="91">
        <f>'12'!G68</f>
        <v>13</v>
      </c>
      <c r="P13" s="91">
        <f>'13'!G68</f>
        <v>9</v>
      </c>
      <c r="Q13" s="91">
        <f>'14'!G68</f>
        <v>11</v>
      </c>
      <c r="R13" s="91">
        <f>'15'!G68</f>
        <v>17</v>
      </c>
      <c r="S13" s="91">
        <f>'16'!G68</f>
        <v>14</v>
      </c>
      <c r="T13" s="91">
        <f>'17'!G68</f>
        <v>28</v>
      </c>
      <c r="U13" s="91">
        <f>'18 '!G68</f>
        <v>30</v>
      </c>
      <c r="V13" s="91">
        <f>'19'!G68</f>
        <v>22</v>
      </c>
      <c r="W13" s="91">
        <f>'20'!G68</f>
        <v>21</v>
      </c>
      <c r="X13" s="91">
        <f>'21'!G68</f>
        <v>38</v>
      </c>
      <c r="Y13" s="91">
        <f>'22'!G68</f>
        <v>27</v>
      </c>
      <c r="Z13" s="91">
        <f>'23'!G68</f>
        <v>36</v>
      </c>
      <c r="AA13" s="419">
        <f>'24'!G68</f>
        <v>27</v>
      </c>
      <c r="AB13" s="91">
        <f>'25'!G68</f>
        <v>14</v>
      </c>
      <c r="AC13" s="91">
        <f>'26'!G68</f>
        <v>10</v>
      </c>
      <c r="AD13" s="91">
        <f>'27'!G68</f>
        <v>29</v>
      </c>
      <c r="AE13" s="91">
        <f>'28'!G68</f>
        <v>16</v>
      </c>
      <c r="AF13" s="91">
        <f>'29'!G68</f>
        <v>-605</v>
      </c>
      <c r="AG13" s="91">
        <f>'30'!G68</f>
        <v>11</v>
      </c>
      <c r="AH13" s="91">
        <f>'31'!G68</f>
        <v>27</v>
      </c>
      <c r="AI13" s="90"/>
    </row>
    <row r="14" spans="2:35">
      <c r="B14" s="773"/>
      <c r="C14" s="90" t="s">
        <v>32</v>
      </c>
      <c r="D14" s="91">
        <f>'1'!G69</f>
        <v>5</v>
      </c>
      <c r="E14" s="91">
        <f>'2'!G69</f>
        <v>6</v>
      </c>
      <c r="F14" s="91">
        <f>'3'!G69</f>
        <v>4</v>
      </c>
      <c r="G14" s="91">
        <f>'4'!G69</f>
        <v>3</v>
      </c>
      <c r="H14" s="91">
        <f>'5'!G69</f>
        <v>2</v>
      </c>
      <c r="I14" s="91">
        <f>'6'!G69</f>
        <v>4</v>
      </c>
      <c r="J14" s="91">
        <f>'7'!G69</f>
        <v>2</v>
      </c>
      <c r="K14" s="91">
        <f>'8'!G69</f>
        <v>9</v>
      </c>
      <c r="L14" s="91">
        <f>'9'!G69</f>
        <v>3</v>
      </c>
      <c r="M14" s="91">
        <f>'10'!G69</f>
        <v>6</v>
      </c>
      <c r="N14" s="91">
        <f>'11'!G69</f>
        <v>3</v>
      </c>
      <c r="O14" s="91">
        <f>'12'!G69</f>
        <v>4</v>
      </c>
      <c r="P14" s="91">
        <f>'13'!G69</f>
        <v>7</v>
      </c>
      <c r="Q14" s="91">
        <f>'14'!G69</f>
        <v>4</v>
      </c>
      <c r="R14" s="91">
        <f>'15'!G69</f>
        <v>9</v>
      </c>
      <c r="S14" s="91">
        <f>'16'!G69</f>
        <v>7</v>
      </c>
      <c r="T14" s="91">
        <f>'17'!G69</f>
        <v>4</v>
      </c>
      <c r="U14" s="91">
        <f>'18 '!G69</f>
        <v>4</v>
      </c>
      <c r="V14" s="91">
        <f>'19'!G69</f>
        <v>3</v>
      </c>
      <c r="W14" s="91">
        <f>'20'!G69</f>
        <v>12</v>
      </c>
      <c r="X14" s="91">
        <f>'21'!G69</f>
        <v>3</v>
      </c>
      <c r="Y14" s="91">
        <f>'22'!G69</f>
        <v>10</v>
      </c>
      <c r="Z14" s="91">
        <f>'23'!G69</f>
        <v>28</v>
      </c>
      <c r="AA14" s="91">
        <f>'24'!G69</f>
        <v>3</v>
      </c>
      <c r="AB14" s="91">
        <f>'25'!G69</f>
        <v>6</v>
      </c>
      <c r="AC14" s="91">
        <f>'26'!G69</f>
        <v>9.2999999999992724</v>
      </c>
      <c r="AD14" s="91">
        <f>'27'!G69</f>
        <v>13.700000000000728</v>
      </c>
      <c r="AE14" s="91">
        <f>'28'!G69</f>
        <v>4</v>
      </c>
      <c r="AF14" s="91">
        <f>'29'!G69</f>
        <v>-161</v>
      </c>
      <c r="AG14" s="91">
        <f>'30'!G69</f>
        <v>10</v>
      </c>
      <c r="AH14" s="91">
        <f>'31'!G69</f>
        <v>7</v>
      </c>
      <c r="AI14" s="90"/>
    </row>
    <row r="15" spans="2:35">
      <c r="B15" s="773"/>
      <c r="C15" s="90" t="s">
        <v>33</v>
      </c>
      <c r="D15" s="91">
        <f>'1'!G70</f>
        <v>8</v>
      </c>
      <c r="E15" s="91">
        <f>'2'!G70</f>
        <v>7</v>
      </c>
      <c r="F15" s="91">
        <f>'3'!G70</f>
        <v>9</v>
      </c>
      <c r="G15" s="91">
        <f>'4'!G70</f>
        <v>5</v>
      </c>
      <c r="H15" s="91">
        <f>'5'!G70</f>
        <v>7</v>
      </c>
      <c r="I15" s="91">
        <f>'6'!G70</f>
        <v>4</v>
      </c>
      <c r="J15" s="91">
        <f>'7'!G70</f>
        <v>8</v>
      </c>
      <c r="K15" s="91">
        <f>'8'!G70</f>
        <v>9</v>
      </c>
      <c r="L15" s="91">
        <f>'9'!G70</f>
        <v>7</v>
      </c>
      <c r="M15" s="91">
        <f>'10'!G70</f>
        <v>6</v>
      </c>
      <c r="N15" s="91">
        <f>'11'!G70</f>
        <v>6</v>
      </c>
      <c r="O15" s="91">
        <f>'12'!G70</f>
        <v>6</v>
      </c>
      <c r="P15" s="91">
        <f>'13'!G70</f>
        <v>11</v>
      </c>
      <c r="Q15" s="91">
        <f>'14'!G70</f>
        <v>6</v>
      </c>
      <c r="R15" s="91">
        <f>'15'!G70</f>
        <v>7</v>
      </c>
      <c r="S15" s="91">
        <f>'16'!G70</f>
        <v>5</v>
      </c>
      <c r="T15" s="91">
        <f>'17'!G70</f>
        <v>13</v>
      </c>
      <c r="U15" s="91">
        <f>'18 '!G70</f>
        <v>7</v>
      </c>
      <c r="V15" s="91">
        <f>'19'!G70</f>
        <v>5</v>
      </c>
      <c r="W15" s="91">
        <f>'20'!G70</f>
        <v>5</v>
      </c>
      <c r="X15" s="91">
        <f>'21'!G70</f>
        <v>6</v>
      </c>
      <c r="Y15" s="91">
        <f>'22'!G70</f>
        <v>7</v>
      </c>
      <c r="Z15" s="91">
        <f>'23'!G70</f>
        <v>18</v>
      </c>
      <c r="AA15" s="91">
        <f>'24'!G70</f>
        <v>10</v>
      </c>
      <c r="AB15" s="91">
        <f>'25'!G70</f>
        <v>7</v>
      </c>
      <c r="AC15" s="91">
        <f>'26'!G70</f>
        <v>1</v>
      </c>
      <c r="AD15" s="91">
        <f>'27'!G70</f>
        <v>4</v>
      </c>
      <c r="AE15" s="91">
        <f>'28'!G70</f>
        <v>3</v>
      </c>
      <c r="AF15" s="91">
        <f>'29'!G70</f>
        <v>-217</v>
      </c>
      <c r="AG15" s="91">
        <f>'30'!G70</f>
        <v>11</v>
      </c>
      <c r="AH15" s="91">
        <f>'31'!G70</f>
        <v>17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3" t="s">
        <v>73</v>
      </c>
      <c r="C17" s="90" t="s">
        <v>74</v>
      </c>
      <c r="D17" s="90">
        <f>'1'!G173</f>
        <v>0</v>
      </c>
      <c r="E17" s="91">
        <f>'2'!G173</f>
        <v>2</v>
      </c>
      <c r="F17" s="91">
        <f>'3'!G173</f>
        <v>2</v>
      </c>
      <c r="G17" s="91">
        <f>'4'!G173</f>
        <v>2</v>
      </c>
      <c r="H17" s="91">
        <f>'5'!G173</f>
        <v>0</v>
      </c>
      <c r="I17" s="91">
        <f>'6'!G173</f>
        <v>0</v>
      </c>
      <c r="J17" s="91">
        <f>'7'!G173</f>
        <v>1</v>
      </c>
      <c r="K17" s="91">
        <f>'8'!G173</f>
        <v>0</v>
      </c>
      <c r="L17" s="91">
        <f>'9'!G173</f>
        <v>3</v>
      </c>
      <c r="M17" s="91">
        <f>'10'!G173</f>
        <v>2</v>
      </c>
      <c r="N17" s="91">
        <f>'11'!G173</f>
        <v>2</v>
      </c>
      <c r="O17" s="91">
        <f>'12'!G173</f>
        <v>0</v>
      </c>
      <c r="P17" s="91">
        <f>'13'!G173</f>
        <v>4</v>
      </c>
      <c r="Q17" s="91">
        <f>'14'!G173</f>
        <v>0</v>
      </c>
      <c r="R17" s="91">
        <f>'15'!G173</f>
        <v>0</v>
      </c>
      <c r="S17" s="91">
        <f>'16'!G173</f>
        <v>1</v>
      </c>
      <c r="T17" s="91">
        <f>'17'!G173</f>
        <v>0</v>
      </c>
      <c r="U17" s="91">
        <f>'18 '!G173</f>
        <v>1</v>
      </c>
      <c r="V17" s="91">
        <f>'19'!G173</f>
        <v>1</v>
      </c>
      <c r="W17" s="91">
        <f>'20'!G173</f>
        <v>0</v>
      </c>
      <c r="X17" s="91">
        <f>'21'!G173</f>
        <v>0</v>
      </c>
      <c r="Y17" s="91">
        <f>'22'!G173</f>
        <v>1</v>
      </c>
      <c r="Z17" s="91">
        <f>'23'!G173</f>
        <v>0</v>
      </c>
      <c r="AA17" s="91">
        <f>'24'!G173</f>
        <v>4</v>
      </c>
      <c r="AB17" s="91">
        <f>'25'!G173</f>
        <v>4</v>
      </c>
      <c r="AC17" s="91">
        <f>'26'!G173</f>
        <v>2</v>
      </c>
      <c r="AD17" s="91">
        <f>'27'!G173</f>
        <v>0</v>
      </c>
      <c r="AE17" s="91">
        <f>'28'!G173</f>
        <v>0</v>
      </c>
      <c r="AF17" s="91">
        <f>'29'!G173</f>
        <v>-2</v>
      </c>
      <c r="AG17" s="91">
        <f>'30'!G173</f>
        <v>0</v>
      </c>
      <c r="AH17" s="91">
        <f>'31'!G173</f>
        <v>0</v>
      </c>
      <c r="AI17" s="90"/>
    </row>
    <row r="18" spans="2:35">
      <c r="B18" s="773"/>
      <c r="C18" s="90" t="s">
        <v>75</v>
      </c>
      <c r="D18" s="90">
        <f>'1'!G174</f>
        <v>11</v>
      </c>
      <c r="E18" s="91">
        <f>'2'!G174</f>
        <v>9</v>
      </c>
      <c r="F18" s="91">
        <f>'3'!G174</f>
        <v>14</v>
      </c>
      <c r="G18" s="91">
        <f>'4'!G174</f>
        <v>9</v>
      </c>
      <c r="H18" s="91">
        <f>'5'!G174</f>
        <v>11</v>
      </c>
      <c r="I18" s="91">
        <f>'6'!G174</f>
        <v>11</v>
      </c>
      <c r="J18" s="91">
        <f>'7'!G174</f>
        <v>10</v>
      </c>
      <c r="K18" s="91">
        <f>'8'!G174</f>
        <v>13</v>
      </c>
      <c r="L18" s="91">
        <f>'9'!G174</f>
        <v>11</v>
      </c>
      <c r="M18" s="91">
        <f>'10'!G174</f>
        <v>10</v>
      </c>
      <c r="N18" s="91">
        <f>'11'!G174</f>
        <v>11</v>
      </c>
      <c r="O18" s="91">
        <f>'12'!G174</f>
        <v>0</v>
      </c>
      <c r="P18" s="91">
        <f>'13'!G174</f>
        <v>0</v>
      </c>
      <c r="Q18" s="91">
        <f>'14'!G174</f>
        <v>0</v>
      </c>
      <c r="R18" s="91">
        <f>'15'!G174</f>
        <v>11</v>
      </c>
      <c r="S18" s="91">
        <f>'16'!G174</f>
        <v>11</v>
      </c>
      <c r="T18" s="91">
        <f>'17'!G174</f>
        <v>13</v>
      </c>
      <c r="U18" s="91">
        <f>'18 '!G174</f>
        <v>10</v>
      </c>
      <c r="V18" s="91">
        <f>'19'!G174</f>
        <v>15</v>
      </c>
      <c r="W18" s="91">
        <f>'20'!G174</f>
        <v>14</v>
      </c>
      <c r="X18" s="91">
        <f>'21'!G174</f>
        <v>13</v>
      </c>
      <c r="Y18" s="91">
        <f>'22'!G174</f>
        <v>10</v>
      </c>
      <c r="Z18" s="91">
        <f>'23'!G174</f>
        <v>14</v>
      </c>
      <c r="AA18" s="91">
        <f>'24'!G174</f>
        <v>9</v>
      </c>
      <c r="AB18" s="91">
        <f>'25'!G174</f>
        <v>12</v>
      </c>
      <c r="AC18" s="91">
        <f>'26'!G174</f>
        <v>13</v>
      </c>
      <c r="AD18" s="91">
        <f>'27'!G174</f>
        <v>11</v>
      </c>
      <c r="AE18" s="91">
        <f>'28'!G174</f>
        <v>11</v>
      </c>
      <c r="AF18" s="91">
        <f>'29'!G174</f>
        <v>-311</v>
      </c>
      <c r="AG18" s="91">
        <f>'30'!G174</f>
        <v>13</v>
      </c>
      <c r="AH18" s="91">
        <f>'31'!G174</f>
        <v>11</v>
      </c>
      <c r="AI18" s="90"/>
    </row>
    <row r="19" spans="2:35">
      <c r="B19" s="773"/>
      <c r="C19" s="90" t="s">
        <v>76</v>
      </c>
      <c r="D19" s="90">
        <f>'1'!G175</f>
        <v>14</v>
      </c>
      <c r="E19" s="91">
        <f>'2'!G175</f>
        <v>12</v>
      </c>
      <c r="F19" s="91">
        <f>'3'!G175</f>
        <v>11</v>
      </c>
      <c r="G19" s="91">
        <f>'4'!G175</f>
        <v>4</v>
      </c>
      <c r="H19" s="91">
        <f>'5'!G175</f>
        <v>28</v>
      </c>
      <c r="I19" s="91">
        <f>'6'!G175</f>
        <v>14</v>
      </c>
      <c r="J19" s="91">
        <f>'7'!G175</f>
        <v>14</v>
      </c>
      <c r="K19" s="91">
        <f>'8'!G175</f>
        <v>15</v>
      </c>
      <c r="L19" s="91">
        <f>'9'!G175</f>
        <v>17</v>
      </c>
      <c r="M19" s="91">
        <f>'10'!G175</f>
        <v>13</v>
      </c>
      <c r="N19" s="91">
        <f>'11'!G175</f>
        <v>12</v>
      </c>
      <c r="O19" s="91">
        <f>'12'!G175</f>
        <v>9</v>
      </c>
      <c r="P19" s="91">
        <f>'13'!G175</f>
        <v>9</v>
      </c>
      <c r="Q19" s="91">
        <f>'14'!G175</f>
        <v>9</v>
      </c>
      <c r="R19" s="91">
        <f>'15'!G175</f>
        <v>15</v>
      </c>
      <c r="S19" s="91">
        <f>'16'!G175</f>
        <v>13</v>
      </c>
      <c r="T19" s="91">
        <f>'17'!G175</f>
        <v>12</v>
      </c>
      <c r="U19" s="91">
        <f>'18 '!G175</f>
        <v>17</v>
      </c>
      <c r="V19" s="91">
        <f>'19'!G175</f>
        <v>15</v>
      </c>
      <c r="W19" s="91">
        <f>'20'!G175</f>
        <v>17</v>
      </c>
      <c r="X19" s="91">
        <f>'21'!G175</f>
        <v>17</v>
      </c>
      <c r="Y19" s="91">
        <f>'22'!G175</f>
        <v>11</v>
      </c>
      <c r="Z19" s="91">
        <f>'23'!G175</f>
        <v>14</v>
      </c>
      <c r="AA19" s="91">
        <f>'24'!G175</f>
        <v>13</v>
      </c>
      <c r="AB19" s="91">
        <f>'25'!G175</f>
        <v>13</v>
      </c>
      <c r="AC19" s="91">
        <f>'26'!G175</f>
        <v>16</v>
      </c>
      <c r="AD19" s="91">
        <f>'27'!G175</f>
        <v>13</v>
      </c>
      <c r="AE19" s="91">
        <f>'28'!G175</f>
        <v>18</v>
      </c>
      <c r="AF19" s="91">
        <f>'29'!G175</f>
        <v>-413</v>
      </c>
      <c r="AG19" s="91">
        <f>'30'!G175</f>
        <v>14</v>
      </c>
      <c r="AH19" s="91">
        <f>'31'!G175</f>
        <v>14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3" t="s">
        <v>77</v>
      </c>
      <c r="C21" s="90" t="s">
        <v>78</v>
      </c>
      <c r="D21" s="90">
        <f>'1'!G178</f>
        <v>154</v>
      </c>
      <c r="E21" s="91">
        <f>'2'!G178</f>
        <v>116</v>
      </c>
      <c r="F21" s="91">
        <f>'3'!G178</f>
        <v>121</v>
      </c>
      <c r="G21" s="91">
        <f>'4'!G178</f>
        <v>143</v>
      </c>
      <c r="H21" s="91">
        <f>'5'!G178</f>
        <v>61</v>
      </c>
      <c r="I21" s="91">
        <f>'6'!G178</f>
        <v>118</v>
      </c>
      <c r="J21" s="91">
        <f>'7'!G178</f>
        <v>92</v>
      </c>
      <c r="K21" s="91">
        <f>'8'!G178</f>
        <v>88</v>
      </c>
      <c r="L21" s="91">
        <f>'9'!G178</f>
        <v>93</v>
      </c>
      <c r="M21" s="91">
        <f>'10'!G178</f>
        <v>92</v>
      </c>
      <c r="N21" s="91">
        <f>'11'!G178</f>
        <v>109</v>
      </c>
      <c r="O21" s="91">
        <f>'12'!G178</f>
        <v>92</v>
      </c>
      <c r="P21" s="91">
        <f>'13'!G178</f>
        <v>78</v>
      </c>
      <c r="Q21" s="91">
        <f>'14'!G178</f>
        <v>45</v>
      </c>
      <c r="R21" s="91">
        <f>'15'!G178</f>
        <v>159</v>
      </c>
      <c r="S21" s="91">
        <f>'16'!G178</f>
        <v>83</v>
      </c>
      <c r="T21" s="91">
        <f>'17'!G178</f>
        <v>136</v>
      </c>
      <c r="U21" s="91">
        <f>'18 '!G178</f>
        <v>114</v>
      </c>
      <c r="V21" s="91">
        <f>'19'!G178</f>
        <v>99</v>
      </c>
      <c r="W21" s="91">
        <f>'20'!G178</f>
        <v>115</v>
      </c>
      <c r="X21" s="91">
        <f>'21'!G178</f>
        <v>115</v>
      </c>
      <c r="Y21" s="91">
        <f>'22'!G178</f>
        <v>59</v>
      </c>
      <c r="Z21" s="91">
        <f>'23'!G178</f>
        <v>59</v>
      </c>
      <c r="AA21" s="91">
        <f>'24'!G178</f>
        <v>48</v>
      </c>
      <c r="AB21" s="91">
        <f>'25'!G178</f>
        <v>0</v>
      </c>
      <c r="AC21" s="91">
        <f>'26'!G178</f>
        <v>72</v>
      </c>
      <c r="AD21" s="91">
        <f>'27'!G178</f>
        <v>74</v>
      </c>
      <c r="AE21" s="91">
        <f>'28'!G178</f>
        <v>79</v>
      </c>
      <c r="AF21" s="91">
        <f>'29'!G178</f>
        <v>-2768</v>
      </c>
      <c r="AG21" s="91">
        <f>'30'!G178</f>
        <v>72</v>
      </c>
      <c r="AH21" s="91">
        <f>'31'!G178</f>
        <v>82</v>
      </c>
      <c r="AI21" s="90"/>
    </row>
    <row r="22" spans="2:35">
      <c r="B22" s="773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28</v>
      </c>
      <c r="AC22" s="91">
        <f>'26'!G179</f>
        <v>3</v>
      </c>
      <c r="AD22" s="91">
        <f>'27'!G179</f>
        <v>20</v>
      </c>
      <c r="AE22" s="91">
        <f>'28'!G179</f>
        <v>16</v>
      </c>
      <c r="AF22" s="91">
        <f>'29'!G179</f>
        <v>-67</v>
      </c>
      <c r="AG22" s="91">
        <f>'30'!G179</f>
        <v>0</v>
      </c>
      <c r="AH22" s="91">
        <f>'31'!G179</f>
        <v>0</v>
      </c>
      <c r="AI22" s="90"/>
    </row>
    <row r="23" spans="2:35">
      <c r="B23" s="773"/>
      <c r="C23" s="90" t="s">
        <v>80</v>
      </c>
      <c r="D23" s="90">
        <f>'1'!G180</f>
        <v>7</v>
      </c>
      <c r="E23" s="91">
        <f>'2'!G180</f>
        <v>3</v>
      </c>
      <c r="F23" s="91">
        <f>'3'!G180</f>
        <v>6</v>
      </c>
      <c r="G23" s="91">
        <f>'4'!G180</f>
        <v>10</v>
      </c>
      <c r="H23" s="91">
        <f>'5'!G180</f>
        <v>0</v>
      </c>
      <c r="I23" s="91">
        <f>'6'!G180</f>
        <v>9</v>
      </c>
      <c r="J23" s="91">
        <f>'7'!G180</f>
        <v>4</v>
      </c>
      <c r="K23" s="91">
        <f>'8'!G180</f>
        <v>0</v>
      </c>
      <c r="L23" s="91">
        <f>'9'!G180</f>
        <v>5</v>
      </c>
      <c r="M23" s="91">
        <f>'10'!G180</f>
        <v>1</v>
      </c>
      <c r="N23" s="91">
        <f>'11'!G180</f>
        <v>2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13</v>
      </c>
      <c r="S23" s="91">
        <f>'16'!G180</f>
        <v>2</v>
      </c>
      <c r="T23" s="91">
        <f>'17'!G180</f>
        <v>7</v>
      </c>
      <c r="U23" s="91">
        <f>'18 '!G180</f>
        <v>8</v>
      </c>
      <c r="V23" s="91">
        <f>'19'!G180</f>
        <v>0</v>
      </c>
      <c r="W23" s="91">
        <f>'20'!G180</f>
        <v>6</v>
      </c>
      <c r="X23" s="91">
        <f>'21'!G180</f>
        <v>7</v>
      </c>
      <c r="Y23" s="91">
        <f>'22'!G180</f>
        <v>2</v>
      </c>
      <c r="Z23" s="91">
        <f>'23'!G180</f>
        <v>1</v>
      </c>
      <c r="AA23" s="91">
        <f>'24'!G180</f>
        <v>9</v>
      </c>
      <c r="AB23" s="91">
        <f>'25'!G180</f>
        <v>13</v>
      </c>
      <c r="AC23" s="91">
        <f>'26'!G180</f>
        <v>0</v>
      </c>
      <c r="AD23" s="91">
        <f>'27'!G180</f>
        <v>10</v>
      </c>
      <c r="AE23" s="91">
        <f>'28'!G180</f>
        <v>3</v>
      </c>
      <c r="AF23" s="91">
        <f>'29'!G180</f>
        <v>-137</v>
      </c>
      <c r="AG23" s="91">
        <f>'30'!G180</f>
        <v>4</v>
      </c>
      <c r="AH23" s="91">
        <f>'31'!G180</f>
        <v>5</v>
      </c>
      <c r="AI23" s="90"/>
    </row>
    <row r="24" spans="2:35" ht="30">
      <c r="B24" s="93" t="s">
        <v>301</v>
      </c>
      <c r="C24" s="90"/>
      <c r="D24" s="91">
        <f>SUM(D5:D6)</f>
        <v>222</v>
      </c>
      <c r="E24" s="91">
        <f t="shared" ref="E24:AH24" si="0">SUM(E5:E6)</f>
        <v>249</v>
      </c>
      <c r="F24" s="91">
        <f t="shared" si="0"/>
        <v>277</v>
      </c>
      <c r="G24" s="91">
        <f t="shared" si="0"/>
        <v>265</v>
      </c>
      <c r="H24" s="91">
        <f t="shared" si="0"/>
        <v>302</v>
      </c>
      <c r="I24" s="91">
        <f t="shared" si="0"/>
        <v>311</v>
      </c>
      <c r="J24" s="91">
        <f t="shared" si="0"/>
        <v>220</v>
      </c>
      <c r="K24" s="91">
        <f t="shared" si="0"/>
        <v>415</v>
      </c>
      <c r="L24" s="91">
        <f t="shared" si="0"/>
        <v>105</v>
      </c>
      <c r="M24" s="91">
        <f t="shared" si="0"/>
        <v>47</v>
      </c>
      <c r="N24" s="91">
        <f t="shared" si="0"/>
        <v>54</v>
      </c>
      <c r="O24" s="91">
        <f t="shared" si="0"/>
        <v>57</v>
      </c>
      <c r="P24" s="91">
        <f t="shared" si="0"/>
        <v>64</v>
      </c>
      <c r="Q24" s="91">
        <f t="shared" si="0"/>
        <v>174</v>
      </c>
      <c r="R24" s="91">
        <f t="shared" si="0"/>
        <v>308</v>
      </c>
      <c r="S24" s="91">
        <f t="shared" si="0"/>
        <v>396</v>
      </c>
      <c r="T24" s="91">
        <f t="shared" si="0"/>
        <v>279</v>
      </c>
      <c r="U24" s="91">
        <f t="shared" si="0"/>
        <v>235</v>
      </c>
      <c r="V24" s="91">
        <f t="shared" si="0"/>
        <v>239</v>
      </c>
      <c r="W24" s="91">
        <f t="shared" si="0"/>
        <v>235</v>
      </c>
      <c r="X24" s="91">
        <f t="shared" si="0"/>
        <v>258</v>
      </c>
      <c r="Y24" s="91">
        <f t="shared" si="0"/>
        <v>260</v>
      </c>
      <c r="Z24" s="91">
        <f t="shared" si="0"/>
        <v>393</v>
      </c>
      <c r="AA24" s="91">
        <f>SUM(AA5:AA6)</f>
        <v>433</v>
      </c>
      <c r="AB24" s="91">
        <f t="shared" si="0"/>
        <v>371</v>
      </c>
      <c r="AC24" s="91">
        <f t="shared" si="0"/>
        <v>338</v>
      </c>
      <c r="AD24" s="91">
        <f t="shared" si="0"/>
        <v>262</v>
      </c>
      <c r="AE24" s="91">
        <f t="shared" si="0"/>
        <v>202</v>
      </c>
      <c r="AF24" s="91">
        <f t="shared" si="0"/>
        <v>-1306</v>
      </c>
      <c r="AG24" s="91">
        <f t="shared" si="0"/>
        <v>321</v>
      </c>
      <c r="AH24" s="91">
        <f t="shared" si="0"/>
        <v>194</v>
      </c>
      <c r="AI24" s="90"/>
    </row>
    <row r="25" spans="2:35" ht="30">
      <c r="B25" s="93" t="s">
        <v>81</v>
      </c>
      <c r="C25" s="90"/>
      <c r="D25" s="91">
        <f>SUM(D9:D11,D14:D15,)</f>
        <v>178</v>
      </c>
      <c r="E25" s="91">
        <f t="shared" ref="E25:AI25" si="1">SUM(E9:E11,E14:E15,)</f>
        <v>186</v>
      </c>
      <c r="F25" s="91">
        <f t="shared" si="1"/>
        <v>200</v>
      </c>
      <c r="G25" s="91">
        <f t="shared" si="1"/>
        <v>201</v>
      </c>
      <c r="H25" s="91">
        <f t="shared" si="1"/>
        <v>171</v>
      </c>
      <c r="I25" s="91">
        <f t="shared" si="1"/>
        <v>189</v>
      </c>
      <c r="J25" s="91">
        <f t="shared" si="1"/>
        <v>192</v>
      </c>
      <c r="K25" s="91">
        <f>SUM(K9:K11,K14:K15,)</f>
        <v>189</v>
      </c>
      <c r="L25" s="91">
        <f t="shared" si="1"/>
        <v>169</v>
      </c>
      <c r="M25" s="91">
        <f t="shared" si="1"/>
        <v>157</v>
      </c>
      <c r="N25" s="91">
        <f t="shared" si="1"/>
        <v>161</v>
      </c>
      <c r="O25" s="91">
        <f t="shared" si="1"/>
        <v>155</v>
      </c>
      <c r="P25" s="91">
        <f t="shared" si="1"/>
        <v>142</v>
      </c>
      <c r="Q25" s="91">
        <f t="shared" si="1"/>
        <v>161</v>
      </c>
      <c r="R25" s="91">
        <f t="shared" si="1"/>
        <v>186</v>
      </c>
      <c r="S25" s="91">
        <f t="shared" si="1"/>
        <v>177</v>
      </c>
      <c r="T25" s="91">
        <f>SUM(T9:T11,T14:T15,)</f>
        <v>185</v>
      </c>
      <c r="U25" s="91">
        <f t="shared" si="1"/>
        <v>211</v>
      </c>
      <c r="V25" s="91">
        <f t="shared" si="1"/>
        <v>148</v>
      </c>
      <c r="W25" s="91">
        <f t="shared" si="1"/>
        <v>183</v>
      </c>
      <c r="X25" s="91">
        <f t="shared" si="1"/>
        <v>184</v>
      </c>
      <c r="Y25" s="91">
        <f t="shared" si="1"/>
        <v>190</v>
      </c>
      <c r="Z25" s="91">
        <f t="shared" si="1"/>
        <v>320</v>
      </c>
      <c r="AA25" s="91">
        <f t="shared" si="1"/>
        <v>246</v>
      </c>
      <c r="AB25" s="91">
        <f t="shared" si="1"/>
        <v>219</v>
      </c>
      <c r="AC25" s="91">
        <f t="shared" si="1"/>
        <v>150.29999999999927</v>
      </c>
      <c r="AD25" s="91">
        <f t="shared" si="1"/>
        <v>182.70000000000073</v>
      </c>
      <c r="AE25" s="91">
        <f t="shared" si="1"/>
        <v>135</v>
      </c>
      <c r="AF25" s="91">
        <f t="shared" si="1"/>
        <v>-5545</v>
      </c>
      <c r="AG25" s="91">
        <f t="shared" si="1"/>
        <v>196</v>
      </c>
      <c r="AH25" s="91">
        <f t="shared" si="1"/>
        <v>223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176</v>
      </c>
      <c r="E27" s="91">
        <f t="shared" ref="E27:AH27" si="2">SUM(E13,E21,E23)</f>
        <v>134</v>
      </c>
      <c r="F27" s="91">
        <f>SUM(F13,F21,F23)</f>
        <v>147</v>
      </c>
      <c r="G27" s="91">
        <f t="shared" si="2"/>
        <v>185</v>
      </c>
      <c r="H27" s="91">
        <f t="shared" si="2"/>
        <v>81</v>
      </c>
      <c r="I27" s="91">
        <f t="shared" si="2"/>
        <v>157</v>
      </c>
      <c r="J27" s="91">
        <f t="shared" si="2"/>
        <v>117</v>
      </c>
      <c r="K27" s="91">
        <f t="shared" si="2"/>
        <v>112</v>
      </c>
      <c r="L27" s="91">
        <f t="shared" si="2"/>
        <v>108</v>
      </c>
      <c r="M27" s="91">
        <f t="shared" si="2"/>
        <v>103</v>
      </c>
      <c r="N27" s="91">
        <f t="shared" si="2"/>
        <v>119</v>
      </c>
      <c r="O27" s="91">
        <f t="shared" si="2"/>
        <v>105</v>
      </c>
      <c r="P27" s="91">
        <f t="shared" si="2"/>
        <v>87</v>
      </c>
      <c r="Q27" s="91">
        <f t="shared" si="2"/>
        <v>56</v>
      </c>
      <c r="R27" s="91">
        <f t="shared" si="2"/>
        <v>189</v>
      </c>
      <c r="S27" s="91">
        <f t="shared" si="2"/>
        <v>99</v>
      </c>
      <c r="T27" s="91">
        <f t="shared" si="2"/>
        <v>171</v>
      </c>
      <c r="U27" s="91">
        <f t="shared" si="2"/>
        <v>152</v>
      </c>
      <c r="V27" s="91">
        <f t="shared" si="2"/>
        <v>121</v>
      </c>
      <c r="W27" s="91">
        <f t="shared" si="2"/>
        <v>142</v>
      </c>
      <c r="X27" s="91">
        <f t="shared" si="2"/>
        <v>160</v>
      </c>
      <c r="Y27" s="91">
        <f t="shared" si="2"/>
        <v>88</v>
      </c>
      <c r="Z27" s="91">
        <f t="shared" si="2"/>
        <v>96</v>
      </c>
      <c r="AA27" s="91">
        <f t="shared" si="2"/>
        <v>84</v>
      </c>
      <c r="AB27" s="91">
        <f t="shared" si="2"/>
        <v>27</v>
      </c>
      <c r="AC27" s="91">
        <f t="shared" si="2"/>
        <v>82</v>
      </c>
      <c r="AD27" s="91">
        <f t="shared" si="2"/>
        <v>113</v>
      </c>
      <c r="AE27" s="91">
        <f t="shared" si="2"/>
        <v>98</v>
      </c>
      <c r="AF27" s="91">
        <f t="shared" si="2"/>
        <v>-3510</v>
      </c>
      <c r="AG27" s="91">
        <f t="shared" si="2"/>
        <v>87</v>
      </c>
      <c r="AH27" s="91">
        <f t="shared" si="2"/>
        <v>114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129</v>
      </c>
      <c r="E29" s="249">
        <f t="shared" ref="E29:AH29" si="4">E9</f>
        <v>142</v>
      </c>
      <c r="F29" s="249">
        <f t="shared" si="4"/>
        <v>140</v>
      </c>
      <c r="G29" s="249">
        <f t="shared" si="4"/>
        <v>145</v>
      </c>
      <c r="H29" s="249">
        <f t="shared" si="4"/>
        <v>114</v>
      </c>
      <c r="I29" s="249">
        <f t="shared" si="4"/>
        <v>135</v>
      </c>
      <c r="J29" s="249">
        <f t="shared" si="4"/>
        <v>140</v>
      </c>
      <c r="K29" s="249">
        <f t="shared" si="4"/>
        <v>137</v>
      </c>
      <c r="L29" s="249">
        <f t="shared" si="4"/>
        <v>131</v>
      </c>
      <c r="M29" s="249">
        <f t="shared" si="4"/>
        <v>114</v>
      </c>
      <c r="N29" s="249">
        <f t="shared" si="4"/>
        <v>106</v>
      </c>
      <c r="O29" s="249">
        <f t="shared" si="4"/>
        <v>101</v>
      </c>
      <c r="P29" s="249">
        <f t="shared" si="4"/>
        <v>83</v>
      </c>
      <c r="Q29" s="249">
        <f t="shared" si="4"/>
        <v>99</v>
      </c>
      <c r="R29" s="249">
        <f t="shared" si="4"/>
        <v>145</v>
      </c>
      <c r="S29" s="249">
        <f t="shared" si="4"/>
        <v>132</v>
      </c>
      <c r="T29" s="249">
        <f t="shared" si="4"/>
        <v>133</v>
      </c>
      <c r="U29" s="249">
        <f t="shared" si="4"/>
        <v>162</v>
      </c>
      <c r="V29" s="249">
        <f t="shared" si="4"/>
        <v>108</v>
      </c>
      <c r="W29" s="249">
        <f t="shared" si="4"/>
        <v>137</v>
      </c>
      <c r="X29" s="249">
        <f t="shared" si="4"/>
        <v>138</v>
      </c>
      <c r="Y29" s="249">
        <f t="shared" si="4"/>
        <v>139</v>
      </c>
      <c r="Z29" s="249">
        <f t="shared" si="4"/>
        <v>187</v>
      </c>
      <c r="AA29" s="249">
        <f t="shared" si="4"/>
        <v>150</v>
      </c>
      <c r="AB29" s="249">
        <f t="shared" si="4"/>
        <v>146</v>
      </c>
      <c r="AC29" s="249">
        <f t="shared" si="4"/>
        <v>95</v>
      </c>
      <c r="AD29" s="249">
        <f t="shared" si="4"/>
        <v>125</v>
      </c>
      <c r="AE29" s="249">
        <f t="shared" si="4"/>
        <v>98</v>
      </c>
      <c r="AF29" s="249">
        <f t="shared" si="4"/>
        <v>-3857</v>
      </c>
      <c r="AG29" s="249">
        <f t="shared" si="4"/>
        <v>109</v>
      </c>
      <c r="AH29" s="249">
        <f t="shared" si="4"/>
        <v>137</v>
      </c>
      <c r="AI29" s="248"/>
    </row>
    <row r="30" spans="2:35">
      <c r="B30" s="247" t="s">
        <v>84</v>
      </c>
      <c r="C30" s="248"/>
      <c r="D30" s="249">
        <f>SUM(D10:D11,D14:D15)</f>
        <v>49</v>
      </c>
      <c r="E30" s="249">
        <f t="shared" ref="E30:AH30" si="5">SUM(E10:E11,E14:E15)</f>
        <v>44</v>
      </c>
      <c r="F30" s="249">
        <f t="shared" si="5"/>
        <v>60</v>
      </c>
      <c r="G30" s="249">
        <f t="shared" si="5"/>
        <v>56</v>
      </c>
      <c r="H30" s="249">
        <f t="shared" si="5"/>
        <v>57</v>
      </c>
      <c r="I30" s="249">
        <f t="shared" si="5"/>
        <v>54</v>
      </c>
      <c r="J30" s="249">
        <f t="shared" si="5"/>
        <v>52</v>
      </c>
      <c r="K30" s="249">
        <f t="shared" si="5"/>
        <v>52</v>
      </c>
      <c r="L30" s="249">
        <f t="shared" si="5"/>
        <v>38</v>
      </c>
      <c r="M30" s="249">
        <f t="shared" si="5"/>
        <v>43</v>
      </c>
      <c r="N30" s="249">
        <f t="shared" si="5"/>
        <v>55</v>
      </c>
      <c r="O30" s="249">
        <f t="shared" si="5"/>
        <v>54</v>
      </c>
      <c r="P30" s="249">
        <f t="shared" si="5"/>
        <v>59</v>
      </c>
      <c r="Q30" s="249">
        <f t="shared" si="5"/>
        <v>62</v>
      </c>
      <c r="R30" s="249">
        <f t="shared" si="5"/>
        <v>41</v>
      </c>
      <c r="S30" s="249">
        <f t="shared" si="5"/>
        <v>45</v>
      </c>
      <c r="T30" s="249">
        <f t="shared" si="5"/>
        <v>52</v>
      </c>
      <c r="U30" s="249">
        <f t="shared" si="5"/>
        <v>49</v>
      </c>
      <c r="V30" s="249">
        <f t="shared" si="5"/>
        <v>40</v>
      </c>
      <c r="W30" s="249">
        <f t="shared" si="5"/>
        <v>46</v>
      </c>
      <c r="X30" s="249">
        <f t="shared" si="5"/>
        <v>46</v>
      </c>
      <c r="Y30" s="249">
        <f t="shared" si="5"/>
        <v>51</v>
      </c>
      <c r="Z30" s="249">
        <f t="shared" si="5"/>
        <v>133</v>
      </c>
      <c r="AA30" s="249">
        <f t="shared" si="5"/>
        <v>96</v>
      </c>
      <c r="AB30" s="249">
        <f t="shared" si="5"/>
        <v>73</v>
      </c>
      <c r="AC30" s="249">
        <f t="shared" si="5"/>
        <v>55.299999999999272</v>
      </c>
      <c r="AD30" s="249">
        <f t="shared" si="5"/>
        <v>57.700000000000728</v>
      </c>
      <c r="AE30" s="249">
        <f t="shared" si="5"/>
        <v>37</v>
      </c>
      <c r="AF30" s="249">
        <f t="shared" si="5"/>
        <v>-1688</v>
      </c>
      <c r="AG30" s="249">
        <f t="shared" si="5"/>
        <v>87</v>
      </c>
      <c r="AH30" s="249">
        <f t="shared" si="5"/>
        <v>86</v>
      </c>
      <c r="AI30" s="248"/>
    </row>
    <row r="31" spans="2:35">
      <c r="B31" s="247" t="s">
        <v>85</v>
      </c>
      <c r="C31" s="248"/>
      <c r="D31" s="248">
        <f>D30/SUM(D29:D30)%</f>
        <v>27.528089887640448</v>
      </c>
      <c r="E31" s="248">
        <f t="shared" ref="E31:AH31" si="6">E30/SUM(E29:E30)%</f>
        <v>23.655913978494624</v>
      </c>
      <c r="F31" s="248">
        <f t="shared" si="6"/>
        <v>30</v>
      </c>
      <c r="G31" s="248">
        <f t="shared" si="6"/>
        <v>27.86069651741294</v>
      </c>
      <c r="H31" s="248">
        <f t="shared" si="6"/>
        <v>33.333333333333336</v>
      </c>
      <c r="I31" s="248">
        <f t="shared" si="6"/>
        <v>28.571428571428573</v>
      </c>
      <c r="J31" s="248">
        <f t="shared" si="6"/>
        <v>27.083333333333336</v>
      </c>
      <c r="K31" s="248">
        <f t="shared" si="6"/>
        <v>27.513227513227516</v>
      </c>
      <c r="L31" s="248">
        <f t="shared" si="6"/>
        <v>22.485207100591715</v>
      </c>
      <c r="M31" s="248">
        <f t="shared" si="6"/>
        <v>27.388535031847134</v>
      </c>
      <c r="N31" s="248">
        <f t="shared" si="6"/>
        <v>34.161490683229815</v>
      </c>
      <c r="O31" s="248">
        <f t="shared" si="6"/>
        <v>34.838709677419352</v>
      </c>
      <c r="P31" s="248">
        <f t="shared" si="6"/>
        <v>41.549295774647888</v>
      </c>
      <c r="Q31" s="248">
        <f t="shared" si="6"/>
        <v>38.509316770186331</v>
      </c>
      <c r="R31" s="248">
        <f t="shared" si="6"/>
        <v>22.043010752688172</v>
      </c>
      <c r="S31" s="248">
        <f t="shared" si="6"/>
        <v>25.423728813559322</v>
      </c>
      <c r="T31" s="248">
        <f t="shared" si="6"/>
        <v>28.108108108108105</v>
      </c>
      <c r="U31" s="248">
        <f t="shared" si="6"/>
        <v>23.222748815165879</v>
      </c>
      <c r="V31" s="248">
        <f t="shared" si="6"/>
        <v>27.027027027027028</v>
      </c>
      <c r="W31" s="248">
        <f t="shared" si="6"/>
        <v>25.136612021857921</v>
      </c>
      <c r="X31" s="248">
        <f t="shared" si="6"/>
        <v>25</v>
      </c>
      <c r="Y31" s="248">
        <f t="shared" si="6"/>
        <v>26.842105263157897</v>
      </c>
      <c r="Z31" s="248">
        <f t="shared" si="6"/>
        <v>41.5625</v>
      </c>
      <c r="AA31" s="248">
        <f t="shared" si="6"/>
        <v>39.024390243902438</v>
      </c>
      <c r="AB31" s="248">
        <f t="shared" si="6"/>
        <v>33.333333333333336</v>
      </c>
      <c r="AC31" s="248">
        <f t="shared" si="6"/>
        <v>36.793080505655048</v>
      </c>
      <c r="AD31" s="248">
        <f t="shared" si="6"/>
        <v>31.581828133552545</v>
      </c>
      <c r="AE31" s="248">
        <f t="shared" si="6"/>
        <v>27.407407407407405</v>
      </c>
      <c r="AF31" s="248">
        <f t="shared" si="6"/>
        <v>30.441839495040576</v>
      </c>
      <c r="AG31" s="248">
        <f t="shared" si="6"/>
        <v>44.387755102040821</v>
      </c>
      <c r="AH31" s="248">
        <f t="shared" si="6"/>
        <v>38.565022421524667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10" zoomScale="70" zoomScaleNormal="70" workbookViewId="0">
      <pane xSplit="1" topLeftCell="B1" activePane="topRight" state="frozen"/>
      <selection activeCell="A4" sqref="A4"/>
      <selection pane="topRight" activeCell="E5" sqref="E5:E32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7" t="s">
        <v>308</v>
      </c>
      <c r="G2" s="778"/>
      <c r="H2" s="778"/>
      <c r="I2" s="778"/>
      <c r="J2" s="778"/>
      <c r="K2" s="778"/>
      <c r="L2" s="778"/>
      <c r="M2" s="779"/>
      <c r="N2" s="776" t="s">
        <v>86</v>
      </c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6"/>
      <c r="AH2" s="776"/>
      <c r="AI2" s="776"/>
      <c r="AJ2" s="776"/>
      <c r="AK2" s="776"/>
      <c r="AL2" s="776"/>
      <c r="AM2" s="776"/>
      <c r="AN2" s="775"/>
      <c r="AO2" s="775"/>
      <c r="AP2" s="775"/>
      <c r="AQ2" s="775"/>
      <c r="AR2" s="775"/>
      <c r="AS2" s="775"/>
      <c r="AT2" s="775"/>
      <c r="AU2" s="502"/>
      <c r="AV2" s="774" t="s">
        <v>87</v>
      </c>
      <c r="AW2" s="774"/>
      <c r="AX2" s="774"/>
      <c r="AY2" s="774"/>
      <c r="BB2" s="318" t="s">
        <v>334</v>
      </c>
      <c r="BC2" s="318" t="s">
        <v>335</v>
      </c>
    </row>
    <row r="3" spans="1:55">
      <c r="F3" s="504"/>
      <c r="G3" s="505"/>
      <c r="H3" s="505"/>
      <c r="I3" s="505"/>
      <c r="J3" s="505"/>
      <c r="K3" s="505"/>
      <c r="L3" s="505"/>
      <c r="M3" s="506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3"/>
      <c r="AN3" s="780" t="s">
        <v>138</v>
      </c>
      <c r="AO3" s="780"/>
      <c r="AP3" s="780"/>
      <c r="AQ3" s="780"/>
      <c r="AR3" s="780"/>
      <c r="AS3" s="780"/>
      <c r="AT3" s="780"/>
      <c r="AU3" s="781" t="s">
        <v>283</v>
      </c>
      <c r="AV3" s="781"/>
      <c r="AW3" s="781"/>
      <c r="AX3" s="781"/>
      <c r="AY3" s="781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7" t="s">
        <v>284</v>
      </c>
      <c r="G4" s="508" t="s">
        <v>285</v>
      </c>
      <c r="H4" s="508" t="s">
        <v>286</v>
      </c>
      <c r="I4" s="508" t="s">
        <v>287</v>
      </c>
      <c r="J4" s="508" t="s">
        <v>282</v>
      </c>
      <c r="K4" s="508" t="s">
        <v>51</v>
      </c>
      <c r="L4" s="509" t="s">
        <v>60</v>
      </c>
      <c r="M4" s="509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0">
        <f>'1'!G7</f>
        <v>22064</v>
      </c>
      <c r="C5" s="510">
        <f>'1'!G8</f>
        <v>22366</v>
      </c>
      <c r="D5" s="510">
        <f>'1'!G15</f>
        <v>1161.285000000149</v>
      </c>
      <c r="E5" s="510">
        <f>'1'!G20</f>
        <v>222</v>
      </c>
      <c r="F5" s="510">
        <f>SUM('1'!G35,'1'!G49)</f>
        <v>3155</v>
      </c>
      <c r="G5" s="510">
        <f>SUM('1'!H37,'1'!H51)</f>
        <v>1493.4400000000023</v>
      </c>
      <c r="H5" s="510">
        <f>SUM('1'!G38,'1'!G52)</f>
        <v>2665</v>
      </c>
      <c r="I5" s="510">
        <f>SUM('1'!G39,'1'!G53)</f>
        <v>2949</v>
      </c>
      <c r="J5" s="510">
        <f>SUM('1'!G41,'1'!G42,'1'!G55,'1'!G56)</f>
        <v>5272.359999999986</v>
      </c>
      <c r="K5" s="510">
        <f>SUM('1'!G43,'1'!G57)</f>
        <v>2516</v>
      </c>
      <c r="L5" s="254">
        <f>'1'!G50</f>
        <v>1254</v>
      </c>
      <c r="M5" s="254">
        <f>'1'!G36</f>
        <v>1049</v>
      </c>
      <c r="N5" s="254">
        <f>'1'!G138</f>
        <v>100</v>
      </c>
      <c r="O5" s="254">
        <f>'1'!G139</f>
        <v>134</v>
      </c>
      <c r="P5" s="254">
        <f>'1'!G140</f>
        <v>33</v>
      </c>
      <c r="Q5" s="254">
        <f>'1'!G141</f>
        <v>245</v>
      </c>
      <c r="R5" s="254">
        <f>'1'!G142</f>
        <v>109</v>
      </c>
      <c r="S5" s="254">
        <f>'1'!$G$145</f>
        <v>164</v>
      </c>
      <c r="T5" s="254">
        <f>'1'!$G$146</f>
        <v>42</v>
      </c>
      <c r="U5" s="254">
        <f>'1'!$G$144</f>
        <v>375</v>
      </c>
      <c r="V5" s="254">
        <f>'1'!$G$147</f>
        <v>388.11999999999534</v>
      </c>
      <c r="W5" s="254">
        <f>'1'!$G$148</f>
        <v>365.76000000000931</v>
      </c>
      <c r="X5" s="254">
        <f>'1'!$G$143</f>
        <v>34</v>
      </c>
      <c r="Y5" s="254">
        <f>'1'!$G$58</f>
        <v>254.17999999999302</v>
      </c>
      <c r="Z5" s="254">
        <f>'1'!$G$151</f>
        <v>301</v>
      </c>
      <c r="AA5" s="254">
        <f>'1'!G161</f>
        <v>177</v>
      </c>
      <c r="AB5" s="254">
        <f>'1'!G162</f>
        <v>40</v>
      </c>
      <c r="AC5" s="254"/>
      <c r="AD5" s="254">
        <f>'1'!G163+'1'!G164</f>
        <v>3</v>
      </c>
      <c r="AE5" s="254">
        <f>'1'!$G$116</f>
        <v>561</v>
      </c>
      <c r="AF5" s="254">
        <f>'1'!$G$117</f>
        <v>276.60099999999511</v>
      </c>
      <c r="AG5" s="254">
        <f>'1'!$G$118</f>
        <v>677.47000000000116</v>
      </c>
      <c r="AH5" s="254">
        <f>'1'!$G$119</f>
        <v>37</v>
      </c>
      <c r="AI5" s="254">
        <f>'1'!$G$120</f>
        <v>367</v>
      </c>
      <c r="AJ5" s="254">
        <f>'1'!$G$121</f>
        <v>448</v>
      </c>
      <c r="AK5" s="254">
        <f>'1'!$G$122</f>
        <v>297</v>
      </c>
      <c r="AL5" s="254">
        <f>'1'!$G$123</f>
        <v>315</v>
      </c>
      <c r="AM5" s="254">
        <f>'1'!$G$133</f>
        <v>507</v>
      </c>
      <c r="AN5" s="254">
        <f>'1'!$G$15</f>
        <v>1161.285000000149</v>
      </c>
      <c r="AO5" s="254">
        <f>'1'!$G$74</f>
        <v>370</v>
      </c>
      <c r="AP5" s="254">
        <f>'1'!$G$75</f>
        <v>0</v>
      </c>
      <c r="AQ5" s="254">
        <f>'1'!$G$76</f>
        <v>129</v>
      </c>
      <c r="AR5" s="254">
        <f>'1'!$G$77</f>
        <v>51</v>
      </c>
      <c r="AS5" s="254">
        <f>'1'!$G$78</f>
        <v>0</v>
      </c>
      <c r="AT5" s="254">
        <f>AN5-SUM(AO5:AS5)</f>
        <v>611.28500000014901</v>
      </c>
      <c r="AU5" s="254">
        <f>SUM('1'!G91:G92)</f>
        <v>13.440000000000509</v>
      </c>
      <c r="AV5" s="254">
        <f>'1'!$G$88</f>
        <v>10</v>
      </c>
      <c r="AW5" s="254">
        <f>'1'!$G$89</f>
        <v>4.4799999999995634</v>
      </c>
      <c r="AX5" s="254">
        <f>'1'!$G$90</f>
        <v>7</v>
      </c>
      <c r="AY5" s="252">
        <f>SUM(AV5:AX5)</f>
        <v>21.479999999999563</v>
      </c>
      <c r="AZ5" s="311">
        <f>AO5/AU5</f>
        <v>27.529761904760861</v>
      </c>
      <c r="BA5" s="311">
        <f>AT5/AY5</f>
        <v>28.45833333334085</v>
      </c>
      <c r="BB5" s="351">
        <f>C5-SUM(F5:K5,Y5)</f>
        <v>4061.0200000000186</v>
      </c>
      <c r="BC5" s="351">
        <f>BB5/B5%</f>
        <v>18.40563814358239</v>
      </c>
    </row>
    <row r="6" spans="1:55">
      <c r="A6" s="359">
        <v>2</v>
      </c>
      <c r="B6" s="510">
        <f>'2'!G7</f>
        <v>22098.209999999963</v>
      </c>
      <c r="C6" s="510">
        <f>'2'!G8</f>
        <v>22458</v>
      </c>
      <c r="D6" s="510">
        <f>'2'!G15</f>
        <v>1083</v>
      </c>
      <c r="E6" s="510">
        <f>'2'!G20</f>
        <v>249</v>
      </c>
      <c r="F6" s="510">
        <f>SUM('2'!G35,'2'!G49)</f>
        <v>3052.7099999999627</v>
      </c>
      <c r="G6" s="510">
        <f>SUM('2'!G37,'2'!G51)</f>
        <v>1444.9599999999627</v>
      </c>
      <c r="H6" s="510">
        <f>SUM('2'!G38,'2'!G52)</f>
        <v>2647.5699999999488</v>
      </c>
      <c r="I6" s="510">
        <f>SUM('2'!G39,'2'!G53)</f>
        <v>2798.1899999999441</v>
      </c>
      <c r="J6" s="510">
        <f>SUM('2'!G41,'2'!G42,'2'!G55,'2'!G56)</f>
        <v>4638.1900000000023</v>
      </c>
      <c r="K6" s="510">
        <f>SUM('2'!G43,'2'!G57)</f>
        <v>2483.9899999999907</v>
      </c>
      <c r="L6" s="254">
        <f>'2'!G50</f>
        <v>1293.390000000014</v>
      </c>
      <c r="M6" s="254">
        <f>'2'!G36</f>
        <v>1009</v>
      </c>
      <c r="N6" s="254">
        <f>'2'!G138</f>
        <v>128</v>
      </c>
      <c r="O6" s="254">
        <f>'2'!$G$139</f>
        <v>160</v>
      </c>
      <c r="P6" s="254">
        <f>'2'!$G$140</f>
        <v>31.177499999999782</v>
      </c>
      <c r="Q6" s="254">
        <f>'2'!$G$141</f>
        <v>222.36999999999534</v>
      </c>
      <c r="R6" s="254">
        <f>'2'!$G$142</f>
        <v>98.900000000001455</v>
      </c>
      <c r="S6" s="254">
        <f>'2'!$G$145</f>
        <v>258</v>
      </c>
      <c r="T6" s="254">
        <f>'2'!$G$146</f>
        <v>37</v>
      </c>
      <c r="U6" s="254">
        <f>'2'!$G$144</f>
        <v>165</v>
      </c>
      <c r="V6" s="254">
        <f>'2'!$G$147</f>
        <v>377.64000000001397</v>
      </c>
      <c r="W6" s="251">
        <f>'2'!$G$148</f>
        <v>386.07999999995809</v>
      </c>
      <c r="X6" s="251">
        <f>'2'!$G$143</f>
        <v>34</v>
      </c>
      <c r="Y6" s="251">
        <f>'2'!$G$58</f>
        <v>245.4600000000064</v>
      </c>
      <c r="Z6" s="251">
        <f>'2'!$G$151</f>
        <v>304</v>
      </c>
      <c r="AA6" s="251">
        <f>'2'!G161</f>
        <v>236</v>
      </c>
      <c r="AB6" s="254">
        <f>'2'!G162</f>
        <v>40</v>
      </c>
      <c r="AC6" s="254"/>
      <c r="AD6" s="254">
        <f>'2'!G163+'2'!G164</f>
        <v>6.5</v>
      </c>
      <c r="AE6" s="254">
        <f>'2'!$G$116</f>
        <v>473</v>
      </c>
      <c r="AF6" s="254">
        <f>'2'!$G$117</f>
        <v>276</v>
      </c>
      <c r="AG6" s="254">
        <f>'2'!$G$118</f>
        <v>683</v>
      </c>
      <c r="AH6" s="254">
        <f>'2'!$G$119</f>
        <v>36.940000000002328</v>
      </c>
      <c r="AI6" s="254">
        <f>'2'!$G$120</f>
        <v>377.44000000000233</v>
      </c>
      <c r="AJ6" s="254">
        <f>'2'!$G$121</f>
        <v>438</v>
      </c>
      <c r="AK6" s="254">
        <f>'2'!$G$122</f>
        <v>281</v>
      </c>
      <c r="AL6" s="254">
        <f>'2'!$G$123</f>
        <v>298</v>
      </c>
      <c r="AM6" s="254">
        <f>'2'!$G$133</f>
        <v>582</v>
      </c>
      <c r="AN6" s="254">
        <f>'2'!$G$15</f>
        <v>1083</v>
      </c>
      <c r="AO6" s="254">
        <f>'2'!$G$74</f>
        <v>293</v>
      </c>
      <c r="AP6" s="254">
        <f>'2'!$G$75</f>
        <v>0</v>
      </c>
      <c r="AQ6" s="254">
        <f>'2'!$G$76</f>
        <v>111</v>
      </c>
      <c r="AR6" s="254">
        <f>'2'!$G$77</f>
        <v>43</v>
      </c>
      <c r="AS6" s="254">
        <f>'2'!$G$78</f>
        <v>0</v>
      </c>
      <c r="AT6" s="254">
        <f t="shared" ref="AT6:AT34" si="0">AN6-SUM(AO6:AS6)</f>
        <v>636</v>
      </c>
      <c r="AU6" s="254">
        <f>SUM('2'!G91:G92)</f>
        <v>10.279999999999745</v>
      </c>
      <c r="AV6" s="254">
        <f>'2'!$G$88</f>
        <v>3.2200000000011642</v>
      </c>
      <c r="AW6" s="254">
        <f>'2'!$G$89</f>
        <v>9.8899999999994179</v>
      </c>
      <c r="AX6" s="254">
        <f>'2'!$G$90</f>
        <v>5.75</v>
      </c>
      <c r="AY6" s="252">
        <f t="shared" ref="AY6:AY34" si="1">SUM(AV6:AX6)</f>
        <v>18.860000000000582</v>
      </c>
      <c r="AZ6" s="311">
        <f t="shared" ref="AZ6:AZ8" si="2">AO6/AU6</f>
        <v>28.501945525292534</v>
      </c>
      <c r="BA6" s="311">
        <f t="shared" ref="BA6:BA35" si="3">AT6/AY6</f>
        <v>33.72216330858857</v>
      </c>
      <c r="BB6" s="351">
        <f t="shared" ref="BB6:BB35" si="4">C6-SUM(F6:K6,Y6)</f>
        <v>5146.9300000001822</v>
      </c>
      <c r="BC6" s="351">
        <f t="shared" ref="BC6:BC35" si="5">BB6/B6%</f>
        <v>23.291162496872783</v>
      </c>
    </row>
    <row r="7" spans="1:55" s="313" customFormat="1">
      <c r="A7" s="359">
        <v>3</v>
      </c>
      <c r="B7" s="510">
        <f>'3'!G7</f>
        <v>22965.790000000037</v>
      </c>
      <c r="C7" s="510">
        <f>'3'!G8</f>
        <v>23549.310000000056</v>
      </c>
      <c r="D7" s="510">
        <f>'3'!G15</f>
        <v>1112</v>
      </c>
      <c r="E7" s="510">
        <f>'3'!G20</f>
        <v>277</v>
      </c>
      <c r="F7" s="510">
        <f>SUM('3'!G35,'3'!G49)</f>
        <v>2999.2900000000373</v>
      </c>
      <c r="G7" s="510">
        <f>SUM('3'!G37,'3'!G51)</f>
        <v>1455.0300000000279</v>
      </c>
      <c r="H7" s="510">
        <f>SUM('3'!G38,'3'!G52)</f>
        <v>2822.4300000000512</v>
      </c>
      <c r="I7" s="510">
        <f>SUM('3'!G39,'3'!G53)</f>
        <v>2880.2299999999814</v>
      </c>
      <c r="J7" s="510">
        <f>SUM('3'!G41,'3'!G42,'3'!G55,'3'!G56)</f>
        <v>3320.9999999999418</v>
      </c>
      <c r="K7" s="510">
        <f>SUM('3'!G43,'3'!G57)</f>
        <v>2638.0100000000093</v>
      </c>
      <c r="L7" s="251">
        <f>'3'!G50</f>
        <v>1949.6799999999348</v>
      </c>
      <c r="M7" s="251">
        <f>'3'!G36</f>
        <v>1123.9000000000233</v>
      </c>
      <c r="N7" s="251">
        <f>'3'!G138</f>
        <v>133</v>
      </c>
      <c r="O7" s="251">
        <f>'3'!$G$139</f>
        <v>180</v>
      </c>
      <c r="P7" s="251">
        <f>'3'!$G$140</f>
        <v>30.822500000000218</v>
      </c>
      <c r="Q7" s="251">
        <f>'3'!$G$141</f>
        <v>237.63000000000466</v>
      </c>
      <c r="R7" s="251">
        <f>'3'!$G$142</f>
        <v>99.599999999998545</v>
      </c>
      <c r="S7" s="251">
        <f>'3'!$G$145</f>
        <v>181</v>
      </c>
      <c r="T7" s="251">
        <f>'3'!$G$146</f>
        <v>55</v>
      </c>
      <c r="U7" s="251">
        <f>'3'!$G$144</f>
        <v>277</v>
      </c>
      <c r="V7" s="251">
        <f>'3'!$G$147</f>
        <v>400.79999999993015</v>
      </c>
      <c r="W7" s="251">
        <f>'3'!$G$148</f>
        <v>339.92000000004191</v>
      </c>
      <c r="X7" s="251">
        <f>'3'!$G$143</f>
        <v>31.739999999999782</v>
      </c>
      <c r="Y7" s="251">
        <f>'3'!$G$58</f>
        <v>244.15999999998894</v>
      </c>
      <c r="Z7" s="251">
        <f>'3'!$G$151</f>
        <v>328</v>
      </c>
      <c r="AA7" s="254">
        <f>'3'!G161</f>
        <v>167</v>
      </c>
      <c r="AB7" s="254">
        <f>'3'!G162</f>
        <v>39.700000000000045</v>
      </c>
      <c r="AC7" s="254"/>
      <c r="AD7" s="254">
        <f>'3'!G163+'3'!G164</f>
        <v>0.5</v>
      </c>
      <c r="AE7" s="251">
        <f>'3'!$G$116</f>
        <v>439</v>
      </c>
      <c r="AF7" s="251">
        <f>'3'!$G$117</f>
        <v>268</v>
      </c>
      <c r="AG7" s="251">
        <f>'3'!$G$118</f>
        <v>710</v>
      </c>
      <c r="AH7" s="251">
        <f>'3'!$G$119</f>
        <v>40.059999999997672</v>
      </c>
      <c r="AI7" s="251">
        <f>'3'!$G$120</f>
        <v>398.66999999999825</v>
      </c>
      <c r="AJ7" s="251">
        <f>'3'!$G$121</f>
        <v>457.5</v>
      </c>
      <c r="AK7" s="251">
        <f>'3'!$G$122</f>
        <v>300</v>
      </c>
      <c r="AL7" s="251">
        <f>'3'!$G$123</f>
        <v>311.14299999999639</v>
      </c>
      <c r="AM7" s="251">
        <f>'3'!$G$133</f>
        <v>504</v>
      </c>
      <c r="AN7" s="251">
        <f>'3'!$G$15</f>
        <v>1112</v>
      </c>
      <c r="AO7" s="251">
        <f>'3'!$G$74</f>
        <v>304</v>
      </c>
      <c r="AP7" s="251">
        <f>'3'!$G$75</f>
        <v>0</v>
      </c>
      <c r="AQ7" s="251">
        <f>'3'!$G$76</f>
        <v>101</v>
      </c>
      <c r="AR7" s="251">
        <f>'3'!$G$77</f>
        <v>49</v>
      </c>
      <c r="AS7" s="251">
        <f>'3'!$G$78</f>
        <v>0</v>
      </c>
      <c r="AT7" s="251">
        <f t="shared" si="0"/>
        <v>658</v>
      </c>
      <c r="AU7" s="254">
        <f>SUM('3'!G91:G92)</f>
        <v>11.950000000000728</v>
      </c>
      <c r="AV7" s="251">
        <f>'3'!$G$88</f>
        <v>7.7799999999988358</v>
      </c>
      <c r="AW7" s="251">
        <f>'3'!$G$89</f>
        <v>4.6300000000010186</v>
      </c>
      <c r="AX7" s="251">
        <f>'3'!$G$90</f>
        <v>8.9499999999970896</v>
      </c>
      <c r="AY7" s="255">
        <f t="shared" si="1"/>
        <v>21.359999999996944</v>
      </c>
      <c r="AZ7" s="311">
        <f t="shared" si="2"/>
        <v>25.439330543931504</v>
      </c>
      <c r="BA7" s="311">
        <f t="shared" si="3"/>
        <v>30.80524344569729</v>
      </c>
      <c r="BB7" s="351">
        <f t="shared" si="4"/>
        <v>7189.160000000018</v>
      </c>
      <c r="BC7" s="351">
        <f t="shared" si="5"/>
        <v>31.303778359028826</v>
      </c>
    </row>
    <row r="8" spans="1:55">
      <c r="A8" s="359">
        <v>4</v>
      </c>
      <c r="B8" s="510">
        <f>'4'!G7</f>
        <v>21764</v>
      </c>
      <c r="C8" s="510">
        <f>'4'!G8</f>
        <v>22365.689999999944</v>
      </c>
      <c r="D8" s="510">
        <f>'4'!G15</f>
        <v>1150</v>
      </c>
      <c r="E8" s="510">
        <f>'4'!G20</f>
        <v>265</v>
      </c>
      <c r="F8" s="510">
        <f>SUM('4'!G35,'4'!G49)</f>
        <v>2937</v>
      </c>
      <c r="G8" s="510">
        <f>SUM('4'!G37,'4'!G51)</f>
        <v>1470.570000000007</v>
      </c>
      <c r="H8" s="510">
        <f>SUM('4'!G38,'4'!G52)</f>
        <v>2762</v>
      </c>
      <c r="I8" s="510">
        <f>SUM('4'!G39,'4'!G53)</f>
        <v>2818.3400000000838</v>
      </c>
      <c r="J8" s="510">
        <f>SUM('4'!G41,'4'!G42,'4'!G55,'4'!G56)</f>
        <v>3150.570000000007</v>
      </c>
      <c r="K8" s="510">
        <f>SUM('4'!G43,'4'!G57)</f>
        <v>2585</v>
      </c>
      <c r="L8" s="254">
        <f>'4'!G50</f>
        <v>1188.9300000000512</v>
      </c>
      <c r="M8" s="254">
        <f>'4'!G36</f>
        <v>925.09999999997672</v>
      </c>
      <c r="N8" s="254">
        <f>'4'!G138</f>
        <v>133</v>
      </c>
      <c r="O8" s="254">
        <f>'4'!$G$139</f>
        <v>134</v>
      </c>
      <c r="P8" s="254">
        <f>'4'!$G$140</f>
        <v>30.979999999999563</v>
      </c>
      <c r="Q8" s="254">
        <f>'4'!$G$141</f>
        <v>243</v>
      </c>
      <c r="R8" s="254">
        <f>'4'!$G$142</f>
        <v>81.089999999996508</v>
      </c>
      <c r="S8" s="254">
        <f>'4'!$G$145</f>
        <v>147</v>
      </c>
      <c r="T8" s="254">
        <f>'4'!$G$146</f>
        <v>67</v>
      </c>
      <c r="U8" s="254">
        <f>'4'!$G$144</f>
        <v>290</v>
      </c>
      <c r="V8" s="251">
        <f>'4'!$G$147</f>
        <v>344.80000000004657</v>
      </c>
      <c r="W8" s="251">
        <f>'4'!$G$148</f>
        <v>342</v>
      </c>
      <c r="X8" s="254">
        <f>'4'!$G$143</f>
        <v>37.930000000000291</v>
      </c>
      <c r="Y8" s="254">
        <f>'4'!$G$58</f>
        <v>253.70000000001164</v>
      </c>
      <c r="Z8" s="254">
        <f>'4'!$G$151</f>
        <v>332</v>
      </c>
      <c r="AA8" s="254">
        <f>'4'!G161</f>
        <v>118.15999999997439</v>
      </c>
      <c r="AB8" s="254">
        <f>'4'!G162</f>
        <v>32.299999999999955</v>
      </c>
      <c r="AC8" s="254"/>
      <c r="AD8" s="254">
        <f>'4'!G163+'4'!G164</f>
        <v>1.3999999999996362</v>
      </c>
      <c r="AE8" s="254">
        <f>'4'!$G$116</f>
        <v>491</v>
      </c>
      <c r="AF8" s="254">
        <f>'4'!$G$117</f>
        <v>269</v>
      </c>
      <c r="AG8" s="254">
        <f>'4'!$G$118</f>
        <v>642</v>
      </c>
      <c r="AH8" s="254">
        <f>'4'!$G$119</f>
        <v>39.209999999999127</v>
      </c>
      <c r="AI8" s="254">
        <f>'4'!$G$120</f>
        <v>398.58000000000175</v>
      </c>
      <c r="AJ8" s="254">
        <f>'4'!$G$121</f>
        <v>459.5</v>
      </c>
      <c r="AK8" s="254">
        <f>'4'!$G$122</f>
        <v>301</v>
      </c>
      <c r="AL8" s="254">
        <f>'4'!$G$123</f>
        <v>302.5570000000007</v>
      </c>
      <c r="AM8" s="254">
        <f>'4'!$G$133</f>
        <v>467</v>
      </c>
      <c r="AN8" s="254">
        <f>'4'!$G$15</f>
        <v>1150</v>
      </c>
      <c r="AO8" s="254">
        <f>'4'!$G$74</f>
        <v>305</v>
      </c>
      <c r="AP8" s="254">
        <f>'4'!$G$75</f>
        <v>0</v>
      </c>
      <c r="AQ8" s="254">
        <f>'4'!$G$76</f>
        <v>116</v>
      </c>
      <c r="AR8" s="254">
        <f>'4'!$G$77</f>
        <v>54</v>
      </c>
      <c r="AS8" s="254">
        <f>'4'!$G$78</f>
        <v>0</v>
      </c>
      <c r="AT8" s="254">
        <f t="shared" si="0"/>
        <v>675</v>
      </c>
      <c r="AU8" s="254">
        <f>SUM('4'!G91:G92)</f>
        <v>11.219999999999345</v>
      </c>
      <c r="AV8" s="254">
        <f>'4'!$G$88</f>
        <v>9</v>
      </c>
      <c r="AW8" s="254">
        <f>'4'!$G$89</f>
        <v>5</v>
      </c>
      <c r="AX8" s="254">
        <f>'4'!$G$90</f>
        <v>9.3000000000029104</v>
      </c>
      <c r="AY8" s="252">
        <f t="shared" si="1"/>
        <v>23.30000000000291</v>
      </c>
      <c r="AZ8" s="311">
        <f t="shared" si="2"/>
        <v>27.183600713014066</v>
      </c>
      <c r="BA8" s="311">
        <f t="shared" si="3"/>
        <v>28.969957081541445</v>
      </c>
      <c r="BB8" s="351">
        <f t="shared" si="4"/>
        <v>6388.5099999998347</v>
      </c>
      <c r="BC8" s="351">
        <f t="shared" si="5"/>
        <v>29.353565521043169</v>
      </c>
    </row>
    <row r="9" spans="1:55">
      <c r="A9" s="359">
        <v>5</v>
      </c>
      <c r="B9" s="510">
        <f>'5'!G7</f>
        <v>22531</v>
      </c>
      <c r="C9" s="510">
        <f>'5'!G8</f>
        <v>23051.869999999995</v>
      </c>
      <c r="D9" s="510">
        <f>'5'!G15</f>
        <v>1134.2000000001863</v>
      </c>
      <c r="E9" s="510">
        <f>'5'!G20</f>
        <v>302</v>
      </c>
      <c r="F9" s="510">
        <f>SUM('5'!G35,'5'!G49)</f>
        <v>3086.8299999999581</v>
      </c>
      <c r="G9" s="510">
        <f>SUM('5'!G37,'5'!G51)</f>
        <v>1511</v>
      </c>
      <c r="H9" s="510">
        <f>SUM('5'!G38,'5'!G52)</f>
        <v>2739.4300000000003</v>
      </c>
      <c r="I9" s="510">
        <f>SUM('5'!G39,'5'!G53)</f>
        <v>2837.2099999999627</v>
      </c>
      <c r="J9" s="510">
        <f>SUM('5'!G41,'5'!G42,'5'!G55,'5'!G56)</f>
        <v>3609.8400000000256</v>
      </c>
      <c r="K9" s="510">
        <f>SUM('5'!G43,'5'!G57)</f>
        <v>2660</v>
      </c>
      <c r="L9" s="254">
        <f>'5'!G50</f>
        <v>1129.359999999986</v>
      </c>
      <c r="M9" s="254">
        <f>'5'!G36</f>
        <v>1036.5900000000256</v>
      </c>
      <c r="N9" s="254">
        <f>'5'!G138</f>
        <v>96</v>
      </c>
      <c r="O9" s="254">
        <f>'5'!$G$139</f>
        <v>138</v>
      </c>
      <c r="P9" s="254">
        <f>'5'!$G$140</f>
        <v>31.230000000000473</v>
      </c>
      <c r="Q9" s="258">
        <f>'5'!$G$141</f>
        <v>264</v>
      </c>
      <c r="R9" s="254">
        <f>'5'!$G$142</f>
        <v>82.410000000003492</v>
      </c>
      <c r="S9" s="251">
        <f>'5'!$G$145</f>
        <v>317</v>
      </c>
      <c r="T9" s="254">
        <f>'5'!$G$146</f>
        <v>38</v>
      </c>
      <c r="U9" s="254">
        <f>'5'!$G$144</f>
        <v>281</v>
      </c>
      <c r="V9" s="256">
        <f>'5'!$G$147</f>
        <v>367.52000000001863</v>
      </c>
      <c r="W9" s="254">
        <f>'5'!$G$148</f>
        <v>326.40000000002328</v>
      </c>
      <c r="X9" s="254">
        <f>'5'!$G$143</f>
        <v>30.329999999999927</v>
      </c>
      <c r="Y9" s="254">
        <f>'5'!$G$58</f>
        <v>269.56699999999546</v>
      </c>
      <c r="Z9" s="254">
        <f>'5'!$G$151</f>
        <v>342</v>
      </c>
      <c r="AA9" s="254">
        <f>'5'!G161</f>
        <v>46.840000000025611</v>
      </c>
      <c r="AB9" s="254">
        <f>'5'!G162</f>
        <v>21</v>
      </c>
      <c r="AC9" s="254"/>
      <c r="AD9" s="254">
        <f>'5'!G163+'5'!G164</f>
        <v>-0.3999999999996362</v>
      </c>
      <c r="AE9" s="254">
        <f>'5'!$G$116</f>
        <v>426</v>
      </c>
      <c r="AF9" s="254">
        <f>'5'!$G$117</f>
        <v>258</v>
      </c>
      <c r="AG9" s="254">
        <f>'5'!$G$118</f>
        <v>676</v>
      </c>
      <c r="AH9" s="254">
        <f>'5'!$G$119</f>
        <v>39.790000000000873</v>
      </c>
      <c r="AI9" s="254">
        <f>'5'!$G$120</f>
        <v>396.02000000000407</v>
      </c>
      <c r="AJ9" s="254">
        <f>'5'!$G$121</f>
        <v>413</v>
      </c>
      <c r="AK9" s="254">
        <f>'5'!$G$122</f>
        <v>328</v>
      </c>
      <c r="AL9" s="254">
        <f>'5'!$G$123</f>
        <v>310.30000000000291</v>
      </c>
      <c r="AM9" s="254">
        <f>'5'!$G$133</f>
        <v>483</v>
      </c>
      <c r="AN9" s="254">
        <f>'5'!$G$15</f>
        <v>1134.2000000001863</v>
      </c>
      <c r="AO9" s="256">
        <f>'5'!$G$74</f>
        <v>342</v>
      </c>
      <c r="AP9" s="256">
        <f>'5'!$G$75</f>
        <v>0</v>
      </c>
      <c r="AQ9" s="256">
        <f>'5'!$G$76</f>
        <v>109</v>
      </c>
      <c r="AR9" s="256">
        <f>'5'!$G$77</f>
        <v>56</v>
      </c>
      <c r="AS9" s="256">
        <f>'5'!$G$78</f>
        <v>0.5</v>
      </c>
      <c r="AT9" s="256">
        <f t="shared" si="0"/>
        <v>626.70000000018626</v>
      </c>
      <c r="AU9" s="254">
        <f>SUM('5'!G91:G92)</f>
        <v>13.239999999999782</v>
      </c>
      <c r="AV9" s="254">
        <f>'5'!$G$88</f>
        <v>10</v>
      </c>
      <c r="AW9" s="254">
        <f>'5'!$G$89</f>
        <v>5</v>
      </c>
      <c r="AX9" s="254">
        <f>'5'!$G$90</f>
        <v>6</v>
      </c>
      <c r="AY9" s="252">
        <f t="shared" si="1"/>
        <v>21</v>
      </c>
      <c r="AZ9" s="311">
        <f>AO9/AU9</f>
        <v>25.830815709970214</v>
      </c>
      <c r="BA9" s="311">
        <f t="shared" si="3"/>
        <v>29.842857142866013</v>
      </c>
      <c r="BB9" s="351">
        <f t="shared" si="4"/>
        <v>6337.9930000000531</v>
      </c>
      <c r="BC9" s="351">
        <f t="shared" si="5"/>
        <v>28.130100750077908</v>
      </c>
    </row>
    <row r="10" spans="1:55">
      <c r="A10" s="359">
        <v>6</v>
      </c>
      <c r="B10" s="510">
        <f>'6'!G7</f>
        <v>23089</v>
      </c>
      <c r="C10" s="510">
        <f>'6'!G8</f>
        <v>23696.130000000005</v>
      </c>
      <c r="D10" s="510">
        <f>'6'!G15</f>
        <v>1087.7999999998137</v>
      </c>
      <c r="E10" s="510">
        <f>'6'!G20</f>
        <v>311</v>
      </c>
      <c r="F10" s="510">
        <f>SUM('6'!G35,'6'!G49)</f>
        <v>3158.1700000000419</v>
      </c>
      <c r="G10" s="510">
        <f>SUM('6'!G37,'6'!G51)</f>
        <v>1555</v>
      </c>
      <c r="H10" s="510">
        <f>SUM('6'!G38,'6'!G52)</f>
        <v>2717.5699999999997</v>
      </c>
      <c r="I10" s="510">
        <f>SUM('6'!G39,'6'!G53)</f>
        <v>2829</v>
      </c>
      <c r="J10" s="510">
        <f>SUM('6'!G41,'6'!G42,'6'!G55,'6'!G56)</f>
        <v>3625.4899999999907</v>
      </c>
      <c r="K10" s="510">
        <f>SUM('6'!G43,'6'!G57)</f>
        <v>2664</v>
      </c>
      <c r="L10" s="254">
        <f>'6'!G50</f>
        <v>1416.640000000014</v>
      </c>
      <c r="M10" s="254">
        <f>'6'!G36</f>
        <v>1112.4099999999744</v>
      </c>
      <c r="N10" s="254">
        <f>'6'!G138</f>
        <v>107</v>
      </c>
      <c r="O10" s="254">
        <f>'6'!$G$139</f>
        <v>136</v>
      </c>
      <c r="P10" s="254">
        <f>'6'!$G$140</f>
        <v>30.789999999999964</v>
      </c>
      <c r="Q10" s="254">
        <f>'6'!$G$141</f>
        <v>254</v>
      </c>
      <c r="R10" s="254">
        <f>'6'!$G$142</f>
        <v>85</v>
      </c>
      <c r="S10" s="254">
        <f>'6'!$G$145</f>
        <v>322</v>
      </c>
      <c r="T10" s="251">
        <f>'6'!$G$146</f>
        <v>31</v>
      </c>
      <c r="U10" s="251">
        <f>'6'!$G$144</f>
        <v>284</v>
      </c>
      <c r="V10" s="251">
        <f>'6'!$G$147</f>
        <v>380.23999999999069</v>
      </c>
      <c r="W10" s="251">
        <f>'6'!$G$148</f>
        <v>363.59999999997672</v>
      </c>
      <c r="X10" s="251">
        <f>'6'!$G$143</f>
        <v>32</v>
      </c>
      <c r="Y10" s="251">
        <f>'6'!$G$58</f>
        <v>250.11299999999756</v>
      </c>
      <c r="Z10" s="251">
        <f>'6'!$G$151</f>
        <v>377</v>
      </c>
      <c r="AA10" s="251">
        <f>'6'!G161</f>
        <v>124</v>
      </c>
      <c r="AB10" s="251">
        <f>'6'!G162</f>
        <v>31</v>
      </c>
      <c r="AC10" s="251"/>
      <c r="AD10" s="251">
        <f>'6'!G163+'6'!G164</f>
        <v>16</v>
      </c>
      <c r="AE10" s="254">
        <f>'6'!$G$116</f>
        <v>471</v>
      </c>
      <c r="AF10" s="254">
        <f>'6'!$G$117</f>
        <v>229</v>
      </c>
      <c r="AG10" s="254">
        <f>'6'!$G$118</f>
        <v>721</v>
      </c>
      <c r="AH10" s="254">
        <f>'6'!$G$119</f>
        <v>49</v>
      </c>
      <c r="AI10" s="254">
        <f>'6'!$G$120</f>
        <v>377.2899999999936</v>
      </c>
      <c r="AJ10" s="254">
        <f>'6'!$G$121</f>
        <v>409</v>
      </c>
      <c r="AK10" s="254">
        <f>'6'!$G$122</f>
        <v>335</v>
      </c>
      <c r="AL10" s="254">
        <f>'6'!$G$123</f>
        <v>310</v>
      </c>
      <c r="AM10" s="254">
        <f>'6'!$G$133</f>
        <v>442</v>
      </c>
      <c r="AN10" s="254">
        <f>'6'!$G$15</f>
        <v>1087.7999999998137</v>
      </c>
      <c r="AO10" s="256">
        <f>'6'!$G$74</f>
        <v>318</v>
      </c>
      <c r="AP10" s="256">
        <f>'6'!$G$75</f>
        <v>0</v>
      </c>
      <c r="AQ10" s="256">
        <f>'6'!$G$76</f>
        <v>114</v>
      </c>
      <c r="AR10" s="256">
        <f>'6'!$G$77</f>
        <v>55</v>
      </c>
      <c r="AS10" s="256">
        <f>'6'!$G$78</f>
        <v>0</v>
      </c>
      <c r="AT10" s="256">
        <f t="shared" si="0"/>
        <v>600.79999999981374</v>
      </c>
      <c r="AU10" s="254">
        <f>SUM('6'!G91:G92)</f>
        <v>12.25</v>
      </c>
      <c r="AV10" s="254">
        <f>'6'!$G$88</f>
        <v>7.5</v>
      </c>
      <c r="AW10" s="254">
        <f>'6'!$G$89</f>
        <v>5.6300000000010186</v>
      </c>
      <c r="AX10" s="254">
        <f>'6'!$G$90</f>
        <v>7.9600000000064028</v>
      </c>
      <c r="AY10" s="252">
        <f t="shared" si="1"/>
        <v>21.090000000007421</v>
      </c>
      <c r="AZ10" s="311">
        <f t="shared" ref="AZ10:AZ28" si="6">AO10/AU10</f>
        <v>25.959183673469386</v>
      </c>
      <c r="BA10" s="311">
        <f t="shared" si="3"/>
        <v>28.487434803205421</v>
      </c>
      <c r="BB10" s="351">
        <f t="shared" si="4"/>
        <v>6896.7869999999748</v>
      </c>
      <c r="BC10" s="351">
        <f t="shared" si="5"/>
        <v>29.870444800554271</v>
      </c>
    </row>
    <row r="11" spans="1:55">
      <c r="A11" s="359">
        <v>7</v>
      </c>
      <c r="B11" s="510">
        <f>'7'!G7</f>
        <v>23161</v>
      </c>
      <c r="C11" s="510">
        <f>'7'!G8</f>
        <v>23753</v>
      </c>
      <c r="D11" s="510">
        <f>'7'!G15</f>
        <v>1130</v>
      </c>
      <c r="E11" s="510">
        <f>'7'!G20</f>
        <v>220</v>
      </c>
      <c r="F11" s="510">
        <f>SUM('7'!G35,'7'!G49)</f>
        <v>3302</v>
      </c>
      <c r="G11" s="510">
        <f>SUM('7'!G37,'7'!G51)</f>
        <v>1488</v>
      </c>
      <c r="H11" s="510">
        <f>SUM('7'!G38,'7'!G52)</f>
        <v>2729</v>
      </c>
      <c r="I11" s="510">
        <f>SUM('7'!G39,'7'!G53)</f>
        <v>2806</v>
      </c>
      <c r="J11" s="510">
        <f>SUM('7'!G41,'7'!G42,'7'!G55,'7'!G56)</f>
        <v>3472</v>
      </c>
      <c r="K11" s="510">
        <f>SUM('7'!G43,'7'!G57)</f>
        <v>2678</v>
      </c>
      <c r="L11" s="254">
        <f>'7'!G50</f>
        <v>1524</v>
      </c>
      <c r="M11" s="254">
        <f>'7'!G36</f>
        <v>1116</v>
      </c>
      <c r="N11" s="254">
        <f>'7'!G138</f>
        <v>113</v>
      </c>
      <c r="O11" s="254">
        <f>'7'!$G$139</f>
        <v>149</v>
      </c>
      <c r="P11" s="254">
        <f>'7'!$G$140</f>
        <v>31</v>
      </c>
      <c r="Q11" s="254">
        <f>'7'!$G$141</f>
        <v>227</v>
      </c>
      <c r="R11" s="254">
        <f>'7'!$G$142</f>
        <v>96</v>
      </c>
      <c r="S11" s="254">
        <f>'7'!$G$145</f>
        <v>118</v>
      </c>
      <c r="T11" s="251">
        <f>'7'!$G$146</f>
        <v>30</v>
      </c>
      <c r="U11" s="251">
        <f>'7'!$G$144</f>
        <v>263</v>
      </c>
      <c r="V11" s="251">
        <f>'7'!$G$147</f>
        <v>370</v>
      </c>
      <c r="W11" s="251">
        <f>'7'!$G$148</f>
        <v>375</v>
      </c>
      <c r="X11" s="251">
        <f>'7'!$G$143</f>
        <v>31</v>
      </c>
      <c r="Y11" s="251">
        <f>'7'!$G$58</f>
        <v>307</v>
      </c>
      <c r="Z11" s="256">
        <f>'7'!$G$151</f>
        <v>347</v>
      </c>
      <c r="AA11" s="256">
        <f>'7'!G161</f>
        <v>126</v>
      </c>
      <c r="AB11" s="251">
        <f>'7'!G162</f>
        <v>41</v>
      </c>
      <c r="AC11" s="251"/>
      <c r="AD11" s="251">
        <f>'7'!G163+'7'!G164</f>
        <v>4</v>
      </c>
      <c r="AE11" s="254">
        <f>'7'!$G$116</f>
        <v>411</v>
      </c>
      <c r="AF11" s="254">
        <f>'7'!$G$117</f>
        <v>253</v>
      </c>
      <c r="AG11" s="254">
        <f>'7'!$G$118</f>
        <v>732</v>
      </c>
      <c r="AH11" s="254">
        <f>'7'!$G$119</f>
        <v>59</v>
      </c>
      <c r="AI11" s="254">
        <f>'7'!$G$120</f>
        <v>364</v>
      </c>
      <c r="AJ11" s="254">
        <f>'7'!$G$121</f>
        <v>397</v>
      </c>
      <c r="AK11" s="256">
        <f>'7'!$G$122</f>
        <v>319</v>
      </c>
      <c r="AL11" s="254">
        <f>'7'!$G$123</f>
        <v>309</v>
      </c>
      <c r="AM11" s="254">
        <f>'7'!$G$133</f>
        <v>600</v>
      </c>
      <c r="AN11" s="254">
        <f>'7'!$G$15</f>
        <v>1130</v>
      </c>
      <c r="AO11" s="256">
        <f>'7'!$G$74</f>
        <v>320</v>
      </c>
      <c r="AP11" s="256">
        <f>'7'!$G$75</f>
        <v>0</v>
      </c>
      <c r="AQ11" s="256">
        <f>'7'!$G$76</f>
        <v>116</v>
      </c>
      <c r="AR11" s="256">
        <f>'7'!$G$77</f>
        <v>47</v>
      </c>
      <c r="AS11" s="256">
        <f>'7'!$G$78</f>
        <v>0</v>
      </c>
      <c r="AT11" s="256">
        <f t="shared" si="0"/>
        <v>647</v>
      </c>
      <c r="AU11" s="254">
        <f>SUM('7'!G91:G92)</f>
        <v>12</v>
      </c>
      <c r="AV11" s="254">
        <f>'7'!$G$88</f>
        <v>4.3899999999994179</v>
      </c>
      <c r="AW11" s="254">
        <f>'7'!$G$89</f>
        <v>9.3699999999989814</v>
      </c>
      <c r="AX11" s="254">
        <f>'7'!$G$90</f>
        <v>5.9699999999866122</v>
      </c>
      <c r="AY11" s="252">
        <f t="shared" si="1"/>
        <v>19.729999999985012</v>
      </c>
      <c r="AZ11" s="311">
        <f>AO11/AU11</f>
        <v>26.666666666666668</v>
      </c>
      <c r="BA11" s="311">
        <f t="shared" si="3"/>
        <v>32.792701469867794</v>
      </c>
      <c r="BB11" s="351">
        <f t="shared" si="4"/>
        <v>6971</v>
      </c>
      <c r="BC11" s="351">
        <f t="shared" si="5"/>
        <v>30.098009585078362</v>
      </c>
    </row>
    <row r="12" spans="1:55">
      <c r="A12" s="359">
        <v>8</v>
      </c>
      <c r="B12" s="510">
        <f>'8'!G7</f>
        <v>22705</v>
      </c>
      <c r="C12" s="510">
        <f>'8'!G8</f>
        <v>23272</v>
      </c>
      <c r="D12" s="510">
        <f>'8'!G15</f>
        <v>1248</v>
      </c>
      <c r="E12" s="510">
        <f>'8'!G20</f>
        <v>415</v>
      </c>
      <c r="F12" s="510">
        <f>SUM('8'!G35,'8'!G49)</f>
        <v>3250.7900000000373</v>
      </c>
      <c r="G12" s="510">
        <f>SUM('8'!G37,'8'!G51)</f>
        <v>1465</v>
      </c>
      <c r="H12" s="510">
        <f>SUM('8'!G38,'8'!G52)</f>
        <v>2794</v>
      </c>
      <c r="I12" s="510">
        <f>SUM('8'!G39,'8'!G53)</f>
        <v>2838</v>
      </c>
      <c r="J12" s="510">
        <f>SUM('8'!G41,'8'!G42,'8'!G55,'8'!G56)</f>
        <v>3412</v>
      </c>
      <c r="K12" s="510">
        <f>SUM('8'!G43,'8'!G57)</f>
        <v>2448</v>
      </c>
      <c r="L12" s="254">
        <f>'8'!G50</f>
        <v>1565</v>
      </c>
      <c r="M12" s="254">
        <f>'8'!G36</f>
        <v>946</v>
      </c>
      <c r="N12" s="254">
        <f>'8'!G138</f>
        <v>155</v>
      </c>
      <c r="O12" s="254">
        <f>'8'!$G$139</f>
        <v>156</v>
      </c>
      <c r="P12" s="254">
        <f>'8'!$G$140</f>
        <v>31</v>
      </c>
      <c r="Q12" s="254">
        <f>'8'!$G$141</f>
        <v>253</v>
      </c>
      <c r="R12" s="254">
        <f>'8'!$G$142</f>
        <v>91</v>
      </c>
      <c r="S12" s="254">
        <f>'8'!$G$145</f>
        <v>125</v>
      </c>
      <c r="T12" s="251">
        <f>'8'!$G$146</f>
        <v>33</v>
      </c>
      <c r="U12" s="251">
        <f>'8'!$G$144</f>
        <v>271</v>
      </c>
      <c r="V12" s="251">
        <f>'8'!$G$147</f>
        <v>387</v>
      </c>
      <c r="W12" s="251">
        <f>'8'!$G$148</f>
        <v>352</v>
      </c>
      <c r="X12" s="251">
        <f>'8'!$G$143</f>
        <v>32</v>
      </c>
      <c r="Y12" s="251">
        <f>'8'!$G$58</f>
        <v>267</v>
      </c>
      <c r="Z12" s="251">
        <f>'8'!$G$151</f>
        <v>317</v>
      </c>
      <c r="AA12" s="251">
        <f>'8'!G161</f>
        <v>122</v>
      </c>
      <c r="AB12" s="251">
        <f>'8'!G162</f>
        <v>28</v>
      </c>
      <c r="AC12" s="251"/>
      <c r="AD12" s="251">
        <f>'8'!G163+'8'!G164</f>
        <v>0.5</v>
      </c>
      <c r="AE12" s="254">
        <f>'8'!$G$116</f>
        <v>496</v>
      </c>
      <c r="AF12" s="254">
        <f>'8'!$G$117</f>
        <v>242</v>
      </c>
      <c r="AG12" s="254">
        <f>'8'!$G$118</f>
        <v>704</v>
      </c>
      <c r="AH12" s="254">
        <f>'8'!$G$119</f>
        <v>62</v>
      </c>
      <c r="AI12" s="254">
        <f>'8'!$G$120</f>
        <v>385</v>
      </c>
      <c r="AJ12" s="254">
        <f>'8'!$G$121</f>
        <v>390</v>
      </c>
      <c r="AK12" s="254">
        <f>'8'!$G$122</f>
        <v>318</v>
      </c>
      <c r="AL12" s="254">
        <f>'8'!$G$123</f>
        <v>302</v>
      </c>
      <c r="AM12" s="254">
        <f>'8'!$G$133</f>
        <v>723</v>
      </c>
      <c r="AN12" s="254">
        <f>'8'!$G$15</f>
        <v>1248</v>
      </c>
      <c r="AO12" s="256">
        <f>'8'!$G$74</f>
        <v>344</v>
      </c>
      <c r="AP12" s="256">
        <f>'8'!$G$75</f>
        <v>0.19999999999708962</v>
      </c>
      <c r="AQ12" s="256">
        <f>'8'!$G$76</f>
        <v>125</v>
      </c>
      <c r="AR12" s="256">
        <f>'8'!$G$77</f>
        <v>57</v>
      </c>
      <c r="AS12" s="256">
        <f>'8'!$G$78</f>
        <v>0</v>
      </c>
      <c r="AT12" s="256">
        <f t="shared" si="0"/>
        <v>721.80000000000291</v>
      </c>
      <c r="AU12" s="254">
        <f>SUM('8'!G91:G92)</f>
        <v>12.890000000000327</v>
      </c>
      <c r="AV12" s="254">
        <f>'8'!$G$88</f>
        <v>4.6000000000021828</v>
      </c>
      <c r="AW12" s="254">
        <f>'8'!$G$89</f>
        <v>11.5</v>
      </c>
      <c r="AX12" s="254">
        <f>'8'!$G$90</f>
        <v>7.5</v>
      </c>
      <c r="AY12" s="252">
        <f t="shared" si="1"/>
        <v>23.600000000002183</v>
      </c>
      <c r="AZ12" s="311">
        <f t="shared" si="6"/>
        <v>26.687354538401184</v>
      </c>
      <c r="BA12" s="311">
        <f t="shared" si="3"/>
        <v>30.584745762709158</v>
      </c>
      <c r="BB12" s="351">
        <f t="shared" si="4"/>
        <v>6797.2099999999627</v>
      </c>
      <c r="BC12" s="351">
        <f t="shared" si="5"/>
        <v>29.937062321074489</v>
      </c>
    </row>
    <row r="13" spans="1:55">
      <c r="A13" s="359">
        <v>9</v>
      </c>
      <c r="B13" s="510">
        <f>'9'!G7</f>
        <v>21811.469999999972</v>
      </c>
      <c r="C13" s="510">
        <f>'9'!G8</f>
        <v>22239.420000000042</v>
      </c>
      <c r="D13" s="510">
        <f>'9'!G15</f>
        <v>1162.7599999997765</v>
      </c>
      <c r="E13" s="510">
        <f>'9'!G20</f>
        <v>105</v>
      </c>
      <c r="F13" s="510">
        <f>SUM('9'!G35,'9'!G49)</f>
        <v>3086.2700000000186</v>
      </c>
      <c r="G13" s="510">
        <f>SUM('9'!G37,'9'!G51)</f>
        <v>1388.5900000000256</v>
      </c>
      <c r="H13" s="510">
        <f>SUM('9'!G38,'9'!G52)</f>
        <v>2435.8600000000515</v>
      </c>
      <c r="I13" s="510">
        <f>SUM('9'!G39,'9'!G53)</f>
        <v>2782.3400000000838</v>
      </c>
      <c r="J13" s="510">
        <f>SUM('9'!G41,'9'!G42,'9'!G55,'9'!G56)</f>
        <v>3380.1699999999837</v>
      </c>
      <c r="K13" s="510">
        <f>SUM('9'!G43,'9'!G57)</f>
        <v>2617.7900000000373</v>
      </c>
      <c r="L13" s="254">
        <f>'9'!G50</f>
        <v>1214.7099999999627</v>
      </c>
      <c r="M13" s="254">
        <f>'9'!G36</f>
        <v>987.54999999998836</v>
      </c>
      <c r="N13" s="254">
        <f>'9'!G138</f>
        <v>113</v>
      </c>
      <c r="O13" s="254">
        <f>'9'!$G$139</f>
        <v>158</v>
      </c>
      <c r="P13" s="254">
        <f>'9'!$G$140</f>
        <v>32</v>
      </c>
      <c r="Q13" s="254">
        <f>'9'!$G$141</f>
        <v>254</v>
      </c>
      <c r="R13" s="254">
        <f>'9'!$G$142</f>
        <v>90</v>
      </c>
      <c r="S13" s="254">
        <f>'9'!$G$145</f>
        <v>294</v>
      </c>
      <c r="T13" s="251">
        <f>'9'!$G$146</f>
        <v>28</v>
      </c>
      <c r="U13" s="251">
        <f>'9'!$G$144</f>
        <v>237</v>
      </c>
      <c r="V13" s="251">
        <f>'9'!$G$147</f>
        <v>340</v>
      </c>
      <c r="W13" s="251">
        <f>'9'!$G$148</f>
        <v>334</v>
      </c>
      <c r="X13" s="251">
        <f>'9'!$G$143</f>
        <v>32</v>
      </c>
      <c r="Y13" s="251">
        <f>'9'!$G$58</f>
        <v>260.58999999999651</v>
      </c>
      <c r="Z13" s="251">
        <f>'9'!$G$151</f>
        <v>367</v>
      </c>
      <c r="AA13" s="251">
        <f>'9'!G161</f>
        <v>195</v>
      </c>
      <c r="AB13" s="251">
        <f>'9'!G162</f>
        <v>29</v>
      </c>
      <c r="AC13" s="251"/>
      <c r="AD13" s="251">
        <f>'9'!G163+'9'!G164</f>
        <v>2.5</v>
      </c>
      <c r="AE13" s="254">
        <f>'9'!$G$116</f>
        <v>446</v>
      </c>
      <c r="AF13" s="254">
        <f>'9'!$G$117</f>
        <v>261</v>
      </c>
      <c r="AG13" s="254">
        <f>'9'!$G$118</f>
        <v>711</v>
      </c>
      <c r="AH13" s="254">
        <f>'9'!$G$119</f>
        <v>60</v>
      </c>
      <c r="AI13" s="254">
        <f>'9'!$G$120</f>
        <v>364</v>
      </c>
      <c r="AJ13" s="254">
        <f>'9'!$G$121</f>
        <v>412</v>
      </c>
      <c r="AK13" s="254">
        <f>'9'!$G$122</f>
        <v>308</v>
      </c>
      <c r="AL13" s="254">
        <f>'9'!$G$123</f>
        <v>306.60000000000582</v>
      </c>
      <c r="AM13" s="254">
        <f>'9'!$G$133</f>
        <v>544</v>
      </c>
      <c r="AN13" s="254">
        <f>'9'!$G$15</f>
        <v>1162.7599999997765</v>
      </c>
      <c r="AO13" s="256">
        <f>'9'!$G$74</f>
        <v>305.61000000000058</v>
      </c>
      <c r="AP13" s="256">
        <f>'9'!$G$75</f>
        <v>-0.19999999999708962</v>
      </c>
      <c r="AQ13" s="256">
        <f>'9'!$G$76</f>
        <v>84</v>
      </c>
      <c r="AR13" s="256">
        <f>'9'!$G$77</f>
        <v>42</v>
      </c>
      <c r="AS13" s="256">
        <f>'9'!$G$78</f>
        <v>0</v>
      </c>
      <c r="AT13" s="256">
        <f t="shared" si="0"/>
        <v>731.34999999977299</v>
      </c>
      <c r="AU13" s="254">
        <f>SUM('9'!G91:G92)</f>
        <v>12.409999999999854</v>
      </c>
      <c r="AV13" s="254">
        <f>'9'!$G$88</f>
        <v>4.3599999999969441</v>
      </c>
      <c r="AW13" s="254">
        <f>'9'!$G$89</f>
        <v>10.729999999999563</v>
      </c>
      <c r="AX13" s="254">
        <f>'9'!$G$90</f>
        <v>8.7000000000116415</v>
      </c>
      <c r="AY13" s="252">
        <f t="shared" si="1"/>
        <v>23.790000000008149</v>
      </c>
      <c r="AZ13" s="311">
        <f t="shared" si="6"/>
        <v>24.626107977437886</v>
      </c>
      <c r="BA13" s="311">
        <f t="shared" si="3"/>
        <v>30.741908364839112</v>
      </c>
      <c r="BB13" s="351">
        <f t="shared" si="4"/>
        <v>6287.8099999998449</v>
      </c>
      <c r="BC13" s="351">
        <f t="shared" si="5"/>
        <v>28.827997379359818</v>
      </c>
    </row>
    <row r="14" spans="1:55">
      <c r="A14" s="359">
        <v>10</v>
      </c>
      <c r="B14" s="510">
        <f>'10'!G7</f>
        <v>22153.20000000007</v>
      </c>
      <c r="C14" s="510">
        <f>'10'!G8</f>
        <v>22634.090000000004</v>
      </c>
      <c r="D14" s="510">
        <f>'10'!G15</f>
        <v>1074.820000000298</v>
      </c>
      <c r="E14" s="510">
        <f>'10'!G20</f>
        <v>47</v>
      </c>
      <c r="F14" s="510">
        <f>SUM('10'!G35,'10'!G49)</f>
        <v>3098.9399999999441</v>
      </c>
      <c r="G14" s="510">
        <f>SUM('10'!G37,'10'!G51)</f>
        <v>1391.4099999999744</v>
      </c>
      <c r="H14" s="510">
        <f>SUM('10'!G38,'10'!G52)</f>
        <v>2439.5699999999488</v>
      </c>
      <c r="I14" s="510">
        <f>SUM('10'!G39,'10'!G53)</f>
        <v>2862.6599999999162</v>
      </c>
      <c r="J14" s="510">
        <f>SUM('10'!G41,'10'!G42,'10'!G55,'10'!G56)</f>
        <v>3491.0400000000373</v>
      </c>
      <c r="K14" s="510">
        <f>SUM('10'!G43,'10'!G57)</f>
        <v>2611.8099999999395</v>
      </c>
      <c r="L14" s="254">
        <f>'10'!G50</f>
        <v>1246.2900000000373</v>
      </c>
      <c r="M14" s="254">
        <f>'10'!G36</f>
        <v>1005.4500000000116</v>
      </c>
      <c r="N14" s="254">
        <f>'10'!G138</f>
        <v>101</v>
      </c>
      <c r="O14" s="254">
        <f>'10'!$G$139</f>
        <v>153</v>
      </c>
      <c r="P14" s="254">
        <f>'10'!$G$140</f>
        <v>30.890000000000327</v>
      </c>
      <c r="Q14" s="254">
        <f>'10'!$G$141</f>
        <v>245.67000000001281</v>
      </c>
      <c r="R14" s="254">
        <f>'10'!$G$142</f>
        <v>89</v>
      </c>
      <c r="S14" s="254">
        <f>'10'!$G$145</f>
        <v>214</v>
      </c>
      <c r="T14" s="251">
        <f>'10'!$G$146</f>
        <v>31</v>
      </c>
      <c r="U14" s="251">
        <f>'10'!$G$144</f>
        <v>243</v>
      </c>
      <c r="V14" s="257">
        <f>'10'!$G$147</f>
        <v>341</v>
      </c>
      <c r="W14" s="257">
        <f>'10'!$G$148</f>
        <v>256</v>
      </c>
      <c r="X14" s="251">
        <f>'10'!$G$143</f>
        <v>34.399999999999636</v>
      </c>
      <c r="Y14" s="251">
        <f>'10'!$G$58</f>
        <v>258.27999999999884</v>
      </c>
      <c r="Z14" s="251">
        <f>'10'!$G$151</f>
        <v>340</v>
      </c>
      <c r="AA14" s="251">
        <f>'10'!G161</f>
        <v>199</v>
      </c>
      <c r="AB14" s="251">
        <f>'10'!G162</f>
        <v>46.400000000000091</v>
      </c>
      <c r="AC14" s="251"/>
      <c r="AD14" s="251">
        <f>'10'!G163+'10'!G164</f>
        <v>1.3999999999996362</v>
      </c>
      <c r="AE14" s="254">
        <f>'10'!$G$116</f>
        <v>458</v>
      </c>
      <c r="AF14" s="254">
        <f>'10'!$G$117</f>
        <v>222.89999999999418</v>
      </c>
      <c r="AG14" s="254">
        <f>'10'!$G$118</f>
        <v>737.39999999999418</v>
      </c>
      <c r="AH14" s="254">
        <f>'10'!$G$119</f>
        <v>61.580000000001746</v>
      </c>
      <c r="AI14" s="254">
        <f>'10'!$G$120</f>
        <v>401.69999999999709</v>
      </c>
      <c r="AJ14" s="254">
        <f>'10'!$G$121</f>
        <v>445.60000000000582</v>
      </c>
      <c r="AK14" s="254">
        <f>'10'!$G$122</f>
        <v>313.30000000000291</v>
      </c>
      <c r="AL14" s="254">
        <f>'10'!$G$123</f>
        <v>303.39999999999418</v>
      </c>
      <c r="AM14" s="254">
        <f>'10'!$G$133</f>
        <v>506</v>
      </c>
      <c r="AN14" s="254">
        <f>'10'!$G$15</f>
        <v>1074.820000000298</v>
      </c>
      <c r="AO14" s="256">
        <f>'10'!$G$74</f>
        <v>311.38999999999942</v>
      </c>
      <c r="AP14" s="256">
        <f>'10'!$G$75</f>
        <v>0</v>
      </c>
      <c r="AQ14" s="256">
        <f>'10'!$G$76</f>
        <v>100</v>
      </c>
      <c r="AR14" s="256">
        <f>'10'!$G$77</f>
        <v>47</v>
      </c>
      <c r="AS14" s="256">
        <f>'10'!$G$78</f>
        <v>0</v>
      </c>
      <c r="AT14" s="256">
        <f t="shared" si="0"/>
        <v>616.43000000029861</v>
      </c>
      <c r="AU14" s="254">
        <f>SUM('10'!G91:G92)</f>
        <v>12.109999999999673</v>
      </c>
      <c r="AV14" s="254">
        <f>'10'!$G$88</f>
        <v>8.6700000000018917</v>
      </c>
      <c r="AW14" s="254">
        <f>'10'!$G$89</f>
        <v>4.4000000000014552</v>
      </c>
      <c r="AX14" s="254">
        <f>'10'!$G$90</f>
        <v>8.5499999999883585</v>
      </c>
      <c r="AY14" s="252">
        <f t="shared" si="1"/>
        <v>21.619999999991705</v>
      </c>
      <c r="AZ14" s="311">
        <f t="shared" si="6"/>
        <v>25.713459950454816</v>
      </c>
      <c r="BA14" s="311">
        <f t="shared" si="3"/>
        <v>28.512025901967395</v>
      </c>
      <c r="BB14" s="351">
        <f t="shared" si="4"/>
        <v>6480.3800000002448</v>
      </c>
      <c r="BC14" s="351">
        <f t="shared" si="5"/>
        <v>29.252568477692723</v>
      </c>
    </row>
    <row r="15" spans="1:55">
      <c r="A15" s="359">
        <v>11</v>
      </c>
      <c r="B15" s="510">
        <f>'11'!G7</f>
        <v>20876.399999999907</v>
      </c>
      <c r="C15" s="510">
        <f>'11'!G8</f>
        <v>21484.029999999992</v>
      </c>
      <c r="D15" s="510">
        <f>'11'!G15</f>
        <v>1066.4199999999255</v>
      </c>
      <c r="E15" s="510">
        <f>'11'!G20</f>
        <v>54</v>
      </c>
      <c r="F15" s="510">
        <f>SUM('11'!G35,'11'!G49)</f>
        <v>3210.4599999999627</v>
      </c>
      <c r="G15" s="510">
        <f>SUM('11'!G37,'11'!G51)</f>
        <v>1366.1900000000023</v>
      </c>
      <c r="H15" s="510">
        <f>SUM('11'!G38,'11'!G52)</f>
        <v>2416.75</v>
      </c>
      <c r="I15" s="510">
        <f>SUM('11'!G39,'11'!G53)</f>
        <v>2794.2199999999721</v>
      </c>
      <c r="J15" s="510">
        <f>SUM('11'!G41,'11'!G42,'11'!G55,'11'!G56)</f>
        <v>2718.2099999999627</v>
      </c>
      <c r="K15" s="510">
        <f>SUM('11'!G43,'11'!G57)</f>
        <v>2619.8699999999953</v>
      </c>
      <c r="L15" s="254">
        <f>'11'!G50</f>
        <v>1156.9499999999534</v>
      </c>
      <c r="M15" s="254">
        <f>'11'!G36</f>
        <v>1010.4699999999721</v>
      </c>
      <c r="N15" s="254">
        <f>'11'!G138</f>
        <v>105</v>
      </c>
      <c r="O15" s="254">
        <f>'11'!$G$139</f>
        <v>121</v>
      </c>
      <c r="P15" s="254">
        <f>'11'!$G$140</f>
        <v>30.9399999999996</v>
      </c>
      <c r="Q15" s="254">
        <f>'11'!$G$141</f>
        <v>250.93999999997322</v>
      </c>
      <c r="R15" s="254">
        <f>'11'!$G$142</f>
        <v>81.900000000001455</v>
      </c>
      <c r="S15" s="254">
        <f>'11'!$G$145</f>
        <v>191</v>
      </c>
      <c r="T15" s="251">
        <f>'11'!$G$146</f>
        <v>31</v>
      </c>
      <c r="U15" s="251">
        <f>'11'!$G$144</f>
        <v>232</v>
      </c>
      <c r="V15" s="251">
        <f>'11'!$G$147</f>
        <v>368</v>
      </c>
      <c r="W15" s="251">
        <f>'11'!$G$148</f>
        <v>361</v>
      </c>
      <c r="X15" s="251">
        <f>'11'!$G$143</f>
        <v>28.909999999999854</v>
      </c>
      <c r="Y15" s="251">
        <f>'11'!$G$58</f>
        <v>258.63999999999942</v>
      </c>
      <c r="Z15" s="251">
        <f>'11'!$G$151</f>
        <v>353</v>
      </c>
      <c r="AA15" s="251">
        <f>'11'!G161</f>
        <v>162</v>
      </c>
      <c r="AB15" s="251">
        <f>'11'!G162</f>
        <v>53.299999999999727</v>
      </c>
      <c r="AC15" s="251">
        <f>'11'!G88</f>
        <v>4.680000000000291</v>
      </c>
      <c r="AD15" s="251">
        <f>'11'!G163+'11'!G164</f>
        <v>1.7000000000007276</v>
      </c>
      <c r="AE15" s="254">
        <f>'11'!$G$116</f>
        <v>429</v>
      </c>
      <c r="AF15" s="254">
        <f>'11'!$G$117</f>
        <v>209.10000000000582</v>
      </c>
      <c r="AG15" s="254">
        <f>'11'!$G$118</f>
        <v>728.60000000000582</v>
      </c>
      <c r="AH15" s="254">
        <f>'11'!$G$119</f>
        <v>61.419999999998254</v>
      </c>
      <c r="AI15" s="254">
        <f>'11'!$G$120</f>
        <v>388.30000000000291</v>
      </c>
      <c r="AJ15" s="254">
        <f>'11'!$G$121</f>
        <v>450.39999999999418</v>
      </c>
      <c r="AK15" s="254">
        <f>'11'!$G$122</f>
        <v>319.30000000000291</v>
      </c>
      <c r="AL15" s="254">
        <f>'11'!$G$123</f>
        <v>307</v>
      </c>
      <c r="AM15" s="254">
        <f>'11'!$G$133</f>
        <v>860</v>
      </c>
      <c r="AN15" s="254">
        <f>'11'!$G$15</f>
        <v>1066.4199999999255</v>
      </c>
      <c r="AO15" s="256">
        <f>'11'!$G$74</f>
        <v>295.92000000000007</v>
      </c>
      <c r="AP15" s="256">
        <f>'11'!$G$75</f>
        <v>0</v>
      </c>
      <c r="AQ15" s="256">
        <f>'11'!$G$76</f>
        <v>131</v>
      </c>
      <c r="AR15" s="256">
        <f>'11'!$G$77</f>
        <v>49</v>
      </c>
      <c r="AS15" s="256">
        <f>'11'!$G$78</f>
        <v>0</v>
      </c>
      <c r="AT15" s="256">
        <f t="shared" si="0"/>
        <v>590.49999999992542</v>
      </c>
      <c r="AU15" s="254">
        <f>SUM('11'!G91:G92)</f>
        <v>11.5</v>
      </c>
      <c r="AV15" s="254">
        <f>'11'!$G$88</f>
        <v>4.680000000000291</v>
      </c>
      <c r="AW15" s="254">
        <f>'11'!$G$89</f>
        <v>7.4399999999986903</v>
      </c>
      <c r="AX15" s="254">
        <f>'11'!$G$90</f>
        <v>7.1200000000098953</v>
      </c>
      <c r="AY15" s="252">
        <f t="shared" si="1"/>
        <v>19.240000000008877</v>
      </c>
      <c r="AZ15" s="311">
        <f t="shared" si="6"/>
        <v>25.732173913043486</v>
      </c>
      <c r="BA15" s="311">
        <f t="shared" si="3"/>
        <v>30.691268191250156</v>
      </c>
      <c r="BB15" s="351">
        <f t="shared" si="4"/>
        <v>6099.6900000000969</v>
      </c>
      <c r="BC15" s="351">
        <f t="shared" si="5"/>
        <v>29.218112318216377</v>
      </c>
    </row>
    <row r="16" spans="1:55">
      <c r="A16" s="359">
        <v>12</v>
      </c>
      <c r="B16" s="510">
        <f>'12'!G7</f>
        <v>20081.840000000084</v>
      </c>
      <c r="C16" s="510">
        <f>'12'!G8</f>
        <v>20559.380000000005</v>
      </c>
      <c r="D16" s="510">
        <f>'12'!G15</f>
        <v>741.60999999986961</v>
      </c>
      <c r="E16" s="510">
        <f>'12'!G20</f>
        <v>57</v>
      </c>
      <c r="F16" s="510">
        <f>SUM('12'!G35,'12'!G49)</f>
        <v>3075.2000000000698</v>
      </c>
      <c r="G16" s="510">
        <f>SUM('12'!G37,'12'!G51)</f>
        <v>1336.1599999999744</v>
      </c>
      <c r="H16" s="510">
        <f>SUM('12'!G38,'12'!G52)</f>
        <v>2375.5200000000186</v>
      </c>
      <c r="I16" s="510">
        <f>SUM('12'!G39,'12'!G53)</f>
        <v>2793.6000000000931</v>
      </c>
      <c r="J16" s="510">
        <f>SUM('12'!G41,'12'!G42,'12'!G55,'12'!G56)</f>
        <v>2806.0400000000373</v>
      </c>
      <c r="K16" s="510">
        <f>SUM('12'!G43,'12'!G57)</f>
        <v>2614.2399999999907</v>
      </c>
      <c r="L16" s="254">
        <f>'12'!G50</f>
        <v>1137.4800000000978</v>
      </c>
      <c r="M16" s="254">
        <f>'12'!G36</f>
        <v>734.44000000000233</v>
      </c>
      <c r="N16" s="254">
        <f>'12'!G138</f>
        <v>112</v>
      </c>
      <c r="O16" s="254">
        <f>'12'!$G$139</f>
        <v>150</v>
      </c>
      <c r="P16" s="254">
        <f>'12'!$G$140</f>
        <v>30.980000000000473</v>
      </c>
      <c r="Q16" s="254">
        <f>'12'!$G$141</f>
        <v>255.35000000000582</v>
      </c>
      <c r="R16" s="254">
        <f>'12'!$G$142</f>
        <v>83</v>
      </c>
      <c r="S16" s="254">
        <f>'12'!$G$145</f>
        <v>161</v>
      </c>
      <c r="T16" s="251">
        <f>'12'!$G$146</f>
        <v>30</v>
      </c>
      <c r="U16" s="251">
        <f>'12'!$G$144</f>
        <v>227</v>
      </c>
      <c r="V16" s="251">
        <f>'12'!$G$147</f>
        <v>360</v>
      </c>
      <c r="W16" s="251">
        <f>'12'!$G$148</f>
        <v>321.59999999997672</v>
      </c>
      <c r="X16" s="251">
        <f>'12'!$G$143</f>
        <v>31.06000000000131</v>
      </c>
      <c r="Y16" s="251">
        <f>'12'!$G$58</f>
        <v>53.010000000009313</v>
      </c>
      <c r="Z16" s="251">
        <f>'12'!$G$151</f>
        <v>335</v>
      </c>
      <c r="AA16" s="251">
        <f>'12'!G161</f>
        <v>71.099999999976717</v>
      </c>
      <c r="AB16" s="251">
        <f>'12'!G162</f>
        <v>50.800000000000182</v>
      </c>
      <c r="AC16" s="251">
        <f>'12'!G88</f>
        <v>0</v>
      </c>
      <c r="AD16" s="251">
        <f>'12'!G163+'12'!G164</f>
        <v>0.6999999999998181</v>
      </c>
      <c r="AE16" s="254">
        <f>'12'!$G$116</f>
        <v>404</v>
      </c>
      <c r="AF16" s="254">
        <f>'12'!$G$117</f>
        <v>234.44999999999709</v>
      </c>
      <c r="AG16" s="254">
        <f>'12'!$G$118</f>
        <v>705.20000000001164</v>
      </c>
      <c r="AH16" s="254">
        <f>'12'!$G$119</f>
        <v>65.400000000001455</v>
      </c>
      <c r="AI16" s="254">
        <f>'12'!$G$120</f>
        <v>387.80000000000291</v>
      </c>
      <c r="AJ16" s="254">
        <f>'12'!$G$121</f>
        <v>438.89999999999418</v>
      </c>
      <c r="AK16" s="254">
        <f>'12'!$G$122</f>
        <v>334</v>
      </c>
      <c r="AL16" s="254">
        <f>'12'!$G$123</f>
        <v>317.80000000000291</v>
      </c>
      <c r="AM16" s="254">
        <f>'12'!$G$133</f>
        <v>699</v>
      </c>
      <c r="AN16" s="254">
        <f>'12'!$G$15</f>
        <v>741.60999999986961</v>
      </c>
      <c r="AO16" s="256">
        <f>'12'!$G$74</f>
        <v>286.07999999999993</v>
      </c>
      <c r="AP16" s="256">
        <f>'12'!$G$75</f>
        <v>0.19999999999708962</v>
      </c>
      <c r="AQ16" s="256">
        <f>'12'!$G$76</f>
        <v>112</v>
      </c>
      <c r="AR16" s="256">
        <f>'12'!$G$77</f>
        <v>58</v>
      </c>
      <c r="AS16" s="256">
        <f>'12'!$G$78</f>
        <v>0</v>
      </c>
      <c r="AT16" s="256">
        <f t="shared" si="0"/>
        <v>285.3299999998726</v>
      </c>
      <c r="AU16" s="254">
        <f>SUM('12'!G91:G92)</f>
        <v>11.360000000000582</v>
      </c>
      <c r="AV16" s="254">
        <f>'12'!$G$88</f>
        <v>0</v>
      </c>
      <c r="AW16" s="254">
        <f>'12'!$G$89</f>
        <v>0</v>
      </c>
      <c r="AX16" s="254">
        <f>'12'!$G$90</f>
        <v>9.4599999999918509</v>
      </c>
      <c r="AY16" s="252">
        <f t="shared" si="1"/>
        <v>9.4599999999918509</v>
      </c>
      <c r="AZ16" s="311">
        <f t="shared" si="6"/>
        <v>25.183098591547999</v>
      </c>
      <c r="BA16" s="311">
        <f t="shared" si="3"/>
        <v>30.161733615234503</v>
      </c>
      <c r="BB16" s="351">
        <f t="shared" si="4"/>
        <v>5505.6099999998114</v>
      </c>
      <c r="BC16" s="351">
        <f t="shared" si="5"/>
        <v>27.415864283351468</v>
      </c>
    </row>
    <row r="17" spans="1:55">
      <c r="A17" s="359">
        <v>13</v>
      </c>
      <c r="B17" s="510">
        <f>'13'!G7</f>
        <v>20966.079999999958</v>
      </c>
      <c r="C17" s="510">
        <f>'13'!G8</f>
        <v>21408.770000000004</v>
      </c>
      <c r="D17" s="510">
        <f>'13'!G15</f>
        <v>738.41360000008717</v>
      </c>
      <c r="E17" s="510">
        <f>'13'!G20</f>
        <v>64</v>
      </c>
      <c r="F17" s="510">
        <f>SUM('13'!G35,'13'!G49)</f>
        <v>2867.609999999986</v>
      </c>
      <c r="G17" s="510">
        <f>SUM('13'!G37,'13'!G51)</f>
        <v>1353.6500000000233</v>
      </c>
      <c r="H17" s="510">
        <f>SUM('13'!G38,'13'!G52)</f>
        <v>2302.1600000000326</v>
      </c>
      <c r="I17" s="510">
        <f>SUM('13'!G39,'13'!G53)</f>
        <v>2751.4099999999162</v>
      </c>
      <c r="J17" s="510">
        <f>SUM('13'!G41,'13'!G42,'13'!G55,'13'!G56)</f>
        <v>3416.8399999999674</v>
      </c>
      <c r="K17" s="510">
        <f>SUM('13'!G43,'13'!G57)</f>
        <v>2558.9600000000792</v>
      </c>
      <c r="L17" s="254">
        <f>'13'!G50</f>
        <v>1562.5199999999022</v>
      </c>
      <c r="M17" s="254">
        <f>'13'!G36</f>
        <v>807.09000000002561</v>
      </c>
      <c r="N17" s="254">
        <f>'13'!G138</f>
        <v>120</v>
      </c>
      <c r="O17" s="254">
        <f>'13'!$G$139</f>
        <v>116</v>
      </c>
      <c r="P17" s="254">
        <f>'13'!$G$140</f>
        <v>32.889999999999418</v>
      </c>
      <c r="Q17" s="254">
        <f>'13'!$G$141</f>
        <v>261.04000000000815</v>
      </c>
      <c r="R17" s="254">
        <f>'13'!$G$142</f>
        <v>83.900000000001455</v>
      </c>
      <c r="S17" s="254">
        <f>'13'!$G$145</f>
        <v>219</v>
      </c>
      <c r="T17" s="251">
        <f>'13'!$G$146</f>
        <v>37</v>
      </c>
      <c r="U17" s="251">
        <f>'13'!$G$144</f>
        <v>222</v>
      </c>
      <c r="V17" s="251">
        <f>'13'!$G$147</f>
        <v>383.92000000004191</v>
      </c>
      <c r="W17" s="251">
        <f>'13'!$G$148</f>
        <v>300.47999999998137</v>
      </c>
      <c r="X17" s="251">
        <f>'13'!$G$143</f>
        <v>30.347999999999956</v>
      </c>
      <c r="Y17" s="251">
        <f>'13'!$G$58</f>
        <v>50.479999999995925</v>
      </c>
      <c r="Z17" s="251">
        <f>'13'!$G$151</f>
        <v>335</v>
      </c>
      <c r="AA17" s="251">
        <f>'13'!G161</f>
        <v>177.94000000000233</v>
      </c>
      <c r="AB17" s="251">
        <f>'13'!G162</f>
        <v>55.800000000000182</v>
      </c>
      <c r="AC17" s="251">
        <f>'13'!G88</f>
        <v>-0.2000000000007276</v>
      </c>
      <c r="AD17" s="251">
        <f>'13'!G163+'13'!G164</f>
        <v>1.3000000000001819</v>
      </c>
      <c r="AE17" s="254">
        <f>'13'!$G$116</f>
        <v>395</v>
      </c>
      <c r="AF17" s="254">
        <f>'13'!$G$117</f>
        <v>220.91999999999825</v>
      </c>
      <c r="AG17" s="254">
        <f>'13'!$G$118</f>
        <v>695.97000000000116</v>
      </c>
      <c r="AH17" s="254">
        <f>'13'!$G$119</f>
        <v>58.599999999998545</v>
      </c>
      <c r="AI17" s="254">
        <f>'13'!$G$120</f>
        <v>374.19999999999709</v>
      </c>
      <c r="AJ17" s="254">
        <f>'13'!$G$121</f>
        <v>424.10000000000582</v>
      </c>
      <c r="AK17" s="254">
        <f>'13'!$G$122</f>
        <v>305.75</v>
      </c>
      <c r="AL17" s="254">
        <f>'13'!$G$123</f>
        <v>306.24700000000303</v>
      </c>
      <c r="AM17" s="254">
        <f>'13'!$G$133</f>
        <v>536</v>
      </c>
      <c r="AN17" s="254">
        <f>'13'!$G$15</f>
        <v>738.41360000008717</v>
      </c>
      <c r="AO17" s="256">
        <f>'13'!$G$74</f>
        <v>299</v>
      </c>
      <c r="AP17" s="256">
        <f>'13'!$G$75</f>
        <v>-0.39999999999417923</v>
      </c>
      <c r="AQ17" s="256">
        <f>'13'!$G$76</f>
        <v>105</v>
      </c>
      <c r="AR17" s="256">
        <f>'13'!$G$77</f>
        <v>48</v>
      </c>
      <c r="AS17" s="256">
        <f>'13'!$G$78</f>
        <v>0</v>
      </c>
      <c r="AT17" s="256">
        <f t="shared" si="0"/>
        <v>286.81360000008135</v>
      </c>
      <c r="AU17" s="254">
        <f>SUM('13'!G91:G92)</f>
        <v>11.719999999999345</v>
      </c>
      <c r="AV17" s="254">
        <f>'13'!$G$88</f>
        <v>-0.2000000000007276</v>
      </c>
      <c r="AW17" s="254">
        <f>'13'!$G$89</f>
        <v>-6.9999999999708962E-2</v>
      </c>
      <c r="AX17" s="254">
        <f>'13'!$G$90</f>
        <v>9.7400000000052387</v>
      </c>
      <c r="AY17" s="252">
        <f t="shared" si="1"/>
        <v>9.4700000000048021</v>
      </c>
      <c r="AZ17" s="311">
        <f t="shared" si="6"/>
        <v>25.511945392492894</v>
      </c>
      <c r="BA17" s="311">
        <f t="shared" si="3"/>
        <v>30.286546990489537</v>
      </c>
      <c r="BB17" s="351">
        <f t="shared" si="4"/>
        <v>6107.6600000000035</v>
      </c>
      <c r="BC17" s="351">
        <f t="shared" si="5"/>
        <v>29.13114897968536</v>
      </c>
    </row>
    <row r="18" spans="1:55">
      <c r="A18" s="359">
        <v>14</v>
      </c>
      <c r="B18" s="510">
        <f>'14'!G7</f>
        <v>21687.940000000061</v>
      </c>
      <c r="C18" s="510">
        <f>'14'!G8</f>
        <v>22111.61</v>
      </c>
      <c r="D18" s="510">
        <f>'14'!G15</f>
        <v>823.97640000004321</v>
      </c>
      <c r="E18" s="510">
        <f>'14'!G20</f>
        <v>174</v>
      </c>
      <c r="F18" s="510">
        <f>SUM('14'!G35,'14'!G49)</f>
        <v>3173.7299999999814</v>
      </c>
      <c r="G18" s="510">
        <f>SUM('14'!G37,'14'!G51)</f>
        <v>1369.75</v>
      </c>
      <c r="H18" s="510">
        <f>SUM('14'!G38,'14'!G52)</f>
        <v>2361.4899999999252</v>
      </c>
      <c r="I18" s="510">
        <f>SUM('14'!G39,'14'!G53)</f>
        <v>2759.5500000000466</v>
      </c>
      <c r="J18" s="510">
        <f>SUM('14'!G41,'14'!G42,'14'!G55,'14'!G56)</f>
        <v>3541.0100000000093</v>
      </c>
      <c r="K18" s="510">
        <f>SUM('14'!G43,'14'!G57)</f>
        <v>2594.0799999999581</v>
      </c>
      <c r="L18" s="254">
        <f>'14'!G50</f>
        <v>1637.7200000000885</v>
      </c>
      <c r="M18" s="254">
        <f>'14'!G36</f>
        <v>948.86999999999534</v>
      </c>
      <c r="N18" s="254">
        <f>'14'!G138</f>
        <v>115</v>
      </c>
      <c r="O18" s="254">
        <f>'14'!$G$139</f>
        <v>124</v>
      </c>
      <c r="P18" s="254">
        <f>'14'!$G$140</f>
        <v>30.300000000000182</v>
      </c>
      <c r="Q18" s="254">
        <f>'14'!$G$141</f>
        <v>231.04999999998836</v>
      </c>
      <c r="R18" s="254">
        <f>'14'!$G$142</f>
        <v>82.534999999996217</v>
      </c>
      <c r="S18" s="254">
        <f>'14'!$G$145</f>
        <v>226</v>
      </c>
      <c r="T18" s="251">
        <f>'14'!$G$146</f>
        <v>25</v>
      </c>
      <c r="U18" s="251">
        <f>'14'!$G$144</f>
        <v>226</v>
      </c>
      <c r="V18" s="251">
        <f>'14'!$G$147</f>
        <v>395.35999999998603</v>
      </c>
      <c r="W18" s="251">
        <f>'14'!$G$148</f>
        <v>347.92000000004191</v>
      </c>
      <c r="X18" s="251">
        <f>'14'!$G$143</f>
        <v>32.331999999998516</v>
      </c>
      <c r="Y18" s="251">
        <f>'14'!$G$58</f>
        <v>55.589999999996508</v>
      </c>
      <c r="Z18" s="251">
        <f>'14'!$G$151</f>
        <v>342</v>
      </c>
      <c r="AA18" s="251">
        <f>'14'!G161</f>
        <v>158.28000000002794</v>
      </c>
      <c r="AB18" s="251">
        <f>'14'!G162</f>
        <v>46.699999999999818</v>
      </c>
      <c r="AC18" s="251">
        <f>'14'!G88</f>
        <v>9.5999999999985448</v>
      </c>
      <c r="AD18" s="251">
        <f>'14'!G163+'14'!G164</f>
        <v>-0.1000000000003638</v>
      </c>
      <c r="AE18" s="254">
        <f>'14'!$G$116</f>
        <v>410.67999999999302</v>
      </c>
      <c r="AF18" s="254">
        <f>'14'!$G$117</f>
        <v>213.84500000000116</v>
      </c>
      <c r="AG18" s="254">
        <f>'14'!$G$118</f>
        <v>720.57999999998719</v>
      </c>
      <c r="AH18" s="254">
        <f>'14'!$G$119</f>
        <v>60.699000000000524</v>
      </c>
      <c r="AI18" s="254">
        <f>'14'!$G$120</f>
        <v>384.39999999999418</v>
      </c>
      <c r="AJ18" s="254">
        <f>'14'!$G$121</f>
        <v>431.64000000001397</v>
      </c>
      <c r="AK18" s="254">
        <f>'14'!$G$122</f>
        <v>280.11999999999534</v>
      </c>
      <c r="AL18" s="254">
        <f>'14'!$G$123</f>
        <v>315.80799999998999</v>
      </c>
      <c r="AM18" s="254">
        <f>'14'!$G$133</f>
        <v>588</v>
      </c>
      <c r="AN18" s="254">
        <f>'14'!$G$15</f>
        <v>823.97640000004321</v>
      </c>
      <c r="AO18" s="256">
        <f>'14'!$G$74</f>
        <v>286</v>
      </c>
      <c r="AP18" s="256">
        <f>'14'!$G$75</f>
        <v>0</v>
      </c>
      <c r="AQ18" s="256">
        <f>'14'!$G$76</f>
        <v>113</v>
      </c>
      <c r="AR18" s="256">
        <f>'14'!$G$77</f>
        <v>64</v>
      </c>
      <c r="AS18" s="256">
        <f>'14'!$G$78</f>
        <v>0</v>
      </c>
      <c r="AT18" s="256">
        <f t="shared" si="0"/>
        <v>360.97640000004321</v>
      </c>
      <c r="AU18" s="254">
        <f>SUM('14'!G91:G92)</f>
        <v>11.600000000000364</v>
      </c>
      <c r="AV18" s="254">
        <f>'14'!$G$88</f>
        <v>9.5999999999985448</v>
      </c>
      <c r="AW18" s="254">
        <f>'14'!$G$89</f>
        <v>0.33000000000174623</v>
      </c>
      <c r="AX18" s="254">
        <f>'14'!$G$90</f>
        <v>1</v>
      </c>
      <c r="AY18" s="252">
        <f t="shared" si="1"/>
        <v>10.930000000000291</v>
      </c>
      <c r="AZ18" s="311">
        <f t="shared" si="6"/>
        <v>24.655172413792329</v>
      </c>
      <c r="BA18" s="311">
        <f t="shared" si="3"/>
        <v>33.026203110707556</v>
      </c>
      <c r="BB18" s="351">
        <f t="shared" si="4"/>
        <v>6256.4100000000835</v>
      </c>
      <c r="BC18" s="351">
        <f t="shared" si="5"/>
        <v>28.847414738329533</v>
      </c>
    </row>
    <row r="19" spans="1:55">
      <c r="A19" s="359">
        <v>15</v>
      </c>
      <c r="B19" s="510">
        <f>'15'!G7</f>
        <v>22618.069999999949</v>
      </c>
      <c r="C19" s="510">
        <f>'15'!G8</f>
        <v>23074.840000000011</v>
      </c>
      <c r="D19" s="510">
        <f>'15'!G15</f>
        <v>1071</v>
      </c>
      <c r="E19" s="510">
        <f>'15'!G20</f>
        <v>308</v>
      </c>
      <c r="F19" s="510">
        <f>SUM('15'!G35,'15'!G49)</f>
        <v>3189.8299999999581</v>
      </c>
      <c r="G19" s="510">
        <f>SUM('15'!G37,'15'!G51)</f>
        <v>1354.6900000000023</v>
      </c>
      <c r="H19" s="510">
        <f>SUM('15'!G38,'15'!G52)</f>
        <v>2676.2399999999907</v>
      </c>
      <c r="I19" s="510">
        <f>SUM('15'!G39,'15'!G53)</f>
        <v>2852.25</v>
      </c>
      <c r="J19" s="510">
        <f>SUM('15'!G41,'15'!G42,'15'!G55,'15'!G56)</f>
        <v>3568.9700000000885</v>
      </c>
      <c r="K19" s="510">
        <f>SUM('15'!G43,'15'!G57)</f>
        <v>2608.25</v>
      </c>
      <c r="L19" s="254">
        <f>'15'!G50</f>
        <v>1526.3299999999581</v>
      </c>
      <c r="M19" s="254">
        <f>'15'!G36</f>
        <v>1252</v>
      </c>
      <c r="N19" s="254">
        <f>'15'!G138</f>
        <v>107</v>
      </c>
      <c r="O19" s="254">
        <f>'15'!$G$139</f>
        <v>155</v>
      </c>
      <c r="P19" s="254">
        <f>'15'!$G$140</f>
        <v>33</v>
      </c>
      <c r="Q19" s="254">
        <f>'15'!$G$141</f>
        <v>306.19000000000233</v>
      </c>
      <c r="R19" s="254">
        <f>'15'!$G$142</f>
        <v>82.665000000000873</v>
      </c>
      <c r="S19" s="254">
        <f>'15'!$G$145</f>
        <v>322</v>
      </c>
      <c r="T19" s="251">
        <f>'15'!$G$146</f>
        <v>49</v>
      </c>
      <c r="U19" s="251">
        <f>'15'!$G$144</f>
        <v>234</v>
      </c>
      <c r="V19" s="251">
        <f>'15'!$G$147</f>
        <v>380.71999999997206</v>
      </c>
      <c r="W19" s="251">
        <f>'15'!$G$148</f>
        <v>411.11999999999534</v>
      </c>
      <c r="X19" s="251">
        <f>'15'!$G$143</f>
        <v>29.950000000000728</v>
      </c>
      <c r="Y19" s="251">
        <f>'15'!$G$58</f>
        <v>242.91999999999825</v>
      </c>
      <c r="Z19" s="251">
        <f>'15'!$G$151</f>
        <v>426</v>
      </c>
      <c r="AA19" s="251">
        <f>'15'!G161</f>
        <v>157.20000000001164</v>
      </c>
      <c r="AB19" s="251">
        <f>'15'!G162</f>
        <v>46</v>
      </c>
      <c r="AC19" s="251">
        <f>'15'!G88</f>
        <v>8.4000000000014552</v>
      </c>
      <c r="AD19" s="251">
        <f>'15'!G163+'15'!G164</f>
        <v>0</v>
      </c>
      <c r="AE19" s="254">
        <f>'15'!$G$116</f>
        <v>415.32000000000698</v>
      </c>
      <c r="AF19" s="254">
        <f>'15'!$G$117</f>
        <v>241.38500000000931</v>
      </c>
      <c r="AG19" s="254">
        <f>'15'!$G$118</f>
        <v>710.92000000001281</v>
      </c>
      <c r="AH19" s="254">
        <f>'15'!$G$119</f>
        <v>56.601000000002387</v>
      </c>
      <c r="AI19" s="254">
        <f>'15'!$G$120</f>
        <v>400.60000000000582</v>
      </c>
      <c r="AJ19" s="254">
        <f>'15'!$G$121</f>
        <v>436.35999999998603</v>
      </c>
      <c r="AK19" s="254">
        <f>'15'!$G$122</f>
        <v>298.10000000000582</v>
      </c>
      <c r="AL19" s="254">
        <f>'15'!$G$123</f>
        <v>314.14500000000407</v>
      </c>
      <c r="AM19" s="254">
        <f>'15'!$G$133</f>
        <v>724</v>
      </c>
      <c r="AN19" s="254">
        <f>'15'!$G$15</f>
        <v>1071</v>
      </c>
      <c r="AO19" s="256">
        <f>'15'!$G$74</f>
        <v>326.70999999999913</v>
      </c>
      <c r="AP19" s="256">
        <f>'15'!$G$75</f>
        <v>0.19999999999708962</v>
      </c>
      <c r="AQ19" s="256">
        <f>'15'!$G$76</f>
        <v>122</v>
      </c>
      <c r="AR19" s="256">
        <f>'15'!$G$77</f>
        <v>49</v>
      </c>
      <c r="AS19" s="256">
        <f>'15'!$G$78</f>
        <v>0</v>
      </c>
      <c r="AT19" s="256">
        <f t="shared" si="0"/>
        <v>573.09000000000378</v>
      </c>
      <c r="AU19" s="254">
        <f>SUM('15'!G91:G92)</f>
        <v>12.119999999999891</v>
      </c>
      <c r="AV19" s="254">
        <f>'15'!$G$88</f>
        <v>8.4000000000014552</v>
      </c>
      <c r="AW19" s="254">
        <f>'15'!$G$89</f>
        <v>5.6699999999982538</v>
      </c>
      <c r="AX19" s="254">
        <f>'15'!$G$90</f>
        <v>4</v>
      </c>
      <c r="AY19" s="252">
        <f t="shared" si="1"/>
        <v>18.069999999999709</v>
      </c>
      <c r="AZ19" s="311">
        <f t="shared" si="6"/>
        <v>26.956270627062878</v>
      </c>
      <c r="BA19" s="311">
        <f t="shared" si="3"/>
        <v>31.714997232983563</v>
      </c>
      <c r="BB19" s="351">
        <f t="shared" si="4"/>
        <v>6581.6899999999732</v>
      </c>
      <c r="BC19" s="351">
        <f t="shared" si="5"/>
        <v>29.099255595194411</v>
      </c>
    </row>
    <row r="20" spans="1:55">
      <c r="A20" s="359">
        <v>16</v>
      </c>
      <c r="B20" s="510">
        <f>'16'!G7</f>
        <v>23088.390000000014</v>
      </c>
      <c r="C20" s="510">
        <f>'16'!G8</f>
        <v>23633.149999999994</v>
      </c>
      <c r="D20" s="510">
        <f>'16'!G15</f>
        <v>1110</v>
      </c>
      <c r="E20" s="510">
        <f>'16'!G20</f>
        <v>396</v>
      </c>
      <c r="F20" s="510">
        <f>SUM('16'!G35,'16'!G49)</f>
        <v>3462.7099999999627</v>
      </c>
      <c r="G20" s="510">
        <f>SUM('16'!G37,'16'!G51)</f>
        <v>1415.6300000000047</v>
      </c>
      <c r="H20" s="510">
        <f>SUM('16'!G38,'16'!G52)</f>
        <v>2706.9099999999817</v>
      </c>
      <c r="I20" s="510">
        <f>SUM('16'!G39,'16'!G53)</f>
        <v>2907.109999999986</v>
      </c>
      <c r="J20" s="510">
        <f>SUM('16'!G41,'16'!G42,'16'!G55,'16'!G56)</f>
        <v>3528.0599999999395</v>
      </c>
      <c r="K20" s="510">
        <f>SUM('16'!G43,'16'!G57)</f>
        <v>2706.1500000000233</v>
      </c>
      <c r="L20" s="254">
        <f>'16'!G50</f>
        <v>1797.5500000000466</v>
      </c>
      <c r="M20" s="254">
        <f>'16'!G36</f>
        <v>1219.8400000000256</v>
      </c>
      <c r="N20" s="254">
        <f>'16'!G138</f>
        <v>131</v>
      </c>
      <c r="O20" s="254">
        <f>'16'!$G$139</f>
        <v>155</v>
      </c>
      <c r="P20" s="254">
        <f>'16'!$G$140</f>
        <v>37</v>
      </c>
      <c r="Q20" s="254">
        <f>'16'!$G$141</f>
        <v>259.76000000000931</v>
      </c>
      <c r="R20" s="254">
        <f>'16'!$G$142</f>
        <v>91.989999999997963</v>
      </c>
      <c r="S20" s="254">
        <f>'16'!$G$145</f>
        <v>98</v>
      </c>
      <c r="T20" s="251">
        <f>'16'!$G$146</f>
        <v>55</v>
      </c>
      <c r="U20" s="251">
        <f>'16'!$G$144</f>
        <v>232</v>
      </c>
      <c r="V20" s="251">
        <f>'16'!$G$147</f>
        <v>403</v>
      </c>
      <c r="W20" s="251">
        <f>'16'!$G$148</f>
        <v>353.76000000000931</v>
      </c>
      <c r="X20" s="251">
        <f>'16'!$G$143</f>
        <v>34.1299999999992</v>
      </c>
      <c r="Y20" s="251">
        <f>'16'!$G$58</f>
        <v>262.59000000001106</v>
      </c>
      <c r="Z20" s="251">
        <f>'16'!$G$151</f>
        <v>388</v>
      </c>
      <c r="AA20" s="251">
        <f>'16'!G161</f>
        <v>178.47999999998137</v>
      </c>
      <c r="AB20" s="251">
        <f>'16'!G162</f>
        <v>64</v>
      </c>
      <c r="AC20" s="251">
        <f>'16'!G88</f>
        <v>4.6300000000010186</v>
      </c>
      <c r="AD20" s="251">
        <f>'16'!G163+'16'!G164</f>
        <v>0</v>
      </c>
      <c r="AE20" s="254">
        <f>'16'!$G$116</f>
        <v>428.04999999998836</v>
      </c>
      <c r="AF20" s="254">
        <f>'16'!$G$117</f>
        <v>241.36000000000058</v>
      </c>
      <c r="AG20" s="254">
        <f>'16'!$G$118</f>
        <v>664.83999999999651</v>
      </c>
      <c r="AH20" s="254">
        <f>'16'!$G$119</f>
        <v>58.889999999999418</v>
      </c>
      <c r="AI20" s="254">
        <f>'16'!$G$120</f>
        <v>430.60000000000582</v>
      </c>
      <c r="AJ20" s="254">
        <f>'16'!$G$121</f>
        <v>461.63000000000466</v>
      </c>
      <c r="AK20" s="254">
        <f>'16'!$G$122</f>
        <v>301.09999999999127</v>
      </c>
      <c r="AL20" s="254">
        <f>'16'!$G$123</f>
        <v>318.61999999999534</v>
      </c>
      <c r="AM20" s="254">
        <f>'16'!$G$133</f>
        <v>775</v>
      </c>
      <c r="AN20" s="254">
        <f>'16'!$G$15</f>
        <v>1110</v>
      </c>
      <c r="AO20" s="256">
        <f>'16'!$G$74</f>
        <v>318.63999999999942</v>
      </c>
      <c r="AP20" s="256">
        <f>'16'!$G$75</f>
        <v>0</v>
      </c>
      <c r="AQ20" s="256">
        <f>'16'!$G$76</f>
        <v>154</v>
      </c>
      <c r="AR20" s="256">
        <f>'16'!$G$77</f>
        <v>56.599999999998545</v>
      </c>
      <c r="AS20" s="256">
        <f>'16'!$G$78</f>
        <v>0</v>
      </c>
      <c r="AT20" s="256">
        <f t="shared" si="0"/>
        <v>580.76000000000204</v>
      </c>
      <c r="AU20" s="254">
        <f>SUM('16'!G91:G92)</f>
        <v>12.340000000000146</v>
      </c>
      <c r="AV20" s="254">
        <f>'16'!$G$88</f>
        <v>4.6300000000010186</v>
      </c>
      <c r="AW20" s="254">
        <f>'16'!$G$89</f>
        <v>11.169999999998254</v>
      </c>
      <c r="AX20" s="254">
        <f>'16'!$G$90</f>
        <v>4.9700000000011642</v>
      </c>
      <c r="AY20" s="252">
        <f t="shared" si="1"/>
        <v>20.770000000000437</v>
      </c>
      <c r="AZ20" s="311">
        <f t="shared" si="6"/>
        <v>25.821717990275175</v>
      </c>
      <c r="BA20" s="311">
        <f t="shared" si="3"/>
        <v>27.961482908039955</v>
      </c>
      <c r="BB20" s="351">
        <f t="shared" si="4"/>
        <v>6643.9900000000853</v>
      </c>
      <c r="BC20" s="351">
        <f t="shared" si="5"/>
        <v>28.776324377750381</v>
      </c>
    </row>
    <row r="21" spans="1:55">
      <c r="A21" s="359">
        <v>17</v>
      </c>
      <c r="B21" s="510">
        <f>'17'!G7</f>
        <v>23527.609999999986</v>
      </c>
      <c r="C21" s="510">
        <f>'17'!G8</f>
        <v>24332.709999999992</v>
      </c>
      <c r="D21" s="510">
        <f>'17'!G15</f>
        <v>1229</v>
      </c>
      <c r="E21" s="510">
        <f>'17'!G20</f>
        <v>279</v>
      </c>
      <c r="F21" s="510">
        <f>SUM('17'!G35,'17'!G49)</f>
        <v>3505.4900000001071</v>
      </c>
      <c r="G21" s="510">
        <f>SUM('17'!G37,'17'!G51)</f>
        <v>1531.3699999999953</v>
      </c>
      <c r="H21" s="510">
        <f>SUM('17'!G38,'17'!G52)</f>
        <v>2781.9300000000512</v>
      </c>
      <c r="I21" s="510">
        <f>SUM('17'!G39,'17'!G53)</f>
        <v>2889.4400000000605</v>
      </c>
      <c r="J21" s="510">
        <f>SUM('17'!G41,'17'!G42,'17'!G55,'17'!G56)</f>
        <v>4460.8000000000466</v>
      </c>
      <c r="K21" s="510">
        <f>SUM('17'!G43,'17'!G57)</f>
        <v>2772.8499999999767</v>
      </c>
      <c r="L21" s="254">
        <f>'17'!G50</f>
        <v>1798.4499999999534</v>
      </c>
      <c r="M21" s="254">
        <f>'17'!G36</f>
        <v>1213.289999999979</v>
      </c>
      <c r="N21" s="254">
        <f>'18 '!G138</f>
        <v>139</v>
      </c>
      <c r="O21" s="254">
        <f>'17'!$G$139</f>
        <v>185</v>
      </c>
      <c r="P21" s="254">
        <f>'17'!$G$140</f>
        <v>36</v>
      </c>
      <c r="Q21" s="254">
        <f>'17'!$G$141</f>
        <v>252</v>
      </c>
      <c r="R21" s="254">
        <f>'17'!$G$142</f>
        <v>101.88000000000466</v>
      </c>
      <c r="S21" s="254">
        <f>'17'!$G$145</f>
        <v>234</v>
      </c>
      <c r="T21" s="251">
        <f>'17'!$G$146</f>
        <v>57</v>
      </c>
      <c r="U21" s="251">
        <f>'17'!$G$144</f>
        <v>254</v>
      </c>
      <c r="V21" s="251">
        <f>'17'!$G$147</f>
        <v>433</v>
      </c>
      <c r="W21" s="251">
        <f>'17'!$G$148</f>
        <v>439.22999999998137</v>
      </c>
      <c r="X21" s="251">
        <f>'17'!$G$143</f>
        <v>27.8700000000008</v>
      </c>
      <c r="Y21" s="251">
        <f>'17'!$G$58</f>
        <v>260.86000000000058</v>
      </c>
      <c r="Z21" s="251">
        <f>'17'!$G$151</f>
        <v>389</v>
      </c>
      <c r="AA21" s="251">
        <f>'17'!G161</f>
        <v>180.20000000001164</v>
      </c>
      <c r="AB21" s="251">
        <f>'17'!G162</f>
        <v>53</v>
      </c>
      <c r="AC21" s="251">
        <f>'17'!G88</f>
        <v>3.3699999999989814</v>
      </c>
      <c r="AD21" s="251">
        <f>'17'!G163+'17'!G164</f>
        <v>9</v>
      </c>
      <c r="AE21" s="254">
        <f>'17'!$G$116</f>
        <v>394.27000000001863</v>
      </c>
      <c r="AF21" s="254">
        <f>'17'!$G$117</f>
        <v>191.50999999999476</v>
      </c>
      <c r="AG21" s="254">
        <f>'17'!$G$118</f>
        <v>706.4199999999837</v>
      </c>
      <c r="AH21" s="254">
        <f>'17'!$G$119</f>
        <v>60.809999999997672</v>
      </c>
      <c r="AI21" s="254">
        <f>'17'!$G$120</f>
        <v>412.6299999999901</v>
      </c>
      <c r="AJ21" s="254">
        <f>'17'!$G$121</f>
        <v>468.97000000000116</v>
      </c>
      <c r="AK21" s="254">
        <f>'17'!$G$122</f>
        <v>281.80000000000291</v>
      </c>
      <c r="AL21" s="254">
        <f>'17'!$G$123</f>
        <v>311.01000000000931</v>
      </c>
      <c r="AM21" s="254">
        <f>'17'!$G$133</f>
        <v>880</v>
      </c>
      <c r="AN21" s="254">
        <f>'17'!$G$15</f>
        <v>1229</v>
      </c>
      <c r="AO21" s="256">
        <f>'17'!$G$74</f>
        <v>305.65000000000146</v>
      </c>
      <c r="AP21" s="256">
        <f>'17'!$G$75</f>
        <v>0</v>
      </c>
      <c r="AQ21" s="256">
        <f>'17'!$G$76</f>
        <v>148</v>
      </c>
      <c r="AR21" s="256">
        <f>'17'!$G$77</f>
        <v>61.400000000001455</v>
      </c>
      <c r="AS21" s="256">
        <f>'17'!$G$78</f>
        <v>0</v>
      </c>
      <c r="AT21" s="256">
        <f t="shared" si="0"/>
        <v>713.94999999999709</v>
      </c>
      <c r="AU21" s="254">
        <f>SUM('17'!G91:G92)</f>
        <v>12.079999999999927</v>
      </c>
      <c r="AV21" s="254">
        <f>'17'!$G$88</f>
        <v>3.3699999999989814</v>
      </c>
      <c r="AW21" s="254">
        <f>'17'!$G$89</f>
        <v>10.080000000001746</v>
      </c>
      <c r="AX21" s="254">
        <f>'17'!$G$90</f>
        <v>6.0299999999988358</v>
      </c>
      <c r="AY21" s="252">
        <f t="shared" si="1"/>
        <v>19.479999999999563</v>
      </c>
      <c r="AZ21" s="311">
        <f t="shared" si="6"/>
        <v>25.302152317881067</v>
      </c>
      <c r="BA21" s="311">
        <f t="shared" si="3"/>
        <v>36.650410677618744</v>
      </c>
      <c r="BB21" s="351">
        <f t="shared" si="4"/>
        <v>6129.9699999997538</v>
      </c>
      <c r="BC21" s="351">
        <f t="shared" si="5"/>
        <v>26.054367613198949</v>
      </c>
    </row>
    <row r="22" spans="1:55">
      <c r="A22" s="359">
        <v>18</v>
      </c>
      <c r="B22" s="510">
        <f>'18 '!G7</f>
        <v>23547</v>
      </c>
      <c r="C22" s="510">
        <f>'18 '!G8</f>
        <v>24352</v>
      </c>
      <c r="D22" s="510">
        <f>'18 '!G15</f>
        <v>1250</v>
      </c>
      <c r="E22" s="510">
        <f>'18 '!G20</f>
        <v>235</v>
      </c>
      <c r="F22" s="510">
        <f>SUM('18 '!G35,'18 '!G49)</f>
        <v>3468.3499999999767</v>
      </c>
      <c r="G22" s="510">
        <f>SUM('18 '!G37,'18 '!G51)</f>
        <v>1258.5489999999991</v>
      </c>
      <c r="H22" s="510">
        <f>SUM('18 '!G38,'18 '!G52)</f>
        <v>2661.7299999999814</v>
      </c>
      <c r="I22" s="510">
        <f>SUM('18 '!G39,'18 '!G53)</f>
        <v>2879.4899999998743</v>
      </c>
      <c r="J22" s="510">
        <f>SUM('18 '!G41,'18 '!G42,'18 '!G55,'18 '!G56)</f>
        <v>3962.7699999999022</v>
      </c>
      <c r="K22" s="510">
        <f>SUM('18 '!G43,'18 '!G57)</f>
        <v>2447.0999999999767</v>
      </c>
      <c r="L22" s="254">
        <f>'18 '!G50</f>
        <v>1837.1899999999441</v>
      </c>
      <c r="M22" s="254">
        <f>'18 '!G36</f>
        <v>1264.9099999999744</v>
      </c>
      <c r="N22" s="254">
        <f>'18 '!G138</f>
        <v>139</v>
      </c>
      <c r="O22" s="254">
        <f>'18 '!$G$139</f>
        <v>154</v>
      </c>
      <c r="P22" s="254">
        <f>'18 '!$G$140</f>
        <v>32</v>
      </c>
      <c r="Q22" s="254">
        <f>'18 '!$G$141</f>
        <v>267.5</v>
      </c>
      <c r="R22" s="254">
        <f>'18 '!$G$142</f>
        <v>98.229999999995925</v>
      </c>
      <c r="S22" s="254">
        <f>'18 '!$G$145</f>
        <v>235</v>
      </c>
      <c r="T22" s="251">
        <f>'18 '!$G$146</f>
        <v>41</v>
      </c>
      <c r="U22" s="251">
        <f>'18 '!$G$144</f>
        <v>257</v>
      </c>
      <c r="V22" s="256">
        <f>'18 '!$G$147</f>
        <v>408.31999999994878</v>
      </c>
      <c r="W22" s="256">
        <f>'18 '!$G$148</f>
        <v>444.93000000005122</v>
      </c>
      <c r="X22" s="256">
        <f>'18 '!$G$143</f>
        <v>34.5</v>
      </c>
      <c r="Y22" s="256">
        <f>'18 '!$G$58</f>
        <v>269.97999999999593</v>
      </c>
      <c r="Z22" s="256">
        <f>'18 '!$G$151</f>
        <v>369</v>
      </c>
      <c r="AA22" s="256">
        <f>'18 '!G161</f>
        <v>178.44000000000233</v>
      </c>
      <c r="AB22" s="251">
        <f>'18 '!G162</f>
        <v>51.300000000000182</v>
      </c>
      <c r="AC22" s="251">
        <f>'18 '!G88</f>
        <v>11.75</v>
      </c>
      <c r="AD22" s="251">
        <f>'18 '!G163+'18 '!G164</f>
        <v>1.5</v>
      </c>
      <c r="AE22" s="254">
        <f>'18 '!$G$116</f>
        <v>422.41000000000349</v>
      </c>
      <c r="AF22" s="254">
        <f>'18 '!$G$117</f>
        <v>292.13000000000466</v>
      </c>
      <c r="AG22" s="254">
        <f>'18 '!$G$118</f>
        <v>687.07000000000698</v>
      </c>
      <c r="AH22" s="254">
        <f>'18 '!$G$119</f>
        <v>71.05000000000291</v>
      </c>
      <c r="AI22" s="254">
        <f>'18 '!$G$120</f>
        <v>404.49000000000524</v>
      </c>
      <c r="AJ22" s="254">
        <f>'18 '!$G$121</f>
        <v>520.89999999999418</v>
      </c>
      <c r="AK22" s="254">
        <f>'18 '!$G$122</f>
        <v>283.33000000000175</v>
      </c>
      <c r="AL22" s="254">
        <f>'18 '!$G$123</f>
        <v>306.51900000000023</v>
      </c>
      <c r="AM22" s="254">
        <f>'18 '!$G$133</f>
        <v>0</v>
      </c>
      <c r="AN22" s="254">
        <f>'18 '!$G$15</f>
        <v>1250</v>
      </c>
      <c r="AO22" s="256">
        <f>'18 '!$G$74</f>
        <v>307.56000000000131</v>
      </c>
      <c r="AP22" s="256">
        <f>'18 '!$G$75</f>
        <v>0</v>
      </c>
      <c r="AQ22" s="256">
        <f>'18 '!$G$76</f>
        <v>57</v>
      </c>
      <c r="AR22" s="256">
        <f>'18 '!$G$77</f>
        <v>60.80000000000291</v>
      </c>
      <c r="AS22" s="256">
        <f>'18 '!$G$78</f>
        <v>0</v>
      </c>
      <c r="AT22" s="256">
        <f t="shared" si="0"/>
        <v>824.63999999999578</v>
      </c>
      <c r="AU22" s="254">
        <f>SUM('18 '!G91:G92)</f>
        <v>11.859999999999673</v>
      </c>
      <c r="AV22" s="254">
        <f>'18 '!$G$88</f>
        <v>11.75</v>
      </c>
      <c r="AW22" s="254">
        <f>'18 '!$G$89</f>
        <v>2.9700000000011642</v>
      </c>
      <c r="AX22" s="254">
        <f>'18 '!$G$90</f>
        <v>9.0299999999988358</v>
      </c>
      <c r="AY22" s="252">
        <f t="shared" si="1"/>
        <v>23.75</v>
      </c>
      <c r="AZ22" s="311">
        <f t="shared" si="6"/>
        <v>25.932546374368449</v>
      </c>
      <c r="BA22" s="311">
        <f t="shared" si="3"/>
        <v>34.721684210526135</v>
      </c>
      <c r="BB22" s="351">
        <f t="shared" si="4"/>
        <v>7404.0310000002937</v>
      </c>
      <c r="BC22" s="351">
        <f t="shared" si="5"/>
        <v>31.443627638341589</v>
      </c>
    </row>
    <row r="23" spans="1:55" s="313" customFormat="1">
      <c r="A23" s="359">
        <v>19</v>
      </c>
      <c r="B23" s="510">
        <f>'19'!G7</f>
        <v>22027</v>
      </c>
      <c r="C23" s="510">
        <f>'19'!G8</f>
        <v>22484</v>
      </c>
      <c r="D23" s="510">
        <f>'19'!G15</f>
        <v>1250</v>
      </c>
      <c r="E23" s="510">
        <f>'19'!G20</f>
        <v>239</v>
      </c>
      <c r="F23" s="510">
        <f>SUM('19'!G35,'19'!G49)</f>
        <v>3305.1899999999441</v>
      </c>
      <c r="G23" s="510">
        <f>SUM('19'!G37,'19'!G51)</f>
        <v>1356.4810000000289</v>
      </c>
      <c r="H23" s="510">
        <f>SUM('19'!G38,'19'!G52)</f>
        <v>2578.5</v>
      </c>
      <c r="I23" s="510">
        <f>SUM('19'!G39,'19'!G53)</f>
        <v>2894.4300000000512</v>
      </c>
      <c r="J23" s="510">
        <f>SUM('19'!G41,'19'!G42,'19'!G55,'19'!G56)</f>
        <v>4257.4400000000605</v>
      </c>
      <c r="K23" s="510">
        <f>SUM('19'!G43,'19'!G57)</f>
        <v>2367.8000000000466</v>
      </c>
      <c r="L23" s="251">
        <f>'19'!G50</f>
        <v>1450.4000000000233</v>
      </c>
      <c r="M23" s="251">
        <f>'19'!G36</f>
        <v>1068.640000000014</v>
      </c>
      <c r="N23" s="251">
        <f>'19'!G138</f>
        <v>135</v>
      </c>
      <c r="O23" s="251">
        <f>'19'!$G$139</f>
        <v>154</v>
      </c>
      <c r="P23" s="251">
        <f>'19'!$G$140</f>
        <v>34</v>
      </c>
      <c r="Q23" s="251">
        <f>'19'!$G$141</f>
        <v>250.64999999999418</v>
      </c>
      <c r="R23" s="254">
        <f>'19'!G142</f>
        <v>95.900000000001455</v>
      </c>
      <c r="S23" s="251">
        <f>'19'!$G$145</f>
        <v>189</v>
      </c>
      <c r="T23" s="251">
        <f>'19'!$G$146</f>
        <v>25</v>
      </c>
      <c r="U23" s="251">
        <f>'19'!$G$144</f>
        <v>244</v>
      </c>
      <c r="V23" s="251">
        <f>'19'!$G$147</f>
        <v>406.96000000007916</v>
      </c>
      <c r="W23" s="251">
        <f>'19'!$G$148</f>
        <v>396.88000000000466</v>
      </c>
      <c r="X23" s="251">
        <f>'19'!$G$143</f>
        <v>37.200000000000728</v>
      </c>
      <c r="Y23" s="251">
        <f>'19'!$G$58</f>
        <v>313.25999999999476</v>
      </c>
      <c r="Z23" s="251">
        <f>'19'!$G$151</f>
        <v>366</v>
      </c>
      <c r="AA23" s="251">
        <f>'19'!G161</f>
        <v>70.320000000006985</v>
      </c>
      <c r="AB23" s="251">
        <f>'19'!G162</f>
        <v>39.199999999999818</v>
      </c>
      <c r="AC23" s="251">
        <f>'19'!G88</f>
        <v>12.169999999998254</v>
      </c>
      <c r="AD23" s="251">
        <f>'19'!G163+'19'!G164</f>
        <v>0.1000000000003638</v>
      </c>
      <c r="AE23" s="251">
        <f>'19'!$G$116</f>
        <v>400.56999999997788</v>
      </c>
      <c r="AF23" s="251">
        <f>'19'!$G$117</f>
        <v>240</v>
      </c>
      <c r="AG23" s="251">
        <f>'19'!$G$118</f>
        <v>715.19000000000233</v>
      </c>
      <c r="AH23" s="251">
        <f>'19'!$G$119</f>
        <v>69.94999999999709</v>
      </c>
      <c r="AI23" s="251">
        <f>'19'!$G$120</f>
        <v>399.27999999999884</v>
      </c>
      <c r="AJ23" s="251">
        <f>'19'!$G$121</f>
        <v>413.5</v>
      </c>
      <c r="AK23" s="251">
        <f>'19'!$G$122</f>
        <v>293.69999999999709</v>
      </c>
      <c r="AL23" s="251">
        <f>'19'!$G$123</f>
        <v>307.85099999999511</v>
      </c>
      <c r="AM23" s="251">
        <f>'19'!$G$133</f>
        <v>-0.16999999998370185</v>
      </c>
      <c r="AN23" s="251">
        <f>'19'!$G$15</f>
        <v>1250</v>
      </c>
      <c r="AO23" s="256">
        <f>'19'!$G$74</f>
        <v>305.5099999999984</v>
      </c>
      <c r="AP23" s="256">
        <f>'19'!$G$75</f>
        <v>0</v>
      </c>
      <c r="AQ23" s="256">
        <f>'19'!$G$76</f>
        <v>216</v>
      </c>
      <c r="AR23" s="256">
        <f>'19'!$G$77</f>
        <v>54.19999999999709</v>
      </c>
      <c r="AS23" s="256">
        <f>'19'!$G$78</f>
        <v>0</v>
      </c>
      <c r="AT23" s="256">
        <f t="shared" si="0"/>
        <v>674.29000000000451</v>
      </c>
      <c r="AU23" s="251">
        <f>SUM('19'!G91:G92)</f>
        <v>11.770000000000437</v>
      </c>
      <c r="AV23" s="251">
        <f>'19'!$G$88</f>
        <v>12.169999999998254</v>
      </c>
      <c r="AW23" s="251">
        <f>'19'!$G$89</f>
        <v>2.1100000000005821</v>
      </c>
      <c r="AX23" s="251">
        <f>'19'!$G$90</f>
        <v>10.440000000002328</v>
      </c>
      <c r="AY23" s="255">
        <f t="shared" si="1"/>
        <v>24.720000000001164</v>
      </c>
      <c r="AZ23" s="311">
        <f t="shared" si="6"/>
        <v>25.956669498724473</v>
      </c>
      <c r="BA23" s="311">
        <f t="shared" si="3"/>
        <v>27.277103559869449</v>
      </c>
      <c r="BB23" s="351">
        <f t="shared" si="4"/>
        <v>5410.8989999998739</v>
      </c>
      <c r="BC23" s="351">
        <f t="shared" si="5"/>
        <v>24.564847686929102</v>
      </c>
    </row>
    <row r="24" spans="1:55">
      <c r="A24" s="359">
        <v>20</v>
      </c>
      <c r="B24" s="510">
        <f>'20'!G7</f>
        <v>24669</v>
      </c>
      <c r="C24" s="510">
        <f>'20'!G8</f>
        <v>25225</v>
      </c>
      <c r="D24" s="510">
        <f>'20'!G15</f>
        <v>1237</v>
      </c>
      <c r="E24" s="510">
        <f>'20'!G20</f>
        <v>235</v>
      </c>
      <c r="F24" s="510">
        <f>SUM('20'!G35,'20'!G49)</f>
        <v>3448.4300000000512</v>
      </c>
      <c r="G24" s="510">
        <f>SUM('20'!G37,'20'!G51)</f>
        <v>1472.5299999999697</v>
      </c>
      <c r="H24" s="510">
        <f>SUM('20'!G38,'20'!G52)</f>
        <v>2652.7700000000186</v>
      </c>
      <c r="I24" s="510">
        <f>SUM('20'!G39,'20'!G53)</f>
        <v>3029.5</v>
      </c>
      <c r="J24" s="510">
        <f>SUM('20'!G41,'20'!G42,'20'!G55,'20'!G56)</f>
        <v>3986.3699999999953</v>
      </c>
      <c r="K24" s="510">
        <f>SUM('20'!G43,'20'!G57)</f>
        <v>2442.0999999999767</v>
      </c>
      <c r="L24" s="254">
        <f>'20'!G50</f>
        <v>1719.4100000000326</v>
      </c>
      <c r="M24" s="254">
        <f>'20'!G36</f>
        <v>1063.4500000000116</v>
      </c>
      <c r="N24" s="254">
        <f>'20'!G138</f>
        <v>123</v>
      </c>
      <c r="O24" s="254">
        <f>'20'!$G$139</f>
        <v>179</v>
      </c>
      <c r="P24" s="254">
        <f>'20'!$G$140</f>
        <v>35</v>
      </c>
      <c r="Q24" s="254">
        <f>'20'!$G$141</f>
        <v>254.85000000000582</v>
      </c>
      <c r="R24" s="254">
        <f>'20'!$G$142</f>
        <v>92</v>
      </c>
      <c r="S24" s="254">
        <f>'20'!$G$145</f>
        <v>245</v>
      </c>
      <c r="T24" s="251">
        <f>'20'!$G$146</f>
        <v>34</v>
      </c>
      <c r="U24" s="251">
        <f>'20'!$G$144</f>
        <v>254</v>
      </c>
      <c r="V24" s="251">
        <f>'20'!$G$147</f>
        <v>411.71999999997206</v>
      </c>
      <c r="W24" s="251">
        <f>'20'!$G$148</f>
        <v>380.07999999995809</v>
      </c>
      <c r="X24" s="251">
        <f>'20'!$G$143</f>
        <v>29.299999999999272</v>
      </c>
      <c r="Y24" s="251">
        <f>'20'!$G$58</f>
        <v>323.80000000000291</v>
      </c>
      <c r="Z24" s="251">
        <f>'20'!$G$151</f>
        <v>359</v>
      </c>
      <c r="AA24" s="251">
        <f>'20'!G161</f>
        <v>217.03999999997905</v>
      </c>
      <c r="AB24" s="251">
        <f>'20'!G162</f>
        <v>50.5</v>
      </c>
      <c r="AC24" s="251">
        <f>'20'!G88</f>
        <v>5.0800000000017462</v>
      </c>
      <c r="AD24" s="251">
        <f>'20'!G163+'20'!G164</f>
        <v>4.3999999999996362</v>
      </c>
      <c r="AE24" s="254">
        <f>'20'!$G$116</f>
        <v>499.70000000001164</v>
      </c>
      <c r="AF24" s="254">
        <f>'20'!$G$117</f>
        <v>259.39999999999418</v>
      </c>
      <c r="AG24" s="254">
        <f>'20'!$G$118</f>
        <v>723.80999999999767</v>
      </c>
      <c r="AH24" s="254">
        <f>'20'!$G$119</f>
        <v>73</v>
      </c>
      <c r="AI24" s="254">
        <f>'20'!$G$120</f>
        <v>403</v>
      </c>
      <c r="AJ24" s="254">
        <f>'20'!$G$121</f>
        <v>461</v>
      </c>
      <c r="AK24" s="254">
        <f>'20'!$G$122</f>
        <v>300.5</v>
      </c>
      <c r="AL24" s="254">
        <f>'20'!$G$123</f>
        <v>309</v>
      </c>
      <c r="AM24" s="254">
        <f>'20'!$G$133</f>
        <v>0</v>
      </c>
      <c r="AN24" s="254">
        <f>'20'!$G$15</f>
        <v>1237</v>
      </c>
      <c r="AO24" s="256">
        <f>'20'!$G$74</f>
        <v>303.93000000000029</v>
      </c>
      <c r="AP24" s="256">
        <f>'20'!$G$75</f>
        <v>0</v>
      </c>
      <c r="AQ24" s="256">
        <f>'20'!$G$76</f>
        <v>149</v>
      </c>
      <c r="AR24" s="256">
        <f>'20'!$G$77</f>
        <v>53</v>
      </c>
      <c r="AS24" s="256">
        <f>'20'!$G$78</f>
        <v>0</v>
      </c>
      <c r="AT24" s="256">
        <f t="shared" si="0"/>
        <v>731.06999999999971</v>
      </c>
      <c r="AU24" s="254">
        <f>SUM('20'!G91:G92)</f>
        <v>11.609999999999673</v>
      </c>
      <c r="AV24" s="254">
        <f>'20'!$G$88</f>
        <v>5.0800000000017462</v>
      </c>
      <c r="AW24" s="254">
        <f>'20'!$G$89</f>
        <v>9.4599999999991269</v>
      </c>
      <c r="AX24" s="254">
        <f>'20'!$G$90</f>
        <v>9.5299999999988358</v>
      </c>
      <c r="AY24" s="252">
        <f t="shared" si="1"/>
        <v>24.069999999999709</v>
      </c>
      <c r="AZ24" s="311">
        <f t="shared" si="6"/>
        <v>26.178294573644173</v>
      </c>
      <c r="BA24" s="311">
        <f t="shared" si="3"/>
        <v>30.372663066057687</v>
      </c>
      <c r="BB24" s="351">
        <f t="shared" si="4"/>
        <v>7869.4999999999854</v>
      </c>
      <c r="BC24" s="351">
        <f t="shared" si="5"/>
        <v>31.900360776683229</v>
      </c>
    </row>
    <row r="25" spans="1:55">
      <c r="A25" s="359">
        <v>21</v>
      </c>
      <c r="B25" s="510">
        <f>'21'!G7</f>
        <v>24286</v>
      </c>
      <c r="C25" s="510">
        <f>'21'!G8</f>
        <v>24854</v>
      </c>
      <c r="D25" s="510">
        <f>'21'!G15</f>
        <v>1216</v>
      </c>
      <c r="E25" s="510">
        <f>'21'!G20</f>
        <v>258</v>
      </c>
      <c r="F25" s="510">
        <f>SUM('21'!G35,'21'!G49)</f>
        <v>3405</v>
      </c>
      <c r="G25" s="510">
        <f>SUM('21'!G37,'21'!G51)</f>
        <v>1453</v>
      </c>
      <c r="H25" s="510">
        <f>SUM('21'!G38,'21'!G52)</f>
        <v>2677.5699999999997</v>
      </c>
      <c r="I25" s="510">
        <f>SUM('21'!G39,'21'!G53)</f>
        <v>2880</v>
      </c>
      <c r="J25" s="510">
        <f>SUM('21'!G41,'21'!G42,'21'!G55,'21'!G56)</f>
        <v>4981</v>
      </c>
      <c r="K25" s="510">
        <f>SUM('21'!G43,'21'!G57)</f>
        <v>2656</v>
      </c>
      <c r="L25" s="254">
        <f>'21'!G50</f>
        <v>1622</v>
      </c>
      <c r="M25" s="254">
        <f>'21'!G36</f>
        <v>1103</v>
      </c>
      <c r="N25" s="254">
        <f>'21'!G138</f>
        <v>124</v>
      </c>
      <c r="O25" s="254">
        <f>'21'!$G$139</f>
        <v>157</v>
      </c>
      <c r="P25" s="254">
        <f>'21'!$G$140</f>
        <v>34</v>
      </c>
      <c r="Q25" s="254">
        <f>'21'!$G$141</f>
        <v>271</v>
      </c>
      <c r="R25" s="254">
        <f>'21'!$G$142</f>
        <v>98</v>
      </c>
      <c r="S25" s="254">
        <f>'21'!$G$145</f>
        <v>237</v>
      </c>
      <c r="T25" s="251">
        <f>'21'!$G$146</f>
        <v>36</v>
      </c>
      <c r="U25" s="251">
        <f>'21'!$G$144</f>
        <v>259</v>
      </c>
      <c r="V25" s="251">
        <f>'21'!$G$147</f>
        <v>437</v>
      </c>
      <c r="W25" s="251">
        <f>'21'!$G$148</f>
        <v>413</v>
      </c>
      <c r="X25" s="251">
        <f>'21'!$G$143</f>
        <v>35</v>
      </c>
      <c r="Y25" s="251">
        <f>'21'!$G$58</f>
        <v>285</v>
      </c>
      <c r="Z25" s="251">
        <f>'21'!$G$151</f>
        <v>386</v>
      </c>
      <c r="AA25" s="251">
        <f>'21'!G161</f>
        <v>209</v>
      </c>
      <c r="AB25" s="251">
        <f>'21'!G162</f>
        <v>47</v>
      </c>
      <c r="AC25" s="251">
        <f>'21'!G88</f>
        <v>6</v>
      </c>
      <c r="AD25" s="251">
        <f>'21'!G163+'21'!G164</f>
        <v>3</v>
      </c>
      <c r="AE25" s="254">
        <f>'21'!$G$116</f>
        <v>413</v>
      </c>
      <c r="AF25" s="254">
        <f>'21'!$G$117</f>
        <v>248</v>
      </c>
      <c r="AG25" s="254">
        <f>'21'!$G$118</f>
        <v>730</v>
      </c>
      <c r="AH25" s="254">
        <f>'21'!$G$119</f>
        <v>72</v>
      </c>
      <c r="AI25" s="254">
        <f>'21'!$G$120</f>
        <v>387</v>
      </c>
      <c r="AJ25" s="254">
        <f>'21'!$G$121</f>
        <v>439</v>
      </c>
      <c r="AK25" s="254">
        <f>'21'!$G$122</f>
        <v>287</v>
      </c>
      <c r="AL25" s="254">
        <f>'21'!$G$123</f>
        <v>303</v>
      </c>
      <c r="AM25" s="254">
        <f>'21'!$G$133</f>
        <v>0</v>
      </c>
      <c r="AN25" s="254">
        <f>'21'!$G$15</f>
        <v>1216</v>
      </c>
      <c r="AO25" s="256">
        <f>'21'!$G$74</f>
        <v>291</v>
      </c>
      <c r="AP25" s="256">
        <f>'21'!$G$75</f>
        <v>0</v>
      </c>
      <c r="AQ25" s="256">
        <f>'21'!$G$76</f>
        <v>127</v>
      </c>
      <c r="AR25" s="256">
        <f>'21'!$G$77</f>
        <v>59</v>
      </c>
      <c r="AS25" s="256">
        <f>'21'!$G$78</f>
        <v>0</v>
      </c>
      <c r="AT25" s="256">
        <f t="shared" si="0"/>
        <v>739</v>
      </c>
      <c r="AU25" s="254">
        <f>SUM('21'!G91:G92)</f>
        <v>10.760000000000218</v>
      </c>
      <c r="AV25" s="254">
        <f>'21'!$G$88</f>
        <v>6</v>
      </c>
      <c r="AW25" s="254">
        <f>'21'!$G$89</f>
        <v>11.209999999999127</v>
      </c>
      <c r="AX25" s="254">
        <f>'21'!$G$90</f>
        <v>6.7400000000052387</v>
      </c>
      <c r="AY25" s="252">
        <f t="shared" si="1"/>
        <v>23.950000000004366</v>
      </c>
      <c r="AZ25" s="311">
        <f t="shared" si="6"/>
        <v>27.044609665426961</v>
      </c>
      <c r="BA25" s="311">
        <f t="shared" si="3"/>
        <v>30.855949895610241</v>
      </c>
      <c r="BB25" s="351">
        <f t="shared" si="4"/>
        <v>6516.43</v>
      </c>
      <c r="BC25" s="351">
        <f t="shared" si="5"/>
        <v>26.832043152433499</v>
      </c>
    </row>
    <row r="26" spans="1:55">
      <c r="A26" s="359">
        <v>22</v>
      </c>
      <c r="B26" s="510">
        <f>'22'!G7</f>
        <v>25520</v>
      </c>
      <c r="C26" s="510">
        <f>'22'!G8</f>
        <v>26019</v>
      </c>
      <c r="D26" s="510">
        <f>'22'!G15</f>
        <v>1149</v>
      </c>
      <c r="E26" s="510">
        <f>'22'!G20</f>
        <v>260</v>
      </c>
      <c r="F26" s="510">
        <f>SUM('22'!G35,'22'!G49)</f>
        <v>3398</v>
      </c>
      <c r="G26" s="510">
        <f>SUM('22'!G37,'22'!G51)</f>
        <v>1511</v>
      </c>
      <c r="H26" s="510">
        <f>SUM('22'!G38,'22'!G52)</f>
        <v>2767</v>
      </c>
      <c r="I26" s="510">
        <f>SUM('22'!G39,'22'!G53)</f>
        <v>2880</v>
      </c>
      <c r="J26" s="510">
        <f>SUM('22'!G41,'22'!G42,'22'!G55,'22'!G56)</f>
        <v>6595.4500000000116</v>
      </c>
      <c r="K26" s="510">
        <f>SUM('22'!G43,'22'!G57)</f>
        <v>2663</v>
      </c>
      <c r="L26" s="254">
        <f>'22'!G50</f>
        <v>1951</v>
      </c>
      <c r="M26" s="254">
        <f>'22'!G36</f>
        <v>1220</v>
      </c>
      <c r="N26" s="254">
        <f>'22'!G138</f>
        <v>157</v>
      </c>
      <c r="O26" s="254">
        <f>'22'!$G$139</f>
        <v>148</v>
      </c>
      <c r="P26" s="254">
        <f>'22'!$G$140</f>
        <v>34</v>
      </c>
      <c r="Q26" s="254">
        <f>'22'!$G$141</f>
        <v>284</v>
      </c>
      <c r="R26" s="254">
        <f>'22'!$G$142</f>
        <v>96</v>
      </c>
      <c r="S26" s="254">
        <f>'22'!$G$145</f>
        <v>195</v>
      </c>
      <c r="T26" s="251">
        <f>'22'!$G$146</f>
        <v>28</v>
      </c>
      <c r="U26" s="251">
        <f>'22'!$G$144</f>
        <v>251</v>
      </c>
      <c r="V26" s="251">
        <f>'22'!$G$147</f>
        <v>423</v>
      </c>
      <c r="W26" s="251">
        <f>'22'!$G$148</f>
        <v>437</v>
      </c>
      <c r="X26" s="251">
        <f>'22'!$G$143</f>
        <v>34</v>
      </c>
      <c r="Y26" s="251">
        <f>'22'!$G$58</f>
        <v>251</v>
      </c>
      <c r="Z26" s="251">
        <f>'22'!$G$151</f>
        <v>328</v>
      </c>
      <c r="AA26" s="251">
        <f>'22'!G161</f>
        <v>201</v>
      </c>
      <c r="AB26" s="251">
        <f>'22'!G162</f>
        <v>41</v>
      </c>
      <c r="AC26" s="251">
        <f>'22'!G88</f>
        <v>3.6199999999989814</v>
      </c>
      <c r="AD26" s="251">
        <f>'22'!G163+'22'!G164</f>
        <v>2</v>
      </c>
      <c r="AE26" s="254">
        <f>'22'!$G$116</f>
        <v>378</v>
      </c>
      <c r="AF26" s="254">
        <f>'22'!$G$117</f>
        <v>279</v>
      </c>
      <c r="AG26" s="254">
        <f>'22'!$G$118</f>
        <v>731</v>
      </c>
      <c r="AH26" s="254">
        <f>'22'!$G$119</f>
        <v>78</v>
      </c>
      <c r="AI26" s="254">
        <f>'22'!$G$120</f>
        <v>389</v>
      </c>
      <c r="AJ26" s="254">
        <f>'22'!$G$121</f>
        <v>431</v>
      </c>
      <c r="AK26" s="254">
        <f>'22'!$G$122</f>
        <v>302</v>
      </c>
      <c r="AL26" s="254">
        <f>'22'!$G$123</f>
        <v>309</v>
      </c>
      <c r="AM26" s="254">
        <f>'22'!$G$133</f>
        <v>0</v>
      </c>
      <c r="AN26" s="254">
        <f>'22'!$G$15</f>
        <v>1149</v>
      </c>
      <c r="AO26" s="256">
        <f>'22'!$G$74</f>
        <v>301</v>
      </c>
      <c r="AP26" s="256">
        <f>'22'!$G$75</f>
        <v>0</v>
      </c>
      <c r="AQ26" s="256">
        <f>'22'!$G$76</f>
        <v>121</v>
      </c>
      <c r="AR26" s="256">
        <f>'22'!$G$77</f>
        <v>58</v>
      </c>
      <c r="AS26" s="256">
        <f>'22'!$G$78</f>
        <v>0</v>
      </c>
      <c r="AT26" s="256">
        <f t="shared" si="0"/>
        <v>669</v>
      </c>
      <c r="AU26" s="254">
        <f>SUM('22'!G91:G92)</f>
        <v>10.649999999999636</v>
      </c>
      <c r="AV26" s="254">
        <f>'22'!$G$88</f>
        <v>3.6199999999989814</v>
      </c>
      <c r="AW26" s="254">
        <f>'22'!$G$89</f>
        <v>10.569999999999709</v>
      </c>
      <c r="AX26" s="254">
        <f>'22'!$G$90</f>
        <v>2.2599999999947613</v>
      </c>
      <c r="AY26" s="252">
        <f t="shared" si="1"/>
        <v>16.449999999993452</v>
      </c>
      <c r="AZ26" s="311">
        <f t="shared" si="6"/>
        <v>28.262910798123031</v>
      </c>
      <c r="BA26" s="311">
        <f t="shared" si="3"/>
        <v>40.668693009134728</v>
      </c>
      <c r="BB26" s="351">
        <f t="shared" si="4"/>
        <v>5953.5499999999884</v>
      </c>
      <c r="BC26" s="351">
        <f t="shared" si="5"/>
        <v>23.328957680250738</v>
      </c>
    </row>
    <row r="27" spans="1:55">
      <c r="A27" s="359">
        <v>23</v>
      </c>
      <c r="B27" s="510">
        <f>'23'!G7</f>
        <v>24021</v>
      </c>
      <c r="C27" s="510">
        <f>'23'!G8</f>
        <v>24414</v>
      </c>
      <c r="D27" s="510">
        <f>'23'!G15</f>
        <v>1205</v>
      </c>
      <c r="E27" s="510">
        <f>'23'!G20</f>
        <v>393</v>
      </c>
      <c r="F27" s="510">
        <f>SUM('23'!G35,'23'!G49)</f>
        <v>3361</v>
      </c>
      <c r="G27" s="510">
        <f>SUM('23'!G37,'23'!G51)</f>
        <v>1527</v>
      </c>
      <c r="H27" s="510">
        <f>SUM('23'!G38,'23'!G52)</f>
        <v>2763</v>
      </c>
      <c r="I27" s="510">
        <f>SUM('23'!G39,'23'!G53)</f>
        <v>2919</v>
      </c>
      <c r="J27" s="510">
        <f>SUM('23'!G41,'23'!G42,'23'!G55,'23'!G56)</f>
        <v>5364.6300000000047</v>
      </c>
      <c r="K27" s="510">
        <f>SUM('23'!G43,'23'!G57)</f>
        <v>2508</v>
      </c>
      <c r="L27" s="254">
        <f>'23'!G50</f>
        <v>1606</v>
      </c>
      <c r="M27" s="254">
        <f>'23'!G36</f>
        <v>1150</v>
      </c>
      <c r="N27" s="254">
        <f>'23'!G138</f>
        <v>198</v>
      </c>
      <c r="O27" s="254">
        <f>'23'!G139</f>
        <v>162</v>
      </c>
      <c r="P27" s="254">
        <f>'23'!$G$140</f>
        <v>37</v>
      </c>
      <c r="Q27" s="254">
        <f>'23'!$G$141</f>
        <v>269</v>
      </c>
      <c r="R27" s="254">
        <f>'23'!$G$142</f>
        <v>98</v>
      </c>
      <c r="S27" s="254">
        <f>'23'!$G$145</f>
        <v>238</v>
      </c>
      <c r="T27" s="251">
        <f>'23'!$G$146</f>
        <v>35</v>
      </c>
      <c r="U27" s="251">
        <f>'23'!$G$144</f>
        <v>254</v>
      </c>
      <c r="V27" s="251">
        <f>'23'!$G$147</f>
        <v>434</v>
      </c>
      <c r="W27" s="251">
        <f>'23'!$G$148</f>
        <v>455</v>
      </c>
      <c r="X27" s="251">
        <f>'23'!$G$143</f>
        <v>37</v>
      </c>
      <c r="Y27" s="251">
        <f>'23'!$G$58</f>
        <v>339</v>
      </c>
      <c r="Z27" s="251">
        <f>'23'!$G$151</f>
        <v>270</v>
      </c>
      <c r="AA27" s="251">
        <f>'23'!$G$161</f>
        <v>192</v>
      </c>
      <c r="AB27" s="251">
        <f>'23'!G162</f>
        <v>44</v>
      </c>
      <c r="AC27" s="251">
        <f>'23'!G88</f>
        <v>10.380000000001019</v>
      </c>
      <c r="AD27" s="251">
        <f>'23'!G163+'23'!G164</f>
        <v>3</v>
      </c>
      <c r="AE27" s="254">
        <f>'23'!$G$116</f>
        <v>424</v>
      </c>
      <c r="AF27" s="254">
        <f>'23'!$G$117</f>
        <v>278</v>
      </c>
      <c r="AG27" s="254">
        <f>'23'!$G$118</f>
        <v>730</v>
      </c>
      <c r="AH27" s="254">
        <f>'23'!$G$119</f>
        <v>76</v>
      </c>
      <c r="AI27" s="254">
        <f>'23'!$G$120</f>
        <v>376</v>
      </c>
      <c r="AJ27" s="254">
        <f>'23'!$G$121</f>
        <v>425</v>
      </c>
      <c r="AK27" s="254">
        <f>'23'!$G$122</f>
        <v>301</v>
      </c>
      <c r="AL27" s="254">
        <f>'23'!$G$123</f>
        <v>305</v>
      </c>
      <c r="AM27" s="254">
        <f>'23'!$G$133</f>
        <v>0.16999999998370185</v>
      </c>
      <c r="AN27" s="254">
        <f>'23'!$G$15</f>
        <v>1205</v>
      </c>
      <c r="AO27" s="256">
        <f>'23'!$G$74</f>
        <v>257</v>
      </c>
      <c r="AP27" s="256">
        <f>'23'!$G$75</f>
        <v>0</v>
      </c>
      <c r="AQ27" s="256">
        <f>'23'!$G$76</f>
        <v>155</v>
      </c>
      <c r="AR27" s="256">
        <f>'23'!$G$77</f>
        <v>51</v>
      </c>
      <c r="AS27" s="256">
        <f>'23'!$G$78</f>
        <v>0</v>
      </c>
      <c r="AT27" s="256">
        <f t="shared" si="0"/>
        <v>742</v>
      </c>
      <c r="AU27" s="254">
        <f>SUM('23'!G91:G92)</f>
        <v>11.160000000000764</v>
      </c>
      <c r="AV27" s="254">
        <f>'23'!$G$88</f>
        <v>10.380000000001019</v>
      </c>
      <c r="AW27" s="254">
        <f>'23'!$G$89</f>
        <v>1.3300000000017462</v>
      </c>
      <c r="AX27" s="254">
        <f>'23'!$G$90</f>
        <v>11</v>
      </c>
      <c r="AY27" s="252">
        <f t="shared" si="1"/>
        <v>22.710000000002765</v>
      </c>
      <c r="AZ27" s="311">
        <f t="shared" si="6"/>
        <v>23.028673835123872</v>
      </c>
      <c r="BA27" s="311">
        <f t="shared" si="3"/>
        <v>32.672831351823412</v>
      </c>
      <c r="BB27" s="351">
        <f t="shared" si="4"/>
        <v>5632.3699999999953</v>
      </c>
      <c r="BC27" s="351">
        <f t="shared" si="5"/>
        <v>23.44769160318053</v>
      </c>
    </row>
    <row r="28" spans="1:55" s="315" customFormat="1">
      <c r="A28" s="359">
        <v>24</v>
      </c>
      <c r="B28" s="510">
        <f>'24'!G7</f>
        <v>23934.709999999992</v>
      </c>
      <c r="C28" s="510">
        <f>'24'!G8</f>
        <v>24656.630000000005</v>
      </c>
      <c r="D28" s="510">
        <f>'24'!G15</f>
        <v>1149</v>
      </c>
      <c r="E28" s="510">
        <f>'24'!G20</f>
        <v>433</v>
      </c>
      <c r="F28" s="510">
        <f>SUM('24'!G35,'24'!G49)</f>
        <v>3434.2200000000885</v>
      </c>
      <c r="G28" s="510">
        <f>SUM('24'!G37,'24'!G51)</f>
        <v>1529.9099999999744</v>
      </c>
      <c r="H28" s="510">
        <f>SUM('24'!G38,'24'!G52)</f>
        <v>2899.9800000000469</v>
      </c>
      <c r="I28" s="510">
        <f>SUM('24'!G39,'24'!G53)</f>
        <v>2852.6700000000419</v>
      </c>
      <c r="J28" s="510">
        <f>SUM('24'!G41,'24'!G42,'24'!G55,'24'!G56)</f>
        <v>4055.2200000000303</v>
      </c>
      <c r="K28" s="510">
        <f>SUM('24'!G43,'24'!G57)</f>
        <v>2435.0699999999488</v>
      </c>
      <c r="L28" s="254">
        <f>'24'!G50</f>
        <v>1472.1899999999441</v>
      </c>
      <c r="M28" s="251">
        <f>'24'!G36</f>
        <v>1297.5499999999884</v>
      </c>
      <c r="N28" s="251">
        <f>'24'!G138</f>
        <v>168</v>
      </c>
      <c r="O28" s="251">
        <f>'24'!G139</f>
        <v>157</v>
      </c>
      <c r="P28" s="251">
        <f>'24'!$G$140</f>
        <v>35.699999999999818</v>
      </c>
      <c r="Q28" s="251">
        <f>'24'!$G$141</f>
        <v>296.72000000000116</v>
      </c>
      <c r="R28" s="251">
        <f>'24'!$G$142</f>
        <v>110.33000000000175</v>
      </c>
      <c r="S28" s="251">
        <f>'24'!$G$145</f>
        <v>222</v>
      </c>
      <c r="T28" s="251">
        <f>'24'!$G$146</f>
        <v>30</v>
      </c>
      <c r="U28" s="251">
        <f>'24'!$G$144</f>
        <v>257</v>
      </c>
      <c r="V28" s="251">
        <f>'24'!$G$147</f>
        <v>392</v>
      </c>
      <c r="W28" s="251">
        <f>'24'!$G$148</f>
        <v>472.8399999999674</v>
      </c>
      <c r="X28" s="251">
        <f>'24'!$G$143</f>
        <v>30.409999999999854</v>
      </c>
      <c r="Y28" s="251">
        <f>'24'!$G$58</f>
        <v>336.02999999999884</v>
      </c>
      <c r="Z28" s="251">
        <f>'24'!$G$151</f>
        <v>297</v>
      </c>
      <c r="AA28" s="251">
        <f>'24'!G161</f>
        <v>189.64000000001397</v>
      </c>
      <c r="AB28" s="251">
        <f>'24'!G162</f>
        <v>42.800000000000182</v>
      </c>
      <c r="AC28" s="251">
        <f>'24'!G88</f>
        <v>6.9199999999982538</v>
      </c>
      <c r="AD28" s="251">
        <f>'24'!G163+'24'!G164</f>
        <v>1</v>
      </c>
      <c r="AE28" s="251">
        <f>'24'!$G$116</f>
        <v>316.55999999999767</v>
      </c>
      <c r="AF28" s="251">
        <f>'24'!$G$117</f>
        <v>297.58999999999651</v>
      </c>
      <c r="AG28" s="251">
        <f>'24'!$G$118</f>
        <v>696.42999999999302</v>
      </c>
      <c r="AH28" s="251">
        <f>'24'!$G$119</f>
        <v>74.610000000000582</v>
      </c>
      <c r="AI28" s="251">
        <f>'24'!$G$120</f>
        <v>408.66999999999825</v>
      </c>
      <c r="AJ28" s="251">
        <f>'24'!$G$121</f>
        <v>437.25</v>
      </c>
      <c r="AK28" s="251">
        <f>'24'!$G$122</f>
        <v>311.63000000000466</v>
      </c>
      <c r="AL28" s="251">
        <f>'24'!$G$123</f>
        <v>315.72000000000116</v>
      </c>
      <c r="AM28" s="251">
        <f>'24'!$G$133</f>
        <v>783</v>
      </c>
      <c r="AN28" s="251">
        <f>'24'!$G$15</f>
        <v>1149</v>
      </c>
      <c r="AO28" s="256">
        <f>'24'!$G$74</f>
        <v>274.54999999999927</v>
      </c>
      <c r="AP28" s="256">
        <f>'24'!$G$75</f>
        <v>0</v>
      </c>
      <c r="AQ28" s="256">
        <f>'24'!$G$76</f>
        <v>134.60000000000582</v>
      </c>
      <c r="AR28" s="256">
        <f>'24'!$G$77</f>
        <v>63</v>
      </c>
      <c r="AS28" s="256">
        <f>'24'!$G$78</f>
        <v>0</v>
      </c>
      <c r="AT28" s="256">
        <f>AN28-SUM(AO28:AS28)</f>
        <v>676.84999999999491</v>
      </c>
      <c r="AU28" s="251">
        <f>SUM('24'!G91:G92)</f>
        <v>10.710000000000036</v>
      </c>
      <c r="AV28" s="251">
        <f>'24'!$G$88</f>
        <v>6.9199999999982538</v>
      </c>
      <c r="AW28" s="251">
        <f>'24'!$G$89</f>
        <v>1.3999999999978172</v>
      </c>
      <c r="AX28" s="251">
        <f>'24'!$G$90</f>
        <v>16.080000000001746</v>
      </c>
      <c r="AY28" s="255">
        <f t="shared" si="1"/>
        <v>24.399999999997817</v>
      </c>
      <c r="AZ28" s="311">
        <f t="shared" si="6"/>
        <v>25.63492063492048</v>
      </c>
      <c r="BA28" s="311">
        <f t="shared" si="3"/>
        <v>27.73975409836293</v>
      </c>
      <c r="BB28" s="351">
        <f t="shared" si="4"/>
        <v>7113.5299999998751</v>
      </c>
      <c r="BC28" s="351">
        <f t="shared" si="5"/>
        <v>29.720560641845577</v>
      </c>
    </row>
    <row r="29" spans="1:55">
      <c r="A29" s="359">
        <v>25</v>
      </c>
      <c r="B29" s="510">
        <f>'25'!G7</f>
        <v>21921.080000000016</v>
      </c>
      <c r="C29" s="510">
        <f>'25'!G8</f>
        <v>22396.960000000021</v>
      </c>
      <c r="D29" s="510">
        <f>'25'!G15</f>
        <v>1179</v>
      </c>
      <c r="E29" s="510">
        <f>'25'!G20</f>
        <v>371</v>
      </c>
      <c r="F29" s="510">
        <f>SUM('25'!G35,'25'!G49)</f>
        <v>3177.3199999999488</v>
      </c>
      <c r="G29" s="510">
        <f>SUM('25'!G37,'25'!G51)</f>
        <v>1439.2400000000489</v>
      </c>
      <c r="H29" s="510">
        <f>SUM('25'!G38,'25'!G52)</f>
        <v>2763.1199999999953</v>
      </c>
      <c r="I29" s="510">
        <f>SUM('25'!G39,'25'!G53)</f>
        <v>2834.4299999999348</v>
      </c>
      <c r="J29" s="510">
        <f>SUM('25'!G41,'25'!G42,'25'!G55,'25'!G56)</f>
        <v>3214.320000000007</v>
      </c>
      <c r="K29" s="510">
        <f>SUM('25'!G43,'25'!G57)</f>
        <v>2257.9200000000419</v>
      </c>
      <c r="L29" s="254">
        <f>'25'!G50</f>
        <v>1262.0400000000373</v>
      </c>
      <c r="M29" s="254">
        <f>'25'!G36</f>
        <v>1132.8400000000256</v>
      </c>
      <c r="N29" s="254">
        <f>'25'!G138</f>
        <v>62</v>
      </c>
      <c r="O29" s="254">
        <f>'25'!$G$139</f>
        <v>145</v>
      </c>
      <c r="P29" s="254">
        <f>'25'!$G$140</f>
        <v>35.300000000000182</v>
      </c>
      <c r="Q29" s="254">
        <f>'25'!$G$141</f>
        <v>248.02999999999884</v>
      </c>
      <c r="R29" s="254">
        <f>'25'!$G$142</f>
        <v>85.139999999999418</v>
      </c>
      <c r="S29" s="254">
        <f>'25'!$G$145</f>
        <v>219</v>
      </c>
      <c r="T29" s="251">
        <f>'25'!$G$146</f>
        <v>29</v>
      </c>
      <c r="U29" s="251">
        <f>'25'!$G$144</f>
        <v>259</v>
      </c>
      <c r="V29" s="251">
        <f>'25'!$G$147</f>
        <v>375</v>
      </c>
      <c r="W29" s="251">
        <f>'25'!$G$148</f>
        <v>388.47999999998137</v>
      </c>
      <c r="X29" s="251">
        <f>'25'!$G$143</f>
        <v>30.579999999999927</v>
      </c>
      <c r="Y29" s="251">
        <f>'25'!$G$58</f>
        <v>305.19999999999709</v>
      </c>
      <c r="Z29" s="251">
        <f>'25'!$G$151</f>
        <v>315</v>
      </c>
      <c r="AA29" s="251">
        <f>'25'!G161</f>
        <v>159.20000000001164</v>
      </c>
      <c r="AB29" s="251">
        <f>'25'!G162</f>
        <v>28</v>
      </c>
      <c r="AC29" s="251">
        <f>'25'!G88</f>
        <v>1.3400000000001455</v>
      </c>
      <c r="AD29" s="251">
        <f>'25'!G163+'25'!G164</f>
        <v>0</v>
      </c>
      <c r="AE29" s="254">
        <f>'25'!$G$116</f>
        <v>374.05999999999767</v>
      </c>
      <c r="AF29" s="254">
        <f>'25'!$G$117</f>
        <v>276.44000000000233</v>
      </c>
      <c r="AG29" s="254">
        <f>'25'!$G$118</f>
        <v>649.26000000000931</v>
      </c>
      <c r="AH29" s="254">
        <f>'25'!$G$119</f>
        <v>77.629999999997381</v>
      </c>
      <c r="AI29" s="254">
        <f>'25'!$G$120</f>
        <v>401.49000000000524</v>
      </c>
      <c r="AJ29" s="254">
        <f>'25'!$G$121</f>
        <v>427.38000000000466</v>
      </c>
      <c r="AK29" s="254">
        <f>'25'!$G$122</f>
        <v>292.59999999999127</v>
      </c>
      <c r="AL29" s="254">
        <f>'25'!$G$123</f>
        <v>306.88000000000466</v>
      </c>
      <c r="AM29" s="254">
        <f>'25'!$G$133</f>
        <v>702</v>
      </c>
      <c r="AN29" s="254">
        <f>'25'!$G$15</f>
        <v>1179</v>
      </c>
      <c r="AO29" s="256">
        <f>'25'!$G$74</f>
        <v>289.54999999999927</v>
      </c>
      <c r="AP29" s="256">
        <f>'25'!$G$75</f>
        <v>0</v>
      </c>
      <c r="AQ29" s="256">
        <f>'25'!$G$76</f>
        <v>108.10000000000582</v>
      </c>
      <c r="AR29" s="256">
        <f>'25'!$G$77</f>
        <v>58</v>
      </c>
      <c r="AS29" s="256">
        <f>'25'!$G$78</f>
        <v>0</v>
      </c>
      <c r="AT29" s="256">
        <f t="shared" si="0"/>
        <v>723.34999999999491</v>
      </c>
      <c r="AU29" s="254">
        <f>SUM('25'!G91:G92)</f>
        <v>11.399999999999636</v>
      </c>
      <c r="AV29" s="254">
        <f>'25'!$G$88</f>
        <v>1.3400000000001455</v>
      </c>
      <c r="AW29" s="254">
        <f>'25'!$G$89</f>
        <v>10.119999999998981</v>
      </c>
      <c r="AX29" s="254">
        <f>'25'!$G$90</f>
        <v>9.1199999999953434</v>
      </c>
      <c r="AY29" s="252">
        <f t="shared" si="1"/>
        <v>20.57999999999447</v>
      </c>
      <c r="BA29" s="311">
        <f t="shared" si="3"/>
        <v>35.14820213800725</v>
      </c>
      <c r="BB29" s="351">
        <f t="shared" si="4"/>
        <v>6405.4100000000471</v>
      </c>
      <c r="BC29" s="351">
        <f t="shared" si="5"/>
        <v>29.220321261543873</v>
      </c>
    </row>
    <row r="30" spans="1:55">
      <c r="A30" s="359">
        <v>26</v>
      </c>
      <c r="B30" s="510">
        <f>'26'!G7</f>
        <v>22123.819999999978</v>
      </c>
      <c r="C30" s="510">
        <f>'26'!G8</f>
        <v>22752.199999999953</v>
      </c>
      <c r="D30" s="510">
        <f>'26'!G15</f>
        <v>1200</v>
      </c>
      <c r="E30" s="510">
        <f>'26'!G20</f>
        <v>338</v>
      </c>
      <c r="F30" s="510">
        <f>SUM('26'!G35,'26'!G49)</f>
        <v>3391.7999999999302</v>
      </c>
      <c r="G30" s="510">
        <f>SUM('26'!G37,'26'!G51)</f>
        <v>1401</v>
      </c>
      <c r="H30" s="510">
        <f>SUM('26'!G38,'26'!G52)</f>
        <v>2712.640000000014</v>
      </c>
      <c r="I30" s="510">
        <f>SUM('26'!G39,'26'!G53)</f>
        <v>2791.0400000000373</v>
      </c>
      <c r="J30" s="510">
        <f>SUM('26'!G41,'26'!G42,'26'!G55,'26'!G56)</f>
        <v>3409.960000000021</v>
      </c>
      <c r="K30" s="510">
        <f>SUM('26'!G43,'26'!G57)</f>
        <v>2294.8800000000047</v>
      </c>
      <c r="L30" s="254">
        <f>'26'!G50</f>
        <v>1226.6800000000512</v>
      </c>
      <c r="M30" s="254">
        <f>'26'!G36</f>
        <v>903.47999999998137</v>
      </c>
      <c r="N30" s="254">
        <f>'26'!G138</f>
        <v>260</v>
      </c>
      <c r="O30" s="254">
        <f>'26'!$G$139</f>
        <v>146</v>
      </c>
      <c r="P30" s="254">
        <f>'26'!$G$140</f>
        <v>35.510000000000218</v>
      </c>
      <c r="Q30" s="254">
        <f>'26'!$G$141</f>
        <v>256.73999999999069</v>
      </c>
      <c r="R30" s="254">
        <f>'26'!$G$142</f>
        <v>82.94999999999709</v>
      </c>
      <c r="S30" s="254">
        <f>'26'!$G$145</f>
        <v>209</v>
      </c>
      <c r="T30" s="251">
        <f>'26'!$G$146</f>
        <v>26</v>
      </c>
      <c r="U30" s="251">
        <f>'26'!$G$144</f>
        <v>246</v>
      </c>
      <c r="V30" s="251">
        <f>'26'!$G$147</f>
        <v>381.11999999999534</v>
      </c>
      <c r="W30" s="251">
        <f>'26'!$G$148</f>
        <v>303.76000000000931</v>
      </c>
      <c r="X30" s="251">
        <f>'26'!$G$143</f>
        <v>33.210000000000946</v>
      </c>
      <c r="Y30" s="251">
        <f>'26'!$G$58</f>
        <v>298.25</v>
      </c>
      <c r="Z30" s="251">
        <f>'26'!$G$151</f>
        <v>317</v>
      </c>
      <c r="AA30" s="251">
        <f>'26'!G161</f>
        <v>68.449999999953434</v>
      </c>
      <c r="AB30" s="251">
        <f>'26'!G162</f>
        <v>12.699999999999818</v>
      </c>
      <c r="AC30" s="251">
        <f>'26'!G88</f>
        <v>5.1500000000014552</v>
      </c>
      <c r="AD30" s="251">
        <f>'26'!G163+'26'!G164</f>
        <v>1.3000000000001819</v>
      </c>
      <c r="AE30" s="254">
        <f>'26'!$G$116</f>
        <v>342.11999999999534</v>
      </c>
      <c r="AF30" s="254">
        <f>'26'!$G$117</f>
        <v>289.74000000000524</v>
      </c>
      <c r="AG30" s="254">
        <f>'26'!$G$118</f>
        <v>628.61999999999534</v>
      </c>
      <c r="AH30" s="254">
        <f>'26'!$G$119</f>
        <v>81.75</v>
      </c>
      <c r="AI30" s="254">
        <f>'26'!$G$120</f>
        <v>402.7899999999936</v>
      </c>
      <c r="AJ30" s="254">
        <f>'26'!$G$121</f>
        <v>427.54999999998836</v>
      </c>
      <c r="AK30" s="254">
        <f>'26'!$G$122</f>
        <v>300.36000000000058</v>
      </c>
      <c r="AL30" s="254">
        <f>'26'!$G$123</f>
        <v>313.19999999999709</v>
      </c>
      <c r="AM30" s="254">
        <f>'26'!$G$133</f>
        <v>765</v>
      </c>
      <c r="AN30" s="254">
        <f>'26'!$G$15</f>
        <v>1200</v>
      </c>
      <c r="AO30" s="256">
        <f>'26'!$G$74</f>
        <v>302.54000000000087</v>
      </c>
      <c r="AP30" s="256">
        <f>'26'!$G$75</f>
        <v>0</v>
      </c>
      <c r="AQ30" s="256">
        <f>'26'!$G$76</f>
        <v>105.60999999998603</v>
      </c>
      <c r="AR30" s="256">
        <f>'26'!$G$77</f>
        <v>61</v>
      </c>
      <c r="AS30" s="256">
        <f>'26'!$G$78</f>
        <v>0</v>
      </c>
      <c r="AT30" s="256">
        <f t="shared" si="0"/>
        <v>730.8500000000131</v>
      </c>
      <c r="AU30" s="254">
        <f>SUM('26'!G91:G92)</f>
        <v>11.680000000000291</v>
      </c>
      <c r="AV30" s="254">
        <f>'26'!$G$88</f>
        <v>5.1500000000014552</v>
      </c>
      <c r="AW30" s="254">
        <f>'26'!$G$89</f>
        <v>12.480000000003201</v>
      </c>
      <c r="AX30" s="254">
        <f>'26'!$G$90</f>
        <v>6.180000000007567</v>
      </c>
      <c r="AY30" s="252">
        <f t="shared" si="1"/>
        <v>23.810000000012224</v>
      </c>
      <c r="BA30" s="311">
        <f t="shared" si="3"/>
        <v>30.695086098262827</v>
      </c>
      <c r="BB30" s="351">
        <f t="shared" si="4"/>
        <v>6452.6299999999464</v>
      </c>
      <c r="BC30" s="351">
        <f t="shared" si="5"/>
        <v>29.165984897725405</v>
      </c>
    </row>
    <row r="31" spans="1:55">
      <c r="A31" s="359">
        <v>27</v>
      </c>
      <c r="B31" s="510">
        <f>'27'!G7</f>
        <v>22037.320000000007</v>
      </c>
      <c r="C31" s="510">
        <f>'27'!G8</f>
        <v>22562.160000000033</v>
      </c>
      <c r="D31" s="510">
        <f>'27'!G15</f>
        <v>1170</v>
      </c>
      <c r="E31" s="510">
        <f>'27'!G20</f>
        <v>262</v>
      </c>
      <c r="F31" s="510">
        <f>SUM('27'!G35,'27'!G49)</f>
        <v>3174.1600000000326</v>
      </c>
      <c r="G31" s="510">
        <f>SUM('27'!G37,'27'!G51)</f>
        <v>1530.1999999999534</v>
      </c>
      <c r="H31" s="510">
        <f>SUM('27'!G38,'27'!G52)</f>
        <v>2671.2799999999115</v>
      </c>
      <c r="I31" s="510">
        <f>SUM('27'!G39,'27'!G53)</f>
        <v>2808.8000000000466</v>
      </c>
      <c r="J31" s="510">
        <f>SUM('27'!G41,'27'!G42,'27'!G55,'27'!G56)</f>
        <v>4240.3599999999278</v>
      </c>
      <c r="K31" s="510">
        <f>SUM('27'!G43,'27'!G57)</f>
        <v>2372.2399999999907</v>
      </c>
      <c r="L31" s="254">
        <f>'27'!G50</f>
        <v>1419.2399999999907</v>
      </c>
      <c r="M31" s="254">
        <f>'27'!G36</f>
        <v>1008.359999999986</v>
      </c>
      <c r="N31" s="254">
        <f>'27'!G138</f>
        <v>148</v>
      </c>
      <c r="O31" s="254">
        <f>'27'!$G$139</f>
        <v>149</v>
      </c>
      <c r="P31" s="254">
        <f>'27'!$G$140</f>
        <v>34.539999999999964</v>
      </c>
      <c r="Q31" s="254">
        <f>'27'!$G$141</f>
        <v>273.23000000001048</v>
      </c>
      <c r="R31" s="254">
        <f>'27'!$G$142</f>
        <v>89.05000000000291</v>
      </c>
      <c r="S31" s="254">
        <f>'27'!$G$145</f>
        <v>194</v>
      </c>
      <c r="T31" s="251">
        <f>'27'!$G$146</f>
        <v>30</v>
      </c>
      <c r="U31" s="251">
        <f>'27'!$G$144</f>
        <v>252</v>
      </c>
      <c r="V31" s="251">
        <f>'27'!$G$147</f>
        <v>347.52000000001863</v>
      </c>
      <c r="W31" s="251">
        <f>'27'!$G$148</f>
        <v>318.23999999999069</v>
      </c>
      <c r="X31" s="251">
        <f>'27'!$G$143</f>
        <v>27.75</v>
      </c>
      <c r="Y31" s="251">
        <f>'27'!$G$58</f>
        <v>255.05999999999767</v>
      </c>
      <c r="Z31" s="251">
        <f>'27'!$G$151</f>
        <v>344</v>
      </c>
      <c r="AA31" s="251">
        <f>'27'!G161</f>
        <v>210.63000000000466</v>
      </c>
      <c r="AB31" s="251">
        <f>'27'!G162</f>
        <v>36.699999999999818</v>
      </c>
      <c r="AC31" s="251">
        <f>'27'!G88</f>
        <v>4.6399999999994179</v>
      </c>
      <c r="AD31" s="251">
        <f>'27'!G163+'27'!G164</f>
        <v>1.3999999999996362</v>
      </c>
      <c r="AE31" s="254">
        <f>'27'!$G$116</f>
        <v>361.72000000000116</v>
      </c>
      <c r="AF31" s="254">
        <f>'27'!$G$117</f>
        <v>286.5</v>
      </c>
      <c r="AG31" s="254">
        <f>'27'!$G$118</f>
        <v>640.95999999999185</v>
      </c>
      <c r="AH31" s="254">
        <f>'27'!$G$119</f>
        <v>88.440000000002328</v>
      </c>
      <c r="AI31" s="254">
        <f>'27'!$G$120</f>
        <v>380.83999999999651</v>
      </c>
      <c r="AJ31" s="254">
        <f>'27'!$G$121</f>
        <v>432.99000000001979</v>
      </c>
      <c r="AK31" s="254">
        <f>'27'!$G$122</f>
        <v>296</v>
      </c>
      <c r="AL31" s="254">
        <f>'27'!$G$123</f>
        <v>304.11000000000058</v>
      </c>
      <c r="AM31" s="254">
        <f>'27'!$G$133</f>
        <v>763</v>
      </c>
      <c r="AN31" s="254">
        <f>'27'!$G$15</f>
        <v>1170</v>
      </c>
      <c r="AO31" s="254">
        <f>'27'!$G$74</f>
        <v>232.09000000000015</v>
      </c>
      <c r="AP31" s="254">
        <f>'27'!$G$75</f>
        <v>0</v>
      </c>
      <c r="AQ31" s="254">
        <f>'27'!$G$76</f>
        <v>100.58999999999651</v>
      </c>
      <c r="AR31" s="254">
        <f>'27'!$G$77</f>
        <v>40.599999999998545</v>
      </c>
      <c r="AS31" s="254">
        <f>'27'!$G$78</f>
        <v>0</v>
      </c>
      <c r="AT31" s="254">
        <f t="shared" si="0"/>
        <v>796.7200000000048</v>
      </c>
      <c r="AU31" s="254">
        <f>SUM('27'!G91:G92)</f>
        <v>9.0399999999999636</v>
      </c>
      <c r="AV31" s="254">
        <f>'27'!$G$88</f>
        <v>4.6399999999994179</v>
      </c>
      <c r="AW31" s="254">
        <f>'27'!$G$89</f>
        <v>9.7599999999983993</v>
      </c>
      <c r="AX31" s="254">
        <f>'27'!$G$90</f>
        <v>4.0199999999895226</v>
      </c>
      <c r="AY31" s="252">
        <f t="shared" si="1"/>
        <v>18.41999999998734</v>
      </c>
      <c r="BA31" s="311">
        <f t="shared" si="3"/>
        <v>43.252985884937701</v>
      </c>
      <c r="BB31" s="351">
        <f t="shared" si="4"/>
        <v>5510.0600000001723</v>
      </c>
      <c r="BC31" s="351">
        <f t="shared" si="5"/>
        <v>25.003312562508373</v>
      </c>
    </row>
    <row r="32" spans="1:55">
      <c r="A32" s="359">
        <v>28</v>
      </c>
      <c r="B32" s="510">
        <f>'28'!G7</f>
        <v>22166.070000000007</v>
      </c>
      <c r="C32" s="510">
        <f>'28'!G8</f>
        <v>22679.049999999988</v>
      </c>
      <c r="D32" s="510">
        <f>'28'!G15</f>
        <v>1186</v>
      </c>
      <c r="E32" s="510">
        <f>'28'!G20</f>
        <v>202</v>
      </c>
      <c r="F32" s="510">
        <f>SUM('28'!G35,'28'!G49)</f>
        <v>3139.6899999999441</v>
      </c>
      <c r="G32" s="510">
        <f>SUM('28'!G37,'28'!G51)</f>
        <v>1489.0900000000256</v>
      </c>
      <c r="H32" s="510">
        <f>SUM('28'!G38,'28'!G52)</f>
        <v>2644.4100000000326</v>
      </c>
      <c r="I32" s="510">
        <f>SUM('28'!G39,'28'!G53)</f>
        <v>2727.0399999999208</v>
      </c>
      <c r="J32" s="510">
        <f>SUM('28'!G41,'28'!G42,'28'!G55,'28'!G56)</f>
        <v>4798.9000000000233</v>
      </c>
      <c r="K32" s="510">
        <f>SUM('28'!G43,'28'!G57)</f>
        <v>2448.890000000014</v>
      </c>
      <c r="L32" s="254">
        <f>'28'!G50</f>
        <v>1859.8499999999767</v>
      </c>
      <c r="M32" s="254">
        <f>'28'!G36</f>
        <v>691.96000000002095</v>
      </c>
      <c r="N32" s="254">
        <f>'28'!G138</f>
        <v>158</v>
      </c>
      <c r="O32" s="254">
        <f>'28'!$G$139</f>
        <v>157</v>
      </c>
      <c r="P32" s="254">
        <f>'28'!$G$140</f>
        <v>32.949999999999818</v>
      </c>
      <c r="Q32" s="254">
        <f>'28'!$G$141</f>
        <v>264.27999999999884</v>
      </c>
      <c r="R32" s="254">
        <f>'28'!$G$142</f>
        <v>87.529999999998836</v>
      </c>
      <c r="S32" s="254">
        <f>'28'!$G$145</f>
        <v>176</v>
      </c>
      <c r="T32" s="251">
        <f>'28'!$G$146</f>
        <v>26</v>
      </c>
      <c r="U32" s="251">
        <f>'28'!$G$144</f>
        <v>240</v>
      </c>
      <c r="V32" s="251">
        <f>'28'!$G$147</f>
        <v>380.1600000000326</v>
      </c>
      <c r="W32" s="251">
        <f>'28'!$G$148</f>
        <v>242.72000000008848</v>
      </c>
      <c r="X32" s="251">
        <f>'28'!$G$143</f>
        <v>29.049999999999272</v>
      </c>
      <c r="Y32" s="251">
        <f>'28'!$G$58</f>
        <v>257.4600000000064</v>
      </c>
      <c r="Z32" s="251">
        <f>'28'!$G$151</f>
        <v>343</v>
      </c>
      <c r="AA32" s="251">
        <f>'28'!G161</f>
        <v>217.11999999999534</v>
      </c>
      <c r="AB32" s="251">
        <f>'28'!G162</f>
        <v>24.800000000000182</v>
      </c>
      <c r="AC32" s="251">
        <f>'28'!G88</f>
        <v>6.7200000000011642</v>
      </c>
      <c r="AD32" s="251">
        <f>'28'!G163+'28'!G164</f>
        <v>2.3000000000001819</v>
      </c>
      <c r="AE32" s="254">
        <f>'28'!$G$116</f>
        <v>346.54000000000815</v>
      </c>
      <c r="AF32" s="254">
        <f>'28'!$G$117</f>
        <v>257.72999999999593</v>
      </c>
      <c r="AG32" s="254">
        <f>'28'!$G$118</f>
        <v>626.73000000001048</v>
      </c>
      <c r="AH32" s="254">
        <f>'28'!$G$119</f>
        <v>98.559999999997672</v>
      </c>
      <c r="AI32" s="254">
        <f>'28'!$G$120</f>
        <v>363.2100000000064</v>
      </c>
      <c r="AJ32" s="254">
        <f>'28'!$G$121</f>
        <v>415.82999999998719</v>
      </c>
      <c r="AK32" s="254">
        <f>'28'!$G$122</f>
        <v>289.41000000000349</v>
      </c>
      <c r="AL32" s="254">
        <f>'28'!$G$123</f>
        <v>297.6299999999901</v>
      </c>
      <c r="AM32" s="254">
        <f>'28'!$G$133</f>
        <v>812</v>
      </c>
      <c r="AN32" s="254">
        <f>'28'!$G$15</f>
        <v>1186</v>
      </c>
      <c r="AO32" s="254">
        <f>'28'!$G$74</f>
        <v>275.97999999999956</v>
      </c>
      <c r="AP32" s="254">
        <f>'28'!$G$75</f>
        <v>0</v>
      </c>
      <c r="AQ32" s="254">
        <f>'28'!$G$76</f>
        <v>99.100000000005821</v>
      </c>
      <c r="AR32" s="254">
        <f>'28'!$G$77</f>
        <v>54.400000000001455</v>
      </c>
      <c r="AS32" s="254">
        <f>'28'!$G$78</f>
        <v>0</v>
      </c>
      <c r="AT32" s="254">
        <f t="shared" si="0"/>
        <v>756.51999999999316</v>
      </c>
      <c r="AU32" s="254">
        <f>SUM('28'!G91:G92)</f>
        <v>10.720000000000255</v>
      </c>
      <c r="AV32" s="254">
        <f>'28'!$G$88</f>
        <v>6.7200000000011642</v>
      </c>
      <c r="AW32" s="254">
        <f>'28'!$G$89</f>
        <v>9.3400000000001455</v>
      </c>
      <c r="AX32" s="254">
        <f>'28'!$G$90</f>
        <v>1.6000000000058208</v>
      </c>
      <c r="AY32" s="252">
        <f t="shared" si="1"/>
        <v>17.66000000000713</v>
      </c>
      <c r="BA32" s="311">
        <f t="shared" si="3"/>
        <v>42.838052095112552</v>
      </c>
      <c r="BB32" s="351">
        <f t="shared" si="4"/>
        <v>5173.5700000000215</v>
      </c>
      <c r="BC32" s="351">
        <f t="shared" si="5"/>
        <v>23.340041784583462</v>
      </c>
    </row>
    <row r="33" spans="1:55">
      <c r="A33" s="359">
        <v>29</v>
      </c>
      <c r="B33" s="510">
        <f>'29'!G7</f>
        <v>320619.90000000002</v>
      </c>
      <c r="C33" s="510">
        <f>'29'!G8</f>
        <v>305280.30000000005</v>
      </c>
      <c r="D33" s="510">
        <f>'29'!G15</f>
        <v>-33530.899999999907</v>
      </c>
      <c r="E33" s="510">
        <f>'29'!G20</f>
        <v>-1306</v>
      </c>
      <c r="F33" s="510">
        <f>SUM('29'!G35,'29'!G49)</f>
        <v>-96622.729999999865</v>
      </c>
      <c r="G33" s="510">
        <f>SUM('29'!G37,'29'!G51)</f>
        <v>-43252.049999999988</v>
      </c>
      <c r="H33" s="510">
        <f>SUM('29'!G38,'29'!G52)</f>
        <v>-79589.399999999965</v>
      </c>
      <c r="I33" s="510">
        <f>SUM('29'!G39,'29'!G53)</f>
        <v>-85297.390000000014</v>
      </c>
      <c r="J33" s="510">
        <f>SUM('29'!G41,'29'!G42,'29'!G55,'29'!G56)</f>
        <v>-118177.43</v>
      </c>
      <c r="K33" s="510">
        <f>SUM('29'!G43,'29'!G57)</f>
        <v>-76302.410000000033</v>
      </c>
      <c r="L33" s="254">
        <f>'29'!G50</f>
        <v>-44485.410000000033</v>
      </c>
      <c r="M33" s="254">
        <f>'29'!G36</f>
        <v>-31489.599999999977</v>
      </c>
      <c r="N33" s="254">
        <f>'29'!G138</f>
        <v>-3912</v>
      </c>
      <c r="O33" s="254">
        <f>'29'!$G$139</f>
        <v>-4539</v>
      </c>
      <c r="P33" s="254">
        <f>'29'!$G$140</f>
        <v>-1687.4499999999998</v>
      </c>
      <c r="Q33" s="254">
        <f>'29'!$G$141</f>
        <v>-7659.179999999993</v>
      </c>
      <c r="R33" s="254">
        <f>'29'!$G$142</f>
        <v>-2741</v>
      </c>
      <c r="S33" s="254">
        <f>'29'!$G$145</f>
        <v>-6350</v>
      </c>
      <c r="T33" s="254">
        <f>'29'!$G$146</f>
        <v>-1117</v>
      </c>
      <c r="U33" s="254">
        <f>'29'!$G$144</f>
        <v>-7641</v>
      </c>
      <c r="V33" s="254">
        <f>'29'!$G$147</f>
        <v>-11581.760000000009</v>
      </c>
      <c r="W33" s="254">
        <f>'29'!$G$148</f>
        <v>-10969.600000000093</v>
      </c>
      <c r="X33" s="254">
        <f>'29'!$G$143</f>
        <v>-968.05999999999949</v>
      </c>
      <c r="Y33" s="254">
        <f>'29'!$G$58</f>
        <v>-7574</v>
      </c>
      <c r="Z33" s="254">
        <f>'29'!$G$151</f>
        <v>-10212</v>
      </c>
      <c r="AA33" s="254">
        <f>'29'!G161</f>
        <v>-4788.2399999999907</v>
      </c>
      <c r="AB33" s="254">
        <f>'29'!G162</f>
        <v>-1181.9000000000001</v>
      </c>
      <c r="AC33" s="254">
        <f>'29'!G88</f>
        <v>-192.77000000000044</v>
      </c>
      <c r="AD33" s="254">
        <f>'29'!G163+'29'!G164</f>
        <v>-72</v>
      </c>
      <c r="AE33" s="254">
        <f>'29'!$G$116</f>
        <v>-12807</v>
      </c>
      <c r="AF33" s="254">
        <f>'29'!$G$117</f>
        <v>-7662</v>
      </c>
      <c r="AG33" s="254">
        <f>'29'!$G$118</f>
        <v>-20796.25</v>
      </c>
      <c r="AH33" s="254">
        <f>'29'!$G$119</f>
        <v>-1844.989999999998</v>
      </c>
      <c r="AI33" s="254">
        <f>'29'!$G$120</f>
        <v>-11654.160000000003</v>
      </c>
      <c r="AJ33" s="254">
        <f>'29'!$G$121</f>
        <v>-13109.320000000007</v>
      </c>
      <c r="AK33" s="254">
        <f>'29'!$G$122</f>
        <v>-9113</v>
      </c>
      <c r="AL33" s="254">
        <f>'29'!$G$123</f>
        <v>-9258.3529999999882</v>
      </c>
      <c r="AM33" s="254">
        <f>'29'!$G$133</f>
        <v>-20380</v>
      </c>
      <c r="AN33" s="254">
        <f>'29'!$G$15</f>
        <v>-33530.899999999907</v>
      </c>
      <c r="AO33" s="254">
        <f>'29'!$G$74</f>
        <v>-9070.81</v>
      </c>
      <c r="AP33" s="254">
        <f>'29'!$G$75</f>
        <v>0</v>
      </c>
      <c r="AQ33" s="254">
        <f>'29'!$G$76</f>
        <v>-3573</v>
      </c>
      <c r="AR33" s="254">
        <f>'29'!$G$77</f>
        <v>-1616.5999999999985</v>
      </c>
      <c r="AS33" s="254">
        <f>'29'!$G$78</f>
        <v>0</v>
      </c>
      <c r="AT33" s="254">
        <f t="shared" si="0"/>
        <v>-19270.489999999911</v>
      </c>
      <c r="AU33" s="254">
        <f>SUM('29'!G91:G92)</f>
        <v>-347.85000000000036</v>
      </c>
      <c r="AV33" s="254">
        <f>'29'!$G$88</f>
        <v>-192.77000000000044</v>
      </c>
      <c r="AW33" s="254">
        <f>'29'!$G$89</f>
        <v>-195.45999999999913</v>
      </c>
      <c r="AX33" s="254">
        <f>'29'!$G$90</f>
        <v>-217.42999999999302</v>
      </c>
      <c r="AY33" s="252">
        <f t="shared" si="1"/>
        <v>-605.65999999999258</v>
      </c>
      <c r="BA33" s="311">
        <f t="shared" si="3"/>
        <v>31.817339761582648</v>
      </c>
      <c r="BB33" s="351">
        <f t="shared" si="4"/>
        <v>812095.71</v>
      </c>
      <c r="BC33" s="351">
        <f t="shared" si="5"/>
        <v>253.28924062417832</v>
      </c>
    </row>
    <row r="34" spans="1:55" s="313" customFormat="1">
      <c r="A34" s="359">
        <v>30</v>
      </c>
      <c r="B34" s="510">
        <f>'30'!G7</f>
        <v>21796.099999999977</v>
      </c>
      <c r="C34" s="510">
        <f>'30'!G8</f>
        <v>22328.699999999953</v>
      </c>
      <c r="D34" s="510">
        <f>'30'!G15</f>
        <v>1104.6529999999329</v>
      </c>
      <c r="E34" s="510">
        <f>'30'!G20</f>
        <v>321</v>
      </c>
      <c r="F34" s="510">
        <f>SUM('30'!G35,'30'!G49)</f>
        <v>2983.6499999999069</v>
      </c>
      <c r="G34" s="510">
        <f>SUM('30'!G37,'30'!G51)</f>
        <v>1421.9599999999627</v>
      </c>
      <c r="H34" s="510">
        <f>SUM('30'!G38,'30'!G52)</f>
        <v>2733.8799999999537</v>
      </c>
      <c r="I34" s="510">
        <f>SUM('30'!G39,'30'!G53)</f>
        <v>2812</v>
      </c>
      <c r="J34" s="510">
        <f>SUM('30'!G41,'30'!G42,'30'!G55,'30'!G56)</f>
        <v>3269.7200000000303</v>
      </c>
      <c r="K34" s="510">
        <f>SUM('30'!G43,'30'!G57)</f>
        <v>2442.7200000000885</v>
      </c>
      <c r="L34" s="251">
        <f>'30'!G50</f>
        <v>1146.2399999999907</v>
      </c>
      <c r="M34" s="251">
        <f>'30'!G36</f>
        <v>888.29999999998836</v>
      </c>
      <c r="N34" s="251">
        <f>'30'!G138</f>
        <v>121</v>
      </c>
      <c r="O34" s="251">
        <f>'30'!$G$139</f>
        <v>156</v>
      </c>
      <c r="P34" s="251">
        <f>'30'!$G$140</f>
        <v>15.960000000000036</v>
      </c>
      <c r="Q34" s="251">
        <f>'30'!$G$141</f>
        <v>183.17999999999302</v>
      </c>
      <c r="R34" s="251">
        <f>'30'!$G$142</f>
        <v>87.135000000002037</v>
      </c>
      <c r="S34" s="251">
        <f>'30'!$G$145</f>
        <v>206</v>
      </c>
      <c r="T34" s="251">
        <f>'30'!$G$146</f>
        <v>56</v>
      </c>
      <c r="U34" s="251">
        <f>'30'!$G$144</f>
        <v>287</v>
      </c>
      <c r="V34" s="251">
        <f>'30'!$G$147</f>
        <v>395.19999999995343</v>
      </c>
      <c r="W34" s="251">
        <f>'30'!$G$148</f>
        <v>311.76000000000931</v>
      </c>
      <c r="X34" s="251">
        <f>'30'!$G$143</f>
        <v>33.659999999999854</v>
      </c>
      <c r="Y34" s="251">
        <f>'30'!$G$58</f>
        <v>268</v>
      </c>
      <c r="Z34" s="251">
        <f>'30'!$G$151</f>
        <v>312</v>
      </c>
      <c r="AA34" s="251">
        <f>'30'!G161</f>
        <v>130.55999999999767</v>
      </c>
      <c r="AB34" s="251">
        <f>'30'!G162</f>
        <v>34.600000000000136</v>
      </c>
      <c r="AC34" s="251">
        <f>'30'!G88</f>
        <v>10</v>
      </c>
      <c r="AD34" s="251">
        <f>'30'!G163+'30'!G164</f>
        <v>1</v>
      </c>
      <c r="AE34" s="251">
        <f>'30'!$G$116</f>
        <v>509</v>
      </c>
      <c r="AF34" s="251">
        <f>'30'!$G$117</f>
        <v>257</v>
      </c>
      <c r="AG34" s="251">
        <f>'30'!$G$118</f>
        <v>627.25</v>
      </c>
      <c r="AH34" s="251">
        <f>'30'!$G$119</f>
        <v>40.910000000003492</v>
      </c>
      <c r="AI34" s="251">
        <f>'30'!$G$120</f>
        <v>368.63999999999942</v>
      </c>
      <c r="AJ34" s="251">
        <f>'30'!$G$121</f>
        <v>455.04000000000815</v>
      </c>
      <c r="AK34" s="251">
        <f>'30'!$G$122</f>
        <v>341</v>
      </c>
      <c r="AL34" s="251">
        <f>'30'!$G$123</f>
        <v>311.81299999999464</v>
      </c>
      <c r="AM34" s="251">
        <f>'30'!$G$133</f>
        <v>616</v>
      </c>
      <c r="AN34" s="251">
        <f>'30'!$G$15</f>
        <v>1104.6529999999329</v>
      </c>
      <c r="AO34" s="251">
        <f>'30'!$G$74</f>
        <v>265.10000000000036</v>
      </c>
      <c r="AP34" s="251">
        <f>'30'!$G$75</f>
        <v>0</v>
      </c>
      <c r="AQ34" s="251">
        <f>'30'!$G$76</f>
        <v>110</v>
      </c>
      <c r="AR34" s="251">
        <f>'30'!$G$77</f>
        <v>57.599999999998545</v>
      </c>
      <c r="AS34" s="251">
        <f>'30'!$G$78</f>
        <v>0</v>
      </c>
      <c r="AT34" s="251">
        <f t="shared" si="0"/>
        <v>671.95299999993404</v>
      </c>
      <c r="AU34" s="251">
        <f>SUM('30'!G91:G92)</f>
        <v>9.4899999999997817</v>
      </c>
      <c r="AV34" s="251">
        <f>'30'!$G$88</f>
        <v>10</v>
      </c>
      <c r="AW34" s="251">
        <f>'30'!$G$89</f>
        <v>4.4599999999991269</v>
      </c>
      <c r="AX34" s="251">
        <f>'30'!$G$90</f>
        <v>7.4299999999930151</v>
      </c>
      <c r="AY34" s="255">
        <f t="shared" si="1"/>
        <v>21.889999999992142</v>
      </c>
      <c r="BA34" s="311">
        <f t="shared" si="3"/>
        <v>30.696802192790098</v>
      </c>
      <c r="BB34" s="351">
        <f t="shared" si="4"/>
        <v>6396.7700000000114</v>
      </c>
      <c r="BC34" s="351">
        <f t="shared" si="5"/>
        <v>29.348232023160193</v>
      </c>
    </row>
    <row r="35" spans="1:55">
      <c r="A35" s="359">
        <v>31</v>
      </c>
      <c r="B35" s="510">
        <f>'31'!G7</f>
        <v>23574</v>
      </c>
      <c r="C35" s="510">
        <f>'31'!G8</f>
        <v>24006</v>
      </c>
      <c r="D35" s="510">
        <f>'31'!G15</f>
        <v>1110.9619999998249</v>
      </c>
      <c r="E35" s="510">
        <f>'31'!G20</f>
        <v>194</v>
      </c>
      <c r="F35" s="510">
        <f>SUM('31'!G35,'31'!G49)</f>
        <v>3323.890000000014</v>
      </c>
      <c r="G35" s="510">
        <f>SUM('31'!G37,'31'!G51)</f>
        <v>1471.6500000000233</v>
      </c>
      <c r="H35" s="510">
        <f>SUM('31'!G38,'31'!G52)</f>
        <v>2690.0900000000183</v>
      </c>
      <c r="I35" s="510">
        <f>SUM('31'!G39,'31'!G53)</f>
        <v>2840.4400000000605</v>
      </c>
      <c r="J35" s="510">
        <f>SUM('31'!G41,'31'!G42,'31'!G55,'31'!G56)</f>
        <v>4628.6999999999534</v>
      </c>
      <c r="K35" s="510">
        <f>SUM('31'!G43,'31'!G57)</f>
        <v>2589.6899999999441</v>
      </c>
      <c r="L35" s="251">
        <f>'31'!G50</f>
        <v>1514.1700000000419</v>
      </c>
      <c r="M35" s="251">
        <f>'31'!G36</f>
        <v>1200.109999999986</v>
      </c>
      <c r="N35" s="251">
        <f>'31'!G138</f>
        <v>113</v>
      </c>
      <c r="O35" s="251">
        <f>'31'!$G$139</f>
        <v>171</v>
      </c>
      <c r="P35" s="251">
        <f>'31'!$G$140</f>
        <v>747.48999999999978</v>
      </c>
      <c r="Q35" s="251">
        <f>'31'!$G$141</f>
        <v>278</v>
      </c>
      <c r="R35" s="251">
        <f>'31'!$G$142</f>
        <v>90.864999999997963</v>
      </c>
      <c r="S35" s="251">
        <f>'31'!$G$145</f>
        <v>194</v>
      </c>
      <c r="T35" s="251">
        <f>'31'!$G$146</f>
        <v>45</v>
      </c>
      <c r="U35" s="251">
        <f>'31'!$G$144</f>
        <v>268</v>
      </c>
      <c r="V35" s="251">
        <f>'31'!$G$147</f>
        <v>368.64000000001397</v>
      </c>
      <c r="W35" s="251">
        <f>'31'!$G$148</f>
        <v>429.04000000003725</v>
      </c>
      <c r="X35" s="251">
        <f>'31'!$G$143</f>
        <v>32.399999999999636</v>
      </c>
      <c r="Y35" s="251">
        <f>'31'!$G$58</f>
        <v>277.82000000000698</v>
      </c>
      <c r="Z35" s="251">
        <f>'31'!$G$151</f>
        <v>283</v>
      </c>
      <c r="AA35" s="251">
        <f>'31'!G161</f>
        <v>148.64000000001397</v>
      </c>
      <c r="AB35" s="251">
        <f>'31'!G162</f>
        <v>38.299999999999955</v>
      </c>
      <c r="AC35" s="251">
        <f>'31'!G89</f>
        <v>5</v>
      </c>
      <c r="AD35" s="251">
        <f>'31'!G163+'31'!G164</f>
        <v>3</v>
      </c>
      <c r="AE35" s="251">
        <f>'31'!$G$116</f>
        <v>471</v>
      </c>
      <c r="AF35" s="251">
        <f>'31'!$G$117</f>
        <v>292.39900000000489</v>
      </c>
      <c r="AG35" s="251">
        <f>'31'!$G$118</f>
        <v>683.52999999999884</v>
      </c>
      <c r="AH35" s="251">
        <f>'31'!$G$119</f>
        <v>36.089999999996508</v>
      </c>
      <c r="AI35" s="251">
        <f>'31'!$G$120</f>
        <v>361.52000000000407</v>
      </c>
      <c r="AJ35" s="251">
        <f>'31'!$G$121</f>
        <v>441.27999999999884</v>
      </c>
      <c r="AK35" s="251">
        <f>'31'!$G$122</f>
        <v>294</v>
      </c>
      <c r="AL35" s="251">
        <f>'31'!$G$123</f>
        <v>310</v>
      </c>
      <c r="AM35" s="251">
        <f>'31'!$G$133</f>
        <v>693</v>
      </c>
      <c r="AN35" s="251">
        <f>'31'!$G$15</f>
        <v>1110.9619999998249</v>
      </c>
      <c r="AO35" s="251">
        <f>'31'!$G$74</f>
        <v>334</v>
      </c>
      <c r="AP35" s="251">
        <f>'31'!$G$75</f>
        <v>0</v>
      </c>
      <c r="AQ35" s="251">
        <f>'31'!$G$76</f>
        <v>100</v>
      </c>
      <c r="AR35" s="251">
        <f>'31'!$G$77</f>
        <v>59</v>
      </c>
      <c r="AS35" s="251">
        <f>'31'!$G$78</f>
        <v>0</v>
      </c>
      <c r="AT35" s="251">
        <f t="shared" ref="AT35" si="7">AN35-SUM(AO35:AS35)</f>
        <v>617.96199999982491</v>
      </c>
      <c r="AU35" s="251">
        <f>SUM('31'!G92:G142)</f>
        <v>33073.938367947732</v>
      </c>
      <c r="AV35" s="251">
        <f>'31'!$G$88</f>
        <v>9</v>
      </c>
      <c r="AW35" s="251">
        <f>'31'!$G$89</f>
        <v>5</v>
      </c>
      <c r="AX35" s="251">
        <f>'30'!$G$90</f>
        <v>7.4299999999930151</v>
      </c>
      <c r="AY35" s="255">
        <f t="shared" ref="AY35" si="8">SUM(AV35:AX35)</f>
        <v>21.429999999993015</v>
      </c>
      <c r="BA35" s="311">
        <f t="shared" si="3"/>
        <v>28.836304246384802</v>
      </c>
      <c r="BB35" s="351">
        <f t="shared" si="4"/>
        <v>6183.7199999999793</v>
      </c>
      <c r="BC35" s="351">
        <f t="shared" si="5"/>
        <v>26.231102061593191</v>
      </c>
    </row>
    <row r="36" spans="1:55" s="316" customFormat="1">
      <c r="A36" s="304" t="s">
        <v>357</v>
      </c>
      <c r="B36" s="305">
        <f>AVERAGE(B5:B35)</f>
        <v>32239.741935483871</v>
      </c>
      <c r="C36" s="305">
        <f t="shared" ref="C36:BC36" si="9">AVERAGE(C5:C35)</f>
        <v>32258.064516129034</v>
      </c>
      <c r="D36" s="305">
        <f t="shared" si="9"/>
        <v>0</v>
      </c>
      <c r="E36" s="305">
        <f t="shared" si="9"/>
        <v>199.35483870967741</v>
      </c>
      <c r="F36" s="305">
        <f t="shared" si="9"/>
        <v>0</v>
      </c>
      <c r="G36" s="305">
        <f t="shared" si="9"/>
        <v>0</v>
      </c>
      <c r="H36" s="305">
        <f t="shared" si="9"/>
        <v>0</v>
      </c>
      <c r="I36" s="305">
        <f t="shared" si="9"/>
        <v>0</v>
      </c>
      <c r="J36" s="305">
        <f t="shared" si="9"/>
        <v>0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6.4516129032258063E-2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0.87096774193548387</v>
      </c>
      <c r="AC36" s="305">
        <f t="shared" si="9"/>
        <v>-3.5009523809524019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-155.67741935483872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1.6129032258064516E-2</v>
      </c>
      <c r="AT36" s="305">
        <f t="shared" si="9"/>
        <v>-1.6129032258123194E-2</v>
      </c>
      <c r="AU36" s="305">
        <f t="shared" si="9"/>
        <v>1066.4983344499269</v>
      </c>
      <c r="AV36" s="305">
        <f t="shared" si="9"/>
        <v>0</v>
      </c>
      <c r="AW36" s="305">
        <f t="shared" si="9"/>
        <v>0</v>
      </c>
      <c r="AX36" s="305">
        <f t="shared" si="9"/>
        <v>4.6129032257839195E-2</v>
      </c>
      <c r="AY36" s="305">
        <f t="shared" si="9"/>
        <v>4.6129032257839195E-2</v>
      </c>
      <c r="AZ36" s="305">
        <f t="shared" si="9"/>
        <v>26.0558076595761</v>
      </c>
      <c r="BA36" s="305">
        <f t="shared" si="9"/>
        <v>31.967853708045467</v>
      </c>
      <c r="BB36" s="305">
        <f t="shared" si="9"/>
        <v>32258.064516129034</v>
      </c>
      <c r="BC36" s="305">
        <f t="shared" si="9"/>
        <v>34.962875488227361</v>
      </c>
    </row>
    <row r="37" spans="1:55">
      <c r="A37" s="261" t="s">
        <v>196</v>
      </c>
      <c r="B37" s="305">
        <f>SUM(B5:B35)</f>
        <v>999432</v>
      </c>
      <c r="C37" s="305">
        <f t="shared" ref="C37:BC37" si="10">SUM(C5:C35)</f>
        <v>1000000</v>
      </c>
      <c r="D37" s="305">
        <f t="shared" si="10"/>
        <v>0</v>
      </c>
      <c r="E37" s="305">
        <f t="shared" si="10"/>
        <v>6180</v>
      </c>
      <c r="F37" s="305">
        <f>SUM(F5:F35)</f>
        <v>0</v>
      </c>
      <c r="G37" s="305">
        <f t="shared" si="10"/>
        <v>0</v>
      </c>
      <c r="H37" s="305">
        <f t="shared" si="10"/>
        <v>0</v>
      </c>
      <c r="I37" s="305">
        <f t="shared" si="10"/>
        <v>0</v>
      </c>
      <c r="J37" s="305">
        <f t="shared" si="10"/>
        <v>0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2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27</v>
      </c>
      <c r="AC37" s="305">
        <f t="shared" si="10"/>
        <v>-73.520000000000437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-4826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0.5</v>
      </c>
      <c r="AT37" s="305">
        <f t="shared" si="10"/>
        <v>-0.50000000000181899</v>
      </c>
      <c r="AU37" s="305">
        <f t="shared" si="10"/>
        <v>33061.448367947734</v>
      </c>
      <c r="AV37" s="305">
        <f t="shared" si="10"/>
        <v>0</v>
      </c>
      <c r="AW37" s="305">
        <f t="shared" si="10"/>
        <v>0</v>
      </c>
      <c r="AX37" s="305">
        <f t="shared" si="10"/>
        <v>1.4299999999930151</v>
      </c>
      <c r="AY37" s="305">
        <f t="shared" si="10"/>
        <v>1.4299999999930151</v>
      </c>
      <c r="AZ37" s="305">
        <f t="shared" si="10"/>
        <v>625.33938382982637</v>
      </c>
      <c r="BA37" s="305">
        <f t="shared" si="10"/>
        <v>991.00346494940948</v>
      </c>
      <c r="BB37" s="305">
        <f t="shared" si="10"/>
        <v>1000000</v>
      </c>
      <c r="BC37" s="305">
        <f t="shared" si="10"/>
        <v>1083.8491401350482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1">
        <f t="shared" ref="F39:K39" si="11">F19-F18</f>
        <v>16.099999999976717</v>
      </c>
      <c r="G39" s="511">
        <f t="shared" si="11"/>
        <v>-15.059999999997672</v>
      </c>
      <c r="H39" s="511">
        <f t="shared" si="11"/>
        <v>314.75000000006548</v>
      </c>
      <c r="I39" s="511">
        <f t="shared" si="11"/>
        <v>92.699999999953434</v>
      </c>
      <c r="J39" s="511">
        <f t="shared" si="11"/>
        <v>27.960000000079162</v>
      </c>
      <c r="K39" s="511">
        <f t="shared" si="11"/>
        <v>14.17000000004191</v>
      </c>
      <c r="L39" s="511"/>
      <c r="M39" s="511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33" zoomScale="55" zoomScaleNormal="61" zoomScaleSheetLayoutView="55" zoomScalePageLayoutView="70" workbookViewId="0">
      <selection activeCell="A150" sqref="A150:C150"/>
    </sheetView>
  </sheetViews>
  <sheetFormatPr defaultColWidth="22.33203125" defaultRowHeight="21.95" customHeight="1"/>
  <cols>
    <col min="1" max="1" width="59.6640625" style="97" customWidth="1"/>
    <col min="2" max="2" width="27.88671875" style="96" bestFit="1" customWidth="1"/>
    <col min="3" max="3" width="14.44140625" style="96" customWidth="1"/>
    <col min="4" max="4" width="24.77734375" style="97" bestFit="1" customWidth="1"/>
    <col min="5" max="5" width="21.5546875" style="413" customWidth="1"/>
    <col min="6" max="6" width="19.44140625" style="713" customWidth="1"/>
    <col min="7" max="7" width="28.88671875" style="714" customWidth="1"/>
    <col min="8" max="8" width="24.6640625" style="715" customWidth="1"/>
    <col min="9" max="9" width="23.5546875" style="713" customWidth="1"/>
    <col min="10" max="10" width="24" style="715" customWidth="1"/>
    <col min="11" max="11" width="43.21875" style="96" hidden="1" customWidth="1"/>
    <col min="12" max="13" width="0" style="96" hidden="1" customWidth="1"/>
    <col min="14" max="14" width="25.109375" style="96" customWidth="1"/>
    <col min="15" max="16" width="22.33203125" style="96"/>
    <col min="17" max="17" width="44.77734375" style="96" customWidth="1"/>
    <col min="18" max="16384" width="22.33203125" style="96"/>
  </cols>
  <sheetData>
    <row r="1" spans="1:15" ht="26.25">
      <c r="A1" s="843" t="s">
        <v>115</v>
      </c>
      <c r="B1" s="844"/>
      <c r="C1" s="844"/>
      <c r="D1" s="844"/>
      <c r="E1" s="844"/>
      <c r="F1" s="844"/>
      <c r="G1" s="844"/>
      <c r="H1" s="844"/>
      <c r="I1" s="844"/>
      <c r="J1" s="845"/>
    </row>
    <row r="2" spans="1:15" s="105" customFormat="1" ht="28.5">
      <c r="A2" s="191" t="s">
        <v>355</v>
      </c>
      <c r="B2" s="562">
        <v>44958</v>
      </c>
      <c r="C2" s="563" t="s">
        <v>67</v>
      </c>
      <c r="D2" s="607">
        <v>0.92</v>
      </c>
      <c r="E2" s="100"/>
      <c r="F2" s="633"/>
      <c r="G2" s="634" t="s">
        <v>116</v>
      </c>
      <c r="H2" s="635" t="s">
        <v>5</v>
      </c>
      <c r="I2" s="633" t="s">
        <v>7</v>
      </c>
      <c r="J2" s="636" t="s">
        <v>117</v>
      </c>
    </row>
    <row r="3" spans="1:15" s="105" customFormat="1" ht="28.5">
      <c r="A3" s="189"/>
      <c r="B3" s="564"/>
      <c r="C3" s="563" t="s">
        <v>118</v>
      </c>
      <c r="D3" s="608">
        <v>26</v>
      </c>
      <c r="E3" s="852" t="s">
        <v>119</v>
      </c>
      <c r="F3" s="853"/>
      <c r="G3" s="634">
        <f>O15</f>
        <v>0</v>
      </c>
      <c r="H3" s="635"/>
      <c r="I3" s="635"/>
      <c r="J3" s="636"/>
      <c r="K3" s="565"/>
      <c r="L3" s="566"/>
    </row>
    <row r="4" spans="1:15" s="105" customFormat="1" ht="28.5">
      <c r="A4" s="192"/>
      <c r="B4" s="567"/>
      <c r="C4" s="563" t="s">
        <v>120</v>
      </c>
      <c r="D4" s="607">
        <v>0.78</v>
      </c>
      <c r="E4" s="103"/>
      <c r="F4" s="637"/>
      <c r="G4" s="634"/>
      <c r="H4" s="635"/>
      <c r="I4" s="638"/>
      <c r="J4" s="636"/>
      <c r="K4" s="568"/>
      <c r="L4" s="566"/>
    </row>
    <row r="5" spans="1:15" s="97" customFormat="1" ht="28.5">
      <c r="A5" s="559" t="s">
        <v>121</v>
      </c>
      <c r="B5" s="98"/>
      <c r="C5" s="98"/>
      <c r="D5" s="98" t="s">
        <v>122</v>
      </c>
      <c r="E5" s="106" t="s">
        <v>123</v>
      </c>
      <c r="F5" s="741" t="s">
        <v>110</v>
      </c>
      <c r="G5" s="742" t="s">
        <v>124</v>
      </c>
      <c r="H5" s="743" t="s">
        <v>125</v>
      </c>
      <c r="I5" s="743" t="s">
        <v>126</v>
      </c>
      <c r="J5" s="744" t="s">
        <v>127</v>
      </c>
      <c r="K5" s="560"/>
      <c r="L5" s="561"/>
    </row>
    <row r="6" spans="1:15" s="105" customFormat="1" ht="28.5">
      <c r="A6" s="846" t="s">
        <v>128</v>
      </c>
      <c r="B6" s="847"/>
      <c r="C6" s="848"/>
      <c r="D6" s="609"/>
      <c r="E6" s="110"/>
      <c r="F6" s="641"/>
      <c r="G6" s="642"/>
      <c r="H6" s="643"/>
      <c r="I6" s="641"/>
      <c r="J6" s="644"/>
      <c r="K6" s="569"/>
      <c r="L6" s="566"/>
    </row>
    <row r="7" spans="1:15" s="105" customFormat="1" ht="29.25" thickBot="1">
      <c r="A7" s="194" t="s">
        <v>129</v>
      </c>
      <c r="B7" s="570"/>
      <c r="C7" s="570"/>
      <c r="D7" s="307" t="s">
        <v>130</v>
      </c>
      <c r="E7" s="95">
        <v>622799</v>
      </c>
      <c r="F7" s="640">
        <v>644863</v>
      </c>
      <c r="G7" s="646">
        <f>F7-E7</f>
        <v>22064</v>
      </c>
      <c r="H7" s="640">
        <f>G7</f>
        <v>22064</v>
      </c>
      <c r="I7" s="647">
        <v>12000</v>
      </c>
      <c r="J7" s="648">
        <f>H7/DAY(B2)</f>
        <v>22064</v>
      </c>
      <c r="K7" s="572">
        <v>1375467</v>
      </c>
      <c r="L7" s="566"/>
      <c r="N7" s="573"/>
      <c r="O7" s="574"/>
    </row>
    <row r="8" spans="1:15" s="105" customFormat="1" ht="29.25" thickBot="1">
      <c r="A8" s="196" t="s">
        <v>131</v>
      </c>
      <c r="B8" s="575"/>
      <c r="C8" s="576"/>
      <c r="D8" s="610" t="s">
        <v>24</v>
      </c>
      <c r="E8" s="114">
        <v>816110</v>
      </c>
      <c r="F8" s="640">
        <v>838476</v>
      </c>
      <c r="G8" s="646">
        <f>F8-E8</f>
        <v>22366</v>
      </c>
      <c r="H8" s="640">
        <f>G8</f>
        <v>22366</v>
      </c>
      <c r="I8" s="649">
        <v>12000</v>
      </c>
      <c r="J8" s="648">
        <f>H8/DAY(B2)</f>
        <v>22366</v>
      </c>
      <c r="K8" s="572">
        <v>1715917</v>
      </c>
      <c r="L8" s="577">
        <v>1728480</v>
      </c>
      <c r="M8" s="573">
        <f>L8-K8</f>
        <v>12563</v>
      </c>
      <c r="N8" s="573"/>
      <c r="O8" s="574">
        <f>G8-G7</f>
        <v>302</v>
      </c>
    </row>
    <row r="9" spans="1:15" s="105" customFormat="1" ht="28.5">
      <c r="A9" s="199" t="s">
        <v>132</v>
      </c>
      <c r="B9" s="578"/>
      <c r="C9" s="578"/>
      <c r="D9" s="307" t="s">
        <v>130</v>
      </c>
      <c r="E9" s="468">
        <v>4825099</v>
      </c>
      <c r="F9" s="650">
        <v>4842347</v>
      </c>
      <c r="G9" s="651">
        <f>F9-E9</f>
        <v>17248</v>
      </c>
      <c r="H9" s="640">
        <f t="shared" ref="H9:H13" si="0">G9</f>
        <v>17248</v>
      </c>
      <c r="I9" s="647">
        <f>I8-J8</f>
        <v>-10366</v>
      </c>
      <c r="J9" s="648">
        <f>H9/DAY(B2)</f>
        <v>17248</v>
      </c>
      <c r="K9" s="579">
        <f>K8-100</f>
        <v>1715817</v>
      </c>
      <c r="L9" s="566"/>
      <c r="N9" s="573"/>
      <c r="O9" s="574"/>
    </row>
    <row r="10" spans="1:15" s="105" customFormat="1" ht="28.5">
      <c r="A10" s="194" t="s">
        <v>133</v>
      </c>
      <c r="B10" s="570"/>
      <c r="C10" s="570"/>
      <c r="D10" s="307" t="s">
        <v>130</v>
      </c>
      <c r="E10" s="353">
        <v>4290534</v>
      </c>
      <c r="F10" s="650">
        <v>4295043</v>
      </c>
      <c r="G10" s="651">
        <f t="shared" ref="G10:G11" si="1">F10-E10</f>
        <v>4509</v>
      </c>
      <c r="H10" s="640">
        <f t="shared" si="0"/>
        <v>4509</v>
      </c>
      <c r="I10" s="640"/>
      <c r="J10" s="648">
        <f>H10/DAY(B2)</f>
        <v>4509</v>
      </c>
      <c r="K10" s="579"/>
      <c r="L10" s="566"/>
      <c r="N10" s="573"/>
      <c r="O10" s="574"/>
    </row>
    <row r="11" spans="1:15" s="105" customFormat="1" ht="28.5">
      <c r="A11" s="194" t="s">
        <v>134</v>
      </c>
      <c r="B11" s="570"/>
      <c r="C11" s="570"/>
      <c r="D11" s="307" t="s">
        <v>130</v>
      </c>
      <c r="E11" s="95">
        <v>38700</v>
      </c>
      <c r="F11" s="640">
        <v>38700</v>
      </c>
      <c r="G11" s="651">
        <f t="shared" si="1"/>
        <v>0</v>
      </c>
      <c r="H11" s="640">
        <f t="shared" si="0"/>
        <v>0</v>
      </c>
      <c r="I11" s="640"/>
      <c r="J11" s="648">
        <f>H11/DAY(B2)</f>
        <v>0</v>
      </c>
      <c r="K11" s="579"/>
      <c r="L11" s="566"/>
      <c r="N11" s="573"/>
      <c r="O11" s="574">
        <f>142-18</f>
        <v>124</v>
      </c>
    </row>
    <row r="12" spans="1:15" s="105" customFormat="1" ht="28.5">
      <c r="A12" s="194" t="s">
        <v>135</v>
      </c>
      <c r="B12" s="570"/>
      <c r="C12" s="570"/>
      <c r="D12" s="307" t="s">
        <v>130</v>
      </c>
      <c r="E12" s="117">
        <v>40550</v>
      </c>
      <c r="F12" s="650">
        <v>40550</v>
      </c>
      <c r="G12" s="651">
        <f>F12-E12</f>
        <v>0</v>
      </c>
      <c r="H12" s="640">
        <f t="shared" si="0"/>
        <v>0</v>
      </c>
      <c r="I12" s="640"/>
      <c r="J12" s="648">
        <f>H12/DAY(B2)</f>
        <v>0</v>
      </c>
      <c r="K12" s="579"/>
      <c r="L12" s="566"/>
      <c r="N12" s="573"/>
      <c r="O12" s="574"/>
    </row>
    <row r="13" spans="1:15" s="105" customFormat="1" ht="28.5">
      <c r="A13" s="201" t="s">
        <v>136</v>
      </c>
      <c r="B13" s="580"/>
      <c r="C13" s="580"/>
      <c r="D13" s="307"/>
      <c r="E13" s="95"/>
      <c r="F13" s="640"/>
      <c r="G13" s="651">
        <f>SUM(G9:G12)</f>
        <v>21757</v>
      </c>
      <c r="H13" s="640">
        <f t="shared" si="0"/>
        <v>21757</v>
      </c>
      <c r="I13" s="647">
        <f>G7-G13</f>
        <v>307</v>
      </c>
      <c r="J13" s="648">
        <f>H13/DAY(B2)</f>
        <v>21757</v>
      </c>
      <c r="K13" s="579"/>
      <c r="L13" s="566"/>
      <c r="N13" s="573"/>
      <c r="O13" s="574"/>
    </row>
    <row r="14" spans="1:15" s="105" customFormat="1" ht="28.5">
      <c r="A14" s="849" t="s">
        <v>137</v>
      </c>
      <c r="B14" s="850"/>
      <c r="C14" s="851"/>
      <c r="D14" s="611"/>
      <c r="E14" s="111"/>
      <c r="F14" s="643"/>
      <c r="G14" s="652"/>
      <c r="H14" s="643"/>
      <c r="I14" s="643"/>
      <c r="J14" s="644"/>
      <c r="K14" s="581"/>
      <c r="L14" s="566"/>
      <c r="N14" s="573"/>
      <c r="O14" s="574"/>
    </row>
    <row r="15" spans="1:15" s="105" customFormat="1" ht="28.5">
      <c r="A15" s="345" t="s">
        <v>138</v>
      </c>
      <c r="B15" s="582"/>
      <c r="C15" s="582"/>
      <c r="D15" s="307" t="s">
        <v>139</v>
      </c>
      <c r="E15" s="468">
        <v>2288473.7149999999</v>
      </c>
      <c r="F15" s="653">
        <v>2289635</v>
      </c>
      <c r="G15" s="654">
        <f>(F15-E15)</f>
        <v>1161.285000000149</v>
      </c>
      <c r="H15" s="647">
        <f>G15</f>
        <v>1161.285000000149</v>
      </c>
      <c r="I15" s="647">
        <v>800</v>
      </c>
      <c r="J15" s="648">
        <f>H15/DAY(B2)</f>
        <v>1161.285000000149</v>
      </c>
      <c r="K15" s="579"/>
      <c r="L15" s="566"/>
      <c r="N15" s="573"/>
      <c r="O15" s="574"/>
    </row>
    <row r="16" spans="1:15" s="105" customFormat="1" ht="28.5">
      <c r="A16" s="203"/>
      <c r="B16" s="583"/>
      <c r="C16" s="583"/>
      <c r="D16" s="612"/>
      <c r="E16" s="123"/>
      <c r="F16" s="655"/>
      <c r="G16" s="651"/>
      <c r="H16" s="647"/>
      <c r="I16" s="647">
        <f>I15-J15</f>
        <v>-361.28500000014901</v>
      </c>
      <c r="J16" s="656"/>
      <c r="K16" s="579"/>
      <c r="L16" s="566"/>
      <c r="N16" s="573"/>
      <c r="O16" s="574"/>
    </row>
    <row r="17" spans="1:15" s="105" customFormat="1" ht="28.5">
      <c r="A17" s="849" t="s">
        <v>140</v>
      </c>
      <c r="B17" s="850"/>
      <c r="C17" s="851"/>
      <c r="D17" s="611"/>
      <c r="E17" s="111"/>
      <c r="F17" s="643"/>
      <c r="G17" s="652"/>
      <c r="H17" s="643"/>
      <c r="I17" s="643"/>
      <c r="J17" s="644"/>
      <c r="K17" s="579"/>
      <c r="L17" s="566"/>
      <c r="N17" s="573"/>
      <c r="O17" s="574"/>
    </row>
    <row r="18" spans="1:15" s="105" customFormat="1" ht="28.5">
      <c r="A18" s="817" t="s">
        <v>141</v>
      </c>
      <c r="B18" s="818"/>
      <c r="C18" s="819"/>
      <c r="D18" s="307" t="s">
        <v>142</v>
      </c>
      <c r="E18" s="164">
        <v>13</v>
      </c>
      <c r="F18" s="657">
        <v>17</v>
      </c>
      <c r="G18" s="658">
        <f>F18*10</f>
        <v>170</v>
      </c>
      <c r="H18" s="640">
        <f>G18</f>
        <v>170</v>
      </c>
      <c r="I18" s="647">
        <v>65</v>
      </c>
      <c r="J18" s="648">
        <f>H18/DAY(B2)</f>
        <v>170</v>
      </c>
      <c r="K18" s="579"/>
      <c r="L18" s="566"/>
      <c r="N18" s="573"/>
      <c r="O18" s="574"/>
    </row>
    <row r="19" spans="1:15" s="105" customFormat="1" ht="28.5">
      <c r="A19" s="817" t="s">
        <v>69</v>
      </c>
      <c r="B19" s="818"/>
      <c r="C19" s="819"/>
      <c r="D19" s="307" t="s">
        <v>142</v>
      </c>
      <c r="E19" s="122">
        <v>171323</v>
      </c>
      <c r="F19" s="748">
        <v>171375</v>
      </c>
      <c r="G19" s="651">
        <f t="shared" ref="G19" si="2">F19-E19</f>
        <v>52</v>
      </c>
      <c r="H19" s="640">
        <f t="shared" ref="H19" si="3">G19</f>
        <v>52</v>
      </c>
      <c r="I19" s="650"/>
      <c r="J19" s="648">
        <f>H19/DAY(B2)</f>
        <v>52</v>
      </c>
      <c r="K19" s="579"/>
      <c r="L19" s="566"/>
      <c r="N19" s="573"/>
      <c r="O19" s="574"/>
    </row>
    <row r="20" spans="1:15" s="105" customFormat="1" ht="28.5">
      <c r="A20" s="201" t="s">
        <v>143</v>
      </c>
      <c r="B20" s="580"/>
      <c r="C20" s="580"/>
      <c r="D20" s="613"/>
      <c r="E20" s="126"/>
      <c r="F20" s="659"/>
      <c r="G20" s="660">
        <f>G18+G19</f>
        <v>222</v>
      </c>
      <c r="H20" s="640">
        <f>G20</f>
        <v>222</v>
      </c>
      <c r="I20" s="661">
        <f>I18-J20</f>
        <v>-157</v>
      </c>
      <c r="J20" s="648">
        <f>H20/DAY(B2)</f>
        <v>222</v>
      </c>
      <c r="K20" s="579"/>
      <c r="L20" s="566"/>
      <c r="N20" s="573"/>
      <c r="O20" s="574"/>
    </row>
    <row r="21" spans="1:15" s="105" customFormat="1" ht="28.5">
      <c r="A21" s="849" t="s">
        <v>144</v>
      </c>
      <c r="B21" s="850"/>
      <c r="C21" s="851"/>
      <c r="D21" s="611"/>
      <c r="E21" s="111"/>
      <c r="F21" s="643"/>
      <c r="G21" s="652"/>
      <c r="H21" s="643"/>
      <c r="I21" s="643"/>
      <c r="J21" s="644"/>
      <c r="K21" s="579"/>
      <c r="L21" s="566"/>
      <c r="N21" s="573"/>
      <c r="O21" s="574"/>
    </row>
    <row r="22" spans="1:15" s="105" customFormat="1" ht="28.5">
      <c r="A22" s="345" t="s">
        <v>145</v>
      </c>
      <c r="B22" s="582"/>
      <c r="C22" s="582"/>
      <c r="D22" s="307" t="s">
        <v>146</v>
      </c>
      <c r="E22" s="122">
        <v>2970</v>
      </c>
      <c r="F22" s="657">
        <v>2970</v>
      </c>
      <c r="G22" s="658">
        <f>(F22-E22)</f>
        <v>0</v>
      </c>
      <c r="H22" s="640">
        <f>G22</f>
        <v>0</v>
      </c>
      <c r="I22" s="640"/>
      <c r="J22" s="648">
        <f>H22/DAY(B2)</f>
        <v>0</v>
      </c>
      <c r="K22" s="579"/>
      <c r="L22" s="566"/>
      <c r="N22" s="573"/>
      <c r="O22" s="574"/>
    </row>
    <row r="23" spans="1:15" s="105" customFormat="1" ht="28.5">
      <c r="A23" s="345" t="s">
        <v>147</v>
      </c>
      <c r="B23" s="582"/>
      <c r="C23" s="582"/>
      <c r="D23" s="307" t="s">
        <v>146</v>
      </c>
      <c r="E23" s="122">
        <v>2000</v>
      </c>
      <c r="F23" s="657">
        <v>2000</v>
      </c>
      <c r="G23" s="658">
        <f t="shared" ref="G23" si="4">(F23-E23)</f>
        <v>0</v>
      </c>
      <c r="H23" s="640">
        <f t="shared" ref="H23:H24" si="5">G23</f>
        <v>0</v>
      </c>
      <c r="I23" s="640"/>
      <c r="J23" s="648">
        <f>H23/DAY(B2)</f>
        <v>0</v>
      </c>
      <c r="K23" s="579"/>
      <c r="L23" s="566"/>
      <c r="N23" s="573"/>
      <c r="O23" s="574"/>
    </row>
    <row r="24" spans="1:15" s="105" customFormat="1" ht="28.5">
      <c r="A24" s="206" t="s">
        <v>148</v>
      </c>
      <c r="B24" s="584"/>
      <c r="C24" s="584"/>
      <c r="D24" s="614" t="s">
        <v>146</v>
      </c>
      <c r="E24" s="128">
        <v>4970</v>
      </c>
      <c r="F24" s="662">
        <v>4970</v>
      </c>
      <c r="G24" s="658">
        <f>SUM(G22:G23)</f>
        <v>0</v>
      </c>
      <c r="H24" s="640">
        <f t="shared" si="5"/>
        <v>0</v>
      </c>
      <c r="I24" s="640"/>
      <c r="J24" s="648">
        <f>H24/DAY(B2)</f>
        <v>0</v>
      </c>
      <c r="K24" s="579"/>
      <c r="L24" s="566"/>
      <c r="N24" s="573"/>
      <c r="O24" s="574"/>
    </row>
    <row r="25" spans="1:15" s="105" customFormat="1" ht="28.5">
      <c r="A25" s="846" t="s">
        <v>149</v>
      </c>
      <c r="B25" s="847"/>
      <c r="C25" s="848"/>
      <c r="D25" s="609"/>
      <c r="E25" s="110"/>
      <c r="F25" s="643"/>
      <c r="G25" s="652"/>
      <c r="H25" s="643"/>
      <c r="I25" s="663"/>
      <c r="J25" s="644"/>
      <c r="K25" s="579"/>
      <c r="L25" s="566"/>
      <c r="N25" s="573"/>
      <c r="O25" s="574"/>
    </row>
    <row r="26" spans="1:15" s="105" customFormat="1" ht="28.5">
      <c r="A26" s="208" t="s">
        <v>150</v>
      </c>
      <c r="B26" s="585"/>
      <c r="C26" s="586"/>
      <c r="D26" s="615" t="s">
        <v>151</v>
      </c>
      <c r="E26" s="132"/>
      <c r="F26" s="664"/>
      <c r="G26" s="665"/>
      <c r="H26" s="640"/>
      <c r="I26" s="666"/>
      <c r="J26" s="648"/>
      <c r="K26" s="581"/>
      <c r="L26" s="566"/>
      <c r="N26" s="573"/>
      <c r="O26" s="574"/>
    </row>
    <row r="27" spans="1:15" s="105" customFormat="1" ht="28.5">
      <c r="A27" s="208" t="s">
        <v>5</v>
      </c>
      <c r="B27" s="585"/>
      <c r="C27" s="586"/>
      <c r="D27" s="616" t="s">
        <v>24</v>
      </c>
      <c r="E27" s="136">
        <f>G8</f>
        <v>22366</v>
      </c>
      <c r="F27" s="668">
        <v>10</v>
      </c>
      <c r="G27" s="669">
        <f>F27*E27</f>
        <v>223660</v>
      </c>
      <c r="H27" s="640">
        <f t="shared" ref="H27:H32" si="6">G27</f>
        <v>223660</v>
      </c>
      <c r="I27" s="670"/>
      <c r="J27" s="648">
        <f>H27/DAY(B2)</f>
        <v>223660</v>
      </c>
      <c r="K27" s="579"/>
      <c r="L27" s="566"/>
      <c r="N27" s="573"/>
      <c r="O27" s="574"/>
    </row>
    <row r="28" spans="1:15" s="105" customFormat="1" ht="28.5">
      <c r="A28" s="208" t="s">
        <v>152</v>
      </c>
      <c r="B28" s="585"/>
      <c r="C28" s="586"/>
      <c r="D28" s="616" t="s">
        <v>153</v>
      </c>
      <c r="E28" s="136">
        <f>G15</f>
        <v>1161.285000000149</v>
      </c>
      <c r="F28" s="668">
        <v>66</v>
      </c>
      <c r="G28" s="669">
        <f>E28*F28</f>
        <v>76644.810000009835</v>
      </c>
      <c r="H28" s="640">
        <f t="shared" si="6"/>
        <v>76644.810000009835</v>
      </c>
      <c r="I28" s="666"/>
      <c r="J28" s="648">
        <f>H28/DAY(B2)</f>
        <v>76644.810000009835</v>
      </c>
      <c r="K28" s="579"/>
      <c r="L28" s="566"/>
      <c r="N28" s="573"/>
      <c r="O28" s="574"/>
    </row>
    <row r="29" spans="1:15" s="105" customFormat="1" ht="28.5">
      <c r="A29" s="208" t="s">
        <v>154</v>
      </c>
      <c r="B29" s="585"/>
      <c r="C29" s="586"/>
      <c r="D29" s="616" t="s">
        <v>155</v>
      </c>
      <c r="E29" s="136">
        <f>G24</f>
        <v>0</v>
      </c>
      <c r="F29" s="668">
        <v>69</v>
      </c>
      <c r="G29" s="669">
        <f>E29*F29</f>
        <v>0</v>
      </c>
      <c r="H29" s="640">
        <f t="shared" si="6"/>
        <v>0</v>
      </c>
      <c r="I29" s="666"/>
      <c r="J29" s="648">
        <f>H29/DAY(B2)</f>
        <v>0</v>
      </c>
      <c r="K29" s="579"/>
      <c r="L29" s="566"/>
      <c r="N29" s="573"/>
      <c r="O29" s="574"/>
    </row>
    <row r="30" spans="1:15" s="105" customFormat="1" ht="28.5">
      <c r="A30" s="208" t="s">
        <v>156</v>
      </c>
      <c r="B30" s="585"/>
      <c r="C30" s="586"/>
      <c r="D30" s="616" t="s">
        <v>157</v>
      </c>
      <c r="E30" s="136">
        <f>G19</f>
        <v>52</v>
      </c>
      <c r="F30" s="668">
        <v>151</v>
      </c>
      <c r="G30" s="669">
        <f>E30*F30</f>
        <v>7852</v>
      </c>
      <c r="H30" s="640">
        <f t="shared" si="6"/>
        <v>7852</v>
      </c>
      <c r="I30" s="666"/>
      <c r="J30" s="648">
        <f>H30/DAY(B2)</f>
        <v>7852</v>
      </c>
      <c r="K30" s="579"/>
      <c r="L30" s="566"/>
      <c r="N30" s="573"/>
      <c r="O30" s="574"/>
    </row>
    <row r="31" spans="1:15" s="105" customFormat="1" ht="28.5">
      <c r="A31" s="208" t="s">
        <v>158</v>
      </c>
      <c r="B31" s="585"/>
      <c r="C31" s="586"/>
      <c r="D31" s="616" t="s">
        <v>142</v>
      </c>
      <c r="E31" s="136">
        <f>G18</f>
        <v>170</v>
      </c>
      <c r="F31" s="668">
        <v>85</v>
      </c>
      <c r="G31" s="669">
        <f>E31*F31</f>
        <v>14450</v>
      </c>
      <c r="H31" s="640">
        <f t="shared" si="6"/>
        <v>14450</v>
      </c>
      <c r="I31" s="666"/>
      <c r="J31" s="648">
        <f>H31/DAY(B2)</f>
        <v>14450</v>
      </c>
      <c r="K31" s="579"/>
      <c r="L31" s="566"/>
      <c r="N31" s="573"/>
      <c r="O31" s="574"/>
    </row>
    <row r="32" spans="1:15" s="105" customFormat="1" ht="28.5">
      <c r="A32" s="211" t="s">
        <v>159</v>
      </c>
      <c r="B32" s="587"/>
      <c r="C32" s="588"/>
      <c r="D32" s="617"/>
      <c r="E32" s="142"/>
      <c r="F32" s="671"/>
      <c r="G32" s="672">
        <f>G27+G28+G29+G30+G31</f>
        <v>322606.81000000983</v>
      </c>
      <c r="H32" s="673">
        <f t="shared" si="6"/>
        <v>322606.81000000983</v>
      </c>
      <c r="I32" s="674"/>
      <c r="J32" s="675">
        <f>H32/DAY(B2)</f>
        <v>322606.81000000983</v>
      </c>
      <c r="K32" s="579"/>
      <c r="L32" s="566"/>
      <c r="N32" s="573"/>
      <c r="O32" s="574"/>
    </row>
    <row r="33" spans="1:15" s="105" customFormat="1" ht="25.5" customHeight="1">
      <c r="A33" s="854" t="s">
        <v>331</v>
      </c>
      <c r="B33" s="855"/>
      <c r="C33" s="855"/>
      <c r="D33" s="618"/>
      <c r="E33" s="527"/>
      <c r="F33" s="676"/>
      <c r="G33" s="676"/>
      <c r="H33" s="676"/>
      <c r="I33" s="676"/>
      <c r="J33" s="677"/>
      <c r="K33" s="579"/>
      <c r="L33" s="566"/>
      <c r="N33" s="573"/>
      <c r="O33" s="574"/>
    </row>
    <row r="34" spans="1:15" s="105" customFormat="1" ht="28.5">
      <c r="A34" s="214" t="s">
        <v>160</v>
      </c>
      <c r="B34" s="589"/>
      <c r="C34" s="589"/>
      <c r="D34" s="611"/>
      <c r="E34" s="110"/>
      <c r="F34" s="643"/>
      <c r="G34" s="643"/>
      <c r="H34" s="643"/>
      <c r="I34" s="643"/>
      <c r="J34" s="644"/>
      <c r="K34" s="579"/>
      <c r="L34" s="566"/>
      <c r="N34" s="573"/>
      <c r="O34" s="574"/>
    </row>
    <row r="35" spans="1:15" s="105" customFormat="1" ht="28.5">
      <c r="A35" s="194" t="s">
        <v>161</v>
      </c>
      <c r="B35" s="570"/>
      <c r="C35" s="570"/>
      <c r="D35" s="307" t="s">
        <v>130</v>
      </c>
      <c r="E35" s="145">
        <v>530056</v>
      </c>
      <c r="F35" s="650">
        <v>532635</v>
      </c>
      <c r="G35" s="651">
        <f t="shared" ref="G35:G46" si="7">F35-E35</f>
        <v>2579</v>
      </c>
      <c r="H35" s="640">
        <f t="shared" ref="H35:H47" si="8">G35</f>
        <v>2579</v>
      </c>
      <c r="I35" s="640"/>
      <c r="J35" s="648">
        <f>H35/DAY(B2)</f>
        <v>2579</v>
      </c>
      <c r="K35" s="579"/>
      <c r="L35" s="566"/>
      <c r="N35" s="573"/>
      <c r="O35" s="574"/>
    </row>
    <row r="36" spans="1:15" s="105" customFormat="1" ht="28.5">
      <c r="A36" s="194" t="s">
        <v>162</v>
      </c>
      <c r="B36" s="570"/>
      <c r="C36" s="570"/>
      <c r="D36" s="307" t="s">
        <v>130</v>
      </c>
      <c r="E36" s="145">
        <v>381821</v>
      </c>
      <c r="F36" s="650">
        <v>382870</v>
      </c>
      <c r="G36" s="651">
        <f t="shared" si="7"/>
        <v>1049</v>
      </c>
      <c r="H36" s="640">
        <f t="shared" si="8"/>
        <v>1049</v>
      </c>
      <c r="I36" s="640"/>
      <c r="J36" s="648">
        <f>H36/DAY(B2)</f>
        <v>1049</v>
      </c>
      <c r="K36" s="579"/>
      <c r="L36" s="566"/>
      <c r="N36" s="573"/>
      <c r="O36" s="590"/>
    </row>
    <row r="37" spans="1:15" s="105" customFormat="1" ht="28.5">
      <c r="A37" s="194" t="s">
        <v>163</v>
      </c>
      <c r="B37" s="570"/>
      <c r="C37" s="570"/>
      <c r="D37" s="307" t="s">
        <v>130</v>
      </c>
      <c r="E37" s="145">
        <v>383619</v>
      </c>
      <c r="F37" s="650">
        <v>385112</v>
      </c>
      <c r="G37" s="651">
        <f t="shared" si="7"/>
        <v>1493</v>
      </c>
      <c r="H37" s="640">
        <f t="shared" si="8"/>
        <v>1493</v>
      </c>
      <c r="I37" s="640"/>
      <c r="J37" s="648">
        <f>H37/DAY(B2)</f>
        <v>1493</v>
      </c>
      <c r="K37" s="579"/>
      <c r="L37" s="566"/>
      <c r="N37" s="573"/>
      <c r="O37" s="591"/>
    </row>
    <row r="38" spans="1:15" s="105" customFormat="1" ht="28.5">
      <c r="A38" s="194" t="s">
        <v>164</v>
      </c>
      <c r="B38" s="570"/>
      <c r="C38" s="570"/>
      <c r="D38" s="307" t="s">
        <v>130</v>
      </c>
      <c r="E38" s="108">
        <v>877127</v>
      </c>
      <c r="F38" s="640">
        <v>879792</v>
      </c>
      <c r="G38" s="651">
        <f t="shared" si="7"/>
        <v>2665</v>
      </c>
      <c r="H38" s="640">
        <f t="shared" si="8"/>
        <v>2665</v>
      </c>
      <c r="I38" s="640"/>
      <c r="J38" s="648">
        <f>H38/DAY(B2)</f>
        <v>2665</v>
      </c>
      <c r="K38" s="579"/>
      <c r="L38" s="566"/>
      <c r="N38" s="573"/>
      <c r="O38" s="574"/>
    </row>
    <row r="39" spans="1:15" s="105" customFormat="1" ht="28.5">
      <c r="A39" s="194" t="s">
        <v>165</v>
      </c>
      <c r="B39" s="570"/>
      <c r="C39" s="570"/>
      <c r="D39" s="307" t="s">
        <v>130</v>
      </c>
      <c r="E39" s="145">
        <v>706136</v>
      </c>
      <c r="F39" s="650">
        <v>709085</v>
      </c>
      <c r="G39" s="651">
        <f t="shared" si="7"/>
        <v>2949</v>
      </c>
      <c r="H39" s="640">
        <f t="shared" si="8"/>
        <v>2949</v>
      </c>
      <c r="I39" s="640"/>
      <c r="J39" s="648">
        <f>H39/DAY(B2)</f>
        <v>2949</v>
      </c>
      <c r="K39" s="579"/>
      <c r="L39" s="566"/>
      <c r="N39" s="573"/>
      <c r="O39" s="574"/>
    </row>
    <row r="40" spans="1:15" s="105" customFormat="1" ht="28.5">
      <c r="A40" s="215" t="s">
        <v>166</v>
      </c>
      <c r="B40" s="592"/>
      <c r="C40" s="592"/>
      <c r="D40" s="307" t="s">
        <v>130</v>
      </c>
      <c r="E40" s="145">
        <v>217792</v>
      </c>
      <c r="F40" s="650">
        <v>218250</v>
      </c>
      <c r="G40" s="651">
        <f t="shared" si="7"/>
        <v>458</v>
      </c>
      <c r="H40" s="640">
        <f t="shared" si="8"/>
        <v>458</v>
      </c>
      <c r="I40" s="640"/>
      <c r="J40" s="648">
        <f>H40/DAY(B2)</f>
        <v>458</v>
      </c>
      <c r="K40" s="581"/>
      <c r="L40" s="566"/>
      <c r="N40" s="573"/>
      <c r="O40" s="574"/>
    </row>
    <row r="41" spans="1:15" s="105" customFormat="1" ht="28.5">
      <c r="A41" s="194" t="s">
        <v>167</v>
      </c>
      <c r="B41" s="570"/>
      <c r="C41" s="570"/>
      <c r="D41" s="307" t="s">
        <v>130</v>
      </c>
      <c r="E41" s="145">
        <v>420212.51</v>
      </c>
      <c r="F41" s="650">
        <v>420212.5</v>
      </c>
      <c r="G41" s="651">
        <f t="shared" si="7"/>
        <v>-1.0000000009313226E-2</v>
      </c>
      <c r="H41" s="640">
        <f t="shared" si="8"/>
        <v>-1.0000000009313226E-2</v>
      </c>
      <c r="I41" s="640"/>
      <c r="J41" s="648">
        <f>H41/DAY(B2)</f>
        <v>-1.0000000009313226E-2</v>
      </c>
      <c r="K41" s="579"/>
      <c r="L41" s="566"/>
      <c r="N41" s="573"/>
      <c r="O41" s="574"/>
    </row>
    <row r="42" spans="1:15" s="105" customFormat="1" ht="28.5">
      <c r="A42" s="194" t="s">
        <v>168</v>
      </c>
      <c r="B42" s="570"/>
      <c r="C42" s="570"/>
      <c r="D42" s="307" t="s">
        <v>130</v>
      </c>
      <c r="E42" s="145">
        <v>973062.63</v>
      </c>
      <c r="F42" s="650">
        <v>978335</v>
      </c>
      <c r="G42" s="651">
        <f t="shared" si="7"/>
        <v>5272.3699999999953</v>
      </c>
      <c r="H42" s="640">
        <f t="shared" si="8"/>
        <v>5272.3699999999953</v>
      </c>
      <c r="I42" s="640"/>
      <c r="J42" s="648">
        <f>H42/DAY(B2)</f>
        <v>5272.3699999999953</v>
      </c>
      <c r="K42" s="579"/>
      <c r="L42" s="566"/>
      <c r="N42" s="573"/>
      <c r="O42" s="574"/>
    </row>
    <row r="43" spans="1:15" s="105" customFormat="1" ht="28.5">
      <c r="A43" s="194" t="s">
        <v>169</v>
      </c>
      <c r="B43" s="570"/>
      <c r="C43" s="570"/>
      <c r="D43" s="307" t="s">
        <v>130</v>
      </c>
      <c r="E43" s="145">
        <v>422444</v>
      </c>
      <c r="F43" s="749">
        <v>422444</v>
      </c>
      <c r="G43" s="651">
        <f t="shared" si="7"/>
        <v>0</v>
      </c>
      <c r="H43" s="640">
        <f t="shared" si="8"/>
        <v>0</v>
      </c>
      <c r="I43" s="640"/>
      <c r="J43" s="648">
        <f>H43/DAY(B2)</f>
        <v>0</v>
      </c>
      <c r="K43" s="579"/>
      <c r="L43" s="566"/>
      <c r="N43" s="573"/>
      <c r="O43" s="574"/>
    </row>
    <row r="44" spans="1:15" s="105" customFormat="1" ht="28.5">
      <c r="A44" s="194" t="s">
        <v>170</v>
      </c>
      <c r="B44" s="570"/>
      <c r="C44" s="570"/>
      <c r="D44" s="307" t="s">
        <v>130</v>
      </c>
      <c r="E44" s="145">
        <v>0</v>
      </c>
      <c r="F44" s="650">
        <v>0</v>
      </c>
      <c r="G44" s="651">
        <f t="shared" si="7"/>
        <v>0</v>
      </c>
      <c r="H44" s="640">
        <f t="shared" si="8"/>
        <v>0</v>
      </c>
      <c r="I44" s="640"/>
      <c r="J44" s="648">
        <f>H44/DAY(B2)</f>
        <v>0</v>
      </c>
      <c r="K44" s="579"/>
      <c r="L44" s="566"/>
      <c r="N44" s="573"/>
      <c r="O44" s="574"/>
    </row>
    <row r="45" spans="1:15" s="105" customFormat="1" ht="28.5">
      <c r="A45" s="194" t="s">
        <v>171</v>
      </c>
      <c r="B45" s="570"/>
      <c r="C45" s="570"/>
      <c r="D45" s="307" t="s">
        <v>130</v>
      </c>
      <c r="E45" s="145">
        <v>0</v>
      </c>
      <c r="F45" s="650">
        <v>0</v>
      </c>
      <c r="G45" s="651">
        <f t="shared" si="7"/>
        <v>0</v>
      </c>
      <c r="H45" s="640">
        <f t="shared" si="8"/>
        <v>0</v>
      </c>
      <c r="I45" s="640"/>
      <c r="J45" s="648">
        <f>H45/DAY(B2)</f>
        <v>0</v>
      </c>
      <c r="K45" s="579"/>
      <c r="L45" s="566"/>
      <c r="N45" s="573"/>
      <c r="O45" s="574"/>
    </row>
    <row r="46" spans="1:15" s="105" customFormat="1" ht="28.5">
      <c r="A46" s="194" t="s">
        <v>172</v>
      </c>
      <c r="B46" s="570"/>
      <c r="C46" s="570"/>
      <c r="D46" s="307" t="s">
        <v>130</v>
      </c>
      <c r="E46" s="145">
        <v>0</v>
      </c>
      <c r="F46" s="650">
        <v>0</v>
      </c>
      <c r="G46" s="651">
        <f t="shared" si="7"/>
        <v>0</v>
      </c>
      <c r="H46" s="640">
        <f t="shared" si="8"/>
        <v>0</v>
      </c>
      <c r="I46" s="640"/>
      <c r="J46" s="648">
        <f>H46/DAY(B2)</f>
        <v>0</v>
      </c>
      <c r="K46" s="579"/>
      <c r="L46" s="566"/>
      <c r="N46" s="573"/>
      <c r="O46" s="574"/>
    </row>
    <row r="47" spans="1:15" s="105" customFormat="1" ht="28.5">
      <c r="A47" s="201" t="s">
        <v>173</v>
      </c>
      <c r="B47" s="580"/>
      <c r="C47" s="580"/>
      <c r="D47" s="619"/>
      <c r="E47" s="146"/>
      <c r="F47" s="640"/>
      <c r="G47" s="658">
        <f>G35+G36+G37+G38+G39+G40+G41+G42+G43+G44+G45+G46</f>
        <v>16465.359999999986</v>
      </c>
      <c r="H47" s="640">
        <f t="shared" si="8"/>
        <v>16465.359999999986</v>
      </c>
      <c r="I47" s="640"/>
      <c r="J47" s="648">
        <f>H47/DAY(B2)</f>
        <v>16465.359999999986</v>
      </c>
      <c r="K47" s="579"/>
      <c r="L47" s="566"/>
      <c r="N47" s="573"/>
      <c r="O47" s="574"/>
    </row>
    <row r="48" spans="1:15" s="105" customFormat="1" ht="28.5">
      <c r="A48" s="214" t="s">
        <v>174</v>
      </c>
      <c r="B48" s="589"/>
      <c r="C48" s="589"/>
      <c r="D48" s="611"/>
      <c r="E48" s="110"/>
      <c r="F48" s="643"/>
      <c r="G48" s="643"/>
      <c r="H48" s="643"/>
      <c r="I48" s="643"/>
      <c r="J48" s="644"/>
      <c r="K48" s="579"/>
      <c r="L48" s="566"/>
      <c r="N48" s="573"/>
      <c r="O48" s="574"/>
    </row>
    <row r="49" spans="1:15" s="105" customFormat="1" ht="28.5">
      <c r="A49" s="194" t="s">
        <v>161</v>
      </c>
      <c r="B49" s="593"/>
      <c r="C49" s="593"/>
      <c r="D49" s="307" t="s">
        <v>130</v>
      </c>
      <c r="E49" s="145">
        <v>822912</v>
      </c>
      <c r="F49" s="650">
        <v>823488</v>
      </c>
      <c r="G49" s="651">
        <f t="shared" ref="G49:G58" si="9">F49-E49</f>
        <v>576</v>
      </c>
      <c r="H49" s="640">
        <f t="shared" ref="H49:H60" si="10">G49</f>
        <v>576</v>
      </c>
      <c r="I49" s="640"/>
      <c r="J49" s="648">
        <f>H49/DAY(B2)</f>
        <v>576</v>
      </c>
      <c r="K49" s="579"/>
      <c r="L49" s="566"/>
      <c r="N49" s="573"/>
      <c r="O49" s="574"/>
    </row>
    <row r="50" spans="1:15" s="105" customFormat="1" ht="28.5">
      <c r="A50" s="194" t="s">
        <v>175</v>
      </c>
      <c r="B50" s="593"/>
      <c r="C50" s="593"/>
      <c r="D50" s="307" t="s">
        <v>130</v>
      </c>
      <c r="E50" s="145">
        <v>541974</v>
      </c>
      <c r="F50" s="650">
        <v>543228</v>
      </c>
      <c r="G50" s="651">
        <f t="shared" si="9"/>
        <v>1254</v>
      </c>
      <c r="H50" s="640">
        <f t="shared" si="10"/>
        <v>1254</v>
      </c>
      <c r="I50" s="640"/>
      <c r="J50" s="648">
        <f>H50/DAY(B2)</f>
        <v>1254</v>
      </c>
      <c r="K50" s="579"/>
      <c r="L50" s="566"/>
      <c r="N50" s="573"/>
      <c r="O50" s="574"/>
    </row>
    <row r="51" spans="1:15" s="105" customFormat="1" ht="28.5">
      <c r="A51" s="194" t="s">
        <v>163</v>
      </c>
      <c r="B51" s="593"/>
      <c r="C51" s="593"/>
      <c r="D51" s="307" t="s">
        <v>130</v>
      </c>
      <c r="E51" s="145">
        <v>156958</v>
      </c>
      <c r="F51" s="650">
        <v>156958.44</v>
      </c>
      <c r="G51" s="651">
        <f t="shared" si="9"/>
        <v>0.44000000000232831</v>
      </c>
      <c r="H51" s="640">
        <f t="shared" si="10"/>
        <v>0.44000000000232831</v>
      </c>
      <c r="I51" s="640"/>
      <c r="J51" s="648">
        <f>H51/DAY(B2)</f>
        <v>0.44000000000232831</v>
      </c>
      <c r="K51" s="579"/>
      <c r="L51" s="566"/>
      <c r="N51" s="573"/>
      <c r="O51" s="574"/>
    </row>
    <row r="52" spans="1:15" s="105" customFormat="1" ht="28.5">
      <c r="A52" s="194" t="s">
        <v>176</v>
      </c>
      <c r="B52" s="593"/>
      <c r="C52" s="593"/>
      <c r="D52" s="307" t="s">
        <v>130</v>
      </c>
      <c r="E52" s="145">
        <v>1457</v>
      </c>
      <c r="F52" s="650">
        <v>1457</v>
      </c>
      <c r="G52" s="651">
        <f t="shared" si="9"/>
        <v>0</v>
      </c>
      <c r="H52" s="640">
        <f t="shared" si="10"/>
        <v>0</v>
      </c>
      <c r="I52" s="640"/>
      <c r="J52" s="648">
        <f>H52/DAY(B2)</f>
        <v>0</v>
      </c>
      <c r="K52" s="579"/>
      <c r="L52" s="566"/>
      <c r="N52" s="573"/>
      <c r="O52" s="574"/>
    </row>
    <row r="53" spans="1:15" s="105" customFormat="1" ht="28.5">
      <c r="A53" s="194" t="s">
        <v>165</v>
      </c>
      <c r="B53" s="593"/>
      <c r="C53" s="593"/>
      <c r="D53" s="307" t="s">
        <v>130</v>
      </c>
      <c r="E53" s="145">
        <v>630355.03</v>
      </c>
      <c r="F53" s="650">
        <v>630355.03</v>
      </c>
      <c r="G53" s="651">
        <f t="shared" si="9"/>
        <v>0</v>
      </c>
      <c r="H53" s="640">
        <f t="shared" si="10"/>
        <v>0</v>
      </c>
      <c r="I53" s="640"/>
      <c r="J53" s="648">
        <f>H53/DAY(B2)</f>
        <v>0</v>
      </c>
      <c r="K53" s="579"/>
      <c r="L53" s="566"/>
      <c r="N53" s="573"/>
      <c r="O53" s="574"/>
    </row>
    <row r="54" spans="1:15" s="105" customFormat="1" ht="28.5">
      <c r="A54" s="194" t="s">
        <v>177</v>
      </c>
      <c r="B54" s="593"/>
      <c r="C54" s="593"/>
      <c r="D54" s="307" t="s">
        <v>130</v>
      </c>
      <c r="E54" s="145">
        <v>124114.21</v>
      </c>
      <c r="F54" s="650">
        <v>124514</v>
      </c>
      <c r="G54" s="651">
        <f t="shared" si="9"/>
        <v>399.7899999999936</v>
      </c>
      <c r="H54" s="640">
        <f t="shared" si="10"/>
        <v>399.7899999999936</v>
      </c>
      <c r="I54" s="640"/>
      <c r="J54" s="648">
        <f>H54/DAY(B2)</f>
        <v>399.7899999999936</v>
      </c>
      <c r="K54" s="579"/>
      <c r="L54" s="566"/>
      <c r="N54" s="573"/>
      <c r="O54" s="574"/>
    </row>
    <row r="55" spans="1:15" s="105" customFormat="1" ht="28.5">
      <c r="A55" s="194" t="s">
        <v>178</v>
      </c>
      <c r="B55" s="593"/>
      <c r="C55" s="593"/>
      <c r="D55" s="307" t="s">
        <v>130</v>
      </c>
      <c r="E55" s="145">
        <v>594304.75</v>
      </c>
      <c r="F55" s="650">
        <v>594304.75</v>
      </c>
      <c r="G55" s="651">
        <f t="shared" si="9"/>
        <v>0</v>
      </c>
      <c r="H55" s="640">
        <f t="shared" si="10"/>
        <v>0</v>
      </c>
      <c r="I55" s="640"/>
      <c r="J55" s="648">
        <f>H55/DAY(B2)</f>
        <v>0</v>
      </c>
      <c r="K55" s="579"/>
      <c r="L55" s="566"/>
      <c r="N55" s="573"/>
      <c r="O55" s="574"/>
    </row>
    <row r="56" spans="1:15" s="105" customFormat="1" ht="28.5">
      <c r="A56" s="194" t="s">
        <v>179</v>
      </c>
      <c r="B56" s="593"/>
      <c r="C56" s="593"/>
      <c r="D56" s="307" t="s">
        <v>180</v>
      </c>
      <c r="E56" s="145">
        <v>373120</v>
      </c>
      <c r="F56" s="650">
        <v>373120</v>
      </c>
      <c r="G56" s="651">
        <f t="shared" si="9"/>
        <v>0</v>
      </c>
      <c r="H56" s="640">
        <f t="shared" si="10"/>
        <v>0</v>
      </c>
      <c r="I56" s="640"/>
      <c r="J56" s="648">
        <f>H56/DAY(B2)</f>
        <v>0</v>
      </c>
      <c r="K56" s="569"/>
      <c r="L56" s="566"/>
      <c r="N56" s="573"/>
      <c r="O56" s="574"/>
    </row>
    <row r="57" spans="1:15" s="105" customFormat="1" ht="28.5">
      <c r="A57" s="194" t="s">
        <v>169</v>
      </c>
      <c r="B57" s="593"/>
      <c r="C57" s="593"/>
      <c r="D57" s="307" t="s">
        <v>130</v>
      </c>
      <c r="E57" s="145">
        <v>707698</v>
      </c>
      <c r="F57" s="650">
        <v>710214</v>
      </c>
      <c r="G57" s="651">
        <f t="shared" si="9"/>
        <v>2516</v>
      </c>
      <c r="H57" s="640">
        <f t="shared" si="10"/>
        <v>2516</v>
      </c>
      <c r="I57" s="640"/>
      <c r="J57" s="648">
        <f>H57/DAY(B2)</f>
        <v>2516</v>
      </c>
      <c r="K57" s="579"/>
      <c r="L57" s="566"/>
      <c r="N57" s="573"/>
      <c r="O57" s="574"/>
    </row>
    <row r="58" spans="1:15" s="105" customFormat="1" ht="28.5">
      <c r="A58" s="194" t="s">
        <v>181</v>
      </c>
      <c r="B58" s="593"/>
      <c r="C58" s="593"/>
      <c r="D58" s="307" t="s">
        <v>130</v>
      </c>
      <c r="E58" s="145">
        <v>94569.82</v>
      </c>
      <c r="F58" s="650">
        <v>94824</v>
      </c>
      <c r="G58" s="651">
        <f t="shared" si="9"/>
        <v>254.17999999999302</v>
      </c>
      <c r="H58" s="640">
        <f t="shared" si="10"/>
        <v>254.17999999999302</v>
      </c>
      <c r="I58" s="640"/>
      <c r="J58" s="648">
        <f>H58/DAY(B2)</f>
        <v>254.17999999999302</v>
      </c>
      <c r="K58" s="579"/>
      <c r="L58" s="566"/>
      <c r="N58" s="573"/>
      <c r="O58" s="574"/>
    </row>
    <row r="59" spans="1:15" s="105" customFormat="1" ht="28.5">
      <c r="A59" s="201" t="s">
        <v>173</v>
      </c>
      <c r="B59" s="580"/>
      <c r="C59" s="580"/>
      <c r="D59" s="614"/>
      <c r="E59" s="146"/>
      <c r="F59" s="640"/>
      <c r="G59" s="658">
        <f>G49+G50+G51+G52+G53+G54+G55+G56+G57+G58</f>
        <v>5000.4099999999889</v>
      </c>
      <c r="H59" s="640">
        <f t="shared" si="10"/>
        <v>5000.4099999999889</v>
      </c>
      <c r="I59" s="640">
        <f>G7-G60</f>
        <v>598.23000000002503</v>
      </c>
      <c r="J59" s="648">
        <f>H59/DAY(B2)</f>
        <v>5000.4099999999889</v>
      </c>
      <c r="K59" s="579"/>
      <c r="L59" s="566"/>
      <c r="N59" s="573"/>
      <c r="O59" s="574"/>
    </row>
    <row r="60" spans="1:15" s="105" customFormat="1" ht="28.5">
      <c r="A60" s="194"/>
      <c r="B60" s="570"/>
      <c r="C60" s="570"/>
      <c r="D60" s="614" t="s">
        <v>182</v>
      </c>
      <c r="E60" s="146"/>
      <c r="F60" s="640"/>
      <c r="G60" s="658">
        <f>G47+G59</f>
        <v>21465.769999999975</v>
      </c>
      <c r="H60" s="640">
        <f t="shared" si="10"/>
        <v>21465.769999999975</v>
      </c>
      <c r="I60" s="640">
        <f>G13-G60</f>
        <v>291.23000000002503</v>
      </c>
      <c r="J60" s="648">
        <f>H60/DAY(B2)</f>
        <v>21465.769999999975</v>
      </c>
      <c r="K60" s="579"/>
      <c r="L60" s="566"/>
      <c r="N60" s="573"/>
      <c r="O60" s="574"/>
    </row>
    <row r="61" spans="1:15" s="596" customFormat="1" ht="28.5">
      <c r="A61" s="837" t="s">
        <v>332</v>
      </c>
      <c r="B61" s="838"/>
      <c r="C61" s="839"/>
      <c r="D61" s="620"/>
      <c r="E61" s="339"/>
      <c r="F61" s="678"/>
      <c r="G61" s="679"/>
      <c r="H61" s="678"/>
      <c r="I61" s="678"/>
      <c r="J61" s="680"/>
      <c r="K61" s="594"/>
      <c r="L61" s="595"/>
      <c r="N61" s="573"/>
      <c r="O61" s="574"/>
    </row>
    <row r="62" spans="1:15" s="105" customFormat="1" ht="28.5">
      <c r="A62" s="817" t="s">
        <v>198</v>
      </c>
      <c r="B62" s="818"/>
      <c r="C62" s="819"/>
      <c r="D62" s="307" t="s">
        <v>142</v>
      </c>
      <c r="E62" s="122">
        <v>315677</v>
      </c>
      <c r="F62" s="657">
        <v>315796</v>
      </c>
      <c r="G62" s="651">
        <f t="shared" ref="G62:G63" si="11">F62-E62</f>
        <v>119</v>
      </c>
      <c r="H62" s="640">
        <f t="shared" ref="H62:H71" si="12">G62</f>
        <v>119</v>
      </c>
      <c r="I62" s="640"/>
      <c r="J62" s="648">
        <f>H62/DAY(B2)</f>
        <v>119</v>
      </c>
      <c r="K62" s="581"/>
      <c r="L62" s="566"/>
      <c r="N62" s="573"/>
      <c r="O62" s="574"/>
    </row>
    <row r="63" spans="1:15" s="105" customFormat="1" ht="28.5">
      <c r="A63" s="817" t="s">
        <v>199</v>
      </c>
      <c r="B63" s="818"/>
      <c r="C63" s="819"/>
      <c r="D63" s="307" t="s">
        <v>142</v>
      </c>
      <c r="E63" s="164">
        <v>252324</v>
      </c>
      <c r="F63" s="657">
        <v>252467</v>
      </c>
      <c r="G63" s="651">
        <f t="shared" si="11"/>
        <v>143</v>
      </c>
      <c r="H63" s="640">
        <f t="shared" si="12"/>
        <v>143</v>
      </c>
      <c r="I63" s="640"/>
      <c r="J63" s="648">
        <f>H63/DAY(B2)</f>
        <v>143</v>
      </c>
      <c r="K63" s="594"/>
      <c r="L63" s="566"/>
      <c r="N63" s="573"/>
      <c r="O63" s="574"/>
    </row>
    <row r="64" spans="1:15" s="105" customFormat="1" ht="28.5">
      <c r="A64" s="811" t="s">
        <v>200</v>
      </c>
      <c r="B64" s="812"/>
      <c r="C64" s="813"/>
      <c r="D64" s="307"/>
      <c r="E64" s="122"/>
      <c r="F64" s="657"/>
      <c r="G64" s="651">
        <f>G62+G63</f>
        <v>262</v>
      </c>
      <c r="H64" s="640">
        <f t="shared" si="12"/>
        <v>262</v>
      </c>
      <c r="I64" s="640"/>
      <c r="J64" s="648">
        <f>H64/DAY(B2)</f>
        <v>262</v>
      </c>
      <c r="K64" s="594"/>
      <c r="L64" s="566"/>
      <c r="N64" s="573"/>
      <c r="O64" s="574"/>
    </row>
    <row r="65" spans="1:15" s="105" customFormat="1" ht="28.5">
      <c r="A65" s="817" t="s">
        <v>201</v>
      </c>
      <c r="B65" s="818"/>
      <c r="C65" s="819"/>
      <c r="D65" s="307" t="s">
        <v>142</v>
      </c>
      <c r="E65" s="122">
        <v>475903</v>
      </c>
      <c r="F65" s="657">
        <v>476032</v>
      </c>
      <c r="G65" s="651">
        <f t="shared" ref="G65:G70" si="13">F65-E65</f>
        <v>129</v>
      </c>
      <c r="H65" s="640">
        <f t="shared" si="12"/>
        <v>129</v>
      </c>
      <c r="I65" s="640"/>
      <c r="J65" s="648">
        <f>H65/DAY(B2)</f>
        <v>129</v>
      </c>
      <c r="K65" s="594"/>
      <c r="L65" s="566"/>
      <c r="N65" s="573"/>
      <c r="O65" s="574"/>
    </row>
    <row r="66" spans="1:15" s="105" customFormat="1" ht="28.5">
      <c r="A66" s="345" t="s">
        <v>202</v>
      </c>
      <c r="B66" s="582"/>
      <c r="C66" s="582"/>
      <c r="D66" s="307" t="s">
        <v>142</v>
      </c>
      <c r="E66" s="122">
        <v>114466</v>
      </c>
      <c r="F66" s="657">
        <v>114495</v>
      </c>
      <c r="G66" s="651">
        <f t="shared" si="13"/>
        <v>29</v>
      </c>
      <c r="H66" s="640">
        <f t="shared" si="12"/>
        <v>29</v>
      </c>
      <c r="I66" s="640"/>
      <c r="J66" s="648">
        <f>H66/DAY(B2)</f>
        <v>29</v>
      </c>
      <c r="K66" s="569"/>
      <c r="L66" s="566"/>
      <c r="N66" s="573"/>
      <c r="O66" s="574"/>
    </row>
    <row r="67" spans="1:15" s="105" customFormat="1" ht="28.5">
      <c r="A67" s="345" t="s">
        <v>203</v>
      </c>
      <c r="B67" s="582"/>
      <c r="C67" s="582"/>
      <c r="D67" s="307" t="s">
        <v>142</v>
      </c>
      <c r="E67" s="122">
        <v>117282</v>
      </c>
      <c r="F67" s="657">
        <v>117289</v>
      </c>
      <c r="G67" s="651">
        <f t="shared" si="13"/>
        <v>7</v>
      </c>
      <c r="H67" s="640">
        <f t="shared" si="12"/>
        <v>7</v>
      </c>
      <c r="I67" s="640"/>
      <c r="J67" s="648">
        <f>H67/DAY(B2)</f>
        <v>7</v>
      </c>
      <c r="K67" s="597"/>
      <c r="L67" s="566"/>
      <c r="N67" s="573"/>
      <c r="O67" s="574"/>
    </row>
    <row r="68" spans="1:15" s="105" customFormat="1" ht="28.5">
      <c r="A68" s="345" t="s">
        <v>204</v>
      </c>
      <c r="B68" s="582"/>
      <c r="C68" s="582"/>
      <c r="D68" s="307" t="s">
        <v>142</v>
      </c>
      <c r="E68" s="122">
        <v>169950</v>
      </c>
      <c r="F68" s="748">
        <v>169965</v>
      </c>
      <c r="G68" s="651">
        <f t="shared" si="13"/>
        <v>15</v>
      </c>
      <c r="H68" s="640">
        <f t="shared" si="12"/>
        <v>15</v>
      </c>
      <c r="I68" s="640"/>
      <c r="J68" s="648">
        <f>H68/DAY(B2)</f>
        <v>15</v>
      </c>
      <c r="K68" s="594"/>
      <c r="L68" s="566"/>
      <c r="N68" s="573"/>
      <c r="O68" s="574"/>
    </row>
    <row r="69" spans="1:15" s="105" customFormat="1" ht="28.5">
      <c r="A69" s="345" t="s">
        <v>205</v>
      </c>
      <c r="B69" s="582"/>
      <c r="C69" s="582"/>
      <c r="D69" s="307" t="s">
        <v>142</v>
      </c>
      <c r="E69" s="122">
        <v>13212</v>
      </c>
      <c r="F69" s="657">
        <v>13217</v>
      </c>
      <c r="G69" s="651">
        <f t="shared" si="13"/>
        <v>5</v>
      </c>
      <c r="H69" s="640">
        <f t="shared" si="12"/>
        <v>5</v>
      </c>
      <c r="I69" s="640"/>
      <c r="J69" s="648">
        <f>H69/DAY(B2)</f>
        <v>5</v>
      </c>
      <c r="K69" s="594"/>
      <c r="L69" s="566"/>
      <c r="N69" s="573"/>
      <c r="O69" s="574"/>
    </row>
    <row r="70" spans="1:15" s="105" customFormat="1" ht="28.5">
      <c r="A70" s="345" t="s">
        <v>206</v>
      </c>
      <c r="B70" s="582"/>
      <c r="C70" s="582"/>
      <c r="D70" s="307" t="s">
        <v>142</v>
      </c>
      <c r="E70" s="122">
        <v>11258</v>
      </c>
      <c r="F70" s="681">
        <v>11266</v>
      </c>
      <c r="G70" s="682">
        <f t="shared" si="13"/>
        <v>8</v>
      </c>
      <c r="H70" s="640">
        <f t="shared" si="12"/>
        <v>8</v>
      </c>
      <c r="I70" s="683"/>
      <c r="J70" s="648">
        <f>H70/DAY(B2)</f>
        <v>8</v>
      </c>
      <c r="K70" s="594"/>
      <c r="L70" s="566"/>
      <c r="N70" s="573"/>
      <c r="O70" s="574"/>
    </row>
    <row r="71" spans="1:15" s="105" customFormat="1" ht="28.5">
      <c r="A71" s="811" t="s">
        <v>208</v>
      </c>
      <c r="B71" s="812"/>
      <c r="C71" s="813"/>
      <c r="D71" s="612"/>
      <c r="E71" s="152"/>
      <c r="F71" s="684"/>
      <c r="G71" s="685">
        <f>SUM(G65:G70)</f>
        <v>193</v>
      </c>
      <c r="H71" s="640">
        <f t="shared" si="12"/>
        <v>193</v>
      </c>
      <c r="I71" s="686"/>
      <c r="J71" s="648">
        <f>H71/DAY(B2)</f>
        <v>193</v>
      </c>
      <c r="K71" s="594"/>
      <c r="L71" s="566"/>
      <c r="N71" s="573"/>
      <c r="O71" s="574"/>
    </row>
    <row r="72" spans="1:15" s="105" customFormat="1" ht="28.5">
      <c r="A72" s="856"/>
      <c r="B72" s="809"/>
      <c r="C72" s="598"/>
      <c r="D72" s="621"/>
      <c r="E72" s="411"/>
      <c r="F72" s="687"/>
      <c r="G72" s="688"/>
      <c r="H72" s="689"/>
      <c r="I72" s="687"/>
      <c r="J72" s="690"/>
      <c r="N72" s="573"/>
      <c r="O72" s="574"/>
    </row>
    <row r="73" spans="1:15" s="105" customFormat="1" ht="28.5">
      <c r="A73" s="837" t="s">
        <v>333</v>
      </c>
      <c r="B73" s="838"/>
      <c r="C73" s="839"/>
      <c r="D73" s="620"/>
      <c r="E73" s="339"/>
      <c r="F73" s="691"/>
      <c r="G73" s="692"/>
      <c r="H73" s="679"/>
      <c r="I73" s="693"/>
      <c r="J73" s="694"/>
      <c r="K73" s="594"/>
      <c r="L73" s="566"/>
      <c r="N73" s="573"/>
      <c r="O73" s="574"/>
    </row>
    <row r="74" spans="1:15" s="105" customFormat="1" ht="28.5">
      <c r="A74" s="817" t="s">
        <v>220</v>
      </c>
      <c r="B74" s="818"/>
      <c r="C74" s="819"/>
      <c r="D74" s="307" t="s">
        <v>139</v>
      </c>
      <c r="E74" s="123">
        <v>12262</v>
      </c>
      <c r="F74" s="695">
        <v>12632</v>
      </c>
      <c r="G74" s="682">
        <f t="shared" ref="G74:G78" si="14">F74-E74</f>
        <v>370</v>
      </c>
      <c r="H74" s="640">
        <f t="shared" ref="H74:H79" si="15">G74</f>
        <v>370</v>
      </c>
      <c r="I74" s="686"/>
      <c r="J74" s="648">
        <f>H74/DAY(B2)</f>
        <v>370</v>
      </c>
      <c r="K74" s="594"/>
      <c r="L74" s="566"/>
      <c r="N74" s="573"/>
      <c r="O74" s="574"/>
    </row>
    <row r="75" spans="1:15" s="105" customFormat="1" ht="28.5">
      <c r="A75" s="817" t="s">
        <v>221</v>
      </c>
      <c r="B75" s="818"/>
      <c r="C75" s="819"/>
      <c r="D75" s="307" t="s">
        <v>139</v>
      </c>
      <c r="E75" s="123">
        <v>73586.8</v>
      </c>
      <c r="F75" s="695">
        <v>73586.8</v>
      </c>
      <c r="G75" s="682">
        <f t="shared" si="14"/>
        <v>0</v>
      </c>
      <c r="H75" s="640">
        <f t="shared" si="15"/>
        <v>0</v>
      </c>
      <c r="I75" s="686"/>
      <c r="J75" s="648">
        <f>H75/DAY(B2)</f>
        <v>0</v>
      </c>
      <c r="K75" s="594"/>
      <c r="L75" s="566"/>
      <c r="N75" s="573"/>
      <c r="O75" s="574"/>
    </row>
    <row r="76" spans="1:15" s="105" customFormat="1" ht="28.5">
      <c r="A76" s="840" t="s">
        <v>222</v>
      </c>
      <c r="B76" s="841"/>
      <c r="C76" s="842"/>
      <c r="D76" s="307" t="s">
        <v>139</v>
      </c>
      <c r="E76" s="123">
        <v>210660</v>
      </c>
      <c r="F76" s="695">
        <v>210789</v>
      </c>
      <c r="G76" s="682">
        <f t="shared" si="14"/>
        <v>129</v>
      </c>
      <c r="H76" s="640">
        <f t="shared" si="15"/>
        <v>129</v>
      </c>
      <c r="I76" s="686"/>
      <c r="J76" s="648">
        <f>H76/DAY(B2)</f>
        <v>129</v>
      </c>
      <c r="K76" s="594"/>
      <c r="L76" s="566"/>
      <c r="N76" s="573"/>
      <c r="O76" s="574"/>
    </row>
    <row r="77" spans="1:15" s="105" customFormat="1" ht="28.5">
      <c r="A77" s="840" t="s">
        <v>223</v>
      </c>
      <c r="B77" s="841"/>
      <c r="C77" s="842"/>
      <c r="D77" s="307" t="s">
        <v>139</v>
      </c>
      <c r="E77" s="409">
        <v>59761</v>
      </c>
      <c r="F77" s="695">
        <v>59812</v>
      </c>
      <c r="G77" s="682">
        <f t="shared" si="14"/>
        <v>51</v>
      </c>
      <c r="H77" s="640">
        <f t="shared" si="15"/>
        <v>51</v>
      </c>
      <c r="I77" s="686"/>
      <c r="J77" s="648">
        <f>H77/DAY(B2)</f>
        <v>51</v>
      </c>
      <c r="K77" s="594"/>
      <c r="L77" s="566"/>
      <c r="N77" s="573"/>
      <c r="O77" s="574"/>
    </row>
    <row r="78" spans="1:15" s="105" customFormat="1" ht="28.5">
      <c r="A78" s="840" t="s">
        <v>224</v>
      </c>
      <c r="B78" s="841"/>
      <c r="C78" s="842"/>
      <c r="D78" s="307" t="s">
        <v>139</v>
      </c>
      <c r="E78" s="409">
        <v>9564</v>
      </c>
      <c r="F78" s="695">
        <v>9564</v>
      </c>
      <c r="G78" s="682">
        <f t="shared" si="14"/>
        <v>0</v>
      </c>
      <c r="H78" s="640">
        <f t="shared" si="15"/>
        <v>0</v>
      </c>
      <c r="I78" s="683"/>
      <c r="J78" s="648">
        <f>H78/DAY(B2)</f>
        <v>0</v>
      </c>
      <c r="K78" s="594"/>
      <c r="L78" s="566"/>
      <c r="N78" s="573"/>
      <c r="O78" s="574"/>
    </row>
    <row r="79" spans="1:15" s="105" customFormat="1" ht="28.5">
      <c r="A79" s="840" t="s">
        <v>225</v>
      </c>
      <c r="B79" s="841"/>
      <c r="C79" s="842"/>
      <c r="D79" s="307"/>
      <c r="E79" s="123"/>
      <c r="F79" s="695"/>
      <c r="G79" s="682">
        <f>G15-SUM(G74:G78)</f>
        <v>611.28500000014901</v>
      </c>
      <c r="H79" s="640">
        <f t="shared" si="15"/>
        <v>611.28500000014901</v>
      </c>
      <c r="I79" s="683"/>
      <c r="J79" s="648"/>
      <c r="K79" s="594"/>
      <c r="L79" s="566"/>
      <c r="N79" s="573"/>
      <c r="O79" s="574"/>
    </row>
    <row r="80" spans="1:15" s="105" customFormat="1" ht="28.5">
      <c r="A80" s="811" t="s">
        <v>329</v>
      </c>
      <c r="B80" s="812"/>
      <c r="C80" s="813"/>
      <c r="D80" s="307"/>
      <c r="E80" s="117"/>
      <c r="F80" s="696"/>
      <c r="G80" s="682">
        <f>SUM(G74:G79)</f>
        <v>1161.285000000149</v>
      </c>
      <c r="H80" s="640"/>
      <c r="I80" s="683"/>
      <c r="J80" s="648"/>
      <c r="K80" s="594"/>
      <c r="L80" s="566"/>
      <c r="N80" s="573"/>
      <c r="O80" s="574"/>
    </row>
    <row r="81" spans="1:15" s="105" customFormat="1" ht="28.5">
      <c r="A81" s="831" t="s">
        <v>226</v>
      </c>
      <c r="B81" s="832"/>
      <c r="C81" s="833"/>
      <c r="D81" s="609"/>
      <c r="E81" s="110"/>
      <c r="F81" s="641"/>
      <c r="G81" s="697"/>
      <c r="H81" s="698"/>
      <c r="I81" s="698"/>
      <c r="J81" s="699"/>
      <c r="O81" s="574"/>
    </row>
    <row r="82" spans="1:15" s="105" customFormat="1" ht="28.5">
      <c r="A82" s="345" t="s">
        <v>227</v>
      </c>
      <c r="B82" s="582"/>
      <c r="C82" s="582"/>
      <c r="D82" s="307" t="s">
        <v>228</v>
      </c>
      <c r="E82" s="122">
        <v>0</v>
      </c>
      <c r="F82" s="681">
        <v>0</v>
      </c>
      <c r="G82" s="682">
        <f t="shared" ref="G82:G92" si="16">F82-E82</f>
        <v>0</v>
      </c>
      <c r="H82" s="640">
        <f t="shared" ref="H82:H92" si="17">G82</f>
        <v>0</v>
      </c>
      <c r="I82" s="683"/>
      <c r="J82" s="648">
        <f>H82/DAY(B2)</f>
        <v>0</v>
      </c>
      <c r="O82" s="574"/>
    </row>
    <row r="83" spans="1:15" s="105" customFormat="1" ht="28.5">
      <c r="A83" s="345" t="s">
        <v>229</v>
      </c>
      <c r="B83" s="582"/>
      <c r="C83" s="582"/>
      <c r="D83" s="307" t="s">
        <v>228</v>
      </c>
      <c r="E83" s="122">
        <v>0</v>
      </c>
      <c r="F83" s="681">
        <v>0</v>
      </c>
      <c r="G83" s="682">
        <f t="shared" si="16"/>
        <v>0</v>
      </c>
      <c r="H83" s="640">
        <f t="shared" si="17"/>
        <v>0</v>
      </c>
      <c r="I83" s="683"/>
      <c r="J83" s="648">
        <f>H83/DAY(B2)</f>
        <v>0</v>
      </c>
      <c r="O83" s="574"/>
    </row>
    <row r="84" spans="1:15" s="105" customFormat="1" ht="28.5">
      <c r="A84" s="345" t="s">
        <v>230</v>
      </c>
      <c r="B84" s="582"/>
      <c r="C84" s="582"/>
      <c r="D84" s="307" t="s">
        <v>228</v>
      </c>
      <c r="E84" s="164">
        <v>43546</v>
      </c>
      <c r="F84" s="700">
        <v>43546</v>
      </c>
      <c r="G84" s="682">
        <f t="shared" si="16"/>
        <v>0</v>
      </c>
      <c r="H84" s="640">
        <f t="shared" si="17"/>
        <v>0</v>
      </c>
      <c r="I84" s="683"/>
      <c r="J84" s="648">
        <f>H84/DAY(B2)</f>
        <v>0</v>
      </c>
      <c r="O84" s="574"/>
    </row>
    <row r="85" spans="1:15" s="105" customFormat="1" ht="28.5">
      <c r="A85" s="345" t="s">
        <v>231</v>
      </c>
      <c r="B85" s="582"/>
      <c r="C85" s="582"/>
      <c r="D85" s="307" t="s">
        <v>228</v>
      </c>
      <c r="E85" s="164">
        <v>6213</v>
      </c>
      <c r="F85" s="700">
        <v>6237</v>
      </c>
      <c r="G85" s="682">
        <f t="shared" si="16"/>
        <v>24</v>
      </c>
      <c r="H85" s="640">
        <f t="shared" si="17"/>
        <v>24</v>
      </c>
      <c r="I85" s="683"/>
      <c r="J85" s="648">
        <f>H85/DAY(B2)</f>
        <v>24</v>
      </c>
      <c r="O85" s="574"/>
    </row>
    <row r="86" spans="1:15" s="105" customFormat="1" ht="28.5">
      <c r="A86" s="345" t="s">
        <v>232</v>
      </c>
      <c r="B86" s="582"/>
      <c r="C86" s="582"/>
      <c r="D86" s="307" t="s">
        <v>228</v>
      </c>
      <c r="E86" s="164">
        <v>46971</v>
      </c>
      <c r="F86" s="700">
        <v>46971</v>
      </c>
      <c r="G86" s="701">
        <f t="shared" si="16"/>
        <v>0</v>
      </c>
      <c r="H86" s="640">
        <f t="shared" si="17"/>
        <v>0</v>
      </c>
      <c r="I86" s="683"/>
      <c r="J86" s="648">
        <f>H86/DAY(B2)</f>
        <v>0</v>
      </c>
      <c r="O86" s="574"/>
    </row>
    <row r="87" spans="1:15" s="105" customFormat="1" ht="28.5">
      <c r="A87" s="345" t="s">
        <v>233</v>
      </c>
      <c r="B87" s="582"/>
      <c r="C87" s="582"/>
      <c r="D87" s="307" t="s">
        <v>228</v>
      </c>
      <c r="E87" s="164">
        <v>37364</v>
      </c>
      <c r="F87" s="700">
        <v>37364</v>
      </c>
      <c r="G87" s="682">
        <f t="shared" si="16"/>
        <v>0</v>
      </c>
      <c r="H87" s="640">
        <f t="shared" si="17"/>
        <v>0</v>
      </c>
      <c r="I87" s="683">
        <f>G84+G85+G86+G87</f>
        <v>24</v>
      </c>
      <c r="J87" s="648">
        <f>H87/DAY(B2)</f>
        <v>0</v>
      </c>
      <c r="O87" s="574"/>
    </row>
    <row r="88" spans="1:15" s="105" customFormat="1" ht="28.5">
      <c r="A88" s="345" t="s">
        <v>234</v>
      </c>
      <c r="B88" s="582"/>
      <c r="C88" s="582"/>
      <c r="D88" s="307" t="s">
        <v>228</v>
      </c>
      <c r="E88" s="164">
        <v>24762</v>
      </c>
      <c r="F88" s="700">
        <v>24772</v>
      </c>
      <c r="G88" s="682">
        <f t="shared" si="16"/>
        <v>10</v>
      </c>
      <c r="H88" s="640">
        <f t="shared" si="17"/>
        <v>10</v>
      </c>
      <c r="I88" s="683"/>
      <c r="J88" s="648">
        <f>H88/DAY(B2)</f>
        <v>10</v>
      </c>
      <c r="O88" s="574"/>
    </row>
    <row r="89" spans="1:15" s="105" customFormat="1" ht="28.5">
      <c r="A89" s="345" t="s">
        <v>235</v>
      </c>
      <c r="B89" s="582"/>
      <c r="C89" s="582"/>
      <c r="D89" s="307" t="s">
        <v>228</v>
      </c>
      <c r="E89" s="164">
        <v>29028</v>
      </c>
      <c r="F89" s="700">
        <v>29032.48</v>
      </c>
      <c r="G89" s="682">
        <f t="shared" si="16"/>
        <v>4.4799999999995634</v>
      </c>
      <c r="H89" s="640">
        <f t="shared" si="17"/>
        <v>4.4799999999995634</v>
      </c>
      <c r="I89" s="683">
        <f>G88+G89</f>
        <v>14.479999999999563</v>
      </c>
      <c r="J89" s="648">
        <f>H89/DAY(B2)</f>
        <v>4.4799999999995634</v>
      </c>
      <c r="O89" s="574"/>
    </row>
    <row r="90" spans="1:15" s="105" customFormat="1" ht="28.5">
      <c r="A90" s="345" t="s">
        <v>236</v>
      </c>
      <c r="B90" s="582"/>
      <c r="C90" s="582"/>
      <c r="D90" s="307" t="s">
        <v>228</v>
      </c>
      <c r="E90" s="164">
        <v>74448</v>
      </c>
      <c r="F90" s="700">
        <v>74455</v>
      </c>
      <c r="G90" s="682">
        <f t="shared" si="16"/>
        <v>7</v>
      </c>
      <c r="H90" s="640">
        <f t="shared" si="17"/>
        <v>7</v>
      </c>
      <c r="I90" s="683">
        <f>G90</f>
        <v>7</v>
      </c>
      <c r="J90" s="648">
        <f>H90/DAY(B2)</f>
        <v>7</v>
      </c>
      <c r="O90" s="574"/>
    </row>
    <row r="91" spans="1:15" s="105" customFormat="1" ht="28.5">
      <c r="A91" s="345" t="s">
        <v>237</v>
      </c>
      <c r="B91" s="582"/>
      <c r="C91" s="582"/>
      <c r="D91" s="307" t="s">
        <v>228</v>
      </c>
      <c r="E91" s="122">
        <v>5618.21</v>
      </c>
      <c r="F91" s="681">
        <v>5618.21</v>
      </c>
      <c r="G91" s="682">
        <f t="shared" si="16"/>
        <v>0</v>
      </c>
      <c r="H91" s="640">
        <f t="shared" si="17"/>
        <v>0</v>
      </c>
      <c r="I91" s="645"/>
      <c r="J91" s="648">
        <f>H91/DAY(B2)</f>
        <v>0</v>
      </c>
      <c r="O91" s="574"/>
    </row>
    <row r="92" spans="1:15" s="105" customFormat="1" ht="28.5">
      <c r="A92" s="345" t="s">
        <v>238</v>
      </c>
      <c r="B92" s="582"/>
      <c r="C92" s="582"/>
      <c r="D92" s="307" t="s">
        <v>228</v>
      </c>
      <c r="E92" s="122">
        <v>7432.28</v>
      </c>
      <c r="F92" s="681">
        <v>7445.72</v>
      </c>
      <c r="G92" s="682">
        <f t="shared" si="16"/>
        <v>13.440000000000509</v>
      </c>
      <c r="H92" s="640">
        <f t="shared" si="17"/>
        <v>13.440000000000509</v>
      </c>
      <c r="I92" s="702">
        <f>G91+G92</f>
        <v>13.440000000000509</v>
      </c>
      <c r="J92" s="648">
        <f>H92/DAY(B2)</f>
        <v>13.440000000000509</v>
      </c>
      <c r="O92" s="574"/>
    </row>
    <row r="93" spans="1:15" s="105" customFormat="1" ht="28.5">
      <c r="A93" s="834" t="s">
        <v>239</v>
      </c>
      <c r="B93" s="835"/>
      <c r="C93" s="836"/>
      <c r="D93" s="611"/>
      <c r="E93" s="111"/>
      <c r="F93" s="641"/>
      <c r="G93" s="703"/>
      <c r="H93" s="652"/>
      <c r="I93" s="704"/>
      <c r="J93" s="705"/>
      <c r="K93" s="594"/>
      <c r="L93" s="566"/>
      <c r="O93" s="574"/>
    </row>
    <row r="94" spans="1:15" s="105" customFormat="1" ht="28.5">
      <c r="A94" s="817" t="s">
        <v>240</v>
      </c>
      <c r="B94" s="818"/>
      <c r="C94" s="819"/>
      <c r="D94" s="307" t="s">
        <v>130</v>
      </c>
      <c r="E94" s="151"/>
      <c r="F94" s="706"/>
      <c r="G94" s="707">
        <f>G35+G43+G49+G57</f>
        <v>5671</v>
      </c>
      <c r="H94" s="640">
        <f t="shared" ref="H94:H105" si="18">G94</f>
        <v>5671</v>
      </c>
      <c r="I94" s="683"/>
      <c r="J94" s="648">
        <f>H94/DAY(B2)</f>
        <v>5671</v>
      </c>
      <c r="K94" s="594"/>
      <c r="L94" s="566"/>
      <c r="O94" s="574"/>
    </row>
    <row r="95" spans="1:15" s="105" customFormat="1" ht="28.5">
      <c r="A95" s="817" t="s">
        <v>241</v>
      </c>
      <c r="B95" s="818"/>
      <c r="C95" s="819"/>
      <c r="D95" s="307" t="s">
        <v>23</v>
      </c>
      <c r="E95" s="146"/>
      <c r="F95" s="706"/>
      <c r="G95" s="708">
        <f>G94/G7</f>
        <v>0.25702501812907902</v>
      </c>
      <c r="H95" s="640">
        <f t="shared" si="18"/>
        <v>0.25702501812907902</v>
      </c>
      <c r="I95" s="709"/>
      <c r="J95" s="648">
        <f>H95/DAY(B2)</f>
        <v>0.25702501812907902</v>
      </c>
      <c r="K95" s="594"/>
      <c r="L95" s="566"/>
      <c r="O95" s="574"/>
    </row>
    <row r="96" spans="1:15" s="105" customFormat="1" ht="28.5">
      <c r="A96" s="817" t="s">
        <v>242</v>
      </c>
      <c r="B96" s="818"/>
      <c r="C96" s="819"/>
      <c r="D96" s="307" t="s">
        <v>130</v>
      </c>
      <c r="E96" s="95"/>
      <c r="F96" s="683"/>
      <c r="G96" s="707">
        <f>G41+G42+G55+G56</f>
        <v>5272.359999999986</v>
      </c>
      <c r="H96" s="640">
        <f t="shared" si="18"/>
        <v>5272.359999999986</v>
      </c>
      <c r="I96" s="683"/>
      <c r="J96" s="648">
        <f>H96/DAY(B2)</f>
        <v>5272.359999999986</v>
      </c>
      <c r="K96" s="594"/>
      <c r="L96" s="566"/>
      <c r="O96" s="574"/>
    </row>
    <row r="97" spans="1:15" s="105" customFormat="1" ht="28.5">
      <c r="A97" s="817" t="s">
        <v>243</v>
      </c>
      <c r="B97" s="818"/>
      <c r="C97" s="819"/>
      <c r="D97" s="307" t="s">
        <v>23</v>
      </c>
      <c r="E97" s="95"/>
      <c r="F97" s="683"/>
      <c r="G97" s="708">
        <f>G96/G7</f>
        <v>0.23895757795503925</v>
      </c>
      <c r="H97" s="640">
        <f t="shared" si="18"/>
        <v>0.23895757795503925</v>
      </c>
      <c r="I97" s="709"/>
      <c r="J97" s="648">
        <f>H97/DAY(B2)</f>
        <v>0.23895757795503925</v>
      </c>
      <c r="K97" s="594"/>
      <c r="L97" s="566"/>
      <c r="O97" s="574"/>
    </row>
    <row r="98" spans="1:15" s="105" customFormat="1" ht="28.5">
      <c r="A98" s="817" t="s">
        <v>244</v>
      </c>
      <c r="B98" s="818"/>
      <c r="C98" s="819"/>
      <c r="D98" s="307" t="s">
        <v>130</v>
      </c>
      <c r="E98" s="95"/>
      <c r="F98" s="683"/>
      <c r="G98" s="707">
        <f>G39+G53</f>
        <v>2949</v>
      </c>
      <c r="H98" s="640">
        <f t="shared" si="18"/>
        <v>2949</v>
      </c>
      <c r="I98" s="658"/>
      <c r="J98" s="648">
        <f>H98/DAY(B2)</f>
        <v>2949</v>
      </c>
      <c r="K98" s="594"/>
      <c r="L98" s="566"/>
      <c r="O98" s="574"/>
    </row>
    <row r="99" spans="1:15" s="105" customFormat="1" ht="28.5">
      <c r="A99" s="817" t="s">
        <v>245</v>
      </c>
      <c r="B99" s="818"/>
      <c r="C99" s="819"/>
      <c r="D99" s="307" t="s">
        <v>23</v>
      </c>
      <c r="E99" s="95"/>
      <c r="F99" s="683"/>
      <c r="G99" s="708">
        <f>G98/G7</f>
        <v>0.13365663524292967</v>
      </c>
      <c r="H99" s="640">
        <f t="shared" si="18"/>
        <v>0.13365663524292967</v>
      </c>
      <c r="I99" s="658"/>
      <c r="J99" s="648">
        <f>H99/DAY(B2)</f>
        <v>0.13365663524292967</v>
      </c>
      <c r="O99" s="574"/>
    </row>
    <row r="100" spans="1:15" s="105" customFormat="1" ht="28.5">
      <c r="A100" s="817" t="s">
        <v>246</v>
      </c>
      <c r="B100" s="818"/>
      <c r="C100" s="819"/>
      <c r="D100" s="307" t="s">
        <v>180</v>
      </c>
      <c r="E100" s="95"/>
      <c r="F100" s="683"/>
      <c r="G100" s="707">
        <f>G38+G52</f>
        <v>2665</v>
      </c>
      <c r="H100" s="640">
        <f t="shared" si="18"/>
        <v>2665</v>
      </c>
      <c r="I100" s="683"/>
      <c r="J100" s="648">
        <f>H100/DAY(B2)</f>
        <v>2665</v>
      </c>
      <c r="K100" s="599"/>
      <c r="O100" s="574"/>
    </row>
    <row r="101" spans="1:15" s="105" customFormat="1" ht="28.5">
      <c r="A101" s="817" t="s">
        <v>247</v>
      </c>
      <c r="B101" s="818"/>
      <c r="C101" s="819"/>
      <c r="D101" s="307" t="s">
        <v>23</v>
      </c>
      <c r="E101" s="95"/>
      <c r="F101" s="683"/>
      <c r="G101" s="708">
        <f>G100/G7</f>
        <v>0.12078498912255257</v>
      </c>
      <c r="H101" s="640">
        <f t="shared" si="18"/>
        <v>0.12078498912255257</v>
      </c>
      <c r="I101" s="658"/>
      <c r="J101" s="648">
        <f>H101/DAY(B2)</f>
        <v>0.12078498912255257</v>
      </c>
      <c r="O101" s="574"/>
    </row>
    <row r="102" spans="1:15" s="105" customFormat="1" ht="28.5">
      <c r="A102" s="817" t="s">
        <v>248</v>
      </c>
      <c r="B102" s="818"/>
      <c r="C102" s="819"/>
      <c r="D102" s="307" t="s">
        <v>180</v>
      </c>
      <c r="E102" s="95"/>
      <c r="F102" s="683"/>
      <c r="G102" s="707">
        <f>G36+G50</f>
        <v>2303</v>
      </c>
      <c r="H102" s="640">
        <f t="shared" si="18"/>
        <v>2303</v>
      </c>
      <c r="I102" s="658"/>
      <c r="J102" s="648">
        <f>H102/DAY(B2)</f>
        <v>2303</v>
      </c>
      <c r="O102" s="574"/>
    </row>
    <row r="103" spans="1:15" s="105" customFormat="1" ht="28.5">
      <c r="A103" s="817" t="s">
        <v>249</v>
      </c>
      <c r="B103" s="818"/>
      <c r="C103" s="819"/>
      <c r="D103" s="307" t="s">
        <v>23</v>
      </c>
      <c r="E103" s="95"/>
      <c r="F103" s="683"/>
      <c r="G103" s="708">
        <f>G102/G7</f>
        <v>0.10437817258883249</v>
      </c>
      <c r="H103" s="640">
        <f t="shared" si="18"/>
        <v>0.10437817258883249</v>
      </c>
      <c r="I103" s="683"/>
      <c r="J103" s="648">
        <f>H103/DAY(B2)</f>
        <v>0.10437817258883249</v>
      </c>
      <c r="O103" s="574"/>
    </row>
    <row r="104" spans="1:15" s="105" customFormat="1" ht="28.5">
      <c r="A104" s="817" t="s">
        <v>250</v>
      </c>
      <c r="B104" s="818"/>
      <c r="C104" s="819"/>
      <c r="D104" s="307" t="s">
        <v>180</v>
      </c>
      <c r="E104" s="95"/>
      <c r="F104" s="683"/>
      <c r="G104" s="707">
        <f>G37+G51</f>
        <v>1493.4400000000023</v>
      </c>
      <c r="H104" s="640">
        <f t="shared" si="18"/>
        <v>1493.4400000000023</v>
      </c>
      <c r="I104" s="683"/>
      <c r="J104" s="648">
        <f>H104/DAY(B2)</f>
        <v>1493.4400000000023</v>
      </c>
      <c r="O104" s="574"/>
    </row>
    <row r="105" spans="1:15" s="105" customFormat="1" ht="29.25" thickBot="1">
      <c r="A105" s="824" t="s">
        <v>251</v>
      </c>
      <c r="B105" s="825"/>
      <c r="C105" s="826"/>
      <c r="D105" s="622" t="s">
        <v>23</v>
      </c>
      <c r="E105" s="185"/>
      <c r="F105" s="710"/>
      <c r="G105" s="711">
        <f>G104/G7</f>
        <v>6.7686729514140787E-2</v>
      </c>
      <c r="H105" s="640">
        <f t="shared" si="18"/>
        <v>6.7686729514140787E-2</v>
      </c>
      <c r="I105" s="710"/>
      <c r="J105" s="712">
        <f>H105/DAY(B2)</f>
        <v>6.7686729514140787E-2</v>
      </c>
      <c r="O105" s="574"/>
    </row>
    <row r="106" spans="1:15" s="105" customFormat="1" ht="28.5">
      <c r="A106" s="94"/>
      <c r="D106" s="94"/>
      <c r="E106" s="412"/>
      <c r="F106" s="713"/>
      <c r="G106" s="714"/>
      <c r="H106" s="715"/>
      <c r="I106" s="713"/>
      <c r="J106" s="715"/>
      <c r="O106" s="574"/>
    </row>
    <row r="107" spans="1:15" s="105" customFormat="1" ht="28.5">
      <c r="A107" s="94"/>
      <c r="D107" s="94"/>
      <c r="E107" s="413"/>
      <c r="F107" s="713"/>
      <c r="G107" s="714"/>
      <c r="H107" s="715"/>
      <c r="I107" s="713"/>
      <c r="J107" s="715"/>
    </row>
    <row r="108" spans="1:15" s="105" customFormat="1" ht="23.25">
      <c r="A108" s="827" t="s">
        <v>324</v>
      </c>
      <c r="B108" s="827"/>
      <c r="C108" s="827"/>
      <c r="D108" s="827"/>
      <c r="E108" s="827"/>
      <c r="F108" s="827"/>
      <c r="G108" s="827"/>
      <c r="H108" s="827"/>
      <c r="I108" s="827"/>
      <c r="J108" s="827"/>
    </row>
    <row r="109" spans="1:15" s="105" customFormat="1" ht="28.5">
      <c r="A109" s="820"/>
      <c r="B109" s="820"/>
      <c r="D109" s="94"/>
      <c r="E109" s="413"/>
      <c r="F109" s="713"/>
      <c r="G109" s="714"/>
      <c r="H109" s="715"/>
      <c r="I109" s="713"/>
      <c r="J109" s="715"/>
    </row>
    <row r="110" spans="1:15" s="105" customFormat="1" ht="23.25">
      <c r="A110" s="828" t="s">
        <v>165</v>
      </c>
      <c r="B110" s="829"/>
      <c r="C110" s="829"/>
      <c r="D110" s="829"/>
      <c r="E110" s="829"/>
      <c r="F110" s="829"/>
      <c r="G110" s="829"/>
      <c r="H110" s="829"/>
      <c r="I110" s="829"/>
      <c r="J110" s="830"/>
    </row>
    <row r="111" spans="1:15" s="105" customFormat="1" ht="28.5">
      <c r="A111" s="814"/>
      <c r="B111" s="815"/>
      <c r="C111" s="816"/>
      <c r="D111" s="245"/>
      <c r="E111" s="155"/>
      <c r="F111" s="645"/>
      <c r="G111" s="702"/>
      <c r="H111" s="667"/>
      <c r="I111" s="645"/>
      <c r="J111" s="667"/>
    </row>
    <row r="112" spans="1:15" s="105" customFormat="1" ht="28.5">
      <c r="A112" s="807" t="s">
        <v>252</v>
      </c>
      <c r="B112" s="808"/>
      <c r="C112" s="809"/>
      <c r="D112" s="614" t="s">
        <v>183</v>
      </c>
      <c r="E112" s="237">
        <v>19397</v>
      </c>
      <c r="F112" s="716">
        <v>19460</v>
      </c>
      <c r="G112" s="682">
        <f t="shared" ref="G112:G123" si="19">F112-E112</f>
        <v>63</v>
      </c>
      <c r="H112" s="640">
        <f t="shared" ref="H112:H123" si="20">G112</f>
        <v>63</v>
      </c>
      <c r="I112" s="645"/>
      <c r="J112" s="717">
        <f>H112/DAY(B2)</f>
        <v>63</v>
      </c>
    </row>
    <row r="113" spans="1:18" s="105" customFormat="1" ht="29.25" customHeight="1">
      <c r="A113" s="807" t="s">
        <v>253</v>
      </c>
      <c r="B113" s="808"/>
      <c r="C113" s="809"/>
      <c r="D113" s="614" t="s">
        <v>183</v>
      </c>
      <c r="E113" s="237">
        <v>41519.949999999997</v>
      </c>
      <c r="F113" s="718">
        <v>41671</v>
      </c>
      <c r="G113" s="682">
        <f t="shared" si="19"/>
        <v>151.05000000000291</v>
      </c>
      <c r="H113" s="640">
        <f t="shared" si="20"/>
        <v>151.05000000000291</v>
      </c>
      <c r="I113" s="645"/>
      <c r="J113" s="717">
        <f>H113/DAY(B2)</f>
        <v>151.05000000000291</v>
      </c>
    </row>
    <row r="114" spans="1:18" s="105" customFormat="1" ht="29.25" customHeight="1">
      <c r="A114" s="807" t="s">
        <v>254</v>
      </c>
      <c r="B114" s="808"/>
      <c r="C114" s="809"/>
      <c r="D114" s="614" t="s">
        <v>183</v>
      </c>
      <c r="E114" s="237">
        <v>61218</v>
      </c>
      <c r="F114" s="716">
        <v>61440</v>
      </c>
      <c r="G114" s="682">
        <f t="shared" si="19"/>
        <v>222</v>
      </c>
      <c r="H114" s="640">
        <f t="shared" si="20"/>
        <v>222</v>
      </c>
      <c r="I114" s="645"/>
      <c r="J114" s="717">
        <f>H114/DAY(B2)</f>
        <v>222</v>
      </c>
    </row>
    <row r="115" spans="1:18" s="105" customFormat="1" ht="29.25" customHeight="1">
      <c r="A115" s="807" t="s">
        <v>255</v>
      </c>
      <c r="B115" s="808"/>
      <c r="C115" s="809"/>
      <c r="D115" s="614" t="s">
        <v>183</v>
      </c>
      <c r="E115" s="237">
        <v>39459</v>
      </c>
      <c r="F115" s="716">
        <v>39614</v>
      </c>
      <c r="G115" s="682">
        <f t="shared" si="19"/>
        <v>155</v>
      </c>
      <c r="H115" s="640">
        <f t="shared" si="20"/>
        <v>155</v>
      </c>
      <c r="I115" s="645"/>
      <c r="J115" s="717">
        <f>H115/DAY(B2)</f>
        <v>155</v>
      </c>
    </row>
    <row r="116" spans="1:18" s="105" customFormat="1" ht="29.25" customHeight="1">
      <c r="A116" s="821" t="s">
        <v>96</v>
      </c>
      <c r="B116" s="822"/>
      <c r="C116" s="823"/>
      <c r="D116" s="614" t="s">
        <v>183</v>
      </c>
      <c r="E116" s="237">
        <v>147930</v>
      </c>
      <c r="F116" s="716">
        <v>148491</v>
      </c>
      <c r="G116" s="682">
        <f t="shared" si="19"/>
        <v>561</v>
      </c>
      <c r="H116" s="640">
        <f t="shared" si="20"/>
        <v>561</v>
      </c>
      <c r="I116" s="645"/>
      <c r="J116" s="717">
        <f>H116/DAY(B2)</f>
        <v>561</v>
      </c>
      <c r="Q116" s="805"/>
      <c r="R116" s="805"/>
    </row>
    <row r="117" spans="1:18" s="105" customFormat="1" ht="29.25" customHeight="1">
      <c r="A117" s="821" t="s">
        <v>184</v>
      </c>
      <c r="B117" s="822"/>
      <c r="C117" s="823"/>
      <c r="D117" s="614" t="s">
        <v>183</v>
      </c>
      <c r="E117" s="237">
        <v>91989.399000000005</v>
      </c>
      <c r="F117" s="716">
        <v>92266</v>
      </c>
      <c r="G117" s="682">
        <f t="shared" si="19"/>
        <v>276.60099999999511</v>
      </c>
      <c r="H117" s="640">
        <f t="shared" si="20"/>
        <v>276.60099999999511</v>
      </c>
      <c r="I117" s="645"/>
      <c r="J117" s="717">
        <f>H117/DAY(B2)</f>
        <v>276.60099999999511</v>
      </c>
      <c r="Q117" s="805"/>
      <c r="R117" s="805"/>
    </row>
    <row r="118" spans="1:18" s="105" customFormat="1" ht="28.5">
      <c r="A118" s="804" t="s">
        <v>97</v>
      </c>
      <c r="B118" s="804"/>
      <c r="C118" s="804"/>
      <c r="D118" s="307" t="s">
        <v>183</v>
      </c>
      <c r="E118" s="237">
        <v>177532.53</v>
      </c>
      <c r="F118" s="716">
        <v>178210</v>
      </c>
      <c r="G118" s="682">
        <f t="shared" si="19"/>
        <v>677.47000000000116</v>
      </c>
      <c r="H118" s="640">
        <f t="shared" si="20"/>
        <v>677.47000000000116</v>
      </c>
      <c r="I118" s="645"/>
      <c r="J118" s="717">
        <f>H118/DAY(B2)</f>
        <v>677.47000000000116</v>
      </c>
      <c r="Q118" s="805"/>
      <c r="R118" s="805"/>
    </row>
    <row r="119" spans="1:18" s="105" customFormat="1" ht="28.5">
      <c r="A119" s="804" t="s">
        <v>98</v>
      </c>
      <c r="B119" s="804"/>
      <c r="C119" s="804"/>
      <c r="D119" s="307" t="s">
        <v>183</v>
      </c>
      <c r="E119" s="237">
        <v>45193</v>
      </c>
      <c r="F119" s="716">
        <v>45230</v>
      </c>
      <c r="G119" s="682">
        <f t="shared" si="19"/>
        <v>37</v>
      </c>
      <c r="H119" s="640">
        <f t="shared" si="20"/>
        <v>37</v>
      </c>
      <c r="I119" s="645"/>
      <c r="J119" s="717">
        <f>H119/DAY(B2)</f>
        <v>37</v>
      </c>
    </row>
    <row r="120" spans="1:18" s="105" customFormat="1" ht="28.5">
      <c r="A120" s="804" t="s">
        <v>99</v>
      </c>
      <c r="B120" s="804"/>
      <c r="C120" s="804"/>
      <c r="D120" s="307" t="s">
        <v>183</v>
      </c>
      <c r="E120" s="237">
        <v>120444</v>
      </c>
      <c r="F120" s="716">
        <v>120811</v>
      </c>
      <c r="G120" s="682">
        <f t="shared" si="19"/>
        <v>367</v>
      </c>
      <c r="H120" s="640">
        <f t="shared" si="20"/>
        <v>367</v>
      </c>
      <c r="I120" s="645"/>
      <c r="J120" s="717">
        <f>H120/DAY(B2)</f>
        <v>367</v>
      </c>
    </row>
    <row r="121" spans="1:18" s="105" customFormat="1" ht="28.5">
      <c r="A121" s="804" t="s">
        <v>100</v>
      </c>
      <c r="B121" s="804"/>
      <c r="C121" s="804"/>
      <c r="D121" s="307" t="s">
        <v>183</v>
      </c>
      <c r="E121" s="237">
        <v>134563</v>
      </c>
      <c r="F121" s="716">
        <v>135011</v>
      </c>
      <c r="G121" s="682">
        <f t="shared" si="19"/>
        <v>448</v>
      </c>
      <c r="H121" s="640">
        <f t="shared" si="20"/>
        <v>448</v>
      </c>
      <c r="I121" s="645"/>
      <c r="J121" s="717">
        <f>H121/DAY(B2)</f>
        <v>448</v>
      </c>
    </row>
    <row r="122" spans="1:18" s="105" customFormat="1" ht="28.5">
      <c r="A122" s="804" t="s">
        <v>101</v>
      </c>
      <c r="B122" s="804"/>
      <c r="C122" s="804"/>
      <c r="D122" s="307" t="s">
        <v>183</v>
      </c>
      <c r="E122" s="237">
        <v>90877</v>
      </c>
      <c r="F122" s="716">
        <v>91174</v>
      </c>
      <c r="G122" s="682">
        <f t="shared" si="19"/>
        <v>297</v>
      </c>
      <c r="H122" s="640">
        <f t="shared" si="20"/>
        <v>297</v>
      </c>
      <c r="I122" s="645"/>
      <c r="J122" s="717">
        <f>H122/DAY(B2)</f>
        <v>297</v>
      </c>
    </row>
    <row r="123" spans="1:18" s="105" customFormat="1" ht="28.5">
      <c r="A123" s="804" t="s">
        <v>102</v>
      </c>
      <c r="B123" s="804"/>
      <c r="C123" s="804"/>
      <c r="D123" s="307" t="s">
        <v>183</v>
      </c>
      <c r="E123" s="237">
        <v>87579</v>
      </c>
      <c r="F123" s="716">
        <v>87894</v>
      </c>
      <c r="G123" s="682">
        <f t="shared" si="19"/>
        <v>315</v>
      </c>
      <c r="H123" s="640">
        <f t="shared" si="20"/>
        <v>315</v>
      </c>
      <c r="I123" s="645"/>
      <c r="J123" s="717">
        <f>H123/DAY(B2)</f>
        <v>315</v>
      </c>
    </row>
    <row r="124" spans="1:18" s="105" customFormat="1" ht="29.25" customHeight="1">
      <c r="A124" s="814"/>
      <c r="B124" s="815"/>
      <c r="C124" s="816"/>
      <c r="D124" s="245"/>
      <c r="E124" s="155"/>
      <c r="F124" s="645"/>
      <c r="G124" s="702"/>
      <c r="H124" s="667"/>
      <c r="I124" s="645"/>
      <c r="J124" s="667"/>
    </row>
    <row r="125" spans="1:18" s="105" customFormat="1" ht="28.5">
      <c r="A125" s="811" t="s">
        <v>196</v>
      </c>
      <c r="B125" s="812"/>
      <c r="C125" s="813"/>
      <c r="D125" s="307"/>
      <c r="E125" s="308"/>
      <c r="F125" s="645"/>
      <c r="G125" s="682">
        <f>SUM(G112:G124)</f>
        <v>3570.1209999999992</v>
      </c>
      <c r="H125" s="667"/>
      <c r="I125" s="667">
        <f>G125-(G39+G53)</f>
        <v>621.12099999999919</v>
      </c>
      <c r="J125" s="667"/>
    </row>
    <row r="126" spans="1:18" s="105" customFormat="1" ht="23.25">
      <c r="A126" s="798" t="s">
        <v>317</v>
      </c>
      <c r="B126" s="798"/>
      <c r="C126" s="798"/>
      <c r="D126" s="798"/>
      <c r="E126" s="798"/>
      <c r="F126" s="798"/>
      <c r="G126" s="798"/>
      <c r="H126" s="798"/>
      <c r="I126" s="798"/>
      <c r="J126" s="798"/>
    </row>
    <row r="127" spans="1:18" s="105" customFormat="1" ht="28.5">
      <c r="A127" s="799"/>
      <c r="B127" s="799"/>
      <c r="C127" s="571"/>
      <c r="D127" s="307"/>
      <c r="E127" s="308"/>
      <c r="F127" s="645"/>
      <c r="G127" s="682"/>
      <c r="H127" s="640">
        <f t="shared" ref="H127:H135" si="21">G127</f>
        <v>0</v>
      </c>
      <c r="I127" s="645"/>
      <c r="J127" s="717">
        <f>H127/DAY(B2)</f>
        <v>0</v>
      </c>
    </row>
    <row r="128" spans="1:18" s="105" customFormat="1" ht="29.25" customHeight="1">
      <c r="A128" s="807" t="s">
        <v>318</v>
      </c>
      <c r="B128" s="808"/>
      <c r="C128" s="809"/>
      <c r="D128" s="307" t="s">
        <v>183</v>
      </c>
      <c r="E128" s="155">
        <v>207289</v>
      </c>
      <c r="F128" s="645">
        <v>207807</v>
      </c>
      <c r="G128" s="682">
        <f t="shared" ref="G128:G133" si="22">F128-E128</f>
        <v>518</v>
      </c>
      <c r="H128" s="640">
        <f t="shared" si="21"/>
        <v>518</v>
      </c>
      <c r="I128" s="645"/>
      <c r="J128" s="717">
        <f>H128/DAY(B2)</f>
        <v>518</v>
      </c>
    </row>
    <row r="129" spans="1:15" s="105" customFormat="1" ht="28.5">
      <c r="A129" s="329" t="s">
        <v>319</v>
      </c>
      <c r="B129" s="601"/>
      <c r="C129" s="602"/>
      <c r="D129" s="307" t="s">
        <v>183</v>
      </c>
      <c r="E129" s="155">
        <v>734</v>
      </c>
      <c r="F129" s="645">
        <v>835</v>
      </c>
      <c r="G129" s="682">
        <f t="shared" si="22"/>
        <v>101</v>
      </c>
      <c r="H129" s="640">
        <f t="shared" si="21"/>
        <v>101</v>
      </c>
      <c r="I129" s="645"/>
      <c r="J129" s="717">
        <f>H129/DAY(B2)</f>
        <v>101</v>
      </c>
      <c r="N129" s="603"/>
      <c r="O129" s="600"/>
    </row>
    <row r="130" spans="1:15" s="105" customFormat="1" ht="28.5">
      <c r="A130" s="329" t="s">
        <v>320</v>
      </c>
      <c r="B130" s="601"/>
      <c r="C130" s="602"/>
      <c r="D130" s="307" t="s">
        <v>183</v>
      </c>
      <c r="E130" s="424">
        <v>288722</v>
      </c>
      <c r="F130" s="639">
        <v>288875</v>
      </c>
      <c r="G130" s="682">
        <f t="shared" si="22"/>
        <v>153</v>
      </c>
      <c r="H130" s="640">
        <f t="shared" si="21"/>
        <v>153</v>
      </c>
      <c r="I130" s="645"/>
      <c r="J130" s="717">
        <f>H130/DAY(B2)</f>
        <v>153</v>
      </c>
      <c r="N130" s="603"/>
      <c r="O130" s="600"/>
    </row>
    <row r="131" spans="1:15" s="105" customFormat="1" ht="28.5">
      <c r="A131" s="807" t="s">
        <v>321</v>
      </c>
      <c r="B131" s="808"/>
      <c r="C131" s="809"/>
      <c r="D131" s="307" t="s">
        <v>183</v>
      </c>
      <c r="E131" s="156">
        <v>84703.83</v>
      </c>
      <c r="F131" s="639">
        <v>84882</v>
      </c>
      <c r="G131" s="701">
        <f t="shared" si="22"/>
        <v>178.16999999999825</v>
      </c>
      <c r="H131" s="640">
        <f t="shared" si="21"/>
        <v>178.16999999999825</v>
      </c>
      <c r="I131" s="645"/>
      <c r="J131" s="717">
        <f>H131/DAY(B2)</f>
        <v>178.16999999999825</v>
      </c>
      <c r="N131" s="603"/>
      <c r="O131" s="600"/>
    </row>
    <row r="132" spans="1:15" s="105" customFormat="1" ht="28.5">
      <c r="A132" s="807" t="s">
        <v>322</v>
      </c>
      <c r="B132" s="808"/>
      <c r="C132" s="809"/>
      <c r="D132" s="307" t="s">
        <v>183</v>
      </c>
      <c r="E132" s="155">
        <v>67447</v>
      </c>
      <c r="F132" s="639">
        <v>67770</v>
      </c>
      <c r="G132" s="701">
        <f t="shared" si="22"/>
        <v>323</v>
      </c>
      <c r="H132" s="640">
        <f t="shared" si="21"/>
        <v>323</v>
      </c>
      <c r="I132" s="645"/>
      <c r="J132" s="717">
        <f>H132/DAY(B2)</f>
        <v>323</v>
      </c>
    </row>
    <row r="133" spans="1:15" s="105" customFormat="1" ht="28.5">
      <c r="A133" s="807" t="s">
        <v>342</v>
      </c>
      <c r="B133" s="808"/>
      <c r="C133" s="809"/>
      <c r="D133" s="307" t="s">
        <v>183</v>
      </c>
      <c r="E133" s="155">
        <v>950147</v>
      </c>
      <c r="F133" s="639">
        <v>950654</v>
      </c>
      <c r="G133" s="701">
        <f t="shared" si="22"/>
        <v>507</v>
      </c>
      <c r="H133" s="640">
        <f t="shared" si="21"/>
        <v>507</v>
      </c>
      <c r="I133" s="645"/>
      <c r="J133" s="717">
        <f>H133/DAY(B2)</f>
        <v>507</v>
      </c>
    </row>
    <row r="134" spans="1:15" s="105" customFormat="1" ht="28.5">
      <c r="A134" s="810" t="s">
        <v>340</v>
      </c>
      <c r="B134" s="803"/>
      <c r="C134" s="791"/>
      <c r="D134" s="307" t="s">
        <v>183</v>
      </c>
      <c r="E134" s="155">
        <v>93233.5</v>
      </c>
      <c r="F134" s="639">
        <v>93496</v>
      </c>
      <c r="G134" s="701">
        <f>F134-E134</f>
        <v>262.5</v>
      </c>
      <c r="H134" s="640">
        <f t="shared" ref="H134" si="23">G134</f>
        <v>262.5</v>
      </c>
      <c r="I134" s="645"/>
      <c r="J134" s="717">
        <f>H134/DAY(B2)</f>
        <v>262.5</v>
      </c>
    </row>
    <row r="135" spans="1:15" s="105" customFormat="1" ht="28.5">
      <c r="A135" s="811" t="s">
        <v>196</v>
      </c>
      <c r="B135" s="812"/>
      <c r="C135" s="813"/>
      <c r="D135" s="307"/>
      <c r="E135" s="155"/>
      <c r="F135" s="645"/>
      <c r="G135" s="682">
        <f>SUM(G128:G134)</f>
        <v>2042.6699999999983</v>
      </c>
      <c r="H135" s="640">
        <f t="shared" si="21"/>
        <v>2042.6699999999983</v>
      </c>
      <c r="I135" s="667">
        <f>G135-(G35+G49)</f>
        <v>-1112.3300000000017</v>
      </c>
      <c r="J135" s="717">
        <f>H135/DAY(B2)</f>
        <v>2042.6699999999983</v>
      </c>
    </row>
    <row r="136" spans="1:15" s="105" customFormat="1" ht="23.25">
      <c r="A136" s="798" t="s">
        <v>325</v>
      </c>
      <c r="B136" s="798"/>
      <c r="C136" s="798"/>
      <c r="D136" s="798"/>
      <c r="E136" s="798"/>
      <c r="F136" s="798"/>
      <c r="G136" s="798"/>
      <c r="H136" s="798"/>
      <c r="I136" s="798"/>
      <c r="J136" s="798"/>
    </row>
    <row r="137" spans="1:15" s="105" customFormat="1" ht="28.5">
      <c r="A137" s="245"/>
      <c r="B137" s="571"/>
      <c r="C137" s="571"/>
      <c r="D137" s="245"/>
      <c r="E137" s="155"/>
      <c r="F137" s="645"/>
      <c r="G137" s="702"/>
      <c r="H137" s="667"/>
      <c r="I137" s="645"/>
      <c r="J137" s="667"/>
    </row>
    <row r="138" spans="1:15" s="105" customFormat="1" ht="28.5">
      <c r="A138" s="804" t="s">
        <v>185</v>
      </c>
      <c r="B138" s="804"/>
      <c r="C138" s="804"/>
      <c r="D138" s="307" t="s">
        <v>183</v>
      </c>
      <c r="E138" s="147">
        <v>912911</v>
      </c>
      <c r="F138" s="719">
        <v>913011</v>
      </c>
      <c r="G138" s="682">
        <f t="shared" ref="G138:G150" si="24">F138-E138</f>
        <v>100</v>
      </c>
      <c r="H138" s="640">
        <f t="shared" ref="H138:H150" si="25">G138</f>
        <v>100</v>
      </c>
      <c r="I138" s="683"/>
      <c r="J138" s="717">
        <f>H138/DAY(B2)</f>
        <v>100</v>
      </c>
    </row>
    <row r="139" spans="1:15" s="105" customFormat="1" ht="28.5">
      <c r="A139" s="804" t="s">
        <v>186</v>
      </c>
      <c r="B139" s="804"/>
      <c r="C139" s="804"/>
      <c r="D139" s="307" t="s">
        <v>183</v>
      </c>
      <c r="E139" s="148">
        <v>937258</v>
      </c>
      <c r="F139" s="720">
        <v>937392</v>
      </c>
      <c r="G139" s="682">
        <f t="shared" si="24"/>
        <v>134</v>
      </c>
      <c r="H139" s="640">
        <f t="shared" si="25"/>
        <v>134</v>
      </c>
      <c r="I139" s="683"/>
      <c r="J139" s="717">
        <f>H139/DAY(B2)</f>
        <v>134</v>
      </c>
    </row>
    <row r="140" spans="1:15" s="105" customFormat="1" ht="28.5">
      <c r="A140" s="804" t="s">
        <v>187</v>
      </c>
      <c r="B140" s="804"/>
      <c r="C140" s="804"/>
      <c r="D140" s="307" t="s">
        <v>183</v>
      </c>
      <c r="E140" s="149">
        <v>4764</v>
      </c>
      <c r="F140" s="721">
        <v>4797</v>
      </c>
      <c r="G140" s="682">
        <f t="shared" si="24"/>
        <v>33</v>
      </c>
      <c r="H140" s="640">
        <f t="shared" si="25"/>
        <v>33</v>
      </c>
      <c r="I140" s="683"/>
      <c r="J140" s="717">
        <f>H140/DAY(B2)</f>
        <v>33</v>
      </c>
    </row>
    <row r="141" spans="1:15" s="105" customFormat="1" ht="28.5">
      <c r="A141" s="806" t="s">
        <v>188</v>
      </c>
      <c r="B141" s="806"/>
      <c r="C141" s="806"/>
      <c r="D141" s="623" t="s">
        <v>183</v>
      </c>
      <c r="E141" s="149">
        <v>131320</v>
      </c>
      <c r="F141" s="720">
        <v>131565</v>
      </c>
      <c r="G141" s="701">
        <f t="shared" si="24"/>
        <v>245</v>
      </c>
      <c r="H141" s="722">
        <f t="shared" si="25"/>
        <v>245</v>
      </c>
      <c r="I141" s="723"/>
      <c r="J141" s="724">
        <f>H141/DAY(B2)</f>
        <v>245</v>
      </c>
    </row>
    <row r="142" spans="1:15" s="105" customFormat="1" ht="28.5">
      <c r="A142" s="806" t="s">
        <v>189</v>
      </c>
      <c r="B142" s="806"/>
      <c r="C142" s="806"/>
      <c r="D142" s="623" t="s">
        <v>183</v>
      </c>
      <c r="E142" s="148">
        <v>53191</v>
      </c>
      <c r="F142" s="720">
        <v>53300</v>
      </c>
      <c r="G142" s="701">
        <f t="shared" si="24"/>
        <v>109</v>
      </c>
      <c r="H142" s="722">
        <f t="shared" si="25"/>
        <v>109</v>
      </c>
      <c r="I142" s="725"/>
      <c r="J142" s="724">
        <f>H142/DAY(B2)</f>
        <v>109</v>
      </c>
    </row>
    <row r="143" spans="1:15" s="105" customFormat="1" ht="28.5">
      <c r="A143" s="861" t="s">
        <v>91</v>
      </c>
      <c r="B143" s="861"/>
      <c r="C143" s="861"/>
      <c r="D143" s="623" t="s">
        <v>183</v>
      </c>
      <c r="E143" s="149">
        <v>14312</v>
      </c>
      <c r="F143" s="720">
        <v>14346</v>
      </c>
      <c r="G143" s="701">
        <f t="shared" si="24"/>
        <v>34</v>
      </c>
      <c r="H143" s="722">
        <f t="shared" si="25"/>
        <v>34</v>
      </c>
      <c r="I143" s="725"/>
      <c r="J143" s="724">
        <f>H143/DAY(B2)</f>
        <v>34</v>
      </c>
    </row>
    <row r="144" spans="1:15" s="105" customFormat="1" ht="28.5">
      <c r="A144" s="806" t="s">
        <v>90</v>
      </c>
      <c r="B144" s="806"/>
      <c r="C144" s="806"/>
      <c r="D144" s="623" t="s">
        <v>183</v>
      </c>
      <c r="E144" s="149">
        <v>963226</v>
      </c>
      <c r="F144" s="720">
        <v>963601</v>
      </c>
      <c r="G144" s="701">
        <f t="shared" si="24"/>
        <v>375</v>
      </c>
      <c r="H144" s="722">
        <f t="shared" si="25"/>
        <v>375</v>
      </c>
      <c r="I144" s="725"/>
      <c r="J144" s="724">
        <f>H144/DAY(B2)</f>
        <v>375</v>
      </c>
    </row>
    <row r="145" spans="1:10" s="105" customFormat="1" ht="28.5">
      <c r="A145" s="861" t="s">
        <v>190</v>
      </c>
      <c r="B145" s="861"/>
      <c r="C145" s="861"/>
      <c r="D145" s="623" t="s">
        <v>183</v>
      </c>
      <c r="E145" s="149">
        <v>750733</v>
      </c>
      <c r="F145" s="720">
        <v>750897</v>
      </c>
      <c r="G145" s="701">
        <v>164</v>
      </c>
      <c r="H145" s="722">
        <f t="shared" si="25"/>
        <v>164</v>
      </c>
      <c r="I145" s="725"/>
      <c r="J145" s="724">
        <f>H145/DAY(B2)</f>
        <v>164</v>
      </c>
    </row>
    <row r="146" spans="1:10" s="105" customFormat="1" ht="28.5">
      <c r="A146" s="862" t="s">
        <v>191</v>
      </c>
      <c r="B146" s="863"/>
      <c r="C146" s="864"/>
      <c r="D146" s="623" t="s">
        <v>183</v>
      </c>
      <c r="E146" s="148">
        <v>789025</v>
      </c>
      <c r="F146" s="720">
        <v>789067</v>
      </c>
      <c r="G146" s="701">
        <f t="shared" si="24"/>
        <v>42</v>
      </c>
      <c r="H146" s="722">
        <f t="shared" si="25"/>
        <v>42</v>
      </c>
      <c r="I146" s="725"/>
      <c r="J146" s="724">
        <f>H146/DAY(B2)</f>
        <v>42</v>
      </c>
    </row>
    <row r="147" spans="1:10" s="105" customFormat="1" ht="28.5">
      <c r="A147" s="806" t="s">
        <v>192</v>
      </c>
      <c r="B147" s="806"/>
      <c r="C147" s="806"/>
      <c r="D147" s="623" t="s">
        <v>183</v>
      </c>
      <c r="E147" s="148">
        <v>771656.88</v>
      </c>
      <c r="F147" s="720">
        <v>772045</v>
      </c>
      <c r="G147" s="701">
        <f t="shared" si="24"/>
        <v>388.11999999999534</v>
      </c>
      <c r="H147" s="722">
        <f t="shared" si="25"/>
        <v>388.11999999999534</v>
      </c>
      <c r="I147" s="725"/>
      <c r="J147" s="724">
        <f>H147/DAY(B2)</f>
        <v>388.11999999999534</v>
      </c>
    </row>
    <row r="148" spans="1:10" s="105" customFormat="1" ht="28.5">
      <c r="A148" s="857" t="s">
        <v>193</v>
      </c>
      <c r="B148" s="858"/>
      <c r="C148" s="859"/>
      <c r="D148" s="624" t="s">
        <v>130</v>
      </c>
      <c r="E148" s="150">
        <v>806820.24</v>
      </c>
      <c r="F148" s="700">
        <v>807186</v>
      </c>
      <c r="G148" s="701">
        <f t="shared" si="24"/>
        <v>365.76000000000931</v>
      </c>
      <c r="H148" s="722">
        <f t="shared" si="25"/>
        <v>365.76000000000931</v>
      </c>
      <c r="I148" s="722"/>
      <c r="J148" s="724">
        <f>H148/DAY(B2)</f>
        <v>365.76000000000931</v>
      </c>
    </row>
    <row r="149" spans="1:10" s="105" customFormat="1" ht="28.5">
      <c r="A149" s="857" t="s">
        <v>336</v>
      </c>
      <c r="B149" s="858"/>
      <c r="C149" s="859"/>
      <c r="D149" s="625" t="s">
        <v>130</v>
      </c>
      <c r="E149" s="146">
        <v>216896</v>
      </c>
      <c r="F149" s="726">
        <v>217460</v>
      </c>
      <c r="G149" s="701">
        <f t="shared" si="24"/>
        <v>564</v>
      </c>
      <c r="H149" s="722">
        <f t="shared" si="25"/>
        <v>564</v>
      </c>
      <c r="I149" s="646"/>
      <c r="J149" s="724">
        <f>H149/DAY(B2)</f>
        <v>564</v>
      </c>
    </row>
    <row r="150" spans="1:10" s="105" customFormat="1" ht="28.5">
      <c r="A150" s="857" t="s">
        <v>337</v>
      </c>
      <c r="B150" s="858"/>
      <c r="C150" s="859"/>
      <c r="D150" s="624" t="s">
        <v>130</v>
      </c>
      <c r="E150" s="233">
        <v>94978</v>
      </c>
      <c r="F150" s="726">
        <v>95102</v>
      </c>
      <c r="G150" s="701">
        <f t="shared" si="24"/>
        <v>124</v>
      </c>
      <c r="H150" s="722">
        <f t="shared" si="25"/>
        <v>124</v>
      </c>
      <c r="I150" s="646"/>
      <c r="J150" s="724">
        <f>H150/DAY(B2)</f>
        <v>124</v>
      </c>
    </row>
    <row r="151" spans="1:10" s="105" customFormat="1" ht="28.5">
      <c r="A151" s="857" t="s">
        <v>338</v>
      </c>
      <c r="B151" s="858"/>
      <c r="C151" s="859"/>
      <c r="D151" s="624" t="s">
        <v>130</v>
      </c>
      <c r="E151" s="233">
        <v>176175</v>
      </c>
      <c r="F151" s="726">
        <v>176476</v>
      </c>
      <c r="G151" s="701">
        <f t="shared" ref="G151:G152" si="26">F151-E151</f>
        <v>301</v>
      </c>
      <c r="H151" s="722">
        <f t="shared" ref="H151:H158" si="27">G151</f>
        <v>301</v>
      </c>
      <c r="I151" s="646"/>
      <c r="J151" s="724">
        <f>H151/DAY(B2)</f>
        <v>301</v>
      </c>
    </row>
    <row r="152" spans="1:10" s="105" customFormat="1" ht="28.5">
      <c r="A152" s="857" t="s">
        <v>339</v>
      </c>
      <c r="B152" s="858"/>
      <c r="C152" s="859"/>
      <c r="D152" s="624" t="s">
        <v>130</v>
      </c>
      <c r="E152" s="233">
        <v>46632</v>
      </c>
      <c r="F152" s="726">
        <v>46768</v>
      </c>
      <c r="G152" s="701">
        <f t="shared" si="26"/>
        <v>136</v>
      </c>
      <c r="H152" s="722">
        <f t="shared" si="27"/>
        <v>136</v>
      </c>
      <c r="I152" s="646"/>
      <c r="J152" s="724">
        <f>H152/DAY(B2)</f>
        <v>136</v>
      </c>
    </row>
    <row r="153" spans="1:10" s="105" customFormat="1" ht="28.5">
      <c r="A153" s="811" t="s">
        <v>196</v>
      </c>
      <c r="B153" s="812"/>
      <c r="C153" s="813"/>
      <c r="D153" s="626"/>
      <c r="E153" s="361"/>
      <c r="F153" s="727"/>
      <c r="G153" s="728">
        <f>SUM(G138:G152)</f>
        <v>3114.8800000000047</v>
      </c>
      <c r="H153" s="729">
        <f t="shared" si="27"/>
        <v>3114.8800000000047</v>
      </c>
      <c r="I153" s="658">
        <f>G153-(G38+G52)</f>
        <v>449.88000000000466</v>
      </c>
      <c r="J153" s="730"/>
    </row>
    <row r="154" spans="1:10" s="105" customFormat="1" ht="23.25">
      <c r="A154" s="860" t="s">
        <v>344</v>
      </c>
      <c r="B154" s="860"/>
      <c r="C154" s="860"/>
      <c r="D154" s="860"/>
      <c r="E154" s="860"/>
      <c r="F154" s="860"/>
      <c r="G154" s="860"/>
      <c r="H154" s="860"/>
      <c r="I154" s="860"/>
      <c r="J154" s="860"/>
    </row>
    <row r="155" spans="1:10" s="105" customFormat="1" ht="27.75" customHeight="1">
      <c r="A155" s="806" t="s">
        <v>345</v>
      </c>
      <c r="B155" s="806"/>
      <c r="C155" s="806"/>
      <c r="D155" s="627" t="s">
        <v>130</v>
      </c>
      <c r="E155" s="388">
        <v>256352</v>
      </c>
      <c r="F155" s="639">
        <v>256922</v>
      </c>
      <c r="G155" s="701">
        <f t="shared" ref="G155:G158" si="28">F155-E155</f>
        <v>570</v>
      </c>
      <c r="H155" s="722">
        <f t="shared" si="27"/>
        <v>570</v>
      </c>
      <c r="I155" s="639"/>
      <c r="J155" s="724">
        <f>H155/DAY(B2)</f>
        <v>570</v>
      </c>
    </row>
    <row r="156" spans="1:10" s="105" customFormat="1" ht="25.5" customHeight="1">
      <c r="A156" s="806" t="s">
        <v>367</v>
      </c>
      <c r="B156" s="806"/>
      <c r="C156" s="806"/>
      <c r="D156" s="627" t="s">
        <v>130</v>
      </c>
      <c r="E156" s="155">
        <v>32559</v>
      </c>
      <c r="F156" s="639">
        <v>32658</v>
      </c>
      <c r="G156" s="701">
        <f t="shared" si="28"/>
        <v>99</v>
      </c>
      <c r="H156" s="722">
        <f t="shared" si="27"/>
        <v>99</v>
      </c>
      <c r="I156" s="639"/>
      <c r="J156" s="724">
        <f>H156/DAY(B2)</f>
        <v>99</v>
      </c>
    </row>
    <row r="157" spans="1:10" s="105" customFormat="1" ht="25.5" customHeight="1">
      <c r="A157" s="782" t="s">
        <v>359</v>
      </c>
      <c r="B157" s="783"/>
      <c r="C157" s="784"/>
      <c r="D157" s="627" t="s">
        <v>130</v>
      </c>
      <c r="E157" s="95">
        <v>37559</v>
      </c>
      <c r="F157" s="639">
        <v>37559</v>
      </c>
      <c r="G157" s="701">
        <f t="shared" si="28"/>
        <v>0</v>
      </c>
      <c r="H157" s="722">
        <f t="shared" si="27"/>
        <v>0</v>
      </c>
      <c r="I157" s="639"/>
      <c r="J157" s="724"/>
    </row>
    <row r="158" spans="1:10" s="105" customFormat="1" ht="25.5" customHeight="1">
      <c r="A158" s="782" t="s">
        <v>360</v>
      </c>
      <c r="B158" s="783"/>
      <c r="C158" s="784"/>
      <c r="D158" s="627" t="s">
        <v>130</v>
      </c>
      <c r="E158" s="155">
        <v>1783</v>
      </c>
      <c r="F158" s="639">
        <v>1783</v>
      </c>
      <c r="G158" s="701">
        <f t="shared" si="28"/>
        <v>0</v>
      </c>
      <c r="H158" s="722">
        <f t="shared" si="27"/>
        <v>0</v>
      </c>
      <c r="I158" s="639"/>
      <c r="J158" s="724"/>
    </row>
    <row r="159" spans="1:10" s="105" customFormat="1" ht="25.5" customHeight="1">
      <c r="A159" s="785"/>
      <c r="B159" s="786"/>
      <c r="C159" s="787"/>
      <c r="D159" s="628"/>
      <c r="E159" s="155"/>
      <c r="F159" s="639"/>
      <c r="G159" s="701"/>
      <c r="H159" s="731"/>
      <c r="I159" s="639"/>
      <c r="J159" s="724"/>
    </row>
    <row r="160" spans="1:10" s="105" customFormat="1" ht="23.25">
      <c r="A160" s="798" t="s">
        <v>326</v>
      </c>
      <c r="B160" s="798"/>
      <c r="C160" s="798"/>
      <c r="D160" s="798"/>
      <c r="E160" s="798"/>
      <c r="F160" s="798"/>
      <c r="G160" s="798"/>
      <c r="H160" s="798"/>
      <c r="I160" s="798"/>
      <c r="J160" s="798"/>
    </row>
    <row r="161" spans="1:10" s="105" customFormat="1" ht="28.5">
      <c r="A161" s="242" t="s">
        <v>92</v>
      </c>
      <c r="B161" s="604"/>
      <c r="C161" s="604"/>
      <c r="D161" s="629" t="s">
        <v>180</v>
      </c>
      <c r="E161" s="235">
        <v>512445</v>
      </c>
      <c r="F161" s="732">
        <v>512622</v>
      </c>
      <c r="G161" s="733">
        <f t="shared" ref="G161:G165" si="29">F161-E161</f>
        <v>177</v>
      </c>
      <c r="H161" s="640">
        <f t="shared" ref="H161:H165" si="30">G161</f>
        <v>177</v>
      </c>
      <c r="I161" s="646"/>
      <c r="J161" s="734">
        <f>H161/DAY(B2)</f>
        <v>177</v>
      </c>
    </row>
    <row r="162" spans="1:10" s="105" customFormat="1" ht="28.5">
      <c r="A162" s="242" t="s">
        <v>93</v>
      </c>
      <c r="B162" s="604"/>
      <c r="C162" s="604"/>
      <c r="D162" s="629" t="s">
        <v>180</v>
      </c>
      <c r="E162" s="235">
        <v>1787</v>
      </c>
      <c r="F162" s="732">
        <v>1827</v>
      </c>
      <c r="G162" s="733">
        <f t="shared" si="29"/>
        <v>40</v>
      </c>
      <c r="H162" s="640">
        <f t="shared" si="30"/>
        <v>40</v>
      </c>
      <c r="I162" s="646"/>
      <c r="J162" s="734">
        <f>H162/DAY(B2)</f>
        <v>40</v>
      </c>
    </row>
    <row r="163" spans="1:10" s="105" customFormat="1" ht="28.5">
      <c r="A163" s="242" t="s">
        <v>366</v>
      </c>
      <c r="B163" s="604"/>
      <c r="C163" s="604"/>
      <c r="D163" s="629" t="s">
        <v>180</v>
      </c>
      <c r="E163" s="235">
        <v>0</v>
      </c>
      <c r="F163" s="732">
        <v>0</v>
      </c>
      <c r="G163" s="733">
        <f t="shared" si="29"/>
        <v>0</v>
      </c>
      <c r="H163" s="640">
        <f t="shared" si="30"/>
        <v>0</v>
      </c>
      <c r="I163" s="646"/>
      <c r="J163" s="734">
        <f>H163/DAY(B2)</f>
        <v>0</v>
      </c>
    </row>
    <row r="164" spans="1:10" s="105" customFormat="1" ht="28.5">
      <c r="A164" s="242" t="s">
        <v>366</v>
      </c>
      <c r="B164" s="604"/>
      <c r="C164" s="604"/>
      <c r="D164" s="629" t="s">
        <v>180</v>
      </c>
      <c r="E164" s="235">
        <v>7337</v>
      </c>
      <c r="F164" s="732">
        <v>7340</v>
      </c>
      <c r="G164" s="733">
        <f>F164-E164</f>
        <v>3</v>
      </c>
      <c r="H164" s="640">
        <f t="shared" si="30"/>
        <v>3</v>
      </c>
      <c r="I164" s="646"/>
      <c r="J164" s="734">
        <f>H164/DAY(B2)</f>
        <v>3</v>
      </c>
    </row>
    <row r="165" spans="1:10" s="105" customFormat="1" ht="28.5">
      <c r="A165" s="242" t="s">
        <v>309</v>
      </c>
      <c r="B165" s="604"/>
      <c r="C165" s="604"/>
      <c r="D165" s="629" t="s">
        <v>180</v>
      </c>
      <c r="E165" s="235">
        <v>32974.519999999997</v>
      </c>
      <c r="F165" s="732">
        <v>32981</v>
      </c>
      <c r="G165" s="733">
        <f t="shared" si="29"/>
        <v>6.4800000000032014</v>
      </c>
      <c r="H165" s="640">
        <f t="shared" si="30"/>
        <v>6.4800000000032014</v>
      </c>
      <c r="I165" s="646"/>
      <c r="J165" s="734">
        <f>H165/DAY(B2)</f>
        <v>6.4800000000032014</v>
      </c>
    </row>
    <row r="166" spans="1:10" s="105" customFormat="1" ht="28.5" hidden="1">
      <c r="A166" s="799"/>
      <c r="B166" s="799"/>
      <c r="C166" s="571"/>
      <c r="D166" s="629" t="s">
        <v>180</v>
      </c>
      <c r="E166" s="155"/>
      <c r="F166" s="645"/>
      <c r="G166" s="733"/>
      <c r="H166" s="640"/>
      <c r="I166" s="645"/>
      <c r="J166" s="667"/>
    </row>
    <row r="167" spans="1:10" s="105" customFormat="1" ht="28.5" hidden="1">
      <c r="A167" s="799"/>
      <c r="B167" s="799"/>
      <c r="C167" s="571"/>
      <c r="D167" s="629" t="s">
        <v>180</v>
      </c>
      <c r="E167" s="155"/>
      <c r="F167" s="645"/>
      <c r="G167" s="733"/>
      <c r="H167" s="640"/>
      <c r="I167" s="645"/>
      <c r="J167" s="667"/>
    </row>
    <row r="168" spans="1:10" s="105" customFormat="1" ht="28.5" hidden="1">
      <c r="A168" s="799"/>
      <c r="B168" s="799"/>
      <c r="C168" s="571"/>
      <c r="D168" s="629" t="s">
        <v>180</v>
      </c>
      <c r="E168" s="155"/>
      <c r="F168" s="645"/>
      <c r="G168" s="733"/>
      <c r="H168" s="640"/>
      <c r="I168" s="645"/>
      <c r="J168" s="667"/>
    </row>
    <row r="169" spans="1:10" s="105" customFormat="1" ht="28.5">
      <c r="A169" s="94"/>
      <c r="D169" s="94"/>
      <c r="E169" s="413"/>
      <c r="F169" s="713"/>
      <c r="G169" s="714"/>
      <c r="H169" s="715"/>
      <c r="I169" s="713"/>
      <c r="J169" s="715"/>
    </row>
    <row r="170" spans="1:10" s="105" customFormat="1" ht="28.5">
      <c r="A170" s="94"/>
      <c r="D170" s="94"/>
      <c r="E170" s="413"/>
      <c r="F170" s="713"/>
      <c r="G170" s="714"/>
      <c r="H170" s="715"/>
      <c r="I170" s="713"/>
      <c r="J170" s="715"/>
    </row>
    <row r="171" spans="1:10" s="105" customFormat="1" ht="23.25">
      <c r="A171" s="800" t="s">
        <v>330</v>
      </c>
      <c r="B171" s="801"/>
      <c r="C171" s="801"/>
      <c r="D171" s="801"/>
      <c r="E171" s="801"/>
      <c r="F171" s="801"/>
      <c r="G171" s="801"/>
      <c r="H171" s="801"/>
      <c r="I171" s="801"/>
      <c r="J171" s="802"/>
    </row>
    <row r="172" spans="1:10" s="105" customFormat="1" ht="28.5">
      <c r="A172" s="796"/>
      <c r="B172" s="797"/>
      <c r="C172" s="605"/>
      <c r="D172" s="557"/>
      <c r="E172" s="155"/>
      <c r="F172" s="645"/>
      <c r="G172" s="702"/>
      <c r="H172" s="667"/>
      <c r="I172" s="645"/>
      <c r="J172" s="735">
        <f>H172/DAY(B2)</f>
        <v>0</v>
      </c>
    </row>
    <row r="173" spans="1:10" s="105" customFormat="1" ht="28.5">
      <c r="A173" s="790" t="s">
        <v>209</v>
      </c>
      <c r="B173" s="791"/>
      <c r="C173" s="558"/>
      <c r="D173" s="557" t="s">
        <v>142</v>
      </c>
      <c r="E173" s="424">
        <v>8612</v>
      </c>
      <c r="F173" s="645">
        <v>8612</v>
      </c>
      <c r="G173" s="702">
        <f>F173-E173</f>
        <v>0</v>
      </c>
      <c r="H173" s="640">
        <f t="shared" ref="H173:H189" si="31">G173</f>
        <v>0</v>
      </c>
      <c r="I173" s="645"/>
      <c r="J173" s="735">
        <f>H173/DAY(B2)</f>
        <v>0</v>
      </c>
    </row>
    <row r="174" spans="1:10" s="105" customFormat="1" ht="28.5">
      <c r="A174" s="790" t="s">
        <v>75</v>
      </c>
      <c r="B174" s="791"/>
      <c r="C174" s="558"/>
      <c r="D174" s="557" t="s">
        <v>142</v>
      </c>
      <c r="E174" s="157">
        <v>43414</v>
      </c>
      <c r="F174" s="639">
        <v>43425</v>
      </c>
      <c r="G174" s="702">
        <f t="shared" ref="G174:G175" si="32">F174-E174</f>
        <v>11</v>
      </c>
      <c r="H174" s="640">
        <f t="shared" si="31"/>
        <v>11</v>
      </c>
      <c r="I174" s="645"/>
      <c r="J174" s="735">
        <f>H174/DAY(B2)</f>
        <v>11</v>
      </c>
    </row>
    <row r="175" spans="1:10" s="105" customFormat="1" ht="28.5">
      <c r="A175" s="790" t="s">
        <v>76</v>
      </c>
      <c r="B175" s="803"/>
      <c r="C175" s="791"/>
      <c r="D175" s="557" t="s">
        <v>142</v>
      </c>
      <c r="E175" s="155">
        <v>26287</v>
      </c>
      <c r="F175" s="645">
        <v>26301</v>
      </c>
      <c r="G175" s="702">
        <f t="shared" si="32"/>
        <v>14</v>
      </c>
      <c r="H175" s="640">
        <f t="shared" si="31"/>
        <v>14</v>
      </c>
      <c r="I175" s="645"/>
      <c r="J175" s="735"/>
    </row>
    <row r="176" spans="1:10" s="105" customFormat="1" ht="28.5">
      <c r="A176" s="788" t="s">
        <v>196</v>
      </c>
      <c r="B176" s="789"/>
      <c r="C176" s="558"/>
      <c r="D176" s="557"/>
      <c r="E176" s="155"/>
      <c r="F176" s="645"/>
      <c r="G176" s="702">
        <f>SUM(G173:G175)</f>
        <v>25</v>
      </c>
      <c r="H176" s="640">
        <f t="shared" si="31"/>
        <v>25</v>
      </c>
      <c r="I176" s="645"/>
      <c r="J176" s="735">
        <f>H176/DAY(B2)</f>
        <v>25</v>
      </c>
    </row>
    <row r="177" spans="1:10" s="105" customFormat="1" ht="28.5">
      <c r="A177" s="790" t="s">
        <v>77</v>
      </c>
      <c r="B177" s="791"/>
      <c r="C177" s="558"/>
      <c r="D177" s="557" t="s">
        <v>142</v>
      </c>
      <c r="E177" s="155"/>
      <c r="F177" s="645"/>
      <c r="G177" s="702"/>
      <c r="H177" s="640">
        <f t="shared" si="31"/>
        <v>0</v>
      </c>
      <c r="I177" s="645"/>
      <c r="J177" s="735">
        <f>H177/DAY(B2)</f>
        <v>0</v>
      </c>
    </row>
    <row r="178" spans="1:10" s="105" customFormat="1" ht="28.5">
      <c r="A178" s="790" t="s">
        <v>210</v>
      </c>
      <c r="B178" s="791"/>
      <c r="C178" s="558"/>
      <c r="D178" s="557" t="s">
        <v>142</v>
      </c>
      <c r="E178" s="155">
        <v>110391</v>
      </c>
      <c r="F178" s="645">
        <v>110545</v>
      </c>
      <c r="G178" s="702">
        <f>F178-E178</f>
        <v>154</v>
      </c>
      <c r="H178" s="640">
        <f t="shared" si="31"/>
        <v>154</v>
      </c>
      <c r="I178" s="645"/>
      <c r="J178" s="735">
        <f>H178/DAY(B2)</f>
        <v>154</v>
      </c>
    </row>
    <row r="179" spans="1:10" s="105" customFormat="1" ht="28.5">
      <c r="A179" s="790" t="s">
        <v>211</v>
      </c>
      <c r="B179" s="791"/>
      <c r="C179" s="558"/>
      <c r="D179" s="557" t="s">
        <v>142</v>
      </c>
      <c r="E179" s="157">
        <v>37501</v>
      </c>
      <c r="F179" s="645">
        <v>37501</v>
      </c>
      <c r="G179" s="702">
        <f t="shared" ref="G179:G180" si="33">F179-E179</f>
        <v>0</v>
      </c>
      <c r="H179" s="640">
        <f t="shared" si="31"/>
        <v>0</v>
      </c>
      <c r="I179" s="645"/>
      <c r="J179" s="735">
        <f>H179/DAY(B2)</f>
        <v>0</v>
      </c>
    </row>
    <row r="180" spans="1:10" s="105" customFormat="1" ht="28.5">
      <c r="A180" s="790" t="s">
        <v>212</v>
      </c>
      <c r="B180" s="791"/>
      <c r="C180" s="558"/>
      <c r="D180" s="557" t="s">
        <v>142</v>
      </c>
      <c r="E180" s="157">
        <v>7701</v>
      </c>
      <c r="F180" s="645">
        <v>7708</v>
      </c>
      <c r="G180" s="702">
        <f t="shared" si="33"/>
        <v>7</v>
      </c>
      <c r="H180" s="640">
        <f t="shared" si="31"/>
        <v>7</v>
      </c>
      <c r="I180" s="645"/>
      <c r="J180" s="735">
        <f>H180/DAY(B2)</f>
        <v>7</v>
      </c>
    </row>
    <row r="181" spans="1:10" s="105" customFormat="1" ht="28.5">
      <c r="A181" s="788" t="s">
        <v>108</v>
      </c>
      <c r="B181" s="789"/>
      <c r="C181" s="558"/>
      <c r="D181" s="557"/>
      <c r="E181" s="157"/>
      <c r="F181" s="645"/>
      <c r="G181" s="702">
        <f>SUM(G178:G180)</f>
        <v>161</v>
      </c>
      <c r="H181" s="640">
        <f t="shared" si="31"/>
        <v>161</v>
      </c>
      <c r="I181" s="645"/>
      <c r="J181" s="735">
        <f>H181/DAY(B2)</f>
        <v>161</v>
      </c>
    </row>
    <row r="182" spans="1:10" s="105" customFormat="1" ht="21.95" customHeight="1">
      <c r="A182" s="790" t="s">
        <v>213</v>
      </c>
      <c r="B182" s="791"/>
      <c r="C182" s="558"/>
      <c r="D182" s="557"/>
      <c r="E182" s="155"/>
      <c r="F182" s="645"/>
      <c r="G182" s="702"/>
      <c r="H182" s="640">
        <f t="shared" si="31"/>
        <v>0</v>
      </c>
      <c r="I182" s="645"/>
      <c r="J182" s="735">
        <f>H182/DAY(B2)</f>
        <v>0</v>
      </c>
    </row>
    <row r="183" spans="1:10" s="105" customFormat="1" ht="28.5">
      <c r="A183" s="790" t="s">
        <v>214</v>
      </c>
      <c r="B183" s="791"/>
      <c r="C183" s="558"/>
      <c r="D183" s="557" t="s">
        <v>142</v>
      </c>
      <c r="E183" s="157">
        <v>18692</v>
      </c>
      <c r="F183" s="639">
        <v>18695</v>
      </c>
      <c r="G183" s="736">
        <f>F183-E183</f>
        <v>3</v>
      </c>
      <c r="H183" s="640">
        <f t="shared" si="31"/>
        <v>3</v>
      </c>
      <c r="I183" s="645"/>
      <c r="J183" s="735">
        <f>H183/DAY(B2)</f>
        <v>3</v>
      </c>
    </row>
    <row r="184" spans="1:10" s="105" customFormat="1" ht="28.5">
      <c r="A184" s="790" t="s">
        <v>215</v>
      </c>
      <c r="B184" s="791"/>
      <c r="C184" s="558"/>
      <c r="D184" s="557" t="s">
        <v>142</v>
      </c>
      <c r="E184" s="157">
        <v>13246</v>
      </c>
      <c r="F184" s="639">
        <v>13258</v>
      </c>
      <c r="G184" s="736">
        <f t="shared" ref="G184:G185" si="34">F184-E184</f>
        <v>12</v>
      </c>
      <c r="H184" s="640">
        <f t="shared" si="31"/>
        <v>12</v>
      </c>
      <c r="I184" s="645"/>
      <c r="J184" s="735">
        <f>H184/DAY(B2)</f>
        <v>12</v>
      </c>
    </row>
    <row r="185" spans="1:10" s="105" customFormat="1" ht="28.5">
      <c r="A185" s="790" t="s">
        <v>216</v>
      </c>
      <c r="B185" s="791"/>
      <c r="C185" s="558"/>
      <c r="D185" s="557" t="s">
        <v>142</v>
      </c>
      <c r="E185" s="157"/>
      <c r="F185" s="639"/>
      <c r="G185" s="736">
        <f t="shared" si="34"/>
        <v>0</v>
      </c>
      <c r="H185" s="640">
        <f t="shared" si="31"/>
        <v>0</v>
      </c>
      <c r="I185" s="645"/>
      <c r="J185" s="737">
        <f>H185/DAY(B2)</f>
        <v>0</v>
      </c>
    </row>
    <row r="186" spans="1:10" s="105" customFormat="1" ht="28.5">
      <c r="A186" s="788" t="s">
        <v>196</v>
      </c>
      <c r="B186" s="789"/>
      <c r="C186" s="558"/>
      <c r="D186" s="630"/>
      <c r="E186" s="157"/>
      <c r="F186" s="639"/>
      <c r="G186" s="736">
        <f>SUM(G183:G185)</f>
        <v>15</v>
      </c>
      <c r="H186" s="640">
        <f t="shared" si="31"/>
        <v>15</v>
      </c>
      <c r="I186" s="639"/>
      <c r="J186" s="737">
        <f>H186/DAY(B2)</f>
        <v>15</v>
      </c>
    </row>
    <row r="187" spans="1:10" s="105" customFormat="1" ht="28.5">
      <c r="A187" s="790" t="s">
        <v>217</v>
      </c>
      <c r="B187" s="791"/>
      <c r="C187" s="558"/>
      <c r="D187" s="631" t="s">
        <v>142</v>
      </c>
      <c r="E187" s="159"/>
      <c r="F187" s="731"/>
      <c r="G187" s="736">
        <f>G62+G19</f>
        <v>171</v>
      </c>
      <c r="H187" s="640">
        <f t="shared" si="31"/>
        <v>171</v>
      </c>
      <c r="I187" s="639"/>
      <c r="J187" s="737">
        <f>H187/DAY(B2)</f>
        <v>171</v>
      </c>
    </row>
    <row r="188" spans="1:10" s="105" customFormat="1" ht="28.5">
      <c r="A188" s="790" t="s">
        <v>218</v>
      </c>
      <c r="B188" s="791"/>
      <c r="C188" s="558"/>
      <c r="D188" s="631" t="s">
        <v>142</v>
      </c>
      <c r="E188" s="159"/>
      <c r="F188" s="731"/>
      <c r="G188" s="736">
        <f>G65+G66+G67+G69+G70</f>
        <v>178</v>
      </c>
      <c r="H188" s="640">
        <f t="shared" si="31"/>
        <v>178</v>
      </c>
      <c r="I188" s="639"/>
      <c r="J188" s="690"/>
    </row>
    <row r="189" spans="1:10" s="105" customFormat="1" ht="28.5">
      <c r="A189" s="790" t="s">
        <v>219</v>
      </c>
      <c r="B189" s="791"/>
      <c r="C189" s="558"/>
      <c r="D189" s="631" t="s">
        <v>142</v>
      </c>
      <c r="E189" s="157"/>
      <c r="F189" s="639"/>
      <c r="G189" s="736">
        <f>G181</f>
        <v>161</v>
      </c>
      <c r="H189" s="640">
        <f t="shared" si="31"/>
        <v>161</v>
      </c>
      <c r="I189" s="639"/>
      <c r="J189" s="734">
        <f>H189/DAY(B2)</f>
        <v>161</v>
      </c>
    </row>
    <row r="190" spans="1:10" s="105" customFormat="1" ht="28.5">
      <c r="A190" s="794"/>
      <c r="B190" s="795"/>
      <c r="C190" s="606"/>
      <c r="D190" s="632"/>
      <c r="E190" s="414"/>
      <c r="F190" s="738"/>
      <c r="G190" s="739"/>
      <c r="H190" s="740"/>
      <c r="I190" s="738"/>
      <c r="J190" s="740"/>
    </row>
    <row r="191" spans="1:10" ht="28.5">
      <c r="A191" s="792"/>
      <c r="B191" s="793"/>
    </row>
    <row r="192" spans="1:10" ht="28.5"/>
    <row r="193" ht="28.5"/>
    <row r="194" ht="28.5"/>
    <row r="195" ht="28.5"/>
    <row r="196" ht="28.5"/>
    <row r="197" ht="28.5"/>
    <row r="198" ht="28.5"/>
    <row r="199" ht="28.5"/>
    <row r="200" ht="28.5"/>
    <row r="201" ht="28.5"/>
    <row r="202" ht="28.5"/>
    <row r="203" ht="28.5"/>
    <row r="204" ht="28.5"/>
    <row r="205" ht="28.5"/>
    <row r="206" ht="28.5"/>
    <row r="207" ht="28.5"/>
    <row r="208" ht="28.5"/>
    <row r="209" ht="28.5"/>
    <row r="210" ht="28.5"/>
    <row r="211" ht="28.5"/>
    <row r="212" ht="28.5"/>
    <row r="213" ht="28.5"/>
    <row r="214" ht="28.5"/>
    <row r="215" ht="28.5"/>
    <row r="216" ht="28.5"/>
    <row r="217" ht="28.5"/>
    <row r="218" ht="28.5"/>
    <row r="219" ht="28.5"/>
    <row r="220" ht="28.5"/>
    <row r="221" ht="28.5"/>
    <row r="222" ht="28.5"/>
    <row r="223" ht="28.5"/>
    <row r="224" ht="28.5"/>
    <row r="225" ht="28.5"/>
    <row r="226" ht="28.5"/>
    <row r="227" ht="28.5"/>
    <row r="228" ht="28.5"/>
    <row r="229" ht="28.5"/>
    <row r="230" ht="28.5"/>
    <row r="231" ht="28.5"/>
    <row r="232" ht="28.5"/>
    <row r="233" ht="28.5"/>
    <row r="234" ht="28.5"/>
    <row r="235" ht="28.5"/>
    <row r="236" ht="28.5"/>
    <row r="237" ht="28.5"/>
    <row r="238" ht="28.5"/>
    <row r="239" ht="28.5"/>
    <row r="240" ht="28.5"/>
    <row r="241" ht="28.5"/>
    <row r="242" ht="28.5"/>
    <row r="243" ht="28.5"/>
    <row r="244" ht="28.5"/>
    <row r="245" ht="28.5"/>
    <row r="246" ht="28.5"/>
    <row r="247" ht="28.5"/>
    <row r="248" ht="28.5"/>
    <row r="249" ht="28.5"/>
    <row r="250" ht="28.5"/>
    <row r="251" ht="28.5"/>
    <row r="252" ht="28.5"/>
    <row r="253" ht="28.5"/>
    <row r="254" ht="28.5"/>
    <row r="255" ht="28.5"/>
    <row r="256" ht="28.5"/>
    <row r="257" ht="28.5"/>
    <row r="258" ht="28.5"/>
    <row r="259" ht="28.5"/>
    <row r="260" ht="28.5"/>
    <row r="261" ht="28.5"/>
    <row r="262" ht="28.5"/>
    <row r="263" ht="28.5"/>
    <row r="264" ht="28.5"/>
    <row r="265" ht="28.5"/>
    <row r="266" ht="28.5"/>
    <row r="267" ht="28.5"/>
    <row r="268" ht="28.5"/>
    <row r="269" ht="28.5"/>
    <row r="270" ht="28.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145" zoomScale="55" zoomScaleSheetLayoutView="55" workbookViewId="0">
      <selection activeCell="G71" sqref="G7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23.25">
      <c r="A2" s="191" t="s">
        <v>381</v>
      </c>
      <c r="B2" s="262">
        <v>44928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644863</v>
      </c>
      <c r="F7" s="95">
        <v>666961.21</v>
      </c>
      <c r="G7" s="115">
        <f>F7-E7</f>
        <v>22098.209999999963</v>
      </c>
      <c r="H7" s="99">
        <f>G7+'1'!H7</f>
        <v>44162.209999999963</v>
      </c>
      <c r="I7" s="113">
        <f>'[1]1'!I7</f>
        <v>12000</v>
      </c>
      <c r="J7" s="175">
        <f>H7/DAY(B2)</f>
        <v>22081.104999999981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838476</v>
      </c>
      <c r="F8" s="114">
        <v>860934</v>
      </c>
      <c r="G8" s="115">
        <f>F8-E8</f>
        <v>22458</v>
      </c>
      <c r="H8" s="99">
        <f>G8+'1'!H8</f>
        <v>44824</v>
      </c>
      <c r="I8" s="116">
        <v>12000</v>
      </c>
      <c r="J8" s="175">
        <f>H8/DAY(B2)</f>
        <v>22412</v>
      </c>
      <c r="K8" s="172">
        <v>1715917</v>
      </c>
      <c r="L8" s="76">
        <v>1728480</v>
      </c>
      <c r="M8" s="87">
        <f>L8-K8</f>
        <v>12563</v>
      </c>
      <c r="N8" s="87"/>
      <c r="O8" s="373">
        <f>G8-959</f>
        <v>21499</v>
      </c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4842347</v>
      </c>
      <c r="F9" s="353">
        <v>4857967.9000000004</v>
      </c>
      <c r="G9" s="112">
        <f t="shared" ref="G9:G12" si="0">F9-E9</f>
        <v>15620.900000000373</v>
      </c>
      <c r="H9" s="99">
        <f>G9+'1'!H9</f>
        <v>32868.900000000373</v>
      </c>
      <c r="I9" s="124">
        <f>I8-J8</f>
        <v>-10412</v>
      </c>
      <c r="J9" s="175">
        <f>H9/DAY(B2)</f>
        <v>16434.450000000186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4295043</v>
      </c>
      <c r="F10" s="117">
        <v>4300523.5</v>
      </c>
      <c r="G10" s="112">
        <f t="shared" si="0"/>
        <v>5480.5</v>
      </c>
      <c r="H10" s="99">
        <f>G10+'1'!H10</f>
        <v>9989.5</v>
      </c>
      <c r="I10" s="118"/>
      <c r="J10" s="175">
        <f>H10/DAY(B2)</f>
        <v>4994.75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38700</v>
      </c>
      <c r="F11" s="95">
        <v>38700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40550</v>
      </c>
      <c r="F12" s="117">
        <v>40550</v>
      </c>
      <c r="G12" s="112">
        <f t="shared" si="0"/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21101.400000000373</v>
      </c>
      <c r="H13" s="99">
        <f>G13+'1'!H13</f>
        <v>42858.400000000373</v>
      </c>
      <c r="I13" s="120">
        <f>G7-G13</f>
        <v>996.80999999959022</v>
      </c>
      <c r="J13" s="175">
        <f>H13/DAY(B2)</f>
        <v>21429.200000000186</v>
      </c>
      <c r="K13" s="79"/>
      <c r="L13" s="66"/>
      <c r="N13" s="87"/>
      <c r="O13" s="71"/>
    </row>
    <row r="14" spans="1:16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2289635</v>
      </c>
      <c r="F15" s="352">
        <v>2290718</v>
      </c>
      <c r="G15" s="356">
        <f>(F15-E15)</f>
        <v>1083</v>
      </c>
      <c r="H15" s="99">
        <f>G15+'1'!H15</f>
        <v>2244.285000000149</v>
      </c>
      <c r="I15" s="113">
        <v>800</v>
      </c>
      <c r="J15" s="175">
        <f>H15/DAY(B2)</f>
        <v>1122.1425000000745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-322.14250000007451</v>
      </c>
      <c r="J16" s="176"/>
      <c r="K16" s="79"/>
      <c r="L16" s="66"/>
      <c r="N16" s="87"/>
      <c r="O16" s="71"/>
      <c r="P16" s="71"/>
    </row>
    <row r="17" spans="1:16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04" t="s">
        <v>141</v>
      </c>
      <c r="B18" s="905"/>
      <c r="C18" s="906"/>
      <c r="D18" s="151" t="s">
        <v>142</v>
      </c>
      <c r="E18" s="95">
        <f>'1'!F18</f>
        <v>17</v>
      </c>
      <c r="F18" s="117">
        <v>19</v>
      </c>
      <c r="G18" s="119">
        <f>F18*10</f>
        <v>190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5.5">
      <c r="A19" s="904" t="s">
        <v>69</v>
      </c>
      <c r="B19" s="905"/>
      <c r="C19" s="906"/>
      <c r="D19" s="151" t="s">
        <v>142</v>
      </c>
      <c r="E19" s="95">
        <f>'1'!F19</f>
        <v>171375</v>
      </c>
      <c r="F19" s="353">
        <v>171434</v>
      </c>
      <c r="G19" s="236">
        <f>F19-E19</f>
        <v>59</v>
      </c>
      <c r="H19" s="99">
        <f>G19+'1'!H19</f>
        <v>111</v>
      </c>
      <c r="I19" s="354"/>
      <c r="J19" s="175">
        <f>H19/DAY(B2)</f>
        <v>55.5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249</v>
      </c>
      <c r="H20" s="99">
        <f>G20+'1'!H20</f>
        <v>471</v>
      </c>
      <c r="I20" s="336">
        <f>I18-J20</f>
        <v>-170.5</v>
      </c>
      <c r="J20" s="175">
        <f>H20/DAY(B2)</f>
        <v>235.5</v>
      </c>
      <c r="K20" s="79"/>
      <c r="L20" s="66"/>
      <c r="N20" s="87"/>
      <c r="O20" s="71"/>
    </row>
    <row r="21" spans="1:16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8.5">
      <c r="A27" s="208" t="s">
        <v>5</v>
      </c>
      <c r="B27" s="209"/>
      <c r="C27" s="210"/>
      <c r="D27" s="226" t="s">
        <v>24</v>
      </c>
      <c r="E27" s="135">
        <f>G8</f>
        <v>22458</v>
      </c>
      <c r="F27" s="668">
        <v>10</v>
      </c>
      <c r="G27" s="137">
        <f>E27*F27</f>
        <v>224580</v>
      </c>
      <c r="H27" s="99">
        <f>G27+'1'!H27</f>
        <v>448240</v>
      </c>
      <c r="I27" s="138"/>
      <c r="J27" s="175">
        <f>H27/DAY(B2)</f>
        <v>224120</v>
      </c>
      <c r="K27" s="63"/>
      <c r="L27" s="89"/>
      <c r="N27" s="87"/>
      <c r="O27" s="71"/>
    </row>
    <row r="28" spans="1:16" s="88" customFormat="1" ht="28.5">
      <c r="A28" s="208" t="s">
        <v>152</v>
      </c>
      <c r="B28" s="209"/>
      <c r="C28" s="210"/>
      <c r="D28" s="226" t="s">
        <v>153</v>
      </c>
      <c r="E28" s="139">
        <f>G15</f>
        <v>1083</v>
      </c>
      <c r="F28" s="668">
        <v>66</v>
      </c>
      <c r="G28" s="137">
        <f t="shared" ref="G28:G31" si="2">E28*F28</f>
        <v>71478</v>
      </c>
      <c r="H28" s="99">
        <f>G28+'1'!H28</f>
        <v>148122.81000000983</v>
      </c>
      <c r="I28" s="140"/>
      <c r="J28" s="175">
        <f>H28/DAY(B2)</f>
        <v>74061.405000004917</v>
      </c>
      <c r="K28" s="63"/>
      <c r="L28" s="89"/>
      <c r="N28" s="87"/>
      <c r="O28" s="71"/>
    </row>
    <row r="29" spans="1:16" s="88" customFormat="1" ht="28.5">
      <c r="A29" s="208" t="s">
        <v>154</v>
      </c>
      <c r="B29" s="209"/>
      <c r="C29" s="210"/>
      <c r="D29" s="226" t="s">
        <v>155</v>
      </c>
      <c r="E29" s="141">
        <f>G24</f>
        <v>0</v>
      </c>
      <c r="F29" s="668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8.5">
      <c r="A30" s="208" t="s">
        <v>156</v>
      </c>
      <c r="B30" s="209"/>
      <c r="C30" s="210"/>
      <c r="D30" s="226" t="s">
        <v>157</v>
      </c>
      <c r="E30" s="141">
        <f>G19</f>
        <v>59</v>
      </c>
      <c r="F30" s="668">
        <v>151</v>
      </c>
      <c r="G30" s="137">
        <f t="shared" si="2"/>
        <v>8909</v>
      </c>
      <c r="H30" s="99">
        <f>G30+'1'!H30</f>
        <v>16761</v>
      </c>
      <c r="I30" s="140"/>
      <c r="J30" s="175">
        <f>H30/DAY(B2)</f>
        <v>8380.5</v>
      </c>
      <c r="K30" s="63"/>
      <c r="L30" s="89"/>
      <c r="N30" s="87"/>
      <c r="O30" s="71"/>
    </row>
    <row r="31" spans="1:16" s="88" customFormat="1" ht="28.5">
      <c r="A31" s="208" t="s">
        <v>158</v>
      </c>
      <c r="B31" s="209"/>
      <c r="C31" s="210"/>
      <c r="D31" s="226" t="s">
        <v>142</v>
      </c>
      <c r="E31" s="141">
        <f>G18</f>
        <v>190</v>
      </c>
      <c r="F31" s="668">
        <v>85</v>
      </c>
      <c r="G31" s="137">
        <f t="shared" si="2"/>
        <v>16150</v>
      </c>
      <c r="H31" s="99">
        <f>G31+'1'!H31</f>
        <v>30600</v>
      </c>
      <c r="I31" s="140"/>
      <c r="J31" s="175">
        <f>H31/DAY(B2)</f>
        <v>15300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321117</v>
      </c>
      <c r="H32" s="99">
        <f>G32+'1'!H32</f>
        <v>643723.81000000983</v>
      </c>
      <c r="I32" s="144"/>
      <c r="J32" s="175">
        <f>H32/DAY(B2)</f>
        <v>321861.90500000492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532635</v>
      </c>
      <c r="F35" s="145">
        <v>535158</v>
      </c>
      <c r="G35" s="112">
        <f t="shared" ref="G35:G46" si="3">F35-E35</f>
        <v>2523</v>
      </c>
      <c r="H35" s="99">
        <f>G35+'1'!H35</f>
        <v>5102</v>
      </c>
      <c r="I35" s="95"/>
      <c r="J35" s="175">
        <f>H35/DAY(B2)</f>
        <v>2551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382870</v>
      </c>
      <c r="F36" s="750">
        <v>383879</v>
      </c>
      <c r="G36" s="112">
        <f t="shared" si="3"/>
        <v>1009</v>
      </c>
      <c r="H36" s="99">
        <f>G36+'1'!H36</f>
        <v>2058</v>
      </c>
      <c r="I36" s="95"/>
      <c r="J36" s="175">
        <f>H36/DAY(B2)</f>
        <v>1029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385112</v>
      </c>
      <c r="F37" s="145">
        <v>386556.91</v>
      </c>
      <c r="G37" s="112">
        <f t="shared" si="3"/>
        <v>1444.9099999999744</v>
      </c>
      <c r="H37" s="99">
        <f>G37+'1'!H37</f>
        <v>2937.9099999999744</v>
      </c>
      <c r="I37" s="95"/>
      <c r="J37" s="175">
        <f>H37/DAY(B2)</f>
        <v>1468.9549999999872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879792</v>
      </c>
      <c r="F38" s="108">
        <v>882439.57</v>
      </c>
      <c r="G38" s="112">
        <f t="shared" si="3"/>
        <v>2647.5699999999488</v>
      </c>
      <c r="H38" s="99">
        <f>G38+'1'!H38</f>
        <v>5312.5699999999488</v>
      </c>
      <c r="I38" s="95"/>
      <c r="J38" s="175">
        <f>H38/DAY(B2)</f>
        <v>2656.2849999999744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709085</v>
      </c>
      <c r="F39" s="145">
        <v>711883.19</v>
      </c>
      <c r="G39" s="112">
        <f t="shared" si="3"/>
        <v>2798.1899999999441</v>
      </c>
      <c r="H39" s="99">
        <f>G39+'1'!H39</f>
        <v>5747.1899999999441</v>
      </c>
      <c r="I39" s="95"/>
      <c r="J39" s="175">
        <f>H39/DAY(B2)</f>
        <v>2873.5949999999721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218250</v>
      </c>
      <c r="F40" s="145">
        <v>218794.97</v>
      </c>
      <c r="G40" s="112">
        <f t="shared" si="3"/>
        <v>544.97000000000116</v>
      </c>
      <c r="H40" s="99">
        <f>G40+'1'!H40</f>
        <v>1002.9700000000012</v>
      </c>
      <c r="I40" s="95"/>
      <c r="J40" s="175">
        <f>H40/DAY(B2)</f>
        <v>501.48500000000058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420212.5</v>
      </c>
      <c r="F41" s="145">
        <v>420212.51</v>
      </c>
      <c r="G41" s="112">
        <f t="shared" si="3"/>
        <v>1.0000000009313226E-2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978335</v>
      </c>
      <c r="F42" s="145">
        <v>982309.59</v>
      </c>
      <c r="G42" s="236">
        <f t="shared" si="3"/>
        <v>3974.5899999999674</v>
      </c>
      <c r="H42" s="99">
        <f>G42+'1'!H42</f>
        <v>9246.9599999999627</v>
      </c>
      <c r="I42" s="95"/>
      <c r="J42" s="175">
        <f>H42/DAY(B2)</f>
        <v>4623.4799999999814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422444</v>
      </c>
      <c r="F43" s="145">
        <v>422444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14942.239999999845</v>
      </c>
      <c r="H47" s="99">
        <f>G47+'1'!H47</f>
        <v>31407.599999999831</v>
      </c>
      <c r="I47" s="95"/>
      <c r="J47" s="175">
        <f>H47/DAY(B2)</f>
        <v>15703.799999999916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823488</v>
      </c>
      <c r="F49" s="145">
        <v>824017.71</v>
      </c>
      <c r="G49" s="112">
        <f t="shared" ref="G49:G58" si="4">F49-E49</f>
        <v>529.70999999996275</v>
      </c>
      <c r="H49" s="99">
        <f>G49+'1'!H49</f>
        <v>1105.7099999999627</v>
      </c>
      <c r="I49" s="95"/>
      <c r="J49" s="175">
        <f>H49/DAY(B2)</f>
        <v>552.85499999998137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543228</v>
      </c>
      <c r="F50" s="145">
        <v>544521.39</v>
      </c>
      <c r="G50" s="112">
        <f t="shared" si="4"/>
        <v>1293.390000000014</v>
      </c>
      <c r="H50" s="99">
        <f>G50+'1'!H50</f>
        <v>2547.390000000014</v>
      </c>
      <c r="I50" s="95"/>
      <c r="J50" s="175">
        <f>H50/DAY(B2)</f>
        <v>1273.695000000007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156958.44</v>
      </c>
      <c r="F51" s="145">
        <v>156958.49</v>
      </c>
      <c r="G51" s="112">
        <f t="shared" si="4"/>
        <v>4.9999999988358468E-2</v>
      </c>
      <c r="H51" s="99">
        <f>G51+'1'!H51</f>
        <v>0.48999999999068677</v>
      </c>
      <c r="I51" s="95"/>
      <c r="J51" s="175">
        <f>H51/DAY(B2)</f>
        <v>0.24499999999534339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1457</v>
      </c>
      <c r="F52" s="145">
        <v>1457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630355.03</v>
      </c>
      <c r="F53" s="145">
        <v>630355.03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124514</v>
      </c>
      <c r="F54" s="145">
        <v>124868.1</v>
      </c>
      <c r="G54" s="112">
        <f t="shared" si="4"/>
        <v>354.10000000000582</v>
      </c>
      <c r="H54" s="99">
        <f>G54+'1'!H54</f>
        <v>753.88999999999942</v>
      </c>
      <c r="I54" s="95"/>
      <c r="J54" s="175">
        <f>H54/DAY(B2)</f>
        <v>376.94499999999971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594304.75</v>
      </c>
      <c r="F55" s="145">
        <v>594304.75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373120</v>
      </c>
      <c r="F56" s="145">
        <v>373783.59</v>
      </c>
      <c r="G56" s="112">
        <f t="shared" si="4"/>
        <v>663.59000000002561</v>
      </c>
      <c r="H56" s="99">
        <f>G56+'1'!H56</f>
        <v>663.59000000002561</v>
      </c>
      <c r="I56" s="95"/>
      <c r="J56" s="175">
        <f>H56/DAY(B2)</f>
        <v>331.79500000001281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710214</v>
      </c>
      <c r="F57" s="145">
        <v>712697.99</v>
      </c>
      <c r="G57" s="112">
        <f t="shared" si="4"/>
        <v>2483.9899999999907</v>
      </c>
      <c r="H57" s="99">
        <f>G57+'1'!H57</f>
        <v>4999.9899999999907</v>
      </c>
      <c r="I57" s="95"/>
      <c r="J57" s="175">
        <f>H57/DAY(B2)</f>
        <v>2499.9949999999953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94824</v>
      </c>
      <c r="F58" s="145">
        <v>95069.46</v>
      </c>
      <c r="G58" s="112">
        <f t="shared" si="4"/>
        <v>245.4600000000064</v>
      </c>
      <c r="H58" s="99">
        <f>G58+'1'!H58</f>
        <v>499.63999999999942</v>
      </c>
      <c r="I58" s="95"/>
      <c r="J58" s="175">
        <f>H58/DAY(B2)</f>
        <v>249.81999999999971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5570.2899999999936</v>
      </c>
      <c r="H59" s="99">
        <f>G59+'1'!H59</f>
        <v>10570.699999999983</v>
      </c>
      <c r="I59" s="95">
        <f>G7-G60</f>
        <v>1585.680000000124</v>
      </c>
      <c r="J59" s="175">
        <f>H59/DAY(B2)</f>
        <v>5285.3499999999913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20512.529999999839</v>
      </c>
      <c r="H60" s="99">
        <f>G60+'1'!H60</f>
        <v>41978.299999999814</v>
      </c>
      <c r="I60" s="95">
        <f>G13-G60</f>
        <v>588.87000000053376</v>
      </c>
      <c r="J60" s="175">
        <f>H60/DAY(B2)</f>
        <v>20989.149999999907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'1'!F62</f>
        <v>315796</v>
      </c>
      <c r="F62" s="164">
        <v>315925</v>
      </c>
      <c r="G62" s="112">
        <f t="shared" ref="G62:G63" si="5">F62-E62</f>
        <v>129</v>
      </c>
      <c r="H62" s="99">
        <f>G62+'1'!H62</f>
        <v>248</v>
      </c>
      <c r="I62" s="118"/>
      <c r="J62" s="175">
        <f>H62/DAY(B2)</f>
        <v>124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'1'!F63</f>
        <v>252467</v>
      </c>
      <c r="F63" s="122">
        <v>252541</v>
      </c>
      <c r="G63" s="112">
        <f t="shared" si="5"/>
        <v>74</v>
      </c>
      <c r="H63" s="99">
        <f>G63+'1'!H63</f>
        <v>217</v>
      </c>
      <c r="I63" s="118"/>
      <c r="J63" s="175">
        <f>H63/DAY(B2)</f>
        <v>108.5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'1'!F64</f>
        <v>0</v>
      </c>
      <c r="F64" s="122"/>
      <c r="G64" s="112">
        <f>G62+G63</f>
        <v>203</v>
      </c>
      <c r="H64" s="99">
        <f>G64+'1'!H64</f>
        <v>465</v>
      </c>
      <c r="I64" s="118"/>
      <c r="J64" s="175">
        <f>H64/DAY(B2)</f>
        <v>232.5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'1'!F65</f>
        <v>476032</v>
      </c>
      <c r="F65" s="122">
        <v>476174</v>
      </c>
      <c r="G65" s="112">
        <f t="shared" ref="G65:G70" si="6">F65-E65</f>
        <v>142</v>
      </c>
      <c r="H65" s="99">
        <f>G65+'1'!H65</f>
        <v>271</v>
      </c>
      <c r="I65" s="118"/>
      <c r="J65" s="175">
        <f>H65/DAY(B2)</f>
        <v>135.5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114495</v>
      </c>
      <c r="F66" s="122">
        <v>114510</v>
      </c>
      <c r="G66" s="112">
        <f t="shared" si="6"/>
        <v>15</v>
      </c>
      <c r="H66" s="99">
        <f>G66+'1'!H66</f>
        <v>44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117289</v>
      </c>
      <c r="F67" s="164">
        <v>117305</v>
      </c>
      <c r="G67" s="112">
        <f t="shared" si="6"/>
        <v>16</v>
      </c>
      <c r="H67" s="99">
        <f>G67+'1'!H67</f>
        <v>23</v>
      </c>
      <c r="I67" s="118"/>
      <c r="J67" s="175">
        <f>H67/DAY(B2)</f>
        <v>11.5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169965</v>
      </c>
      <c r="F68" s="122">
        <v>169980</v>
      </c>
      <c r="G68" s="112">
        <f t="shared" si="6"/>
        <v>15</v>
      </c>
      <c r="H68" s="99">
        <f>G68+'1'!H68</f>
        <v>30</v>
      </c>
      <c r="I68" s="118"/>
      <c r="J68" s="175">
        <f>H68/DAY(B2)</f>
        <v>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13217</v>
      </c>
      <c r="F69" s="164">
        <v>13223</v>
      </c>
      <c r="G69" s="236">
        <f t="shared" si="6"/>
        <v>6</v>
      </c>
      <c r="H69" s="99">
        <f>G69+'1'!H69</f>
        <v>11</v>
      </c>
      <c r="I69" s="118"/>
      <c r="J69" s="175">
        <f>H69/DAY(B2)</f>
        <v>5.5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11266</v>
      </c>
      <c r="F70" s="122">
        <v>11273</v>
      </c>
      <c r="G70" s="112">
        <f t="shared" si="6"/>
        <v>7</v>
      </c>
      <c r="H70" s="99">
        <f>G70+'1'!H70</f>
        <v>15</v>
      </c>
      <c r="I70" s="118"/>
      <c r="J70" s="175">
        <f>H70/DAY(B2)</f>
        <v>7.5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201</v>
      </c>
      <c r="H71" s="99">
        <f>G71+'1'!H71</f>
        <v>394</v>
      </c>
      <c r="I71" s="154"/>
      <c r="J71" s="175">
        <f>H71/DAY(B2)</f>
        <v>197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'1'!F74</f>
        <v>12632</v>
      </c>
      <c r="F74" s="123">
        <v>12925</v>
      </c>
      <c r="G74" s="112">
        <f t="shared" ref="G74:G78" si="7">F74-E74</f>
        <v>293</v>
      </c>
      <c r="H74" s="99">
        <f>G74+'1'!H74</f>
        <v>663</v>
      </c>
      <c r="I74" s="154"/>
      <c r="J74" s="175">
        <f>H74/DAY(B2)</f>
        <v>331.5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'1'!F76</f>
        <v>210789</v>
      </c>
      <c r="F76" s="123">
        <v>210900</v>
      </c>
      <c r="G76" s="112">
        <f t="shared" si="7"/>
        <v>111</v>
      </c>
      <c r="H76" s="99">
        <f>G76+'1'!H76</f>
        <v>240</v>
      </c>
      <c r="I76" s="154"/>
      <c r="J76" s="175">
        <f>H76/DAY(B2)</f>
        <v>120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'1'!F77</f>
        <v>59812</v>
      </c>
      <c r="F77" s="123">
        <v>59855</v>
      </c>
      <c r="G77" s="112">
        <f t="shared" si="7"/>
        <v>43</v>
      </c>
      <c r="H77" s="99">
        <f>G77+'1'!H77</f>
        <v>94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'1'!F78</f>
        <v>9564</v>
      </c>
      <c r="F78" s="123">
        <v>9564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'1'!F79</f>
        <v>0</v>
      </c>
      <c r="F79" s="123"/>
      <c r="G79" s="112">
        <f>G15-SUM(G74:G78)</f>
        <v>636</v>
      </c>
      <c r="H79" s="99">
        <f>G79+'1'!H79</f>
        <v>1247.285000000149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1083</v>
      </c>
      <c r="H80" s="99">
        <f>G80+'1'!H80</f>
        <v>1083</v>
      </c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1" si="8">F82-E82</f>
        <v>0</v>
      </c>
      <c r="H82" s="99">
        <f>G82+'1'!H82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43546</v>
      </c>
      <c r="F84" s="164">
        <v>43546</v>
      </c>
      <c r="G84" s="112">
        <f t="shared" si="8"/>
        <v>0</v>
      </c>
      <c r="H84" s="99">
        <f>G84+'1'!H84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6237</v>
      </c>
      <c r="F85" s="164">
        <v>6258</v>
      </c>
      <c r="G85" s="112">
        <f t="shared" si="8"/>
        <v>21</v>
      </c>
      <c r="H85" s="99">
        <f>G85+'1'!H85</f>
        <v>45</v>
      </c>
      <c r="I85" s="543"/>
      <c r="J85" s="175">
        <f>H85/DAY(B2)</f>
        <v>22.5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46971</v>
      </c>
      <c r="F86" s="164">
        <v>46971</v>
      </c>
      <c r="G86" s="112">
        <f t="shared" si="8"/>
        <v>0</v>
      </c>
      <c r="H86" s="99">
        <f>G86+'1'!H86</f>
        <v>0</v>
      </c>
      <c r="I86" s="543"/>
      <c r="J86" s="175">
        <f>H86/DAY(B2)</f>
        <v>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37364</v>
      </c>
      <c r="F87" s="164">
        <v>37369</v>
      </c>
      <c r="G87" s="112">
        <f t="shared" si="8"/>
        <v>5</v>
      </c>
      <c r="H87" s="99">
        <f>G87+'1'!H87</f>
        <v>5</v>
      </c>
      <c r="I87" s="543">
        <f>G84+G85+G86+G87</f>
        <v>26</v>
      </c>
      <c r="J87" s="175">
        <f>H87/DAY(B2)</f>
        <v>2.5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405">
        <f>'1'!F88</f>
        <v>24772</v>
      </c>
      <c r="F88" s="164">
        <v>24775.22</v>
      </c>
      <c r="G88" s="236">
        <f t="shared" si="8"/>
        <v>3.2200000000011642</v>
      </c>
      <c r="H88" s="99">
        <f>G88+'1'!H88</f>
        <v>13.220000000001164</v>
      </c>
      <c r="I88" s="543"/>
      <c r="J88" s="175">
        <f>H88/DAY(B2)</f>
        <v>6.6100000000005821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405">
        <f>'1'!F89</f>
        <v>29032.48</v>
      </c>
      <c r="F89" s="164">
        <v>29042.37</v>
      </c>
      <c r="G89" s="236">
        <f t="shared" si="8"/>
        <v>9.8899999999994179</v>
      </c>
      <c r="H89" s="99">
        <f>G89+'1'!H89</f>
        <v>14.369999999998981</v>
      </c>
      <c r="I89" s="543">
        <f>G88+G89</f>
        <v>13.110000000000582</v>
      </c>
      <c r="J89" s="175">
        <f>H89/DAY(B2)</f>
        <v>7.1849999999994907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405">
        <f>'1'!F90</f>
        <v>74455</v>
      </c>
      <c r="F90" s="164">
        <v>74460.75</v>
      </c>
      <c r="G90" s="236">
        <f t="shared" si="8"/>
        <v>5.75</v>
      </c>
      <c r="H90" s="99">
        <f>G90+'1'!H90</f>
        <v>12.75</v>
      </c>
      <c r="I90" s="543">
        <f>G90</f>
        <v>5.75</v>
      </c>
      <c r="J90" s="175">
        <f>H90/DAY(B2)</f>
        <v>6.375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5618.21</v>
      </c>
      <c r="F91" s="122">
        <v>5618.21</v>
      </c>
      <c r="G91" s="112">
        <f t="shared" si="8"/>
        <v>0</v>
      </c>
      <c r="H91" s="99">
        <f>G91+'1'!H91</f>
        <v>0</v>
      </c>
      <c r="I91" s="544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7445.72</v>
      </c>
      <c r="F92" s="122">
        <v>7456</v>
      </c>
      <c r="G92" s="112">
        <f>F92-E92</f>
        <v>10.279999999999745</v>
      </c>
      <c r="H92" s="99">
        <f>G92+'1'!H92</f>
        <v>23.720000000000255</v>
      </c>
      <c r="I92" s="545">
        <f>G91+G92</f>
        <v>10.279999999999745</v>
      </c>
      <c r="J92" s="175">
        <f>H92/DAY(B2)</f>
        <v>11.860000000000127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5536.6999999999534</v>
      </c>
      <c r="H94" s="99">
        <f>G94+'1'!H94</f>
        <v>11207.699999999953</v>
      </c>
      <c r="I94" s="118"/>
      <c r="J94" s="175">
        <f>H94/DAY(B2)</f>
        <v>5603.8499999999767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0.25054970515711283</v>
      </c>
      <c r="H95" s="99">
        <f>G95+'1'!H95</f>
        <v>0.5075747232861918</v>
      </c>
      <c r="I95" s="167"/>
      <c r="J95" s="175">
        <f>H95/DAY(B2)</f>
        <v>0.2537873616430959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4638.1900000000023</v>
      </c>
      <c r="H96" s="99">
        <f>G96+'1'!H96</f>
        <v>9910.5499999999884</v>
      </c>
      <c r="I96" s="118"/>
      <c r="J96" s="175">
        <f>H96/DAY(B2)</f>
        <v>4955.2749999999942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0.20988985080692102</v>
      </c>
      <c r="H97" s="99">
        <f>G97+'1'!H97</f>
        <v>0.44884742876196027</v>
      </c>
      <c r="I97" s="167"/>
      <c r="J97" s="175">
        <f>H97/DAY(B2)</f>
        <v>0.22442371438098013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2798.1899999999441</v>
      </c>
      <c r="H98" s="99">
        <f>G98+'1'!H98</f>
        <v>5747.1899999999441</v>
      </c>
      <c r="I98" s="168"/>
      <c r="J98" s="175">
        <f>H98/DAY(B2)</f>
        <v>2873.5949999999721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0.12662518819397359</v>
      </c>
      <c r="H99" s="99">
        <f>G99+'1'!H99</f>
        <v>0.26028182343690326</v>
      </c>
      <c r="I99" s="168"/>
      <c r="J99" s="175">
        <f>H99/DAY(B2)</f>
        <v>0.13014091171845163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2647.5699999999488</v>
      </c>
      <c r="H100" s="99">
        <f>G100+'1'!H100</f>
        <v>5312.5699999999488</v>
      </c>
      <c r="I100" s="118"/>
      <c r="J100" s="175">
        <f>H100/DAY(B2)</f>
        <v>2656.2849999999744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0.1198092515185598</v>
      </c>
      <c r="H101" s="99">
        <f>G101+'1'!H101</f>
        <v>0.24059424064111237</v>
      </c>
      <c r="I101" s="168"/>
      <c r="J101" s="175">
        <f>H101/DAY(B2)</f>
        <v>0.12029712032055619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2302.390000000014</v>
      </c>
      <c r="H102" s="99">
        <f>G102+'1'!H102</f>
        <v>4605.390000000014</v>
      </c>
      <c r="I102" s="168"/>
      <c r="J102" s="175">
        <f>H102/DAY(B2)</f>
        <v>2302.695000000007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0.10418898182251041</v>
      </c>
      <c r="H103" s="99">
        <f>G103+'1'!H103</f>
        <v>0.20856715441134288</v>
      </c>
      <c r="I103" s="118"/>
      <c r="J103" s="175">
        <f>H103/DAY(B2)</f>
        <v>0.10428357720567144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1444.9599999999627</v>
      </c>
      <c r="H104" s="99">
        <f>G104+'1'!H104</f>
        <v>2938.3999999999651</v>
      </c>
      <c r="I104" s="118"/>
      <c r="J104" s="175">
        <f>H104/DAY(B2)</f>
        <v>1469.1999999999825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6.5388101570216101E-2</v>
      </c>
      <c r="H105" s="99">
        <f>G105+'1'!H105</f>
        <v>0.13307483108435689</v>
      </c>
      <c r="I105" s="187"/>
      <c r="J105" s="188">
        <f>H105/DAY(B2)</f>
        <v>6.6537415542178444E-2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'1'!F112</f>
        <v>19460</v>
      </c>
      <c r="F112" s="237">
        <v>19518.68</v>
      </c>
      <c r="G112" s="112">
        <f t="shared" ref="G112:G123" si="9">F112-E112</f>
        <v>58.680000000000291</v>
      </c>
      <c r="H112" s="99">
        <f>G112+'1'!H112</f>
        <v>121.68000000000029</v>
      </c>
      <c r="I112" s="165"/>
      <c r="J112" s="328">
        <f>H112/DAY(B2)</f>
        <v>60.840000000000146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'1'!F113</f>
        <v>41671</v>
      </c>
      <c r="F113" s="237">
        <v>41810</v>
      </c>
      <c r="G113" s="112">
        <f t="shared" si="9"/>
        <v>139</v>
      </c>
      <c r="H113" s="99">
        <f>G113+'1'!H113</f>
        <v>290.05000000000291</v>
      </c>
      <c r="I113" s="165"/>
      <c r="J113" s="328">
        <f>H113/DAY(B2)</f>
        <v>145.02500000000146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'1'!F114</f>
        <v>61440</v>
      </c>
      <c r="F114" s="237">
        <v>61653.66</v>
      </c>
      <c r="G114" s="112">
        <f t="shared" si="9"/>
        <v>213.66000000000349</v>
      </c>
      <c r="H114" s="99">
        <f>G114+'1'!H114</f>
        <v>435.66000000000349</v>
      </c>
      <c r="I114" s="165"/>
      <c r="J114" s="328">
        <f>H114/DAY(B2)</f>
        <v>217.83000000000175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'1'!F115</f>
        <v>39614</v>
      </c>
      <c r="F115" s="416">
        <v>39762</v>
      </c>
      <c r="G115" s="112">
        <f t="shared" si="9"/>
        <v>148</v>
      </c>
      <c r="H115" s="99">
        <f>G115+'1'!H115</f>
        <v>303</v>
      </c>
      <c r="I115" s="165"/>
      <c r="J115" s="328">
        <f>H115/DAY(B2)</f>
        <v>151.5</v>
      </c>
    </row>
    <row r="116" spans="1:18" ht="29.25" customHeight="1">
      <c r="A116" s="890" t="s">
        <v>96</v>
      </c>
      <c r="B116" s="891"/>
      <c r="C116" s="892"/>
      <c r="D116" s="515" t="s">
        <v>183</v>
      </c>
      <c r="E116" s="95">
        <f>'1'!F116</f>
        <v>148491</v>
      </c>
      <c r="F116" s="416">
        <v>148964</v>
      </c>
      <c r="G116" s="112">
        <f t="shared" si="9"/>
        <v>473</v>
      </c>
      <c r="H116" s="99">
        <f>G116+'1'!H116</f>
        <v>1034</v>
      </c>
      <c r="I116" s="165"/>
      <c r="J116" s="328">
        <f>H116/DAY(B2)</f>
        <v>517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'1'!F117</f>
        <v>92266</v>
      </c>
      <c r="F117" s="416">
        <v>92542</v>
      </c>
      <c r="G117" s="112">
        <f t="shared" si="9"/>
        <v>276</v>
      </c>
      <c r="H117" s="99">
        <f>G117+'1'!H117</f>
        <v>552.60099999999511</v>
      </c>
      <c r="I117" s="165"/>
      <c r="J117" s="328">
        <f>H117/DAY(B2)</f>
        <v>276.30049999999756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'1'!F118</f>
        <v>178210</v>
      </c>
      <c r="F118" s="416">
        <v>178893</v>
      </c>
      <c r="G118" s="112">
        <f t="shared" si="9"/>
        <v>683</v>
      </c>
      <c r="H118" s="99">
        <f>G118+'1'!H118</f>
        <v>1360.4700000000012</v>
      </c>
      <c r="I118" s="165"/>
      <c r="J118" s="328">
        <f>H118/DAY(B2)</f>
        <v>680.23500000000058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'1'!F119</f>
        <v>45230</v>
      </c>
      <c r="F119" s="416">
        <v>45266.94</v>
      </c>
      <c r="G119" s="112">
        <f t="shared" si="9"/>
        <v>36.940000000002328</v>
      </c>
      <c r="H119" s="99">
        <f>G119+'1'!H119</f>
        <v>73.940000000002328</v>
      </c>
      <c r="I119" s="165"/>
      <c r="J119" s="328">
        <f>H119/DAY(B2)</f>
        <v>36.970000000001164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'1'!F120</f>
        <v>120811</v>
      </c>
      <c r="F120" s="237">
        <v>121188.44</v>
      </c>
      <c r="G120" s="112">
        <f t="shared" si="9"/>
        <v>377.44000000000233</v>
      </c>
      <c r="H120" s="99">
        <f>G120+'1'!H120</f>
        <v>744.44000000000233</v>
      </c>
      <c r="I120" s="165"/>
      <c r="J120" s="328">
        <f>H120/DAY(B2)</f>
        <v>372.22000000000116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'1'!F121</f>
        <v>135011</v>
      </c>
      <c r="F121" s="237">
        <v>135449</v>
      </c>
      <c r="G121" s="112">
        <f t="shared" si="9"/>
        <v>438</v>
      </c>
      <c r="H121" s="99">
        <f>G121+'1'!H121</f>
        <v>886</v>
      </c>
      <c r="I121" s="165"/>
      <c r="J121" s="328">
        <f>H121/DAY(B2)</f>
        <v>443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'1'!F122</f>
        <v>91174</v>
      </c>
      <c r="F122" s="237">
        <v>91455</v>
      </c>
      <c r="G122" s="112">
        <f t="shared" si="9"/>
        <v>281</v>
      </c>
      <c r="H122" s="99">
        <f>G122+'1'!H122</f>
        <v>578</v>
      </c>
      <c r="I122" s="165"/>
      <c r="J122" s="328">
        <f>H122/DAY(B2)</f>
        <v>289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'1'!F123</f>
        <v>87894</v>
      </c>
      <c r="F123" s="237">
        <v>88192</v>
      </c>
      <c r="G123" s="112">
        <f t="shared" si="9"/>
        <v>298</v>
      </c>
      <c r="H123" s="99">
        <f>G123+'1'!H123</f>
        <v>613</v>
      </c>
      <c r="I123" s="165"/>
      <c r="J123" s="328">
        <f>H123/DAY(B2)</f>
        <v>306.5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3422.7200000000084</v>
      </c>
      <c r="H125" s="156"/>
      <c r="I125" s="327">
        <f>G125-(G39+G53)</f>
        <v>624.53000000006432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'1'!F128</f>
        <v>207807</v>
      </c>
      <c r="F128" s="165">
        <v>208322</v>
      </c>
      <c r="G128" s="112">
        <f t="shared" ref="G128:G133" si="10">F128-E128</f>
        <v>515</v>
      </c>
      <c r="H128" s="99">
        <f>G128+'1'!H128</f>
        <v>1033</v>
      </c>
      <c r="I128" s="165"/>
      <c r="J128" s="328">
        <f>H128/DAY(B2)</f>
        <v>516.5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835</v>
      </c>
      <c r="F129" s="165">
        <v>938</v>
      </c>
      <c r="G129" s="112">
        <f t="shared" si="10"/>
        <v>103</v>
      </c>
      <c r="H129" s="99">
        <f>G129+'1'!H129</f>
        <v>204</v>
      </c>
      <c r="I129" s="165"/>
      <c r="J129" s="328">
        <f>H129/DAY(B2)</f>
        <v>102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288875</v>
      </c>
      <c r="F130" s="165">
        <v>288995</v>
      </c>
      <c r="G130" s="112">
        <f t="shared" si="10"/>
        <v>120</v>
      </c>
      <c r="H130" s="99">
        <f>G130+'1'!H130</f>
        <v>273</v>
      </c>
      <c r="I130" s="165"/>
      <c r="J130" s="328">
        <f>H130/DAY(B2)</f>
        <v>136.5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405">
        <f>'1'!F131</f>
        <v>84882</v>
      </c>
      <c r="F131" s="158">
        <v>85110</v>
      </c>
      <c r="G131" s="236">
        <f t="shared" si="10"/>
        <v>228</v>
      </c>
      <c r="H131" s="99">
        <f>G131+'1'!H131</f>
        <v>406.16999999999825</v>
      </c>
      <c r="I131" s="165"/>
      <c r="J131" s="328">
        <f>H131/DAY(B2)</f>
        <v>203.08499999999913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'1'!F132</f>
        <v>67770</v>
      </c>
      <c r="F132" s="158">
        <v>68077.39</v>
      </c>
      <c r="G132" s="112">
        <f t="shared" si="10"/>
        <v>307.38999999999942</v>
      </c>
      <c r="H132" s="99">
        <f>G132+'1'!H132</f>
        <v>630.38999999999942</v>
      </c>
      <c r="I132" s="165"/>
      <c r="J132" s="328">
        <f>H132/DAY(B2)</f>
        <v>315.19499999999971</v>
      </c>
    </row>
    <row r="133" spans="1:15" ht="25.5">
      <c r="A133" s="883" t="s">
        <v>342</v>
      </c>
      <c r="B133" s="884"/>
      <c r="C133" s="885"/>
      <c r="D133" s="151" t="s">
        <v>183</v>
      </c>
      <c r="E133" s="95">
        <f>'1'!F133</f>
        <v>950654</v>
      </c>
      <c r="F133" s="158">
        <v>951236</v>
      </c>
      <c r="G133" s="112">
        <f t="shared" si="10"/>
        <v>582</v>
      </c>
      <c r="H133" s="99">
        <f>G133+'1'!H133</f>
        <v>1089</v>
      </c>
      <c r="I133" s="165"/>
      <c r="J133" s="328">
        <f>H133/DAY(B2)</f>
        <v>544.5</v>
      </c>
    </row>
    <row r="134" spans="1:15" ht="25.5">
      <c r="A134" s="883" t="s">
        <v>340</v>
      </c>
      <c r="B134" s="884"/>
      <c r="C134" s="885"/>
      <c r="D134" s="513" t="s">
        <v>183</v>
      </c>
      <c r="E134" s="95">
        <f>'1'!F134</f>
        <v>93496</v>
      </c>
      <c r="F134" s="158">
        <v>93746</v>
      </c>
      <c r="G134" s="112">
        <f>F134-E134</f>
        <v>250</v>
      </c>
      <c r="H134" s="99">
        <f>G134+'1'!H134</f>
        <v>512.5</v>
      </c>
      <c r="I134" s="165"/>
      <c r="J134" s="328">
        <f>H134/DAY(B2)</f>
        <v>256.25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2105.3899999999994</v>
      </c>
      <c r="H135" s="99">
        <f>G135+'1'!H135</f>
        <v>4148.0599999999977</v>
      </c>
      <c r="I135" s="327">
        <f>G135-(G35+G49)</f>
        <v>-947.31999999996333</v>
      </c>
      <c r="J135" s="328">
        <f>H135/DAY(B2)</f>
        <v>2074.0299999999988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513" t="s">
        <v>183</v>
      </c>
      <c r="E138" s="95">
        <f>'1'!F138</f>
        <v>913011</v>
      </c>
      <c r="F138" s="147">
        <v>913139</v>
      </c>
      <c r="G138" s="112">
        <f t="shared" ref="G138:G152" si="11">F138-E138</f>
        <v>128</v>
      </c>
      <c r="H138" s="99">
        <f>G138+'1'!H138</f>
        <v>228</v>
      </c>
      <c r="I138" s="118"/>
      <c r="J138" s="328">
        <f>H138/DAY(B2)</f>
        <v>114</v>
      </c>
    </row>
    <row r="139" spans="1:15" ht="25.5">
      <c r="A139" s="882" t="s">
        <v>186</v>
      </c>
      <c r="B139" s="882"/>
      <c r="C139" s="882"/>
      <c r="D139" s="513" t="s">
        <v>183</v>
      </c>
      <c r="E139" s="95">
        <f>'1'!F139</f>
        <v>937392</v>
      </c>
      <c r="F139" s="148">
        <v>937552</v>
      </c>
      <c r="G139" s="112">
        <f t="shared" si="11"/>
        <v>160</v>
      </c>
      <c r="H139" s="99">
        <f>G139+'1'!H139</f>
        <v>294</v>
      </c>
      <c r="I139" s="118"/>
      <c r="J139" s="328">
        <f>H139/DAY(B2)</f>
        <v>147</v>
      </c>
    </row>
    <row r="140" spans="1:15" ht="25.5">
      <c r="A140" s="882" t="s">
        <v>187</v>
      </c>
      <c r="B140" s="882"/>
      <c r="C140" s="882"/>
      <c r="D140" s="513" t="s">
        <v>183</v>
      </c>
      <c r="E140" s="95">
        <f>'1'!F140</f>
        <v>4797</v>
      </c>
      <c r="F140" s="149">
        <v>4828.1774999999998</v>
      </c>
      <c r="G140" s="112">
        <f t="shared" si="11"/>
        <v>31.177499999999782</v>
      </c>
      <c r="H140" s="99">
        <f>G140+'1'!H140</f>
        <v>64.177499999999782</v>
      </c>
      <c r="I140" s="118"/>
      <c r="J140" s="328">
        <f>H140/DAY(B2)</f>
        <v>32.088749999999891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'1'!F141</f>
        <v>131565</v>
      </c>
      <c r="F141" s="149">
        <v>131787.37</v>
      </c>
      <c r="G141" s="112">
        <f t="shared" si="11"/>
        <v>222.36999999999534</v>
      </c>
      <c r="H141" s="99">
        <f>G141+'1'!H141</f>
        <v>467.36999999999534</v>
      </c>
      <c r="I141" s="118"/>
      <c r="J141" s="328">
        <f>H141/DAY(B2)</f>
        <v>233.68499999999767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'1'!F142</f>
        <v>53300</v>
      </c>
      <c r="F142" s="148">
        <v>53398.9</v>
      </c>
      <c r="G142" s="112">
        <f t="shared" si="11"/>
        <v>98.900000000001455</v>
      </c>
      <c r="H142" s="99">
        <f>G142+'1'!H142</f>
        <v>207.90000000000146</v>
      </c>
      <c r="I142" s="140"/>
      <c r="J142" s="328">
        <f>H142/DAY(B2)</f>
        <v>103.95000000000073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'1'!F143</f>
        <v>14346</v>
      </c>
      <c r="F143" s="148">
        <v>14380</v>
      </c>
      <c r="G143" s="112">
        <f t="shared" si="11"/>
        <v>34</v>
      </c>
      <c r="H143" s="99">
        <f>G143+'1'!H143</f>
        <v>68</v>
      </c>
      <c r="I143" s="140"/>
      <c r="J143" s="328">
        <f>H143/DAY(B2)</f>
        <v>34</v>
      </c>
    </row>
    <row r="144" spans="1:15" ht="25.5">
      <c r="A144" s="865" t="s">
        <v>90</v>
      </c>
      <c r="B144" s="865"/>
      <c r="C144" s="865"/>
      <c r="D144" s="513" t="s">
        <v>183</v>
      </c>
      <c r="E144" s="95">
        <f>'1'!F144</f>
        <v>963601</v>
      </c>
      <c r="F144" s="148">
        <v>963766</v>
      </c>
      <c r="G144" s="112">
        <f t="shared" si="11"/>
        <v>165</v>
      </c>
      <c r="H144" s="99">
        <f>G144+'1'!H144</f>
        <v>540</v>
      </c>
      <c r="I144" s="140"/>
      <c r="J144" s="328">
        <f>H144/DAY(B2)</f>
        <v>270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'1'!F145</f>
        <v>750897</v>
      </c>
      <c r="F145" s="148">
        <v>751155</v>
      </c>
      <c r="G145" s="112">
        <f t="shared" si="11"/>
        <v>258</v>
      </c>
      <c r="H145" s="99">
        <f>G145+'1'!H145</f>
        <v>422</v>
      </c>
      <c r="I145" s="140"/>
      <c r="J145" s="328">
        <f>H145/DAY(B2)</f>
        <v>211</v>
      </c>
    </row>
    <row r="146" spans="1:10" ht="25.5">
      <c r="A146" s="916" t="s">
        <v>191</v>
      </c>
      <c r="B146" s="902"/>
      <c r="C146" s="903"/>
      <c r="D146" s="513" t="s">
        <v>183</v>
      </c>
      <c r="E146" s="95">
        <f>'1'!F146</f>
        <v>789067</v>
      </c>
      <c r="F146" s="148">
        <v>789104</v>
      </c>
      <c r="G146" s="112">
        <f t="shared" si="11"/>
        <v>37</v>
      </c>
      <c r="H146" s="99">
        <f>G146+'1'!H146</f>
        <v>79</v>
      </c>
      <c r="I146" s="140"/>
      <c r="J146" s="328">
        <f>H146/DAY(B2)</f>
        <v>39.5</v>
      </c>
    </row>
    <row r="147" spans="1:10" ht="25.5">
      <c r="A147" s="865" t="s">
        <v>192</v>
      </c>
      <c r="B147" s="865"/>
      <c r="C147" s="865"/>
      <c r="D147" s="513" t="s">
        <v>183</v>
      </c>
      <c r="E147" s="95">
        <f>'1'!F147</f>
        <v>772045</v>
      </c>
      <c r="F147" s="148">
        <v>772422.64</v>
      </c>
      <c r="G147" s="112">
        <f t="shared" si="11"/>
        <v>377.64000000001397</v>
      </c>
      <c r="H147" s="99">
        <f>G147+'1'!H147</f>
        <v>765.76000000000931</v>
      </c>
      <c r="I147" s="140"/>
      <c r="J147" s="328">
        <f>H147/DAY(B2)</f>
        <v>382.88000000000466</v>
      </c>
    </row>
    <row r="148" spans="1:10" ht="25.5">
      <c r="A148" s="866" t="s">
        <v>193</v>
      </c>
      <c r="B148" s="867"/>
      <c r="C148" s="868"/>
      <c r="D148" s="514" t="s">
        <v>130</v>
      </c>
      <c r="E148" s="95">
        <f>'1'!F148</f>
        <v>807186</v>
      </c>
      <c r="F148" s="164">
        <v>807572.08</v>
      </c>
      <c r="G148" s="112">
        <f t="shared" si="11"/>
        <v>386.07999999995809</v>
      </c>
      <c r="H148" s="99">
        <f>G148+'1'!H148</f>
        <v>751.8399999999674</v>
      </c>
      <c r="I148" s="124"/>
      <c r="J148" s="328">
        <f>H148/DAY(B2)</f>
        <v>375.9199999999837</v>
      </c>
    </row>
    <row r="149" spans="1:10" ht="25.5">
      <c r="A149" s="866" t="s">
        <v>336</v>
      </c>
      <c r="B149" s="867"/>
      <c r="C149" s="868"/>
      <c r="D149" s="515" t="s">
        <v>130</v>
      </c>
      <c r="E149" s="95">
        <f>'1'!F149</f>
        <v>217460</v>
      </c>
      <c r="F149" s="146">
        <v>218009</v>
      </c>
      <c r="G149" s="112">
        <f t="shared" si="11"/>
        <v>549</v>
      </c>
      <c r="H149" s="99">
        <f>G149+'1'!H149</f>
        <v>1113</v>
      </c>
      <c r="I149" s="119"/>
      <c r="J149" s="328">
        <f>H149/DAY(B2)</f>
        <v>556.5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'1'!F150</f>
        <v>95102</v>
      </c>
      <c r="F150" s="233">
        <v>95214</v>
      </c>
      <c r="G150" s="112">
        <f t="shared" si="11"/>
        <v>112</v>
      </c>
      <c r="H150" s="99">
        <f>G150+'1'!H150</f>
        <v>236</v>
      </c>
      <c r="I150" s="119"/>
      <c r="J150" s="328">
        <f>H150/DAY(B2)</f>
        <v>118</v>
      </c>
    </row>
    <row r="151" spans="1:10" ht="25.5">
      <c r="A151" s="866" t="s">
        <v>338</v>
      </c>
      <c r="B151" s="867"/>
      <c r="C151" s="868"/>
      <c r="D151" s="514" t="s">
        <v>130</v>
      </c>
      <c r="E151" s="95">
        <f>'1'!F151</f>
        <v>176476</v>
      </c>
      <c r="F151" s="233">
        <v>176780</v>
      </c>
      <c r="G151" s="112">
        <f t="shared" si="11"/>
        <v>304</v>
      </c>
      <c r="H151" s="99">
        <f>G151+'1'!H151</f>
        <v>605</v>
      </c>
      <c r="I151" s="119"/>
      <c r="J151" s="328">
        <f>H151/DAY(B2)</f>
        <v>302.5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'1'!F152</f>
        <v>46768</v>
      </c>
      <c r="F152" s="233">
        <v>46895</v>
      </c>
      <c r="G152" s="112">
        <f t="shared" si="11"/>
        <v>127</v>
      </c>
      <c r="H152" s="99">
        <f>G152+'1'!H152</f>
        <v>263</v>
      </c>
      <c r="I152" s="119"/>
      <c r="J152" s="328">
        <f>H152/DAY(B2)</f>
        <v>131.5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2990.1674999999686</v>
      </c>
      <c r="H153" s="363"/>
      <c r="I153" s="119">
        <f>G153-(G38+G52)</f>
        <v>342.59750000001986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516" t="s">
        <v>130</v>
      </c>
      <c r="E155" s="95">
        <f>'1'!F155</f>
        <v>256922</v>
      </c>
      <c r="F155" s="421">
        <v>257500</v>
      </c>
      <c r="G155" s="112">
        <f t="shared" ref="G155:G158" si="12">F155-E155</f>
        <v>578</v>
      </c>
      <c r="H155" s="99">
        <f>G155+'1'!H155</f>
        <v>1148</v>
      </c>
      <c r="I155" s="364"/>
      <c r="J155" s="328">
        <f>H155/DAY(B2)</f>
        <v>574</v>
      </c>
    </row>
    <row r="156" spans="1:10" ht="25.5">
      <c r="A156" s="865" t="s">
        <v>347</v>
      </c>
      <c r="B156" s="865"/>
      <c r="C156" s="865"/>
      <c r="D156" s="516" t="s">
        <v>130</v>
      </c>
      <c r="E156" s="95">
        <f>'1'!F156</f>
        <v>32658</v>
      </c>
      <c r="F156" s="155">
        <v>32739</v>
      </c>
      <c r="G156" s="112">
        <f t="shared" si="12"/>
        <v>81</v>
      </c>
      <c r="H156" s="99">
        <f>G156+'1'!H156</f>
        <v>180</v>
      </c>
      <c r="I156" s="165"/>
      <c r="J156" s="328">
        <f>H156/DAY(B2)</f>
        <v>90</v>
      </c>
    </row>
    <row r="157" spans="1:10" ht="25.5">
      <c r="A157" s="866" t="s">
        <v>359</v>
      </c>
      <c r="B157" s="867"/>
      <c r="C157" s="868"/>
      <c r="D157" s="516" t="s">
        <v>130</v>
      </c>
      <c r="E157" s="95">
        <f>'1'!F157</f>
        <v>37559</v>
      </c>
      <c r="F157" s="155">
        <v>37559</v>
      </c>
      <c r="G157" s="112">
        <f t="shared" si="12"/>
        <v>0</v>
      </c>
      <c r="H157" s="99">
        <f>G157+'1'!H157</f>
        <v>0</v>
      </c>
      <c r="I157" s="165"/>
      <c r="J157" s="328"/>
    </row>
    <row r="158" spans="1:10" ht="25.5">
      <c r="A158" s="866" t="s">
        <v>360</v>
      </c>
      <c r="B158" s="867"/>
      <c r="C158" s="868"/>
      <c r="D158" s="117" t="s">
        <v>130</v>
      </c>
      <c r="E158" s="95">
        <f>'1'!F158</f>
        <v>1783</v>
      </c>
      <c r="F158" s="155">
        <v>1783</v>
      </c>
      <c r="G158" s="112">
        <f t="shared" si="12"/>
        <v>0</v>
      </c>
      <c r="H158" s="99">
        <f>G158+'1'!H158</f>
        <v>0</v>
      </c>
      <c r="I158" s="165"/>
      <c r="J158" s="328"/>
    </row>
    <row r="159" spans="1:10" ht="25.5">
      <c r="A159" s="866"/>
      <c r="B159" s="867"/>
      <c r="C159" s="86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512622</v>
      </c>
      <c r="F161" s="235">
        <v>512858</v>
      </c>
      <c r="G161" s="238">
        <f t="shared" ref="G161:G165" si="13">F161-E161</f>
        <v>236</v>
      </c>
      <c r="H161" s="99">
        <f>G161+'1'!H161</f>
        <v>413</v>
      </c>
      <c r="I161" s="236"/>
      <c r="J161" s="239">
        <f>H161/DAY(B2)</f>
        <v>206.5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1827</v>
      </c>
      <c r="F162" s="235">
        <v>1867</v>
      </c>
      <c r="G162" s="238">
        <f t="shared" si="13"/>
        <v>40</v>
      </c>
      <c r="H162" s="99">
        <f>G162+'1'!H162</f>
        <v>80</v>
      </c>
      <c r="I162" s="236"/>
      <c r="J162" s="239">
        <f>H162/DAY(B2)</f>
        <v>40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0</v>
      </c>
      <c r="F163" s="235">
        <v>0</v>
      </c>
      <c r="G163" s="238">
        <f t="shared" si="13"/>
        <v>0</v>
      </c>
      <c r="H163" s="99">
        <f>G163+'1'!H163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7340</v>
      </c>
      <c r="F164" s="235">
        <v>7346.5</v>
      </c>
      <c r="G164" s="238">
        <f t="shared" si="13"/>
        <v>6.5</v>
      </c>
      <c r="H164" s="99">
        <f>G164+'1'!H164</f>
        <v>9.5</v>
      </c>
      <c r="I164" s="236"/>
      <c r="J164" s="239">
        <f>H164/DAY(B2)</f>
        <v>4.75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32981</v>
      </c>
      <c r="F165" s="235">
        <v>32988.65</v>
      </c>
      <c r="G165" s="238">
        <f t="shared" si="13"/>
        <v>7.6500000000014552</v>
      </c>
      <c r="H165" s="99">
        <f>G165+'1'!H165</f>
        <v>14.130000000004657</v>
      </c>
      <c r="I165" s="236"/>
      <c r="J165" s="239">
        <f>H165/DAY(B2)</f>
        <v>7.0650000000023283</v>
      </c>
    </row>
    <row r="166" spans="1:14" ht="29.25" customHeight="1">
      <c r="A166" s="872"/>
      <c r="B166" s="872"/>
      <c r="C166" s="246"/>
      <c r="D166" s="244" t="s">
        <v>180</v>
      </c>
      <c r="E166" s="95"/>
      <c r="F166" s="165"/>
      <c r="G166" s="165"/>
      <c r="H166" s="99">
        <f>G166+'1'!H166</f>
        <v>0</v>
      </c>
      <c r="I166" s="165"/>
      <c r="J166" s="327"/>
    </row>
    <row r="167" spans="1:14" ht="26.25">
      <c r="A167" s="872"/>
      <c r="B167" s="872"/>
      <c r="C167" s="246"/>
      <c r="D167" s="244" t="s">
        <v>180</v>
      </c>
      <c r="E167" s="95"/>
      <c r="F167" s="165"/>
      <c r="G167" s="165"/>
      <c r="H167" s="99">
        <f>G167+'1'!H167</f>
        <v>0</v>
      </c>
      <c r="I167" s="165"/>
      <c r="J167" s="327"/>
    </row>
    <row r="168" spans="1:14" ht="26.25">
      <c r="A168" s="872"/>
      <c r="B168" s="872"/>
      <c r="C168" s="246"/>
      <c r="D168" s="244" t="s">
        <v>180</v>
      </c>
      <c r="E168" s="95"/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4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790" t="s">
        <v>209</v>
      </c>
      <c r="B173" s="791"/>
      <c r="C173" s="333"/>
      <c r="D173" s="228" t="s">
        <v>142</v>
      </c>
      <c r="E173" s="95">
        <f>'1'!F173</f>
        <v>8612</v>
      </c>
      <c r="F173" s="155">
        <v>8614</v>
      </c>
      <c r="G173" s="155">
        <f>F173-E173</f>
        <v>2</v>
      </c>
      <c r="H173" s="99">
        <f>G173+'1'!H173</f>
        <v>2</v>
      </c>
      <c r="I173" s="155"/>
      <c r="J173" s="178">
        <f>H173/DAY(B2)</f>
        <v>1</v>
      </c>
    </row>
    <row r="174" spans="1:14" ht="25.5">
      <c r="A174" s="790" t="s">
        <v>75</v>
      </c>
      <c r="B174" s="791"/>
      <c r="C174" s="333"/>
      <c r="D174" s="228" t="s">
        <v>142</v>
      </c>
      <c r="E174" s="95">
        <f>'1'!F174</f>
        <v>43425</v>
      </c>
      <c r="F174" s="157">
        <v>43434</v>
      </c>
      <c r="G174" s="155">
        <f t="shared" ref="G174:G175" si="14">F174-E174</f>
        <v>9</v>
      </c>
      <c r="H174" s="99">
        <f>G174+'1'!H174</f>
        <v>20</v>
      </c>
      <c r="I174" s="155"/>
      <c r="J174" s="178">
        <f>H174/DAY(B2)</f>
        <v>10</v>
      </c>
    </row>
    <row r="175" spans="1:14" ht="25.5">
      <c r="A175" s="790" t="s">
        <v>76</v>
      </c>
      <c r="B175" s="803"/>
      <c r="C175" s="791"/>
      <c r="D175" s="228" t="s">
        <v>142</v>
      </c>
      <c r="E175" s="95">
        <f>'1'!F175</f>
        <v>26301</v>
      </c>
      <c r="F175" s="155">
        <v>26313</v>
      </c>
      <c r="G175" s="155">
        <f t="shared" si="14"/>
        <v>12</v>
      </c>
      <c r="H175" s="99">
        <f>G175+'1'!H175</f>
        <v>26</v>
      </c>
      <c r="I175" s="155"/>
      <c r="J175" s="178">
        <f>H175/DAY(B2)</f>
        <v>13</v>
      </c>
      <c r="N175" s="469"/>
    </row>
    <row r="176" spans="1:14" ht="25.5">
      <c r="A176" s="788" t="s">
        <v>196</v>
      </c>
      <c r="B176" s="789"/>
      <c r="C176" s="400"/>
      <c r="D176" s="228"/>
      <c r="E176" s="95"/>
      <c r="F176" s="155"/>
      <c r="G176" s="155">
        <f>SUM(G173:G175)</f>
        <v>23</v>
      </c>
      <c r="H176" s="99">
        <f>G176+'1'!H176</f>
        <v>48</v>
      </c>
      <c r="I176" s="155"/>
      <c r="J176" s="178">
        <f>H176/DAY(B2)</f>
        <v>24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790" t="s">
        <v>210</v>
      </c>
      <c r="B178" s="791"/>
      <c r="C178" s="333"/>
      <c r="D178" s="228" t="s">
        <v>142</v>
      </c>
      <c r="E178" s="95">
        <f>'1'!F178</f>
        <v>110545</v>
      </c>
      <c r="F178" s="157">
        <v>110661</v>
      </c>
      <c r="G178" s="155">
        <f>F178-E178</f>
        <v>116</v>
      </c>
      <c r="H178" s="99">
        <f>G178+'1'!H178</f>
        <v>270</v>
      </c>
      <c r="I178" s="155"/>
      <c r="J178" s="178">
        <f>H178/DAY(B2)</f>
        <v>135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'1'!F179</f>
        <v>37501</v>
      </c>
      <c r="F179" s="155">
        <v>37501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'1'!F180</f>
        <v>7708</v>
      </c>
      <c r="F180" s="155">
        <v>7711</v>
      </c>
      <c r="G180" s="155">
        <f t="shared" si="15"/>
        <v>3</v>
      </c>
      <c r="H180" s="99">
        <f>G180+'1'!H180</f>
        <v>10</v>
      </c>
      <c r="I180" s="155"/>
      <c r="J180" s="178">
        <f>H180/DAY(B2)</f>
        <v>5</v>
      </c>
    </row>
    <row r="181" spans="1:10" ht="25.5">
      <c r="A181" s="878" t="s">
        <v>108</v>
      </c>
      <c r="B181" s="879"/>
      <c r="C181" s="400"/>
      <c r="D181" s="228"/>
      <c r="E181" s="95"/>
      <c r="F181" s="155"/>
      <c r="G181" s="155">
        <f>SUM(G178:G180)</f>
        <v>119</v>
      </c>
      <c r="H181" s="99">
        <f>G181+'1'!H181</f>
        <v>280</v>
      </c>
      <c r="I181" s="155"/>
      <c r="J181" s="178">
        <f>H181/DAY(B2)</f>
        <v>140</v>
      </c>
    </row>
    <row r="182" spans="1:10" ht="31.5" customHeight="1">
      <c r="A182" s="790" t="s">
        <v>213</v>
      </c>
      <c r="B182" s="791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790" t="s">
        <v>214</v>
      </c>
      <c r="B183" s="791"/>
      <c r="C183" s="334"/>
      <c r="D183" s="228" t="s">
        <v>142</v>
      </c>
      <c r="E183" s="95">
        <f>'1'!F183</f>
        <v>18695</v>
      </c>
      <c r="F183" s="157">
        <v>18704</v>
      </c>
      <c r="G183" s="157">
        <f>F183-E183</f>
        <v>9</v>
      </c>
      <c r="H183" s="99">
        <f>G183+'1'!H183</f>
        <v>12</v>
      </c>
      <c r="I183" s="155"/>
      <c r="J183" s="178">
        <f>H183/DAY(B2)</f>
        <v>6</v>
      </c>
    </row>
    <row r="184" spans="1:10" ht="27.75" customHeight="1">
      <c r="A184" s="790" t="s">
        <v>215</v>
      </c>
      <c r="B184" s="791"/>
      <c r="C184" s="334"/>
      <c r="D184" s="228" t="s">
        <v>142</v>
      </c>
      <c r="E184" s="95">
        <f>'1'!F184</f>
        <v>13258</v>
      </c>
      <c r="F184" s="157">
        <v>13265</v>
      </c>
      <c r="G184" s="157">
        <f t="shared" ref="G184:G185" si="16">F184-E184</f>
        <v>7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>
      <c r="A185" s="790" t="s">
        <v>216</v>
      </c>
      <c r="B185" s="791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788" t="s">
        <v>196</v>
      </c>
      <c r="B186" s="789"/>
      <c r="C186" s="399"/>
      <c r="D186" s="229"/>
      <c r="E186" s="95"/>
      <c r="F186" s="157"/>
      <c r="G186" s="157">
        <f>SUM(G183:G185)</f>
        <v>16</v>
      </c>
      <c r="H186" s="99">
        <f>G186+'1'!H186</f>
        <v>31</v>
      </c>
      <c r="I186" s="157"/>
      <c r="J186" s="178">
        <f>H186/DAY(B2)</f>
        <v>15.5</v>
      </c>
    </row>
    <row r="187" spans="1:10" ht="28.5" customHeight="1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188</v>
      </c>
      <c r="H187" s="99">
        <f>G187+'1'!H187</f>
        <v>359</v>
      </c>
      <c r="I187" s="158"/>
      <c r="J187" s="179">
        <f>H187/DAY(B2)</f>
        <v>179.5</v>
      </c>
    </row>
    <row r="188" spans="1:10" ht="24" customHeight="1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186</v>
      </c>
      <c r="H188" s="99">
        <f>G188+'1'!H188</f>
        <v>364</v>
      </c>
      <c r="I188" s="158"/>
      <c r="J188" s="179">
        <f>H188/DAY(B2)</f>
        <v>182</v>
      </c>
    </row>
    <row r="189" spans="1:10" ht="24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119</v>
      </c>
      <c r="H189" s="99">
        <f>G189+'1'!H189</f>
        <v>280</v>
      </c>
      <c r="I189" s="158"/>
      <c r="J189" s="179">
        <f>H189/DAY(B2)</f>
        <v>140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spans="8:8" ht="26.25"/>
    <row r="194" spans="8:8" ht="26.25"/>
    <row r="195" spans="8:8" ht="26.25"/>
    <row r="196" spans="8:8" ht="26.25"/>
    <row r="197" spans="8:8" ht="26.25">
      <c r="H197" s="161">
        <f>218476.89+166486.57</f>
        <v>384963.46</v>
      </c>
    </row>
    <row r="198" spans="8:8" ht="26.25"/>
    <row r="199" spans="8:8" ht="26.25"/>
    <row r="200" spans="8:8" ht="26.25"/>
    <row r="201" spans="8:8" ht="26.25"/>
    <row r="202" spans="8:8" ht="26.25"/>
    <row r="203" spans="8:8" ht="26.25"/>
    <row r="204" spans="8:8" ht="26.25"/>
    <row r="205" spans="8:8" ht="26.25"/>
    <row r="206" spans="8:8" ht="26.25"/>
    <row r="207" spans="8:8" ht="26.25"/>
    <row r="208" spans="8: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54" zoomScale="60" workbookViewId="0">
      <selection activeCell="F70" sqref="F7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23.25">
      <c r="A2" s="191" t="s">
        <v>372</v>
      </c>
      <c r="B2" s="375">
        <v>44929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666961.21</v>
      </c>
      <c r="F7" s="95">
        <v>689927</v>
      </c>
      <c r="G7" s="112">
        <f>F7-E7</f>
        <v>22965.790000000037</v>
      </c>
      <c r="H7" s="99">
        <f>G7+'2'!H7</f>
        <v>67128</v>
      </c>
      <c r="I7" s="113">
        <f>'1'!I7</f>
        <v>12000</v>
      </c>
      <c r="J7" s="175">
        <f>H7/DAY(B2)</f>
        <v>22376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860934</v>
      </c>
      <c r="F8" s="114">
        <v>884483.31</v>
      </c>
      <c r="G8" s="115">
        <f>F8-E8</f>
        <v>23549.310000000056</v>
      </c>
      <c r="H8" s="99">
        <f>G8+'2'!H8</f>
        <v>68373.310000000056</v>
      </c>
      <c r="I8" s="116"/>
      <c r="J8" s="175">
        <f>H8/DAY(B2)</f>
        <v>22791.103333333351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4857967.9000000004</v>
      </c>
      <c r="F9" s="117">
        <v>4870214.0999999996</v>
      </c>
      <c r="G9" s="112">
        <f>F9-E9</f>
        <v>12246.199999999255</v>
      </c>
      <c r="H9" s="99">
        <f>G9+'2'!H9</f>
        <v>45115.099999999627</v>
      </c>
      <c r="I9" s="124">
        <f>I7-J7</f>
        <v>-10376</v>
      </c>
      <c r="J9" s="175">
        <f>H9/DAY(B2)</f>
        <v>15038.366666666543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4300523.5</v>
      </c>
      <c r="F10" s="117">
        <v>4310809</v>
      </c>
      <c r="G10" s="112">
        <f t="shared" ref="G10:G12" si="0">F10-E10</f>
        <v>10285.5</v>
      </c>
      <c r="H10" s="99">
        <f>G10+'2'!H10</f>
        <v>20275</v>
      </c>
      <c r="I10" s="282"/>
      <c r="J10" s="175">
        <f>H10/DAY(B2)</f>
        <v>6758.333333333333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38700</v>
      </c>
      <c r="F11" s="95">
        <v>38700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40550</v>
      </c>
      <c r="F12" s="117">
        <v>40550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>
        <f>G13-G7</f>
        <v>-434.09000000078231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22531.699999999255</v>
      </c>
      <c r="H13" s="99">
        <f>G13+'2'!H13</f>
        <v>65390.099999999627</v>
      </c>
      <c r="I13" s="120">
        <f>G7-G13</f>
        <v>434.09000000078231</v>
      </c>
      <c r="J13" s="175">
        <f>H13/DAY(B2)</f>
        <v>21796.699999999877</v>
      </c>
      <c r="K13" s="79"/>
      <c r="L13" s="66"/>
      <c r="N13" s="87"/>
      <c r="O13" s="71"/>
    </row>
    <row r="14" spans="1:16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2290718</v>
      </c>
      <c r="F15" s="409">
        <v>2291830</v>
      </c>
      <c r="G15" s="112">
        <f>(F15-E15)</f>
        <v>1112</v>
      </c>
      <c r="H15" s="99">
        <f>G15+'2'!H15</f>
        <v>3356.285000000149</v>
      </c>
      <c r="I15" s="113">
        <f>'1'!I15</f>
        <v>800</v>
      </c>
      <c r="J15" s="175">
        <f>H15/DAY(B2)</f>
        <v>1118.7616666667163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409"/>
      <c r="G16" s="112"/>
      <c r="H16" s="124"/>
      <c r="I16" s="120">
        <f>I15-J15</f>
        <v>-318.76166666671634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68</v>
      </c>
      <c r="B18" s="905"/>
      <c r="C18" s="906"/>
      <c r="D18" s="151" t="s">
        <v>142</v>
      </c>
      <c r="E18" s="95">
        <f>'2'!F18</f>
        <v>19</v>
      </c>
      <c r="F18" s="164">
        <v>22</v>
      </c>
      <c r="G18" s="119">
        <f>F18*10</f>
        <v>220</v>
      </c>
      <c r="H18" s="99">
        <f>G18+'2'!H18</f>
        <v>580</v>
      </c>
      <c r="I18" s="113">
        <f>'1'!I18</f>
        <v>65</v>
      </c>
      <c r="J18" s="175">
        <f>H18/DAY(B2)</f>
        <v>193.33333333333334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'2'!F19</f>
        <v>171434</v>
      </c>
      <c r="F19" s="164">
        <v>171491</v>
      </c>
      <c r="G19" s="112">
        <f t="shared" ref="G19" si="1">F19-E19</f>
        <v>57</v>
      </c>
      <c r="H19" s="99">
        <f>G19+'2'!H19</f>
        <v>168</v>
      </c>
      <c r="I19" s="335"/>
      <c r="J19" s="175">
        <f>H19/DAY(B2)</f>
        <v>56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277</v>
      </c>
      <c r="H20" s="99">
        <f>G20+'2'!H20</f>
        <v>748</v>
      </c>
      <c r="I20" s="336">
        <f>I18-J20</f>
        <v>-184.33333333333334</v>
      </c>
      <c r="J20" s="175">
        <f>H20/DAY(B2)</f>
        <v>249.33333333333334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8.5">
      <c r="A27" s="208" t="s">
        <v>5</v>
      </c>
      <c r="B27" s="209"/>
      <c r="C27" s="210"/>
      <c r="D27" s="226" t="s">
        <v>24</v>
      </c>
      <c r="E27" s="135">
        <f>G8</f>
        <v>23549.310000000056</v>
      </c>
      <c r="F27" s="668">
        <v>10</v>
      </c>
      <c r="G27" s="137">
        <f>E27*F27</f>
        <v>235493.10000000056</v>
      </c>
      <c r="H27" s="99">
        <f>G27+'2'!H27</f>
        <v>683733.10000000056</v>
      </c>
      <c r="I27" s="138"/>
      <c r="J27" s="175">
        <f>H27/DAY(B2)</f>
        <v>227911.03333333353</v>
      </c>
      <c r="K27" s="63"/>
      <c r="L27" s="89"/>
      <c r="N27" s="87"/>
      <c r="O27" s="71"/>
    </row>
    <row r="28" spans="1:15" s="88" customFormat="1" ht="28.5">
      <c r="A28" s="208" t="s">
        <v>152</v>
      </c>
      <c r="B28" s="209"/>
      <c r="C28" s="210"/>
      <c r="D28" s="226" t="s">
        <v>153</v>
      </c>
      <c r="E28" s="139">
        <f>G15</f>
        <v>1112</v>
      </c>
      <c r="F28" s="668">
        <v>66</v>
      </c>
      <c r="G28" s="137">
        <f>E28*F28</f>
        <v>73392</v>
      </c>
      <c r="H28" s="99">
        <f>G28+'2'!H28</f>
        <v>221514.81000000983</v>
      </c>
      <c r="I28" s="140"/>
      <c r="J28" s="175">
        <f>H28/DAY(B2)</f>
        <v>73838.270000003278</v>
      </c>
      <c r="K28" s="63"/>
      <c r="L28" s="89"/>
      <c r="N28" s="87"/>
      <c r="O28" s="71"/>
    </row>
    <row r="29" spans="1:15" s="88" customFormat="1" ht="28.5">
      <c r="A29" s="208" t="s">
        <v>154</v>
      </c>
      <c r="B29" s="209"/>
      <c r="C29" s="210"/>
      <c r="D29" s="226" t="s">
        <v>155</v>
      </c>
      <c r="E29" s="141">
        <f>G24</f>
        <v>0</v>
      </c>
      <c r="F29" s="668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8.5">
      <c r="A30" s="208" t="s">
        <v>156</v>
      </c>
      <c r="B30" s="209"/>
      <c r="C30" s="210"/>
      <c r="D30" s="226" t="s">
        <v>157</v>
      </c>
      <c r="E30" s="141">
        <f>G19</f>
        <v>57</v>
      </c>
      <c r="F30" s="668">
        <v>151</v>
      </c>
      <c r="G30" s="137">
        <f>E30*F30</f>
        <v>8607</v>
      </c>
      <c r="H30" s="99">
        <f>G30+'2'!H30</f>
        <v>25368</v>
      </c>
      <c r="I30" s="140"/>
      <c r="J30" s="175">
        <f>H30/DAY(B2)</f>
        <v>8456</v>
      </c>
      <c r="K30" s="63"/>
      <c r="L30" s="89"/>
      <c r="N30" s="87"/>
      <c r="O30" s="71"/>
    </row>
    <row r="31" spans="1:15" s="88" customFormat="1" ht="28.5">
      <c r="A31" s="208" t="s">
        <v>158</v>
      </c>
      <c r="B31" s="209"/>
      <c r="C31" s="210"/>
      <c r="D31" s="226" t="s">
        <v>142</v>
      </c>
      <c r="E31" s="141">
        <f>G18</f>
        <v>220</v>
      </c>
      <c r="F31" s="668">
        <v>85</v>
      </c>
      <c r="G31" s="137">
        <f>E31*F31</f>
        <v>18700</v>
      </c>
      <c r="H31" s="99">
        <f>G31+'2'!H31</f>
        <v>49300</v>
      </c>
      <c r="I31" s="140"/>
      <c r="J31" s="175">
        <f>H31/DAY(B2)</f>
        <v>16433.333333333332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336192.10000000056</v>
      </c>
      <c r="H32" s="99">
        <f>G32+'2'!H32</f>
        <v>979915.91000001039</v>
      </c>
      <c r="I32" s="144"/>
      <c r="J32" s="175">
        <f>H32/DAY(B2)</f>
        <v>326638.63666667015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535158</v>
      </c>
      <c r="F35" s="422">
        <v>537658</v>
      </c>
      <c r="G35" s="112">
        <f t="shared" ref="G35:G46" si="3">F35-E35</f>
        <v>2500</v>
      </c>
      <c r="H35" s="99">
        <f>G35+'2'!H35</f>
        <v>7602</v>
      </c>
      <c r="I35" s="95"/>
      <c r="J35" s="175">
        <f>H35/DAY(B2)</f>
        <v>2534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383879</v>
      </c>
      <c r="F36" s="145">
        <v>385002.9</v>
      </c>
      <c r="G36" s="112">
        <f t="shared" si="3"/>
        <v>1123.9000000000233</v>
      </c>
      <c r="H36" s="99">
        <f>G36+'2'!H36</f>
        <v>3181.9000000000233</v>
      </c>
      <c r="I36" s="95"/>
      <c r="J36" s="175">
        <f>H36/DAY(B2)</f>
        <v>1060.6333333333412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386556.91</v>
      </c>
      <c r="F37" s="145">
        <v>388011.99</v>
      </c>
      <c r="G37" s="112">
        <f t="shared" si="3"/>
        <v>1455.0800000000163</v>
      </c>
      <c r="H37" s="99">
        <f>G37+'2'!H37</f>
        <v>4392.9899999999907</v>
      </c>
      <c r="I37" s="95"/>
      <c r="J37" s="175">
        <f>H37/DAY(B2)</f>
        <v>1464.329999999997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882439.57</v>
      </c>
      <c r="F38" s="108">
        <v>885262</v>
      </c>
      <c r="G38" s="112">
        <f t="shared" si="3"/>
        <v>2822.4300000000512</v>
      </c>
      <c r="H38" s="99">
        <f>G38+'2'!H38</f>
        <v>8135</v>
      </c>
      <c r="I38" s="95"/>
      <c r="J38" s="175">
        <f>H38/DAY(B2)</f>
        <v>2711.6666666666665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711883.19</v>
      </c>
      <c r="F39" s="145">
        <v>714763.45</v>
      </c>
      <c r="G39" s="112">
        <f t="shared" si="3"/>
        <v>2880.2600000000093</v>
      </c>
      <c r="H39" s="99">
        <f>G39+'2'!H39</f>
        <v>8627.4499999999534</v>
      </c>
      <c r="I39" s="95"/>
      <c r="J39" s="175">
        <f>H39/DAY(B2)</f>
        <v>2875.8166666666511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218794.97</v>
      </c>
      <c r="F40" s="145">
        <v>219005.95</v>
      </c>
      <c r="G40" s="112">
        <f t="shared" si="3"/>
        <v>210.98000000001048</v>
      </c>
      <c r="H40" s="99">
        <f>G40+'2'!H40</f>
        <v>1213.9500000000116</v>
      </c>
      <c r="I40" s="95"/>
      <c r="J40" s="175">
        <f>H40/DAY(B2)</f>
        <v>404.6500000000039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420212.51</v>
      </c>
      <c r="F41" s="145">
        <v>420212.1</v>
      </c>
      <c r="G41" s="112">
        <f t="shared" si="3"/>
        <v>-0.41000000003259629</v>
      </c>
      <c r="H41" s="99">
        <f>G41+'2'!H41</f>
        <v>-0.41000000003259629</v>
      </c>
      <c r="I41" s="95"/>
      <c r="J41" s="175">
        <f>H41/DAY(B2)</f>
        <v>-0.13666666667753211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982309.59</v>
      </c>
      <c r="F42" s="145">
        <v>982309.59</v>
      </c>
      <c r="G42" s="112">
        <f t="shared" si="3"/>
        <v>0</v>
      </c>
      <c r="H42" s="99">
        <f>G42+'2'!H42</f>
        <v>9246.9599999999627</v>
      </c>
      <c r="I42" s="95"/>
      <c r="J42" s="175">
        <f>H42/DAY(B2)</f>
        <v>3082.3199999999874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422444</v>
      </c>
      <c r="F43" s="145">
        <v>422444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10992.240000000078</v>
      </c>
      <c r="H47" s="99">
        <f>G47+'2'!H47</f>
        <v>42399.839999999909</v>
      </c>
      <c r="I47" s="95"/>
      <c r="J47" s="175">
        <f>H47/DAY(B2)</f>
        <v>14133.27999999997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824017.71</v>
      </c>
      <c r="F49" s="145">
        <v>824517</v>
      </c>
      <c r="G49" s="112">
        <f t="shared" ref="G49:G58" si="4">F49-E49</f>
        <v>499.29000000003725</v>
      </c>
      <c r="H49" s="99">
        <f>G49+'2'!H49</f>
        <v>1605</v>
      </c>
      <c r="I49" s="95"/>
      <c r="J49" s="175">
        <f>H49/DAY(B2)</f>
        <v>535</v>
      </c>
      <c r="K49" s="79"/>
      <c r="L49" s="66"/>
      <c r="N49" s="87">
        <f>G35+G49</f>
        <v>2999.2900000000373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544521.39</v>
      </c>
      <c r="F50" s="145">
        <v>546471.06999999995</v>
      </c>
      <c r="G50" s="112">
        <f t="shared" si="4"/>
        <v>1949.6799999999348</v>
      </c>
      <c r="H50" s="99">
        <f>G50+'2'!H50</f>
        <v>4497.0699999999488</v>
      </c>
      <c r="I50" s="95"/>
      <c r="J50" s="175">
        <f>H50/DAY(B2)</f>
        <v>1499.0233333333163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156958.49</v>
      </c>
      <c r="F51" s="145">
        <v>156958.44</v>
      </c>
      <c r="G51" s="112">
        <f t="shared" si="4"/>
        <v>-4.9999999988358468E-2</v>
      </c>
      <c r="H51" s="99">
        <f>G51+'2'!H51</f>
        <v>0.44000000000232831</v>
      </c>
      <c r="I51" s="95"/>
      <c r="J51" s="175">
        <f>H51/DAY(B2)</f>
        <v>0.14666666666744277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1457</v>
      </c>
      <c r="F52" s="145">
        <v>1457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630355.03</v>
      </c>
      <c r="F53" s="145">
        <v>630355</v>
      </c>
      <c r="G53" s="112">
        <f t="shared" si="4"/>
        <v>-3.0000000027939677E-2</v>
      </c>
      <c r="H53" s="99">
        <f>G53+'2'!H53</f>
        <v>-3.0000000027939677E-2</v>
      </c>
      <c r="I53" s="95"/>
      <c r="J53" s="175">
        <f>H53/DAY(B2)</f>
        <v>-1.0000000009313226E-2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124868.1</v>
      </c>
      <c r="F54" s="145">
        <v>125153</v>
      </c>
      <c r="G54" s="112">
        <f t="shared" si="4"/>
        <v>284.89999999999418</v>
      </c>
      <c r="H54" s="99">
        <f>G54+'2'!H54</f>
        <v>1038.7899999999936</v>
      </c>
      <c r="I54" s="95"/>
      <c r="J54" s="175">
        <f>H54/DAY(B2)</f>
        <v>346.26333333333122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594304.75</v>
      </c>
      <c r="F55" s="145">
        <v>594304.75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373783.59</v>
      </c>
      <c r="F56" s="145">
        <v>377105</v>
      </c>
      <c r="G56" s="112">
        <f t="shared" si="4"/>
        <v>3321.4099999999744</v>
      </c>
      <c r="H56" s="99">
        <f>G56+'2'!H56</f>
        <v>3985</v>
      </c>
      <c r="I56" s="95"/>
      <c r="J56" s="175">
        <f>H56/DAY(B2)</f>
        <v>1328.3333333333333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712697.99</v>
      </c>
      <c r="F57" s="145">
        <v>715336</v>
      </c>
      <c r="G57" s="112">
        <f t="shared" si="4"/>
        <v>2638.0100000000093</v>
      </c>
      <c r="H57" s="99">
        <f>G57+'2'!H57</f>
        <v>7638</v>
      </c>
      <c r="I57" s="95"/>
      <c r="J57" s="175">
        <f>H57/DAY(B2)</f>
        <v>2546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95069.46</v>
      </c>
      <c r="F58" s="145">
        <v>95313.62</v>
      </c>
      <c r="G58" s="112">
        <f t="shared" si="4"/>
        <v>244.15999999998894</v>
      </c>
      <c r="H58" s="99">
        <f>G58+'2'!H58</f>
        <v>743.79999999998836</v>
      </c>
      <c r="I58" s="95"/>
      <c r="J58" s="175">
        <f>H58/DAY(B2)</f>
        <v>247.93333333332944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8937.3699999999226</v>
      </c>
      <c r="H59" s="99">
        <f>G59+'2'!H59</f>
        <v>19508.069999999905</v>
      </c>
      <c r="I59" s="95">
        <f>G7-G60</f>
        <v>3036.1800000000367</v>
      </c>
      <c r="J59" s="175">
        <f>H59/DAY(B2)</f>
        <v>6502.6899999999687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19929.61</v>
      </c>
      <c r="H60" s="99">
        <f>G60+'2'!H60</f>
        <v>61907.909999999814</v>
      </c>
      <c r="I60" s="95">
        <f>G13-G60</f>
        <v>2602.0899999992544</v>
      </c>
      <c r="J60" s="175">
        <f>H60/DAY(B2)</f>
        <v>20635.969999999939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'2'!F62</f>
        <v>315925</v>
      </c>
      <c r="F62" s="164">
        <v>316054.3</v>
      </c>
      <c r="G62" s="112">
        <f t="shared" ref="G62" si="5">F62-E62</f>
        <v>129.29999999998836</v>
      </c>
      <c r="H62" s="99">
        <f>G62+'2'!H62</f>
        <v>377.29999999998836</v>
      </c>
      <c r="I62" s="118"/>
      <c r="J62" s="175">
        <f>H62/DAY(B2)</f>
        <v>125.76666666666279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'2'!F63</f>
        <v>252541</v>
      </c>
      <c r="F63" s="122">
        <v>252615</v>
      </c>
      <c r="G63" s="112">
        <f>F63-E63</f>
        <v>74</v>
      </c>
      <c r="H63" s="99">
        <f>G63+'2'!H63</f>
        <v>291</v>
      </c>
      <c r="I63" s="118"/>
      <c r="J63" s="175">
        <f>H63/DAY(B2)</f>
        <v>97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'2'!F64</f>
        <v>0</v>
      </c>
      <c r="F64" s="122"/>
      <c r="G64" s="112">
        <f>G62+G63</f>
        <v>203.29999999998836</v>
      </c>
      <c r="H64" s="99">
        <f>G64+'2'!H64</f>
        <v>668.29999999998836</v>
      </c>
      <c r="I64" s="118"/>
      <c r="J64" s="175">
        <f>H64/DAY(B2)</f>
        <v>222.76666666666279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'2'!F65</f>
        <v>476174</v>
      </c>
      <c r="F65" s="122">
        <v>476314</v>
      </c>
      <c r="G65" s="112">
        <f t="shared" ref="G65:G70" si="6">F65-E65</f>
        <v>140</v>
      </c>
      <c r="H65" s="99">
        <f>G65+'2'!H65</f>
        <v>411</v>
      </c>
      <c r="I65" s="118"/>
      <c r="J65" s="175">
        <f>H65/DAY(B2)</f>
        <v>137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114510</v>
      </c>
      <c r="F66" s="164">
        <v>114527</v>
      </c>
      <c r="G66" s="112">
        <f t="shared" si="6"/>
        <v>17</v>
      </c>
      <c r="H66" s="99">
        <f>G66+'2'!H66</f>
        <v>61</v>
      </c>
      <c r="I66" s="118"/>
      <c r="J66" s="175">
        <f>H66/DAY(B2)</f>
        <v>20.333333333333332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117305</v>
      </c>
      <c r="F67" s="164">
        <v>117335</v>
      </c>
      <c r="G67" s="112">
        <f t="shared" si="6"/>
        <v>30</v>
      </c>
      <c r="H67" s="99">
        <f>G67+'2'!H67</f>
        <v>53</v>
      </c>
      <c r="I67" s="118"/>
      <c r="J67" s="175">
        <f>H67/DAY(B2)</f>
        <v>17.666666666666668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169980</v>
      </c>
      <c r="F68" s="164">
        <v>170000</v>
      </c>
      <c r="G68" s="112">
        <f t="shared" si="6"/>
        <v>20</v>
      </c>
      <c r="H68" s="99">
        <f>G68+'2'!H68</f>
        <v>50</v>
      </c>
      <c r="I68" s="118"/>
      <c r="J68" s="175">
        <f>H68/DAY(B2)</f>
        <v>16.666666666666668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13223</v>
      </c>
      <c r="F69" s="164">
        <v>13227</v>
      </c>
      <c r="G69" s="112">
        <f t="shared" si="6"/>
        <v>4</v>
      </c>
      <c r="H69" s="99">
        <f>G69+'2'!H69</f>
        <v>15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11273</v>
      </c>
      <c r="F70" s="164">
        <v>11282</v>
      </c>
      <c r="G70" s="112">
        <f t="shared" si="6"/>
        <v>9</v>
      </c>
      <c r="H70" s="99">
        <f>G70+'2'!H70</f>
        <v>24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233"/>
      <c r="G71" s="153">
        <f>SUM(G65:G70)</f>
        <v>220</v>
      </c>
      <c r="H71" s="99">
        <f>G71+'2'!H71</f>
        <v>614</v>
      </c>
      <c r="I71" s="154"/>
      <c r="J71" s="175">
        <f>H71/DAY(B2)</f>
        <v>204.66666666666666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'2'!F74</f>
        <v>12925</v>
      </c>
      <c r="F74" s="117">
        <v>13229</v>
      </c>
      <c r="G74" s="112">
        <f t="shared" ref="G74:G78" si="7">F74-E74</f>
        <v>304</v>
      </c>
      <c r="H74" s="99">
        <f>G74+'2'!H74</f>
        <v>967</v>
      </c>
      <c r="I74" s="154"/>
      <c r="J74" s="175">
        <f>H74/DAY(B2)</f>
        <v>322.33333333333331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'2'!F76</f>
        <v>210900</v>
      </c>
      <c r="F76" s="123">
        <v>211001</v>
      </c>
      <c r="G76" s="112">
        <f t="shared" si="7"/>
        <v>101</v>
      </c>
      <c r="H76" s="99">
        <f>G76+'2'!H76</f>
        <v>341</v>
      </c>
      <c r="I76" s="154"/>
      <c r="J76" s="175">
        <f>H76/DAY(B2)</f>
        <v>113.66666666666667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'2'!F77</f>
        <v>59855</v>
      </c>
      <c r="F77" s="123">
        <v>59904</v>
      </c>
      <c r="G77" s="112">
        <f t="shared" si="7"/>
        <v>49</v>
      </c>
      <c r="H77" s="99">
        <f>G77+'2'!H77</f>
        <v>143</v>
      </c>
      <c r="I77" s="154"/>
      <c r="J77" s="175">
        <f>H77/DAY(B2)</f>
        <v>47.666666666666664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'2'!F78</f>
        <v>9564</v>
      </c>
      <c r="F78" s="123">
        <v>9564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'2'!F79</f>
        <v>0</v>
      </c>
      <c r="F79" s="117"/>
      <c r="G79" s="112">
        <f>G15-SUM(G74:G78)</f>
        <v>658</v>
      </c>
      <c r="H79" s="99">
        <f>G79+'2'!H79</f>
        <v>1905.285000000149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1112</v>
      </c>
      <c r="H80" s="99">
        <f>G80+'2'!H80</f>
        <v>2195</v>
      </c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43546</v>
      </c>
      <c r="F84" s="164">
        <v>43546</v>
      </c>
      <c r="G84" s="112">
        <f t="shared" si="8"/>
        <v>0</v>
      </c>
      <c r="H84" s="99">
        <f>G84+'2'!H84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6258</v>
      </c>
      <c r="F85" s="164">
        <v>6258</v>
      </c>
      <c r="G85" s="112">
        <f t="shared" si="8"/>
        <v>0</v>
      </c>
      <c r="H85" s="99">
        <f>G85+'2'!H85</f>
        <v>45</v>
      </c>
      <c r="I85" s="543"/>
      <c r="J85" s="175">
        <f>H85/DAY(B2)</f>
        <v>15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46971</v>
      </c>
      <c r="F86" s="164">
        <v>46971</v>
      </c>
      <c r="G86" s="112">
        <f t="shared" si="8"/>
        <v>0</v>
      </c>
      <c r="H86" s="99">
        <f>G86+'2'!H86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37369</v>
      </c>
      <c r="F87" s="164">
        <v>37394</v>
      </c>
      <c r="G87" s="112">
        <f t="shared" si="8"/>
        <v>25</v>
      </c>
      <c r="H87" s="99">
        <f>G87+'2'!H87</f>
        <v>30</v>
      </c>
      <c r="I87" s="543">
        <f>G84+G85+G86+G87</f>
        <v>25</v>
      </c>
      <c r="J87" s="175">
        <f>H87/DAY(B2)</f>
        <v>10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24775.22</v>
      </c>
      <c r="F88" s="164">
        <v>24783</v>
      </c>
      <c r="G88" s="112">
        <f t="shared" si="8"/>
        <v>7.7799999999988358</v>
      </c>
      <c r="H88" s="99">
        <f>G88+'2'!H88</f>
        <v>21</v>
      </c>
      <c r="I88" s="543"/>
      <c r="J88" s="175">
        <f>H88/DAY(B2)</f>
        <v>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29042.37</v>
      </c>
      <c r="F89" s="164">
        <v>29047</v>
      </c>
      <c r="G89" s="112">
        <f t="shared" si="8"/>
        <v>4.6300000000010186</v>
      </c>
      <c r="H89" s="99">
        <f>G89+'2'!H89</f>
        <v>19</v>
      </c>
      <c r="I89" s="543">
        <f>G88+G89</f>
        <v>12.409999999999854</v>
      </c>
      <c r="J89" s="175">
        <f>H89/DAY(B2)</f>
        <v>6.333333333333333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74460.75</v>
      </c>
      <c r="F90" s="164">
        <v>74469.7</v>
      </c>
      <c r="G90" s="112">
        <f t="shared" si="8"/>
        <v>8.9499999999970896</v>
      </c>
      <c r="H90" s="99">
        <f>G90+'2'!H90</f>
        <v>21.69999999999709</v>
      </c>
      <c r="I90" s="543">
        <f>G90</f>
        <v>8.9499999999970896</v>
      </c>
      <c r="J90" s="175">
        <f>H90/DAY(B2)</f>
        <v>7.2333333333323635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5618.21</v>
      </c>
      <c r="F91" s="164">
        <v>5621.6</v>
      </c>
      <c r="G91" s="112">
        <f t="shared" si="8"/>
        <v>3.3900000000003274</v>
      </c>
      <c r="H91" s="99">
        <f>G91+'2'!H91</f>
        <v>3.3900000000003274</v>
      </c>
      <c r="I91" s="544"/>
      <c r="J91" s="175">
        <f>H91/DAY(B2)</f>
        <v>1.1300000000001091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7456</v>
      </c>
      <c r="F92" s="122">
        <v>7464.56</v>
      </c>
      <c r="G92" s="112">
        <f t="shared" si="8"/>
        <v>8.5600000000004002</v>
      </c>
      <c r="H92" s="99">
        <f>G92+'2'!H92</f>
        <v>32.280000000000655</v>
      </c>
      <c r="I92" s="545">
        <f>G91+G92</f>
        <v>11.950000000000728</v>
      </c>
      <c r="J92" s="175">
        <f>H92/DAY(B2)</f>
        <v>10.760000000000218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5637.3000000000466</v>
      </c>
      <c r="H94" s="99">
        <f>G94+'2'!H94</f>
        <v>16845</v>
      </c>
      <c r="I94" s="118"/>
      <c r="J94" s="175">
        <f>H94/DAY(B2)</f>
        <v>5615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0.24546510265921778</v>
      </c>
      <c r="H95" s="99">
        <f>G95+'2'!H95</f>
        <v>0.75303982594540964</v>
      </c>
      <c r="I95" s="167"/>
      <c r="J95" s="175">
        <f>H95/DAY(B2)</f>
        <v>0.25101327531513656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3320.9999999999418</v>
      </c>
      <c r="H96" s="99">
        <f>G96+'2'!H96</f>
        <v>13231.54999999993</v>
      </c>
      <c r="I96" s="118"/>
      <c r="J96" s="175">
        <f>H96/DAY(B2)</f>
        <v>4410.5166666666437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0.14460639063580816</v>
      </c>
      <c r="H97" s="99">
        <f>G97+'2'!H97</f>
        <v>0.59345381939776842</v>
      </c>
      <c r="I97" s="167"/>
      <c r="J97" s="175">
        <f>H97/DAY(B2)</f>
        <v>0.19781793979925613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2880.2299999999814</v>
      </c>
      <c r="H98" s="99">
        <f>G98+'2'!H98</f>
        <v>8627.4199999999255</v>
      </c>
      <c r="I98" s="168"/>
      <c r="J98" s="175">
        <f>H98/DAY(B2)</f>
        <v>2875.8066666666418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0.12541393089460354</v>
      </c>
      <c r="H99" s="99">
        <f>G99+'2'!H99</f>
        <v>0.38569575433150682</v>
      </c>
      <c r="I99" s="168"/>
      <c r="J99" s="175">
        <f>H99/DAY(B2)</f>
        <v>0.1285652514438356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2822.4300000000512</v>
      </c>
      <c r="H100" s="99">
        <f>G100+'2'!H100</f>
        <v>8135</v>
      </c>
      <c r="I100" s="118"/>
      <c r="J100" s="175">
        <f>H100/DAY(B2)</f>
        <v>2711.6666666666665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0.12289714396935819</v>
      </c>
      <c r="H101" s="99">
        <f>G101+'2'!H101</f>
        <v>0.36349138461047059</v>
      </c>
      <c r="I101" s="168"/>
      <c r="J101" s="175">
        <f>H101/DAY(B2)</f>
        <v>0.12116379487015687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3073.5799999999581</v>
      </c>
      <c r="H102" s="99">
        <f>G102+'2'!H102</f>
        <v>7678.9699999999721</v>
      </c>
      <c r="I102" s="168"/>
      <c r="J102" s="175">
        <f>H102/DAY(B2)</f>
        <v>2559.6566666666572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0.13383297504679584</v>
      </c>
      <c r="H103" s="99">
        <f>G103+'2'!H103</f>
        <v>0.34240012945813869</v>
      </c>
      <c r="I103" s="118"/>
      <c r="J103" s="175">
        <f>H103/DAY(B2)</f>
        <v>0.11413337648604623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1455.0300000000279</v>
      </c>
      <c r="H104" s="99">
        <f>G104+'2'!H104</f>
        <v>4393.429999999993</v>
      </c>
      <c r="I104" s="118"/>
      <c r="J104" s="175">
        <f>H104/DAY(B2)</f>
        <v>1464.4766666666644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6.3356409685886073E-2</v>
      </c>
      <c r="H105" s="99">
        <f>G105+'2'!H105</f>
        <v>0.19643124077024296</v>
      </c>
      <c r="I105" s="187"/>
      <c r="J105" s="188">
        <f>H105/DAY(B2)</f>
        <v>6.5477080256747658E-2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'2'!F112</f>
        <v>19518.68</v>
      </c>
      <c r="F112" s="237">
        <v>19579</v>
      </c>
      <c r="G112" s="112">
        <f t="shared" ref="G112:G123" si="9">F112-E112</f>
        <v>60.319999999999709</v>
      </c>
      <c r="H112" s="99">
        <f>G112+'2'!H112</f>
        <v>182</v>
      </c>
      <c r="I112" s="165"/>
      <c r="J112" s="328">
        <f>H112/DAY(B2)</f>
        <v>60.666666666666664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'2'!F113</f>
        <v>41810</v>
      </c>
      <c r="F113" s="237">
        <v>41960.99</v>
      </c>
      <c r="G113" s="112">
        <f t="shared" si="9"/>
        <v>150.98999999999796</v>
      </c>
      <c r="H113" s="99">
        <f>G113+'2'!H113</f>
        <v>441.04000000000087</v>
      </c>
      <c r="I113" s="165"/>
      <c r="J113" s="328">
        <f>H113/DAY(B2)</f>
        <v>147.01333333333363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'2'!F114</f>
        <v>61653.66</v>
      </c>
      <c r="F114" s="237">
        <v>61882.298999999999</v>
      </c>
      <c r="G114" s="112">
        <f t="shared" si="9"/>
        <v>228.63899999999558</v>
      </c>
      <c r="H114" s="99">
        <f>G114+'2'!H114</f>
        <v>664.29899999999907</v>
      </c>
      <c r="I114" s="165"/>
      <c r="J114" s="328">
        <f>H114/DAY(B2)</f>
        <v>221.43299999999968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'2'!F115</f>
        <v>39762</v>
      </c>
      <c r="F115" s="237">
        <v>39914</v>
      </c>
      <c r="G115" s="112">
        <f t="shared" si="9"/>
        <v>152</v>
      </c>
      <c r="H115" s="99">
        <f>G115+'2'!H115</f>
        <v>455</v>
      </c>
      <c r="I115" s="165"/>
      <c r="J115" s="328">
        <f>H115/DAY(B2)</f>
        <v>151.66666666666666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'2'!F116</f>
        <v>148964</v>
      </c>
      <c r="F116" s="237">
        <v>149403</v>
      </c>
      <c r="G116" s="112">
        <f t="shared" si="9"/>
        <v>439</v>
      </c>
      <c r="H116" s="99">
        <f>G116+'2'!H116</f>
        <v>1473</v>
      </c>
      <c r="I116" s="165"/>
      <c r="J116" s="328">
        <f>H116/DAY(B2)</f>
        <v>491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'2'!F117</f>
        <v>92542</v>
      </c>
      <c r="F117" s="237">
        <v>92810</v>
      </c>
      <c r="G117" s="112">
        <f t="shared" si="9"/>
        <v>268</v>
      </c>
      <c r="H117" s="99">
        <f>G117+'2'!H117</f>
        <v>820.60099999999511</v>
      </c>
      <c r="I117" s="165"/>
      <c r="J117" s="328">
        <f>H117/DAY(B2)</f>
        <v>273.53366666666506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'2'!F118</f>
        <v>178893</v>
      </c>
      <c r="F118" s="237">
        <v>179603</v>
      </c>
      <c r="G118" s="112">
        <f t="shared" si="9"/>
        <v>710</v>
      </c>
      <c r="H118" s="99">
        <f>G118+'2'!H118</f>
        <v>2070.4700000000012</v>
      </c>
      <c r="I118" s="165"/>
      <c r="J118" s="328">
        <f>H118/DAY(B2)</f>
        <v>690.15666666666709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'2'!F119</f>
        <v>45266.94</v>
      </c>
      <c r="F119" s="237">
        <v>45307</v>
      </c>
      <c r="G119" s="112">
        <f t="shared" si="9"/>
        <v>40.059999999997672</v>
      </c>
      <c r="H119" s="99">
        <f>G119+'2'!H119</f>
        <v>114</v>
      </c>
      <c r="I119" s="165"/>
      <c r="J119" s="328">
        <f>H119/DAY(B2)</f>
        <v>38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'2'!F120</f>
        <v>121188.44</v>
      </c>
      <c r="F120" s="237">
        <v>121587.11</v>
      </c>
      <c r="G120" s="112">
        <f t="shared" si="9"/>
        <v>398.66999999999825</v>
      </c>
      <c r="H120" s="99">
        <f>G120+'2'!H120</f>
        <v>1143.1100000000006</v>
      </c>
      <c r="I120" s="165"/>
      <c r="J120" s="328">
        <f>H120/DAY(B2)</f>
        <v>381.03666666666686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'2'!F121</f>
        <v>135449</v>
      </c>
      <c r="F121" s="237">
        <v>135906.5</v>
      </c>
      <c r="G121" s="112">
        <f t="shared" si="9"/>
        <v>457.5</v>
      </c>
      <c r="H121" s="99">
        <f>G121+'2'!H121</f>
        <v>1343.5</v>
      </c>
      <c r="I121" s="165"/>
      <c r="J121" s="328">
        <f>H121/DAY(B2)</f>
        <v>447.83333333333331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'2'!F122</f>
        <v>91455</v>
      </c>
      <c r="F122" s="237">
        <v>91755</v>
      </c>
      <c r="G122" s="112">
        <f t="shared" si="9"/>
        <v>300</v>
      </c>
      <c r="H122" s="99">
        <f>G122+'2'!H122</f>
        <v>878</v>
      </c>
      <c r="I122" s="165"/>
      <c r="J122" s="328">
        <f>H122/DAY(B2)</f>
        <v>292.66666666666669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'2'!F123</f>
        <v>88192</v>
      </c>
      <c r="F123" s="237">
        <v>88503.142999999996</v>
      </c>
      <c r="G123" s="112">
        <f t="shared" si="9"/>
        <v>311.14299999999639</v>
      </c>
      <c r="H123" s="99">
        <f>G123+'2'!H123</f>
        <v>924.14299999999639</v>
      </c>
      <c r="I123" s="165"/>
      <c r="J123" s="328">
        <f>H123/DAY(B2)</f>
        <v>308.04766666666546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6.25">
      <c r="A125" s="913" t="s">
        <v>196</v>
      </c>
      <c r="B125" s="914"/>
      <c r="C125" s="915"/>
      <c r="D125" s="307"/>
      <c r="E125" s="308"/>
      <c r="F125" s="308"/>
      <c r="G125" s="309">
        <f>SUM(G112:G124)</f>
        <v>3516.3219999999856</v>
      </c>
      <c r="H125" s="156"/>
      <c r="I125" s="327">
        <f>G125-(G39+G53)</f>
        <v>636.09200000000419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'2'!F128</f>
        <v>208322</v>
      </c>
      <c r="F128" s="165">
        <v>208826.03</v>
      </c>
      <c r="G128" s="112">
        <f t="shared" ref="G128:G134" si="10">F128-E128</f>
        <v>504.02999999999884</v>
      </c>
      <c r="H128" s="99">
        <f>G128+'2'!H128</f>
        <v>1537.0299999999988</v>
      </c>
      <c r="I128" s="165"/>
      <c r="J128" s="328">
        <f>H128/DAY(B2)</f>
        <v>512.34333333333291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938</v>
      </c>
      <c r="F129" s="165">
        <v>1023</v>
      </c>
      <c r="G129" s="112">
        <f t="shared" si="10"/>
        <v>85</v>
      </c>
      <c r="H129" s="99">
        <f>G129+'2'!H129</f>
        <v>289</v>
      </c>
      <c r="I129" s="165"/>
      <c r="J129" s="328">
        <f>H129/DAY(B2)</f>
        <v>96.333333333333329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288995</v>
      </c>
      <c r="F130" s="165">
        <v>289008</v>
      </c>
      <c r="G130" s="112">
        <f t="shared" si="10"/>
        <v>13</v>
      </c>
      <c r="H130" s="99">
        <f>G130+'2'!H130</f>
        <v>286</v>
      </c>
      <c r="I130" s="165"/>
      <c r="J130" s="328">
        <f>H130/DAY(B2)</f>
        <v>95.333333333333329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'2'!F131</f>
        <v>85110</v>
      </c>
      <c r="F131" s="165">
        <v>85330.142999999996</v>
      </c>
      <c r="G131" s="112">
        <f t="shared" si="10"/>
        <v>220.14299999999639</v>
      </c>
      <c r="H131" s="99">
        <f>G131+'2'!H131</f>
        <v>626.31299999999464</v>
      </c>
      <c r="I131" s="165"/>
      <c r="J131" s="328">
        <f>H131/DAY(B2)</f>
        <v>208.77099999999822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'2'!F132</f>
        <v>68077.39</v>
      </c>
      <c r="F132" s="158">
        <v>68395</v>
      </c>
      <c r="G132" s="112">
        <f t="shared" si="10"/>
        <v>317.61000000000058</v>
      </c>
      <c r="H132" s="99">
        <f>G132+'2'!H132</f>
        <v>948</v>
      </c>
      <c r="I132" s="165"/>
      <c r="J132" s="328">
        <f>H132/DAY(B2)</f>
        <v>316</v>
      </c>
    </row>
    <row r="133" spans="1:15" ht="25.5">
      <c r="A133" s="883" t="s">
        <v>342</v>
      </c>
      <c r="B133" s="884"/>
      <c r="C133" s="885"/>
      <c r="D133" s="151" t="s">
        <v>183</v>
      </c>
      <c r="E133" s="95">
        <f>'2'!F133</f>
        <v>951236</v>
      </c>
      <c r="F133" s="165">
        <v>951740</v>
      </c>
      <c r="G133" s="112">
        <f t="shared" si="10"/>
        <v>504</v>
      </c>
      <c r="H133" s="99">
        <f>G133+'2'!H133</f>
        <v>1593</v>
      </c>
      <c r="I133" s="165"/>
      <c r="J133" s="328">
        <f>H133/DAY(B2)</f>
        <v>531</v>
      </c>
    </row>
    <row r="134" spans="1:15" ht="25.5">
      <c r="A134" s="944" t="s">
        <v>340</v>
      </c>
      <c r="B134" s="945"/>
      <c r="C134" s="870"/>
      <c r="D134" s="151" t="s">
        <v>183</v>
      </c>
      <c r="E134" s="95">
        <f>'2'!F134</f>
        <v>93746</v>
      </c>
      <c r="F134" s="165">
        <v>94007.56</v>
      </c>
      <c r="G134" s="112">
        <f t="shared" si="10"/>
        <v>261.55999999999767</v>
      </c>
      <c r="H134" s="99">
        <f>G134+'2'!H134</f>
        <v>774.05999999999767</v>
      </c>
      <c r="I134" s="165"/>
      <c r="J134" s="328">
        <f>H134/DAY(B2)</f>
        <v>258.01999999999924</v>
      </c>
    </row>
    <row r="135" spans="1:15" ht="26.25">
      <c r="A135" s="913" t="s">
        <v>196</v>
      </c>
      <c r="B135" s="914"/>
      <c r="C135" s="915"/>
      <c r="D135" s="151"/>
      <c r="E135" s="95"/>
      <c r="F135" s="165"/>
      <c r="G135" s="112">
        <f>SUM(G128:G134)</f>
        <v>1905.3429999999935</v>
      </c>
      <c r="H135" s="99">
        <f>G135+'2'!H135</f>
        <v>6053.4029999999912</v>
      </c>
      <c r="I135" s="327">
        <f>G135-(G35+G49)</f>
        <v>-1093.9470000000438</v>
      </c>
      <c r="J135" s="328">
        <f>H135/DAY(B2)</f>
        <v>2017.800999999997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'2'!F138</f>
        <v>913139</v>
      </c>
      <c r="F138" s="147">
        <v>913272</v>
      </c>
      <c r="G138" s="112">
        <f t="shared" ref="G138:G152" si="11">F138-E138</f>
        <v>133</v>
      </c>
      <c r="H138" s="99">
        <f>G138+'2'!H138</f>
        <v>361</v>
      </c>
      <c r="I138" s="118"/>
      <c r="J138" s="328">
        <f>H138/DAY(B2)</f>
        <v>120.33333333333333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'2'!F139</f>
        <v>937552</v>
      </c>
      <c r="F139" s="148">
        <v>937732</v>
      </c>
      <c r="G139" s="112">
        <f t="shared" si="11"/>
        <v>180</v>
      </c>
      <c r="H139" s="99">
        <f>G139+'2'!H139</f>
        <v>474</v>
      </c>
      <c r="I139" s="118"/>
      <c r="J139" s="328">
        <f>H139/DAY(B2)</f>
        <v>158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'2'!F140</f>
        <v>4828.1774999999998</v>
      </c>
      <c r="F140" s="149">
        <v>4859</v>
      </c>
      <c r="G140" s="112">
        <f t="shared" si="11"/>
        <v>30.822500000000218</v>
      </c>
      <c r="H140" s="99">
        <f>G140+'2'!H140</f>
        <v>95</v>
      </c>
      <c r="I140" s="118"/>
      <c r="J140" s="328">
        <f>H140/DAY(B2)</f>
        <v>31.666666666666668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'2'!F141</f>
        <v>131787.37</v>
      </c>
      <c r="F141" s="149">
        <v>132025</v>
      </c>
      <c r="G141" s="112">
        <f t="shared" si="11"/>
        <v>237.63000000000466</v>
      </c>
      <c r="H141" s="99">
        <f>G141+'2'!H141</f>
        <v>705</v>
      </c>
      <c r="I141" s="118"/>
      <c r="J141" s="328">
        <f>H141/DAY(B2)</f>
        <v>235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'2'!F142</f>
        <v>53398.9</v>
      </c>
      <c r="F142" s="148">
        <v>53498.5</v>
      </c>
      <c r="G142" s="112">
        <f t="shared" si="11"/>
        <v>99.599999999998545</v>
      </c>
      <c r="H142" s="99">
        <f>G142+'2'!H142</f>
        <v>307.5</v>
      </c>
      <c r="I142" s="140"/>
      <c r="J142" s="328">
        <f>H142/DAY(B2)</f>
        <v>102.5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'2'!F143</f>
        <v>14380</v>
      </c>
      <c r="F143" s="149">
        <v>14411.74</v>
      </c>
      <c r="G143" s="112">
        <f t="shared" si="11"/>
        <v>31.739999999999782</v>
      </c>
      <c r="H143" s="99">
        <f>G143+'2'!H143</f>
        <v>99.739999999999782</v>
      </c>
      <c r="I143" s="140"/>
      <c r="J143" s="328">
        <f>H143/DAY(B2)</f>
        <v>33.246666666666592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'2'!F144</f>
        <v>963766</v>
      </c>
      <c r="F144" s="149">
        <v>964043</v>
      </c>
      <c r="G144" s="112">
        <f t="shared" si="11"/>
        <v>277</v>
      </c>
      <c r="H144" s="99">
        <f>G144+'2'!H144</f>
        <v>817</v>
      </c>
      <c r="I144" s="140"/>
      <c r="J144" s="328">
        <f>H144/DAY(B2)</f>
        <v>272.33333333333331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'2'!F145</f>
        <v>751155</v>
      </c>
      <c r="F145" s="148">
        <v>751336</v>
      </c>
      <c r="G145" s="112">
        <f t="shared" si="11"/>
        <v>181</v>
      </c>
      <c r="H145" s="99">
        <f>G145+'2'!H145</f>
        <v>603</v>
      </c>
      <c r="I145" s="140"/>
      <c r="J145" s="328">
        <f>H145/DAY(B2)</f>
        <v>201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'2'!F146</f>
        <v>789104</v>
      </c>
      <c r="F146" s="148">
        <v>789159</v>
      </c>
      <c r="G146" s="112">
        <f t="shared" si="11"/>
        <v>55</v>
      </c>
      <c r="H146" s="99">
        <f>G146+'2'!H146</f>
        <v>134</v>
      </c>
      <c r="I146" s="140"/>
      <c r="J146" s="328">
        <f>H146/DAY(B2)</f>
        <v>44.666666666666664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'2'!F147</f>
        <v>772422.64</v>
      </c>
      <c r="F147" s="148">
        <v>772823.44</v>
      </c>
      <c r="G147" s="112">
        <f t="shared" si="11"/>
        <v>400.79999999993015</v>
      </c>
      <c r="H147" s="99">
        <f>G147+'2'!H147</f>
        <v>1166.5599999999395</v>
      </c>
      <c r="I147" s="140"/>
      <c r="J147" s="328">
        <f>H147/DAY(B2)</f>
        <v>388.85333333331317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'2'!F148</f>
        <v>807572.08</v>
      </c>
      <c r="F148" s="150">
        <v>807912</v>
      </c>
      <c r="G148" s="112">
        <f t="shared" si="11"/>
        <v>339.92000000004191</v>
      </c>
      <c r="H148" s="99">
        <f>G148+'2'!H148</f>
        <v>1091.7600000000093</v>
      </c>
      <c r="I148" s="124"/>
      <c r="J148" s="328">
        <f>H148/DAY(B2)</f>
        <v>363.92000000000309</v>
      </c>
    </row>
    <row r="149" spans="1:10" ht="25.5">
      <c r="A149" s="940" t="s">
        <v>336</v>
      </c>
      <c r="B149" s="941"/>
      <c r="C149" s="942"/>
      <c r="D149" s="227" t="s">
        <v>130</v>
      </c>
      <c r="E149" s="95">
        <f>'2'!F149</f>
        <v>218009</v>
      </c>
      <c r="F149" s="146">
        <v>218568</v>
      </c>
      <c r="G149" s="112">
        <f t="shared" si="11"/>
        <v>559</v>
      </c>
      <c r="H149" s="99">
        <f>G149+'2'!H149</f>
        <v>1672</v>
      </c>
      <c r="I149" s="119"/>
      <c r="J149" s="328">
        <f>H149/DAY(B2)</f>
        <v>557.33333333333337</v>
      </c>
    </row>
    <row r="150" spans="1:10" ht="25.5">
      <c r="A150" s="940" t="s">
        <v>337</v>
      </c>
      <c r="B150" s="941"/>
      <c r="C150" s="942"/>
      <c r="D150" s="117" t="s">
        <v>130</v>
      </c>
      <c r="E150" s="95">
        <f>'2'!F150</f>
        <v>95214</v>
      </c>
      <c r="F150" s="233">
        <v>95336</v>
      </c>
      <c r="G150" s="112">
        <f t="shared" si="11"/>
        <v>122</v>
      </c>
      <c r="H150" s="99">
        <f>G150+'2'!H150</f>
        <v>358</v>
      </c>
      <c r="I150" s="119"/>
      <c r="J150" s="328">
        <f>H150/DAY(B2)</f>
        <v>119.33333333333333</v>
      </c>
    </row>
    <row r="151" spans="1:10" ht="29.25" customHeight="1">
      <c r="A151" s="940" t="s">
        <v>338</v>
      </c>
      <c r="B151" s="941"/>
      <c r="C151" s="942"/>
      <c r="D151" s="117" t="s">
        <v>130</v>
      </c>
      <c r="E151" s="95">
        <f>'2'!F151</f>
        <v>176780</v>
      </c>
      <c r="F151" s="233">
        <v>177108</v>
      </c>
      <c r="G151" s="112">
        <f t="shared" si="11"/>
        <v>328</v>
      </c>
      <c r="H151" s="99">
        <f>G151+'2'!H151</f>
        <v>933</v>
      </c>
      <c r="I151" s="119"/>
      <c r="J151" s="328">
        <f>H151/DAY(B2)</f>
        <v>311</v>
      </c>
    </row>
    <row r="152" spans="1:10" ht="29.25" customHeight="1">
      <c r="A152" s="940" t="s">
        <v>339</v>
      </c>
      <c r="B152" s="941"/>
      <c r="C152" s="942"/>
      <c r="D152" s="117" t="s">
        <v>130</v>
      </c>
      <c r="E152" s="95">
        <f>'2'!F152</f>
        <v>46895</v>
      </c>
      <c r="F152" s="233">
        <v>47031</v>
      </c>
      <c r="G152" s="112">
        <f t="shared" si="11"/>
        <v>136</v>
      </c>
      <c r="H152" s="99">
        <f>G152+'2'!H152</f>
        <v>399</v>
      </c>
      <c r="I152" s="119"/>
      <c r="J152" s="328">
        <f>H152/DAY(B2)</f>
        <v>133</v>
      </c>
    </row>
    <row r="153" spans="1:10" ht="29.25" customHeight="1">
      <c r="A153" s="913" t="s">
        <v>196</v>
      </c>
      <c r="B153" s="914"/>
      <c r="C153" s="915"/>
      <c r="D153" s="367"/>
      <c r="E153" s="368"/>
      <c r="F153" s="369"/>
      <c r="G153" s="370">
        <f>SUM(G138:G152)</f>
        <v>3111.5124999999753</v>
      </c>
      <c r="H153" s="371"/>
      <c r="I153" s="119">
        <f>G153-(G38+G52)</f>
        <v>289.08249999992404</v>
      </c>
      <c r="J153" s="372"/>
    </row>
    <row r="154" spans="1:10" ht="29.2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9.25" customHeight="1">
      <c r="A155" s="865" t="s">
        <v>345</v>
      </c>
      <c r="B155" s="865"/>
      <c r="C155" s="865"/>
      <c r="D155" s="117" t="s">
        <v>130</v>
      </c>
      <c r="E155" s="95">
        <f>'2'!F155</f>
        <v>257500</v>
      </c>
      <c r="F155" s="388">
        <v>258019</v>
      </c>
      <c r="G155" s="112">
        <f t="shared" ref="G155:G158" si="12">F155-E155</f>
        <v>519</v>
      </c>
      <c r="H155" s="99">
        <f>G155+'2'!H155</f>
        <v>1667</v>
      </c>
      <c r="I155" s="364"/>
      <c r="J155" s="328">
        <f>H155/DAY(B2)</f>
        <v>555.66666666666663</v>
      </c>
    </row>
    <row r="156" spans="1:10" ht="29.25" customHeight="1">
      <c r="A156" s="943" t="s">
        <v>346</v>
      </c>
      <c r="B156" s="943"/>
      <c r="C156" s="943"/>
      <c r="D156" s="117" t="s">
        <v>130</v>
      </c>
      <c r="E156" s="95">
        <f>'2'!F156</f>
        <v>32739</v>
      </c>
      <c r="F156" s="388">
        <v>32858</v>
      </c>
      <c r="G156" s="112">
        <f t="shared" si="12"/>
        <v>119</v>
      </c>
      <c r="H156" s="99">
        <f>G156+'2'!H156</f>
        <v>299</v>
      </c>
      <c r="I156" s="165"/>
      <c r="J156" s="328">
        <f>H156/DAY(B2)</f>
        <v>99.666666666666671</v>
      </c>
    </row>
    <row r="157" spans="1:10" ht="29.25" customHeight="1">
      <c r="A157" s="866" t="s">
        <v>359</v>
      </c>
      <c r="B157" s="867"/>
      <c r="C157" s="868"/>
      <c r="D157" s="117" t="s">
        <v>130</v>
      </c>
      <c r="E157" s="95">
        <f>'2'!F157</f>
        <v>37559</v>
      </c>
      <c r="F157" s="388">
        <v>37559</v>
      </c>
      <c r="G157" s="112">
        <f t="shared" si="12"/>
        <v>0</v>
      </c>
      <c r="H157" s="99">
        <f>G157+'2'!H157</f>
        <v>0</v>
      </c>
      <c r="I157" s="165"/>
      <c r="J157" s="328"/>
    </row>
    <row r="158" spans="1:10" ht="29.25" customHeight="1">
      <c r="A158" s="866" t="s">
        <v>360</v>
      </c>
      <c r="B158" s="867"/>
      <c r="C158" s="868"/>
      <c r="D158" s="117" t="s">
        <v>130</v>
      </c>
      <c r="E158" s="95">
        <f>'2'!F158</f>
        <v>1783</v>
      </c>
      <c r="F158" s="388">
        <v>1784</v>
      </c>
      <c r="G158" s="112">
        <f t="shared" si="12"/>
        <v>1</v>
      </c>
      <c r="H158" s="99">
        <f>G158+'2'!H158</f>
        <v>1</v>
      </c>
      <c r="I158" s="165"/>
      <c r="J158" s="328"/>
    </row>
    <row r="159" spans="1:10" ht="29.25" customHeight="1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512858</v>
      </c>
      <c r="F161" s="235">
        <v>513025</v>
      </c>
      <c r="G161" s="238">
        <f t="shared" ref="G161:G165" si="13">F161-E161</f>
        <v>167</v>
      </c>
      <c r="H161" s="99">
        <f>G161+'2'!H161</f>
        <v>580</v>
      </c>
      <c r="I161" s="236"/>
      <c r="J161" s="239">
        <f>H161/DAY(B2)</f>
        <v>193.33333333333334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1867</v>
      </c>
      <c r="F162" s="235">
        <v>1906.7</v>
      </c>
      <c r="G162" s="238">
        <f t="shared" si="13"/>
        <v>39.700000000000045</v>
      </c>
      <c r="H162" s="99">
        <f>G162+'2'!H162</f>
        <v>119.70000000000005</v>
      </c>
      <c r="I162" s="236"/>
      <c r="J162" s="239">
        <f>H162/DAY(B2)</f>
        <v>39.900000000000013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0</v>
      </c>
      <c r="F163" s="235">
        <v>0</v>
      </c>
      <c r="G163" s="238">
        <f t="shared" si="13"/>
        <v>0</v>
      </c>
      <c r="H163" s="99">
        <f>G163+'2'!H163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7346.5</v>
      </c>
      <c r="F164" s="235">
        <v>7347</v>
      </c>
      <c r="G164" s="238">
        <f t="shared" si="13"/>
        <v>0.5</v>
      </c>
      <c r="H164" s="99">
        <f>G164+'2'!H164</f>
        <v>10</v>
      </c>
      <c r="I164" s="236"/>
      <c r="J164" s="239">
        <f>H164/DAY(B2)</f>
        <v>3.3333333333333335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32988.65</v>
      </c>
      <c r="F165" s="235">
        <v>32995</v>
      </c>
      <c r="G165" s="238">
        <f t="shared" si="13"/>
        <v>6.3499999999985448</v>
      </c>
      <c r="H165" s="99">
        <f>G165+'2'!H165</f>
        <v>20.480000000003201</v>
      </c>
      <c r="I165" s="236"/>
      <c r="J165" s="239">
        <f>H165/DAY(B2)</f>
        <v>6.8266666666677338</v>
      </c>
    </row>
    <row r="166" spans="1:10" ht="26.25">
      <c r="A166" s="872"/>
      <c r="B166" s="872"/>
      <c r="C166" s="246"/>
      <c r="D166" s="244" t="s">
        <v>180</v>
      </c>
      <c r="E166" s="95"/>
      <c r="F166" s="158"/>
      <c r="G166" s="165"/>
      <c r="H166" s="99">
        <f>G166+'2'!H166</f>
        <v>0</v>
      </c>
      <c r="I166" s="165"/>
      <c r="J166" s="327"/>
    </row>
    <row r="167" spans="1:10" ht="26.25">
      <c r="A167" s="872"/>
      <c r="B167" s="872"/>
      <c r="C167" s="246"/>
      <c r="D167" s="244" t="s">
        <v>180</v>
      </c>
      <c r="E167" s="95"/>
      <c r="F167" s="165"/>
      <c r="G167" s="165"/>
      <c r="H167" s="99">
        <f>G167+'2'!H167</f>
        <v>0</v>
      </c>
      <c r="I167" s="165"/>
      <c r="J167" s="327"/>
    </row>
    <row r="168" spans="1:10" ht="26.25">
      <c r="A168" s="872"/>
      <c r="B168" s="872"/>
      <c r="C168" s="246"/>
      <c r="D168" s="244" t="s">
        <v>180</v>
      </c>
      <c r="E168" s="95"/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'2'!F173</f>
        <v>8614</v>
      </c>
      <c r="F173" s="157">
        <v>8616</v>
      </c>
      <c r="G173" s="155">
        <f>F173-E173</f>
        <v>2</v>
      </c>
      <c r="H173" s="99">
        <f>G173+'2'!H173</f>
        <v>4</v>
      </c>
      <c r="I173" s="155"/>
      <c r="J173" s="178">
        <f>H173/DAY(B2)</f>
        <v>1.3333333333333333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'2'!F174</f>
        <v>43434</v>
      </c>
      <c r="F174" s="157">
        <v>43448</v>
      </c>
      <c r="G174" s="155">
        <f t="shared" ref="G174:G175" si="14">F174-E174</f>
        <v>14</v>
      </c>
      <c r="H174" s="99">
        <f>G174+'2'!H174</f>
        <v>34</v>
      </c>
      <c r="I174" s="155"/>
      <c r="J174" s="178">
        <f>H174/DAY(B2)</f>
        <v>11.333333333333334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'2'!F175</f>
        <v>26313</v>
      </c>
      <c r="F175" s="155">
        <v>26324</v>
      </c>
      <c r="G175" s="155">
        <f t="shared" si="14"/>
        <v>11</v>
      </c>
      <c r="H175" s="99">
        <f>G175+'2'!H175</f>
        <v>37</v>
      </c>
      <c r="I175" s="155"/>
      <c r="J175" s="178">
        <f>H175/DAY(B2)</f>
        <v>12.333333333333334</v>
      </c>
    </row>
    <row r="176" spans="1:10" ht="26.25">
      <c r="A176" s="913" t="s">
        <v>196</v>
      </c>
      <c r="B176" s="914"/>
      <c r="C176" s="915"/>
      <c r="D176" s="228"/>
      <c r="E176" s="95"/>
      <c r="F176" s="155"/>
      <c r="G176" s="155">
        <f>SUM(G173:G175)</f>
        <v>27</v>
      </c>
      <c r="H176" s="99">
        <f>G176+'2'!H176</f>
        <v>75</v>
      </c>
      <c r="I176" s="155"/>
      <c r="J176" s="178">
        <f>H176/DAY(B2)</f>
        <v>25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'2'!F178</f>
        <v>110661</v>
      </c>
      <c r="F178" s="157">
        <v>110782</v>
      </c>
      <c r="G178" s="155">
        <f>F178-E178</f>
        <v>121</v>
      </c>
      <c r="H178" s="99">
        <f>G178+'2'!H178</f>
        <v>391</v>
      </c>
      <c r="I178" s="155"/>
      <c r="J178" s="178">
        <f>H178/DAY(B2)</f>
        <v>130.33333333333334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'2'!F179</f>
        <v>37501</v>
      </c>
      <c r="F179" s="155">
        <v>37501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'2'!F180</f>
        <v>7711</v>
      </c>
      <c r="F180" s="155">
        <v>7717</v>
      </c>
      <c r="G180" s="155">
        <f t="shared" si="15"/>
        <v>6</v>
      </c>
      <c r="H180" s="99">
        <f>G180+'2'!H180</f>
        <v>16</v>
      </c>
      <c r="I180" s="155"/>
      <c r="J180" s="178">
        <f>H180/DAY(B2)</f>
        <v>5.333333333333333</v>
      </c>
    </row>
    <row r="181" spans="1:10" ht="26.25">
      <c r="A181" s="913" t="s">
        <v>196</v>
      </c>
      <c r="B181" s="914"/>
      <c r="C181" s="915"/>
      <c r="D181" s="228"/>
      <c r="E181" s="95"/>
      <c r="F181" s="155"/>
      <c r="G181" s="155">
        <f>SUM(G178:G180)</f>
        <v>127</v>
      </c>
      <c r="H181" s="99">
        <f>G181+'2'!H181</f>
        <v>407</v>
      </c>
      <c r="I181" s="155"/>
      <c r="J181" s="178">
        <f>H181/DAY(B2)</f>
        <v>135.66666666666666</v>
      </c>
    </row>
    <row r="182" spans="1:10" ht="25.5">
      <c r="A182" s="790" t="s">
        <v>213</v>
      </c>
      <c r="B182" s="791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'2'!F183</f>
        <v>18704</v>
      </c>
      <c r="F183" s="157">
        <v>18709</v>
      </c>
      <c r="G183" s="157">
        <f>F183-E183</f>
        <v>5</v>
      </c>
      <c r="H183" s="99">
        <f>G183+'2'!H183</f>
        <v>17</v>
      </c>
      <c r="I183" s="155"/>
      <c r="J183" s="178">
        <f>H183/DAY(B2)</f>
        <v>5.666666666666667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'2'!F184</f>
        <v>13265</v>
      </c>
      <c r="F184" s="157">
        <v>13276</v>
      </c>
      <c r="G184" s="157">
        <f t="shared" ref="G184:G185" si="16">F184-E184</f>
        <v>11</v>
      </c>
      <c r="H184" s="99">
        <f>G184+'2'!H184</f>
        <v>30</v>
      </c>
      <c r="I184" s="155"/>
      <c r="J184" s="178">
        <f>H184/DAY(B2)</f>
        <v>10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13" t="s">
        <v>196</v>
      </c>
      <c r="B186" s="914"/>
      <c r="C186" s="915"/>
      <c r="D186" s="229"/>
      <c r="E186" s="95"/>
      <c r="F186" s="157"/>
      <c r="G186" s="157">
        <f>SUM(G183:G185)</f>
        <v>16</v>
      </c>
      <c r="H186" s="99">
        <f>G186+'2'!H186</f>
        <v>47</v>
      </c>
      <c r="I186" s="157"/>
      <c r="J186" s="178">
        <f>H186/DAY(B2)</f>
        <v>15.666666666666666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186.29999999998836</v>
      </c>
      <c r="H187" s="99">
        <f>G187+'2'!H187</f>
        <v>545.29999999998836</v>
      </c>
      <c r="I187" s="158"/>
      <c r="J187" s="179">
        <f>H187/DAY(B2)</f>
        <v>181.76666666666279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200</v>
      </c>
      <c r="H188" s="99">
        <f>G188+'2'!H188</f>
        <v>564</v>
      </c>
      <c r="I188" s="158"/>
      <c r="J188" s="179">
        <f>H188/DAY(B2)</f>
        <v>188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127</v>
      </c>
      <c r="H189" s="99">
        <f>G189+'2'!H189</f>
        <v>407</v>
      </c>
      <c r="I189" s="158"/>
      <c r="J189" s="179">
        <f>H189/DAY(B2)</f>
        <v>135.66666666666666</v>
      </c>
    </row>
    <row r="190" spans="1:10" ht="25.5">
      <c r="A190" s="869"/>
      <c r="B190" s="87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15" zoomScale="55" zoomScaleNormal="48" zoomScaleSheetLayoutView="55" workbookViewId="0">
      <selection activeCell="F165" sqref="F1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372</v>
      </c>
      <c r="B2" s="262">
        <v>44930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0" t="s">
        <v>119</v>
      </c>
      <c r="F3" s="931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689927</v>
      </c>
      <c r="F7" s="95">
        <v>711691</v>
      </c>
      <c r="G7" s="112">
        <f>F7-E7</f>
        <v>21764</v>
      </c>
      <c r="H7" s="99">
        <f>G7+'3'!H7</f>
        <v>88892</v>
      </c>
      <c r="I7" s="113">
        <f>'1'!I7</f>
        <v>12000</v>
      </c>
      <c r="J7" s="175">
        <f>H7/DAY(B2)</f>
        <v>22223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884483.31</v>
      </c>
      <c r="F8" s="114">
        <v>906849</v>
      </c>
      <c r="G8" s="115">
        <f>F8-E8</f>
        <v>22365.689999999944</v>
      </c>
      <c r="H8" s="99">
        <f>G8+'3'!H8</f>
        <v>90739</v>
      </c>
      <c r="I8" s="116"/>
      <c r="J8" s="175">
        <f>H8/DAY(B2)</f>
        <v>22684.75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4870214.0999999996</v>
      </c>
      <c r="F9" s="117">
        <v>4882042.3</v>
      </c>
      <c r="G9" s="112">
        <f>F9-E9</f>
        <v>11828.200000000186</v>
      </c>
      <c r="H9" s="99">
        <f>G9+'3'!H9</f>
        <v>56943.299999999814</v>
      </c>
      <c r="I9" s="124">
        <f>I7-J7</f>
        <v>-10223</v>
      </c>
      <c r="J9" s="175">
        <f>H9/DAY(B2)</f>
        <v>14235.824999999953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4310809</v>
      </c>
      <c r="F10" s="117">
        <v>4320168</v>
      </c>
      <c r="G10" s="112">
        <f t="shared" ref="G10:G12" si="0">F10-E10</f>
        <v>9359</v>
      </c>
      <c r="H10" s="99">
        <f>G10+'3'!H10</f>
        <v>29634</v>
      </c>
      <c r="I10" s="282"/>
      <c r="J10" s="175">
        <f>H10/DAY(B2)</f>
        <v>7408.5</v>
      </c>
      <c r="K10" s="79"/>
      <c r="L10" s="66"/>
      <c r="N10" s="87"/>
      <c r="O10" s="71">
        <f>G13-G7</f>
        <v>-576.79999999981374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38700</v>
      </c>
      <c r="F11" s="95">
        <v>38700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40550</v>
      </c>
      <c r="F12" s="117">
        <v>40550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21187.200000000186</v>
      </c>
      <c r="H13" s="99">
        <f>G13+'3'!H13</f>
        <v>86577.299999999814</v>
      </c>
      <c r="I13" s="120">
        <f>G7-G13</f>
        <v>576.79999999981374</v>
      </c>
      <c r="J13" s="175">
        <f>H13/DAY(B2)</f>
        <v>21644.324999999953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2291830</v>
      </c>
      <c r="F15" s="468">
        <v>2292980</v>
      </c>
      <c r="G15" s="112">
        <f>(F15-E15)</f>
        <v>1150</v>
      </c>
      <c r="H15" s="99">
        <f>G15+'3'!H15</f>
        <v>4506.285000000149</v>
      </c>
      <c r="I15" s="113">
        <f>'1'!I15</f>
        <v>800</v>
      </c>
      <c r="J15" s="175">
        <f>H15/DAY(B2)</f>
        <v>1126.5712500000373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-326.57125000003725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'3'!F18</f>
        <v>22</v>
      </c>
      <c r="F18" s="122">
        <v>21</v>
      </c>
      <c r="G18" s="119">
        <f>F18*10</f>
        <v>210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'3'!F19</f>
        <v>171491</v>
      </c>
      <c r="F19" s="122">
        <v>171546</v>
      </c>
      <c r="G19" s="112">
        <f t="shared" ref="G19" si="1">F19-E19</f>
        <v>55</v>
      </c>
      <c r="H19" s="99">
        <f>G19+'3'!H19</f>
        <v>223</v>
      </c>
      <c r="I19" s="335"/>
      <c r="J19" s="175">
        <f>H19/DAY(B2)</f>
        <v>55.75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G20+'3'!H20</f>
        <v>1013</v>
      </c>
      <c r="I20" s="336">
        <f>I18-J20</f>
        <v>-188.25</v>
      </c>
      <c r="J20" s="175">
        <f>H20/DAY(B2)</f>
        <v>253.25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8.5">
      <c r="A27" s="208" t="s">
        <v>5</v>
      </c>
      <c r="B27" s="209"/>
      <c r="C27" s="210"/>
      <c r="D27" s="226" t="s">
        <v>24</v>
      </c>
      <c r="E27" s="135">
        <f>G8</f>
        <v>22365.689999999944</v>
      </c>
      <c r="F27" s="668">
        <v>10</v>
      </c>
      <c r="G27" s="137">
        <f>E27*F27</f>
        <v>223656.89999999944</v>
      </c>
      <c r="H27" s="99">
        <f>G27+'3'!H27</f>
        <v>907390</v>
      </c>
      <c r="I27" s="138"/>
      <c r="J27" s="175">
        <f>H27/DAY(B2)</f>
        <v>226847.5</v>
      </c>
      <c r="K27" s="63"/>
      <c r="L27" s="89"/>
      <c r="N27" s="87"/>
      <c r="O27" s="71"/>
    </row>
    <row r="28" spans="1:15" s="88" customFormat="1" ht="28.5">
      <c r="A28" s="208" t="s">
        <v>152</v>
      </c>
      <c r="B28" s="209"/>
      <c r="C28" s="210"/>
      <c r="D28" s="226" t="s">
        <v>153</v>
      </c>
      <c r="E28" s="139">
        <f>G15</f>
        <v>1150</v>
      </c>
      <c r="F28" s="668">
        <v>66</v>
      </c>
      <c r="G28" s="137">
        <f>E28*F28</f>
        <v>75900</v>
      </c>
      <c r="H28" s="99">
        <f>G28+'3'!H28</f>
        <v>297414.81000000983</v>
      </c>
      <c r="I28" s="140"/>
      <c r="J28" s="175">
        <f>H28/DAY(B2)</f>
        <v>74353.702500002459</v>
      </c>
      <c r="K28" s="63"/>
      <c r="L28" s="89"/>
      <c r="N28" s="87"/>
      <c r="O28" s="71"/>
    </row>
    <row r="29" spans="1:15" s="88" customFormat="1" ht="28.5">
      <c r="A29" s="208" t="s">
        <v>154</v>
      </c>
      <c r="B29" s="209"/>
      <c r="C29" s="210"/>
      <c r="D29" s="226" t="s">
        <v>155</v>
      </c>
      <c r="E29" s="141">
        <f>G24</f>
        <v>0</v>
      </c>
      <c r="F29" s="668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8.5">
      <c r="A30" s="208" t="s">
        <v>156</v>
      </c>
      <c r="B30" s="209"/>
      <c r="C30" s="210"/>
      <c r="D30" s="226" t="s">
        <v>157</v>
      </c>
      <c r="E30" s="141">
        <f>G19</f>
        <v>55</v>
      </c>
      <c r="F30" s="668">
        <v>151</v>
      </c>
      <c r="G30" s="137">
        <f>E30*F30</f>
        <v>8305</v>
      </c>
      <c r="H30" s="99">
        <f>G30+'3'!H30</f>
        <v>33673</v>
      </c>
      <c r="I30" s="140"/>
      <c r="J30" s="175">
        <f>H30/DAY(B2)</f>
        <v>8418.25</v>
      </c>
      <c r="K30" s="63"/>
      <c r="L30" s="89"/>
      <c r="N30" s="87"/>
      <c r="O30" s="71"/>
    </row>
    <row r="31" spans="1:15" s="88" customFormat="1" ht="28.5">
      <c r="A31" s="208" t="s">
        <v>158</v>
      </c>
      <c r="B31" s="209"/>
      <c r="C31" s="210"/>
      <c r="D31" s="226" t="s">
        <v>142</v>
      </c>
      <c r="E31" s="141">
        <f>G18</f>
        <v>210</v>
      </c>
      <c r="F31" s="668">
        <v>85</v>
      </c>
      <c r="G31" s="137">
        <f>E31*F31</f>
        <v>17850</v>
      </c>
      <c r="H31" s="99">
        <f>G31+'3'!H31</f>
        <v>67150</v>
      </c>
      <c r="I31" s="140"/>
      <c r="J31" s="175">
        <f>H31/DAY(B2)</f>
        <v>16787.5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325711.89999999944</v>
      </c>
      <c r="H32" s="99">
        <f>G32+'3'!H32</f>
        <v>1305627.8100000098</v>
      </c>
      <c r="I32" s="144"/>
      <c r="J32" s="175">
        <f>H32/DAY(B2)</f>
        <v>326406.95250000246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537658</v>
      </c>
      <c r="F35" s="145">
        <v>540062</v>
      </c>
      <c r="G35" s="112">
        <f t="shared" ref="G35:G46" si="3">F35-E35</f>
        <v>2404</v>
      </c>
      <c r="H35" s="99">
        <f>G35+'3'!H35</f>
        <v>10006</v>
      </c>
      <c r="I35" s="95"/>
      <c r="J35" s="175">
        <f>H35/DAY(B2)</f>
        <v>2501.5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385002.9</v>
      </c>
      <c r="F36" s="145">
        <v>385928</v>
      </c>
      <c r="G36" s="112">
        <f t="shared" si="3"/>
        <v>925.09999999997672</v>
      </c>
      <c r="H36" s="99">
        <f>G36+'3'!H36</f>
        <v>4107</v>
      </c>
      <c r="I36" s="95"/>
      <c r="J36" s="175">
        <f>H36/DAY(B2)</f>
        <v>1026.75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388011.99</v>
      </c>
      <c r="F37" s="145">
        <v>389483</v>
      </c>
      <c r="G37" s="112">
        <f t="shared" si="3"/>
        <v>1471.0100000000093</v>
      </c>
      <c r="H37" s="99">
        <f>G37+'3'!H37</f>
        <v>5864</v>
      </c>
      <c r="I37" s="95"/>
      <c r="J37" s="175">
        <f>H37/DAY(B2)</f>
        <v>1466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885262</v>
      </c>
      <c r="F38" s="108">
        <v>888024</v>
      </c>
      <c r="G38" s="112">
        <f t="shared" si="3"/>
        <v>2762</v>
      </c>
      <c r="H38" s="99">
        <f>G38+'3'!H38</f>
        <v>10897</v>
      </c>
      <c r="I38" s="95"/>
      <c r="J38" s="175">
        <f>H38/DAY(B2)</f>
        <v>2724.25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714763.45</v>
      </c>
      <c r="F39" s="145">
        <v>717581.79</v>
      </c>
      <c r="G39" s="112">
        <f t="shared" si="3"/>
        <v>2818.3400000000838</v>
      </c>
      <c r="H39" s="99">
        <f>G39+'3'!H39</f>
        <v>11445.790000000037</v>
      </c>
      <c r="I39" s="95"/>
      <c r="J39" s="175">
        <f>H39/DAY(B2)</f>
        <v>2861.4475000000093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219005.95</v>
      </c>
      <c r="F40" s="145">
        <v>219216</v>
      </c>
      <c r="G40" s="112">
        <f t="shared" si="3"/>
        <v>210.04999999998836</v>
      </c>
      <c r="H40" s="99">
        <f>G40+'3'!H40</f>
        <v>1424</v>
      </c>
      <c r="I40" s="95"/>
      <c r="J40" s="175">
        <f>H40/DAY(B2)</f>
        <v>356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420212.1</v>
      </c>
      <c r="F41" s="145">
        <v>420212</v>
      </c>
      <c r="G41" s="112">
        <f t="shared" si="3"/>
        <v>-9.9999999976716936E-2</v>
      </c>
      <c r="H41" s="99">
        <f>G41+'3'!H41</f>
        <v>-0.51000000000931323</v>
      </c>
      <c r="I41" s="95"/>
      <c r="J41" s="175">
        <f>H41/DAY(B2)</f>
        <v>-0.12750000000232831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982309.59</v>
      </c>
      <c r="F42" s="145">
        <v>982309.59</v>
      </c>
      <c r="G42" s="112">
        <f t="shared" si="3"/>
        <v>0</v>
      </c>
      <c r="H42" s="99">
        <f>G42+'3'!H42</f>
        <v>9246.9599999999627</v>
      </c>
      <c r="I42" s="95"/>
      <c r="J42" s="175">
        <f>H42/DAY(B2)</f>
        <v>2311.7399999999907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422444</v>
      </c>
      <c r="F43" s="145">
        <v>422444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10590.400000000081</v>
      </c>
      <c r="H47" s="99">
        <f>G47+'3'!H47</f>
        <v>52990.239999999991</v>
      </c>
      <c r="I47" s="95"/>
      <c r="J47" s="175">
        <f>H47/DAY(B2)</f>
        <v>13247.559999999998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824517</v>
      </c>
      <c r="F49" s="422">
        <v>825050</v>
      </c>
      <c r="G49" s="112">
        <f t="shared" ref="G49:G58" si="4">F49-E49</f>
        <v>533</v>
      </c>
      <c r="H49" s="99">
        <f>G49+'3'!H49</f>
        <v>2138</v>
      </c>
      <c r="I49" s="95"/>
      <c r="J49" s="175">
        <f>H49/DAY(B2)</f>
        <v>534.5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546471.06999999995</v>
      </c>
      <c r="F50" s="145">
        <v>547660</v>
      </c>
      <c r="G50" s="112">
        <f t="shared" si="4"/>
        <v>1188.9300000000512</v>
      </c>
      <c r="H50" s="99">
        <f>G50+'3'!H50</f>
        <v>5686</v>
      </c>
      <c r="I50" s="95"/>
      <c r="J50" s="175">
        <f>H50/DAY(B2)</f>
        <v>1421.5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156958.44</v>
      </c>
      <c r="F51" s="145">
        <v>156958</v>
      </c>
      <c r="G51" s="112">
        <f t="shared" si="4"/>
        <v>-0.44000000000232831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1457</v>
      </c>
      <c r="F52" s="145">
        <v>1457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05">
        <f>'3'!F53</f>
        <v>630355</v>
      </c>
      <c r="F53" s="422">
        <v>630355</v>
      </c>
      <c r="G53" s="236">
        <f t="shared" si="4"/>
        <v>0</v>
      </c>
      <c r="H53" s="99">
        <f>G53+'3'!H53</f>
        <v>-3.0000000027939677E-2</v>
      </c>
      <c r="I53" s="95"/>
      <c r="J53" s="175">
        <f>H53/DAY(B2)</f>
        <v>-7.5000000069849193E-3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05">
        <f>'3'!F54</f>
        <v>125153</v>
      </c>
      <c r="F54" s="422">
        <v>125429</v>
      </c>
      <c r="G54" s="236">
        <f t="shared" si="4"/>
        <v>276</v>
      </c>
      <c r="H54" s="99">
        <f>G54+'3'!H54</f>
        <v>1314.7899999999936</v>
      </c>
      <c r="I54" s="95"/>
      <c r="J54" s="175">
        <f>H54/DAY(B2)</f>
        <v>328.6974999999984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594304.75</v>
      </c>
      <c r="F55" s="145">
        <v>594304.75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377105</v>
      </c>
      <c r="F56" s="145">
        <v>380255.67</v>
      </c>
      <c r="G56" s="112">
        <f t="shared" si="4"/>
        <v>3150.6699999999837</v>
      </c>
      <c r="H56" s="99">
        <f>G56+'3'!H56</f>
        <v>7135.6699999999837</v>
      </c>
      <c r="I56" s="95"/>
      <c r="J56" s="175">
        <f>H56/DAY(B2)</f>
        <v>1783.9174999999959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715336</v>
      </c>
      <c r="F57" s="145">
        <v>717921</v>
      </c>
      <c r="G57" s="112">
        <f t="shared" si="4"/>
        <v>2585</v>
      </c>
      <c r="H57" s="99">
        <f>G57+'3'!H57</f>
        <v>10223</v>
      </c>
      <c r="I57" s="95"/>
      <c r="J57" s="175">
        <f>H57/DAY(B2)</f>
        <v>2555.75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95313.62</v>
      </c>
      <c r="F58" s="145">
        <v>95567.32</v>
      </c>
      <c r="G58" s="112">
        <f t="shared" si="4"/>
        <v>253.70000000001164</v>
      </c>
      <c r="H58" s="99">
        <f>G58+'3'!H58</f>
        <v>997.5</v>
      </c>
      <c r="I58" s="95"/>
      <c r="J58" s="175">
        <f>H58/DAY(B2)</f>
        <v>249.375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7986.8600000000442</v>
      </c>
      <c r="H59" s="99">
        <f>G59+'3'!H59</f>
        <v>27494.929999999949</v>
      </c>
      <c r="I59" s="95">
        <f>G7-G60</f>
        <v>3186.7399999998743</v>
      </c>
      <c r="J59" s="175">
        <f>H59/DAY(B2)</f>
        <v>6873.7324999999873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18577.260000000126</v>
      </c>
      <c r="H60" s="99">
        <f>G60+'3'!H60</f>
        <v>80485.16999999994</v>
      </c>
      <c r="I60" s="95">
        <f>G13-G60</f>
        <v>2609.9400000000605</v>
      </c>
      <c r="J60" s="175">
        <f>H60/DAY(B2)</f>
        <v>20121.292499999985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405">
        <f>'3'!F62</f>
        <v>316054.3</v>
      </c>
      <c r="F62" s="164">
        <v>316196</v>
      </c>
      <c r="G62" s="236">
        <f t="shared" ref="G62:G63" si="5">F62-E62</f>
        <v>141.70000000001164</v>
      </c>
      <c r="H62" s="99">
        <f>G62+'3'!H62</f>
        <v>519</v>
      </c>
      <c r="I62" s="118"/>
      <c r="J62" s="175">
        <f>H62/DAY(B2)</f>
        <v>129.75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'3'!F63</f>
        <v>252615</v>
      </c>
      <c r="F63" s="122">
        <v>252714</v>
      </c>
      <c r="G63" s="112">
        <f t="shared" si="5"/>
        <v>99</v>
      </c>
      <c r="H63" s="99">
        <f>G63+'3'!H63</f>
        <v>390</v>
      </c>
      <c r="I63" s="118"/>
      <c r="J63" s="175">
        <f>H63/DAY(B2)</f>
        <v>97.5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122"/>
      <c r="F64" s="122"/>
      <c r="G64" s="112">
        <f>G62+G63</f>
        <v>240.70000000001164</v>
      </c>
      <c r="H64" s="99">
        <f>G64+'3'!H64</f>
        <v>909</v>
      </c>
      <c r="I64" s="118"/>
      <c r="J64" s="175">
        <f>H64/DAY(B2)</f>
        <v>227.25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'3'!F65</f>
        <v>476314</v>
      </c>
      <c r="F65" s="122">
        <v>476459</v>
      </c>
      <c r="G65" s="112">
        <f t="shared" ref="G65:G70" si="6">F65-E65</f>
        <v>145</v>
      </c>
      <c r="H65" s="99">
        <f>G65+'3'!H65</f>
        <v>556</v>
      </c>
      <c r="I65" s="118"/>
      <c r="J65" s="175">
        <f>H65/DAY(B2)</f>
        <v>139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114527</v>
      </c>
      <c r="F66" s="122">
        <v>114545</v>
      </c>
      <c r="G66" s="112">
        <f t="shared" si="6"/>
        <v>18</v>
      </c>
      <c r="H66" s="99">
        <f>G66+'3'!H66</f>
        <v>79</v>
      </c>
      <c r="I66" s="118"/>
      <c r="J66" s="175">
        <f>H66/DAY(B2)</f>
        <v>19.75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117335</v>
      </c>
      <c r="F67" s="122">
        <v>117365</v>
      </c>
      <c r="G67" s="112">
        <f t="shared" si="6"/>
        <v>30</v>
      </c>
      <c r="H67" s="99">
        <f>G67+'3'!H67</f>
        <v>83</v>
      </c>
      <c r="I67" s="118"/>
      <c r="J67" s="175">
        <f>H67/DAY(B2)</f>
        <v>20.75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170000</v>
      </c>
      <c r="F68" s="122">
        <v>170032</v>
      </c>
      <c r="G68" s="112">
        <f t="shared" si="6"/>
        <v>32</v>
      </c>
      <c r="H68" s="99">
        <f>G68+'3'!H68</f>
        <v>82</v>
      </c>
      <c r="I68" s="118"/>
      <c r="J68" s="175">
        <f>H68/DAY(B2)</f>
        <v>20.5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13227</v>
      </c>
      <c r="F69" s="164">
        <v>13230</v>
      </c>
      <c r="G69" s="236">
        <f t="shared" si="6"/>
        <v>3</v>
      </c>
      <c r="H69" s="99">
        <f>G69+'3'!H69</f>
        <v>18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11282</v>
      </c>
      <c r="F70" s="122">
        <v>11287</v>
      </c>
      <c r="G70" s="112">
        <f t="shared" si="6"/>
        <v>5</v>
      </c>
      <c r="H70" s="99">
        <f>G70+'3'!H70</f>
        <v>29</v>
      </c>
      <c r="I70" s="118"/>
      <c r="J70" s="175">
        <f>H70/DAY(B2)</f>
        <v>7.25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233</v>
      </c>
      <c r="H71" s="99">
        <f>G71+'3'!H71</f>
        <v>847</v>
      </c>
      <c r="I71" s="154"/>
      <c r="J71" s="175">
        <f>H71/DAY(B2)</f>
        <v>211.75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'3'!F74</f>
        <v>13229</v>
      </c>
      <c r="F74" s="117">
        <v>13534</v>
      </c>
      <c r="G74" s="112">
        <f t="shared" ref="G74:G78" si="7">F74-E74</f>
        <v>305</v>
      </c>
      <c r="H74" s="99">
        <f>G74+'3'!H74</f>
        <v>1272</v>
      </c>
      <c r="I74" s="154"/>
      <c r="J74" s="175">
        <f>H74/DAY(B2)</f>
        <v>318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'3'!F76</f>
        <v>211001</v>
      </c>
      <c r="F76" s="123">
        <v>211117</v>
      </c>
      <c r="G76" s="112">
        <f t="shared" si="7"/>
        <v>116</v>
      </c>
      <c r="H76" s="99">
        <f>G76+'3'!H76</f>
        <v>457</v>
      </c>
      <c r="I76" s="154"/>
      <c r="J76" s="175">
        <f>H76/DAY(B2)</f>
        <v>114.25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'3'!F77</f>
        <v>59904</v>
      </c>
      <c r="F77" s="123">
        <v>59958</v>
      </c>
      <c r="G77" s="112">
        <f t="shared" si="7"/>
        <v>54</v>
      </c>
      <c r="H77" s="99">
        <f>G77+'3'!H77</f>
        <v>197</v>
      </c>
      <c r="I77" s="154"/>
      <c r="J77" s="175">
        <f>H77/DAY(B2)</f>
        <v>49.25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'3'!F78</f>
        <v>9564</v>
      </c>
      <c r="F78" s="123">
        <v>9564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'3'!F79</f>
        <v>0</v>
      </c>
      <c r="F79" s="117"/>
      <c r="G79" s="112">
        <f>G15-SUM(G74:G78)</f>
        <v>675</v>
      </c>
      <c r="H79" s="99">
        <f>G79+'3'!H79</f>
        <v>2580.285000000149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1150</v>
      </c>
      <c r="H80" s="99">
        <f>G80+'3'!H80</f>
        <v>3345</v>
      </c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43546</v>
      </c>
      <c r="F84" s="164">
        <v>43546</v>
      </c>
      <c r="G84" s="236">
        <f t="shared" si="8"/>
        <v>0</v>
      </c>
      <c r="H84" s="99">
        <f>G84+'3'!H84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6258</v>
      </c>
      <c r="F85" s="164">
        <v>6258</v>
      </c>
      <c r="G85" s="236">
        <f t="shared" si="8"/>
        <v>0</v>
      </c>
      <c r="H85" s="99">
        <f>G85+'3'!H85</f>
        <v>45</v>
      </c>
      <c r="I85" s="543"/>
      <c r="J85" s="175">
        <f>H85/DAY(B2)</f>
        <v>11.25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46971</v>
      </c>
      <c r="F86" s="164">
        <v>46971</v>
      </c>
      <c r="G86" s="112">
        <f t="shared" si="8"/>
        <v>0</v>
      </c>
      <c r="H86" s="99">
        <f>G86+'3'!H86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37394</v>
      </c>
      <c r="F87" s="164">
        <v>37418</v>
      </c>
      <c r="G87" s="112">
        <f t="shared" si="8"/>
        <v>24</v>
      </c>
      <c r="H87" s="99">
        <f>G87+'3'!H87</f>
        <v>54</v>
      </c>
      <c r="I87" s="543">
        <f>G84+G85+G86+G87</f>
        <v>24</v>
      </c>
      <c r="J87" s="175">
        <f>H87/DAY(B2)</f>
        <v>13.5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24783</v>
      </c>
      <c r="F88" s="164">
        <v>24792</v>
      </c>
      <c r="G88" s="112">
        <f t="shared" si="8"/>
        <v>9</v>
      </c>
      <c r="H88" s="99">
        <f>G88+'3'!H88</f>
        <v>30</v>
      </c>
      <c r="I88" s="543"/>
      <c r="J88" s="175">
        <f>H88/DAY(B2)</f>
        <v>7.5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29047</v>
      </c>
      <c r="F89" s="164">
        <v>29052</v>
      </c>
      <c r="G89" s="112">
        <f t="shared" si="8"/>
        <v>5</v>
      </c>
      <c r="H89" s="99">
        <f>G89+'3'!H89</f>
        <v>24</v>
      </c>
      <c r="I89" s="543">
        <f>G88+G89</f>
        <v>14</v>
      </c>
      <c r="J89" s="175">
        <f>H89/DAY(B2)</f>
        <v>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74469.7</v>
      </c>
      <c r="F90" s="164">
        <v>74479</v>
      </c>
      <c r="G90" s="112">
        <f t="shared" si="8"/>
        <v>9.3000000000029104</v>
      </c>
      <c r="H90" s="99">
        <f>G90+'3'!H90</f>
        <v>31</v>
      </c>
      <c r="I90" s="543">
        <f>G90</f>
        <v>9.3000000000029104</v>
      </c>
      <c r="J90" s="175">
        <f>H90/DAY(B2)</f>
        <v>7.75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5621.6</v>
      </c>
      <c r="F91" s="122">
        <v>5630.51</v>
      </c>
      <c r="G91" s="112">
        <f t="shared" si="8"/>
        <v>8.9099999999998545</v>
      </c>
      <c r="H91" s="99">
        <f>G91+'3'!H91</f>
        <v>12.300000000000182</v>
      </c>
      <c r="I91" s="544"/>
      <c r="J91" s="175">
        <f>H91/DAY(B2)</f>
        <v>3.0750000000000455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7464.56</v>
      </c>
      <c r="F92" s="122">
        <v>7466.87</v>
      </c>
      <c r="G92" s="112">
        <f t="shared" si="8"/>
        <v>2.3099999999994907</v>
      </c>
      <c r="H92" s="99">
        <f>G92+'3'!H92</f>
        <v>34.590000000000146</v>
      </c>
      <c r="I92" s="545">
        <f>G91+G92</f>
        <v>11.219999999999345</v>
      </c>
      <c r="J92" s="175">
        <f>H92/DAY(B2)</f>
        <v>8.6475000000000364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5522</v>
      </c>
      <c r="H94" s="99">
        <f>G94+'3'!H94</f>
        <v>22367</v>
      </c>
      <c r="I94" s="118"/>
      <c r="J94" s="175">
        <f>H94/DAY(B2)</f>
        <v>5591.75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0.25372174232677819</v>
      </c>
      <c r="H95" s="99">
        <f>G95+'3'!H95</f>
        <v>1.0067615682721878</v>
      </c>
      <c r="I95" s="167"/>
      <c r="J95" s="175">
        <f>H95/DAY(B2)</f>
        <v>0.25169039206804694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3150.570000000007</v>
      </c>
      <c r="H96" s="99">
        <f>G96+'3'!H96</f>
        <v>16382.119999999937</v>
      </c>
      <c r="I96" s="118"/>
      <c r="J96" s="175">
        <f>H96/DAY(B2)</f>
        <v>4095.5299999999843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0.14476061385774705</v>
      </c>
      <c r="H97" s="99">
        <f>G97+'3'!H97</f>
        <v>0.7382144332555155</v>
      </c>
      <c r="I97" s="167"/>
      <c r="J97" s="175">
        <f>H97/DAY(B2)</f>
        <v>0.18455360831387888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2818.3400000000838</v>
      </c>
      <c r="H98" s="99">
        <f>G98+'3'!H98</f>
        <v>11445.760000000009</v>
      </c>
      <c r="I98" s="168"/>
      <c r="J98" s="175">
        <f>H98/DAY(B2)</f>
        <v>2861.4400000000023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0.12949549715126282</v>
      </c>
      <c r="H99" s="99">
        <f>G99+'3'!H99</f>
        <v>0.51519125148276967</v>
      </c>
      <c r="I99" s="168"/>
      <c r="J99" s="175">
        <f>H99/DAY(B2)</f>
        <v>0.12879781287069242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2762</v>
      </c>
      <c r="H100" s="99">
        <f>G100+'3'!H100</f>
        <v>10897</v>
      </c>
      <c r="I100" s="118"/>
      <c r="J100" s="175">
        <f>H100/DAY(B2)</f>
        <v>2724.25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0.12690681859952216</v>
      </c>
      <c r="H101" s="99">
        <f>G101+'3'!H101</f>
        <v>0.49039820320999272</v>
      </c>
      <c r="I101" s="168"/>
      <c r="J101" s="175">
        <f>H101/DAY(B2)</f>
        <v>0.12259955080249818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2114.0300000000279</v>
      </c>
      <c r="H102" s="99">
        <f>G102+'3'!H102</f>
        <v>9793</v>
      </c>
      <c r="I102" s="168"/>
      <c r="J102" s="175">
        <f>H102/DAY(B2)</f>
        <v>2448.25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9.7134258408382093E-2</v>
      </c>
      <c r="H103" s="99">
        <f>G103+'3'!H103</f>
        <v>0.43953438786652077</v>
      </c>
      <c r="I103" s="118"/>
      <c r="J103" s="175">
        <f>H103/DAY(B2)</f>
        <v>0.10988359696663019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1470.570000000007</v>
      </c>
      <c r="H104" s="99">
        <f>G104+'3'!H104</f>
        <v>5864</v>
      </c>
      <c r="I104" s="118"/>
      <c r="J104" s="175">
        <f>H104/DAY(B2)</f>
        <v>1466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6.7568921154199921E-2</v>
      </c>
      <c r="H105" s="99">
        <f>G105+'3'!H105</f>
        <v>0.26400016192444287</v>
      </c>
      <c r="I105" s="187"/>
      <c r="J105" s="188">
        <f>H105/DAY(B2)</f>
        <v>6.6000040481110717E-2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'3'!F112</f>
        <v>19579</v>
      </c>
      <c r="F112" s="237">
        <v>19639</v>
      </c>
      <c r="G112" s="112">
        <f t="shared" ref="G112:G123" si="9">F112-E112</f>
        <v>60</v>
      </c>
      <c r="H112" s="99">
        <f>G112+'3'!H112</f>
        <v>242</v>
      </c>
      <c r="I112" s="165"/>
      <c r="J112" s="328">
        <f>H112/DAY(B2)</f>
        <v>60.5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'3'!F113</f>
        <v>41960.99</v>
      </c>
      <c r="F113" s="237">
        <v>42101</v>
      </c>
      <c r="G113" s="112">
        <f t="shared" si="9"/>
        <v>140.01000000000204</v>
      </c>
      <c r="H113" s="99">
        <f>G113+'3'!H113</f>
        <v>581.05000000000291</v>
      </c>
      <c r="I113" s="165"/>
      <c r="J113" s="328">
        <f>H113/DAY(B2)</f>
        <v>145.26250000000073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'3'!F114</f>
        <v>61882.298999999999</v>
      </c>
      <c r="F114" s="237">
        <v>62103.73</v>
      </c>
      <c r="G114" s="112">
        <f t="shared" si="9"/>
        <v>221.43100000000413</v>
      </c>
      <c r="H114" s="99">
        <f>G114+'3'!H114</f>
        <v>885.7300000000032</v>
      </c>
      <c r="I114" s="165"/>
      <c r="J114" s="328">
        <f>H114/DAY(B2)</f>
        <v>221.4325000000008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'3'!F115</f>
        <v>39914</v>
      </c>
      <c r="F115" s="237">
        <v>40063</v>
      </c>
      <c r="G115" s="112">
        <f t="shared" si="9"/>
        <v>149</v>
      </c>
      <c r="H115" s="99">
        <f>G115+'3'!H115</f>
        <v>604</v>
      </c>
      <c r="I115" s="165"/>
      <c r="J115" s="328">
        <f>H115/DAY(B2)</f>
        <v>151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'3'!F116</f>
        <v>149403</v>
      </c>
      <c r="F116" s="237">
        <v>149894</v>
      </c>
      <c r="G116" s="112">
        <f t="shared" si="9"/>
        <v>491</v>
      </c>
      <c r="H116" s="99">
        <f>G116+'3'!H116</f>
        <v>1964</v>
      </c>
      <c r="I116" s="165"/>
      <c r="J116" s="328">
        <f>H116/DAY(B2)</f>
        <v>491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'3'!F117</f>
        <v>92810</v>
      </c>
      <c r="F117" s="237">
        <v>93079</v>
      </c>
      <c r="G117" s="112">
        <f t="shared" si="9"/>
        <v>269</v>
      </c>
      <c r="H117" s="99">
        <f>G117+'3'!H117</f>
        <v>1089.6009999999951</v>
      </c>
      <c r="I117" s="165"/>
      <c r="J117" s="328">
        <f>H117/DAY(B2)</f>
        <v>272.40024999999878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'3'!F118</f>
        <v>179603</v>
      </c>
      <c r="F118" s="237">
        <v>180245</v>
      </c>
      <c r="G118" s="112">
        <f t="shared" si="9"/>
        <v>642</v>
      </c>
      <c r="H118" s="99">
        <f>G118+'3'!H118</f>
        <v>2712.4700000000012</v>
      </c>
      <c r="I118" s="165"/>
      <c r="J118" s="328">
        <f>H118/DAY(B2)</f>
        <v>678.11750000000029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'3'!F119</f>
        <v>45307</v>
      </c>
      <c r="F119" s="237">
        <v>45346.21</v>
      </c>
      <c r="G119" s="112">
        <f t="shared" si="9"/>
        <v>39.209999999999127</v>
      </c>
      <c r="H119" s="99">
        <f>G119+'3'!H119</f>
        <v>153.20999999999913</v>
      </c>
      <c r="I119" s="165"/>
      <c r="J119" s="328">
        <f>H119/DAY(B2)</f>
        <v>38.302499999999782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'3'!F120</f>
        <v>121587.11</v>
      </c>
      <c r="F120" s="237">
        <v>121985.69</v>
      </c>
      <c r="G120" s="112">
        <f t="shared" si="9"/>
        <v>398.58000000000175</v>
      </c>
      <c r="H120" s="99">
        <f>G120+'3'!H120</f>
        <v>1541.6900000000023</v>
      </c>
      <c r="I120" s="165"/>
      <c r="J120" s="328">
        <f>H120/DAY(B2)</f>
        <v>385.42250000000058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'3'!F121</f>
        <v>135906.5</v>
      </c>
      <c r="F121" s="237">
        <v>136366</v>
      </c>
      <c r="G121" s="112">
        <f t="shared" si="9"/>
        <v>459.5</v>
      </c>
      <c r="H121" s="99">
        <f>G121+'3'!H121</f>
        <v>1803</v>
      </c>
      <c r="I121" s="165"/>
      <c r="J121" s="328">
        <f>H121/DAY(B2)</f>
        <v>450.75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'3'!F122</f>
        <v>91755</v>
      </c>
      <c r="F122" s="237">
        <v>92056</v>
      </c>
      <c r="G122" s="112">
        <f t="shared" si="9"/>
        <v>301</v>
      </c>
      <c r="H122" s="99">
        <f>G122+'3'!H122</f>
        <v>1179</v>
      </c>
      <c r="I122" s="165"/>
      <c r="J122" s="328">
        <f>H122/DAY(B2)</f>
        <v>294.75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'3'!F123</f>
        <v>88503.142999999996</v>
      </c>
      <c r="F123" s="237">
        <v>88805.7</v>
      </c>
      <c r="G123" s="112">
        <f t="shared" si="9"/>
        <v>302.5570000000007</v>
      </c>
      <c r="H123" s="99">
        <f>G123+'3'!H123</f>
        <v>1226.6999999999971</v>
      </c>
      <c r="I123" s="165"/>
      <c r="J123" s="328">
        <f>H123/DAY(B2)</f>
        <v>306.67499999999927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59" t="s">
        <v>196</v>
      </c>
      <c r="B125" s="460"/>
      <c r="C125" s="461"/>
      <c r="D125" s="307"/>
      <c r="E125" s="308"/>
      <c r="F125" s="308"/>
      <c r="G125" s="309">
        <f>SUM(G112:G124)</f>
        <v>3473.2880000000077</v>
      </c>
      <c r="H125" s="156"/>
      <c r="I125" s="327">
        <f>G125-(G39+G53)</f>
        <v>654.94799999992392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'3'!F128</f>
        <v>208826.03</v>
      </c>
      <c r="F128" s="165">
        <v>209342</v>
      </c>
      <c r="G128" s="112">
        <f t="shared" ref="G128:G134" si="10">F128-E128</f>
        <v>515.97000000000116</v>
      </c>
      <c r="H128" s="99">
        <f>G128+'3'!H128</f>
        <v>2053</v>
      </c>
      <c r="I128" s="165"/>
      <c r="J128" s="328">
        <f>H128/DAY(B2)</f>
        <v>513.25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1023</v>
      </c>
      <c r="F129" s="165">
        <v>1139</v>
      </c>
      <c r="G129" s="112">
        <f t="shared" si="10"/>
        <v>116</v>
      </c>
      <c r="H129" s="99">
        <f>G129+'3'!H129</f>
        <v>405</v>
      </c>
      <c r="I129" s="165"/>
      <c r="J129" s="328">
        <f>H129/DAY(B2)</f>
        <v>101.25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289008</v>
      </c>
      <c r="F130" s="165">
        <v>289620</v>
      </c>
      <c r="G130" s="112">
        <f t="shared" si="10"/>
        <v>612</v>
      </c>
      <c r="H130" s="99">
        <f>G130+'3'!H130</f>
        <v>898</v>
      </c>
      <c r="I130" s="165"/>
      <c r="J130" s="328">
        <f>H130/DAY(B2)</f>
        <v>224.5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'3'!F131</f>
        <v>85330.142999999996</v>
      </c>
      <c r="F131" s="165">
        <v>85469.77</v>
      </c>
      <c r="G131" s="112">
        <f t="shared" si="10"/>
        <v>139.62700000000768</v>
      </c>
      <c r="H131" s="99">
        <f>G131+'3'!H131</f>
        <v>765.94000000000233</v>
      </c>
      <c r="I131" s="165"/>
      <c r="J131" s="328">
        <f>H131/DAY(B2)</f>
        <v>191.48500000000058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'3'!F132</f>
        <v>68395</v>
      </c>
      <c r="F132" s="165">
        <v>68707.460000000006</v>
      </c>
      <c r="G132" s="112">
        <f t="shared" si="10"/>
        <v>312.4600000000064</v>
      </c>
      <c r="H132" s="99">
        <f>G132+'3'!H132</f>
        <v>1260.4600000000064</v>
      </c>
      <c r="I132" s="165"/>
      <c r="J132" s="328">
        <f>H132/DAY(B2)</f>
        <v>315.1150000000016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'3'!F133</f>
        <v>951740</v>
      </c>
      <c r="F133" s="165">
        <v>952207</v>
      </c>
      <c r="G133" s="112">
        <f t="shared" si="10"/>
        <v>467</v>
      </c>
      <c r="H133" s="99">
        <f>G133+'3'!H133</f>
        <v>2060</v>
      </c>
      <c r="I133" s="165"/>
      <c r="J133" s="328">
        <f>H133/DAY(B2)</f>
        <v>515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'3'!F134</f>
        <v>94007.56</v>
      </c>
      <c r="F134" s="165">
        <v>94261.47</v>
      </c>
      <c r="G134" s="112">
        <f t="shared" si="10"/>
        <v>253.91000000000349</v>
      </c>
      <c r="H134" s="99">
        <f>G134+'3'!H134</f>
        <v>1027.9700000000012</v>
      </c>
      <c r="I134" s="165"/>
      <c r="J134" s="328">
        <f>H134/DAY(B2)</f>
        <v>256.99250000000029</v>
      </c>
    </row>
    <row r="135" spans="1:15" ht="26.25">
      <c r="A135" s="913" t="s">
        <v>196</v>
      </c>
      <c r="B135" s="914"/>
      <c r="C135" s="915"/>
      <c r="D135" s="151"/>
      <c r="E135" s="95"/>
      <c r="F135" s="165"/>
      <c r="G135" s="112">
        <f>SUM(G128:G134)</f>
        <v>2416.9670000000187</v>
      </c>
      <c r="H135" s="99">
        <f>G135+'3'!H135</f>
        <v>8470.3700000000099</v>
      </c>
      <c r="I135" s="327">
        <f>G135-(G35+G49)</f>
        <v>-520.03299999998126</v>
      </c>
      <c r="J135" s="328">
        <f>H135/DAY(B2)</f>
        <v>2117.5925000000025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'3'!F138</f>
        <v>913272</v>
      </c>
      <c r="F138" s="147">
        <v>913405</v>
      </c>
      <c r="G138" s="112">
        <f t="shared" ref="G138:G152" si="11">F138-E138</f>
        <v>133</v>
      </c>
      <c r="H138" s="99">
        <f>G138+'3'!H138</f>
        <v>494</v>
      </c>
      <c r="I138" s="118"/>
      <c r="J138" s="328">
        <f>H138/DAY(B2)</f>
        <v>123.5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'3'!F139</f>
        <v>937732</v>
      </c>
      <c r="F139" s="148">
        <v>937866</v>
      </c>
      <c r="G139" s="112">
        <f t="shared" si="11"/>
        <v>134</v>
      </c>
      <c r="H139" s="99">
        <f>G139+'3'!H139</f>
        <v>608</v>
      </c>
      <c r="I139" s="118"/>
      <c r="J139" s="328">
        <f>H139/DAY(B2)</f>
        <v>152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'3'!F140</f>
        <v>4859</v>
      </c>
      <c r="F140" s="149">
        <v>4889.9799999999996</v>
      </c>
      <c r="G140" s="112">
        <f t="shared" si="11"/>
        <v>30.979999999999563</v>
      </c>
      <c r="H140" s="99">
        <f>G140+'3'!H140</f>
        <v>125.97999999999956</v>
      </c>
      <c r="I140" s="118"/>
      <c r="J140" s="328">
        <f>H140/DAY(B2)</f>
        <v>31.494999999999891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'3'!F141</f>
        <v>132025</v>
      </c>
      <c r="F141" s="149">
        <v>132268</v>
      </c>
      <c r="G141" s="112">
        <f t="shared" si="11"/>
        <v>243</v>
      </c>
      <c r="H141" s="99">
        <f>G141+'3'!H141</f>
        <v>948</v>
      </c>
      <c r="I141" s="118"/>
      <c r="J141" s="328">
        <f>H141/DAY(B2)</f>
        <v>237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'3'!F142</f>
        <v>53498.5</v>
      </c>
      <c r="F142" s="148">
        <v>53579.59</v>
      </c>
      <c r="G142" s="112">
        <f t="shared" si="11"/>
        <v>81.089999999996508</v>
      </c>
      <c r="H142" s="99">
        <f>G142+'3'!H142</f>
        <v>388.58999999999651</v>
      </c>
      <c r="I142" s="140"/>
      <c r="J142" s="328">
        <f>H142/DAY(B2)</f>
        <v>97.147499999999127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'3'!F143</f>
        <v>14411.74</v>
      </c>
      <c r="F143" s="149">
        <v>14449.67</v>
      </c>
      <c r="G143" s="112">
        <f t="shared" si="11"/>
        <v>37.930000000000291</v>
      </c>
      <c r="H143" s="99">
        <f>G143+'3'!H143</f>
        <v>137.67000000000007</v>
      </c>
      <c r="I143" s="140"/>
      <c r="J143" s="328">
        <f>H143/DAY(B2)</f>
        <v>34.417500000000018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'3'!F144</f>
        <v>964043</v>
      </c>
      <c r="F144" s="149">
        <v>964333</v>
      </c>
      <c r="G144" s="112">
        <f t="shared" si="11"/>
        <v>290</v>
      </c>
      <c r="H144" s="99">
        <f>G144+'3'!H144</f>
        <v>1107</v>
      </c>
      <c r="I144" s="140"/>
      <c r="J144" s="328">
        <f>H144/DAY(B2)</f>
        <v>276.75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'3'!F145</f>
        <v>751336</v>
      </c>
      <c r="F145" s="149">
        <v>751483</v>
      </c>
      <c r="G145" s="236">
        <f t="shared" si="11"/>
        <v>147</v>
      </c>
      <c r="H145" s="99">
        <f>G145+'3'!H145</f>
        <v>750</v>
      </c>
      <c r="I145" s="140"/>
      <c r="J145" s="328">
        <f>H145/DAY(B2)</f>
        <v>187.5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'3'!F146</f>
        <v>789159</v>
      </c>
      <c r="F146" s="148">
        <v>789226</v>
      </c>
      <c r="G146" s="112">
        <f t="shared" si="11"/>
        <v>67</v>
      </c>
      <c r="H146" s="99">
        <f>G146+'3'!H146</f>
        <v>201</v>
      </c>
      <c r="I146" s="140"/>
      <c r="J146" s="328">
        <f>H146/DAY(B2)</f>
        <v>50.25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'3'!F147</f>
        <v>772823.44</v>
      </c>
      <c r="F147" s="148">
        <v>773168.24</v>
      </c>
      <c r="G147" s="112">
        <f t="shared" si="11"/>
        <v>344.80000000004657</v>
      </c>
      <c r="H147" s="99">
        <f>G147+'3'!H147</f>
        <v>1511.359999999986</v>
      </c>
      <c r="I147" s="140"/>
      <c r="J147" s="328">
        <f>H147/DAY(B2)</f>
        <v>377.83999999999651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'3'!F148</f>
        <v>807912</v>
      </c>
      <c r="F148" s="150">
        <v>808254</v>
      </c>
      <c r="G148" s="112">
        <f t="shared" si="11"/>
        <v>342</v>
      </c>
      <c r="H148" s="99">
        <f>G148+'3'!H148</f>
        <v>1433.7600000000093</v>
      </c>
      <c r="I148" s="124"/>
      <c r="J148" s="328">
        <f>H148/DAY(B2)</f>
        <v>358.44000000000233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'3'!F149</f>
        <v>218568</v>
      </c>
      <c r="F149" s="146">
        <v>219160</v>
      </c>
      <c r="G149" s="112">
        <f t="shared" si="11"/>
        <v>592</v>
      </c>
      <c r="H149" s="99">
        <f>G149+'3'!H149</f>
        <v>2264</v>
      </c>
      <c r="I149" s="119"/>
      <c r="J149" s="328">
        <f>H149/DAY(B2)</f>
        <v>566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'3'!F150</f>
        <v>95336</v>
      </c>
      <c r="F150" s="233">
        <v>95441</v>
      </c>
      <c r="G150" s="112">
        <f t="shared" si="11"/>
        <v>105</v>
      </c>
      <c r="H150" s="99">
        <f>G150+'3'!H150</f>
        <v>463</v>
      </c>
      <c r="I150" s="119"/>
      <c r="J150" s="328">
        <f>H150/DAY(B2)</f>
        <v>115.75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'3'!F151</f>
        <v>177108</v>
      </c>
      <c r="F151" s="233">
        <v>177440</v>
      </c>
      <c r="G151" s="112">
        <f t="shared" si="11"/>
        <v>332</v>
      </c>
      <c r="H151" s="99">
        <f>G151+'3'!H151</f>
        <v>1265</v>
      </c>
      <c r="I151" s="119"/>
      <c r="J151" s="328">
        <f>H151/DAY(B2)</f>
        <v>316.25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'3'!F152</f>
        <v>47031</v>
      </c>
      <c r="F152" s="233">
        <v>47164</v>
      </c>
      <c r="G152" s="112">
        <f t="shared" si="11"/>
        <v>133</v>
      </c>
      <c r="H152" s="99">
        <f>G152+'3'!H152</f>
        <v>532</v>
      </c>
      <c r="I152" s="119"/>
      <c r="J152" s="328">
        <f>H152/DAY(B2)</f>
        <v>133</v>
      </c>
    </row>
    <row r="153" spans="1:10" ht="26.25">
      <c r="A153" s="913" t="s">
        <v>196</v>
      </c>
      <c r="B153" s="914"/>
      <c r="C153" s="915"/>
      <c r="D153" s="358"/>
      <c r="E153" s="360"/>
      <c r="F153" s="361"/>
      <c r="G153" s="362">
        <f>SUM(G138:G152)</f>
        <v>3012.8000000000429</v>
      </c>
      <c r="H153" s="363"/>
      <c r="I153" s="119">
        <f>G153-(G38+G52)</f>
        <v>250.80000000004293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'3'!F155</f>
        <v>258019</v>
      </c>
      <c r="F155" s="374">
        <v>258577</v>
      </c>
      <c r="G155" s="112">
        <f t="shared" ref="G155:G158" si="12">F155-E155</f>
        <v>558</v>
      </c>
      <c r="H155" s="99">
        <f>G155+'3'!H155</f>
        <v>2225</v>
      </c>
      <c r="I155" s="364"/>
      <c r="J155" s="328">
        <f>H155/DAY(B2)</f>
        <v>556.25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'3'!F156</f>
        <v>32858</v>
      </c>
      <c r="F156" s="155">
        <v>32954</v>
      </c>
      <c r="G156" s="112">
        <f t="shared" si="12"/>
        <v>96</v>
      </c>
      <c r="H156" s="99">
        <f>G156+'3'!H156</f>
        <v>395</v>
      </c>
      <c r="I156" s="165"/>
      <c r="J156" s="328">
        <f>H156/DAY(B2)</f>
        <v>98.75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'3'!F157</f>
        <v>37559</v>
      </c>
      <c r="F157" s="155">
        <v>37559</v>
      </c>
      <c r="G157" s="112">
        <f t="shared" si="12"/>
        <v>0</v>
      </c>
      <c r="H157" s="99">
        <f>G157+'3'!H157</f>
        <v>0</v>
      </c>
      <c r="I157" s="165"/>
      <c r="J157" s="328">
        <f>H157/DAY(B2)</f>
        <v>0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'3'!F158</f>
        <v>1784</v>
      </c>
      <c r="F158" s="155">
        <v>1785</v>
      </c>
      <c r="G158" s="112">
        <f t="shared" si="12"/>
        <v>1</v>
      </c>
      <c r="H158" s="99">
        <f>G158+'3'!H158</f>
        <v>2</v>
      </c>
      <c r="I158" s="165"/>
      <c r="J158" s="328">
        <f>H158/DAY(B2)</f>
        <v>0.5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513025</v>
      </c>
      <c r="F161" s="235">
        <v>513143.16</v>
      </c>
      <c r="G161" s="238">
        <f t="shared" ref="G161:G168" si="13">F161-E161</f>
        <v>118.15999999997439</v>
      </c>
      <c r="H161" s="99">
        <f>G161+'3'!H161</f>
        <v>698.15999999997439</v>
      </c>
      <c r="I161" s="236"/>
      <c r="J161" s="239">
        <f>H161/DAY(B2)</f>
        <v>174.5399999999936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1906.7</v>
      </c>
      <c r="F162" s="235">
        <v>1939</v>
      </c>
      <c r="G162" s="238">
        <f t="shared" si="13"/>
        <v>32.299999999999955</v>
      </c>
      <c r="H162" s="99">
        <f>G162+'3'!H162</f>
        <v>152</v>
      </c>
      <c r="I162" s="236"/>
      <c r="J162" s="239">
        <f>H162/DAY(B2)</f>
        <v>38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0</v>
      </c>
      <c r="F163" s="235">
        <v>0</v>
      </c>
      <c r="G163" s="238">
        <f t="shared" si="13"/>
        <v>0</v>
      </c>
      <c r="H163" s="99">
        <f>G163+'3'!H163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7347</v>
      </c>
      <c r="F164" s="235">
        <v>7348.4</v>
      </c>
      <c r="G164" s="238">
        <f t="shared" si="13"/>
        <v>1.3999999999996362</v>
      </c>
      <c r="H164" s="99">
        <f>G164+'3'!H164</f>
        <v>11.399999999999636</v>
      </c>
      <c r="I164" s="236"/>
      <c r="J164" s="239">
        <f>H164/DAY(B2)</f>
        <v>2.8499999999999091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32995</v>
      </c>
      <c r="F165" s="235">
        <v>33002</v>
      </c>
      <c r="G165" s="238">
        <f t="shared" si="13"/>
        <v>7</v>
      </c>
      <c r="H165" s="99">
        <f>G165+'3'!H165</f>
        <v>27.480000000003201</v>
      </c>
      <c r="I165" s="236"/>
      <c r="J165" s="239">
        <f>H165/DAY(B2)</f>
        <v>6.8700000000008004</v>
      </c>
    </row>
    <row r="166" spans="1:10" ht="26.25">
      <c r="A166" s="872"/>
      <c r="B166" s="87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72"/>
      <c r="B167" s="87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72"/>
      <c r="B168" s="87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'3'!F173</f>
        <v>8616</v>
      </c>
      <c r="F173" s="155">
        <v>8618</v>
      </c>
      <c r="G173" s="155">
        <f>F173-E173</f>
        <v>2</v>
      </c>
      <c r="H173" s="99">
        <f>G173+'3'!H173</f>
        <v>6</v>
      </c>
      <c r="I173" s="155"/>
      <c r="J173" s="178">
        <f>H173/DAY(B2)</f>
        <v>1.5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'3'!F174</f>
        <v>43448</v>
      </c>
      <c r="F174" s="157">
        <v>43457</v>
      </c>
      <c r="G174" s="155">
        <f t="shared" ref="G174:G175" si="14">F174-E174</f>
        <v>9</v>
      </c>
      <c r="H174" s="99">
        <f>G174+'3'!H174</f>
        <v>43</v>
      </c>
      <c r="I174" s="155"/>
      <c r="J174" s="178">
        <f>H174/DAY(B2)</f>
        <v>10.75</v>
      </c>
    </row>
    <row r="175" spans="1:10" ht="25.5" customHeight="1">
      <c r="A175" s="790" t="s">
        <v>76</v>
      </c>
      <c r="B175" s="803"/>
      <c r="C175" s="791"/>
      <c r="D175" s="228" t="s">
        <v>142</v>
      </c>
      <c r="E175" s="95">
        <f>'3'!F175</f>
        <v>26324</v>
      </c>
      <c r="F175" s="155">
        <v>26328</v>
      </c>
      <c r="G175" s="155">
        <f t="shared" si="14"/>
        <v>4</v>
      </c>
      <c r="H175" s="99">
        <f>G175+'3'!H175</f>
        <v>41</v>
      </c>
      <c r="I175" s="155"/>
      <c r="J175" s="178">
        <f>H175/DAY(B2)</f>
        <v>10.25</v>
      </c>
    </row>
    <row r="176" spans="1:10" ht="24.75" customHeight="1">
      <c r="A176" s="913" t="s">
        <v>196</v>
      </c>
      <c r="B176" s="914"/>
      <c r="C176" s="915"/>
      <c r="D176" s="228"/>
      <c r="E176" s="95"/>
      <c r="F176" s="155"/>
      <c r="G176" s="155">
        <f>SUM(G173:G175)</f>
        <v>15</v>
      </c>
      <c r="H176" s="99">
        <f>G176+'3'!H176</f>
        <v>90</v>
      </c>
      <c r="I176" s="155"/>
      <c r="J176" s="178">
        <f>H176/DAY(B2)</f>
        <v>22.5</v>
      </c>
    </row>
    <row r="177" spans="1:10" ht="28.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790" t="s">
        <v>210</v>
      </c>
      <c r="B178" s="791"/>
      <c r="C178" s="333"/>
      <c r="D178" s="228" t="s">
        <v>142</v>
      </c>
      <c r="E178" s="95">
        <f>'3'!F178</f>
        <v>110782</v>
      </c>
      <c r="F178" s="157">
        <v>110925</v>
      </c>
      <c r="G178" s="155">
        <f>F178-E178</f>
        <v>143</v>
      </c>
      <c r="H178" s="99">
        <f>G178+'3'!H178</f>
        <v>534</v>
      </c>
      <c r="I178" s="155"/>
      <c r="J178" s="178">
        <f>H178/DAY(B2)</f>
        <v>133.5</v>
      </c>
    </row>
    <row r="179" spans="1:10" ht="24" customHeight="1">
      <c r="A179" s="790" t="s">
        <v>211</v>
      </c>
      <c r="B179" s="791"/>
      <c r="C179" s="333"/>
      <c r="D179" s="228" t="s">
        <v>142</v>
      </c>
      <c r="E179" s="95">
        <f>'3'!F179</f>
        <v>37501</v>
      </c>
      <c r="F179" s="155">
        <v>37501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'3'!F180</f>
        <v>7717</v>
      </c>
      <c r="F180" s="155">
        <v>7727</v>
      </c>
      <c r="G180" s="155">
        <f t="shared" si="15"/>
        <v>10</v>
      </c>
      <c r="H180" s="99">
        <f>G180+'3'!H180</f>
        <v>26</v>
      </c>
      <c r="I180" s="155"/>
      <c r="J180" s="178">
        <f>H180/DAY(B2)</f>
        <v>6.5</v>
      </c>
    </row>
    <row r="181" spans="1:10" ht="21.95" customHeight="1">
      <c r="A181" s="913" t="s">
        <v>196</v>
      </c>
      <c r="B181" s="914"/>
      <c r="C181" s="915"/>
      <c r="D181" s="228"/>
      <c r="E181" s="95"/>
      <c r="F181" s="155"/>
      <c r="G181" s="155">
        <f>SUM(G178:G180)</f>
        <v>153</v>
      </c>
      <c r="H181" s="99">
        <f>G181+'3'!H181</f>
        <v>560</v>
      </c>
      <c r="I181" s="155"/>
      <c r="J181" s="178">
        <f>H181/DAY(B2)</f>
        <v>140</v>
      </c>
    </row>
    <row r="182" spans="1:10" ht="21.95" customHeight="1">
      <c r="A182" s="790" t="s">
        <v>213</v>
      </c>
      <c r="B182" s="791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'3'!F183</f>
        <v>18709</v>
      </c>
      <c r="F183" s="157">
        <v>18713</v>
      </c>
      <c r="G183" s="157">
        <f>F183-E183</f>
        <v>4</v>
      </c>
      <c r="H183" s="99">
        <f>G183+'3'!H183</f>
        <v>21</v>
      </c>
      <c r="I183" s="155"/>
      <c r="J183" s="178">
        <f>H183/DAY(B2)</f>
        <v>5.25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'3'!F184</f>
        <v>13276</v>
      </c>
      <c r="F184" s="157">
        <v>13278</v>
      </c>
      <c r="G184" s="157">
        <f t="shared" ref="G184:G185" si="16">F184-E184</f>
        <v>2</v>
      </c>
      <c r="H184" s="99">
        <f>G184+'3'!H184</f>
        <v>32</v>
      </c>
      <c r="I184" s="155"/>
      <c r="J184" s="178">
        <f>H184/DAY(B2)</f>
        <v>8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13" t="s">
        <v>196</v>
      </c>
      <c r="B186" s="914"/>
      <c r="C186" s="915"/>
      <c r="D186" s="229"/>
      <c r="E186" s="95"/>
      <c r="F186" s="157"/>
      <c r="G186" s="157">
        <f>SUM(G183:G185)</f>
        <v>6</v>
      </c>
      <c r="H186" s="99">
        <f>G186+'3'!H186</f>
        <v>53</v>
      </c>
      <c r="I186" s="157"/>
      <c r="J186" s="178">
        <f>H186/DAY(B2)</f>
        <v>13.25</v>
      </c>
    </row>
    <row r="187" spans="1:10" ht="25.5" customHeight="1">
      <c r="A187" s="869" t="s">
        <v>217</v>
      </c>
      <c r="B187" s="870"/>
      <c r="C187" s="333"/>
      <c r="D187" s="230" t="s">
        <v>142</v>
      </c>
      <c r="E187" s="95"/>
      <c r="F187" s="99"/>
      <c r="G187" s="377">
        <f>G62+G19</f>
        <v>196.70000000001164</v>
      </c>
      <c r="H187" s="99">
        <f>G187+'3'!H187</f>
        <v>742</v>
      </c>
      <c r="I187" s="158"/>
      <c r="J187" s="179">
        <f>H187/DAY(B2)</f>
        <v>185.5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201</v>
      </c>
      <c r="H188" s="99">
        <f>G188+'3'!H188</f>
        <v>765</v>
      </c>
      <c r="I188" s="158"/>
      <c r="J188" s="179">
        <f>H188/DAY(B2)</f>
        <v>191.25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153</v>
      </c>
      <c r="H189" s="99">
        <f>G189+'3'!H189</f>
        <v>560</v>
      </c>
      <c r="I189" s="158"/>
      <c r="J189" s="179">
        <f>H189/DAY(B2)</f>
        <v>140</v>
      </c>
    </row>
    <row r="190" spans="1:10" ht="25.5">
      <c r="A190" s="869"/>
      <c r="B190" s="87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42" zoomScale="55" zoomScaleNormal="48" zoomScaleSheetLayoutView="55" workbookViewId="0">
      <selection activeCell="F70" sqref="F7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23.25">
      <c r="A2" s="191" t="s">
        <v>372</v>
      </c>
      <c r="B2" s="262">
        <v>44931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29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'4'!F7</f>
        <v>711691</v>
      </c>
      <c r="F7" s="95">
        <v>734222</v>
      </c>
      <c r="G7" s="112">
        <f>F7-E7</f>
        <v>22531</v>
      </c>
      <c r="H7" s="99">
        <f>G7+'4'!H7</f>
        <v>111423</v>
      </c>
      <c r="I7" s="113">
        <f>'1'!I7</f>
        <v>12000</v>
      </c>
      <c r="J7" s="175">
        <f>H7/DAY(B2)</f>
        <v>22284.6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'4'!F8</f>
        <v>906849</v>
      </c>
      <c r="F8" s="114">
        <v>929900.87</v>
      </c>
      <c r="G8" s="115">
        <f>F8-E8</f>
        <v>23051.869999999995</v>
      </c>
      <c r="H8" s="99">
        <f>G8+'4'!H8</f>
        <v>113790.87</v>
      </c>
      <c r="I8" s="116"/>
      <c r="J8" s="175">
        <f>H8/DAY(B2)</f>
        <v>22758.173999999999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'4'!F9</f>
        <v>4882042.3</v>
      </c>
      <c r="F9" s="117">
        <v>4894174</v>
      </c>
      <c r="G9" s="112">
        <f>F9-E9</f>
        <v>12131.700000000186</v>
      </c>
      <c r="H9" s="99">
        <f>G9+'4'!H9</f>
        <v>69075</v>
      </c>
      <c r="I9" s="124">
        <f>I7-J7</f>
        <v>-10284.599999999999</v>
      </c>
      <c r="J9" s="175">
        <f>H9/DAY(B2)</f>
        <v>13815</v>
      </c>
      <c r="K9" s="79">
        <f>K8-100</f>
        <v>1715817</v>
      </c>
      <c r="L9" s="66"/>
      <c r="N9" s="87"/>
      <c r="O9" s="71"/>
      <c r="P9" s="71">
        <f>G7-G8</f>
        <v>-520.86999999999534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'4'!F10</f>
        <v>4320168</v>
      </c>
      <c r="F10" s="117">
        <v>4330088.9000000004</v>
      </c>
      <c r="G10" s="112">
        <f t="shared" ref="G10:G12" si="0">F10-E10</f>
        <v>9920.9000000003725</v>
      </c>
      <c r="H10" s="99">
        <f>G10+'4'!H10</f>
        <v>39554.900000000373</v>
      </c>
      <c r="I10" s="282"/>
      <c r="J10" s="175">
        <f>H10/DAY(B2)</f>
        <v>7910.9800000000741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'4'!F11</f>
        <v>38700</v>
      </c>
      <c r="F11" s="95">
        <v>38700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'4'!F12</f>
        <v>40550</v>
      </c>
      <c r="F12" s="117">
        <v>40550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  <c r="P12" s="71">
        <f>G13-G7</f>
        <v>-478.39999999944121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22052.600000000559</v>
      </c>
      <c r="H13" s="99">
        <f>G13+'4'!H13</f>
        <v>108629.90000000037</v>
      </c>
      <c r="I13" s="120">
        <f>G7-G13</f>
        <v>478.39999999944121</v>
      </c>
      <c r="J13" s="175">
        <f>H13/DAY(B2)</f>
        <v>21725.980000000076</v>
      </c>
      <c r="K13" s="79"/>
      <c r="L13" s="66"/>
      <c r="N13" s="87"/>
      <c r="O13" s="71"/>
    </row>
    <row r="14" spans="1:16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'4'!F15</f>
        <v>2292980</v>
      </c>
      <c r="F15" s="468">
        <v>2294114.2000000002</v>
      </c>
      <c r="G15" s="112">
        <f>(F15-E15)</f>
        <v>1134.2000000001863</v>
      </c>
      <c r="H15" s="99">
        <f>G15+'4'!H15</f>
        <v>5640.4850000003353</v>
      </c>
      <c r="I15" s="113">
        <f>'1'!I15</f>
        <v>800</v>
      </c>
      <c r="J15" s="175">
        <f>H15/DAY(B2)</f>
        <v>1128.0970000000671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-328.09700000006706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'4'!F18</f>
        <v>21</v>
      </c>
      <c r="F18" s="122">
        <v>25</v>
      </c>
      <c r="G18" s="119">
        <f>F18*10</f>
        <v>250</v>
      </c>
      <c r="H18" s="99">
        <f>G18+'4'!H18</f>
        <v>1040</v>
      </c>
      <c r="I18" s="113">
        <f>'1'!I18</f>
        <v>65</v>
      </c>
      <c r="J18" s="175">
        <f>H18/DAY(B2)</f>
        <v>208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'4'!F19</f>
        <v>171546</v>
      </c>
      <c r="F19" s="122">
        <v>171598</v>
      </c>
      <c r="G19" s="112">
        <f t="shared" ref="G19" si="1">F19-E19</f>
        <v>52</v>
      </c>
      <c r="H19" s="99">
        <f>G19+'4'!H19</f>
        <v>275</v>
      </c>
      <c r="I19" s="335"/>
      <c r="J19" s="175">
        <f>H19/DAY(B2)</f>
        <v>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302</v>
      </c>
      <c r="H20" s="99">
        <f>G20+'4'!H20</f>
        <v>1315</v>
      </c>
      <c r="I20" s="336">
        <f>I18-J20</f>
        <v>-198</v>
      </c>
      <c r="J20" s="175">
        <f>H20/DAY(B2)</f>
        <v>263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8.5">
      <c r="A27" s="208" t="s">
        <v>5</v>
      </c>
      <c r="B27" s="209"/>
      <c r="C27" s="210"/>
      <c r="D27" s="226" t="s">
        <v>24</v>
      </c>
      <c r="E27" s="135">
        <f>G8</f>
        <v>23051.869999999995</v>
      </c>
      <c r="F27" s="668">
        <v>10</v>
      </c>
      <c r="G27" s="137">
        <f>E27*F27</f>
        <v>230518.69999999995</v>
      </c>
      <c r="H27" s="99">
        <f>G27+'4'!H27</f>
        <v>1137908.7</v>
      </c>
      <c r="I27" s="138"/>
      <c r="J27" s="175">
        <f>H27/DAY(B2)</f>
        <v>227581.74</v>
      </c>
      <c r="K27" s="63"/>
      <c r="L27" s="89"/>
      <c r="N27" s="87"/>
      <c r="O27" s="71"/>
    </row>
    <row r="28" spans="1:15" s="88" customFormat="1" ht="28.5">
      <c r="A28" s="208" t="s">
        <v>152</v>
      </c>
      <c r="B28" s="209"/>
      <c r="C28" s="210"/>
      <c r="D28" s="226" t="s">
        <v>153</v>
      </c>
      <c r="E28" s="139">
        <f>G15</f>
        <v>1134.2000000001863</v>
      </c>
      <c r="F28" s="668">
        <v>66</v>
      </c>
      <c r="G28" s="137">
        <f>E28*F28</f>
        <v>74857.200000012293</v>
      </c>
      <c r="H28" s="99">
        <f>G28+'4'!H28</f>
        <v>372272.01000002213</v>
      </c>
      <c r="I28" s="140"/>
      <c r="J28" s="175">
        <f>H28/DAY(B2)</f>
        <v>74454.402000004426</v>
      </c>
      <c r="K28" s="63"/>
      <c r="L28" s="89"/>
      <c r="N28" s="87"/>
      <c r="O28" s="71"/>
    </row>
    <row r="29" spans="1:15" s="88" customFormat="1" ht="28.5">
      <c r="A29" s="208" t="s">
        <v>154</v>
      </c>
      <c r="B29" s="209"/>
      <c r="C29" s="210"/>
      <c r="D29" s="226" t="s">
        <v>155</v>
      </c>
      <c r="E29" s="141">
        <f>G24</f>
        <v>0</v>
      </c>
      <c r="F29" s="668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8.5">
      <c r="A30" s="208" t="s">
        <v>156</v>
      </c>
      <c r="B30" s="209"/>
      <c r="C30" s="210"/>
      <c r="D30" s="226" t="s">
        <v>157</v>
      </c>
      <c r="E30" s="141">
        <f>G19</f>
        <v>52</v>
      </c>
      <c r="F30" s="668">
        <v>151</v>
      </c>
      <c r="G30" s="137">
        <f>E30*F30</f>
        <v>7852</v>
      </c>
      <c r="H30" s="99">
        <f>G30+'4'!H30</f>
        <v>41525</v>
      </c>
      <c r="I30" s="140"/>
      <c r="J30" s="175">
        <f>H30/DAY(B2)</f>
        <v>8305</v>
      </c>
      <c r="K30" s="63"/>
      <c r="L30" s="89"/>
      <c r="N30" s="87"/>
      <c r="O30" s="71"/>
    </row>
    <row r="31" spans="1:15" s="88" customFormat="1" ht="28.5">
      <c r="A31" s="208" t="s">
        <v>158</v>
      </c>
      <c r="B31" s="209"/>
      <c r="C31" s="210"/>
      <c r="D31" s="226" t="s">
        <v>142</v>
      </c>
      <c r="E31" s="141">
        <f>G18</f>
        <v>250</v>
      </c>
      <c r="F31" s="668">
        <v>85</v>
      </c>
      <c r="G31" s="137">
        <f>E31*F31</f>
        <v>21250</v>
      </c>
      <c r="H31" s="99">
        <f>G31+'4'!H31</f>
        <v>88400</v>
      </c>
      <c r="I31" s="140"/>
      <c r="J31" s="175">
        <f>H31/DAY(B2)</f>
        <v>17680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334477.90000001225</v>
      </c>
      <c r="H32" s="99">
        <f>G32+'4'!H32</f>
        <v>1640105.7100000221</v>
      </c>
      <c r="I32" s="144"/>
      <c r="J32" s="175">
        <f>H32/DAY(B2)</f>
        <v>328021.14200000442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540062</v>
      </c>
      <c r="F35" s="145">
        <v>542599</v>
      </c>
      <c r="G35" s="112">
        <f t="shared" ref="G35:G46" si="3">F35-E35</f>
        <v>2537</v>
      </c>
      <c r="H35" s="99">
        <f>G35+'4'!H35</f>
        <v>12543</v>
      </c>
      <c r="I35" s="95"/>
      <c r="J35" s="175">
        <f>H35/DAY(B2)</f>
        <v>2508.6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385928</v>
      </c>
      <c r="F36" s="145">
        <v>386964.59</v>
      </c>
      <c r="G36" s="112">
        <f t="shared" si="3"/>
        <v>1036.5900000000256</v>
      </c>
      <c r="H36" s="99">
        <f>G36+'4'!H36</f>
        <v>5143.5900000000256</v>
      </c>
      <c r="I36" s="95"/>
      <c r="J36" s="175">
        <f>H36/DAY(B2)</f>
        <v>1028.7180000000051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389483</v>
      </c>
      <c r="F37" s="145">
        <v>390994</v>
      </c>
      <c r="G37" s="112">
        <f t="shared" si="3"/>
        <v>1511</v>
      </c>
      <c r="H37" s="99">
        <f>G37+'4'!H37</f>
        <v>7375</v>
      </c>
      <c r="I37" s="95"/>
      <c r="J37" s="175">
        <f>H37/DAY(B2)</f>
        <v>1475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888024</v>
      </c>
      <c r="F38" s="108">
        <v>890763</v>
      </c>
      <c r="G38" s="112">
        <f t="shared" si="3"/>
        <v>2739</v>
      </c>
      <c r="H38" s="99">
        <f>G38+'4'!H38</f>
        <v>13636</v>
      </c>
      <c r="I38" s="95"/>
      <c r="J38" s="175">
        <f>H38/DAY(B2)</f>
        <v>2727.2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717581.79</v>
      </c>
      <c r="F39" s="145">
        <v>720419</v>
      </c>
      <c r="G39" s="112">
        <f t="shared" si="3"/>
        <v>2837.2099999999627</v>
      </c>
      <c r="H39" s="99">
        <f>G39+'4'!H39</f>
        <v>14283</v>
      </c>
      <c r="I39" s="95"/>
      <c r="J39" s="175">
        <f>H39/DAY(B2)</f>
        <v>2856.6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219216</v>
      </c>
      <c r="F40" s="145">
        <v>219427</v>
      </c>
      <c r="G40" s="112">
        <f t="shared" si="3"/>
        <v>211</v>
      </c>
      <c r="H40" s="99">
        <f>G40+'4'!H40</f>
        <v>1635</v>
      </c>
      <c r="I40" s="95"/>
      <c r="J40" s="175">
        <f>H40/DAY(B2)</f>
        <v>327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420212</v>
      </c>
      <c r="F41" s="145">
        <v>420212</v>
      </c>
      <c r="G41" s="112">
        <f t="shared" si="3"/>
        <v>0</v>
      </c>
      <c r="H41" s="99">
        <f>G41+'4'!H41</f>
        <v>-0.51000000000931323</v>
      </c>
      <c r="I41" s="95"/>
      <c r="J41" s="175">
        <f>H41/DAY(B2)</f>
        <v>-0.10200000000186264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982309.59</v>
      </c>
      <c r="F42" s="145">
        <v>982309.59</v>
      </c>
      <c r="G42" s="112">
        <f t="shared" si="3"/>
        <v>0</v>
      </c>
      <c r="H42" s="99">
        <f>G42+'4'!H42</f>
        <v>9246.9599999999627</v>
      </c>
      <c r="I42" s="95"/>
      <c r="J42" s="175">
        <f>H42/DAY(B2)</f>
        <v>1849.3919999999925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422444</v>
      </c>
      <c r="F43" s="145">
        <v>422444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10871.799999999988</v>
      </c>
      <c r="H47" s="99">
        <f>G47+'4'!H47</f>
        <v>63862.039999999979</v>
      </c>
      <c r="I47" s="95"/>
      <c r="J47" s="175">
        <f>H47/DAY(B2)</f>
        <v>12772.407999999996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825050</v>
      </c>
      <c r="F49" s="145">
        <v>825599.83</v>
      </c>
      <c r="G49" s="112">
        <f t="shared" ref="G49:G58" si="4">F49-E49</f>
        <v>549.82999999995809</v>
      </c>
      <c r="H49" s="99">
        <f>G49+'4'!H49</f>
        <v>2687.8299999999581</v>
      </c>
      <c r="I49" s="95"/>
      <c r="J49" s="175">
        <f>H49/DAY(B2)</f>
        <v>537.56599999999162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547660</v>
      </c>
      <c r="F50" s="145">
        <v>548789.36</v>
      </c>
      <c r="G50" s="112">
        <f t="shared" si="4"/>
        <v>1129.359999999986</v>
      </c>
      <c r="H50" s="99">
        <f>G50+'4'!H50</f>
        <v>6815.359999999986</v>
      </c>
      <c r="I50" s="95"/>
      <c r="J50" s="175">
        <f>H50/DAY(B2)</f>
        <v>1363.0719999999972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156958</v>
      </c>
      <c r="F51" s="145">
        <v>156958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1457</v>
      </c>
      <c r="F52" s="145">
        <v>1457.43</v>
      </c>
      <c r="G52" s="112">
        <f t="shared" si="4"/>
        <v>0.43000000000006366</v>
      </c>
      <c r="H52" s="99">
        <f>G52+'4'!H52</f>
        <v>0.43000000000006366</v>
      </c>
      <c r="I52" s="95"/>
      <c r="J52" s="175">
        <f>H52/DAY(B2)</f>
        <v>8.6000000000012733E-2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630355</v>
      </c>
      <c r="F53" s="145">
        <v>630355</v>
      </c>
      <c r="G53" s="112">
        <f t="shared" si="4"/>
        <v>0</v>
      </c>
      <c r="H53" s="99">
        <f>G53+'4'!H53</f>
        <v>-3.0000000027939677E-2</v>
      </c>
      <c r="I53" s="95"/>
      <c r="J53" s="175">
        <f>H53/DAY(B2)</f>
        <v>-6.0000000055879356E-3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125429</v>
      </c>
      <c r="F54" s="145">
        <v>125714.3</v>
      </c>
      <c r="G54" s="112">
        <f t="shared" si="4"/>
        <v>285.30000000000291</v>
      </c>
      <c r="H54" s="99">
        <f>G54+'4'!H54</f>
        <v>1600.0899999999965</v>
      </c>
      <c r="I54" s="95"/>
      <c r="J54" s="175">
        <f>H54/DAY(B2)</f>
        <v>320.01799999999929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594304.75</v>
      </c>
      <c r="F55" s="145">
        <v>594304.75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380255.67</v>
      </c>
      <c r="F56" s="145">
        <v>383865.51</v>
      </c>
      <c r="G56" s="112">
        <f t="shared" si="4"/>
        <v>3609.8400000000256</v>
      </c>
      <c r="H56" s="99">
        <f>G56+'4'!H56</f>
        <v>10745.510000000009</v>
      </c>
      <c r="I56" s="95"/>
      <c r="J56" s="175">
        <f>H56/DAY(B2)</f>
        <v>2149.1020000000017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717921</v>
      </c>
      <c r="F57" s="145">
        <v>720581</v>
      </c>
      <c r="G57" s="112">
        <f t="shared" si="4"/>
        <v>2660</v>
      </c>
      <c r="H57" s="99">
        <f>G57+'4'!H57</f>
        <v>12883</v>
      </c>
      <c r="I57" s="95"/>
      <c r="J57" s="175">
        <f>H57/DAY(B2)</f>
        <v>2576.6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95567.32</v>
      </c>
      <c r="F58" s="145">
        <v>95836.887000000002</v>
      </c>
      <c r="G58" s="112">
        <f t="shared" si="4"/>
        <v>269.56699999999546</v>
      </c>
      <c r="H58" s="99">
        <f>G58+'4'!H58</f>
        <v>1267.0669999999955</v>
      </c>
      <c r="I58" s="95"/>
      <c r="J58" s="175">
        <f>H58/DAY(B2)</f>
        <v>253.41339999999909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8504.3269999999684</v>
      </c>
      <c r="H59" s="99">
        <f>G59+'4'!H59</f>
        <v>35999.256999999918</v>
      </c>
      <c r="I59" s="95">
        <f>G7-G60</f>
        <v>3154.8730000000432</v>
      </c>
      <c r="J59" s="175">
        <f>H59/DAY(B2)</f>
        <v>7199.8513999999832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19376.126999999957</v>
      </c>
      <c r="H60" s="99">
        <f>G60+'4'!H60</f>
        <v>99861.296999999904</v>
      </c>
      <c r="I60" s="95">
        <f>G13-G60</f>
        <v>2676.473000000602</v>
      </c>
      <c r="J60" s="175">
        <f>H60/DAY(B2)</f>
        <v>19972.259399999981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'4'!F62</f>
        <v>316196</v>
      </c>
      <c r="F62" s="122">
        <v>316320</v>
      </c>
      <c r="G62" s="112">
        <f t="shared" ref="G62:G63" si="5">F62-E62</f>
        <v>124</v>
      </c>
      <c r="H62" s="99">
        <f>G62+'4'!H62</f>
        <v>643</v>
      </c>
      <c r="I62" s="118"/>
      <c r="J62" s="175">
        <f>H62/DAY(B2)</f>
        <v>128.6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'4'!F63</f>
        <v>252714</v>
      </c>
      <c r="F63" s="122">
        <v>252780</v>
      </c>
      <c r="G63" s="112">
        <f t="shared" si="5"/>
        <v>66</v>
      </c>
      <c r="H63" s="99">
        <f>G63+'4'!H63</f>
        <v>456</v>
      </c>
      <c r="I63" s="118"/>
      <c r="J63" s="175">
        <f>H63/DAY(B2)</f>
        <v>91.2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'4'!F64</f>
        <v>0</v>
      </c>
      <c r="F64" s="122"/>
      <c r="G64" s="112">
        <f>G62+G63</f>
        <v>190</v>
      </c>
      <c r="H64" s="99">
        <f>G64+'4'!H64</f>
        <v>1099</v>
      </c>
      <c r="I64" s="118"/>
      <c r="J64" s="175">
        <f>H64/DAY(B2)</f>
        <v>219.8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'4'!F65</f>
        <v>476459</v>
      </c>
      <c r="F65" s="122">
        <v>476573</v>
      </c>
      <c r="G65" s="112">
        <f t="shared" ref="G65:G70" si="6">F65-E65</f>
        <v>114</v>
      </c>
      <c r="H65" s="99">
        <f>G65+'4'!H65</f>
        <v>670</v>
      </c>
      <c r="I65" s="118"/>
      <c r="J65" s="175">
        <f>H65/DAY(B2)</f>
        <v>134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114545</v>
      </c>
      <c r="F66" s="122">
        <v>114567</v>
      </c>
      <c r="G66" s="112">
        <f t="shared" si="6"/>
        <v>22</v>
      </c>
      <c r="H66" s="99">
        <f>G66+'4'!H66</f>
        <v>101</v>
      </c>
      <c r="I66" s="118"/>
      <c r="J66" s="175">
        <f>H66/DAY(B2)</f>
        <v>20.2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117365</v>
      </c>
      <c r="F67" s="122">
        <v>117391</v>
      </c>
      <c r="G67" s="112">
        <f t="shared" si="6"/>
        <v>26</v>
      </c>
      <c r="H67" s="99">
        <f>G67+'4'!H67</f>
        <v>109</v>
      </c>
      <c r="I67" s="118"/>
      <c r="J67" s="175">
        <f>H67/DAY(B2)</f>
        <v>21.8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170032</v>
      </c>
      <c r="F68" s="122">
        <v>170052</v>
      </c>
      <c r="G68" s="112">
        <f t="shared" si="6"/>
        <v>20</v>
      </c>
      <c r="H68" s="99">
        <f>G68+'4'!H68</f>
        <v>102</v>
      </c>
      <c r="I68" s="118"/>
      <c r="J68" s="175">
        <f>H68/DAY(B2)</f>
        <v>20.399999999999999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13230</v>
      </c>
      <c r="F69" s="122">
        <v>13232</v>
      </c>
      <c r="G69" s="112">
        <f t="shared" si="6"/>
        <v>2</v>
      </c>
      <c r="H69" s="99">
        <f>G69+'4'!H69</f>
        <v>20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11287</v>
      </c>
      <c r="F70" s="122">
        <v>11294</v>
      </c>
      <c r="G70" s="112">
        <f t="shared" si="6"/>
        <v>7</v>
      </c>
      <c r="H70" s="99">
        <f>G70+'4'!H70</f>
        <v>36</v>
      </c>
      <c r="I70" s="118"/>
      <c r="J70" s="175">
        <f>H70/DAY(B2)</f>
        <v>7.2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191</v>
      </c>
      <c r="H71" s="99">
        <f>G71+'4'!H71</f>
        <v>1038</v>
      </c>
      <c r="I71" s="154"/>
      <c r="J71" s="175">
        <f>H71/DAY(B2)</f>
        <v>207.6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'4'!F74</f>
        <v>13534</v>
      </c>
      <c r="F74" s="123">
        <v>13876</v>
      </c>
      <c r="G74" s="112">
        <f t="shared" ref="G74:G78" si="7">F74-E74</f>
        <v>342</v>
      </c>
      <c r="H74" s="99">
        <f>G74+'4'!H74</f>
        <v>1614</v>
      </c>
      <c r="I74" s="154"/>
      <c r="J74" s="175">
        <f>H74/DAY(B2)</f>
        <v>322.8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'4'!F76</f>
        <v>211117</v>
      </c>
      <c r="F76" s="123">
        <v>211226</v>
      </c>
      <c r="G76" s="112">
        <f t="shared" si="7"/>
        <v>109</v>
      </c>
      <c r="H76" s="99">
        <f>G76+'4'!H76</f>
        <v>566</v>
      </c>
      <c r="I76" s="154"/>
      <c r="J76" s="175">
        <f>H76/DAY(B2)</f>
        <v>113.2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'4'!F77</f>
        <v>59958</v>
      </c>
      <c r="F77" s="123">
        <v>60014</v>
      </c>
      <c r="G77" s="112">
        <f t="shared" si="7"/>
        <v>56</v>
      </c>
      <c r="H77" s="99">
        <f>G77+'4'!H77</f>
        <v>253</v>
      </c>
      <c r="I77" s="154"/>
      <c r="J77" s="175">
        <f>H77/DAY(B2)</f>
        <v>50.6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'4'!F78</f>
        <v>9564</v>
      </c>
      <c r="F78" s="123">
        <v>9564.5</v>
      </c>
      <c r="G78" s="112">
        <f t="shared" si="7"/>
        <v>0.5</v>
      </c>
      <c r="H78" s="99">
        <f>G78+'4'!H78</f>
        <v>0.5</v>
      </c>
      <c r="I78" s="118"/>
      <c r="J78" s="175">
        <f>H78/DAY(B2)</f>
        <v>0.1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117"/>
      <c r="F79" s="117"/>
      <c r="G79" s="112">
        <f>G15-SUM(G74:G78)</f>
        <v>626.70000000018626</v>
      </c>
      <c r="H79" s="99">
        <f>G79+'4'!H79</f>
        <v>3206.9850000003353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1134.2000000001863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43546</v>
      </c>
      <c r="F84" s="164">
        <v>43546</v>
      </c>
      <c r="G84" s="112">
        <f t="shared" si="8"/>
        <v>0</v>
      </c>
      <c r="H84" s="99">
        <f>G84+'4'!H84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6258</v>
      </c>
      <c r="F85" s="164">
        <v>6258</v>
      </c>
      <c r="G85" s="112">
        <f t="shared" si="8"/>
        <v>0</v>
      </c>
      <c r="H85" s="99">
        <f>G85+'4'!H85</f>
        <v>45</v>
      </c>
      <c r="I85" s="543"/>
      <c r="J85" s="175">
        <f>H85/DAY(B2)</f>
        <v>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46971</v>
      </c>
      <c r="F86" s="164">
        <v>46971</v>
      </c>
      <c r="G86" s="112">
        <f t="shared" si="8"/>
        <v>0</v>
      </c>
      <c r="H86" s="99">
        <f>G86+'4'!H86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37418</v>
      </c>
      <c r="F87" s="164">
        <v>37442</v>
      </c>
      <c r="G87" s="112">
        <f t="shared" si="8"/>
        <v>24</v>
      </c>
      <c r="H87" s="99">
        <f>G87+'4'!H87</f>
        <v>78</v>
      </c>
      <c r="I87" s="543">
        <f>G84+G85+G86+G87</f>
        <v>24</v>
      </c>
      <c r="J87" s="175">
        <f>H87/DAY(B2)</f>
        <v>15.6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24792</v>
      </c>
      <c r="F88" s="164">
        <v>24802</v>
      </c>
      <c r="G88" s="112">
        <f t="shared" si="8"/>
        <v>10</v>
      </c>
      <c r="H88" s="99">
        <f>G88+'4'!H88</f>
        <v>40</v>
      </c>
      <c r="I88" s="543"/>
      <c r="J88" s="175">
        <f>H88/DAY(B2)</f>
        <v>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29052</v>
      </c>
      <c r="F89" s="164">
        <v>29057</v>
      </c>
      <c r="G89" s="112">
        <f t="shared" si="8"/>
        <v>5</v>
      </c>
      <c r="H89" s="99">
        <f>G89+'4'!H89</f>
        <v>29</v>
      </c>
      <c r="I89" s="543">
        <f>G88+G89</f>
        <v>15</v>
      </c>
      <c r="J89" s="175">
        <f>H89/DAY(B2)</f>
        <v>5.8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74479</v>
      </c>
      <c r="F90" s="164">
        <v>74485</v>
      </c>
      <c r="G90" s="112">
        <f t="shared" si="8"/>
        <v>6</v>
      </c>
      <c r="H90" s="99">
        <f>G90+'4'!H90</f>
        <v>37</v>
      </c>
      <c r="I90" s="543">
        <f>G90</f>
        <v>6</v>
      </c>
      <c r="J90" s="175">
        <f>H90/DAY(B2)</f>
        <v>7.4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5630.51</v>
      </c>
      <c r="F91" s="122">
        <v>5643.75</v>
      </c>
      <c r="G91" s="112">
        <f t="shared" si="8"/>
        <v>13.239999999999782</v>
      </c>
      <c r="H91" s="99">
        <f>G91+'4'!H91</f>
        <v>25.539999999999964</v>
      </c>
      <c r="I91" s="544"/>
      <c r="J91" s="175">
        <f>H91/DAY(B2)</f>
        <v>5.1079999999999925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7466.87</v>
      </c>
      <c r="F92" s="122">
        <v>7466.87</v>
      </c>
      <c r="G92" s="112">
        <f t="shared" si="8"/>
        <v>0</v>
      </c>
      <c r="H92" s="99">
        <f>G92+'4'!H92</f>
        <v>34.590000000000146</v>
      </c>
      <c r="I92" s="545">
        <f>G91+G92</f>
        <v>13.239999999999782</v>
      </c>
      <c r="J92" s="175">
        <f>H92/DAY(B2)</f>
        <v>6.9180000000000295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5746.8299999999581</v>
      </c>
      <c r="H94" s="99">
        <f>G94+'4'!H94</f>
        <v>28113.829999999958</v>
      </c>
      <c r="I94" s="118"/>
      <c r="J94" s="175">
        <f>H94/DAY(B2)</f>
        <v>5622.7659999999914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0.25506324619413068</v>
      </c>
      <c r="H95" s="99">
        <f>G95+'4'!H95</f>
        <v>1.2618248144663184</v>
      </c>
      <c r="I95" s="167"/>
      <c r="J95" s="175">
        <f>H95/DAY(B2)</f>
        <v>0.25236496289326371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3609.8400000000256</v>
      </c>
      <c r="H96" s="99">
        <f>G96+'4'!H96</f>
        <v>19991.959999999963</v>
      </c>
      <c r="I96" s="118"/>
      <c r="J96" s="175">
        <f>H96/DAY(B2)</f>
        <v>3998.3919999999925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0.16021659047534623</v>
      </c>
      <c r="H97" s="99">
        <f>G97+'4'!H97</f>
        <v>0.8984310237308617</v>
      </c>
      <c r="I97" s="167"/>
      <c r="J97" s="175">
        <f>H97/DAY(B2)</f>
        <v>0.17968620474617233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2837.2099999999627</v>
      </c>
      <c r="H98" s="99">
        <f>G98+'4'!H98</f>
        <v>14282.969999999972</v>
      </c>
      <c r="I98" s="168"/>
      <c r="J98" s="175">
        <f>H98/DAY(B2)</f>
        <v>2856.5939999999946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0.12592472593315709</v>
      </c>
      <c r="H99" s="99">
        <f>G99+'4'!H99</f>
        <v>0.64111597741592674</v>
      </c>
      <c r="I99" s="168"/>
      <c r="J99" s="175">
        <f>H99/DAY(B2)</f>
        <v>0.12822319548318534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2739.4300000000003</v>
      </c>
      <c r="H100" s="99">
        <f>G100+'4'!H100</f>
        <v>13636.43</v>
      </c>
      <c r="I100" s="118"/>
      <c r="J100" s="175">
        <f>H100/DAY(B2)</f>
        <v>2727.2860000000001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0.12158492743331412</v>
      </c>
      <c r="H101" s="99">
        <f>G101+'4'!H101</f>
        <v>0.61198313064330678</v>
      </c>
      <c r="I101" s="168"/>
      <c r="J101" s="175">
        <f>H101/DAY(B2)</f>
        <v>0.12239662612866135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2165.9500000000116</v>
      </c>
      <c r="H102" s="99">
        <f>G102+'4'!H102</f>
        <v>11958.950000000012</v>
      </c>
      <c r="I102" s="168"/>
      <c r="J102" s="175">
        <f>H102/DAY(B2)</f>
        <v>2391.7900000000022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9.6131995916737462E-2</v>
      </c>
      <c r="H103" s="99">
        <f>G103+'4'!H103</f>
        <v>0.53566638378325826</v>
      </c>
      <c r="I103" s="118"/>
      <c r="J103" s="175">
        <f>H103/DAY(B2)</f>
        <v>0.10713327675665166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1511</v>
      </c>
      <c r="H104" s="99">
        <f>G104+'4'!H104</f>
        <v>7375</v>
      </c>
      <c r="I104" s="118"/>
      <c r="J104" s="175">
        <f>H104/DAY(B2)</f>
        <v>1475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6.7063157427544276E-2</v>
      </c>
      <c r="H105" s="99">
        <f>G105+'4'!H105</f>
        <v>0.33106331935198713</v>
      </c>
      <c r="I105" s="187"/>
      <c r="J105" s="188">
        <f>H105/DAY(B2)</f>
        <v>6.6212663870397426E-2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'4'!F112</f>
        <v>19639</v>
      </c>
      <c r="F112" s="237">
        <v>19700.61</v>
      </c>
      <c r="G112" s="112">
        <f t="shared" ref="G112:G123" si="9">F112-E112</f>
        <v>61.610000000000582</v>
      </c>
      <c r="H112" s="99">
        <f>G112+'4'!H112</f>
        <v>303.61000000000058</v>
      </c>
      <c r="I112" s="165"/>
      <c r="J112" s="328">
        <f>H112/DAY(B2)</f>
        <v>60.722000000000115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'4'!F113</f>
        <v>42101</v>
      </c>
      <c r="F113" s="237">
        <v>42250.25</v>
      </c>
      <c r="G113" s="112">
        <f t="shared" si="9"/>
        <v>149.25</v>
      </c>
      <c r="H113" s="99">
        <f>G113+'4'!H113</f>
        <v>730.30000000000291</v>
      </c>
      <c r="I113" s="165"/>
      <c r="J113" s="328">
        <f>H113/DAY(B2)</f>
        <v>146.06000000000057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'4'!F114</f>
        <v>62103.73</v>
      </c>
      <c r="F114" s="237">
        <v>62327</v>
      </c>
      <c r="G114" s="112">
        <f t="shared" si="9"/>
        <v>223.2699999999968</v>
      </c>
      <c r="H114" s="99">
        <f>G114+'4'!H114</f>
        <v>1109</v>
      </c>
      <c r="I114" s="165"/>
      <c r="J114" s="328">
        <f>H114/DAY(B2)</f>
        <v>221.8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'4'!F115</f>
        <v>40063</v>
      </c>
      <c r="F115" s="237">
        <v>40217</v>
      </c>
      <c r="G115" s="112">
        <f t="shared" si="9"/>
        <v>154</v>
      </c>
      <c r="H115" s="99">
        <f>G115+'4'!H115</f>
        <v>758</v>
      </c>
      <c r="I115" s="165"/>
      <c r="J115" s="328">
        <f>H115/DAY(B2)</f>
        <v>151.6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'4'!F116</f>
        <v>149894</v>
      </c>
      <c r="F116" s="237">
        <v>150320</v>
      </c>
      <c r="G116" s="112">
        <f t="shared" si="9"/>
        <v>426</v>
      </c>
      <c r="H116" s="99">
        <f>G116+'4'!H116</f>
        <v>2390</v>
      </c>
      <c r="I116" s="165"/>
      <c r="J116" s="328">
        <f>H116/DAY(B2)</f>
        <v>478</v>
      </c>
      <c r="Q116" s="955"/>
      <c r="R116" s="95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'4'!F117</f>
        <v>93079</v>
      </c>
      <c r="F117" s="237">
        <v>93337</v>
      </c>
      <c r="G117" s="112">
        <f t="shared" si="9"/>
        <v>258</v>
      </c>
      <c r="H117" s="99">
        <f>G117+'4'!H117</f>
        <v>1347.6009999999951</v>
      </c>
      <c r="I117" s="165"/>
      <c r="J117" s="328">
        <f>H117/DAY(B2)</f>
        <v>269.52019999999902</v>
      </c>
      <c r="Q117" s="955"/>
      <c r="R117" s="955"/>
    </row>
    <row r="118" spans="1:18" ht="25.5">
      <c r="A118" s="882" t="s">
        <v>97</v>
      </c>
      <c r="B118" s="882"/>
      <c r="C118" s="882"/>
      <c r="D118" s="151" t="s">
        <v>183</v>
      </c>
      <c r="E118" s="95">
        <f>'4'!F118</f>
        <v>180245</v>
      </c>
      <c r="F118" s="237">
        <v>180921</v>
      </c>
      <c r="G118" s="112">
        <f t="shared" si="9"/>
        <v>676</v>
      </c>
      <c r="H118" s="99">
        <f>G118+'4'!H118</f>
        <v>3388.4700000000012</v>
      </c>
      <c r="I118" s="165"/>
      <c r="J118" s="328">
        <f>H118/DAY(B2)</f>
        <v>677.69400000000019</v>
      </c>
      <c r="Q118" s="955"/>
      <c r="R118" s="955"/>
    </row>
    <row r="119" spans="1:18" ht="25.5">
      <c r="A119" s="882" t="s">
        <v>98</v>
      </c>
      <c r="B119" s="882"/>
      <c r="C119" s="882"/>
      <c r="D119" s="151" t="s">
        <v>183</v>
      </c>
      <c r="E119" s="95">
        <f>'4'!F119</f>
        <v>45346.21</v>
      </c>
      <c r="F119" s="237">
        <v>45386</v>
      </c>
      <c r="G119" s="112">
        <f t="shared" si="9"/>
        <v>39.790000000000873</v>
      </c>
      <c r="H119" s="99">
        <f>G119+'4'!H119</f>
        <v>193</v>
      </c>
      <c r="I119" s="165"/>
      <c r="J119" s="328">
        <f>H119/DAY(B2)</f>
        <v>38.6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'4'!F120</f>
        <v>121985.69</v>
      </c>
      <c r="F120" s="467">
        <v>122381.71</v>
      </c>
      <c r="G120" s="112">
        <f t="shared" si="9"/>
        <v>396.02000000000407</v>
      </c>
      <c r="H120" s="99">
        <f>G120+'4'!H120</f>
        <v>1937.7100000000064</v>
      </c>
      <c r="I120" s="165"/>
      <c r="J120" s="328">
        <f>H120/DAY(B2)</f>
        <v>387.54200000000128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'4'!F121</f>
        <v>136366</v>
      </c>
      <c r="F121" s="237">
        <v>136779</v>
      </c>
      <c r="G121" s="112">
        <f t="shared" si="9"/>
        <v>413</v>
      </c>
      <c r="H121" s="99">
        <f>G121+'4'!H121</f>
        <v>2216</v>
      </c>
      <c r="I121" s="165"/>
      <c r="J121" s="328">
        <f>H121/DAY(B2)</f>
        <v>443.2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'4'!F122</f>
        <v>92056</v>
      </c>
      <c r="F122" s="237">
        <v>92384</v>
      </c>
      <c r="G122" s="112">
        <f t="shared" si="9"/>
        <v>328</v>
      </c>
      <c r="H122" s="99">
        <f>G122+'4'!H122</f>
        <v>1507</v>
      </c>
      <c r="I122" s="165"/>
      <c r="J122" s="328">
        <f>H122/DAY(B2)</f>
        <v>301.39999999999998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'4'!F123</f>
        <v>88805.7</v>
      </c>
      <c r="F123" s="237">
        <v>89116</v>
      </c>
      <c r="G123" s="112">
        <f t="shared" si="9"/>
        <v>310.30000000000291</v>
      </c>
      <c r="H123" s="99">
        <f>G123+'4'!H123</f>
        <v>1537</v>
      </c>
      <c r="I123" s="165"/>
      <c r="J123" s="328">
        <f>H123/DAY(B2)</f>
        <v>307.39999999999998</v>
      </c>
    </row>
    <row r="124" spans="1:18" ht="29.25" customHeight="1">
      <c r="A124" s="887"/>
      <c r="B124" s="888"/>
      <c r="C124" s="889"/>
      <c r="D124" s="165"/>
      <c r="E124" s="165"/>
      <c r="F124" s="165" t="s">
        <v>378</v>
      </c>
      <c r="G124" s="327"/>
      <c r="H124" s="156"/>
      <c r="I124" s="165"/>
      <c r="J124" s="327"/>
    </row>
    <row r="125" spans="1:18" ht="25.5">
      <c r="A125" s="950" t="s">
        <v>196</v>
      </c>
      <c r="B125" s="950"/>
      <c r="C125" s="245"/>
      <c r="D125" s="307"/>
      <c r="E125" s="308"/>
      <c r="F125" s="308"/>
      <c r="G125" s="309">
        <f>SUM(G112:G124)</f>
        <v>3435.2400000000052</v>
      </c>
      <c r="H125" s="156"/>
      <c r="I125" s="327">
        <f>G125-(G39+G53)</f>
        <v>598.03000000004249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86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'4'!F128</f>
        <v>209342</v>
      </c>
      <c r="F128" s="387">
        <v>209827</v>
      </c>
      <c r="G128" s="112">
        <f t="shared" ref="G128:G134" si="10">F128-E128</f>
        <v>485</v>
      </c>
      <c r="H128" s="99">
        <f>G128+'4'!H128</f>
        <v>2538</v>
      </c>
      <c r="I128" s="165"/>
      <c r="J128" s="328">
        <f>H128/DAY(B2)</f>
        <v>507.6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1139</v>
      </c>
      <c r="F129" s="387">
        <v>1260</v>
      </c>
      <c r="G129" s="112">
        <f t="shared" si="10"/>
        <v>121</v>
      </c>
      <c r="H129" s="99">
        <f>G129+'4'!H129</f>
        <v>526</v>
      </c>
      <c r="I129" s="165"/>
      <c r="J129" s="328">
        <f>H129/DAY(B2)</f>
        <v>105.2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289620</v>
      </c>
      <c r="F130" s="387">
        <v>290368.15000000002</v>
      </c>
      <c r="G130" s="112">
        <f t="shared" si="10"/>
        <v>748.15000000002328</v>
      </c>
      <c r="H130" s="99">
        <f>G130+'4'!H130</f>
        <v>1646.1500000000233</v>
      </c>
      <c r="I130" s="165"/>
      <c r="J130" s="328">
        <f>H130/DAY(B2)</f>
        <v>329.23000000000468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'4'!F131</f>
        <v>85469.77</v>
      </c>
      <c r="F131" s="387">
        <v>85624.87</v>
      </c>
      <c r="G131" s="112">
        <f t="shared" si="10"/>
        <v>155.09999999999127</v>
      </c>
      <c r="H131" s="99">
        <f>G131+'4'!H131</f>
        <v>921.0399999999936</v>
      </c>
      <c r="I131" s="165"/>
      <c r="J131" s="328">
        <f>H131/DAY(B2)</f>
        <v>184.20799999999872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'4'!F132</f>
        <v>68707.460000000006</v>
      </c>
      <c r="F132" s="387">
        <v>69028</v>
      </c>
      <c r="G132" s="112">
        <f t="shared" si="10"/>
        <v>320.5399999999936</v>
      </c>
      <c r="H132" s="99">
        <f>G132+'4'!H132</f>
        <v>1581</v>
      </c>
      <c r="I132" s="165"/>
      <c r="J132" s="328">
        <f>H132/DAY(B2)</f>
        <v>316.2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'4'!F133</f>
        <v>952207</v>
      </c>
      <c r="F133" s="387">
        <v>952690</v>
      </c>
      <c r="G133" s="112">
        <f t="shared" si="10"/>
        <v>483</v>
      </c>
      <c r="H133" s="99">
        <f>G133+'4'!H133</f>
        <v>2543</v>
      </c>
      <c r="I133" s="165"/>
      <c r="J133" s="328">
        <f>H133/DAY(B2)</f>
        <v>508.6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'4'!F134</f>
        <v>94261.47</v>
      </c>
      <c r="F134" s="387">
        <v>94524.350999999995</v>
      </c>
      <c r="G134" s="112">
        <f t="shared" si="10"/>
        <v>262.88099999999395</v>
      </c>
      <c r="H134" s="99">
        <f>G134+'4'!H134</f>
        <v>1290.8509999999951</v>
      </c>
      <c r="I134" s="165"/>
      <c r="J134" s="328">
        <f>H134/DAY(B2)</f>
        <v>258.170199999999</v>
      </c>
    </row>
    <row r="135" spans="1:15" ht="25.5">
      <c r="A135" s="950" t="s">
        <v>196</v>
      </c>
      <c r="B135" s="950"/>
      <c r="C135" s="331"/>
      <c r="D135" s="151"/>
      <c r="E135" s="95"/>
      <c r="F135" s="165"/>
      <c r="G135" s="112">
        <f>SUM(G128:G134)</f>
        <v>2575.6710000000021</v>
      </c>
      <c r="H135" s="99">
        <f>G135+'4'!H135</f>
        <v>11046.041000000012</v>
      </c>
      <c r="I135" s="327">
        <f>G135-(G35+G49)</f>
        <v>-511.158999999956</v>
      </c>
      <c r="J135" s="328">
        <f>H135/DAY(B2)</f>
        <v>2209.2082000000023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'4'!F138</f>
        <v>913405</v>
      </c>
      <c r="F138" s="147">
        <v>913501</v>
      </c>
      <c r="G138" s="112">
        <f t="shared" ref="G138:G152" si="11">F138-E138</f>
        <v>96</v>
      </c>
      <c r="H138" s="99">
        <f>G138+'4'!H138</f>
        <v>590</v>
      </c>
      <c r="I138" s="118"/>
      <c r="J138" s="328">
        <f>H138/DAY(B2)</f>
        <v>118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'4'!F139</f>
        <v>937866</v>
      </c>
      <c r="F139" s="148">
        <v>938004</v>
      </c>
      <c r="G139" s="112">
        <f t="shared" si="11"/>
        <v>138</v>
      </c>
      <c r="H139" s="99">
        <f>G139+'4'!H139</f>
        <v>746</v>
      </c>
      <c r="I139" s="118"/>
      <c r="J139" s="328">
        <f>H139/DAY(B2)</f>
        <v>149.19999999999999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'4'!F140</f>
        <v>4889.9799999999996</v>
      </c>
      <c r="F140" s="149">
        <v>4921.21</v>
      </c>
      <c r="G140" s="112">
        <f t="shared" si="11"/>
        <v>31.230000000000473</v>
      </c>
      <c r="H140" s="99">
        <f>G140+'4'!H140</f>
        <v>157.21000000000004</v>
      </c>
      <c r="I140" s="118"/>
      <c r="J140" s="328">
        <f>H140/DAY(B2)</f>
        <v>31.442000000000007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'4'!F141</f>
        <v>132268</v>
      </c>
      <c r="F141" s="149">
        <v>132532</v>
      </c>
      <c r="G141" s="112">
        <f t="shared" si="11"/>
        <v>264</v>
      </c>
      <c r="H141" s="99">
        <f>G141+'4'!H141</f>
        <v>1212</v>
      </c>
      <c r="I141" s="118"/>
      <c r="J141" s="328">
        <f>H141/DAY(B2)</f>
        <v>242.4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'4'!F142</f>
        <v>53579.59</v>
      </c>
      <c r="F142" s="148">
        <v>53662</v>
      </c>
      <c r="G142" s="112">
        <f t="shared" si="11"/>
        <v>82.410000000003492</v>
      </c>
      <c r="H142" s="99">
        <f>G142+'4'!H142</f>
        <v>471</v>
      </c>
      <c r="I142" s="140"/>
      <c r="J142" s="328">
        <f>H142/DAY(B2)</f>
        <v>94.2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'4'!F143</f>
        <v>14449.67</v>
      </c>
      <c r="F143" s="149">
        <v>14480</v>
      </c>
      <c r="G143" s="112">
        <f t="shared" si="11"/>
        <v>30.329999999999927</v>
      </c>
      <c r="H143" s="99">
        <f>G143+'4'!H143</f>
        <v>168</v>
      </c>
      <c r="I143" s="140"/>
      <c r="J143" s="328">
        <f>H143/DAY(B2)</f>
        <v>33.6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'4'!F144</f>
        <v>964333</v>
      </c>
      <c r="F144" s="149">
        <v>964614</v>
      </c>
      <c r="G144" s="112">
        <f t="shared" si="11"/>
        <v>281</v>
      </c>
      <c r="H144" s="99">
        <f>G144+'4'!H144</f>
        <v>1388</v>
      </c>
      <c r="I144" s="140"/>
      <c r="J144" s="328">
        <f>H144/DAY(B2)</f>
        <v>277.60000000000002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'4'!F145</f>
        <v>751483</v>
      </c>
      <c r="F145" s="149">
        <v>751800</v>
      </c>
      <c r="G145" s="112">
        <f t="shared" si="11"/>
        <v>317</v>
      </c>
      <c r="H145" s="99">
        <f>G145+'4'!H145</f>
        <v>1067</v>
      </c>
      <c r="I145" s="140"/>
      <c r="J145" s="328">
        <f>H145/DAY(B2)</f>
        <v>213.4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'4'!F146</f>
        <v>789226</v>
      </c>
      <c r="F146" s="148">
        <v>789264</v>
      </c>
      <c r="G146" s="112">
        <f t="shared" si="11"/>
        <v>38</v>
      </c>
      <c r="H146" s="99">
        <f>G146+'4'!H146</f>
        <v>239</v>
      </c>
      <c r="I146" s="140"/>
      <c r="J146" s="328">
        <f>H146/DAY(B2)</f>
        <v>47.8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'4'!F147</f>
        <v>773168.24</v>
      </c>
      <c r="F147" s="148">
        <v>773535.76</v>
      </c>
      <c r="G147" s="112">
        <f t="shared" si="11"/>
        <v>367.52000000001863</v>
      </c>
      <c r="H147" s="99">
        <f>G147+'4'!H147</f>
        <v>1878.8800000000047</v>
      </c>
      <c r="I147" s="140"/>
      <c r="J147" s="328">
        <f>H147/DAY(B2)</f>
        <v>375.77600000000092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'4'!F148</f>
        <v>808254</v>
      </c>
      <c r="F148" s="150">
        <v>808580.4</v>
      </c>
      <c r="G148" s="112">
        <f t="shared" si="11"/>
        <v>326.40000000002328</v>
      </c>
      <c r="H148" s="99">
        <f>G148+'4'!H148</f>
        <v>1760.1600000000326</v>
      </c>
      <c r="I148" s="124"/>
      <c r="J148" s="328">
        <f>H148/DAY(B2)</f>
        <v>352.03200000000652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'4'!F149</f>
        <v>219160</v>
      </c>
      <c r="F149" s="146">
        <v>219734</v>
      </c>
      <c r="G149" s="112">
        <f t="shared" si="11"/>
        <v>574</v>
      </c>
      <c r="H149" s="99">
        <f>G149+'4'!H149</f>
        <v>2838</v>
      </c>
      <c r="I149" s="119"/>
      <c r="J149" s="328">
        <f>H149/DAY(B2)</f>
        <v>567.6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'4'!F150</f>
        <v>95441</v>
      </c>
      <c r="F150" s="233">
        <v>95560</v>
      </c>
      <c r="G150" s="112">
        <f t="shared" si="11"/>
        <v>119</v>
      </c>
      <c r="H150" s="99">
        <f>G150+'4'!H150</f>
        <v>582</v>
      </c>
      <c r="I150" s="119"/>
      <c r="J150" s="328">
        <f>H150/DAY(B2)</f>
        <v>116.4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'4'!F151</f>
        <v>177440</v>
      </c>
      <c r="F151" s="233">
        <v>177782</v>
      </c>
      <c r="G151" s="112">
        <f t="shared" si="11"/>
        <v>342</v>
      </c>
      <c r="H151" s="99">
        <f>G151+'4'!H151</f>
        <v>1607</v>
      </c>
      <c r="I151" s="119"/>
      <c r="J151" s="328">
        <f>H151/DAY(B2)</f>
        <v>321.39999999999998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'4'!F152</f>
        <v>47164</v>
      </c>
      <c r="F152" s="233">
        <v>47298</v>
      </c>
      <c r="G152" s="112">
        <f t="shared" si="11"/>
        <v>134</v>
      </c>
      <c r="H152" s="99">
        <f>G152+'4'!H152</f>
        <v>666</v>
      </c>
      <c r="I152" s="119"/>
      <c r="J152" s="328">
        <f>H152/DAY(B2)</f>
        <v>133.19999999999999</v>
      </c>
    </row>
    <row r="153" spans="1:10" ht="25.5">
      <c r="A153" s="950" t="s">
        <v>196</v>
      </c>
      <c r="B153" s="950"/>
      <c r="C153" s="365"/>
      <c r="D153" s="358"/>
      <c r="E153" s="360"/>
      <c r="F153" s="361"/>
      <c r="G153" s="362">
        <f>SUM(G138:G152)</f>
        <v>3140.8900000000458</v>
      </c>
      <c r="H153" s="363"/>
      <c r="I153" s="119">
        <f>G153-(G38+G52)</f>
        <v>401.46000000004551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'4'!F155</f>
        <v>258577</v>
      </c>
      <c r="F155" s="374">
        <v>259129</v>
      </c>
      <c r="G155" s="112">
        <f t="shared" ref="G155:G158" si="12">F155-E155</f>
        <v>552</v>
      </c>
      <c r="H155" s="99">
        <f>G155+'4'!H155</f>
        <v>2777</v>
      </c>
      <c r="I155" s="364"/>
      <c r="J155" s="328">
        <f>H155/DAY(B2)</f>
        <v>555.4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'4'!F156</f>
        <v>32954</v>
      </c>
      <c r="F156" s="155">
        <v>32998</v>
      </c>
      <c r="G156" s="112">
        <f t="shared" si="12"/>
        <v>44</v>
      </c>
      <c r="H156" s="99">
        <f>G156+'4'!H156</f>
        <v>439</v>
      </c>
      <c r="I156" s="165"/>
      <c r="J156" s="328">
        <f>H156/DAY(B2)</f>
        <v>87.8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'4'!F157</f>
        <v>37559</v>
      </c>
      <c r="F157" s="155">
        <v>37559</v>
      </c>
      <c r="G157" s="112">
        <f t="shared" si="12"/>
        <v>0</v>
      </c>
      <c r="H157" s="99">
        <f>G157+'4'!H157</f>
        <v>0</v>
      </c>
      <c r="I157" s="165"/>
      <c r="J157" s="328">
        <f>H157/DAY(B2)</f>
        <v>0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'4'!F158</f>
        <v>1785</v>
      </c>
      <c r="F158" s="155">
        <v>1785</v>
      </c>
      <c r="G158" s="112">
        <f t="shared" si="12"/>
        <v>0</v>
      </c>
      <c r="H158" s="99">
        <f>G158+'4'!H158</f>
        <v>2</v>
      </c>
      <c r="I158" s="165"/>
      <c r="J158" s="328">
        <f>H158/DAY(B2)</f>
        <v>0.4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513143.16</v>
      </c>
      <c r="F161" s="235">
        <v>513190</v>
      </c>
      <c r="G161" s="238">
        <f t="shared" ref="G161:G165" si="13">F161-E161</f>
        <v>46.840000000025611</v>
      </c>
      <c r="H161" s="99">
        <f>G161+'4'!H161</f>
        <v>745</v>
      </c>
      <c r="I161" s="236"/>
      <c r="J161" s="239">
        <f>H161/DAY(B2)</f>
        <v>149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1939</v>
      </c>
      <c r="F162" s="235">
        <v>1960</v>
      </c>
      <c r="G162" s="238">
        <f t="shared" si="13"/>
        <v>21</v>
      </c>
      <c r="H162" s="99">
        <f>G162+'4'!H162</f>
        <v>173</v>
      </c>
      <c r="I162" s="236"/>
      <c r="J162" s="239">
        <f>H162/DAY(B2)</f>
        <v>34.6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0</v>
      </c>
      <c r="F163" s="235">
        <v>0</v>
      </c>
      <c r="G163" s="238">
        <f t="shared" si="13"/>
        <v>0</v>
      </c>
      <c r="H163" s="99">
        <f>G163+'4'!H163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7348.4</v>
      </c>
      <c r="F164" s="235">
        <v>7348</v>
      </c>
      <c r="G164" s="238">
        <f t="shared" si="13"/>
        <v>-0.3999999999996362</v>
      </c>
      <c r="H164" s="99">
        <f>G164+'4'!H164</f>
        <v>11</v>
      </c>
      <c r="I164" s="236"/>
      <c r="J164" s="239">
        <f>H164/DAY(B2)</f>
        <v>2.2000000000000002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33002</v>
      </c>
      <c r="F165" s="235">
        <v>33008.370000000003</v>
      </c>
      <c r="G165" s="238">
        <f t="shared" si="13"/>
        <v>6.3700000000026193</v>
      </c>
      <c r="H165" s="99">
        <f>G165+'4'!H165</f>
        <v>33.850000000005821</v>
      </c>
      <c r="I165" s="236"/>
      <c r="J165" s="239">
        <f>H165/DAY(B2)</f>
        <v>6.770000000001164</v>
      </c>
    </row>
    <row r="166" spans="1:10" ht="26.25">
      <c r="A166" s="872"/>
      <c r="B166" s="87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72"/>
      <c r="B167" s="87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72"/>
      <c r="B168" s="87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951"/>
      <c r="B172" s="951"/>
      <c r="C172" s="389"/>
      <c r="D172" s="155"/>
      <c r="E172" s="155"/>
      <c r="F172" s="155"/>
      <c r="G172" s="155"/>
      <c r="H172" s="156"/>
      <c r="I172" s="155"/>
      <c r="J172" s="156"/>
    </row>
    <row r="173" spans="1:10" ht="25.5">
      <c r="A173" s="949" t="s">
        <v>209</v>
      </c>
      <c r="B173" s="949"/>
      <c r="C173" s="333"/>
      <c r="D173" s="155" t="s">
        <v>142</v>
      </c>
      <c r="E173" s="95">
        <f>'4'!F173</f>
        <v>8618</v>
      </c>
      <c r="F173" s="155">
        <v>8618</v>
      </c>
      <c r="G173" s="155">
        <f>F173-E173</f>
        <v>0</v>
      </c>
      <c r="H173" s="99">
        <f>G173+'4'!H173</f>
        <v>6</v>
      </c>
      <c r="I173" s="155"/>
      <c r="J173" s="156">
        <f>H173/DAY(B2)</f>
        <v>1.2</v>
      </c>
    </row>
    <row r="174" spans="1:10" ht="25.5">
      <c r="A174" s="949" t="s">
        <v>75</v>
      </c>
      <c r="B174" s="949"/>
      <c r="C174" s="333"/>
      <c r="D174" s="155" t="s">
        <v>142</v>
      </c>
      <c r="E174" s="95">
        <f>'4'!F174</f>
        <v>43457</v>
      </c>
      <c r="F174" s="157">
        <v>43468</v>
      </c>
      <c r="G174" s="155">
        <f t="shared" ref="G174:G175" si="14">F174-E174</f>
        <v>11</v>
      </c>
      <c r="H174" s="99">
        <f>G174+'4'!H174</f>
        <v>54</v>
      </c>
      <c r="I174" s="155"/>
      <c r="J174" s="156">
        <f>H174/DAY(B2)</f>
        <v>10.8</v>
      </c>
    </row>
    <row r="175" spans="1:10" ht="25.5">
      <c r="A175" s="949" t="s">
        <v>76</v>
      </c>
      <c r="B175" s="949"/>
      <c r="C175" s="949"/>
      <c r="D175" s="155" t="s">
        <v>142</v>
      </c>
      <c r="E175" s="95">
        <f>'4'!F175</f>
        <v>26328</v>
      </c>
      <c r="F175" s="157">
        <v>26356</v>
      </c>
      <c r="G175" s="155">
        <f t="shared" si="14"/>
        <v>28</v>
      </c>
      <c r="H175" s="99">
        <f>G175+'4'!H175</f>
        <v>69</v>
      </c>
      <c r="I175" s="155"/>
      <c r="J175" s="156">
        <f>H175/DAY(B2)</f>
        <v>13.8</v>
      </c>
    </row>
    <row r="176" spans="1:10" ht="25.5">
      <c r="A176" s="950" t="s">
        <v>196</v>
      </c>
      <c r="B176" s="950"/>
      <c r="C176" s="333"/>
      <c r="D176" s="155"/>
      <c r="E176" s="95">
        <f>'4'!F176</f>
        <v>0</v>
      </c>
      <c r="F176" s="155"/>
      <c r="G176" s="155">
        <f>SUM(G173:G175)</f>
        <v>39</v>
      </c>
      <c r="H176" s="99">
        <f>G176+'4'!H176</f>
        <v>129</v>
      </c>
      <c r="I176" s="155"/>
      <c r="J176" s="156">
        <f>H176/DAY(B2)</f>
        <v>25.8</v>
      </c>
    </row>
    <row r="177" spans="1:10" ht="25.5">
      <c r="A177" s="949" t="s">
        <v>77</v>
      </c>
      <c r="B177" s="949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49" t="s">
        <v>210</v>
      </c>
      <c r="B178" s="949"/>
      <c r="C178" s="333"/>
      <c r="D178" s="155" t="s">
        <v>142</v>
      </c>
      <c r="E178" s="95">
        <f>'4'!F178</f>
        <v>110925</v>
      </c>
      <c r="F178" s="155">
        <v>110986</v>
      </c>
      <c r="G178" s="155">
        <f>F178-E178</f>
        <v>61</v>
      </c>
      <c r="H178" s="99">
        <f>G178+'4'!H178</f>
        <v>595</v>
      </c>
      <c r="I178" s="155"/>
      <c r="J178" s="156">
        <f>H178/DAY(B2)</f>
        <v>119</v>
      </c>
    </row>
    <row r="179" spans="1:10" ht="25.5">
      <c r="A179" s="949" t="s">
        <v>211</v>
      </c>
      <c r="B179" s="949"/>
      <c r="C179" s="333"/>
      <c r="D179" s="155" t="s">
        <v>142</v>
      </c>
      <c r="E179" s="95">
        <f>'4'!F179</f>
        <v>37501</v>
      </c>
      <c r="F179" s="155">
        <v>37501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49" t="s">
        <v>212</v>
      </c>
      <c r="B180" s="949"/>
      <c r="C180" s="333"/>
      <c r="D180" s="155" t="s">
        <v>142</v>
      </c>
      <c r="E180" s="95">
        <f>'4'!F180</f>
        <v>7727</v>
      </c>
      <c r="F180" s="155">
        <v>7727</v>
      </c>
      <c r="G180" s="155">
        <f t="shared" si="15"/>
        <v>0</v>
      </c>
      <c r="H180" s="99">
        <f>G180+'4'!H180</f>
        <v>26</v>
      </c>
      <c r="I180" s="155"/>
      <c r="J180" s="156">
        <f>H180/DAY(B2)</f>
        <v>5.2</v>
      </c>
    </row>
    <row r="181" spans="1:10" ht="25.5">
      <c r="A181" s="954" t="s">
        <v>108</v>
      </c>
      <c r="B181" s="954"/>
      <c r="C181" s="333"/>
      <c r="D181" s="155"/>
      <c r="E181" s="95">
        <f>'4'!F181</f>
        <v>0</v>
      </c>
      <c r="F181" s="155"/>
      <c r="G181" s="155">
        <f>SUM(G178:G180)</f>
        <v>61</v>
      </c>
      <c r="H181" s="99">
        <f>G181+'4'!H181</f>
        <v>621</v>
      </c>
      <c r="I181" s="155"/>
      <c r="J181" s="156">
        <f>H181/DAY(B2)</f>
        <v>124.2</v>
      </c>
    </row>
    <row r="182" spans="1:10" ht="25.5">
      <c r="A182" s="949" t="s">
        <v>213</v>
      </c>
      <c r="B182" s="949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49" t="s">
        <v>214</v>
      </c>
      <c r="B183" s="949"/>
      <c r="C183" s="334"/>
      <c r="D183" s="155" t="s">
        <v>142</v>
      </c>
      <c r="E183" s="95">
        <f>'4'!F183</f>
        <v>18713</v>
      </c>
      <c r="F183" s="157">
        <v>18717</v>
      </c>
      <c r="G183" s="157">
        <f>F183-E183</f>
        <v>4</v>
      </c>
      <c r="H183" s="99">
        <f>G183+'4'!H183</f>
        <v>25</v>
      </c>
      <c r="I183" s="155"/>
      <c r="J183" s="156">
        <f>H183/DAY(B2)</f>
        <v>5</v>
      </c>
    </row>
    <row r="184" spans="1:10" ht="25.5">
      <c r="A184" s="949" t="s">
        <v>215</v>
      </c>
      <c r="B184" s="949"/>
      <c r="C184" s="334"/>
      <c r="D184" s="155" t="s">
        <v>142</v>
      </c>
      <c r="E184" s="95">
        <f>'4'!F184</f>
        <v>13278</v>
      </c>
      <c r="F184" s="157">
        <v>13282</v>
      </c>
      <c r="G184" s="157">
        <f t="shared" ref="G184:G185" si="16">F184-E184</f>
        <v>4</v>
      </c>
      <c r="H184" s="99">
        <f>G184+'4'!H184</f>
        <v>36</v>
      </c>
      <c r="I184" s="155"/>
      <c r="J184" s="156">
        <f>H184/DAY(B2)</f>
        <v>7.2</v>
      </c>
    </row>
    <row r="185" spans="1:10" ht="29.25" customHeight="1">
      <c r="A185" s="949" t="s">
        <v>216</v>
      </c>
      <c r="B185" s="949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0" t="s">
        <v>196</v>
      </c>
      <c r="B186" s="950"/>
      <c r="C186" s="334"/>
      <c r="D186" s="378"/>
      <c r="E186" s="95"/>
      <c r="F186" s="157"/>
      <c r="G186" s="157">
        <f>SUM(G183:G185)</f>
        <v>8</v>
      </c>
      <c r="H186" s="99">
        <f>G186+'4'!H186</f>
        <v>61</v>
      </c>
      <c r="I186" s="157"/>
      <c r="J186" s="156">
        <f>H186/DAY(B2)</f>
        <v>12.2</v>
      </c>
    </row>
    <row r="187" spans="1:10" ht="25.5">
      <c r="A187" s="953" t="s">
        <v>217</v>
      </c>
      <c r="B187" s="953"/>
      <c r="C187" s="333"/>
      <c r="D187" s="157" t="s">
        <v>142</v>
      </c>
      <c r="E187" s="95"/>
      <c r="F187" s="159"/>
      <c r="G187" s="377">
        <f>G62+G19</f>
        <v>176</v>
      </c>
      <c r="H187" s="99">
        <f>G187+'4'!H187</f>
        <v>918</v>
      </c>
      <c r="I187" s="158"/>
      <c r="J187" s="159">
        <f>H187/DAY(B2)</f>
        <v>183.6</v>
      </c>
    </row>
    <row r="188" spans="1:10" ht="25.5">
      <c r="A188" s="953" t="s">
        <v>218</v>
      </c>
      <c r="B188" s="953"/>
      <c r="C188" s="333"/>
      <c r="D188" s="157" t="s">
        <v>142</v>
      </c>
      <c r="E188" s="95"/>
      <c r="F188" s="159"/>
      <c r="G188" s="377">
        <f>G65+G66+G67+G69+G70</f>
        <v>171</v>
      </c>
      <c r="H188" s="99">
        <f>G188+'4'!H188</f>
        <v>936</v>
      </c>
      <c r="I188" s="158"/>
      <c r="J188" s="159">
        <f>H188/DAY(B2)</f>
        <v>187.2</v>
      </c>
    </row>
    <row r="189" spans="1:10" ht="25.5">
      <c r="A189" s="953" t="s">
        <v>219</v>
      </c>
      <c r="B189" s="953"/>
      <c r="C189" s="333"/>
      <c r="D189" s="157" t="s">
        <v>142</v>
      </c>
      <c r="E189" s="95"/>
      <c r="F189" s="157"/>
      <c r="G189" s="376">
        <f>G181</f>
        <v>61</v>
      </c>
      <c r="H189" s="99">
        <f>G189+'4'!H189</f>
        <v>621</v>
      </c>
      <c r="I189" s="158"/>
      <c r="J189" s="159">
        <f>H189/DAY(B2)</f>
        <v>124.2</v>
      </c>
    </row>
    <row r="190" spans="1:10" ht="25.5">
      <c r="A190" s="952"/>
      <c r="B190" s="952"/>
      <c r="C190" s="390"/>
      <c r="D190" s="391"/>
      <c r="E190" s="392"/>
      <c r="F190" s="391"/>
      <c r="G190" s="391"/>
      <c r="H190" s="393"/>
      <c r="I190" s="391"/>
      <c r="J190" s="39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21" zoomScale="55" zoomScaleSheetLayoutView="55" workbookViewId="0">
      <selection activeCell="I144" sqref="I14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355</v>
      </c>
      <c r="B2" s="262">
        <v>44963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734222</v>
      </c>
      <c r="F7" s="95">
        <v>757311</v>
      </c>
      <c r="G7" s="236">
        <f>F7-E7</f>
        <v>23089</v>
      </c>
      <c r="H7" s="99">
        <f>G7+'5'!H7</f>
        <v>134512</v>
      </c>
      <c r="I7" s="113">
        <f>'1'!I7</f>
        <v>12000</v>
      </c>
      <c r="J7" s="175">
        <f>H7/DAY(B2)</f>
        <v>22418.666666666668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929900.87</v>
      </c>
      <c r="F8" s="114">
        <v>953597</v>
      </c>
      <c r="G8" s="518">
        <f>F8-E8</f>
        <v>23696.130000000005</v>
      </c>
      <c r="H8" s="99">
        <f>G8+'5'!H8</f>
        <v>137487</v>
      </c>
      <c r="I8" s="116"/>
      <c r="J8" s="175">
        <f>H8/DAY(B2)</f>
        <v>22914.5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4894174</v>
      </c>
      <c r="F9" s="117">
        <v>4906484</v>
      </c>
      <c r="G9" s="112">
        <f>F9-E9</f>
        <v>12310</v>
      </c>
      <c r="H9" s="99">
        <f>G9+'5'!H9</f>
        <v>81385</v>
      </c>
      <c r="I9" s="124">
        <f>I7-J7</f>
        <v>-10418.666666666668</v>
      </c>
      <c r="J9" s="175">
        <f>H9/DAY(B2)</f>
        <v>13564.166666666666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4330088.9000000004</v>
      </c>
      <c r="F10" s="117">
        <v>4340375</v>
      </c>
      <c r="G10" s="112">
        <f t="shared" ref="G10:G12" si="0">F10-E10</f>
        <v>10286.099999999627</v>
      </c>
      <c r="H10" s="99">
        <f>G10+'5'!H10</f>
        <v>49841</v>
      </c>
      <c r="I10" s="282"/>
      <c r="J10" s="175">
        <f>H10/DAY(B2)</f>
        <v>8306.8333333333339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38700</v>
      </c>
      <c r="F11" s="95">
        <v>38700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40550</v>
      </c>
      <c r="F12" s="117">
        <v>40550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22596.099999999627</v>
      </c>
      <c r="H13" s="99">
        <f>G13+'5'!H13</f>
        <v>131226</v>
      </c>
      <c r="I13" s="120">
        <f>G7-G13</f>
        <v>492.90000000037253</v>
      </c>
      <c r="J13" s="175">
        <f>H13/DAY(B2)</f>
        <v>21871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2294114.2000000002</v>
      </c>
      <c r="F15" s="468">
        <v>2295202</v>
      </c>
      <c r="G15" s="112">
        <f>(F15-E15)</f>
        <v>1087.7999999998137</v>
      </c>
      <c r="H15" s="99">
        <f>G15+'5'!H15</f>
        <v>6728.285000000149</v>
      </c>
      <c r="I15" s="113">
        <f>'1'!I15</f>
        <v>800</v>
      </c>
      <c r="J15" s="175">
        <f>H15/DAY(B2)</f>
        <v>1121.3808333333582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-321.38083333335817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'5'!F18</f>
        <v>25</v>
      </c>
      <c r="F18" s="122">
        <v>26</v>
      </c>
      <c r="G18" s="119">
        <f>F18*10</f>
        <v>260</v>
      </c>
      <c r="H18" s="99">
        <f>G18+'5'!H18</f>
        <v>1300</v>
      </c>
      <c r="I18" s="113">
        <f>'1'!I18</f>
        <v>65</v>
      </c>
      <c r="J18" s="175">
        <f>H18/DAY(B2)</f>
        <v>216.66666666666666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'5'!F19</f>
        <v>171598</v>
      </c>
      <c r="F19" s="122">
        <v>171649</v>
      </c>
      <c r="G19" s="112">
        <f t="shared" ref="G19" si="1">F19-E19</f>
        <v>51</v>
      </c>
      <c r="H19" s="99">
        <f>G19+'5'!H19</f>
        <v>326</v>
      </c>
      <c r="I19" s="335"/>
      <c r="J19" s="175">
        <f>H19/DAY(B2)</f>
        <v>54.333333333333336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G20+'5'!H20</f>
        <v>1626</v>
      </c>
      <c r="I20" s="336">
        <f>I18-J20</f>
        <v>-206</v>
      </c>
      <c r="J20" s="175">
        <f>H20/DAY(B2)</f>
        <v>271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23696.130000000005</v>
      </c>
      <c r="F27" s="136">
        <v>10</v>
      </c>
      <c r="G27" s="137">
        <f>E27*F27</f>
        <v>236961.30000000005</v>
      </c>
      <c r="H27" s="99">
        <f>G27+'5'!H27</f>
        <v>1374870</v>
      </c>
      <c r="I27" s="138"/>
      <c r="J27" s="175">
        <f>H27/DAY(B2)</f>
        <v>229145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1087.7999999998137</v>
      </c>
      <c r="F28" s="136">
        <v>63</v>
      </c>
      <c r="G28" s="137">
        <f>E28*F28</f>
        <v>68531.399999988265</v>
      </c>
      <c r="H28" s="99">
        <f>G28+'5'!H28</f>
        <v>440803.41000001039</v>
      </c>
      <c r="I28" s="140"/>
      <c r="J28" s="175">
        <f>H28/DAY(B2)</f>
        <v>73467.235000001732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155</v>
      </c>
      <c r="G30" s="137">
        <f>E30*F30</f>
        <v>7905</v>
      </c>
      <c r="H30" s="99">
        <f>G30+'5'!H30</f>
        <v>49430</v>
      </c>
      <c r="I30" s="140"/>
      <c r="J30" s="175">
        <f>H30/DAY(B2)</f>
        <v>8238.3333333333339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88</v>
      </c>
      <c r="G31" s="137">
        <f>E31*F31</f>
        <v>22880</v>
      </c>
      <c r="H31" s="99">
        <f>G31+'5'!H31</f>
        <v>111280</v>
      </c>
      <c r="I31" s="140"/>
      <c r="J31" s="175">
        <f>H31/DAY(B2)</f>
        <v>18546.666666666668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336277.69999998831</v>
      </c>
      <c r="H32" s="99">
        <f>G32+'5'!H32</f>
        <v>1976383.4100000104</v>
      </c>
      <c r="I32" s="144"/>
      <c r="J32" s="175">
        <f>H32/DAY(B2)</f>
        <v>329397.23500000173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542599</v>
      </c>
      <c r="F35" s="145">
        <v>545216</v>
      </c>
      <c r="G35" s="112">
        <f t="shared" ref="G35:G46" si="3">F35-E35</f>
        <v>2617</v>
      </c>
      <c r="H35" s="99">
        <f>G35+'5'!H35</f>
        <v>15160</v>
      </c>
      <c r="I35" s="95"/>
      <c r="J35" s="175">
        <f>H35/DAY(B2)</f>
        <v>2526.6666666666665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386964.59</v>
      </c>
      <c r="F36" s="145">
        <v>388077</v>
      </c>
      <c r="G36" s="112">
        <f t="shared" si="3"/>
        <v>1112.4099999999744</v>
      </c>
      <c r="H36" s="99">
        <f>G36+'5'!H36</f>
        <v>6256</v>
      </c>
      <c r="I36" s="95"/>
      <c r="J36" s="175">
        <f>H36/DAY(B2)</f>
        <v>1042.6666666666667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390994</v>
      </c>
      <c r="F37" s="145">
        <v>392549</v>
      </c>
      <c r="G37" s="112">
        <f t="shared" si="3"/>
        <v>1555</v>
      </c>
      <c r="H37" s="99">
        <f>G37+'5'!H37</f>
        <v>8930</v>
      </c>
      <c r="I37" s="95"/>
      <c r="J37" s="175">
        <f>H37/DAY(B2)</f>
        <v>1488.3333333333333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890763</v>
      </c>
      <c r="F38" s="108">
        <v>893481</v>
      </c>
      <c r="G38" s="112">
        <f t="shared" si="3"/>
        <v>2718</v>
      </c>
      <c r="H38" s="99">
        <f>G38+'5'!H38</f>
        <v>16354</v>
      </c>
      <c r="I38" s="95"/>
      <c r="J38" s="175">
        <f>H38/DAY(B2)</f>
        <v>2725.6666666666665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720419</v>
      </c>
      <c r="F39" s="145">
        <v>723248</v>
      </c>
      <c r="G39" s="112">
        <f t="shared" si="3"/>
        <v>2829</v>
      </c>
      <c r="H39" s="99">
        <f>G39+'5'!H39</f>
        <v>17112</v>
      </c>
      <c r="I39" s="95"/>
      <c r="J39" s="175">
        <f>H39/DAY(B2)</f>
        <v>2852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219427</v>
      </c>
      <c r="F40" s="145">
        <v>219645</v>
      </c>
      <c r="G40" s="112">
        <f t="shared" si="3"/>
        <v>218</v>
      </c>
      <c r="H40" s="99">
        <f>G40+'5'!H40</f>
        <v>1853</v>
      </c>
      <c r="I40" s="95"/>
      <c r="J40" s="175">
        <f>H40/DAY(B2)</f>
        <v>308.83333333333331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420212</v>
      </c>
      <c r="F41" s="145">
        <v>420212</v>
      </c>
      <c r="G41" s="112">
        <f t="shared" si="3"/>
        <v>0</v>
      </c>
      <c r="H41" s="99">
        <f>G41+'5'!H41</f>
        <v>-0.51000000000931323</v>
      </c>
      <c r="I41" s="95"/>
      <c r="J41" s="175">
        <f>H41/DAY(B2)</f>
        <v>-8.5000000001552209E-2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982309.59</v>
      </c>
      <c r="F42" s="145">
        <v>982309.59</v>
      </c>
      <c r="G42" s="112">
        <f t="shared" si="3"/>
        <v>0</v>
      </c>
      <c r="H42" s="99">
        <f>G42+'5'!H42</f>
        <v>9246.9599999999627</v>
      </c>
      <c r="I42" s="95"/>
      <c r="J42" s="175">
        <f>H42/DAY(B2)</f>
        <v>1541.1599999999937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422444</v>
      </c>
      <c r="F43" s="145">
        <v>422444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11049.409999999974</v>
      </c>
      <c r="H47" s="99">
        <f>G47+'5'!H47</f>
        <v>74911.449999999953</v>
      </c>
      <c r="I47" s="95"/>
      <c r="J47" s="175">
        <f>H47/DAY(B2)</f>
        <v>12485.24166666666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825599.83</v>
      </c>
      <c r="F49" s="145">
        <v>826141</v>
      </c>
      <c r="G49" s="112">
        <f t="shared" ref="G49:G58" si="4">F49-E49</f>
        <v>541.17000000004191</v>
      </c>
      <c r="H49" s="99">
        <f>G49+'5'!H49</f>
        <v>3229</v>
      </c>
      <c r="I49" s="95"/>
      <c r="J49" s="175">
        <f>H49/DAY(B2)</f>
        <v>538.16666666666663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548789.36</v>
      </c>
      <c r="F50" s="145">
        <v>550206</v>
      </c>
      <c r="G50" s="112">
        <f t="shared" si="4"/>
        <v>1416.640000000014</v>
      </c>
      <c r="H50" s="99">
        <f>G50+'5'!H50</f>
        <v>8232</v>
      </c>
      <c r="I50" s="95"/>
      <c r="J50" s="175">
        <f>H50/DAY(B2)</f>
        <v>1372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156958</v>
      </c>
      <c r="F51" s="145">
        <v>156958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1457.43</v>
      </c>
      <c r="F52" s="145">
        <v>1457</v>
      </c>
      <c r="G52" s="112">
        <f t="shared" si="4"/>
        <v>-0.43000000000006366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630355</v>
      </c>
      <c r="F53" s="145">
        <v>630355</v>
      </c>
      <c r="G53" s="112">
        <f t="shared" si="4"/>
        <v>0</v>
      </c>
      <c r="H53" s="99">
        <f>G53+'5'!H53</f>
        <v>-3.0000000027939677E-2</v>
      </c>
      <c r="I53" s="95"/>
      <c r="J53" s="175">
        <f>H53/DAY(B2)</f>
        <v>-5.0000000046566129E-3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125714.3</v>
      </c>
      <c r="F54" s="145">
        <v>126000</v>
      </c>
      <c r="G54" s="112">
        <f t="shared" si="4"/>
        <v>285.69999999999709</v>
      </c>
      <c r="H54" s="99">
        <f>G54+'5'!H54</f>
        <v>1885.7899999999936</v>
      </c>
      <c r="I54" s="95"/>
      <c r="J54" s="175">
        <f>H54/DAY(B2)</f>
        <v>314.29833333333227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594304.75</v>
      </c>
      <c r="F55" s="145">
        <v>594304.75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383865.51</v>
      </c>
      <c r="F56" s="145">
        <v>387491</v>
      </c>
      <c r="G56" s="112">
        <f t="shared" si="4"/>
        <v>3625.4899999999907</v>
      </c>
      <c r="H56" s="99">
        <f>G56+'5'!H56</f>
        <v>14371</v>
      </c>
      <c r="I56" s="95"/>
      <c r="J56" s="175">
        <f>H56/DAY(B2)</f>
        <v>2395.1666666666665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720581</v>
      </c>
      <c r="F57" s="145">
        <v>723245</v>
      </c>
      <c r="G57" s="112">
        <f t="shared" si="4"/>
        <v>2664</v>
      </c>
      <c r="H57" s="99">
        <f>G57+'5'!H57</f>
        <v>15547</v>
      </c>
      <c r="I57" s="95"/>
      <c r="J57" s="175">
        <f>H57/DAY(B2)</f>
        <v>2591.1666666666665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95836.887000000002</v>
      </c>
      <c r="F58" s="145">
        <v>96087</v>
      </c>
      <c r="G58" s="112">
        <f t="shared" si="4"/>
        <v>250.11299999999756</v>
      </c>
      <c r="H58" s="99">
        <f>G58+'5'!H58</f>
        <v>1517.179999999993</v>
      </c>
      <c r="I58" s="95"/>
      <c r="J58" s="175">
        <f>H58/DAY(B2)</f>
        <v>252.86333333333218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8782.6830000000409</v>
      </c>
      <c r="H59" s="99">
        <f>G59+'5'!H59</f>
        <v>44781.939999999959</v>
      </c>
      <c r="I59" s="95">
        <f>G7-G60</f>
        <v>3256.9069999999847</v>
      </c>
      <c r="J59" s="175">
        <f>H59/DAY(B2)</f>
        <v>7463.6566666666595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19832.093000000015</v>
      </c>
      <c r="H60" s="99">
        <f>G60+'5'!H60</f>
        <v>119693.38999999993</v>
      </c>
      <c r="I60" s="95">
        <f>G13-G60</f>
        <v>2764.0069999996122</v>
      </c>
      <c r="J60" s="175">
        <f>H60/DAY(B2)</f>
        <v>19948.89833333332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'5'!F62</f>
        <v>316320</v>
      </c>
      <c r="F62" s="122">
        <v>316431</v>
      </c>
      <c r="G62" s="112">
        <f t="shared" ref="G62:G63" si="5">F62-E62</f>
        <v>111</v>
      </c>
      <c r="H62" s="99">
        <f>G62+'5'!H62</f>
        <v>754</v>
      </c>
      <c r="I62" s="118"/>
      <c r="J62" s="175">
        <f>H62/DAY(B2)</f>
        <v>125.66666666666667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'5'!F63</f>
        <v>252780</v>
      </c>
      <c r="F63" s="122">
        <v>252868</v>
      </c>
      <c r="G63" s="112">
        <f t="shared" si="5"/>
        <v>88</v>
      </c>
      <c r="H63" s="99">
        <f>G63+'5'!H63</f>
        <v>544</v>
      </c>
      <c r="I63" s="118"/>
      <c r="J63" s="175">
        <f>H63/DAY(B2)</f>
        <v>90.666666666666671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'5'!F64</f>
        <v>0</v>
      </c>
      <c r="F64" s="122"/>
      <c r="G64" s="112">
        <f>G62+G63</f>
        <v>199</v>
      </c>
      <c r="H64" s="99">
        <f>G64+'5'!H64</f>
        <v>1298</v>
      </c>
      <c r="I64" s="118"/>
      <c r="J64" s="175">
        <f>H64/DAY(B2)</f>
        <v>216.33333333333334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'5'!F65</f>
        <v>476573</v>
      </c>
      <c r="F65" s="122">
        <v>476708</v>
      </c>
      <c r="G65" s="112">
        <f t="shared" ref="G65:G70" si="6">F65-E65</f>
        <v>135</v>
      </c>
      <c r="H65" s="99">
        <f>G65+'5'!H65</f>
        <v>805</v>
      </c>
      <c r="I65" s="118"/>
      <c r="J65" s="175">
        <f>H65/DAY(B2)</f>
        <v>134.16666666666666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114567</v>
      </c>
      <c r="F66" s="122">
        <v>114594</v>
      </c>
      <c r="G66" s="112">
        <f t="shared" si="6"/>
        <v>27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117391</v>
      </c>
      <c r="F67" s="122">
        <v>117410</v>
      </c>
      <c r="G67" s="112">
        <f t="shared" si="6"/>
        <v>19</v>
      </c>
      <c r="H67" s="99">
        <f>G67+'5'!H67</f>
        <v>128</v>
      </c>
      <c r="I67" s="118"/>
      <c r="J67" s="175">
        <f>H67/DAY(B2)</f>
        <v>21.333333333333332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170052</v>
      </c>
      <c r="F68" s="122">
        <v>170082</v>
      </c>
      <c r="G68" s="112">
        <f t="shared" si="6"/>
        <v>30</v>
      </c>
      <c r="H68" s="99">
        <f>G68+'5'!H68</f>
        <v>132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13232</v>
      </c>
      <c r="F69" s="122">
        <v>13236</v>
      </c>
      <c r="G69" s="112">
        <f t="shared" si="6"/>
        <v>4</v>
      </c>
      <c r="H69" s="99">
        <f>G69+'5'!H69</f>
        <v>24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11294</v>
      </c>
      <c r="F70" s="122">
        <v>11298</v>
      </c>
      <c r="G70" s="112">
        <f t="shared" si="6"/>
        <v>4</v>
      </c>
      <c r="H70" s="99">
        <f>G70+'5'!H70</f>
        <v>40</v>
      </c>
      <c r="I70" s="118"/>
      <c r="J70" s="175">
        <f>H70/DAY(B2)</f>
        <v>6.666666666666667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219</v>
      </c>
      <c r="H71" s="99">
        <f>G71+'5'!H71</f>
        <v>1257</v>
      </c>
      <c r="I71" s="154"/>
      <c r="J71" s="175">
        <f>H71/DAY(B2)</f>
        <v>209.5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'5'!F74</f>
        <v>13876</v>
      </c>
      <c r="F74" s="123">
        <v>14194</v>
      </c>
      <c r="G74" s="112">
        <f t="shared" ref="G74:G78" si="7">F74-E74</f>
        <v>318</v>
      </c>
      <c r="H74" s="99">
        <f>G74+'5'!H74</f>
        <v>1932</v>
      </c>
      <c r="I74" s="154"/>
      <c r="J74" s="175">
        <f>H74/DAY(B2)</f>
        <v>322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'5'!F76</f>
        <v>211226</v>
      </c>
      <c r="F76" s="123">
        <v>211340</v>
      </c>
      <c r="G76" s="112">
        <f t="shared" si="7"/>
        <v>114</v>
      </c>
      <c r="H76" s="99">
        <f>G76+'5'!H76</f>
        <v>680</v>
      </c>
      <c r="I76" s="154"/>
      <c r="J76" s="175">
        <f>H76/DAY(B2)</f>
        <v>113.33333333333333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'5'!F77</f>
        <v>60014</v>
      </c>
      <c r="F77" s="123">
        <v>60069</v>
      </c>
      <c r="G77" s="112">
        <f t="shared" si="7"/>
        <v>55</v>
      </c>
      <c r="H77" s="99">
        <f>G77+'5'!H77</f>
        <v>308</v>
      </c>
      <c r="I77" s="154"/>
      <c r="J77" s="175">
        <f>H77/DAY(B2)</f>
        <v>51.333333333333336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'5'!F78</f>
        <v>9564.5</v>
      </c>
      <c r="F78" s="123">
        <v>9564.5</v>
      </c>
      <c r="G78" s="112">
        <f t="shared" si="7"/>
        <v>0</v>
      </c>
      <c r="H78" s="99">
        <f>G78+'5'!H78</f>
        <v>0.5</v>
      </c>
      <c r="I78" s="118"/>
      <c r="J78" s="175">
        <f>H78/DAY(B2)</f>
        <v>8.3333333333333329E-2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117"/>
      <c r="F79" s="117"/>
      <c r="G79" s="112">
        <f>G15-SUM(G74:G78)</f>
        <v>600.79999999981374</v>
      </c>
      <c r="H79" s="99">
        <f>G79+'5'!H79</f>
        <v>3807.785000000149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1087.7999999998137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43546</v>
      </c>
      <c r="F84" s="164">
        <v>43546</v>
      </c>
      <c r="G84" s="112">
        <f t="shared" si="8"/>
        <v>0</v>
      </c>
      <c r="H84" s="99">
        <f>G84+'5'!H84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6258</v>
      </c>
      <c r="F85" s="164">
        <v>6258</v>
      </c>
      <c r="G85" s="112">
        <f t="shared" si="8"/>
        <v>0</v>
      </c>
      <c r="H85" s="99">
        <f>G85+'5'!H85</f>
        <v>45</v>
      </c>
      <c r="I85" s="543"/>
      <c r="J85" s="175">
        <f>H85/DAY(B2)</f>
        <v>7.5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46971</v>
      </c>
      <c r="F86" s="164">
        <v>46971</v>
      </c>
      <c r="G86" s="112">
        <f t="shared" si="8"/>
        <v>0</v>
      </c>
      <c r="H86" s="99">
        <f>G86+'5'!H86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37442</v>
      </c>
      <c r="F87" s="164">
        <v>37466</v>
      </c>
      <c r="G87" s="112">
        <f t="shared" si="8"/>
        <v>24</v>
      </c>
      <c r="H87" s="99">
        <f>G87+'5'!H87</f>
        <v>102</v>
      </c>
      <c r="I87" s="543">
        <f>G84+G85+G86+G87</f>
        <v>24</v>
      </c>
      <c r="J87" s="175">
        <f>H87/DAY(B2)</f>
        <v>17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24802</v>
      </c>
      <c r="F88" s="164">
        <v>24809.5</v>
      </c>
      <c r="G88" s="112">
        <f t="shared" si="8"/>
        <v>7.5</v>
      </c>
      <c r="H88" s="99">
        <f>G88+'5'!H88</f>
        <v>47.5</v>
      </c>
      <c r="I88" s="543"/>
      <c r="J88" s="175">
        <f>H88/DAY(B2)</f>
        <v>7.916666666666667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29057</v>
      </c>
      <c r="F89" s="164">
        <v>29062.63</v>
      </c>
      <c r="G89" s="112">
        <f t="shared" si="8"/>
        <v>5.6300000000010186</v>
      </c>
      <c r="H89" s="99">
        <f>G89+'5'!H89</f>
        <v>34.630000000001019</v>
      </c>
      <c r="I89" s="543">
        <f>G88+G89</f>
        <v>13.130000000001019</v>
      </c>
      <c r="J89" s="175">
        <f>H89/DAY(B2)</f>
        <v>5.7716666666668361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74485</v>
      </c>
      <c r="F90" s="164">
        <v>74492.960000000006</v>
      </c>
      <c r="G90" s="112">
        <f t="shared" si="8"/>
        <v>7.9600000000064028</v>
      </c>
      <c r="H90" s="99">
        <f>G90+'5'!H90</f>
        <v>44.960000000006403</v>
      </c>
      <c r="I90" s="543">
        <f>G90</f>
        <v>7.9600000000064028</v>
      </c>
      <c r="J90" s="175">
        <f>H90/DAY(B2)</f>
        <v>7.4933333333344008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5643.75</v>
      </c>
      <c r="F91" s="122">
        <v>5656</v>
      </c>
      <c r="G91" s="112">
        <f t="shared" si="8"/>
        <v>12.25</v>
      </c>
      <c r="H91" s="99">
        <f>G91+'5'!H91</f>
        <v>37.789999999999964</v>
      </c>
      <c r="I91" s="544"/>
      <c r="J91" s="175">
        <f>H91/DAY(B2)</f>
        <v>6.2983333333333276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7466.87</v>
      </c>
      <c r="F92" s="122">
        <v>7466.87</v>
      </c>
      <c r="G92" s="112">
        <f t="shared" si="8"/>
        <v>0</v>
      </c>
      <c r="H92" s="99">
        <f>G92+'5'!H92</f>
        <v>34.590000000000146</v>
      </c>
      <c r="I92" s="545">
        <f>G91+G92</f>
        <v>12.25</v>
      </c>
      <c r="J92" s="175">
        <f>H92/DAY(B2)</f>
        <v>5.7650000000000245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5822.1700000000419</v>
      </c>
      <c r="H94" s="99">
        <f>G94+'5'!H94</f>
        <v>33936</v>
      </c>
      <c r="I94" s="118"/>
      <c r="J94" s="175">
        <f>H94/DAY(B2)</f>
        <v>5656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0.25216206851747769</v>
      </c>
      <c r="H95" s="99">
        <f>G95+'5'!H95</f>
        <v>1.5139868829837961</v>
      </c>
      <c r="I95" s="167"/>
      <c r="J95" s="175">
        <f>H95/DAY(B2)</f>
        <v>0.25233114716396604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3625.4899999999907</v>
      </c>
      <c r="H96" s="99">
        <f>G96+'5'!H96</f>
        <v>23617.449999999953</v>
      </c>
      <c r="I96" s="118"/>
      <c r="J96" s="175">
        <f>H96/DAY(B2)</f>
        <v>3936.2416666666591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0.15702239161505438</v>
      </c>
      <c r="H97" s="99">
        <f>G97+'5'!H97</f>
        <v>1.0554534153459161</v>
      </c>
      <c r="I97" s="167"/>
      <c r="J97" s="175">
        <f>H97/DAY(B2)</f>
        <v>0.17590890255765268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2829</v>
      </c>
      <c r="H98" s="99">
        <f>G98+'5'!H98</f>
        <v>17111.969999999972</v>
      </c>
      <c r="I98" s="168"/>
      <c r="J98" s="175">
        <f>H98/DAY(B2)</f>
        <v>2851.9949999999953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0.12252587812378189</v>
      </c>
      <c r="H99" s="99">
        <f>G99+'5'!H99</f>
        <v>0.76364185553970865</v>
      </c>
      <c r="I99" s="168"/>
      <c r="J99" s="175">
        <f>H99/DAY(B2)</f>
        <v>0.12727364258995144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2717.5699999999997</v>
      </c>
      <c r="H100" s="99">
        <f>G100+'5'!H100</f>
        <v>16354</v>
      </c>
      <c r="I100" s="118"/>
      <c r="J100" s="175">
        <f>H100/DAY(B2)</f>
        <v>2725.6666666666665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0.11769977045346268</v>
      </c>
      <c r="H101" s="99">
        <f>G101+'5'!H101</f>
        <v>0.72968290109676948</v>
      </c>
      <c r="I101" s="168"/>
      <c r="J101" s="175">
        <f>H101/DAY(B2)</f>
        <v>0.12161381684946158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2529.0499999999884</v>
      </c>
      <c r="H102" s="99">
        <f>G102+'5'!H102</f>
        <v>14488</v>
      </c>
      <c r="I102" s="168"/>
      <c r="J102" s="175">
        <f>H102/DAY(B2)</f>
        <v>2414.6666666666665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0.10953484343193678</v>
      </c>
      <c r="H103" s="99">
        <f>G103+'5'!H103</f>
        <v>0.64520122721519502</v>
      </c>
      <c r="I103" s="118"/>
      <c r="J103" s="175">
        <f>H103/DAY(B2)</f>
        <v>0.10753353786919917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1555</v>
      </c>
      <c r="H104" s="99">
        <f>G104+'5'!H104</f>
        <v>8930</v>
      </c>
      <c r="I104" s="118"/>
      <c r="J104" s="175">
        <f>H104/DAY(B2)</f>
        <v>1488.3333333333333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6.7348087834033524E-2</v>
      </c>
      <c r="H105" s="99">
        <f>G105+'5'!H105</f>
        <v>0.39841140718602064</v>
      </c>
      <c r="I105" s="187"/>
      <c r="J105" s="188">
        <f>H105/DAY(B2)</f>
        <v>6.6401901197670102E-2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'5'!F112</f>
        <v>19700.61</v>
      </c>
      <c r="F112" s="237">
        <v>19761</v>
      </c>
      <c r="G112" s="112">
        <f t="shared" ref="G112:G123" si="9">F112-E112</f>
        <v>60.389999999999418</v>
      </c>
      <c r="H112" s="99">
        <f>G112+'5'!H112</f>
        <v>364</v>
      </c>
      <c r="I112" s="165"/>
      <c r="J112" s="328">
        <f>H112/DAY(B2)</f>
        <v>60.666666666666664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'5'!F113</f>
        <v>42250.25</v>
      </c>
      <c r="F113" s="237">
        <v>42395</v>
      </c>
      <c r="G113" s="112">
        <f t="shared" si="9"/>
        <v>144.75</v>
      </c>
      <c r="H113" s="99">
        <f>G113+'5'!H113</f>
        <v>875.05000000000291</v>
      </c>
      <c r="I113" s="165"/>
      <c r="J113" s="328">
        <f>H113/DAY(B2)</f>
        <v>145.84166666666715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'5'!F114</f>
        <v>62327</v>
      </c>
      <c r="F114" s="237">
        <v>62553</v>
      </c>
      <c r="G114" s="112">
        <f t="shared" si="9"/>
        <v>226</v>
      </c>
      <c r="H114" s="99">
        <f>G114+'5'!H114</f>
        <v>1335</v>
      </c>
      <c r="I114" s="165"/>
      <c r="J114" s="328">
        <f>H114/DAY(B2)</f>
        <v>222.5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'5'!F115</f>
        <v>40217</v>
      </c>
      <c r="F115" s="237">
        <v>40371</v>
      </c>
      <c r="G115" s="112">
        <f t="shared" si="9"/>
        <v>154</v>
      </c>
      <c r="H115" s="99">
        <f>G115+'5'!H115</f>
        <v>912</v>
      </c>
      <c r="I115" s="165"/>
      <c r="J115" s="328">
        <f>H115/DAY(B2)</f>
        <v>152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'5'!F116</f>
        <v>150320</v>
      </c>
      <c r="F116" s="237">
        <v>150791</v>
      </c>
      <c r="G116" s="112">
        <f t="shared" si="9"/>
        <v>471</v>
      </c>
      <c r="H116" s="99">
        <f>G116+'5'!H116</f>
        <v>2861</v>
      </c>
      <c r="I116" s="165"/>
      <c r="J116" s="328">
        <f>H116/DAY(B2)</f>
        <v>476.83333333333331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'5'!F117</f>
        <v>93337</v>
      </c>
      <c r="F117" s="237">
        <v>93566</v>
      </c>
      <c r="G117" s="112">
        <f t="shared" si="9"/>
        <v>229</v>
      </c>
      <c r="H117" s="99">
        <f>G117+'5'!H117</f>
        <v>1576.6009999999951</v>
      </c>
      <c r="I117" s="165"/>
      <c r="J117" s="328">
        <f>H117/DAY(B2)</f>
        <v>262.7668333333325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'5'!F118</f>
        <v>180921</v>
      </c>
      <c r="F118" s="237">
        <v>181642</v>
      </c>
      <c r="G118" s="112">
        <f t="shared" si="9"/>
        <v>721</v>
      </c>
      <c r="H118" s="99">
        <f>G118+'5'!H118</f>
        <v>4109.4700000000012</v>
      </c>
      <c r="I118" s="165"/>
      <c r="J118" s="328">
        <f>H118/DAY(B2)</f>
        <v>684.91166666666686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'5'!F119</f>
        <v>45386</v>
      </c>
      <c r="F119" s="237">
        <v>45435</v>
      </c>
      <c r="G119" s="112">
        <f t="shared" si="9"/>
        <v>49</v>
      </c>
      <c r="H119" s="99">
        <f>G119+'5'!H119</f>
        <v>242</v>
      </c>
      <c r="I119" s="165"/>
      <c r="J119" s="328">
        <f>H119/DAY(B2)</f>
        <v>40.333333333333336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'5'!F120</f>
        <v>122381.71</v>
      </c>
      <c r="F120" s="237">
        <v>122759</v>
      </c>
      <c r="G120" s="112">
        <f t="shared" si="9"/>
        <v>377.2899999999936</v>
      </c>
      <c r="H120" s="99">
        <f>G120+'5'!H120</f>
        <v>2315</v>
      </c>
      <c r="I120" s="165"/>
      <c r="J120" s="328">
        <f>H120/DAY(B2)</f>
        <v>385.83333333333331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'5'!F121</f>
        <v>136779</v>
      </c>
      <c r="F121" s="237">
        <v>137188</v>
      </c>
      <c r="G121" s="112">
        <f t="shared" si="9"/>
        <v>409</v>
      </c>
      <c r="H121" s="99">
        <f>G121+'5'!H121</f>
        <v>2625</v>
      </c>
      <c r="I121" s="165"/>
      <c r="J121" s="328">
        <f>H121/DAY(B2)</f>
        <v>437.5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'5'!F122</f>
        <v>92384</v>
      </c>
      <c r="F122" s="237">
        <v>92719</v>
      </c>
      <c r="G122" s="112">
        <f t="shared" si="9"/>
        <v>335</v>
      </c>
      <c r="H122" s="99">
        <f>G122+'5'!H122</f>
        <v>1842</v>
      </c>
      <c r="I122" s="165"/>
      <c r="J122" s="328">
        <f>H122/DAY(B2)</f>
        <v>307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'5'!F123</f>
        <v>89116</v>
      </c>
      <c r="F123" s="237">
        <v>89426</v>
      </c>
      <c r="G123" s="112">
        <f t="shared" si="9"/>
        <v>310</v>
      </c>
      <c r="H123" s="99">
        <f>G123+'5'!H123</f>
        <v>1847</v>
      </c>
      <c r="I123" s="165"/>
      <c r="J123" s="328">
        <f>H123/DAY(B2)</f>
        <v>307.83333333333331</v>
      </c>
    </row>
    <row r="124" spans="1:18" ht="29.25" customHeight="1">
      <c r="A124" s="887"/>
      <c r="B124" s="888"/>
      <c r="C124" s="889"/>
      <c r="D124" s="165"/>
      <c r="E124" s="95" t="str">
        <f>'5'!F124</f>
        <v>`</v>
      </c>
      <c r="F124" s="165"/>
      <c r="G124" s="327"/>
      <c r="H124" s="156"/>
      <c r="I124" s="165"/>
      <c r="J124" s="328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3486.429999999993</v>
      </c>
      <c r="H125" s="156"/>
      <c r="I125" s="327">
        <f>G125-(G39+G53)</f>
        <v>657.42999999999302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'5'!F128</f>
        <v>209827</v>
      </c>
      <c r="F128" s="165">
        <v>210319</v>
      </c>
      <c r="G128" s="112">
        <f t="shared" ref="G128:G134" si="10">F128-E128</f>
        <v>492</v>
      </c>
      <c r="H128" s="99">
        <f>G128+'5'!H128</f>
        <v>3030</v>
      </c>
      <c r="I128" s="165"/>
      <c r="J128" s="328">
        <f>H128/DAY(B2)</f>
        <v>505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1260</v>
      </c>
      <c r="F129" s="165">
        <v>1374</v>
      </c>
      <c r="G129" s="112">
        <f t="shared" si="10"/>
        <v>114</v>
      </c>
      <c r="H129" s="99">
        <f>G129+'5'!H129</f>
        <v>640</v>
      </c>
      <c r="I129" s="165"/>
      <c r="J129" s="328">
        <f>H129/DAY(B2)</f>
        <v>106.66666666666667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290368.15000000002</v>
      </c>
      <c r="F130" s="165">
        <v>291085</v>
      </c>
      <c r="G130" s="112">
        <f t="shared" si="10"/>
        <v>716.84999999997672</v>
      </c>
      <c r="H130" s="99">
        <f>G130+'5'!H130</f>
        <v>2363</v>
      </c>
      <c r="I130" s="165"/>
      <c r="J130" s="328">
        <f>H130/DAY(B2)</f>
        <v>393.83333333333331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'5'!F131</f>
        <v>85624.87</v>
      </c>
      <c r="F131" s="165">
        <v>85860</v>
      </c>
      <c r="G131" s="112">
        <f t="shared" si="10"/>
        <v>235.13000000000466</v>
      </c>
      <c r="H131" s="99">
        <f>G131+'5'!H131</f>
        <v>1156.1699999999983</v>
      </c>
      <c r="I131" s="165"/>
      <c r="J131" s="328">
        <f>H131/DAY(B2)</f>
        <v>192.69499999999971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'5'!F132</f>
        <v>69028</v>
      </c>
      <c r="F132" s="165">
        <v>69346</v>
      </c>
      <c r="G132" s="112">
        <f t="shared" si="10"/>
        <v>318</v>
      </c>
      <c r="H132" s="99">
        <f>G132+'5'!H132</f>
        <v>1899</v>
      </c>
      <c r="I132" s="165"/>
      <c r="J132" s="328">
        <f>H132/DAY(B2)</f>
        <v>316.5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'5'!F133</f>
        <v>952690</v>
      </c>
      <c r="F133" s="165">
        <v>953132</v>
      </c>
      <c r="G133" s="112">
        <f t="shared" si="10"/>
        <v>442</v>
      </c>
      <c r="H133" s="99">
        <f>G133+'5'!H133</f>
        <v>2985</v>
      </c>
      <c r="I133" s="165"/>
      <c r="J133" s="328">
        <f>H133/DAY(B2)</f>
        <v>497.5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'5'!F134</f>
        <v>94524.350999999995</v>
      </c>
      <c r="F134" s="165">
        <v>94783</v>
      </c>
      <c r="G134" s="112">
        <f t="shared" si="10"/>
        <v>258.64900000000489</v>
      </c>
      <c r="H134" s="99">
        <f>G134+'5'!H134</f>
        <v>1549.5</v>
      </c>
      <c r="I134" s="165"/>
      <c r="J134" s="328">
        <f>H134/DAY(B2)</f>
        <v>258.25</v>
      </c>
    </row>
    <row r="135" spans="1:15" ht="25.5">
      <c r="A135" s="788" t="s">
        <v>196</v>
      </c>
      <c r="B135" s="789"/>
      <c r="C135" s="331"/>
      <c r="D135" s="151"/>
      <c r="E135" s="95"/>
      <c r="F135" s="112"/>
      <c r="G135" s="112">
        <f>SUM(G128:G134)</f>
        <v>2576.6289999999863</v>
      </c>
      <c r="H135" s="99">
        <f>G135+'5'!H135</f>
        <v>13622.669999999998</v>
      </c>
      <c r="I135" s="327">
        <f>G135-(G35+G49)</f>
        <v>-581.54100000005565</v>
      </c>
      <c r="J135" s="328">
        <f>H135/DAY(B2)</f>
        <v>2270.4449999999997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'5'!F138</f>
        <v>913501</v>
      </c>
      <c r="F138" s="745">
        <v>913608</v>
      </c>
      <c r="G138" s="112">
        <f t="shared" ref="G138:G152" si="11">F138-E138</f>
        <v>107</v>
      </c>
      <c r="H138" s="99">
        <f>G138+'5'!H138</f>
        <v>697</v>
      </c>
      <c r="I138" s="118"/>
      <c r="J138" s="328">
        <f>H138/DAY(B2)</f>
        <v>116.16666666666667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'5'!F139</f>
        <v>938004</v>
      </c>
      <c r="F139" s="148">
        <v>938140</v>
      </c>
      <c r="G139" s="112">
        <f t="shared" si="11"/>
        <v>136</v>
      </c>
      <c r="H139" s="99">
        <f>G139+'5'!H139</f>
        <v>882</v>
      </c>
      <c r="I139" s="118"/>
      <c r="J139" s="328">
        <f>H139/DAY(B2)</f>
        <v>147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'5'!F140</f>
        <v>4921.21</v>
      </c>
      <c r="F140" s="149">
        <v>4952</v>
      </c>
      <c r="G140" s="112">
        <f t="shared" si="11"/>
        <v>30.789999999999964</v>
      </c>
      <c r="H140" s="99">
        <f>G140+'5'!H140</f>
        <v>188</v>
      </c>
      <c r="I140" s="118"/>
      <c r="J140" s="328">
        <f>H140/DAY(B2)</f>
        <v>31.333333333333332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'5'!F141</f>
        <v>132532</v>
      </c>
      <c r="F141" s="149">
        <v>132786</v>
      </c>
      <c r="G141" s="112">
        <f t="shared" si="11"/>
        <v>254</v>
      </c>
      <c r="H141" s="99">
        <f>G141+'5'!H141</f>
        <v>1466</v>
      </c>
      <c r="I141" s="118"/>
      <c r="J141" s="328">
        <f>H141/DAY(B2)</f>
        <v>244.33333333333334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'5'!F142</f>
        <v>53662</v>
      </c>
      <c r="F142" s="148">
        <v>53747</v>
      </c>
      <c r="G142" s="112">
        <f t="shared" si="11"/>
        <v>85</v>
      </c>
      <c r="H142" s="99">
        <f>G142+'5'!H142</f>
        <v>556</v>
      </c>
      <c r="I142" s="140"/>
      <c r="J142" s="328">
        <f>H142/DAY(B2)</f>
        <v>92.666666666666671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'5'!F143</f>
        <v>14480</v>
      </c>
      <c r="F143" s="149">
        <v>14512</v>
      </c>
      <c r="G143" s="112">
        <f t="shared" si="11"/>
        <v>32</v>
      </c>
      <c r="H143" s="99">
        <f>G143+'5'!H143</f>
        <v>200</v>
      </c>
      <c r="I143" s="140"/>
      <c r="J143" s="328">
        <f>H143/DAY(B2)</f>
        <v>33.333333333333336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'5'!F144</f>
        <v>964614</v>
      </c>
      <c r="F144" s="149">
        <v>964898</v>
      </c>
      <c r="G144" s="112">
        <f t="shared" si="11"/>
        <v>284</v>
      </c>
      <c r="H144" s="99">
        <f>G144+'5'!H144</f>
        <v>1672</v>
      </c>
      <c r="I144" s="140"/>
      <c r="J144" s="328">
        <f>H144/DAY(B2)</f>
        <v>278.66666666666669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'5'!F145</f>
        <v>751800</v>
      </c>
      <c r="F145" s="149">
        <v>752122</v>
      </c>
      <c r="G145" s="112">
        <f t="shared" si="11"/>
        <v>322</v>
      </c>
      <c r="H145" s="99">
        <f>G145+'5'!H145</f>
        <v>1389</v>
      </c>
      <c r="I145" s="140"/>
      <c r="J145" s="328">
        <f>H145/DAY(B2)</f>
        <v>231.5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'5'!F146</f>
        <v>789264</v>
      </c>
      <c r="F146" s="148">
        <v>789295</v>
      </c>
      <c r="G146" s="112">
        <f t="shared" si="11"/>
        <v>31</v>
      </c>
      <c r="H146" s="99">
        <f>G146+'5'!H146</f>
        <v>270</v>
      </c>
      <c r="I146" s="140"/>
      <c r="J146" s="328">
        <f>H146/DAY(B2)</f>
        <v>45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'5'!F147</f>
        <v>773535.76</v>
      </c>
      <c r="F147" s="148">
        <v>773916</v>
      </c>
      <c r="G147" s="112">
        <f t="shared" si="11"/>
        <v>380.23999999999069</v>
      </c>
      <c r="H147" s="99">
        <f>G147+'5'!H147</f>
        <v>2259.1199999999953</v>
      </c>
      <c r="I147" s="140"/>
      <c r="J147" s="328">
        <f>H147/DAY(B2)</f>
        <v>376.51999999999924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'5'!F148</f>
        <v>808580.4</v>
      </c>
      <c r="F148" s="150">
        <v>808944</v>
      </c>
      <c r="G148" s="112">
        <f t="shared" si="11"/>
        <v>363.59999999997672</v>
      </c>
      <c r="H148" s="99">
        <f>G148+'5'!H148</f>
        <v>2123.7600000000093</v>
      </c>
      <c r="I148" s="124"/>
      <c r="J148" s="328">
        <f>H148/DAY(B2)</f>
        <v>353.96000000000157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'5'!F149</f>
        <v>219734</v>
      </c>
      <c r="F149" s="146">
        <v>220275</v>
      </c>
      <c r="G149" s="112">
        <f t="shared" si="11"/>
        <v>541</v>
      </c>
      <c r="H149" s="99">
        <f>G149+'5'!H149</f>
        <v>3379</v>
      </c>
      <c r="I149" s="119"/>
      <c r="J149" s="328">
        <f>H149/DAY(B2)</f>
        <v>563.16666666666663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v>93747</v>
      </c>
      <c r="F150" s="233">
        <v>93868</v>
      </c>
      <c r="G150" s="112">
        <f t="shared" si="11"/>
        <v>121</v>
      </c>
      <c r="H150" s="99">
        <f>G150+'5'!H150</f>
        <v>703</v>
      </c>
      <c r="I150" s="119"/>
      <c r="J150" s="328">
        <f>H150/DAY(B2)</f>
        <v>117.16666666666667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'5'!F151</f>
        <v>177782</v>
      </c>
      <c r="F151" s="233">
        <v>178159</v>
      </c>
      <c r="G151" s="112">
        <f t="shared" si="11"/>
        <v>377</v>
      </c>
      <c r="H151" s="99">
        <f>G151+'5'!H151</f>
        <v>1984</v>
      </c>
      <c r="I151" s="119"/>
      <c r="J151" s="328">
        <f>H151/DAY(B2)</f>
        <v>330.66666666666669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'5'!F152</f>
        <v>47298</v>
      </c>
      <c r="F152" s="233">
        <v>47428</v>
      </c>
      <c r="G152" s="112">
        <f t="shared" si="11"/>
        <v>130</v>
      </c>
      <c r="H152" s="99">
        <f>G152+'5'!H152</f>
        <v>796</v>
      </c>
      <c r="I152" s="119"/>
      <c r="J152" s="328">
        <f>H152/DAY(B2)</f>
        <v>132.66666666666666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3194.6299999999674</v>
      </c>
      <c r="H153" s="363"/>
      <c r="I153" s="119">
        <f>G153-(G38+G52)</f>
        <v>477.05999999996766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'5'!F155</f>
        <v>259129</v>
      </c>
      <c r="F155" s="421">
        <v>259703</v>
      </c>
      <c r="G155" s="112">
        <f t="shared" ref="G155:G158" si="12">F155-E155</f>
        <v>574</v>
      </c>
      <c r="H155" s="99">
        <f>G155+'5'!H155</f>
        <v>3351</v>
      </c>
      <c r="I155" s="364"/>
      <c r="J155" s="328">
        <f>H155/DAY(B2)</f>
        <v>558.5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'5'!F156</f>
        <v>32998</v>
      </c>
      <c r="F156" s="746">
        <v>33146</v>
      </c>
      <c r="G156" s="112">
        <f t="shared" si="12"/>
        <v>148</v>
      </c>
      <c r="H156" s="99">
        <f>G156+'5'!H156</f>
        <v>587</v>
      </c>
      <c r="I156" s="165"/>
      <c r="J156" s="328">
        <f>H156/DAY(B2)</f>
        <v>97.833333333333329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'5'!F157</f>
        <v>37559</v>
      </c>
      <c r="F157" s="424">
        <v>37671</v>
      </c>
      <c r="G157" s="112">
        <f t="shared" si="12"/>
        <v>112</v>
      </c>
      <c r="H157" s="99">
        <f>G157+'5'!H157</f>
        <v>112</v>
      </c>
      <c r="I157" s="165"/>
      <c r="J157" s="328">
        <f>H157/DAY(B2)</f>
        <v>18.666666666666668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'5'!F158</f>
        <v>1785</v>
      </c>
      <c r="F158" s="155">
        <v>1787</v>
      </c>
      <c r="G158" s="112">
        <f t="shared" si="12"/>
        <v>2</v>
      </c>
      <c r="H158" s="99">
        <f>G158+'5'!H158</f>
        <v>4</v>
      </c>
      <c r="I158" s="165"/>
      <c r="J158" s="328">
        <f>H158/DAY(B2)</f>
        <v>0.66666666666666663</v>
      </c>
    </row>
    <row r="159" spans="1:10" ht="25.5">
      <c r="A159" s="946"/>
      <c r="B159" s="947"/>
      <c r="C159" s="948"/>
      <c r="D159" s="117"/>
      <c r="E159" s="95"/>
      <c r="F159" s="15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513190</v>
      </c>
      <c r="F161" s="235">
        <v>513314</v>
      </c>
      <c r="G161" s="238">
        <f t="shared" ref="G161:G165" si="13">F161-E161</f>
        <v>124</v>
      </c>
      <c r="H161" s="99">
        <f>G161+'5'!H161</f>
        <v>869</v>
      </c>
      <c r="I161" s="236"/>
      <c r="J161" s="239">
        <f>H161/DAY(B2)</f>
        <v>144.83333333333334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1960</v>
      </c>
      <c r="F162" s="235">
        <v>1991</v>
      </c>
      <c r="G162" s="238">
        <f t="shared" si="13"/>
        <v>31</v>
      </c>
      <c r="H162" s="99">
        <f>G162+'5'!H162</f>
        <v>204</v>
      </c>
      <c r="I162" s="236"/>
      <c r="J162" s="239">
        <f>H162/DAY(B2)</f>
        <v>34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0</v>
      </c>
      <c r="F163" s="235">
        <v>0</v>
      </c>
      <c r="G163" s="238">
        <f t="shared" si="13"/>
        <v>0</v>
      </c>
      <c r="H163" s="99">
        <f>G163+'5'!H163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7348</v>
      </c>
      <c r="F164" s="235">
        <v>7364</v>
      </c>
      <c r="G164" s="238">
        <f t="shared" si="13"/>
        <v>16</v>
      </c>
      <c r="H164" s="99">
        <f>G164+'5'!H164</f>
        <v>27</v>
      </c>
      <c r="I164" s="236"/>
      <c r="J164" s="239">
        <f>H164/DAY(B2)</f>
        <v>4.5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33008.370000000003</v>
      </c>
      <c r="F165" s="235">
        <v>33017</v>
      </c>
      <c r="G165" s="238">
        <f t="shared" si="13"/>
        <v>8.6299999999973807</v>
      </c>
      <c r="H165" s="99">
        <f>G165+'5'!H165</f>
        <v>42.480000000003201</v>
      </c>
      <c r="I165" s="236"/>
      <c r="J165" s="239">
        <f>H165/DAY(B2)</f>
        <v>7.0800000000005339</v>
      </c>
    </row>
    <row r="166" spans="1:10" ht="26.25">
      <c r="A166" s="872"/>
      <c r="B166" s="87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'5'!F173</f>
        <v>8618</v>
      </c>
      <c r="F173" s="155">
        <v>8618</v>
      </c>
      <c r="G173" s="155">
        <f>F173-E173</f>
        <v>0</v>
      </c>
      <c r="H173" s="99">
        <f>G173+'5'!H173</f>
        <v>6</v>
      </c>
      <c r="I173" s="155"/>
      <c r="J173" s="178">
        <f>H173/DAY(B2)</f>
        <v>1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'5'!F174</f>
        <v>43468</v>
      </c>
      <c r="F174" s="157">
        <v>43479</v>
      </c>
      <c r="G174" s="155">
        <f t="shared" ref="G174:G175" si="14">F174-E174</f>
        <v>11</v>
      </c>
      <c r="H174" s="99">
        <f>G174+'5'!H174</f>
        <v>65</v>
      </c>
      <c r="I174" s="155"/>
      <c r="J174" s="178">
        <f>H174/DAY(B2)</f>
        <v>10.833333333333334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'5'!F175</f>
        <v>26356</v>
      </c>
      <c r="F175" s="155">
        <v>26370</v>
      </c>
      <c r="G175" s="155">
        <f t="shared" si="14"/>
        <v>14</v>
      </c>
      <c r="H175" s="99">
        <f>G175+'5'!H175</f>
        <v>83</v>
      </c>
      <c r="I175" s="155"/>
      <c r="J175" s="178">
        <f>H175/DAY(B2)</f>
        <v>13.833333333333334</v>
      </c>
    </row>
    <row r="176" spans="1:10" ht="25.5">
      <c r="A176" s="462" t="s">
        <v>196</v>
      </c>
      <c r="B176" s="463"/>
      <c r="C176" s="333"/>
      <c r="D176" s="228"/>
      <c r="E176" s="95">
        <f>'5'!F176</f>
        <v>0</v>
      </c>
      <c r="F176" s="155"/>
      <c r="G176" s="155">
        <f>SUM(G173:G175)</f>
        <v>25</v>
      </c>
      <c r="H176" s="99">
        <f>G176+'5'!H176</f>
        <v>154</v>
      </c>
      <c r="I176" s="155"/>
      <c r="J176" s="178">
        <f>H176/DAY(B2)</f>
        <v>25.666666666666668</v>
      </c>
    </row>
    <row r="177" spans="1:10" ht="25.5">
      <c r="A177" s="790" t="s">
        <v>77</v>
      </c>
      <c r="B177" s="791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'5'!F178</f>
        <v>110986</v>
      </c>
      <c r="F178" s="155">
        <v>111104</v>
      </c>
      <c r="G178" s="155">
        <f>F178-E178</f>
        <v>118</v>
      </c>
      <c r="H178" s="99">
        <f>G178+'5'!H178</f>
        <v>713</v>
      </c>
      <c r="I178" s="155"/>
      <c r="J178" s="178">
        <f>H178/DAY(B2)</f>
        <v>118.83333333333333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'5'!F179</f>
        <v>37501</v>
      </c>
      <c r="F179" s="155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'5'!F180</f>
        <v>7727</v>
      </c>
      <c r="F180" s="155">
        <v>7736</v>
      </c>
      <c r="G180" s="155">
        <f t="shared" si="15"/>
        <v>9</v>
      </c>
      <c r="H180" s="99">
        <f>G180+'5'!H180</f>
        <v>35</v>
      </c>
      <c r="I180" s="155"/>
      <c r="J180" s="178">
        <f>H180/DAY(B2)</f>
        <v>5.833333333333333</v>
      </c>
    </row>
    <row r="181" spans="1:10" ht="25.5">
      <c r="A181" s="878" t="s">
        <v>108</v>
      </c>
      <c r="B181" s="879"/>
      <c r="C181" s="333"/>
      <c r="D181" s="228"/>
      <c r="E181" s="95">
        <f>'5'!F181</f>
        <v>0</v>
      </c>
      <c r="F181" s="155"/>
      <c r="G181" s="155">
        <f>SUM(G178:G180)</f>
        <v>127</v>
      </c>
      <c r="H181" s="99">
        <f>G181+'5'!H181</f>
        <v>748</v>
      </c>
      <c r="I181" s="155"/>
      <c r="J181" s="178">
        <f>H181/DAY(B2)</f>
        <v>124.66666666666667</v>
      </c>
    </row>
    <row r="182" spans="1:10" ht="25.5">
      <c r="A182" s="790" t="s">
        <v>213</v>
      </c>
      <c r="B182" s="791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'5'!F183</f>
        <v>18717</v>
      </c>
      <c r="F183" s="157">
        <v>18722</v>
      </c>
      <c r="G183" s="157">
        <f>F183-E183</f>
        <v>5</v>
      </c>
      <c r="H183" s="99">
        <f>G183+'5'!H183</f>
        <v>30</v>
      </c>
      <c r="I183" s="155"/>
      <c r="J183" s="178">
        <f>H183/DAY(B2)</f>
        <v>5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'5'!F184</f>
        <v>13282</v>
      </c>
      <c r="F184" s="157">
        <v>13289</v>
      </c>
      <c r="G184" s="157">
        <f t="shared" ref="G184:G185" si="16">F184-E184</f>
        <v>7</v>
      </c>
      <c r="H184" s="99">
        <f>G184+'5'!H184</f>
        <v>43</v>
      </c>
      <c r="I184" s="155"/>
      <c r="J184" s="178">
        <f>H184/DAY(B2)</f>
        <v>7.166666666666667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34"/>
      <c r="D186" s="229"/>
      <c r="E186" s="95"/>
      <c r="F186" s="157"/>
      <c r="G186" s="157">
        <f>SUM(G183:G185)</f>
        <v>12</v>
      </c>
      <c r="H186" s="99">
        <f>G186+'5'!H186</f>
        <v>73</v>
      </c>
      <c r="I186" s="157"/>
      <c r="J186" s="178">
        <f>H186/DAY(B2)</f>
        <v>12.166666666666666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162</v>
      </c>
      <c r="H187" s="99">
        <f>G187+'5'!H187</f>
        <v>1080</v>
      </c>
      <c r="I187" s="158"/>
      <c r="J187" s="179">
        <f>H187/DAY(B2)</f>
        <v>180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189</v>
      </c>
      <c r="H188" s="99">
        <f>G188+'5'!H188</f>
        <v>1125</v>
      </c>
      <c r="I188" s="158"/>
      <c r="J188" s="179">
        <f>H188/DAY(B2)</f>
        <v>187.5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127</v>
      </c>
      <c r="H189" s="99">
        <f>G189+'5'!H189</f>
        <v>748</v>
      </c>
      <c r="I189" s="158"/>
      <c r="J189" s="179">
        <f>H189/DAY(B2)</f>
        <v>124.66666666666667</v>
      </c>
    </row>
    <row r="190" spans="1:10" ht="25.5">
      <c r="A190" s="876"/>
      <c r="B190" s="877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33" zoomScale="60" zoomScaleNormal="77" workbookViewId="0">
      <selection activeCell="F163" sqref="F16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355</v>
      </c>
      <c r="B2" s="262">
        <v>44964</v>
      </c>
      <c r="C2" s="348" t="s">
        <v>67</v>
      </c>
      <c r="D2" s="218">
        <v>0.84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757311</v>
      </c>
      <c r="F7" s="95">
        <v>780472</v>
      </c>
      <c r="G7" s="112">
        <f>F7-E7</f>
        <v>23161</v>
      </c>
      <c r="H7" s="99">
        <f>G7+'6'!H7</f>
        <v>157673</v>
      </c>
      <c r="I7" s="113">
        <f>'1'!I7</f>
        <v>12000</v>
      </c>
      <c r="J7" s="175">
        <f>H7/DAY(B2)</f>
        <v>22524.714285714286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953597</v>
      </c>
      <c r="F8" s="114">
        <v>977350</v>
      </c>
      <c r="G8" s="115">
        <f>F8-E8</f>
        <v>23753</v>
      </c>
      <c r="H8" s="99">
        <f>G8+'6'!H8</f>
        <v>161240</v>
      </c>
      <c r="I8" s="116"/>
      <c r="J8" s="175">
        <f>H8/DAY(B2)</f>
        <v>23034.285714285714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4906484</v>
      </c>
      <c r="F9" s="117">
        <v>4918786</v>
      </c>
      <c r="G9" s="112">
        <f>F9-E9</f>
        <v>12302</v>
      </c>
      <c r="H9" s="99">
        <f>G9+'6'!H9</f>
        <v>93687</v>
      </c>
      <c r="I9" s="124">
        <f>I7-J7</f>
        <v>-10524.714285714286</v>
      </c>
      <c r="J9" s="175">
        <f>H9/DAY(B2)</f>
        <v>13383.857142857143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4340375</v>
      </c>
      <c r="F10" s="117">
        <v>4350630</v>
      </c>
      <c r="G10" s="112">
        <f t="shared" ref="G10:G12" si="0">F10-E10</f>
        <v>10255</v>
      </c>
      <c r="H10" s="99">
        <f>G10+'6'!H10</f>
        <v>60096</v>
      </c>
      <c r="I10" s="282"/>
      <c r="J10" s="175">
        <f>H10/DAY(B2)</f>
        <v>8585.1428571428569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38700</v>
      </c>
      <c r="F11" s="95">
        <v>38700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40550</v>
      </c>
      <c r="F12" s="117">
        <v>40550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22557</v>
      </c>
      <c r="H13" s="99">
        <f>G13+'6'!H13</f>
        <v>153783</v>
      </c>
      <c r="I13" s="120">
        <f>G7-G13</f>
        <v>604</v>
      </c>
      <c r="J13" s="175">
        <f>H13/DAY(B2)</f>
        <v>21969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2295202</v>
      </c>
      <c r="F15" s="468">
        <v>2296332</v>
      </c>
      <c r="G15" s="112">
        <f>(F15-E15)</f>
        <v>1130</v>
      </c>
      <c r="H15" s="99">
        <f>G15+'6'!H15</f>
        <v>7858.285000000149</v>
      </c>
      <c r="I15" s="113">
        <f>'1'!I15</f>
        <v>800</v>
      </c>
      <c r="J15" s="175">
        <f>H15/DAY(B2)</f>
        <v>1122.6121428571641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-322.61214285716414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'6'!F18</f>
        <v>26</v>
      </c>
      <c r="F18" s="122">
        <v>17</v>
      </c>
      <c r="G18" s="119">
        <f>F18*10</f>
        <v>170</v>
      </c>
      <c r="H18" s="99">
        <f>G18+'6'!H18</f>
        <v>1470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'6'!F19</f>
        <v>171649</v>
      </c>
      <c r="F19" s="122">
        <v>171699</v>
      </c>
      <c r="G19" s="112">
        <f t="shared" ref="G19" si="1">F19-E19</f>
        <v>50</v>
      </c>
      <c r="H19" s="99">
        <f>G19+'6'!H19</f>
        <v>376</v>
      </c>
      <c r="I19" s="335"/>
      <c r="J19" s="175">
        <f>H19/DAY(B2)</f>
        <v>53.714285714285715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G20+'6'!H20</f>
        <v>1846</v>
      </c>
      <c r="I20" s="336">
        <f>I18-J20</f>
        <v>-198.71428571428572</v>
      </c>
      <c r="J20" s="175">
        <f>H20/DAY(B2)</f>
        <v>263.71428571428572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23753</v>
      </c>
      <c r="F27" s="136">
        <v>10</v>
      </c>
      <c r="G27" s="137">
        <f>E27*F27</f>
        <v>237530</v>
      </c>
      <c r="H27" s="99">
        <f>G27+'6'!H27</f>
        <v>1612400</v>
      </c>
      <c r="I27" s="138"/>
      <c r="J27" s="175">
        <f>H27/DAY(B2)</f>
        <v>230342.85714285713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1130</v>
      </c>
      <c r="F28" s="136">
        <v>63</v>
      </c>
      <c r="G28" s="137">
        <f>E28*F28</f>
        <v>71190</v>
      </c>
      <c r="H28" s="99">
        <f>G28+'6'!H28</f>
        <v>511993.41000001039</v>
      </c>
      <c r="I28" s="140"/>
      <c r="J28" s="175">
        <f>H28/DAY(B2)</f>
        <v>73141.915714287199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155</v>
      </c>
      <c r="G30" s="137">
        <f>E30*F30</f>
        <v>7750</v>
      </c>
      <c r="H30" s="99">
        <f>G30+'6'!H30</f>
        <v>57180</v>
      </c>
      <c r="I30" s="140"/>
      <c r="J30" s="175">
        <f>H30/DAY(B2)</f>
        <v>8168.5714285714284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88</v>
      </c>
      <c r="G31" s="137">
        <f>E31*F31</f>
        <v>14960</v>
      </c>
      <c r="H31" s="99">
        <f>G31+'6'!H31</f>
        <v>126240</v>
      </c>
      <c r="I31" s="140"/>
      <c r="J31" s="175">
        <f>H31/DAY(B2)</f>
        <v>18034.285714285714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331430</v>
      </c>
      <c r="H32" s="99">
        <f>G32+'6'!H32</f>
        <v>2307813.4100000104</v>
      </c>
      <c r="I32" s="144"/>
      <c r="J32" s="175">
        <f>H32/DAY(B2)</f>
        <v>329687.63000000146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545216</v>
      </c>
      <c r="F35" s="145">
        <v>547961</v>
      </c>
      <c r="G35" s="112">
        <f t="shared" ref="G35:G46" si="3">F35-E35</f>
        <v>2745</v>
      </c>
      <c r="H35" s="99">
        <f>G35+'6'!H35</f>
        <v>17905</v>
      </c>
      <c r="I35" s="95"/>
      <c r="J35" s="175">
        <f>H35/DAY(B2)</f>
        <v>2557.8571428571427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388077</v>
      </c>
      <c r="F36" s="145">
        <v>389193</v>
      </c>
      <c r="G36" s="112">
        <f t="shared" si="3"/>
        <v>1116</v>
      </c>
      <c r="H36" s="99">
        <f>G36+'6'!H36</f>
        <v>7372</v>
      </c>
      <c r="I36" s="95"/>
      <c r="J36" s="175">
        <f>H36/DAY(B2)</f>
        <v>1053.1428571428571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392549</v>
      </c>
      <c r="F37" s="145">
        <v>394037</v>
      </c>
      <c r="G37" s="112">
        <f t="shared" si="3"/>
        <v>1488</v>
      </c>
      <c r="H37" s="99">
        <f>G37+'6'!H37</f>
        <v>10418</v>
      </c>
      <c r="I37" s="95"/>
      <c r="J37" s="175">
        <f>H37/DAY(B2)</f>
        <v>1488.2857142857142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893481</v>
      </c>
      <c r="F38" s="108">
        <v>896210</v>
      </c>
      <c r="G38" s="112">
        <f t="shared" si="3"/>
        <v>2729</v>
      </c>
      <c r="H38" s="99">
        <f>G38+'6'!H38</f>
        <v>19083</v>
      </c>
      <c r="I38" s="95"/>
      <c r="J38" s="175">
        <f>H38/DAY(B2)</f>
        <v>2726.1428571428573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723248</v>
      </c>
      <c r="F39" s="145">
        <v>726054</v>
      </c>
      <c r="G39" s="112">
        <f t="shared" si="3"/>
        <v>2806</v>
      </c>
      <c r="H39" s="99">
        <f>G39+'6'!H39</f>
        <v>19918</v>
      </c>
      <c r="I39" s="95"/>
      <c r="J39" s="175">
        <f>H39/DAY(B2)</f>
        <v>2845.4285714285716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219645</v>
      </c>
      <c r="F40" s="145">
        <v>219859</v>
      </c>
      <c r="G40" s="112">
        <f t="shared" si="3"/>
        <v>214</v>
      </c>
      <c r="H40" s="99">
        <f>G40+'6'!H40</f>
        <v>2067</v>
      </c>
      <c r="I40" s="95"/>
      <c r="J40" s="175">
        <f>H40/DAY(B2)</f>
        <v>295.28571428571428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420212</v>
      </c>
      <c r="F41" s="145">
        <v>420212</v>
      </c>
      <c r="G41" s="112">
        <f t="shared" si="3"/>
        <v>0</v>
      </c>
      <c r="H41" s="99">
        <f>G41+'6'!H41</f>
        <v>-0.51000000000931323</v>
      </c>
      <c r="I41" s="95"/>
      <c r="J41" s="175">
        <f>H41/DAY(B2)</f>
        <v>-7.285714285847332E-2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982309.59</v>
      </c>
      <c r="F42" s="145">
        <v>982309.59</v>
      </c>
      <c r="G42" s="112">
        <f t="shared" si="3"/>
        <v>0</v>
      </c>
      <c r="H42" s="99">
        <f>G42+'6'!H42</f>
        <v>9246.9599999999627</v>
      </c>
      <c r="I42" s="95"/>
      <c r="J42" s="175">
        <f>H42/DAY(B2)</f>
        <v>1320.9942857142803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422444</v>
      </c>
      <c r="F43" s="145">
        <v>422444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11098</v>
      </c>
      <c r="H47" s="99">
        <f>G47+'6'!H47</f>
        <v>86009.449999999953</v>
      </c>
      <c r="I47" s="95"/>
      <c r="J47" s="175">
        <f>H47/DAY(B2)</f>
        <v>12287.064285714279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826141</v>
      </c>
      <c r="F49" s="145">
        <v>826698</v>
      </c>
      <c r="G49" s="112">
        <f t="shared" ref="G49:G58" si="4">F49-E49</f>
        <v>557</v>
      </c>
      <c r="H49" s="99">
        <f>G49+'6'!H49</f>
        <v>3786</v>
      </c>
      <c r="I49" s="95"/>
      <c r="J49" s="175">
        <f>H49/DAY(B2)</f>
        <v>540.85714285714289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550206</v>
      </c>
      <c r="F50" s="145">
        <v>551730</v>
      </c>
      <c r="G50" s="112">
        <f t="shared" si="4"/>
        <v>1524</v>
      </c>
      <c r="H50" s="99">
        <f>G50+'6'!H50</f>
        <v>9756</v>
      </c>
      <c r="I50" s="95"/>
      <c r="J50" s="175">
        <f>H50/DAY(B2)</f>
        <v>1393.7142857142858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156958</v>
      </c>
      <c r="F51" s="145">
        <v>156958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1457</v>
      </c>
      <c r="F52" s="145">
        <v>1457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630355</v>
      </c>
      <c r="F53" s="145">
        <v>630355</v>
      </c>
      <c r="G53" s="112">
        <f t="shared" si="4"/>
        <v>0</v>
      </c>
      <c r="H53" s="99">
        <f>G53+'6'!H53</f>
        <v>-3.0000000027939677E-2</v>
      </c>
      <c r="I53" s="95"/>
      <c r="J53" s="175">
        <f>H53/DAY(B2)</f>
        <v>-4.2857142897056678E-3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126000</v>
      </c>
      <c r="F54" s="145">
        <v>126280</v>
      </c>
      <c r="G54" s="112">
        <f t="shared" si="4"/>
        <v>280</v>
      </c>
      <c r="H54" s="99">
        <f>G54+'6'!H54</f>
        <v>2165.7899999999936</v>
      </c>
      <c r="I54" s="95"/>
      <c r="J54" s="175">
        <f>H54/DAY(B2)</f>
        <v>309.39857142857051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594304.75</v>
      </c>
      <c r="F55" s="145">
        <v>594304.75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387491</v>
      </c>
      <c r="F56" s="145">
        <v>390963</v>
      </c>
      <c r="G56" s="112">
        <f t="shared" si="4"/>
        <v>3472</v>
      </c>
      <c r="H56" s="99">
        <f>G56+'6'!H56</f>
        <v>17843</v>
      </c>
      <c r="I56" s="95"/>
      <c r="J56" s="175">
        <f>H56/DAY(B2)</f>
        <v>2549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723245</v>
      </c>
      <c r="F57" s="145">
        <v>725923</v>
      </c>
      <c r="G57" s="112">
        <f t="shared" si="4"/>
        <v>2678</v>
      </c>
      <c r="H57" s="99">
        <f>G57+'6'!H57</f>
        <v>18225</v>
      </c>
      <c r="I57" s="95"/>
      <c r="J57" s="175">
        <f>H57/DAY(B2)</f>
        <v>2603.5714285714284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96087</v>
      </c>
      <c r="F58" s="145">
        <v>96394</v>
      </c>
      <c r="G58" s="112">
        <f t="shared" si="4"/>
        <v>307</v>
      </c>
      <c r="H58" s="99">
        <f>G58+'6'!H58</f>
        <v>1824.179999999993</v>
      </c>
      <c r="I58" s="95"/>
      <c r="J58" s="175">
        <f>H58/DAY(B2)</f>
        <v>260.59714285714188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8818</v>
      </c>
      <c r="H59" s="99">
        <f>G59+'6'!H59</f>
        <v>53599.939999999959</v>
      </c>
      <c r="I59" s="95">
        <f>G7-G60</f>
        <v>3245</v>
      </c>
      <c r="J59" s="175">
        <f>H59/DAY(B2)</f>
        <v>7657.1342857142799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19916</v>
      </c>
      <c r="H60" s="99">
        <f>G60+'6'!H60</f>
        <v>139609.38999999993</v>
      </c>
      <c r="I60" s="95">
        <f>G13-G60</f>
        <v>2641</v>
      </c>
      <c r="J60" s="175">
        <f>H60/DAY(B2)</f>
        <v>19944.198571428562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'6'!F62</f>
        <v>316431</v>
      </c>
      <c r="F62" s="122">
        <v>316578</v>
      </c>
      <c r="G62" s="112">
        <f t="shared" ref="G62:G63" si="5">F62-E62</f>
        <v>147</v>
      </c>
      <c r="H62" s="99">
        <f>G62+'6'!H62</f>
        <v>901</v>
      </c>
      <c r="I62" s="118"/>
      <c r="J62" s="175">
        <f>H62/DAY(B2)</f>
        <v>128.71428571428572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'6'!F63</f>
        <v>252868</v>
      </c>
      <c r="F63" s="122">
        <v>252962</v>
      </c>
      <c r="G63" s="112">
        <f t="shared" si="5"/>
        <v>94</v>
      </c>
      <c r="H63" s="99">
        <f>G63+'6'!H63</f>
        <v>638</v>
      </c>
      <c r="I63" s="118"/>
      <c r="J63" s="175">
        <f>H63/DAY(B2)</f>
        <v>91.142857142857139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'6'!F64</f>
        <v>0</v>
      </c>
      <c r="F64" s="122"/>
      <c r="G64" s="112">
        <f>G62+G63</f>
        <v>241</v>
      </c>
      <c r="H64" s="99">
        <f>G64+'6'!H64</f>
        <v>1539</v>
      </c>
      <c r="I64" s="118"/>
      <c r="J64" s="175">
        <f>H64/DAY(B2)</f>
        <v>219.85714285714286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'6'!F65</f>
        <v>476708</v>
      </c>
      <c r="F65" s="122">
        <v>476848</v>
      </c>
      <c r="G65" s="112">
        <f t="shared" ref="G65:G70" si="6">F65-E65</f>
        <v>140</v>
      </c>
      <c r="H65" s="99">
        <f>G65+'6'!H65</f>
        <v>945</v>
      </c>
      <c r="I65" s="118"/>
      <c r="J65" s="175">
        <f>H65/DAY(B2)</f>
        <v>135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114594</v>
      </c>
      <c r="F66" s="122">
        <v>114616</v>
      </c>
      <c r="G66" s="112">
        <f t="shared" si="6"/>
        <v>22</v>
      </c>
      <c r="H66" s="99">
        <f>G66+'6'!H66</f>
        <v>150</v>
      </c>
      <c r="I66" s="118"/>
      <c r="J66" s="175">
        <f>H66/DAY(B2)</f>
        <v>21.428571428571427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117410</v>
      </c>
      <c r="F67" s="150">
        <v>117430</v>
      </c>
      <c r="G67" s="112">
        <f t="shared" si="6"/>
        <v>20</v>
      </c>
      <c r="H67" s="99">
        <f>G67+'6'!H67</f>
        <v>148</v>
      </c>
      <c r="I67" s="118"/>
      <c r="J67" s="175">
        <f>H67/DAY(B2)</f>
        <v>21.142857142857142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170082</v>
      </c>
      <c r="F68" s="122">
        <v>170103</v>
      </c>
      <c r="G68" s="112">
        <f t="shared" si="6"/>
        <v>21</v>
      </c>
      <c r="H68" s="99">
        <f>G68+'6'!H68</f>
        <v>153</v>
      </c>
      <c r="I68" s="118"/>
      <c r="J68" s="175">
        <f>H68/DAY(B2)</f>
        <v>21.857142857142858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13236</v>
      </c>
      <c r="F69" s="122">
        <v>13238</v>
      </c>
      <c r="G69" s="112">
        <f t="shared" si="6"/>
        <v>2</v>
      </c>
      <c r="H69" s="99">
        <f>G69+'6'!H69</f>
        <v>26</v>
      </c>
      <c r="I69" s="118"/>
      <c r="J69" s="175">
        <f>H69/DAY(B2)</f>
        <v>3.7142857142857144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11298</v>
      </c>
      <c r="F70" s="150">
        <v>11306</v>
      </c>
      <c r="G70" s="112">
        <f t="shared" si="6"/>
        <v>8</v>
      </c>
      <c r="H70" s="99">
        <f>G70+'6'!H70</f>
        <v>48</v>
      </c>
      <c r="I70" s="118"/>
      <c r="J70" s="175">
        <f>H70/DAY(B2)</f>
        <v>6.8571428571428568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213</v>
      </c>
      <c r="H71" s="99">
        <f>G71+'6'!H71</f>
        <v>1470</v>
      </c>
      <c r="I71" s="154"/>
      <c r="J71" s="175">
        <f>H71/DAY(B2)</f>
        <v>210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'6'!F74</f>
        <v>14194</v>
      </c>
      <c r="F74" s="123">
        <v>14514</v>
      </c>
      <c r="G74" s="112">
        <f t="shared" ref="G74:G78" si="7">F74-E74</f>
        <v>320</v>
      </c>
      <c r="H74" s="99">
        <f>G74+'6'!H74</f>
        <v>2252</v>
      </c>
      <c r="I74" s="154"/>
      <c r="J74" s="175">
        <f>H74/DAY(B2)</f>
        <v>321.71428571428572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'6'!F76</f>
        <v>211340</v>
      </c>
      <c r="F76" s="123">
        <v>211456</v>
      </c>
      <c r="G76" s="112">
        <f t="shared" si="7"/>
        <v>116</v>
      </c>
      <c r="H76" s="99">
        <f>G76+'6'!H76</f>
        <v>796</v>
      </c>
      <c r="I76" s="154"/>
      <c r="J76" s="175">
        <f>H76/DAY(B2)</f>
        <v>113.71428571428571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'6'!F77</f>
        <v>60069</v>
      </c>
      <c r="F77" s="123">
        <v>60116</v>
      </c>
      <c r="G77" s="112">
        <f t="shared" si="7"/>
        <v>47</v>
      </c>
      <c r="H77" s="99">
        <f>G77+'6'!H77</f>
        <v>355</v>
      </c>
      <c r="I77" s="154"/>
      <c r="J77" s="175">
        <f>H77/DAY(B2)</f>
        <v>50.714285714285715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'6'!F78</f>
        <v>9564.5</v>
      </c>
      <c r="F78" s="123">
        <v>9564.5</v>
      </c>
      <c r="G78" s="112">
        <f t="shared" si="7"/>
        <v>0</v>
      </c>
      <c r="H78" s="99">
        <f>G78+'6'!H78</f>
        <v>0.5</v>
      </c>
      <c r="I78" s="118"/>
      <c r="J78" s="175">
        <f>H78/DAY(B2)</f>
        <v>7.1428571428571425E-2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'6'!F79</f>
        <v>0</v>
      </c>
      <c r="F79" s="123"/>
      <c r="G79" s="112">
        <f>G15-SUM(G74:G78)</f>
        <v>647</v>
      </c>
      <c r="H79" s="99">
        <f>G79+'6'!H79</f>
        <v>4454.785000000149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1130</v>
      </c>
      <c r="H80" s="99">
        <f>G80+'6'!H80</f>
        <v>1130</v>
      </c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43546</v>
      </c>
      <c r="F84" s="164">
        <v>43546</v>
      </c>
      <c r="G84" s="112">
        <f t="shared" si="8"/>
        <v>0</v>
      </c>
      <c r="H84" s="99">
        <f>G84+'6'!H84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6258</v>
      </c>
      <c r="F85" s="164">
        <v>6258</v>
      </c>
      <c r="G85" s="112">
        <f t="shared" si="8"/>
        <v>0</v>
      </c>
      <c r="H85" s="99">
        <f>G85+'6'!H85</f>
        <v>45</v>
      </c>
      <c r="I85" s="543"/>
      <c r="J85" s="175">
        <f>H85/DAY(B2)</f>
        <v>6.4285714285714288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46971</v>
      </c>
      <c r="F86" s="164">
        <v>46971</v>
      </c>
      <c r="G86" s="112">
        <f t="shared" si="8"/>
        <v>0</v>
      </c>
      <c r="H86" s="99">
        <f>G86+'6'!H86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37466</v>
      </c>
      <c r="F87" s="164">
        <v>37490</v>
      </c>
      <c r="G87" s="112">
        <f t="shared" si="8"/>
        <v>24</v>
      </c>
      <c r="H87" s="99">
        <f>G87+'6'!H87</f>
        <v>126</v>
      </c>
      <c r="I87" s="542">
        <f>G84+G85+G86+G87</f>
        <v>24</v>
      </c>
      <c r="J87" s="175">
        <f>H87/DAY(B2)</f>
        <v>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24809.5</v>
      </c>
      <c r="F88" s="164">
        <v>24813.89</v>
      </c>
      <c r="G88" s="112">
        <f t="shared" si="8"/>
        <v>4.3899999999994179</v>
      </c>
      <c r="H88" s="99">
        <f>G88+'6'!H88</f>
        <v>51.889999999999418</v>
      </c>
      <c r="I88" s="542"/>
      <c r="J88" s="175">
        <f>H88/DAY(B2)</f>
        <v>7.4128571428570593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29062.63</v>
      </c>
      <c r="F89" s="164">
        <v>29072</v>
      </c>
      <c r="G89" s="112">
        <f t="shared" si="8"/>
        <v>9.3699999999989814</v>
      </c>
      <c r="H89" s="99">
        <f>G89+'6'!H89</f>
        <v>44</v>
      </c>
      <c r="I89" s="542">
        <f>G88+G89</f>
        <v>13.759999999998399</v>
      </c>
      <c r="J89" s="175">
        <f>H89/DAY(B2)</f>
        <v>6.2857142857142856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74492.960000000006</v>
      </c>
      <c r="F90" s="164">
        <v>74498.929999999993</v>
      </c>
      <c r="G90" s="112">
        <f t="shared" si="8"/>
        <v>5.9699999999866122</v>
      </c>
      <c r="H90" s="99">
        <f>G90+'6'!H90</f>
        <v>50.929999999993015</v>
      </c>
      <c r="I90" s="542">
        <f>G90</f>
        <v>5.9699999999866122</v>
      </c>
      <c r="J90" s="175">
        <f>H90/DAY(B2)</f>
        <v>7.2757142857132875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5656</v>
      </c>
      <c r="F91" s="122">
        <v>5668</v>
      </c>
      <c r="G91" s="112">
        <f t="shared" si="8"/>
        <v>12</v>
      </c>
      <c r="H91" s="99">
        <f>G91+'6'!H91</f>
        <v>49.789999999999964</v>
      </c>
      <c r="I91" s="551"/>
      <c r="J91" s="175">
        <f>H91/DAY(B2)</f>
        <v>7.1128571428571377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7466.87</v>
      </c>
      <c r="F92" s="122">
        <v>7466.87</v>
      </c>
      <c r="G92" s="112">
        <f t="shared" si="8"/>
        <v>0</v>
      </c>
      <c r="H92" s="99">
        <f>G92+'6'!H92</f>
        <v>34.590000000000146</v>
      </c>
      <c r="I92" s="552">
        <f>G91+G92</f>
        <v>12</v>
      </c>
      <c r="J92" s="175">
        <f>H92/DAY(B2)</f>
        <v>4.9414285714285926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5980</v>
      </c>
      <c r="H94" s="99">
        <f>G94+'6'!H94</f>
        <v>39916</v>
      </c>
      <c r="I94" s="118"/>
      <c r="J94" s="175">
        <f>H94/DAY(B2)</f>
        <v>5702.2857142857147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0.25819265143992054</v>
      </c>
      <c r="H95" s="99">
        <f>G95+'6'!H95</f>
        <v>1.7721795344237168</v>
      </c>
      <c r="I95" s="167"/>
      <c r="J95" s="175">
        <f>H95/DAY(B2)</f>
        <v>0.25316850491767384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3472</v>
      </c>
      <c r="H96" s="99">
        <f>G96+'6'!H96</f>
        <v>27089.449999999953</v>
      </c>
      <c r="I96" s="118"/>
      <c r="J96" s="175">
        <f>H96/DAY(B2)</f>
        <v>3869.921428571422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0.14990717153836189</v>
      </c>
      <c r="H97" s="99">
        <f>G97+'6'!H97</f>
        <v>1.2053605868842781</v>
      </c>
      <c r="I97" s="167"/>
      <c r="J97" s="175">
        <f>H97/DAY(B2)</f>
        <v>0.17219436955489686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2806</v>
      </c>
      <c r="H98" s="99">
        <f>G98+'6'!H98</f>
        <v>19917.969999999972</v>
      </c>
      <c r="I98" s="168"/>
      <c r="J98" s="175">
        <f>H98/DAY(B2)</f>
        <v>2845.4242857142817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0.1211519364448858</v>
      </c>
      <c r="H99" s="99">
        <f>G99+'6'!H99</f>
        <v>0.8847937919845944</v>
      </c>
      <c r="I99" s="168"/>
      <c r="J99" s="175">
        <f>H99/DAY(B2)</f>
        <v>0.12639911314065636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2729</v>
      </c>
      <c r="H100" s="99">
        <f>G100+'6'!H100</f>
        <v>19083</v>
      </c>
      <c r="I100" s="118"/>
      <c r="J100" s="175">
        <f>H100/DAY(B2)</f>
        <v>2726.1428571428573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0.1178273822373818</v>
      </c>
      <c r="H101" s="99">
        <f>G101+'6'!H101</f>
        <v>0.84751028333415124</v>
      </c>
      <c r="I101" s="168"/>
      <c r="J101" s="175">
        <f>H101/DAY(B2)</f>
        <v>0.12107289761916447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2640</v>
      </c>
      <c r="H102" s="99">
        <f>G102+'6'!H102</f>
        <v>17128</v>
      </c>
      <c r="I102" s="168"/>
      <c r="J102" s="175">
        <f>H102/DAY(B2)</f>
        <v>2446.8571428571427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0.11398471568585121</v>
      </c>
      <c r="H103" s="99">
        <f>G103+'6'!H103</f>
        <v>0.75918594290104624</v>
      </c>
      <c r="I103" s="118"/>
      <c r="J103" s="175">
        <f>H103/DAY(B2)</f>
        <v>0.10845513470014946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1488</v>
      </c>
      <c r="H104" s="99">
        <f>G104+'6'!H104</f>
        <v>10418</v>
      </c>
      <c r="I104" s="118"/>
      <c r="J104" s="175">
        <f>H104/DAY(B2)</f>
        <v>1488.2857142857142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6.4245930659297956E-2</v>
      </c>
      <c r="H105" s="99">
        <f>G105+'6'!H105</f>
        <v>0.46265733784531859</v>
      </c>
      <c r="I105" s="187"/>
      <c r="J105" s="188">
        <f>H105/DAY(B2)</f>
        <v>6.6093905406474085E-2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'6'!F112</f>
        <v>19761</v>
      </c>
      <c r="F112" s="237">
        <v>19824</v>
      </c>
      <c r="G112" s="112">
        <f t="shared" ref="G112:G123" si="9">F112-E112</f>
        <v>63</v>
      </c>
      <c r="H112" s="99">
        <f>G112+'6'!H112</f>
        <v>427</v>
      </c>
      <c r="I112" s="165"/>
      <c r="J112" s="328">
        <f>H112/DAY(B2)</f>
        <v>61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'6'!F113</f>
        <v>42395</v>
      </c>
      <c r="F113" s="237">
        <v>42538</v>
      </c>
      <c r="G113" s="112">
        <f t="shared" si="9"/>
        <v>143</v>
      </c>
      <c r="H113" s="99">
        <f>G113+'6'!H113</f>
        <v>1018.0500000000029</v>
      </c>
      <c r="I113" s="165"/>
      <c r="J113" s="328">
        <f>H113/DAY(B2)</f>
        <v>145.43571428571471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'6'!F114</f>
        <v>62553</v>
      </c>
      <c r="F114" s="237">
        <v>62781</v>
      </c>
      <c r="G114" s="112">
        <f t="shared" si="9"/>
        <v>228</v>
      </c>
      <c r="H114" s="99">
        <f>G114+'6'!H114</f>
        <v>1563</v>
      </c>
      <c r="I114" s="165"/>
      <c r="J114" s="328">
        <f>H114/DAY(B2)</f>
        <v>223.28571428571428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'6'!F115</f>
        <v>40371</v>
      </c>
      <c r="F115" s="237">
        <v>40532</v>
      </c>
      <c r="G115" s="112">
        <f t="shared" si="9"/>
        <v>161</v>
      </c>
      <c r="H115" s="99">
        <f>G115+'6'!H115</f>
        <v>1073</v>
      </c>
      <c r="I115" s="165"/>
      <c r="J115" s="328">
        <f>H115/DAY(B2)</f>
        <v>153.28571428571428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'6'!F116</f>
        <v>150791</v>
      </c>
      <c r="F116" s="237">
        <v>151202</v>
      </c>
      <c r="G116" s="112">
        <f t="shared" si="9"/>
        <v>411</v>
      </c>
      <c r="H116" s="99">
        <f>G116+'6'!H116</f>
        <v>3272</v>
      </c>
      <c r="I116" s="165"/>
      <c r="J116" s="328">
        <f>H116/DAY(B2)</f>
        <v>467.42857142857144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'6'!F117</f>
        <v>93566</v>
      </c>
      <c r="F117" s="237">
        <v>93819</v>
      </c>
      <c r="G117" s="112">
        <f t="shared" si="9"/>
        <v>253</v>
      </c>
      <c r="H117" s="99">
        <f>G117+'6'!H117</f>
        <v>1829.6009999999951</v>
      </c>
      <c r="I117" s="165"/>
      <c r="J117" s="328">
        <f>H117/DAY(B2)</f>
        <v>261.37157142857075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'6'!F118</f>
        <v>181642</v>
      </c>
      <c r="F118" s="237">
        <v>182374</v>
      </c>
      <c r="G118" s="112">
        <f t="shared" si="9"/>
        <v>732</v>
      </c>
      <c r="H118" s="99">
        <f>G118+'6'!H118</f>
        <v>4841.4700000000012</v>
      </c>
      <c r="I118" s="165"/>
      <c r="J118" s="328">
        <f>H118/DAY(B2)</f>
        <v>691.63857142857159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'6'!F119</f>
        <v>45435</v>
      </c>
      <c r="F119" s="237">
        <v>45494</v>
      </c>
      <c r="G119" s="112">
        <f t="shared" si="9"/>
        <v>59</v>
      </c>
      <c r="H119" s="99">
        <f>G119+'6'!H119</f>
        <v>301</v>
      </c>
      <c r="I119" s="165"/>
      <c r="J119" s="328">
        <f>H119/DAY(B2)</f>
        <v>43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'6'!F120</f>
        <v>122759</v>
      </c>
      <c r="F120" s="237">
        <v>123123</v>
      </c>
      <c r="G120" s="112">
        <f t="shared" si="9"/>
        <v>364</v>
      </c>
      <c r="H120" s="99">
        <f>G120+'6'!H120</f>
        <v>2679</v>
      </c>
      <c r="I120" s="165"/>
      <c r="J120" s="328">
        <f>H120/DAY(B2)</f>
        <v>382.71428571428572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'6'!F121</f>
        <v>137188</v>
      </c>
      <c r="F121" s="237">
        <v>137585</v>
      </c>
      <c r="G121" s="112">
        <f t="shared" si="9"/>
        <v>397</v>
      </c>
      <c r="H121" s="99">
        <f>G121+'6'!H121</f>
        <v>3022</v>
      </c>
      <c r="I121" s="165"/>
      <c r="J121" s="328">
        <f>H121/DAY(B2)</f>
        <v>431.71428571428572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'6'!F122</f>
        <v>92719</v>
      </c>
      <c r="F122" s="237">
        <v>93038</v>
      </c>
      <c r="G122" s="112">
        <f t="shared" si="9"/>
        <v>319</v>
      </c>
      <c r="H122" s="99">
        <f>G122+'6'!H122</f>
        <v>2161</v>
      </c>
      <c r="I122" s="165"/>
      <c r="J122" s="328">
        <f>H122/DAY(B2)</f>
        <v>308.71428571428572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'6'!F123</f>
        <v>89426</v>
      </c>
      <c r="F123" s="237">
        <v>89735</v>
      </c>
      <c r="G123" s="112">
        <f t="shared" si="9"/>
        <v>309</v>
      </c>
      <c r="H123" s="99">
        <f>G123+'6'!H123</f>
        <v>2156</v>
      </c>
      <c r="I123" s="165"/>
      <c r="J123" s="328">
        <f>H123/DAY(B2)</f>
        <v>308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8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3439</v>
      </c>
      <c r="H125" s="156"/>
      <c r="I125" s="327">
        <f>G125-(G39+G53)</f>
        <v>633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'6'!F128</f>
        <v>210319</v>
      </c>
      <c r="F128" s="165">
        <v>210836</v>
      </c>
      <c r="G128" s="112">
        <f t="shared" ref="G128:G134" si="10">F128-E128</f>
        <v>517</v>
      </c>
      <c r="H128" s="99">
        <f>G128+'6'!H128</f>
        <v>3547</v>
      </c>
      <c r="I128" s="165"/>
      <c r="J128" s="328">
        <f>H128/DAY(B2)</f>
        <v>506.71428571428572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1374</v>
      </c>
      <c r="F129" s="165">
        <v>1511</v>
      </c>
      <c r="G129" s="112">
        <f t="shared" si="10"/>
        <v>137</v>
      </c>
      <c r="H129" s="99">
        <f>G129+'6'!H129</f>
        <v>777</v>
      </c>
      <c r="I129" s="165"/>
      <c r="J129" s="328">
        <f>H129/DAY(B2)</f>
        <v>111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291085</v>
      </c>
      <c r="F130" s="165">
        <v>291798</v>
      </c>
      <c r="G130" s="112">
        <f t="shared" si="10"/>
        <v>713</v>
      </c>
      <c r="H130" s="99">
        <f>G130+'6'!H130</f>
        <v>3076</v>
      </c>
      <c r="I130" s="165"/>
      <c r="J130" s="328">
        <f>H130/DAY(B2)</f>
        <v>439.42857142857144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'6'!F131</f>
        <v>85860</v>
      </c>
      <c r="F131" s="165">
        <v>86118</v>
      </c>
      <c r="G131" s="112">
        <f t="shared" si="10"/>
        <v>258</v>
      </c>
      <c r="H131" s="99">
        <f>G131+'6'!H131</f>
        <v>1414.1699999999983</v>
      </c>
      <c r="I131" s="165"/>
      <c r="J131" s="328">
        <f>H131/DAY(B2)</f>
        <v>202.02428571428547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'6'!F132</f>
        <v>69346</v>
      </c>
      <c r="F132" s="165">
        <v>69662</v>
      </c>
      <c r="G132" s="112">
        <f t="shared" si="10"/>
        <v>316</v>
      </c>
      <c r="H132" s="99">
        <f>G132+'6'!H132</f>
        <v>2215</v>
      </c>
      <c r="I132" s="165"/>
      <c r="J132" s="328">
        <f>H132/DAY(B2)</f>
        <v>316.42857142857144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'6'!F133</f>
        <v>953132</v>
      </c>
      <c r="F133" s="464">
        <v>953732</v>
      </c>
      <c r="G133" s="112">
        <f t="shared" si="10"/>
        <v>600</v>
      </c>
      <c r="H133" s="99">
        <f>G133+'6'!H133</f>
        <v>3585</v>
      </c>
      <c r="I133" s="165"/>
      <c r="J133" s="328">
        <f>H133/DAY(B2)</f>
        <v>512.14285714285711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'6'!F134</f>
        <v>94783</v>
      </c>
      <c r="F134" s="165">
        <v>95040</v>
      </c>
      <c r="G134" s="112">
        <f t="shared" si="10"/>
        <v>257</v>
      </c>
      <c r="H134" s="99">
        <f>G134+'6'!H134</f>
        <v>1806.5</v>
      </c>
      <c r="I134" s="165"/>
      <c r="J134" s="328">
        <f>H134/DAY(B2)</f>
        <v>258.07142857142856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2798</v>
      </c>
      <c r="H135" s="99">
        <f>G135+'6'!H135</f>
        <v>16420.669999999998</v>
      </c>
      <c r="I135" s="327">
        <f>G135-(G35+G49)</f>
        <v>-504</v>
      </c>
      <c r="J135" s="328">
        <f>H135/DAY(B2)</f>
        <v>2345.81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'6'!F138</f>
        <v>913608</v>
      </c>
      <c r="F138" s="147">
        <v>913721</v>
      </c>
      <c r="G138" s="112">
        <f t="shared" ref="G138:G152" si="11">F138-E138</f>
        <v>113</v>
      </c>
      <c r="H138" s="99">
        <f>G138+'6'!H138</f>
        <v>810</v>
      </c>
      <c r="I138" s="118"/>
      <c r="J138" s="328">
        <f>H138/DAY(B2)</f>
        <v>115.71428571428571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'6'!F139</f>
        <v>938140</v>
      </c>
      <c r="F139" s="148">
        <v>938289</v>
      </c>
      <c r="G139" s="112">
        <f t="shared" si="11"/>
        <v>149</v>
      </c>
      <c r="H139" s="99">
        <f>G139+'6'!H139</f>
        <v>1031</v>
      </c>
      <c r="I139" s="118"/>
      <c r="J139" s="328">
        <f>H139/DAY(B2)</f>
        <v>147.28571428571428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'6'!F140</f>
        <v>4952</v>
      </c>
      <c r="F140" s="149">
        <v>4983</v>
      </c>
      <c r="G140" s="112">
        <f t="shared" si="11"/>
        <v>31</v>
      </c>
      <c r="H140" s="99">
        <f>G140+'6'!H140</f>
        <v>219</v>
      </c>
      <c r="I140" s="118"/>
      <c r="J140" s="328">
        <f>H140/DAY(B2)</f>
        <v>31.285714285714285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'6'!F141</f>
        <v>132786</v>
      </c>
      <c r="F141" s="149">
        <v>133013</v>
      </c>
      <c r="G141" s="112">
        <f t="shared" si="11"/>
        <v>227</v>
      </c>
      <c r="H141" s="99">
        <f>G141+'6'!H141</f>
        <v>1693</v>
      </c>
      <c r="I141" s="118"/>
      <c r="J141" s="328">
        <f>H141/DAY(B2)</f>
        <v>241.85714285714286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'6'!F142</f>
        <v>53747</v>
      </c>
      <c r="F142" s="148">
        <v>53843</v>
      </c>
      <c r="G142" s="112">
        <f t="shared" si="11"/>
        <v>96</v>
      </c>
      <c r="H142" s="99">
        <f>G142+'6'!H142</f>
        <v>652</v>
      </c>
      <c r="I142" s="140"/>
      <c r="J142" s="328">
        <f>H142/DAY(B2)</f>
        <v>93.142857142857139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'6'!F143</f>
        <v>14512</v>
      </c>
      <c r="F143" s="149">
        <v>14543</v>
      </c>
      <c r="G143" s="112">
        <f t="shared" si="11"/>
        <v>31</v>
      </c>
      <c r="H143" s="99">
        <f>G143+'6'!H143</f>
        <v>231</v>
      </c>
      <c r="I143" s="140"/>
      <c r="J143" s="328">
        <f>H143/DAY(B2)</f>
        <v>33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'6'!F144</f>
        <v>964898</v>
      </c>
      <c r="F144" s="149">
        <v>965161</v>
      </c>
      <c r="G144" s="112">
        <f t="shared" si="11"/>
        <v>263</v>
      </c>
      <c r="H144" s="99">
        <f>G144+'6'!H144</f>
        <v>1935</v>
      </c>
      <c r="I144" s="140"/>
      <c r="J144" s="328">
        <f>H144/DAY(B2)</f>
        <v>276.42857142857144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'6'!F145</f>
        <v>752122</v>
      </c>
      <c r="F145" s="149">
        <v>752240</v>
      </c>
      <c r="G145" s="112">
        <f t="shared" si="11"/>
        <v>118</v>
      </c>
      <c r="H145" s="99">
        <f>G145+'6'!H145</f>
        <v>1507</v>
      </c>
      <c r="I145" s="140"/>
      <c r="J145" s="328">
        <f>H145/DAY(B2)</f>
        <v>215.28571428571428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'6'!F146</f>
        <v>789295</v>
      </c>
      <c r="F146" s="148">
        <v>789325</v>
      </c>
      <c r="G146" s="112">
        <f t="shared" si="11"/>
        <v>30</v>
      </c>
      <c r="H146" s="99">
        <f>G146+'6'!H146</f>
        <v>300</v>
      </c>
      <c r="I146" s="140"/>
      <c r="J146" s="328">
        <f>H146/DAY(B2)</f>
        <v>42.857142857142854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'6'!F147</f>
        <v>773916</v>
      </c>
      <c r="F147" s="148">
        <v>774286</v>
      </c>
      <c r="G147" s="112">
        <f t="shared" si="11"/>
        <v>370</v>
      </c>
      <c r="H147" s="99">
        <f>G147+'6'!H147</f>
        <v>2629.1199999999953</v>
      </c>
      <c r="I147" s="140"/>
      <c r="J147" s="328">
        <f>H147/DAY(B2)</f>
        <v>375.58857142857079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'6'!F148</f>
        <v>808944</v>
      </c>
      <c r="F148" s="150">
        <v>809319</v>
      </c>
      <c r="G148" s="112">
        <f t="shared" si="11"/>
        <v>375</v>
      </c>
      <c r="H148" s="99">
        <f>G148+'6'!H148</f>
        <v>2498.7600000000093</v>
      </c>
      <c r="I148" s="124"/>
      <c r="J148" s="328">
        <f>H148/DAY(B2)</f>
        <v>356.96571428571559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'6'!F149</f>
        <v>220275</v>
      </c>
      <c r="F149" s="146">
        <v>220855</v>
      </c>
      <c r="G149" s="112">
        <f t="shared" si="11"/>
        <v>580</v>
      </c>
      <c r="H149" s="99">
        <f>G149+'6'!H149</f>
        <v>3959</v>
      </c>
      <c r="I149" s="119"/>
      <c r="J149" s="328">
        <f>H149/DAY(B2)</f>
        <v>565.57142857142856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'6'!F150</f>
        <v>93868</v>
      </c>
      <c r="F150" s="233">
        <v>94102</v>
      </c>
      <c r="G150" s="112">
        <f t="shared" si="11"/>
        <v>234</v>
      </c>
      <c r="H150" s="99">
        <f>G150+'6'!H150</f>
        <v>937</v>
      </c>
      <c r="I150" s="119"/>
      <c r="J150" s="328">
        <f>H150/DAY(B2)</f>
        <v>133.85714285714286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'6'!F151</f>
        <v>178159</v>
      </c>
      <c r="F151" s="233">
        <v>178506</v>
      </c>
      <c r="G151" s="112">
        <f t="shared" si="11"/>
        <v>347</v>
      </c>
      <c r="H151" s="99">
        <f>G151+'6'!H151</f>
        <v>2331</v>
      </c>
      <c r="I151" s="119"/>
      <c r="J151" s="328">
        <f>H151/DAY(B2)</f>
        <v>333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'6'!F152</f>
        <v>47428</v>
      </c>
      <c r="F152" s="233">
        <v>47559</v>
      </c>
      <c r="G152" s="112">
        <f t="shared" si="11"/>
        <v>131</v>
      </c>
      <c r="H152" s="99">
        <f>G152+'6'!H152</f>
        <v>927</v>
      </c>
      <c r="I152" s="119"/>
      <c r="J152" s="328">
        <f>H152/DAY(B2)</f>
        <v>132.42857142857142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3095</v>
      </c>
      <c r="H153" s="363"/>
      <c r="I153" s="119" t="s">
        <v>207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'6'!F155</f>
        <v>259703</v>
      </c>
      <c r="F155" s="374">
        <v>260286</v>
      </c>
      <c r="G155" s="112">
        <f t="shared" ref="G155:G158" si="12">F155-E155</f>
        <v>583</v>
      </c>
      <c r="H155" s="99">
        <f>G155+'6'!H155</f>
        <v>3934</v>
      </c>
      <c r="I155" s="364"/>
      <c r="J155" s="328">
        <f>H155/DAY(B2)</f>
        <v>562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'6'!F156</f>
        <v>33146</v>
      </c>
      <c r="F156" s="155">
        <v>33243</v>
      </c>
      <c r="G156" s="112">
        <f t="shared" si="12"/>
        <v>97</v>
      </c>
      <c r="H156" s="99">
        <f>G156+'6'!H156</f>
        <v>684</v>
      </c>
      <c r="I156" s="165"/>
      <c r="J156" s="328">
        <f>H156/DAY(B2)</f>
        <v>97.714285714285708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v>2004</v>
      </c>
      <c r="F157" s="155">
        <v>2144</v>
      </c>
      <c r="G157" s="112">
        <f t="shared" si="12"/>
        <v>140</v>
      </c>
      <c r="H157" s="99">
        <f>G157+'6'!H157</f>
        <v>252</v>
      </c>
      <c r="I157" s="165"/>
      <c r="J157" s="328">
        <f>H157/DAY(B2)</f>
        <v>36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'6'!F158</f>
        <v>1787</v>
      </c>
      <c r="F158" s="155">
        <v>1788</v>
      </c>
      <c r="G158" s="112">
        <f t="shared" si="12"/>
        <v>1</v>
      </c>
      <c r="H158" s="99">
        <f>G158+'6'!H158</f>
        <v>5</v>
      </c>
      <c r="I158" s="165"/>
      <c r="J158" s="328">
        <f>H158/DAY(B2)</f>
        <v>0.7142857142857143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513314</v>
      </c>
      <c r="F161" s="235">
        <v>513440</v>
      </c>
      <c r="G161" s="238">
        <f t="shared" ref="G161:G165" si="13">F161-E161</f>
        <v>126</v>
      </c>
      <c r="H161" s="99">
        <f>G161+'6'!H161</f>
        <v>995</v>
      </c>
      <c r="I161" s="236"/>
      <c r="J161" s="239">
        <f>H161/DAY(B2)</f>
        <v>142.14285714285714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1991</v>
      </c>
      <c r="F162" s="235">
        <v>2032</v>
      </c>
      <c r="G162" s="238">
        <f t="shared" si="13"/>
        <v>41</v>
      </c>
      <c r="H162" s="99">
        <f>G162+'6'!H162</f>
        <v>245</v>
      </c>
      <c r="I162" s="236"/>
      <c r="J162" s="239">
        <f>H162/DAY(B2)</f>
        <v>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0</v>
      </c>
      <c r="F163" s="235">
        <v>0</v>
      </c>
      <c r="G163" s="238">
        <f t="shared" si="13"/>
        <v>0</v>
      </c>
      <c r="H163" s="99">
        <f>G163+'6'!H163</f>
        <v>0</v>
      </c>
      <c r="I163" s="236"/>
      <c r="J163" s="239">
        <f>H163/DAY(B2)</f>
        <v>0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7364</v>
      </c>
      <c r="F164" s="235">
        <v>7368</v>
      </c>
      <c r="G164" s="238">
        <f t="shared" si="13"/>
        <v>4</v>
      </c>
      <c r="H164" s="99">
        <f>G164+'6'!H164</f>
        <v>31</v>
      </c>
      <c r="I164" s="236"/>
      <c r="J164" s="239">
        <f>H164/DAY(B2)</f>
        <v>4.4285714285714288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33017</v>
      </c>
      <c r="F165" s="235">
        <v>33020</v>
      </c>
      <c r="G165" s="238">
        <f t="shared" si="13"/>
        <v>3</v>
      </c>
      <c r="H165" s="99">
        <f>G165+'6'!H165</f>
        <v>45.480000000003201</v>
      </c>
      <c r="I165" s="236"/>
      <c r="J165" s="239">
        <f>H165/DAY(B2)</f>
        <v>6.4971428571433147</v>
      </c>
    </row>
    <row r="166" spans="1:10" ht="25.5" customHeight="1">
      <c r="A166" s="872"/>
      <c r="B166" s="87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'6'!F173</f>
        <v>8618</v>
      </c>
      <c r="F173" s="155">
        <v>8619</v>
      </c>
      <c r="G173" s="155">
        <f>F173-E173</f>
        <v>1</v>
      </c>
      <c r="H173" s="99">
        <f>G173+'6'!H173</f>
        <v>7</v>
      </c>
      <c r="I173" s="155"/>
      <c r="J173" s="178">
        <f>H173/DAY(B2)</f>
        <v>1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'6'!F174</f>
        <v>43479</v>
      </c>
      <c r="F174" s="157">
        <v>43489</v>
      </c>
      <c r="G174" s="155">
        <f t="shared" ref="G174:G175" si="14">F174-E174</f>
        <v>10</v>
      </c>
      <c r="H174" s="99">
        <f>G174+'6'!H174</f>
        <v>75</v>
      </c>
      <c r="I174" s="155"/>
      <c r="J174" s="178">
        <f>H174/DAY(B2)</f>
        <v>10.714285714285714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'6'!F175</f>
        <v>26370</v>
      </c>
      <c r="F175" s="155">
        <v>26384</v>
      </c>
      <c r="G175" s="155">
        <f t="shared" si="14"/>
        <v>14</v>
      </c>
      <c r="H175" s="99">
        <f>G175+'6'!H175</f>
        <v>97</v>
      </c>
      <c r="I175" s="155"/>
      <c r="J175" s="178">
        <f>H175/DAY(B2)</f>
        <v>13.857142857142858</v>
      </c>
    </row>
    <row r="176" spans="1:10" ht="25.5">
      <c r="A176" s="462" t="s">
        <v>196</v>
      </c>
      <c r="B176" s="463"/>
      <c r="C176" s="333"/>
      <c r="D176" s="228" t="s">
        <v>142</v>
      </c>
      <c r="E176" s="95"/>
      <c r="F176" s="155"/>
      <c r="G176" s="155">
        <f>SUM(G173:G175)</f>
        <v>25</v>
      </c>
      <c r="H176" s="99">
        <f>G176+'6'!H176</f>
        <v>179</v>
      </c>
      <c r="I176" s="155"/>
      <c r="J176" s="178">
        <f>H176/DAY(B2)</f>
        <v>25.571428571428573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'6'!F178</f>
        <v>111104</v>
      </c>
      <c r="F178" s="155">
        <v>111196</v>
      </c>
      <c r="G178" s="155">
        <f>F178-E178</f>
        <v>92</v>
      </c>
      <c r="H178" s="99">
        <f>G178+'6'!H178</f>
        <v>805</v>
      </c>
      <c r="I178" s="155"/>
      <c r="J178" s="178">
        <f>H178/DAY(B2)</f>
        <v>115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'6'!F180</f>
        <v>7736</v>
      </c>
      <c r="F180" s="155">
        <v>7740</v>
      </c>
      <c r="G180" s="155">
        <f t="shared" si="15"/>
        <v>4</v>
      </c>
      <c r="H180" s="99">
        <f>G180+'6'!H180</f>
        <v>39</v>
      </c>
      <c r="I180" s="155"/>
      <c r="J180" s="178">
        <f>H180/DAY(B2)</f>
        <v>5.5714285714285712</v>
      </c>
    </row>
    <row r="181" spans="1:10" ht="25.5">
      <c r="A181" s="878" t="s">
        <v>108</v>
      </c>
      <c r="B181" s="879"/>
      <c r="C181" s="333"/>
      <c r="D181" s="228" t="s">
        <v>142</v>
      </c>
      <c r="E181" s="95"/>
      <c r="F181" s="155"/>
      <c r="G181" s="155">
        <f>SUM(G178:G180)</f>
        <v>96</v>
      </c>
      <c r="H181" s="99">
        <f>G181+'6'!H181</f>
        <v>844</v>
      </c>
      <c r="I181" s="155"/>
      <c r="J181" s="178">
        <f>H181/DAY(B2)</f>
        <v>120.57142857142857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'6'!F183</f>
        <v>18722</v>
      </c>
      <c r="F183" s="157">
        <v>18725</v>
      </c>
      <c r="G183" s="157">
        <f>F183-E183</f>
        <v>3</v>
      </c>
      <c r="H183" s="99">
        <f>G183+'6'!H183</f>
        <v>33</v>
      </c>
      <c r="I183" s="155"/>
      <c r="J183" s="178">
        <f>H183/DAY(B2)</f>
        <v>4.7142857142857144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'6'!F184</f>
        <v>13289</v>
      </c>
      <c r="F184" s="157">
        <v>13297</v>
      </c>
      <c r="G184" s="157">
        <f t="shared" ref="G184:G185" si="16">F184-E184</f>
        <v>8</v>
      </c>
      <c r="H184" s="99">
        <f>G184+'6'!H184</f>
        <v>51</v>
      </c>
      <c r="I184" s="155"/>
      <c r="J184" s="178">
        <f>H184/DAY(B2)</f>
        <v>7.2857142857142856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34"/>
      <c r="D186" s="228" t="s">
        <v>142</v>
      </c>
      <c r="E186" s="95"/>
      <c r="F186" s="157"/>
      <c r="G186" s="157">
        <f>SUM(G183:G185)</f>
        <v>11</v>
      </c>
      <c r="H186" s="99">
        <f>G186+'6'!H186</f>
        <v>84</v>
      </c>
      <c r="I186" s="157"/>
      <c r="J186" s="178">
        <f>H186/DAY(B2)</f>
        <v>12</v>
      </c>
    </row>
    <row r="187" spans="1:10" ht="25.5">
      <c r="A187" s="869" t="s">
        <v>217</v>
      </c>
      <c r="B187" s="870"/>
      <c r="C187" s="333"/>
      <c r="D187" s="228" t="s">
        <v>142</v>
      </c>
      <c r="E187" s="95"/>
      <c r="F187" s="159"/>
      <c r="G187" s="377">
        <f>G62+G19</f>
        <v>197</v>
      </c>
      <c r="H187" s="99">
        <f>G187+'6'!H187</f>
        <v>1277</v>
      </c>
      <c r="I187" s="158"/>
      <c r="J187" s="179">
        <f>H187/DAY(B2)</f>
        <v>182.42857142857142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192</v>
      </c>
      <c r="H188" s="99">
        <f>G188+'6'!H188</f>
        <v>1317</v>
      </c>
      <c r="I188" s="158"/>
      <c r="J188" s="179">
        <f>H188/DAY(B2)</f>
        <v>188.14285714285714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96</v>
      </c>
      <c r="H189" s="99">
        <f>G189+'6'!H189</f>
        <v>844</v>
      </c>
      <c r="I189" s="158"/>
      <c r="J189" s="179">
        <f>H189/DAY(B2)</f>
        <v>120.57142857142857</v>
      </c>
    </row>
    <row r="190" spans="1:10" ht="25.5">
      <c r="A190" s="876"/>
      <c r="B190" s="877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A2" sqref="A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23.25">
      <c r="A2" s="191" t="s">
        <v>355</v>
      </c>
      <c r="B2" s="262">
        <v>44965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26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780472</v>
      </c>
      <c r="F7" s="95">
        <v>803177</v>
      </c>
      <c r="G7" s="112">
        <f>F7-E7</f>
        <v>22705</v>
      </c>
      <c r="H7" s="99">
        <f>G7+'7'!H7</f>
        <v>180378</v>
      </c>
      <c r="I7" s="113">
        <f>'1'!I7</f>
        <v>12000</v>
      </c>
      <c r="J7" s="175">
        <f>H7/DAY(B2)</f>
        <v>22547.25</v>
      </c>
      <c r="K7" s="172">
        <v>1375467</v>
      </c>
      <c r="L7" s="66"/>
      <c r="N7" s="87"/>
      <c r="O7" s="71">
        <f>G7-G8</f>
        <v>-567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977350</v>
      </c>
      <c r="F8" s="114">
        <v>1000622</v>
      </c>
      <c r="G8" s="115">
        <f>F8-E8</f>
        <v>23272</v>
      </c>
      <c r="H8" s="99">
        <f>G8+'7'!H8</f>
        <v>184512</v>
      </c>
      <c r="I8" s="116"/>
      <c r="J8" s="175">
        <f>H8/DAY(B2)</f>
        <v>23064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4918786</v>
      </c>
      <c r="F9" s="117">
        <v>4930948</v>
      </c>
      <c r="G9" s="112">
        <f>F9-E9</f>
        <v>12162</v>
      </c>
      <c r="H9" s="99">
        <f>G9+'7'!H9</f>
        <v>105849</v>
      </c>
      <c r="I9" s="124">
        <f>I7-J7</f>
        <v>-10547.25</v>
      </c>
      <c r="J9" s="175">
        <f>H9/DAY(B2)</f>
        <v>13231.125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4350630</v>
      </c>
      <c r="F10" s="117">
        <v>4360584</v>
      </c>
      <c r="G10" s="112">
        <f t="shared" ref="G10:G12" si="0">F10-E10</f>
        <v>9954</v>
      </c>
      <c r="H10" s="99">
        <f>G10+'7'!H10</f>
        <v>70050</v>
      </c>
      <c r="I10" s="282"/>
      <c r="J10" s="175">
        <f>H10/DAY(B2)</f>
        <v>8756.25</v>
      </c>
      <c r="K10" s="79"/>
      <c r="L10" s="66"/>
      <c r="N10" s="87"/>
      <c r="O10" s="71">
        <v>977350</v>
      </c>
      <c r="P10" s="65">
        <v>622</v>
      </c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38700</v>
      </c>
      <c r="F11" s="95">
        <v>38700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40550</v>
      </c>
      <c r="F12" s="117">
        <v>40550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22116</v>
      </c>
      <c r="H13" s="99">
        <f>G13+'7'!H13</f>
        <v>175899</v>
      </c>
      <c r="I13" s="120">
        <f>G7-G13</f>
        <v>589</v>
      </c>
      <c r="J13" s="175">
        <f>H13/DAY(B2)</f>
        <v>21987.375</v>
      </c>
      <c r="K13" s="79"/>
      <c r="L13" s="66"/>
      <c r="N13" s="87"/>
      <c r="O13" s="71"/>
    </row>
    <row r="14" spans="1:16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2296332</v>
      </c>
      <c r="F15" s="468">
        <v>2297580</v>
      </c>
      <c r="G15" s="112">
        <f>(F15-E15)</f>
        <v>1248</v>
      </c>
      <c r="H15" s="99">
        <f>G15+'7'!H15</f>
        <v>9106.285000000149</v>
      </c>
      <c r="I15" s="113">
        <f>'1'!I15</f>
        <v>800</v>
      </c>
      <c r="J15" s="175">
        <f>H15/DAY(B2)</f>
        <v>1138.2856250000186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-338.28562500001863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 t="s">
        <v>365</v>
      </c>
    </row>
    <row r="18" spans="1:15" ht="25.5">
      <c r="A18" s="904" t="s">
        <v>141</v>
      </c>
      <c r="B18" s="905"/>
      <c r="C18" s="906"/>
      <c r="D18" s="151" t="s">
        <v>142</v>
      </c>
      <c r="E18" s="95">
        <f>'7'!F18</f>
        <v>17</v>
      </c>
      <c r="F18" s="122">
        <v>37</v>
      </c>
      <c r="G18" s="119">
        <f>F18*10</f>
        <v>370</v>
      </c>
      <c r="H18" s="99">
        <f>G18+'7'!H18</f>
        <v>1840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'7'!F19</f>
        <v>171699</v>
      </c>
      <c r="F19" s="122">
        <v>171744</v>
      </c>
      <c r="G19" s="112">
        <f t="shared" ref="G19" si="1">F19-E19</f>
        <v>45</v>
      </c>
      <c r="H19" s="99">
        <f>G19+'7'!H19</f>
        <v>421</v>
      </c>
      <c r="I19" s="335"/>
      <c r="J19" s="175">
        <f>H19/DAY(B2)</f>
        <v>52.625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415</v>
      </c>
      <c r="H20" s="99">
        <f>G20+'7'!H20</f>
        <v>2261</v>
      </c>
      <c r="I20" s="336">
        <f>I18-J20</f>
        <v>-217.625</v>
      </c>
      <c r="J20" s="175">
        <f>H20/DAY(B2)</f>
        <v>282.625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23272</v>
      </c>
      <c r="F27" s="136">
        <v>10</v>
      </c>
      <c r="G27" s="137">
        <f>E27*F27</f>
        <v>232720</v>
      </c>
      <c r="H27" s="99">
        <f>G27+'7'!H27</f>
        <v>1845120</v>
      </c>
      <c r="I27" s="138"/>
      <c r="J27" s="175">
        <f>H27/DAY(B2)</f>
        <v>230640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1248</v>
      </c>
      <c r="F28" s="136">
        <v>63</v>
      </c>
      <c r="G28" s="137">
        <f>E28*F28</f>
        <v>78624</v>
      </c>
      <c r="H28" s="99">
        <f>G28+'7'!H28</f>
        <v>590617.41000001039</v>
      </c>
      <c r="I28" s="140"/>
      <c r="J28" s="175">
        <f>H28/DAY(B2)</f>
        <v>73827.176250001299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155</v>
      </c>
      <c r="G30" s="137">
        <f>E30*F30</f>
        <v>6975</v>
      </c>
      <c r="H30" s="99">
        <f>G30+'7'!H30</f>
        <v>64155</v>
      </c>
      <c r="I30" s="140"/>
      <c r="J30" s="175">
        <f>H30/DAY(B2)</f>
        <v>8019.375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370</v>
      </c>
      <c r="F31" s="136">
        <v>88</v>
      </c>
      <c r="G31" s="137">
        <f>E31*F31</f>
        <v>32560</v>
      </c>
      <c r="H31" s="99">
        <f>G31+'7'!H31</f>
        <v>158800</v>
      </c>
      <c r="I31" s="140"/>
      <c r="J31" s="175">
        <f>H31/DAY(B2)</f>
        <v>19850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350879</v>
      </c>
      <c r="H32" s="99">
        <f>G32+'7'!H32</f>
        <v>2658692.4100000104</v>
      </c>
      <c r="I32" s="144"/>
      <c r="J32" s="175">
        <f>H32/DAY(B2)</f>
        <v>332336.5512500013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547961</v>
      </c>
      <c r="F35" s="145">
        <v>550643</v>
      </c>
      <c r="G35" s="112">
        <f t="shared" ref="G35:G46" si="3">F35-E35</f>
        <v>2682</v>
      </c>
      <c r="H35" s="99">
        <f>G35+'7'!H35</f>
        <v>20587</v>
      </c>
      <c r="I35" s="95"/>
      <c r="J35" s="175">
        <f>H35/DAY(B2)</f>
        <v>2573.375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389193</v>
      </c>
      <c r="F36" s="145">
        <v>390139</v>
      </c>
      <c r="G36" s="112">
        <f t="shared" si="3"/>
        <v>946</v>
      </c>
      <c r="H36" s="99">
        <f>G36+'7'!H36</f>
        <v>8318</v>
      </c>
      <c r="I36" s="95"/>
      <c r="J36" s="175">
        <f>H36/DAY(B2)</f>
        <v>1039.75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394037</v>
      </c>
      <c r="F37" s="145">
        <v>395502</v>
      </c>
      <c r="G37" s="112">
        <f t="shared" si="3"/>
        <v>1465</v>
      </c>
      <c r="H37" s="99">
        <f>G37+'7'!H37</f>
        <v>11883</v>
      </c>
      <c r="I37" s="95"/>
      <c r="J37" s="175">
        <f>H37/DAY(B2)</f>
        <v>1485.375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896210</v>
      </c>
      <c r="F38" s="108">
        <v>899004</v>
      </c>
      <c r="G38" s="112">
        <f t="shared" si="3"/>
        <v>2794</v>
      </c>
      <c r="H38" s="99">
        <f>G38+'7'!H38</f>
        <v>21877</v>
      </c>
      <c r="I38" s="95"/>
      <c r="J38" s="175">
        <f>H38/DAY(B2)</f>
        <v>2734.625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726054</v>
      </c>
      <c r="F39" s="145">
        <v>728892</v>
      </c>
      <c r="G39" s="112">
        <f t="shared" si="3"/>
        <v>2838</v>
      </c>
      <c r="H39" s="99">
        <f>G39+'7'!H39</f>
        <v>22756</v>
      </c>
      <c r="I39" s="95"/>
      <c r="J39" s="175">
        <f>H39/DAY(B2)</f>
        <v>2844.5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219859</v>
      </c>
      <c r="F40" s="145">
        <v>220079</v>
      </c>
      <c r="G40" s="112">
        <f t="shared" si="3"/>
        <v>220</v>
      </c>
      <c r="H40" s="99">
        <f>G40+'7'!H40</f>
        <v>2287</v>
      </c>
      <c r="I40" s="95"/>
      <c r="J40" s="175">
        <f>H40/DAY(B2)</f>
        <v>285.875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420212</v>
      </c>
      <c r="F41" s="145">
        <v>420212</v>
      </c>
      <c r="G41" s="112">
        <f t="shared" si="3"/>
        <v>0</v>
      </c>
      <c r="H41" s="99">
        <f>G41+'7'!H41</f>
        <v>-0.51000000000931323</v>
      </c>
      <c r="I41" s="95"/>
      <c r="J41" s="175">
        <f>H41/DAY(B2)</f>
        <v>-6.3750000001164153E-2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982309.59</v>
      </c>
      <c r="F42" s="145">
        <v>982309.59</v>
      </c>
      <c r="G42" s="112">
        <f t="shared" si="3"/>
        <v>0</v>
      </c>
      <c r="H42" s="99">
        <f>G42+'7'!H42</f>
        <v>9246.9599999999627</v>
      </c>
      <c r="I42" s="95"/>
      <c r="J42" s="175">
        <f>H42/DAY(B2)</f>
        <v>1155.8699999999953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422444</v>
      </c>
      <c r="F43" s="145">
        <v>422444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10945</v>
      </c>
      <c r="H47" s="99">
        <f>G47+'7'!H47</f>
        <v>96954.449999999953</v>
      </c>
      <c r="I47" s="95"/>
      <c r="J47" s="175">
        <f>H47/DAY(B2)</f>
        <v>12119.306249999994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826698</v>
      </c>
      <c r="F49" s="145">
        <v>827266.79</v>
      </c>
      <c r="G49" s="112">
        <f t="shared" ref="G49:G58" si="4">F49-E49</f>
        <v>568.79000000003725</v>
      </c>
      <c r="H49" s="99">
        <f>G49+'7'!H49</f>
        <v>4354.7900000000373</v>
      </c>
      <c r="I49" s="95"/>
      <c r="J49" s="175">
        <f>H49/DAY(B2)</f>
        <v>544.34875000000466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551730</v>
      </c>
      <c r="F50" s="145">
        <v>553295</v>
      </c>
      <c r="G50" s="112">
        <f t="shared" si="4"/>
        <v>1565</v>
      </c>
      <c r="H50" s="99">
        <f>G50+'7'!H50</f>
        <v>11321</v>
      </c>
      <c r="I50" s="95"/>
      <c r="J50" s="175">
        <f>H50/DAY(B2)</f>
        <v>1415.125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156958</v>
      </c>
      <c r="F51" s="145">
        <v>156958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1457</v>
      </c>
      <c r="F52" s="145">
        <v>1457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630355</v>
      </c>
      <c r="F53" s="145">
        <v>630355</v>
      </c>
      <c r="G53" s="112">
        <f t="shared" si="4"/>
        <v>0</v>
      </c>
      <c r="H53" s="99">
        <f>G53+'7'!H53</f>
        <v>-3.0000000027939677E-2</v>
      </c>
      <c r="I53" s="95"/>
      <c r="J53" s="175">
        <f>H53/DAY(B2)</f>
        <v>-3.7500000034924597E-3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126280</v>
      </c>
      <c r="F54" s="145">
        <v>126565</v>
      </c>
      <c r="G54" s="112">
        <f t="shared" si="4"/>
        <v>285</v>
      </c>
      <c r="H54" s="99">
        <f>G54+'7'!H54</f>
        <v>2450.7899999999936</v>
      </c>
      <c r="I54" s="95"/>
      <c r="J54" s="175">
        <f>H54/DAY(B2)</f>
        <v>306.3487499999992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594304.75</v>
      </c>
      <c r="F55" s="145">
        <v>594304.75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390963</v>
      </c>
      <c r="F56" s="145">
        <v>394375</v>
      </c>
      <c r="G56" s="112">
        <f t="shared" si="4"/>
        <v>3412</v>
      </c>
      <c r="H56" s="99">
        <f>G56+'7'!H56</f>
        <v>21255</v>
      </c>
      <c r="I56" s="95"/>
      <c r="J56" s="175">
        <f>H56/DAY(B2)</f>
        <v>2656.875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725923</v>
      </c>
      <c r="F57" s="145">
        <v>728371</v>
      </c>
      <c r="G57" s="112">
        <f t="shared" si="4"/>
        <v>2448</v>
      </c>
      <c r="H57" s="99">
        <f>G57+'7'!H57</f>
        <v>20673</v>
      </c>
      <c r="I57" s="95"/>
      <c r="J57" s="175">
        <f>H57/DAY(B2)</f>
        <v>2584.125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96394</v>
      </c>
      <c r="F58" s="145">
        <v>96661</v>
      </c>
      <c r="G58" s="112">
        <f t="shared" si="4"/>
        <v>267</v>
      </c>
      <c r="H58" s="99">
        <f>G58+'7'!H58</f>
        <v>2091.179999999993</v>
      </c>
      <c r="I58" s="95"/>
      <c r="J58" s="175">
        <f>H58/DAY(B2)</f>
        <v>261.39749999999913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8545.7900000000373</v>
      </c>
      <c r="H59" s="99">
        <f>G59+'7'!H59</f>
        <v>62145.729999999996</v>
      </c>
      <c r="I59" s="95">
        <f>G7-G60</f>
        <v>3214.2099999999627</v>
      </c>
      <c r="J59" s="175">
        <f>H59/DAY(B2)</f>
        <v>7768.2162499999995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19490.790000000037</v>
      </c>
      <c r="H60" s="99">
        <f>G60+'7'!H60</f>
        <v>159100.17999999996</v>
      </c>
      <c r="I60" s="95">
        <f>G13-G60</f>
        <v>2625.2099999999627</v>
      </c>
      <c r="J60" s="175">
        <f>H60/DAY(B2)</f>
        <v>19887.522499999995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'7'!F62</f>
        <v>316578</v>
      </c>
      <c r="F62" s="122">
        <v>316734</v>
      </c>
      <c r="G62" s="112">
        <f t="shared" ref="G62:G63" si="5">F62-E62</f>
        <v>156</v>
      </c>
      <c r="H62" s="99">
        <f>G62+'7'!H62</f>
        <v>1057</v>
      </c>
      <c r="I62" s="118"/>
      <c r="J62" s="175">
        <f>H62/DAY(B2)</f>
        <v>132.125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'7'!F63</f>
        <v>252962</v>
      </c>
      <c r="F63" s="403">
        <v>252963</v>
      </c>
      <c r="G63" s="112">
        <f t="shared" si="5"/>
        <v>1</v>
      </c>
      <c r="H63" s="99">
        <f>G63+'7'!H63</f>
        <v>639</v>
      </c>
      <c r="I63" s="118"/>
      <c r="J63" s="175">
        <f>H63/DAY(B2)</f>
        <v>79.875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'7'!F64</f>
        <v>0</v>
      </c>
      <c r="F64" s="122"/>
      <c r="G64" s="112">
        <f>G62+G63</f>
        <v>157</v>
      </c>
      <c r="H64" s="99">
        <f>G64+'7'!H64</f>
        <v>1696</v>
      </c>
      <c r="I64" s="118"/>
      <c r="J64" s="175">
        <f>H64/DAY(B2)</f>
        <v>212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'7'!F65</f>
        <v>476848</v>
      </c>
      <c r="F65" s="122">
        <v>476985</v>
      </c>
      <c r="G65" s="112">
        <f t="shared" ref="G65:G70" si="6">F65-E65</f>
        <v>137</v>
      </c>
      <c r="H65" s="99">
        <f>G65+'7'!H65</f>
        <v>1082</v>
      </c>
      <c r="I65" s="118"/>
      <c r="J65" s="175">
        <f>H65/DAY(B2)</f>
        <v>135.25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114616</v>
      </c>
      <c r="F66" s="122">
        <v>114626</v>
      </c>
      <c r="G66" s="112">
        <f t="shared" si="6"/>
        <v>10</v>
      </c>
      <c r="H66" s="99">
        <f>G66+'7'!H66</f>
        <v>160</v>
      </c>
      <c r="I66" s="118"/>
      <c r="J66" s="175">
        <f>H66/DAY(B2)</f>
        <v>20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117430</v>
      </c>
      <c r="F67" s="122">
        <v>117454</v>
      </c>
      <c r="G67" s="112">
        <f t="shared" si="6"/>
        <v>24</v>
      </c>
      <c r="H67" s="99">
        <f>G67+'7'!H67</f>
        <v>172</v>
      </c>
      <c r="I67" s="118"/>
      <c r="J67" s="175">
        <f>H67/DAY(B2)</f>
        <v>21.5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170103</v>
      </c>
      <c r="F68" s="122">
        <v>170127</v>
      </c>
      <c r="G68" s="112">
        <f t="shared" si="6"/>
        <v>24</v>
      </c>
      <c r="H68" s="99">
        <f>G68+'7'!H68</f>
        <v>177</v>
      </c>
      <c r="I68" s="118"/>
      <c r="J68" s="175">
        <f>H68/DAY(B2)</f>
        <v>22.125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13238</v>
      </c>
      <c r="F69" s="122">
        <v>13247</v>
      </c>
      <c r="G69" s="112">
        <f t="shared" si="6"/>
        <v>9</v>
      </c>
      <c r="H69" s="99">
        <f>G69+'7'!H69</f>
        <v>35</v>
      </c>
      <c r="I69" s="118"/>
      <c r="J69" s="175">
        <f>H69/DAY(B2)</f>
        <v>4.375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11306</v>
      </c>
      <c r="F70" s="122">
        <v>11315</v>
      </c>
      <c r="G70" s="112">
        <f t="shared" si="6"/>
        <v>9</v>
      </c>
      <c r="H70" s="99">
        <f>G70+'7'!H70</f>
        <v>57</v>
      </c>
      <c r="I70" s="118"/>
      <c r="J70" s="175">
        <f>H70/DAY(B2)</f>
        <v>7.125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213</v>
      </c>
      <c r="H71" s="99">
        <f>G71+'7'!H71</f>
        <v>1683</v>
      </c>
      <c r="I71" s="154"/>
      <c r="J71" s="175">
        <f>H71/DAY(B2)</f>
        <v>210.375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'7'!F74</f>
        <v>14514</v>
      </c>
      <c r="F74" s="232">
        <v>14858</v>
      </c>
      <c r="G74" s="112">
        <f t="shared" ref="G74:G78" si="7">F74-E74</f>
        <v>344</v>
      </c>
      <c r="H74" s="99">
        <f>G74+'7'!H74</f>
        <v>2596</v>
      </c>
      <c r="I74" s="154"/>
      <c r="J74" s="175">
        <f>H74/DAY(B2)</f>
        <v>324.5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'7'!F75</f>
        <v>73586.8</v>
      </c>
      <c r="F75" s="123">
        <v>73587</v>
      </c>
      <c r="G75" s="112">
        <f t="shared" si="7"/>
        <v>0.19999999999708962</v>
      </c>
      <c r="H75" s="99">
        <f>G75+'7'!H75</f>
        <v>0.19999999999708962</v>
      </c>
      <c r="I75" s="154"/>
      <c r="J75" s="175">
        <f>H75/DAY(B2)</f>
        <v>2.4999999999636202E-2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'7'!F76</f>
        <v>211456</v>
      </c>
      <c r="F76" s="123">
        <v>211581</v>
      </c>
      <c r="G76" s="112">
        <f t="shared" si="7"/>
        <v>125</v>
      </c>
      <c r="H76" s="99">
        <f>G76+'7'!H76</f>
        <v>921</v>
      </c>
      <c r="I76" s="154"/>
      <c r="J76" s="175">
        <f>H76/DAY(B2)</f>
        <v>115.125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'7'!F77</f>
        <v>60116</v>
      </c>
      <c r="F77" s="123">
        <v>60173</v>
      </c>
      <c r="G77" s="112">
        <f t="shared" si="7"/>
        <v>57</v>
      </c>
      <c r="H77" s="99">
        <f>G77+'7'!H77</f>
        <v>412</v>
      </c>
      <c r="I77" s="154"/>
      <c r="J77" s="175">
        <f>H77/DAY(B2)</f>
        <v>51.5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'7'!F78</f>
        <v>9564.5</v>
      </c>
      <c r="F78" s="123">
        <v>9564.5</v>
      </c>
      <c r="G78" s="112">
        <f t="shared" si="7"/>
        <v>0</v>
      </c>
      <c r="H78" s="99">
        <f>G78+'7'!H78</f>
        <v>0.5</v>
      </c>
      <c r="I78" s="118"/>
      <c r="J78" s="175">
        <f>H78/DAY(B2)</f>
        <v>6.25E-2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'7'!F79</f>
        <v>0</v>
      </c>
      <c r="F79" s="117"/>
      <c r="G79" s="112">
        <f>G15-SUM(G74:G78)</f>
        <v>721.80000000000291</v>
      </c>
      <c r="H79" s="99">
        <f>G79+'7'!H79</f>
        <v>5176.5850000001519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1248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43546</v>
      </c>
      <c r="F84" s="164">
        <v>43546</v>
      </c>
      <c r="G84" s="112">
        <f t="shared" si="8"/>
        <v>0</v>
      </c>
      <c r="H84" s="99">
        <f>G84+'7'!H84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6258</v>
      </c>
      <c r="F85" s="164">
        <v>6258</v>
      </c>
      <c r="G85" s="112">
        <f t="shared" si="8"/>
        <v>0</v>
      </c>
      <c r="H85" s="99">
        <f>G85+'7'!H85</f>
        <v>45</v>
      </c>
      <c r="I85" s="543"/>
      <c r="J85" s="175">
        <f>H85/DAY(B2)</f>
        <v>5.625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46971</v>
      </c>
      <c r="F86" s="164">
        <v>46971</v>
      </c>
      <c r="G86" s="112">
        <f t="shared" si="8"/>
        <v>0</v>
      </c>
      <c r="H86" s="99">
        <f>G86+'7'!H86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37490</v>
      </c>
      <c r="F87" s="164">
        <v>37514</v>
      </c>
      <c r="G87" s="112">
        <f t="shared" si="8"/>
        <v>24</v>
      </c>
      <c r="H87" s="99">
        <f>G87+'7'!H87</f>
        <v>150</v>
      </c>
      <c r="I87" s="542">
        <f>G84+G85+G86+G87</f>
        <v>24</v>
      </c>
      <c r="J87" s="175">
        <f>H87/DAY(B2)</f>
        <v>18.75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24813.89</v>
      </c>
      <c r="F88" s="164">
        <v>24818.49</v>
      </c>
      <c r="G88" s="112">
        <f t="shared" si="8"/>
        <v>4.6000000000021828</v>
      </c>
      <c r="H88" s="99">
        <f>G88+'7'!H88</f>
        <v>56.490000000001601</v>
      </c>
      <c r="I88" s="542"/>
      <c r="J88" s="175">
        <f>H88/DAY(B2)</f>
        <v>7.0612500000002001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29072</v>
      </c>
      <c r="F89" s="164">
        <v>29083.5</v>
      </c>
      <c r="G89" s="112">
        <f t="shared" si="8"/>
        <v>11.5</v>
      </c>
      <c r="H89" s="99">
        <f>G89+'7'!H89</f>
        <v>55.5</v>
      </c>
      <c r="I89" s="542">
        <f>G88+G89</f>
        <v>16.100000000002183</v>
      </c>
      <c r="J89" s="175">
        <f>H89/DAY(B2)</f>
        <v>6.9375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74498.929999999993</v>
      </c>
      <c r="F90" s="164">
        <v>74506.429999999993</v>
      </c>
      <c r="G90" s="112">
        <f t="shared" si="8"/>
        <v>7.5</v>
      </c>
      <c r="H90" s="99">
        <f>G90+'7'!H90</f>
        <v>58.429999999993015</v>
      </c>
      <c r="I90" s="542">
        <f>G90</f>
        <v>7.5</v>
      </c>
      <c r="J90" s="175">
        <f>H90/DAY(B2)</f>
        <v>7.3037499999991269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5668</v>
      </c>
      <c r="F91" s="122">
        <v>5680.89</v>
      </c>
      <c r="G91" s="112">
        <f t="shared" si="8"/>
        <v>12.890000000000327</v>
      </c>
      <c r="H91" s="99">
        <f>G91+'7'!H91</f>
        <v>62.680000000000291</v>
      </c>
      <c r="I91" s="551"/>
      <c r="J91" s="175">
        <f>H91/DAY(B2)</f>
        <v>7.8350000000000364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7466.87</v>
      </c>
      <c r="F92" s="122">
        <v>7466.87</v>
      </c>
      <c r="G92" s="112">
        <f t="shared" si="8"/>
        <v>0</v>
      </c>
      <c r="H92" s="99">
        <f>G92+'7'!H92</f>
        <v>34.590000000000146</v>
      </c>
      <c r="I92" s="552">
        <f>G91+G92</f>
        <v>12.890000000000327</v>
      </c>
      <c r="J92" s="175">
        <f>H92/DAY(B2)</f>
        <v>4.3237500000000182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5698.7900000000373</v>
      </c>
      <c r="H94" s="99">
        <f>G94+'7'!H94</f>
        <v>45614.790000000037</v>
      </c>
      <c r="I94" s="118"/>
      <c r="J94" s="175">
        <f>H94/DAY(B2)</f>
        <v>5701.8487500000047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0.25099273287822232</v>
      </c>
      <c r="H95" s="99">
        <f>G95+'7'!H95</f>
        <v>2.023172267301939</v>
      </c>
      <c r="I95" s="167"/>
      <c r="J95" s="175">
        <f>H95/DAY(B2)</f>
        <v>0.25289653341274237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3412</v>
      </c>
      <c r="H96" s="99">
        <f>G96+'7'!H96</f>
        <v>30501.449999999953</v>
      </c>
      <c r="I96" s="118"/>
      <c r="J96" s="175">
        <f>H96/DAY(B2)</f>
        <v>3812.6812499999942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0.15027526976436908</v>
      </c>
      <c r="H97" s="99">
        <f>G97+'7'!H97</f>
        <v>1.3556358566486471</v>
      </c>
      <c r="I97" s="167"/>
      <c r="J97" s="175">
        <f>H97/DAY(B2)</f>
        <v>0.16945448208108088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2838</v>
      </c>
      <c r="H98" s="99">
        <f>G98+'7'!H98</f>
        <v>22755.969999999972</v>
      </c>
      <c r="I98" s="168"/>
      <c r="J98" s="175">
        <f>H98/DAY(B2)</f>
        <v>2844.4962499999965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0.12499449460471262</v>
      </c>
      <c r="H99" s="99">
        <f>G99+'7'!H99</f>
        <v>1.0097882865893071</v>
      </c>
      <c r="I99" s="168"/>
      <c r="J99" s="175">
        <f>H99/DAY(B2)</f>
        <v>0.12622353582366339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2794</v>
      </c>
      <c r="H100" s="99">
        <f>G100+'7'!H100</f>
        <v>21877</v>
      </c>
      <c r="I100" s="118"/>
      <c r="J100" s="175">
        <f>H100/DAY(B2)</f>
        <v>2734.625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0.12305659546355428</v>
      </c>
      <c r="H101" s="99">
        <f>G101+'7'!H101</f>
        <v>0.97056687879770553</v>
      </c>
      <c r="I101" s="168"/>
      <c r="J101" s="175">
        <f>H101/DAY(B2)</f>
        <v>0.12132085984971319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2511</v>
      </c>
      <c r="H102" s="99">
        <f>G102+'7'!H102</f>
        <v>19639</v>
      </c>
      <c r="I102" s="168"/>
      <c r="J102" s="175">
        <f>H102/DAY(B2)</f>
        <v>2454.875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0.11059238053292227</v>
      </c>
      <c r="H103" s="99">
        <f>G103+'7'!H103</f>
        <v>0.86977832343396855</v>
      </c>
      <c r="I103" s="118"/>
      <c r="J103" s="175">
        <f>H103/DAY(B2)</f>
        <v>0.10872229042924607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1465</v>
      </c>
      <c r="H104" s="99">
        <f>G104+'7'!H104</f>
        <v>11883</v>
      </c>
      <c r="I104" s="118"/>
      <c r="J104" s="175">
        <f>H104/DAY(B2)</f>
        <v>1485.375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6.4523232768112754E-2</v>
      </c>
      <c r="H105" s="99">
        <f>G105+'7'!H105</f>
        <v>0.52718057061343138</v>
      </c>
      <c r="I105" s="187"/>
      <c r="J105" s="188">
        <f>H105/DAY(B2)</f>
        <v>6.5897571326678922E-2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'7'!F112</f>
        <v>19824</v>
      </c>
      <c r="F112" s="237">
        <v>19886</v>
      </c>
      <c r="G112" s="112">
        <f t="shared" ref="G112:G123" si="9">F112-E112</f>
        <v>62</v>
      </c>
      <c r="H112" s="99">
        <f>G112+'7'!H112</f>
        <v>489</v>
      </c>
      <c r="I112" s="165"/>
      <c r="J112" s="328">
        <f>H112/DAY(B2)</f>
        <v>61.125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'7'!F113</f>
        <v>42538</v>
      </c>
      <c r="F113" s="237">
        <v>42685</v>
      </c>
      <c r="G113" s="112">
        <f t="shared" si="9"/>
        <v>147</v>
      </c>
      <c r="H113" s="99">
        <f>G113+'7'!H113</f>
        <v>1165.0500000000029</v>
      </c>
      <c r="I113" s="165"/>
      <c r="J113" s="328">
        <f>H113/DAY(B2)</f>
        <v>145.63125000000036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'7'!F114</f>
        <v>62781</v>
      </c>
      <c r="F114" s="237">
        <v>63010</v>
      </c>
      <c r="G114" s="112">
        <f t="shared" si="9"/>
        <v>229</v>
      </c>
      <c r="H114" s="99">
        <f>G114+'7'!H114</f>
        <v>1792</v>
      </c>
      <c r="I114" s="165"/>
      <c r="J114" s="328">
        <f>H114/DAY(B2)</f>
        <v>224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'7'!F115</f>
        <v>40532</v>
      </c>
      <c r="F115" s="237">
        <v>40660</v>
      </c>
      <c r="G115" s="112">
        <f t="shared" si="9"/>
        <v>128</v>
      </c>
      <c r="H115" s="99">
        <f>G115+'7'!H115</f>
        <v>1201</v>
      </c>
      <c r="I115" s="165"/>
      <c r="J115" s="328">
        <f>H115/DAY(B2)</f>
        <v>150.125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'7'!F116</f>
        <v>151202</v>
      </c>
      <c r="F116" s="237">
        <v>151698</v>
      </c>
      <c r="G116" s="112">
        <f t="shared" si="9"/>
        <v>496</v>
      </c>
      <c r="H116" s="99">
        <f>G116+'7'!H116</f>
        <v>3768</v>
      </c>
      <c r="I116" s="165"/>
      <c r="J116" s="328">
        <f>H116/DAY(B2)</f>
        <v>471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'7'!F117</f>
        <v>93819</v>
      </c>
      <c r="F117" s="237">
        <v>94061</v>
      </c>
      <c r="G117" s="112">
        <f t="shared" si="9"/>
        <v>242</v>
      </c>
      <c r="H117" s="99">
        <f>G117+'7'!H117</f>
        <v>2071.6009999999951</v>
      </c>
      <c r="I117" s="165"/>
      <c r="J117" s="328">
        <f>H117/DAY(B2)</f>
        <v>258.95012499999939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'7'!F118</f>
        <v>182374</v>
      </c>
      <c r="F118" s="237">
        <v>183078</v>
      </c>
      <c r="G118" s="112">
        <f t="shared" si="9"/>
        <v>704</v>
      </c>
      <c r="H118" s="99">
        <f>G118+'7'!H118</f>
        <v>5545.4700000000012</v>
      </c>
      <c r="I118" s="165"/>
      <c r="J118" s="328">
        <f>H118/DAY(B2)</f>
        <v>693.18375000000015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'7'!F119</f>
        <v>45494</v>
      </c>
      <c r="F119" s="237">
        <v>45556</v>
      </c>
      <c r="G119" s="112">
        <f t="shared" si="9"/>
        <v>62</v>
      </c>
      <c r="H119" s="99">
        <f>G119+'7'!H119</f>
        <v>363</v>
      </c>
      <c r="I119" s="165"/>
      <c r="J119" s="328">
        <f>H119/DAY(B2)</f>
        <v>45.375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'7'!F120</f>
        <v>123123</v>
      </c>
      <c r="F120" s="237">
        <v>123508</v>
      </c>
      <c r="G120" s="112">
        <f t="shared" si="9"/>
        <v>385</v>
      </c>
      <c r="H120" s="99">
        <f>G120+'7'!H120</f>
        <v>3064</v>
      </c>
      <c r="I120" s="165"/>
      <c r="J120" s="328">
        <f>H120/DAY(B2)</f>
        <v>383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'7'!F121</f>
        <v>137585</v>
      </c>
      <c r="F121" s="237">
        <v>137975</v>
      </c>
      <c r="G121" s="112">
        <f t="shared" si="9"/>
        <v>390</v>
      </c>
      <c r="H121" s="99">
        <f>G121+'7'!H121</f>
        <v>3412</v>
      </c>
      <c r="I121" s="165"/>
      <c r="J121" s="328">
        <f>H121/DAY(B2)</f>
        <v>426.5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'7'!F122</f>
        <v>93038</v>
      </c>
      <c r="F122" s="237">
        <v>93356</v>
      </c>
      <c r="G122" s="112">
        <f t="shared" si="9"/>
        <v>318</v>
      </c>
      <c r="H122" s="99">
        <f>G122+'7'!H122</f>
        <v>2479</v>
      </c>
      <c r="I122" s="165"/>
      <c r="J122" s="328">
        <f>H122/DAY(B2)</f>
        <v>309.875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'7'!F123</f>
        <v>89735</v>
      </c>
      <c r="F123" s="237">
        <v>90037</v>
      </c>
      <c r="G123" s="112">
        <f t="shared" si="9"/>
        <v>302</v>
      </c>
      <c r="H123" s="99">
        <f>G123+'7'!H123</f>
        <v>2458</v>
      </c>
      <c r="I123" s="165"/>
      <c r="J123" s="328">
        <f>H123/DAY(B2)</f>
        <v>307.25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3465</v>
      </c>
      <c r="H125" s="156"/>
      <c r="I125" s="327">
        <f>G125-(G39+G53)</f>
        <v>627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'7'!F128</f>
        <v>210836</v>
      </c>
      <c r="F128" s="165">
        <v>211292</v>
      </c>
      <c r="G128" s="112">
        <f t="shared" ref="G128:G134" si="10">F128-E128</f>
        <v>456</v>
      </c>
      <c r="H128" s="99">
        <f>G128+'7'!H128</f>
        <v>4003</v>
      </c>
      <c r="I128" s="165"/>
      <c r="J128" s="328">
        <f>H128/DAY(B2)</f>
        <v>500.375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1511</v>
      </c>
      <c r="F129" s="165">
        <v>1658</v>
      </c>
      <c r="G129" s="112">
        <f t="shared" si="10"/>
        <v>147</v>
      </c>
      <c r="H129" s="99">
        <f>G129+'7'!H129</f>
        <v>924</v>
      </c>
      <c r="I129" s="165"/>
      <c r="J129" s="328">
        <f>H129/DAY(B2)</f>
        <v>115.5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291798</v>
      </c>
      <c r="F130" s="165">
        <v>292470</v>
      </c>
      <c r="G130" s="112">
        <f t="shared" si="10"/>
        <v>672</v>
      </c>
      <c r="H130" s="99">
        <f>G130+'7'!H130</f>
        <v>3748</v>
      </c>
      <c r="I130" s="165"/>
      <c r="J130" s="328">
        <f>H130/DAY(B2)</f>
        <v>468.5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'7'!F131</f>
        <v>86118</v>
      </c>
      <c r="F131" s="165">
        <v>86316</v>
      </c>
      <c r="G131" s="112">
        <f t="shared" si="10"/>
        <v>198</v>
      </c>
      <c r="H131" s="99">
        <f>G131+'7'!H131</f>
        <v>1612.1699999999983</v>
      </c>
      <c r="I131" s="165"/>
      <c r="J131" s="328">
        <f>H131/DAY(B2)</f>
        <v>201.52124999999978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'7'!F132</f>
        <v>69662</v>
      </c>
      <c r="F132" s="165">
        <v>69977</v>
      </c>
      <c r="G132" s="112">
        <f t="shared" si="10"/>
        <v>315</v>
      </c>
      <c r="H132" s="99">
        <f>G132+'7'!H132</f>
        <v>2530</v>
      </c>
      <c r="I132" s="165"/>
      <c r="J132" s="328">
        <f>H132/DAY(B2)</f>
        <v>316.25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'7'!F133</f>
        <v>953732</v>
      </c>
      <c r="F133" s="165">
        <v>954455</v>
      </c>
      <c r="G133" s="112">
        <f t="shared" si="10"/>
        <v>723</v>
      </c>
      <c r="H133" s="99">
        <f>G133+'7'!H133</f>
        <v>4308</v>
      </c>
      <c r="I133" s="165"/>
      <c r="J133" s="328">
        <f>H133/DAY(B2)</f>
        <v>538.5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'7'!F134</f>
        <v>95040</v>
      </c>
      <c r="F134" s="165">
        <v>95296</v>
      </c>
      <c r="G134" s="112">
        <f t="shared" si="10"/>
        <v>256</v>
      </c>
      <c r="H134" s="99">
        <f>G134+'7'!H134</f>
        <v>2062.5</v>
      </c>
      <c r="I134" s="165"/>
      <c r="J134" s="328">
        <f>H134/DAY(B2)</f>
        <v>257.8125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2767</v>
      </c>
      <c r="H135" s="99">
        <f>G135+'7'!H135</f>
        <v>19187.669999999998</v>
      </c>
      <c r="I135" s="327">
        <f>G135-(G35+G49)</f>
        <v>-483.79000000003725</v>
      </c>
      <c r="J135" s="328">
        <f>H135/DAY(B2)</f>
        <v>2398.4587499999998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'7'!F138</f>
        <v>913721</v>
      </c>
      <c r="F138" s="147">
        <v>913876</v>
      </c>
      <c r="G138" s="112">
        <f t="shared" ref="G138:G152" si="11">F138-E138</f>
        <v>155</v>
      </c>
      <c r="H138" s="99">
        <f>G138+'7'!H138</f>
        <v>965</v>
      </c>
      <c r="I138" s="118"/>
      <c r="J138" s="328">
        <f>H138/DAY(B2)</f>
        <v>120.625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'7'!F139</f>
        <v>938289</v>
      </c>
      <c r="F139" s="148">
        <v>938445</v>
      </c>
      <c r="G139" s="112">
        <f t="shared" si="11"/>
        <v>156</v>
      </c>
      <c r="H139" s="99">
        <f>G139+'7'!H139</f>
        <v>1187</v>
      </c>
      <c r="I139" s="118"/>
      <c r="J139" s="328">
        <f>H139/DAY(B2)</f>
        <v>148.375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'7'!F140</f>
        <v>4983</v>
      </c>
      <c r="F140" s="149">
        <v>5014</v>
      </c>
      <c r="G140" s="112">
        <f t="shared" si="11"/>
        <v>31</v>
      </c>
      <c r="H140" s="99">
        <f>G140+'7'!H140</f>
        <v>250</v>
      </c>
      <c r="I140" s="118"/>
      <c r="J140" s="328">
        <f>H140/DAY(B2)</f>
        <v>31.25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'7'!F141</f>
        <v>133013</v>
      </c>
      <c r="F141" s="149">
        <v>133266</v>
      </c>
      <c r="G141" s="112">
        <f t="shared" si="11"/>
        <v>253</v>
      </c>
      <c r="H141" s="99">
        <f>G141+'7'!H141</f>
        <v>1946</v>
      </c>
      <c r="I141" s="118"/>
      <c r="J141" s="328">
        <f>H141/DAY(B2)</f>
        <v>243.25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'7'!F142</f>
        <v>53843</v>
      </c>
      <c r="F142" s="147">
        <v>53934</v>
      </c>
      <c r="G142" s="112">
        <f t="shared" si="11"/>
        <v>91</v>
      </c>
      <c r="H142" s="99">
        <f>G142+'7'!H142</f>
        <v>743</v>
      </c>
      <c r="I142" s="140"/>
      <c r="J142" s="328">
        <f>H142/DAY(B2)</f>
        <v>92.875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'7'!F143</f>
        <v>14543</v>
      </c>
      <c r="F143" s="149">
        <v>14575</v>
      </c>
      <c r="G143" s="112">
        <f t="shared" si="11"/>
        <v>32</v>
      </c>
      <c r="H143" s="99">
        <f>G143+'7'!H143</f>
        <v>263</v>
      </c>
      <c r="I143" s="140"/>
      <c r="J143" s="328">
        <f>H143/DAY(B2)</f>
        <v>32.875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'7'!F144</f>
        <v>965161</v>
      </c>
      <c r="F144" s="149">
        <v>965432</v>
      </c>
      <c r="G144" s="112">
        <f t="shared" si="11"/>
        <v>271</v>
      </c>
      <c r="H144" s="99">
        <f>G144+'7'!H144</f>
        <v>2206</v>
      </c>
      <c r="I144" s="140"/>
      <c r="J144" s="328">
        <f>H144/DAY(B2)</f>
        <v>275.75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'7'!F145</f>
        <v>752240</v>
      </c>
      <c r="F145" s="149">
        <v>752365</v>
      </c>
      <c r="G145" s="112">
        <f t="shared" si="11"/>
        <v>125</v>
      </c>
      <c r="H145" s="99">
        <f>G145+'7'!H145</f>
        <v>1632</v>
      </c>
      <c r="I145" s="140"/>
      <c r="J145" s="328">
        <f>H145/DAY(B2)</f>
        <v>204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'7'!F146</f>
        <v>789325</v>
      </c>
      <c r="F146" s="148">
        <v>789358</v>
      </c>
      <c r="G146" s="112">
        <f t="shared" si="11"/>
        <v>33</v>
      </c>
      <c r="H146" s="99">
        <f>G146+'7'!H146</f>
        <v>333</v>
      </c>
      <c r="I146" s="140"/>
      <c r="J146" s="328">
        <f>H146/DAY(B2)</f>
        <v>41.625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'7'!F147</f>
        <v>774286</v>
      </c>
      <c r="F147" s="148">
        <v>774673</v>
      </c>
      <c r="G147" s="112">
        <f t="shared" si="11"/>
        <v>387</v>
      </c>
      <c r="H147" s="99">
        <f>G147+'7'!H147</f>
        <v>3016.1199999999953</v>
      </c>
      <c r="I147" s="140"/>
      <c r="J147" s="328">
        <f>H147/DAY(B2)</f>
        <v>377.01499999999942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'7'!F148</f>
        <v>809319</v>
      </c>
      <c r="F148" s="150">
        <v>809671</v>
      </c>
      <c r="G148" s="112">
        <f t="shared" si="11"/>
        <v>352</v>
      </c>
      <c r="H148" s="99">
        <f>G148+'7'!H148</f>
        <v>2850.7600000000093</v>
      </c>
      <c r="I148" s="124"/>
      <c r="J148" s="328">
        <f>H148/DAY(B2)</f>
        <v>356.34500000000116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'7'!F149</f>
        <v>220855</v>
      </c>
      <c r="F149" s="146">
        <v>221451</v>
      </c>
      <c r="G149" s="112">
        <f t="shared" si="11"/>
        <v>596</v>
      </c>
      <c r="H149" s="99">
        <f>G149+'7'!H149</f>
        <v>4555</v>
      </c>
      <c r="I149" s="119"/>
      <c r="J149" s="328">
        <f>H149/DAY(B2)</f>
        <v>569.375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'7'!F150</f>
        <v>94102</v>
      </c>
      <c r="F150" s="233">
        <v>94323</v>
      </c>
      <c r="G150" s="112">
        <f t="shared" si="11"/>
        <v>221</v>
      </c>
      <c r="H150" s="99">
        <f>G150+'7'!H150</f>
        <v>1158</v>
      </c>
      <c r="I150" s="119"/>
      <c r="J150" s="328">
        <f>H150/DAY(B2)</f>
        <v>144.75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'7'!F151</f>
        <v>178506</v>
      </c>
      <c r="F151" s="233">
        <v>178823</v>
      </c>
      <c r="G151" s="112">
        <f t="shared" si="11"/>
        <v>317</v>
      </c>
      <c r="H151" s="99">
        <f>G151+'7'!H151</f>
        <v>2648</v>
      </c>
      <c r="I151" s="119"/>
      <c r="J151" s="328">
        <f>H151/DAY(B2)</f>
        <v>331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'7'!F152</f>
        <v>47559</v>
      </c>
      <c r="F152" s="233">
        <v>47691</v>
      </c>
      <c r="G152" s="112">
        <f t="shared" si="11"/>
        <v>132</v>
      </c>
      <c r="H152" s="99">
        <f>G152+'7'!H152</f>
        <v>1059</v>
      </c>
      <c r="I152" s="119"/>
      <c r="J152" s="328">
        <f>H152/DAY(B2)</f>
        <v>132.375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358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'7'!F155</f>
        <v>260286</v>
      </c>
      <c r="F155" s="374">
        <v>260854</v>
      </c>
      <c r="G155" s="112">
        <f t="shared" ref="G155:G158" si="12">F155-E155</f>
        <v>568</v>
      </c>
      <c r="H155" s="99">
        <f>G155+'7'!H155</f>
        <v>4502</v>
      </c>
      <c r="I155" s="364"/>
      <c r="J155" s="328">
        <f>H155/DAY(B2)</f>
        <v>562.75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'7'!F156</f>
        <v>33243</v>
      </c>
      <c r="F156" s="155">
        <v>33341</v>
      </c>
      <c r="G156" s="112">
        <f t="shared" si="12"/>
        <v>98</v>
      </c>
      <c r="H156" s="99">
        <f>G156+'7'!H156</f>
        <v>782</v>
      </c>
      <c r="I156" s="165"/>
      <c r="J156" s="328">
        <f>H156/DAY(B2)</f>
        <v>97.75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'7'!F157</f>
        <v>2144</v>
      </c>
      <c r="F157" s="155">
        <v>2272</v>
      </c>
      <c r="G157" s="112">
        <f t="shared" si="12"/>
        <v>128</v>
      </c>
      <c r="H157" s="99">
        <f>G157+'7'!H157</f>
        <v>380</v>
      </c>
      <c r="I157" s="165"/>
      <c r="J157" s="328">
        <f>H157/DAY(B2)</f>
        <v>47.5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'7'!F158</f>
        <v>1788</v>
      </c>
      <c r="F158" s="155">
        <v>1788</v>
      </c>
      <c r="G158" s="112">
        <f t="shared" si="12"/>
        <v>0</v>
      </c>
      <c r="H158" s="99">
        <f>G158+'7'!H158</f>
        <v>5</v>
      </c>
      <c r="I158" s="165"/>
      <c r="J158" s="328">
        <f>H158/DAY(B2)</f>
        <v>0.625</v>
      </c>
    </row>
    <row r="159" spans="1:10" ht="25.5">
      <c r="A159" s="946"/>
      <c r="B159" s="947"/>
      <c r="C159" s="948"/>
      <c r="D159" s="117"/>
      <c r="E159" s="95"/>
      <c r="F159" s="15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513440</v>
      </c>
      <c r="F161" s="235">
        <v>513562</v>
      </c>
      <c r="G161" s="238">
        <f t="shared" ref="G161:G165" si="13">F161-E161</f>
        <v>122</v>
      </c>
      <c r="H161" s="99">
        <f>G161+'7'!H161</f>
        <v>1117</v>
      </c>
      <c r="I161" s="236"/>
      <c r="J161" s="239">
        <f>H161/DAY(B2)</f>
        <v>139.625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2032</v>
      </c>
      <c r="F162" s="235">
        <v>2060</v>
      </c>
      <c r="G162" s="238">
        <f t="shared" si="13"/>
        <v>28</v>
      </c>
      <c r="H162" s="99">
        <f>G162+'7'!H162</f>
        <v>273</v>
      </c>
      <c r="I162" s="236"/>
      <c r="J162" s="239">
        <f>H162/DAY(B2)</f>
        <v>34.125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0</v>
      </c>
      <c r="F163" s="235">
        <v>0</v>
      </c>
      <c r="G163" s="238">
        <f t="shared" si="13"/>
        <v>0</v>
      </c>
      <c r="H163" s="99">
        <f>G163+'7'!H163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7368</v>
      </c>
      <c r="F164" s="235">
        <v>7368.5</v>
      </c>
      <c r="G164" s="238">
        <f t="shared" si="13"/>
        <v>0.5</v>
      </c>
      <c r="H164" s="99">
        <f>G164+'7'!H164</f>
        <v>31.5</v>
      </c>
      <c r="I164" s="236"/>
      <c r="J164" s="239">
        <f>H164/DAY(B2)</f>
        <v>3.9375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33020</v>
      </c>
      <c r="F165" s="417">
        <v>33032</v>
      </c>
      <c r="G165" s="238">
        <f t="shared" si="13"/>
        <v>12</v>
      </c>
      <c r="H165" s="99">
        <f>G165+'7'!H165</f>
        <v>57.480000000003201</v>
      </c>
      <c r="I165" s="236"/>
      <c r="J165" s="239">
        <f>H165/DAY(B2)</f>
        <v>7.1850000000004002</v>
      </c>
    </row>
    <row r="166" spans="1:10" ht="26.25">
      <c r="A166" s="872"/>
      <c r="B166" s="87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'7'!F173</f>
        <v>8619</v>
      </c>
      <c r="F173" s="155">
        <v>8619</v>
      </c>
      <c r="G173" s="155">
        <f>F173-E173</f>
        <v>0</v>
      </c>
      <c r="H173" s="99">
        <f>G173+'7'!H173</f>
        <v>7</v>
      </c>
      <c r="I173" s="155"/>
      <c r="J173" s="178">
        <f>H173/DAY(B2)</f>
        <v>0.875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'7'!F174</f>
        <v>43489</v>
      </c>
      <c r="F174" s="157">
        <v>43502</v>
      </c>
      <c r="G174" s="155">
        <f t="shared" ref="G174:G175" si="14">F174-E174</f>
        <v>13</v>
      </c>
      <c r="H174" s="99">
        <f>G174+'7'!H174</f>
        <v>88</v>
      </c>
      <c r="I174" s="155"/>
      <c r="J174" s="178">
        <f>H174/DAY(B2)</f>
        <v>11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'7'!F175</f>
        <v>26384</v>
      </c>
      <c r="F175" s="155">
        <v>26399</v>
      </c>
      <c r="G175" s="155">
        <f t="shared" si="14"/>
        <v>15</v>
      </c>
      <c r="H175" s="99">
        <f>G175+'7'!H175</f>
        <v>112</v>
      </c>
      <c r="I175" s="155"/>
      <c r="J175" s="178">
        <f>H175/DAY(B2)</f>
        <v>14</v>
      </c>
    </row>
    <row r="176" spans="1:10" ht="25.5">
      <c r="A176" s="788" t="s">
        <v>196</v>
      </c>
      <c r="B176" s="789"/>
      <c r="C176" s="333"/>
      <c r="D176" s="228" t="s">
        <v>142</v>
      </c>
      <c r="E176" s="95"/>
      <c r="F176" s="155"/>
      <c r="G176" s="155">
        <f>SUM(G173:G175)</f>
        <v>28</v>
      </c>
      <c r="H176" s="99">
        <f>G176+'7'!H176</f>
        <v>207</v>
      </c>
      <c r="I176" s="155"/>
      <c r="J176" s="178">
        <f>H176/DAY(B2)</f>
        <v>25.875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'7'!F178</f>
        <v>111196</v>
      </c>
      <c r="F178" s="155">
        <v>111284</v>
      </c>
      <c r="G178" s="155">
        <f>F178-E178</f>
        <v>88</v>
      </c>
      <c r="H178" s="99">
        <f>G178+'7'!H178</f>
        <v>893</v>
      </c>
      <c r="I178" s="155"/>
      <c r="J178" s="178">
        <f>H178/DAY(B2)</f>
        <v>111.625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'7'!F180</f>
        <v>7740</v>
      </c>
      <c r="F180" s="155">
        <v>7740</v>
      </c>
      <c r="G180" s="155">
        <f t="shared" si="15"/>
        <v>0</v>
      </c>
      <c r="H180" s="99">
        <f>G180+'7'!H180</f>
        <v>39</v>
      </c>
      <c r="I180" s="155"/>
      <c r="J180" s="178">
        <f>H180/DAY(B2)</f>
        <v>4.875</v>
      </c>
    </row>
    <row r="181" spans="1:10" ht="25.5">
      <c r="A181" s="878" t="s">
        <v>108</v>
      </c>
      <c r="B181" s="87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932</v>
      </c>
      <c r="I181" s="155"/>
      <c r="J181" s="178">
        <f>H181/DAY(B2)</f>
        <v>116.5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'7'!F183</f>
        <v>18725</v>
      </c>
      <c r="F183" s="157">
        <v>18737</v>
      </c>
      <c r="G183" s="157">
        <f>F183-E183</f>
        <v>12</v>
      </c>
      <c r="H183" s="99">
        <f>G183+'7'!H183</f>
        <v>45</v>
      </c>
      <c r="I183" s="155"/>
      <c r="J183" s="178">
        <f>H183/DAY(B2)</f>
        <v>5.625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'7'!F184</f>
        <v>13297</v>
      </c>
      <c r="F184" s="157">
        <v>13307</v>
      </c>
      <c r="G184" s="157">
        <f t="shared" ref="G184:G185" si="16">F184-E184</f>
        <v>10</v>
      </c>
      <c r="H184" s="99">
        <f>G184+'7'!H184</f>
        <v>61</v>
      </c>
      <c r="I184" s="155"/>
      <c r="J184" s="178">
        <f>H184/DAY(B2)</f>
        <v>7.625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788" t="s">
        <v>196</v>
      </c>
      <c r="B186" s="789"/>
      <c r="C186" s="334"/>
      <c r="D186" s="228" t="s">
        <v>142</v>
      </c>
      <c r="E186" s="95"/>
      <c r="F186" s="157"/>
      <c r="G186" s="157">
        <f>SUM(G183:G185)</f>
        <v>22</v>
      </c>
      <c r="H186" s="99">
        <f>G186+'7'!H186</f>
        <v>106</v>
      </c>
      <c r="I186" s="157"/>
      <c r="J186" s="178">
        <f>H186/DAY(B2)</f>
        <v>13.25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159">
        <f>G62+G19</f>
        <v>201</v>
      </c>
      <c r="H187" s="99">
        <f>G187+'7'!H187</f>
        <v>1478</v>
      </c>
      <c r="I187" s="158"/>
      <c r="J187" s="179">
        <f>H187/DAY(B2)</f>
        <v>184.75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159">
        <f>G65+G66+G67+G69+G70</f>
        <v>189</v>
      </c>
      <c r="H188" s="99">
        <f>G188+'7'!H188</f>
        <v>1506</v>
      </c>
      <c r="I188" s="158"/>
      <c r="J188" s="179">
        <f>H188/DAY(B2)</f>
        <v>188.25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157">
        <f>G181</f>
        <v>88</v>
      </c>
      <c r="H189" s="99">
        <f>G189+'7'!H189</f>
        <v>932</v>
      </c>
      <c r="I189" s="158"/>
      <c r="J189" s="179">
        <f>H189/DAY(B2)</f>
        <v>116.5</v>
      </c>
    </row>
    <row r="190" spans="1:10" ht="25.5">
      <c r="A190" s="876"/>
      <c r="B190" s="877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382</v>
      </c>
      <c r="B2" s="262">
        <v>44601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803177</v>
      </c>
      <c r="F7" s="95">
        <v>824988.47</v>
      </c>
      <c r="G7" s="112">
        <f>F7-E7</f>
        <v>21811.469999999972</v>
      </c>
      <c r="H7" s="99">
        <f>G7+'8'!H7</f>
        <v>202189.46999999997</v>
      </c>
      <c r="I7" s="113">
        <f>'1'!I7</f>
        <v>12000</v>
      </c>
      <c r="J7" s="175">
        <f>H7/DAY(B2)</f>
        <v>22465.496666666662</v>
      </c>
      <c r="K7" s="172">
        <v>1375467</v>
      </c>
      <c r="L7" s="66"/>
      <c r="N7" s="87">
        <f>G7+600</f>
        <v>22411.469999999972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1000622</v>
      </c>
      <c r="F8" s="114">
        <v>1022861.42</v>
      </c>
      <c r="G8" s="115">
        <f>F8-E8</f>
        <v>22239.420000000042</v>
      </c>
      <c r="H8" s="99">
        <f>G8+'8'!H8</f>
        <v>206751.42000000004</v>
      </c>
      <c r="I8" s="116"/>
      <c r="J8" s="175">
        <f>H8/DAY(B2)</f>
        <v>22972.380000000005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4930948</v>
      </c>
      <c r="F9" s="353">
        <v>4942498.3</v>
      </c>
      <c r="G9" s="112">
        <f>F9-E9</f>
        <v>11550.299999999814</v>
      </c>
      <c r="H9" s="99">
        <f>G9+'8'!H9</f>
        <v>117399.29999999981</v>
      </c>
      <c r="I9" s="124">
        <f>I7-J7</f>
        <v>-10465.496666666662</v>
      </c>
      <c r="J9" s="175">
        <f>H9/DAY(B2)</f>
        <v>13044.366666666647</v>
      </c>
      <c r="K9" s="79">
        <f>K8-100</f>
        <v>1715817</v>
      </c>
      <c r="L9" s="66"/>
      <c r="N9" s="87">
        <f>E8+234223+600</f>
        <v>1235445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4360584</v>
      </c>
      <c r="F10" s="117">
        <v>4370265.0999999996</v>
      </c>
      <c r="G10" s="112">
        <f t="shared" ref="G10:G12" si="0">F10-E10</f>
        <v>9681.0999999996275</v>
      </c>
      <c r="H10" s="99">
        <f>G10+'8'!H10</f>
        <v>79731.099999999627</v>
      </c>
      <c r="I10" s="282"/>
      <c r="J10" s="175">
        <f>H10/DAY(B2)</f>
        <v>8859.0111111110691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38700</v>
      </c>
      <c r="F11" s="95">
        <v>38700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40550</v>
      </c>
      <c r="F12" s="117">
        <v>40550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21231.399999999441</v>
      </c>
      <c r="H13" s="99">
        <f>G13+'8'!H13</f>
        <v>197130.39999999944</v>
      </c>
      <c r="I13" s="120">
        <f>G7-G13</f>
        <v>580.07000000053085</v>
      </c>
      <c r="J13" s="175">
        <f>H13/DAY(B2)</f>
        <v>21903.377777777714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2297580</v>
      </c>
      <c r="F15" s="468">
        <v>2298742.7599999998</v>
      </c>
      <c r="G15" s="112">
        <f>(F15-E15)</f>
        <v>1162.7599999997765</v>
      </c>
      <c r="H15" s="99">
        <f>G15+'8'!H15</f>
        <v>10269.044999999925</v>
      </c>
      <c r="I15" s="113">
        <f>'1'!I15</f>
        <v>800</v>
      </c>
      <c r="J15" s="175">
        <f>H15/DAY(B2)</f>
        <v>1141.0049999999917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-341.0049999999917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'8'!F18</f>
        <v>37</v>
      </c>
      <c r="F18" s="164">
        <v>5</v>
      </c>
      <c r="G18" s="119">
        <f>F18*10</f>
        <v>50</v>
      </c>
      <c r="H18" s="99">
        <f>G18+'8'!H18</f>
        <v>1890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'8'!F19</f>
        <v>171744</v>
      </c>
      <c r="F19" s="122">
        <v>171799</v>
      </c>
      <c r="G19" s="112">
        <f t="shared" ref="G19" si="1">F19-E19</f>
        <v>55</v>
      </c>
      <c r="H19" s="99">
        <f>G19+'8'!H19</f>
        <v>476</v>
      </c>
      <c r="I19" s="335"/>
      <c r="J19" s="175">
        <f>H19/DAY(B2)</f>
        <v>52.888888888888886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105</v>
      </c>
      <c r="H20" s="99">
        <f>G20+'8'!H20</f>
        <v>2366</v>
      </c>
      <c r="I20" s="336">
        <f>I18-J20</f>
        <v>-197.88888888888891</v>
      </c>
      <c r="J20" s="175">
        <f>H20/DAY(B2)</f>
        <v>262.88888888888891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22239.420000000042</v>
      </c>
      <c r="F27" s="136">
        <v>10</v>
      </c>
      <c r="G27" s="137">
        <f>E27*F27</f>
        <v>222394.20000000042</v>
      </c>
      <c r="H27" s="99">
        <f>G27+'8'!H27</f>
        <v>2067514.2000000004</v>
      </c>
      <c r="I27" s="138"/>
      <c r="J27" s="175">
        <f>H27/DAY(B2)</f>
        <v>229723.80000000005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1162.7599999997765</v>
      </c>
      <c r="F28" s="136">
        <v>63</v>
      </c>
      <c r="G28" s="137">
        <f>E28*F28</f>
        <v>73253.879999985918</v>
      </c>
      <c r="H28" s="99">
        <f>G28+'8'!H28</f>
        <v>663871.28999999631</v>
      </c>
      <c r="I28" s="140"/>
      <c r="J28" s="175">
        <f>H28/DAY(B2)</f>
        <v>73763.476666666262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155</v>
      </c>
      <c r="G30" s="137">
        <f>E30*F30</f>
        <v>8525</v>
      </c>
      <c r="H30" s="99">
        <f>G30+'8'!H30</f>
        <v>72680</v>
      </c>
      <c r="I30" s="140"/>
      <c r="J30" s="175">
        <f>H30/DAY(B2)</f>
        <v>8075.5555555555557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88</v>
      </c>
      <c r="G31" s="137">
        <f>E31*F31</f>
        <v>4400</v>
      </c>
      <c r="H31" s="99">
        <f>G31+'8'!H31</f>
        <v>163200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308573.07999998634</v>
      </c>
      <c r="H32" s="99">
        <f>G32+'8'!H32</f>
        <v>2967265.4899999965</v>
      </c>
      <c r="I32" s="144"/>
      <c r="J32" s="175">
        <f>H32/DAY(B2)</f>
        <v>329696.16555555514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550643</v>
      </c>
      <c r="F35" s="145">
        <v>553186.15</v>
      </c>
      <c r="G35" s="112">
        <f t="shared" ref="G35:G46" si="3">F35-E35</f>
        <v>2543.1500000000233</v>
      </c>
      <c r="H35" s="99">
        <f>G35+'8'!H35</f>
        <v>23130.150000000023</v>
      </c>
      <c r="I35" s="95"/>
      <c r="J35" s="175">
        <f>H35/DAY(B2)</f>
        <v>2570.0166666666692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390139</v>
      </c>
      <c r="F36" s="145">
        <v>391126.55</v>
      </c>
      <c r="G36" s="112">
        <f t="shared" si="3"/>
        <v>987.54999999998836</v>
      </c>
      <c r="H36" s="99">
        <f>G36+'8'!H36</f>
        <v>9305.5499999999884</v>
      </c>
      <c r="I36" s="95"/>
      <c r="J36" s="175">
        <f>H36/DAY(B2)</f>
        <v>1033.9499999999987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395502</v>
      </c>
      <c r="F37" s="145">
        <v>396890.15</v>
      </c>
      <c r="G37" s="112">
        <f t="shared" si="3"/>
        <v>1388.1500000000233</v>
      </c>
      <c r="H37" s="99">
        <f>G37+'8'!H37</f>
        <v>13271.150000000023</v>
      </c>
      <c r="I37" s="95"/>
      <c r="J37" s="175">
        <f>H37/DAY(B2)</f>
        <v>1474.5722222222248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899004</v>
      </c>
      <c r="F38" s="751">
        <v>901439.43</v>
      </c>
      <c r="G38" s="112">
        <f t="shared" si="3"/>
        <v>2435.4300000000512</v>
      </c>
      <c r="H38" s="99">
        <f>G38+'8'!H38</f>
        <v>24312.430000000051</v>
      </c>
      <c r="I38" s="95"/>
      <c r="J38" s="175">
        <f>H38/DAY(B2)</f>
        <v>2701.3811111111168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728892</v>
      </c>
      <c r="F39" s="145">
        <v>731674.31</v>
      </c>
      <c r="G39" s="112">
        <f t="shared" si="3"/>
        <v>2782.3100000000559</v>
      </c>
      <c r="H39" s="99">
        <f>G39+'8'!H39</f>
        <v>25538.310000000056</v>
      </c>
      <c r="I39" s="95"/>
      <c r="J39" s="175">
        <f>H39/DAY(B2)</f>
        <v>2837.5900000000061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220079</v>
      </c>
      <c r="F40" s="145">
        <v>220302.97</v>
      </c>
      <c r="G40" s="112">
        <f t="shared" si="3"/>
        <v>223.97000000000116</v>
      </c>
      <c r="H40" s="99">
        <f>G40+'8'!H40</f>
        <v>2510.9700000000012</v>
      </c>
      <c r="I40" s="95"/>
      <c r="J40" s="175">
        <f>H40/DAY(B2)</f>
        <v>278.99666666666678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420212</v>
      </c>
      <c r="F41" s="145">
        <v>420212.5</v>
      </c>
      <c r="G41" s="112">
        <f t="shared" si="3"/>
        <v>0.5</v>
      </c>
      <c r="H41" s="99">
        <f>G41+'8'!H41</f>
        <v>-1.0000000009313226E-2</v>
      </c>
      <c r="I41" s="95"/>
      <c r="J41" s="175">
        <f>H41/DAY(B2)</f>
        <v>-1.111111112145914E-3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982309.59</v>
      </c>
      <c r="F42" s="145">
        <v>982309.59</v>
      </c>
      <c r="G42" s="112">
        <f t="shared" si="3"/>
        <v>0</v>
      </c>
      <c r="H42" s="99">
        <f>G42+'8'!H42</f>
        <v>9246.9599999999627</v>
      </c>
      <c r="I42" s="95"/>
      <c r="J42" s="175">
        <f>H42/DAY(B2)</f>
        <v>1027.439999999996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422444</v>
      </c>
      <c r="F43" s="145">
        <v>422444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10361.060000000143</v>
      </c>
      <c r="H47" s="99">
        <f>G47+'8'!H47</f>
        <v>107315.5100000001</v>
      </c>
      <c r="I47" s="95"/>
      <c r="J47" s="175">
        <f>H47/DAY(B2)</f>
        <v>11923.945555555567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827266.79</v>
      </c>
      <c r="F49" s="145">
        <v>827809.91</v>
      </c>
      <c r="G49" s="112">
        <f t="shared" ref="G49:G58" si="4">F49-E49</f>
        <v>543.11999999999534</v>
      </c>
      <c r="H49" s="99">
        <f>G49+'8'!H49</f>
        <v>4897.9100000000326</v>
      </c>
      <c r="I49" s="95"/>
      <c r="J49" s="175">
        <f>H49/DAY(B2)</f>
        <v>544.21222222222582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553295</v>
      </c>
      <c r="F50" s="145">
        <v>554509.71</v>
      </c>
      <c r="G50" s="112">
        <f t="shared" si="4"/>
        <v>1214.7099999999627</v>
      </c>
      <c r="H50" s="99">
        <f>G50+'8'!H50</f>
        <v>12535.709999999963</v>
      </c>
      <c r="I50" s="95"/>
      <c r="J50" s="175">
        <f>H50/DAY(B2)</f>
        <v>1392.8566666666625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156958</v>
      </c>
      <c r="F51" s="145">
        <v>156958.44</v>
      </c>
      <c r="G51" s="112">
        <f t="shared" si="4"/>
        <v>0.44000000000232831</v>
      </c>
      <c r="H51" s="99">
        <f>G51+'8'!H51</f>
        <v>0.44000000000232831</v>
      </c>
      <c r="I51" s="95"/>
      <c r="J51" s="175">
        <f>H51/DAY(B2)</f>
        <v>4.8888888889147587E-2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1457</v>
      </c>
      <c r="F52" s="145">
        <v>1457.43</v>
      </c>
      <c r="G52" s="112">
        <f t="shared" si="4"/>
        <v>0.43000000000006366</v>
      </c>
      <c r="H52" s="99">
        <f>G52+'8'!H52</f>
        <v>0.43000000000006366</v>
      </c>
      <c r="I52" s="95"/>
      <c r="J52" s="175">
        <f>H52/DAY(B2)</f>
        <v>4.7777777777784851E-2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630355</v>
      </c>
      <c r="F53" s="145">
        <v>630355.03</v>
      </c>
      <c r="G53" s="112">
        <f t="shared" si="4"/>
        <v>3.0000000027939677E-2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126565</v>
      </c>
      <c r="F54" s="145">
        <v>126849.42</v>
      </c>
      <c r="G54" s="112">
        <f t="shared" si="4"/>
        <v>284.41999999999825</v>
      </c>
      <c r="H54" s="99">
        <f>G54+'8'!H54</f>
        <v>2735.2099999999919</v>
      </c>
      <c r="I54" s="95"/>
      <c r="J54" s="175">
        <f>H54/DAY(B2)</f>
        <v>303.91222222222132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594304.75</v>
      </c>
      <c r="F55" s="145">
        <v>594304.75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394375</v>
      </c>
      <c r="F56" s="145">
        <v>397754.67</v>
      </c>
      <c r="G56" s="112">
        <f t="shared" si="4"/>
        <v>3379.6699999999837</v>
      </c>
      <c r="H56" s="99">
        <f>G56+'8'!H56</f>
        <v>24634.669999999984</v>
      </c>
      <c r="I56" s="95"/>
      <c r="J56" s="175">
        <f>H56/DAY(B2)</f>
        <v>2737.1855555555539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728371</v>
      </c>
      <c r="F57" s="145">
        <v>730988.79</v>
      </c>
      <c r="G57" s="112">
        <f t="shared" si="4"/>
        <v>2617.7900000000373</v>
      </c>
      <c r="H57" s="99">
        <f>G57+'8'!H57</f>
        <v>23290.790000000037</v>
      </c>
      <c r="I57" s="95"/>
      <c r="J57" s="175">
        <f>H57/DAY(B2)</f>
        <v>2587.8655555555597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96661</v>
      </c>
      <c r="F58" s="145">
        <v>96921.59</v>
      </c>
      <c r="G58" s="112">
        <f t="shared" si="4"/>
        <v>260.58999999999651</v>
      </c>
      <c r="H58" s="99">
        <f>G58+'8'!H58</f>
        <v>2351.7699999999895</v>
      </c>
      <c r="I58" s="95"/>
      <c r="J58" s="175">
        <f>H58/DAY(B2)</f>
        <v>261.30777777777661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8301.2000000000044</v>
      </c>
      <c r="H59" s="99">
        <f>G59+'8'!H59</f>
        <v>70446.929999999993</v>
      </c>
      <c r="I59" s="95">
        <f>G7-G60</f>
        <v>3149.2099999998245</v>
      </c>
      <c r="J59" s="175">
        <f>H59/DAY(B2)</f>
        <v>7827.4366666666656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18662.260000000148</v>
      </c>
      <c r="H60" s="99">
        <f>G60+'8'!H60</f>
        <v>177762.44000000012</v>
      </c>
      <c r="I60" s="95">
        <f>G13-G60</f>
        <v>2569.1399999992937</v>
      </c>
      <c r="J60" s="175">
        <f>H60/DAY(B2)</f>
        <v>19751.382222222237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'8'!F62</f>
        <v>316734</v>
      </c>
      <c r="F62" s="122">
        <v>316743</v>
      </c>
      <c r="G62" s="112">
        <f t="shared" ref="G62:G63" si="5">F62-E62</f>
        <v>9</v>
      </c>
      <c r="H62" s="99">
        <f>G62+'8'!H62</f>
        <v>1066</v>
      </c>
      <c r="I62" s="118"/>
      <c r="J62" s="175">
        <f>H62/DAY(B2)</f>
        <v>118.44444444444444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'8'!F63</f>
        <v>252963</v>
      </c>
      <c r="F63" s="122">
        <v>253008</v>
      </c>
      <c r="G63" s="112">
        <f t="shared" si="5"/>
        <v>45</v>
      </c>
      <c r="H63" s="99">
        <f>G63+'8'!H63</f>
        <v>684</v>
      </c>
      <c r="I63" s="118"/>
      <c r="J63" s="175">
        <f>H63/DAY(B2)</f>
        <v>76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'8'!F64</f>
        <v>0</v>
      </c>
      <c r="F64" s="122">
        <v>0</v>
      </c>
      <c r="G64" s="112">
        <f>G62+G63</f>
        <v>54</v>
      </c>
      <c r="H64" s="99">
        <f>G64+'8'!H64</f>
        <v>1750</v>
      </c>
      <c r="I64" s="118"/>
      <c r="J64" s="175">
        <f>H64/DAY(B2)</f>
        <v>194.44444444444446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'8'!F65</f>
        <v>476985</v>
      </c>
      <c r="F65" s="122">
        <v>477116</v>
      </c>
      <c r="G65" s="112">
        <f t="shared" ref="G65:G70" si="6">F65-E65</f>
        <v>131</v>
      </c>
      <c r="H65" s="99">
        <f>G65+'8'!H65</f>
        <v>1213</v>
      </c>
      <c r="I65" s="118"/>
      <c r="J65" s="175">
        <f>H65/DAY(B2)</f>
        <v>134.77777777777777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114626</v>
      </c>
      <c r="F66" s="122">
        <v>114632</v>
      </c>
      <c r="G66" s="112">
        <f t="shared" si="6"/>
        <v>6</v>
      </c>
      <c r="H66" s="99">
        <f>G66+'8'!H66</f>
        <v>166</v>
      </c>
      <c r="I66" s="118"/>
      <c r="J66" s="175">
        <f>H66/DAY(B2)</f>
        <v>18.444444444444443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117454</v>
      </c>
      <c r="F67" s="122">
        <v>117476</v>
      </c>
      <c r="G67" s="112">
        <f t="shared" si="6"/>
        <v>22</v>
      </c>
      <c r="H67" s="99">
        <f>G67+'8'!H67</f>
        <v>194</v>
      </c>
      <c r="I67" s="118"/>
      <c r="J67" s="175">
        <f>H67/DAY(B2)</f>
        <v>21.555555555555557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170127</v>
      </c>
      <c r="F68" s="122">
        <v>170137</v>
      </c>
      <c r="G68" s="112">
        <f t="shared" si="6"/>
        <v>10</v>
      </c>
      <c r="H68" s="99">
        <f>G68+'8'!H68</f>
        <v>187</v>
      </c>
      <c r="I68" s="118"/>
      <c r="J68" s="175">
        <f>H68/DAY(B2)</f>
        <v>20.777777777777779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13247</v>
      </c>
      <c r="F69" s="122">
        <v>13250</v>
      </c>
      <c r="G69" s="112">
        <f t="shared" si="6"/>
        <v>3</v>
      </c>
      <c r="H69" s="99">
        <f>G69+'8'!H69</f>
        <v>38</v>
      </c>
      <c r="I69" s="118"/>
      <c r="J69" s="175">
        <f>H69/DAY(B2)</f>
        <v>4.2222222222222223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11315</v>
      </c>
      <c r="F70" s="122">
        <v>11322</v>
      </c>
      <c r="G70" s="112">
        <f t="shared" si="6"/>
        <v>7</v>
      </c>
      <c r="H70" s="99">
        <f>G70+'8'!H70</f>
        <v>64</v>
      </c>
      <c r="I70" s="118"/>
      <c r="J70" s="175">
        <f>H70/DAY(B2)</f>
        <v>7.1111111111111107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179</v>
      </c>
      <c r="H71" s="99">
        <f>G71+'8'!H71</f>
        <v>1862</v>
      </c>
      <c r="I71" s="154"/>
      <c r="J71" s="175">
        <f>H71/DAY(B2)</f>
        <v>206.88888888888889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'8'!F74</f>
        <v>14858</v>
      </c>
      <c r="F74" s="117">
        <v>15163.61</v>
      </c>
      <c r="G74" s="112">
        <f t="shared" ref="G74:G78" si="7">F74-E74</f>
        <v>305.61000000000058</v>
      </c>
      <c r="H74" s="99">
        <f>G74+'8'!H74</f>
        <v>2901.6100000000006</v>
      </c>
      <c r="I74" s="154"/>
      <c r="J74" s="175">
        <f>H74/DAY(B2)</f>
        <v>322.40111111111116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'8'!F75</f>
        <v>73587</v>
      </c>
      <c r="F75" s="123">
        <v>73586.8</v>
      </c>
      <c r="G75" s="112">
        <f t="shared" si="7"/>
        <v>-0.19999999999708962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'8'!F76</f>
        <v>211581</v>
      </c>
      <c r="F76" s="123">
        <v>211665</v>
      </c>
      <c r="G76" s="112">
        <f t="shared" si="7"/>
        <v>84</v>
      </c>
      <c r="H76" s="99">
        <f>G76+'8'!H76</f>
        <v>1005</v>
      </c>
      <c r="I76" s="154"/>
      <c r="J76" s="175">
        <f>H76/DAY(B2)</f>
        <v>111.66666666666667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'8'!F77</f>
        <v>60173</v>
      </c>
      <c r="F77" s="123">
        <v>60215</v>
      </c>
      <c r="G77" s="112">
        <f t="shared" si="7"/>
        <v>42</v>
      </c>
      <c r="H77" s="99">
        <f>G77+'8'!H77</f>
        <v>454</v>
      </c>
      <c r="I77" s="154"/>
      <c r="J77" s="175">
        <f>H77/DAY(B2)</f>
        <v>50.444444444444443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v>9564</v>
      </c>
      <c r="F78" s="123">
        <v>9564</v>
      </c>
      <c r="G78" s="112">
        <f t="shared" si="7"/>
        <v>0</v>
      </c>
      <c r="H78" s="99">
        <f>G78+'8'!H78</f>
        <v>0.5</v>
      </c>
      <c r="I78" s="118"/>
      <c r="J78" s="175">
        <f>H78/DAY(B2)</f>
        <v>5.5555555555555552E-2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'8'!F79</f>
        <v>0</v>
      </c>
      <c r="F79" s="117"/>
      <c r="G79" s="112">
        <f>G15-SUM(G74:G78)</f>
        <v>731.34999999977299</v>
      </c>
      <c r="H79" s="99">
        <f>G79+'8'!H79</f>
        <v>5907.9349999999249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1162.7599999997765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43546</v>
      </c>
      <c r="F84" s="164">
        <v>43546</v>
      </c>
      <c r="G84" s="112">
        <f t="shared" si="8"/>
        <v>0</v>
      </c>
      <c r="H84" s="99">
        <f>G84+'8'!H84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6258</v>
      </c>
      <c r="F85" s="164">
        <v>6258</v>
      </c>
      <c r="G85" s="112">
        <f t="shared" si="8"/>
        <v>0</v>
      </c>
      <c r="H85" s="99">
        <f>G85+'8'!H85</f>
        <v>45</v>
      </c>
      <c r="I85" s="543"/>
      <c r="J85" s="175">
        <f>H85/DAY(B2)</f>
        <v>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46971</v>
      </c>
      <c r="F86" s="164">
        <v>46971</v>
      </c>
      <c r="G86" s="112">
        <f t="shared" si="8"/>
        <v>0</v>
      </c>
      <c r="H86" s="99">
        <f>G86+'8'!H86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37514</v>
      </c>
      <c r="F87" s="164">
        <v>37538.47</v>
      </c>
      <c r="G87" s="112">
        <f t="shared" si="8"/>
        <v>24.470000000001164</v>
      </c>
      <c r="H87" s="99">
        <f>G87+'8'!H87</f>
        <v>174.47000000000116</v>
      </c>
      <c r="I87" s="542">
        <f>G84+G85+G86+G87</f>
        <v>24.470000000001164</v>
      </c>
      <c r="J87" s="175">
        <f>H87/DAY(B2)</f>
        <v>19.385555555555683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24818.49</v>
      </c>
      <c r="F88" s="164">
        <v>24822.85</v>
      </c>
      <c r="G88" s="112">
        <f t="shared" si="8"/>
        <v>4.3599999999969441</v>
      </c>
      <c r="H88" s="99">
        <f>G88+'8'!H88</f>
        <v>60.849999999998545</v>
      </c>
      <c r="I88" s="542"/>
      <c r="J88" s="175">
        <f>H88/DAY(B2)</f>
        <v>6.7611111111109494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29083.5</v>
      </c>
      <c r="F89" s="164">
        <v>29094.23</v>
      </c>
      <c r="G89" s="112">
        <f t="shared" si="8"/>
        <v>10.729999999999563</v>
      </c>
      <c r="H89" s="99">
        <f>G89+'8'!H89</f>
        <v>66.229999999999563</v>
      </c>
      <c r="I89" s="542">
        <f>G88+G89</f>
        <v>15.089999999996508</v>
      </c>
      <c r="J89" s="175">
        <f>H89/DAY(B2)</f>
        <v>7.3588888888888402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74506.429999999993</v>
      </c>
      <c r="F90" s="164">
        <v>74515.13</v>
      </c>
      <c r="G90" s="112">
        <f t="shared" si="8"/>
        <v>8.7000000000116415</v>
      </c>
      <c r="H90" s="99">
        <f>G90+'8'!H90</f>
        <v>67.130000000004657</v>
      </c>
      <c r="I90" s="542">
        <f>G90</f>
        <v>8.7000000000116415</v>
      </c>
      <c r="J90" s="175">
        <f>H90/DAY(B2)</f>
        <v>7.4588888888894065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5680.89</v>
      </c>
      <c r="F91" s="122">
        <v>5693.3</v>
      </c>
      <c r="G91" s="112">
        <f t="shared" si="8"/>
        <v>12.409999999999854</v>
      </c>
      <c r="H91" s="99">
        <f>G91+'8'!H91</f>
        <v>75.090000000000146</v>
      </c>
      <c r="I91" s="551"/>
      <c r="J91" s="175">
        <f>H91/DAY(B2)</f>
        <v>8.3433333333333497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7466.87</v>
      </c>
      <c r="F92" s="122">
        <v>7466.87</v>
      </c>
      <c r="G92" s="112">
        <f t="shared" si="8"/>
        <v>0</v>
      </c>
      <c r="H92" s="99">
        <f>G92+'8'!H92</f>
        <v>34.590000000000146</v>
      </c>
      <c r="I92" s="552">
        <f>G91+G92</f>
        <v>12.409999999999854</v>
      </c>
      <c r="J92" s="175">
        <f>H92/DAY(B2)</f>
        <v>3.8433333333333497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5704.0600000000559</v>
      </c>
      <c r="H94" s="99">
        <f>G94+'8'!H94</f>
        <v>51318.850000000093</v>
      </c>
      <c r="I94" s="118"/>
      <c r="J94" s="175">
        <f>H94/DAY(B2)</f>
        <v>5702.0944444444549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0.26151653235660244</v>
      </c>
      <c r="H95" s="99">
        <f>G95+'8'!H95</f>
        <v>2.2846887996585412</v>
      </c>
      <c r="I95" s="167"/>
      <c r="J95" s="175">
        <f>H95/DAY(B2)</f>
        <v>0.25385431107317125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3380.1699999999837</v>
      </c>
      <c r="H96" s="99">
        <f>G96+'8'!H96</f>
        <v>33881.619999999937</v>
      </c>
      <c r="I96" s="118"/>
      <c r="J96" s="175">
        <f>H96/DAY(B2)</f>
        <v>3764.6244444444374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0.15497213163532711</v>
      </c>
      <c r="H97" s="99">
        <f>G97+'8'!H97</f>
        <v>1.5106079882839742</v>
      </c>
      <c r="I97" s="167"/>
      <c r="J97" s="175">
        <f>H97/DAY(B2)</f>
        <v>0.16784533203155269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2782.3400000000838</v>
      </c>
      <c r="H98" s="99">
        <f>G98+'8'!H98</f>
        <v>25538.310000000056</v>
      </c>
      <c r="I98" s="168"/>
      <c r="J98" s="175">
        <f>H98/DAY(B2)</f>
        <v>2837.5900000000061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0.12756315828323755</v>
      </c>
      <c r="H99" s="99">
        <f>G99+'8'!H99</f>
        <v>1.1373514448725446</v>
      </c>
      <c r="I99" s="168"/>
      <c r="J99" s="175">
        <f>H99/DAY(B2)</f>
        <v>0.12637238276361606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2435.8600000000515</v>
      </c>
      <c r="H100" s="99">
        <f>G100+'8'!H100</f>
        <v>24312.860000000052</v>
      </c>
      <c r="I100" s="118"/>
      <c r="J100" s="175">
        <f>H100/DAY(B2)</f>
        <v>2701.4288888888946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0.11167793825909279</v>
      </c>
      <c r="H101" s="99">
        <f>G101+'8'!H101</f>
        <v>1.0822448170567984</v>
      </c>
      <c r="I101" s="168"/>
      <c r="J101" s="175">
        <f>H101/DAY(B2)</f>
        <v>0.12024942411742205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2202.2599999999511</v>
      </c>
      <c r="H102" s="99">
        <f>G102+'8'!H102</f>
        <v>21841.259999999951</v>
      </c>
      <c r="I102" s="168"/>
      <c r="J102" s="175">
        <f>H102/DAY(B2)</f>
        <v>2426.8066666666614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0.1009679769405709</v>
      </c>
      <c r="H103" s="99">
        <f>G103+'8'!H103</f>
        <v>0.97074630037453946</v>
      </c>
      <c r="I103" s="118"/>
      <c r="J103" s="175">
        <f>H103/DAY(B2)</f>
        <v>0.10786070004161549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1388.5900000000256</v>
      </c>
      <c r="H104" s="99">
        <f>G104+'8'!H104</f>
        <v>13271.590000000026</v>
      </c>
      <c r="I104" s="118"/>
      <c r="J104" s="175">
        <f>H104/DAY(B2)</f>
        <v>1474.621111111114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6.3663292753767961E-2</v>
      </c>
      <c r="H105" s="99">
        <f>G105+'8'!H105</f>
        <v>0.5908438633671993</v>
      </c>
      <c r="I105" s="187"/>
      <c r="J105" s="188">
        <f>H105/DAY(B2)</f>
        <v>6.5649318151911037E-2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'8'!F112</f>
        <v>19886</v>
      </c>
      <c r="F112" s="237">
        <v>19948.45</v>
      </c>
      <c r="G112" s="112">
        <f t="shared" ref="G112:G123" si="9">F112-E112</f>
        <v>62.450000000000728</v>
      </c>
      <c r="H112" s="99">
        <f>G112+'8'!H112</f>
        <v>551.45000000000073</v>
      </c>
      <c r="I112" s="165"/>
      <c r="J112" s="328">
        <f>H112/DAY(B2)</f>
        <v>61.272222222222304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'8'!F113</f>
        <v>42685</v>
      </c>
      <c r="F113" s="237">
        <v>42830.59</v>
      </c>
      <c r="G113" s="112">
        <f t="shared" si="9"/>
        <v>145.58999999999651</v>
      </c>
      <c r="H113" s="99">
        <f>G113+'8'!H113</f>
        <v>1310.6399999999994</v>
      </c>
      <c r="I113" s="165"/>
      <c r="J113" s="328">
        <f>H113/DAY(B2)</f>
        <v>145.62666666666661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'8'!F114</f>
        <v>63010</v>
      </c>
      <c r="F114" s="237">
        <v>63240</v>
      </c>
      <c r="G114" s="112">
        <f t="shared" si="9"/>
        <v>230</v>
      </c>
      <c r="H114" s="99">
        <f>G114+'8'!H114</f>
        <v>2022</v>
      </c>
      <c r="I114" s="165"/>
      <c r="J114" s="328">
        <f>H114/DAY(B2)</f>
        <v>224.66666666666666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'8'!F115</f>
        <v>40660</v>
      </c>
      <c r="F115" s="237">
        <v>40782</v>
      </c>
      <c r="G115" s="112">
        <f t="shared" si="9"/>
        <v>122</v>
      </c>
      <c r="H115" s="99">
        <f>G115+'8'!H115</f>
        <v>1323</v>
      </c>
      <c r="I115" s="165"/>
      <c r="J115" s="328">
        <f>H115/DAY(B2)</f>
        <v>147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'8'!F116</f>
        <v>151698</v>
      </c>
      <c r="F116" s="237">
        <v>152144</v>
      </c>
      <c r="G116" s="112">
        <f t="shared" si="9"/>
        <v>446</v>
      </c>
      <c r="H116" s="99">
        <f>G116+'8'!H116</f>
        <v>4214</v>
      </c>
      <c r="I116" s="165"/>
      <c r="J116" s="328">
        <f>H116/DAY(B2)</f>
        <v>468.22222222222223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405">
        <f>'8'!F117</f>
        <v>94061</v>
      </c>
      <c r="F117" s="416">
        <v>94322</v>
      </c>
      <c r="G117" s="236">
        <f t="shared" si="9"/>
        <v>261</v>
      </c>
      <c r="H117" s="99">
        <f>G117+'8'!H117</f>
        <v>2332.6009999999951</v>
      </c>
      <c r="I117" s="165"/>
      <c r="J117" s="328">
        <f>H117/DAY(B2)</f>
        <v>259.17788888888833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405">
        <f>'8'!F118</f>
        <v>183078</v>
      </c>
      <c r="F118" s="416">
        <v>183789</v>
      </c>
      <c r="G118" s="236">
        <f t="shared" si="9"/>
        <v>711</v>
      </c>
      <c r="H118" s="99">
        <f>G118+'8'!H118</f>
        <v>6256.4700000000012</v>
      </c>
      <c r="I118" s="165"/>
      <c r="J118" s="328">
        <f>H118/DAY(B2)</f>
        <v>695.16333333333341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405">
        <f>'8'!F119</f>
        <v>45556</v>
      </c>
      <c r="F119" s="416">
        <v>45616</v>
      </c>
      <c r="G119" s="236">
        <f t="shared" si="9"/>
        <v>60</v>
      </c>
      <c r="H119" s="99">
        <f>G119+'8'!H119</f>
        <v>423</v>
      </c>
      <c r="I119" s="165"/>
      <c r="J119" s="328">
        <f>H119/DAY(B2)</f>
        <v>47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'8'!F120</f>
        <v>123508</v>
      </c>
      <c r="F120" s="237">
        <v>123872</v>
      </c>
      <c r="G120" s="112">
        <f t="shared" si="9"/>
        <v>364</v>
      </c>
      <c r="H120" s="99">
        <f>G120+'8'!H120</f>
        <v>3428</v>
      </c>
      <c r="I120" s="165"/>
      <c r="J120" s="328">
        <f>H120/DAY(B2)</f>
        <v>380.88888888888891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'8'!F121</f>
        <v>137975</v>
      </c>
      <c r="F121" s="237">
        <v>138387</v>
      </c>
      <c r="G121" s="112">
        <f t="shared" si="9"/>
        <v>412</v>
      </c>
      <c r="H121" s="99">
        <f>G121+'8'!H121</f>
        <v>3824</v>
      </c>
      <c r="I121" s="165"/>
      <c r="J121" s="328">
        <f>H121/DAY(B2)</f>
        <v>424.88888888888891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'8'!F122</f>
        <v>93356</v>
      </c>
      <c r="F122" s="237">
        <v>93664</v>
      </c>
      <c r="G122" s="112">
        <f t="shared" si="9"/>
        <v>308</v>
      </c>
      <c r="H122" s="99">
        <f>G122+'8'!H122</f>
        <v>2787</v>
      </c>
      <c r="I122" s="165"/>
      <c r="J122" s="328">
        <f>H122/DAY(B2)</f>
        <v>309.66666666666669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'8'!F123</f>
        <v>90037</v>
      </c>
      <c r="F123" s="237">
        <v>90343.6</v>
      </c>
      <c r="G123" s="112">
        <f t="shared" si="9"/>
        <v>306.60000000000582</v>
      </c>
      <c r="H123" s="99">
        <f>G123+'8'!H123</f>
        <v>2764.6000000000058</v>
      </c>
      <c r="I123" s="165"/>
      <c r="J123" s="328">
        <f>H123/DAY(B2)</f>
        <v>307.17777777777843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3428.6400000000031</v>
      </c>
      <c r="H125" s="156"/>
      <c r="I125" s="327">
        <f>G125-(G39+G53)</f>
        <v>646.29999999991924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'8'!F128</f>
        <v>211292</v>
      </c>
      <c r="F128" s="155">
        <v>211788</v>
      </c>
      <c r="G128" s="112">
        <f t="shared" ref="G128:G134" si="10">F128-E128</f>
        <v>496</v>
      </c>
      <c r="H128" s="99">
        <f>G128+'8'!H128</f>
        <v>4499</v>
      </c>
      <c r="I128" s="165"/>
      <c r="J128" s="328">
        <f>H128/DAY(B2)</f>
        <v>499.88888888888891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1658</v>
      </c>
      <c r="F129" s="155">
        <v>1788</v>
      </c>
      <c r="G129" s="112">
        <f t="shared" si="10"/>
        <v>130</v>
      </c>
      <c r="H129" s="99">
        <f>G129+'8'!H129</f>
        <v>1054</v>
      </c>
      <c r="I129" s="165"/>
      <c r="J129" s="328">
        <f>H129/DAY(B2)</f>
        <v>117.11111111111111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292470</v>
      </c>
      <c r="F130" s="155">
        <v>293112</v>
      </c>
      <c r="G130" s="112">
        <f t="shared" si="10"/>
        <v>642</v>
      </c>
      <c r="H130" s="99">
        <f>G130+'8'!H130</f>
        <v>4390</v>
      </c>
      <c r="I130" s="165"/>
      <c r="J130" s="328">
        <f>H130/DAY(B2)</f>
        <v>487.77777777777777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'8'!F131</f>
        <v>86316</v>
      </c>
      <c r="F131" s="155">
        <v>86506</v>
      </c>
      <c r="G131" s="112">
        <f t="shared" si="10"/>
        <v>190</v>
      </c>
      <c r="H131" s="99">
        <f>G131+'8'!H131</f>
        <v>1802.1699999999983</v>
      </c>
      <c r="I131" s="165"/>
      <c r="J131" s="328">
        <f>H131/DAY(B2)</f>
        <v>200.24111111111091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'8'!F132</f>
        <v>69977</v>
      </c>
      <c r="F132" s="155">
        <v>70294</v>
      </c>
      <c r="G132" s="112">
        <f t="shared" si="10"/>
        <v>317</v>
      </c>
      <c r="H132" s="99">
        <f>G132+'8'!H132</f>
        <v>2847</v>
      </c>
      <c r="I132" s="165"/>
      <c r="J132" s="328">
        <f>H132/DAY(B2)</f>
        <v>316.33333333333331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'8'!F133</f>
        <v>954455</v>
      </c>
      <c r="F133" s="155">
        <v>954999</v>
      </c>
      <c r="G133" s="112">
        <f t="shared" si="10"/>
        <v>544</v>
      </c>
      <c r="H133" s="99">
        <f>G133+'8'!H133</f>
        <v>4852</v>
      </c>
      <c r="I133" s="165"/>
      <c r="J133" s="328">
        <f>H133/DAY(B2)</f>
        <v>539.11111111111109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'8'!F134</f>
        <v>95296</v>
      </c>
      <c r="F134" s="155">
        <v>95557</v>
      </c>
      <c r="G134" s="112">
        <f t="shared" si="10"/>
        <v>261</v>
      </c>
      <c r="H134" s="99">
        <f>G134+'8'!H134</f>
        <v>2323.5</v>
      </c>
      <c r="I134" s="165"/>
      <c r="J134" s="328">
        <f>H134/DAY(B2)</f>
        <v>258.16666666666669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2580</v>
      </c>
      <c r="H135" s="99">
        <f>G135+'8'!H135</f>
        <v>21767.67</v>
      </c>
      <c r="I135" s="327">
        <f>G135-(G35+G49)</f>
        <v>-506.27000000001863</v>
      </c>
      <c r="J135" s="328">
        <f>H135/DAY(B2)</f>
        <v>2418.6299999999997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'8'!F138</f>
        <v>913876</v>
      </c>
      <c r="F138" s="147">
        <v>913989</v>
      </c>
      <c r="G138" s="112">
        <f t="shared" ref="G138:G152" si="11">F138-E138</f>
        <v>113</v>
      </c>
      <c r="H138" s="99">
        <f>G138+'8'!H138</f>
        <v>1078</v>
      </c>
      <c r="I138" s="118"/>
      <c r="J138" s="328">
        <f>H138/DAY(B2)</f>
        <v>119.77777777777777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'8'!F139</f>
        <v>938445</v>
      </c>
      <c r="F139" s="148">
        <v>938603</v>
      </c>
      <c r="G139" s="112">
        <f t="shared" si="11"/>
        <v>158</v>
      </c>
      <c r="H139" s="99">
        <f>G139+'8'!H139</f>
        <v>1345</v>
      </c>
      <c r="I139" s="118"/>
      <c r="J139" s="328">
        <f>H139/DAY(B2)</f>
        <v>149.44444444444446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'8'!F140</f>
        <v>5014</v>
      </c>
      <c r="F140" s="149">
        <v>5046</v>
      </c>
      <c r="G140" s="112">
        <f t="shared" si="11"/>
        <v>32</v>
      </c>
      <c r="H140" s="99">
        <f>G140+'8'!H140</f>
        <v>282</v>
      </c>
      <c r="I140" s="118"/>
      <c r="J140" s="328">
        <f>H140/DAY(B2)</f>
        <v>31.333333333333332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'8'!F141</f>
        <v>133266</v>
      </c>
      <c r="F141" s="149">
        <v>133520</v>
      </c>
      <c r="G141" s="112">
        <f t="shared" si="11"/>
        <v>254</v>
      </c>
      <c r="H141" s="99">
        <f>G141+'8'!H141</f>
        <v>2200</v>
      </c>
      <c r="I141" s="118"/>
      <c r="J141" s="328">
        <f>H141/DAY(B2)</f>
        <v>244.44444444444446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'8'!F142</f>
        <v>53934</v>
      </c>
      <c r="F142" s="148">
        <v>54024</v>
      </c>
      <c r="G142" s="112">
        <f t="shared" si="11"/>
        <v>90</v>
      </c>
      <c r="H142" s="99">
        <f>G142+'8'!H142</f>
        <v>833</v>
      </c>
      <c r="I142" s="140"/>
      <c r="J142" s="328">
        <f>H142/DAY(B2)</f>
        <v>92.555555555555557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'8'!F143</f>
        <v>14575</v>
      </c>
      <c r="F143" s="149">
        <v>14607</v>
      </c>
      <c r="G143" s="112">
        <f t="shared" si="11"/>
        <v>32</v>
      </c>
      <c r="H143" s="99">
        <f>G143+'8'!H143</f>
        <v>295</v>
      </c>
      <c r="I143" s="140"/>
      <c r="J143" s="328">
        <f>H143/DAY(B2)</f>
        <v>32.777777777777779</v>
      </c>
    </row>
    <row r="144" spans="1:15" ht="25.5">
      <c r="A144" s="865" t="s">
        <v>90</v>
      </c>
      <c r="B144" s="865"/>
      <c r="C144" s="865"/>
      <c r="D144" s="151" t="s">
        <v>183</v>
      </c>
      <c r="E144" s="405">
        <f>'8'!F144</f>
        <v>965432</v>
      </c>
      <c r="F144" s="148">
        <v>965669</v>
      </c>
      <c r="G144" s="112">
        <f t="shared" si="11"/>
        <v>237</v>
      </c>
      <c r="H144" s="99">
        <f>G144+'8'!H144</f>
        <v>2443</v>
      </c>
      <c r="I144" s="140"/>
      <c r="J144" s="328">
        <f>H144/DAY(B2)</f>
        <v>271.44444444444446</v>
      </c>
    </row>
    <row r="145" spans="1:10" ht="25.5">
      <c r="A145" s="882" t="s">
        <v>190</v>
      </c>
      <c r="B145" s="882"/>
      <c r="C145" s="882"/>
      <c r="D145" s="152" t="s">
        <v>183</v>
      </c>
      <c r="E145" s="405">
        <f>'8'!F145</f>
        <v>752365</v>
      </c>
      <c r="F145" s="148">
        <v>752659</v>
      </c>
      <c r="G145" s="112">
        <f t="shared" si="11"/>
        <v>294</v>
      </c>
      <c r="H145" s="99">
        <f>G145+'8'!H145</f>
        <v>1926</v>
      </c>
      <c r="I145" s="140"/>
      <c r="J145" s="328">
        <f>H145/DAY(B2)</f>
        <v>214</v>
      </c>
    </row>
    <row r="146" spans="1:10" ht="25.5">
      <c r="A146" s="916" t="s">
        <v>191</v>
      </c>
      <c r="B146" s="902"/>
      <c r="C146" s="903"/>
      <c r="D146" s="152" t="s">
        <v>183</v>
      </c>
      <c r="E146" s="405">
        <f>'8'!F146</f>
        <v>789358</v>
      </c>
      <c r="F146" s="148">
        <v>789386</v>
      </c>
      <c r="G146" s="112">
        <f t="shared" si="11"/>
        <v>28</v>
      </c>
      <c r="H146" s="99">
        <f>G146+'8'!H146</f>
        <v>361</v>
      </c>
      <c r="I146" s="140"/>
      <c r="J146" s="328">
        <f>H146/DAY(B2)</f>
        <v>40.111111111111114</v>
      </c>
    </row>
    <row r="147" spans="1:10" ht="25.5">
      <c r="A147" s="865" t="s">
        <v>192</v>
      </c>
      <c r="B147" s="865"/>
      <c r="C147" s="865"/>
      <c r="D147" s="152" t="s">
        <v>183</v>
      </c>
      <c r="E147" s="405">
        <f>'8'!F147</f>
        <v>774673</v>
      </c>
      <c r="F147" s="148">
        <v>775013</v>
      </c>
      <c r="G147" s="112">
        <f t="shared" si="11"/>
        <v>340</v>
      </c>
      <c r="H147" s="99">
        <f>G147+'8'!H147</f>
        <v>3356.1199999999953</v>
      </c>
      <c r="I147" s="140"/>
      <c r="J147" s="328">
        <f>H147/DAY(B2)</f>
        <v>372.90222222222172</v>
      </c>
    </row>
    <row r="148" spans="1:10" ht="25.5">
      <c r="A148" s="866" t="s">
        <v>193</v>
      </c>
      <c r="B148" s="867"/>
      <c r="C148" s="868"/>
      <c r="D148" s="123" t="s">
        <v>130</v>
      </c>
      <c r="E148" s="405">
        <f>'8'!F148</f>
        <v>809671</v>
      </c>
      <c r="F148" s="164">
        <v>810005</v>
      </c>
      <c r="G148" s="112">
        <f t="shared" si="11"/>
        <v>334</v>
      </c>
      <c r="H148" s="99">
        <f>G148+'8'!H148</f>
        <v>3184.7600000000093</v>
      </c>
      <c r="I148" s="124"/>
      <c r="J148" s="328">
        <f>H148/DAY(B2)</f>
        <v>353.86222222222324</v>
      </c>
    </row>
    <row r="149" spans="1:10" ht="25.5">
      <c r="A149" s="866" t="s">
        <v>336</v>
      </c>
      <c r="B149" s="867"/>
      <c r="C149" s="868"/>
      <c r="D149" s="227" t="s">
        <v>130</v>
      </c>
      <c r="E149" s="405">
        <f>'8'!F149</f>
        <v>221451</v>
      </c>
      <c r="F149" s="415">
        <v>221819</v>
      </c>
      <c r="G149" s="112">
        <f t="shared" si="11"/>
        <v>368</v>
      </c>
      <c r="H149" s="99">
        <f>G149+'8'!H149</f>
        <v>4923</v>
      </c>
      <c r="I149" s="119"/>
      <c r="J149" s="328">
        <f>H149/DAY(B2)</f>
        <v>547</v>
      </c>
    </row>
    <row r="150" spans="1:10" ht="25.5">
      <c r="A150" s="866" t="s">
        <v>337</v>
      </c>
      <c r="B150" s="867"/>
      <c r="C150" s="868"/>
      <c r="D150" s="117" t="s">
        <v>130</v>
      </c>
      <c r="E150" s="405">
        <f>'8'!F150</f>
        <v>94323</v>
      </c>
      <c r="F150" s="233">
        <v>94542</v>
      </c>
      <c r="G150" s="112">
        <f t="shared" si="11"/>
        <v>219</v>
      </c>
      <c r="H150" s="99">
        <f>G150+'8'!H150</f>
        <v>1377</v>
      </c>
      <c r="I150" s="119"/>
      <c r="J150" s="328">
        <f>H150/DAY(B2)</f>
        <v>153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'8'!F151</f>
        <v>178823</v>
      </c>
      <c r="F151" s="233">
        <v>179190</v>
      </c>
      <c r="G151" s="112">
        <f t="shared" si="11"/>
        <v>367</v>
      </c>
      <c r="H151" s="99">
        <f>G151+'8'!H151</f>
        <v>3015</v>
      </c>
      <c r="I151" s="119"/>
      <c r="J151" s="328">
        <f>H151/DAY(B2)</f>
        <v>335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'8'!F152</f>
        <v>47691</v>
      </c>
      <c r="F152" s="233">
        <v>47828</v>
      </c>
      <c r="G152" s="112">
        <f t="shared" si="11"/>
        <v>137</v>
      </c>
      <c r="H152" s="99">
        <f>G152+'8'!H152</f>
        <v>1196</v>
      </c>
      <c r="I152" s="119"/>
      <c r="J152" s="328">
        <f>H152/DAY(B2)</f>
        <v>132.88888888888889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3003</v>
      </c>
      <c r="H153" s="363"/>
      <c r="I153" s="119">
        <f>G153-(G38+G52)</f>
        <v>567.13999999994849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'8'!F155</f>
        <v>260854</v>
      </c>
      <c r="F155" s="374">
        <v>261423</v>
      </c>
      <c r="G155" s="112">
        <f t="shared" ref="G155:G158" si="12">F155-E155</f>
        <v>569</v>
      </c>
      <c r="H155" s="99">
        <f>G155+'8'!H155</f>
        <v>5071</v>
      </c>
      <c r="I155" s="364"/>
      <c r="J155" s="328">
        <f>H155/DAY(B2)</f>
        <v>563.44444444444446</v>
      </c>
    </row>
    <row r="156" spans="1:10" ht="25.5">
      <c r="A156" s="865" t="s">
        <v>346</v>
      </c>
      <c r="B156" s="865"/>
      <c r="C156" s="865"/>
      <c r="D156" s="117" t="s">
        <v>130</v>
      </c>
      <c r="E156" s="95">
        <f>'8'!F156</f>
        <v>33341</v>
      </c>
      <c r="F156" s="155">
        <v>33439</v>
      </c>
      <c r="G156" s="112">
        <f t="shared" si="12"/>
        <v>98</v>
      </c>
      <c r="H156" s="99">
        <f>G156+'8'!H156</f>
        <v>880</v>
      </c>
      <c r="I156" s="165"/>
      <c r="J156" s="328">
        <f>H156/DAY(B2)</f>
        <v>97.777777777777771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'8'!F157</f>
        <v>2272</v>
      </c>
      <c r="F157" s="155">
        <v>2350</v>
      </c>
      <c r="G157" s="112">
        <f t="shared" si="12"/>
        <v>78</v>
      </c>
      <c r="H157" s="99">
        <f>G157+'8'!H157</f>
        <v>458</v>
      </c>
      <c r="I157" s="165"/>
      <c r="J157" s="328">
        <f>H157/DAY(B2)</f>
        <v>50.888888888888886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'8'!F158</f>
        <v>1788</v>
      </c>
      <c r="F158" s="155">
        <v>1788</v>
      </c>
      <c r="G158" s="112">
        <f t="shared" si="12"/>
        <v>0</v>
      </c>
      <c r="H158" s="99">
        <f>G158+'8'!H158</f>
        <v>5</v>
      </c>
      <c r="I158" s="165"/>
      <c r="J158" s="328">
        <f>H158/DAY(B2)</f>
        <v>0.55555555555555558</v>
      </c>
    </row>
    <row r="159" spans="1:10" ht="25.5">
      <c r="A159" s="946"/>
      <c r="B159" s="947"/>
      <c r="C159" s="948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513562</v>
      </c>
      <c r="F161" s="235">
        <v>513757</v>
      </c>
      <c r="G161" s="238">
        <f t="shared" ref="G161:G166" si="13">F161-E161</f>
        <v>195</v>
      </c>
      <c r="H161" s="99">
        <f>G161+'8'!H161</f>
        <v>1312</v>
      </c>
      <c r="I161" s="236"/>
      <c r="J161" s="239">
        <f>H161/DAY(B2)</f>
        <v>145.77777777777777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2060</v>
      </c>
      <c r="F162" s="235">
        <v>2089</v>
      </c>
      <c r="G162" s="238">
        <f t="shared" si="13"/>
        <v>29</v>
      </c>
      <c r="H162" s="99">
        <f>G162+'8'!H162</f>
        <v>302</v>
      </c>
      <c r="I162" s="236"/>
      <c r="J162" s="239">
        <f>H162/DAY(B2)</f>
        <v>33.555555555555557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0</v>
      </c>
      <c r="F163" s="235">
        <v>0</v>
      </c>
      <c r="G163" s="238">
        <f t="shared" si="13"/>
        <v>0</v>
      </c>
      <c r="H163" s="99">
        <f>G163+'8'!H163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7368.5</v>
      </c>
      <c r="F164" s="235">
        <v>7371</v>
      </c>
      <c r="G164" s="238">
        <f t="shared" si="13"/>
        <v>2.5</v>
      </c>
      <c r="H164" s="99">
        <f>G164+'8'!H164</f>
        <v>34</v>
      </c>
      <c r="I164" s="236"/>
      <c r="J164" s="239">
        <f>H164/DAY(B2)</f>
        <v>3.7777777777777777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33032</v>
      </c>
      <c r="F165" s="235">
        <v>33040</v>
      </c>
      <c r="G165" s="238">
        <f t="shared" si="13"/>
        <v>8</v>
      </c>
      <c r="H165" s="99">
        <f>G165+'8'!H165</f>
        <v>65.480000000003201</v>
      </c>
      <c r="I165" s="236"/>
      <c r="J165" s="239">
        <f>H165/DAY(B2)</f>
        <v>7.2755555555559113</v>
      </c>
    </row>
    <row r="166" spans="1:10" ht="26.25">
      <c r="A166" s="872"/>
      <c r="B166" s="87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'8'!F173</f>
        <v>8619</v>
      </c>
      <c r="F173" s="155">
        <v>8622</v>
      </c>
      <c r="G173" s="155">
        <f>F173-E173</f>
        <v>3</v>
      </c>
      <c r="H173" s="99">
        <f>G173+'8'!H173</f>
        <v>10</v>
      </c>
      <c r="I173" s="155"/>
      <c r="J173" s="178">
        <f>H173/DAY(B2)</f>
        <v>1.1111111111111112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'8'!F174</f>
        <v>43502</v>
      </c>
      <c r="F174" s="157">
        <v>43513</v>
      </c>
      <c r="G174" s="155">
        <f t="shared" ref="G174:G175" si="14">F174-E174</f>
        <v>11</v>
      </c>
      <c r="H174" s="99">
        <f>G174+'8'!H174</f>
        <v>99</v>
      </c>
      <c r="I174" s="155"/>
      <c r="J174" s="178">
        <f>H174/DAY(B2)</f>
        <v>11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'8'!F175</f>
        <v>26399</v>
      </c>
      <c r="F175" s="155">
        <v>26416</v>
      </c>
      <c r="G175" s="155">
        <f t="shared" si="14"/>
        <v>17</v>
      </c>
      <c r="H175" s="99">
        <f>G175+'8'!H175</f>
        <v>129</v>
      </c>
      <c r="I175" s="155"/>
      <c r="J175" s="178">
        <f>H175/DAY(B2)</f>
        <v>14.333333333333334</v>
      </c>
    </row>
    <row r="176" spans="1:10" ht="25.5">
      <c r="A176" s="788" t="s">
        <v>196</v>
      </c>
      <c r="B176" s="789"/>
      <c r="C176" s="333"/>
      <c r="D176" s="228" t="s">
        <v>142</v>
      </c>
      <c r="E176" s="95"/>
      <c r="F176" s="155"/>
      <c r="G176" s="155">
        <f>SUM(G173:G175)</f>
        <v>31</v>
      </c>
      <c r="H176" s="99">
        <f>G176+'8'!H176</f>
        <v>238</v>
      </c>
      <c r="I176" s="155"/>
      <c r="J176" s="178">
        <f>H176/DAY(B2)</f>
        <v>26.444444444444443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'8'!F178</f>
        <v>111284</v>
      </c>
      <c r="F178" s="155">
        <v>111377</v>
      </c>
      <c r="G178" s="155">
        <f>F178-E178</f>
        <v>93</v>
      </c>
      <c r="H178" s="99">
        <f>G178+'8'!H178</f>
        <v>986</v>
      </c>
      <c r="I178" s="155"/>
      <c r="J178" s="178">
        <f>H178/DAY(B2)</f>
        <v>109.55555555555556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'8'!F179</f>
        <v>37501</v>
      </c>
      <c r="F179" s="155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790" t="s">
        <v>212</v>
      </c>
      <c r="B180" s="791"/>
      <c r="C180" s="333"/>
      <c r="D180" s="228" t="s">
        <v>142</v>
      </c>
      <c r="E180" s="95">
        <f>'8'!F180</f>
        <v>7740</v>
      </c>
      <c r="F180" s="155">
        <v>7745</v>
      </c>
      <c r="G180" s="155">
        <f t="shared" si="15"/>
        <v>5</v>
      </c>
      <c r="H180" s="99">
        <f>G180+'8'!H180</f>
        <v>44</v>
      </c>
      <c r="I180" s="155"/>
      <c r="J180" s="178">
        <f>H180/DAY(B2)</f>
        <v>4.8888888888888893</v>
      </c>
    </row>
    <row r="181" spans="1:10" ht="25.5">
      <c r="A181" s="878" t="s">
        <v>108</v>
      </c>
      <c r="B181" s="879"/>
      <c r="C181" s="333"/>
      <c r="D181" s="228" t="s">
        <v>142</v>
      </c>
      <c r="E181" s="95"/>
      <c r="F181" s="155"/>
      <c r="G181" s="155">
        <f>SUM(G178:G180)</f>
        <v>98</v>
      </c>
      <c r="H181" s="99">
        <f>G181+'8'!H181</f>
        <v>1030</v>
      </c>
      <c r="I181" s="155"/>
      <c r="J181" s="178">
        <f>H181/DAY(B2)</f>
        <v>114.44444444444444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'8'!F183</f>
        <v>18737</v>
      </c>
      <c r="F183" s="157">
        <v>18741</v>
      </c>
      <c r="G183" s="157">
        <f>F183-E183</f>
        <v>4</v>
      </c>
      <c r="H183" s="99">
        <f>G183+'8'!H183</f>
        <v>49</v>
      </c>
      <c r="I183" s="155"/>
      <c r="J183" s="178">
        <f>H183/DAY(B2)</f>
        <v>5.4444444444444446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'8'!F184</f>
        <v>13307</v>
      </c>
      <c r="F184" s="157">
        <v>13315</v>
      </c>
      <c r="G184" s="157">
        <f t="shared" ref="G184:G185" si="16">F184-E184</f>
        <v>8</v>
      </c>
      <c r="H184" s="99">
        <f>G184+'8'!H184</f>
        <v>69</v>
      </c>
      <c r="I184" s="155"/>
      <c r="J184" s="178">
        <f>H184/DAY(B2)</f>
        <v>7.666666666666667</v>
      </c>
    </row>
    <row r="185" spans="1:10" ht="35.25" customHeight="1">
      <c r="A185" s="790" t="s">
        <v>216</v>
      </c>
      <c r="B185" s="791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788" t="s">
        <v>196</v>
      </c>
      <c r="B186" s="789"/>
      <c r="C186" s="334"/>
      <c r="D186" s="228" t="s">
        <v>142</v>
      </c>
      <c r="E186" s="95"/>
      <c r="F186" s="157"/>
      <c r="G186" s="157">
        <f>SUM(G183:G185)</f>
        <v>12</v>
      </c>
      <c r="H186" s="99">
        <f>G186+'8'!H186</f>
        <v>118</v>
      </c>
      <c r="I186" s="157"/>
      <c r="J186" s="178">
        <f>H186/DAY(B2)</f>
        <v>13.111111111111111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159">
        <f>G62+G19</f>
        <v>64</v>
      </c>
      <c r="H187" s="99">
        <f>G187+'8'!H187</f>
        <v>1542</v>
      </c>
      <c r="I187" s="158"/>
      <c r="J187" s="179">
        <f>H187/DAY(B2)</f>
        <v>171.33333333333334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G188+'8'!H188</f>
        <v>1675</v>
      </c>
      <c r="I188" s="158"/>
      <c r="J188" s="179">
        <f>H188/DAY(B2)</f>
        <v>186.11111111111111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157">
        <f>G181</f>
        <v>98</v>
      </c>
      <c r="H189" s="99">
        <f>G189+'8'!H189</f>
        <v>1030</v>
      </c>
      <c r="I189" s="158"/>
      <c r="J189" s="179">
        <f>H189/DAY(B2)</f>
        <v>114.44444444444444</v>
      </c>
    </row>
    <row r="190" spans="1:10" ht="29.25" customHeight="1">
      <c r="A190" s="876"/>
      <c r="B190" s="877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H8" sqref="H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354</v>
      </c>
      <c r="B2" s="262">
        <v>44967</v>
      </c>
      <c r="C2" s="348" t="s">
        <v>67</v>
      </c>
      <c r="D2" s="218">
        <v>0.47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824988.47</v>
      </c>
      <c r="F7" s="95">
        <v>847141.67</v>
      </c>
      <c r="G7" s="112">
        <f>F7-E7</f>
        <v>22153.20000000007</v>
      </c>
      <c r="H7" s="99">
        <f>G7+'9'!H7</f>
        <v>224342.67000000004</v>
      </c>
      <c r="I7" s="113">
        <f>'1'!I7</f>
        <v>12000</v>
      </c>
      <c r="J7" s="175">
        <f>H7/DAY(B2)</f>
        <v>22434.267000000003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22861.42</v>
      </c>
      <c r="F8" s="114">
        <v>45495.51</v>
      </c>
      <c r="G8" s="115">
        <f>F8-E8</f>
        <v>22634.090000000004</v>
      </c>
      <c r="H8" s="99">
        <f>G8+'9'!H8</f>
        <v>229385.51000000004</v>
      </c>
      <c r="I8" s="116"/>
      <c r="J8" s="175">
        <f>H8/DAY(B2)</f>
        <v>22938.551000000003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4942498.3</v>
      </c>
      <c r="F9" s="468">
        <v>4954209.9000000004</v>
      </c>
      <c r="G9" s="112">
        <f>F9-E9</f>
        <v>11711.600000000559</v>
      </c>
      <c r="H9" s="99">
        <f>G9+'9'!H9</f>
        <v>129110.90000000037</v>
      </c>
      <c r="I9" s="124">
        <f>I7-J7</f>
        <v>-10434.267000000003</v>
      </c>
      <c r="J9" s="175">
        <f>H9/DAY(B2)</f>
        <v>12911.090000000037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4370265.0999999996</v>
      </c>
      <c r="F10" s="117">
        <v>4380142.3</v>
      </c>
      <c r="G10" s="112">
        <f t="shared" ref="G10:G12" si="0">F10-E10</f>
        <v>9877.2000000001863</v>
      </c>
      <c r="H10" s="99">
        <f>G10+'9'!H10</f>
        <v>89608.299999999814</v>
      </c>
      <c r="I10" s="282"/>
      <c r="J10" s="175">
        <f>H10/DAY(B2)</f>
        <v>8960.8299999999817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38700</v>
      </c>
      <c r="F11" s="95">
        <v>38700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40550</v>
      </c>
      <c r="F12" s="117">
        <v>40550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21588.800000000745</v>
      </c>
      <c r="H13" s="99">
        <f>G13+'9'!H13</f>
        <v>218719.20000000019</v>
      </c>
      <c r="I13" s="120">
        <f>G7-G13</f>
        <v>564.39999999932479</v>
      </c>
      <c r="J13" s="175">
        <f>H13/DAY(B2)</f>
        <v>21871.92000000002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2298742.7599999998</v>
      </c>
      <c r="F15" s="468">
        <v>2299817.58</v>
      </c>
      <c r="G15" s="112">
        <f>(F15-E15)</f>
        <v>1074.820000000298</v>
      </c>
      <c r="H15" s="99">
        <f>G15+'9'!H15</f>
        <v>11343.865000000224</v>
      </c>
      <c r="I15" s="113">
        <f>'1'!I15</f>
        <v>800</v>
      </c>
      <c r="J15" s="175">
        <f>H15/DAY(B2)</f>
        <v>1134.3865000000224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-334.38650000002235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'9'!F18</f>
        <v>5</v>
      </c>
      <c r="F18" s="164">
        <v>0</v>
      </c>
      <c r="G18" s="119">
        <f>F18*10</f>
        <v>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'9'!F19</f>
        <v>171799</v>
      </c>
      <c r="F19" s="122">
        <v>171846</v>
      </c>
      <c r="G19" s="112">
        <f t="shared" ref="G19" si="1">F19-E19</f>
        <v>47</v>
      </c>
      <c r="H19" s="99">
        <f>G19+'9'!H19</f>
        <v>523</v>
      </c>
      <c r="I19" s="335"/>
      <c r="J19" s="175">
        <f>H19/DAY(B2)</f>
        <v>52.3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47</v>
      </c>
      <c r="H20" s="99">
        <f>G20+'9'!H20</f>
        <v>2413</v>
      </c>
      <c r="I20" s="336">
        <f>I18-J20</f>
        <v>-176.3</v>
      </c>
      <c r="J20" s="175">
        <f>H20/DAY(B2)</f>
        <v>241.3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22634.090000000004</v>
      </c>
      <c r="F27" s="136">
        <v>10</v>
      </c>
      <c r="G27" s="137">
        <f>E27*F27</f>
        <v>226340.90000000002</v>
      </c>
      <c r="H27" s="99">
        <f>G27+'9'!H27</f>
        <v>2293855.1000000006</v>
      </c>
      <c r="I27" s="138"/>
      <c r="J27" s="175">
        <f>H27/DAY(B2)</f>
        <v>229385.51000000007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1074.820000000298</v>
      </c>
      <c r="F28" s="136">
        <v>63</v>
      </c>
      <c r="G28" s="137">
        <f>E28*F28</f>
        <v>67713.660000018775</v>
      </c>
      <c r="H28" s="99">
        <f>G28+'9'!H28</f>
        <v>731584.95000001509</v>
      </c>
      <c r="I28" s="140"/>
      <c r="J28" s="175">
        <f>H28/DAY(B2)</f>
        <v>73158.495000001509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155</v>
      </c>
      <c r="G30" s="137">
        <f>E30*F30</f>
        <v>7285</v>
      </c>
      <c r="H30" s="99">
        <f>G30+'9'!H30</f>
        <v>79965</v>
      </c>
      <c r="I30" s="140"/>
      <c r="J30" s="175">
        <f>H30/DAY(B2)</f>
        <v>7996.5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88</v>
      </c>
      <c r="G31" s="137">
        <f>E31*F31</f>
        <v>0</v>
      </c>
      <c r="H31" s="99">
        <f>G31+'9'!H31</f>
        <v>163200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301339.5600000188</v>
      </c>
      <c r="H32" s="99">
        <f>G32+'9'!H32</f>
        <v>3268605.0500000152</v>
      </c>
      <c r="I32" s="144"/>
      <c r="J32" s="175">
        <f>H32/DAY(B2)</f>
        <v>326860.50500000152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553186.15</v>
      </c>
      <c r="F35" s="145">
        <v>555737</v>
      </c>
      <c r="G35" s="112">
        <f t="shared" ref="G35:G46" si="3">F35-E35</f>
        <v>2550.8499999999767</v>
      </c>
      <c r="H35" s="99">
        <f>G35+'9'!H35</f>
        <v>25681</v>
      </c>
      <c r="I35" s="95"/>
      <c r="J35" s="175">
        <f>H35/DAY(B2)</f>
        <v>2568.1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391126.55</v>
      </c>
      <c r="F36" s="145">
        <v>392132</v>
      </c>
      <c r="G36" s="112">
        <f t="shared" si="3"/>
        <v>1005.4500000000116</v>
      </c>
      <c r="H36" s="99">
        <f>G36+'9'!H36</f>
        <v>10311</v>
      </c>
      <c r="I36" s="95"/>
      <c r="J36" s="175">
        <f>H36/DAY(B2)</f>
        <v>1031.0999999999999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396890.15</v>
      </c>
      <c r="F37" s="145">
        <v>398282</v>
      </c>
      <c r="G37" s="112">
        <f t="shared" si="3"/>
        <v>1391.8499999999767</v>
      </c>
      <c r="H37" s="99">
        <f>G37+'9'!H37</f>
        <v>14663</v>
      </c>
      <c r="I37" s="95"/>
      <c r="J37" s="175">
        <f>H37/DAY(B2)</f>
        <v>1466.3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901439.43</v>
      </c>
      <c r="F38" s="108">
        <v>903879</v>
      </c>
      <c r="G38" s="112">
        <f t="shared" si="3"/>
        <v>2439.5699999999488</v>
      </c>
      <c r="H38" s="99">
        <f>G38+'9'!H38</f>
        <v>26752</v>
      </c>
      <c r="I38" s="95"/>
      <c r="J38" s="175">
        <f>H38/DAY(B2)</f>
        <v>2675.2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731674.31</v>
      </c>
      <c r="F39" s="145">
        <v>734537</v>
      </c>
      <c r="G39" s="112">
        <f t="shared" si="3"/>
        <v>2862.6899999999441</v>
      </c>
      <c r="H39" s="99">
        <f>G39+'9'!H39</f>
        <v>28401</v>
      </c>
      <c r="I39" s="95"/>
      <c r="J39" s="175">
        <f>H39/DAY(B2)</f>
        <v>2840.1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220302.97</v>
      </c>
      <c r="F40" s="145">
        <v>220527</v>
      </c>
      <c r="G40" s="112">
        <f t="shared" si="3"/>
        <v>224.02999999999884</v>
      </c>
      <c r="H40" s="99">
        <f>G40+'9'!H40</f>
        <v>2735</v>
      </c>
      <c r="I40" s="95"/>
      <c r="J40" s="175">
        <f>H40/DAY(B2)</f>
        <v>273.5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420212.5</v>
      </c>
      <c r="F41" s="145">
        <v>420212.5</v>
      </c>
      <c r="G41" s="112">
        <f t="shared" si="3"/>
        <v>0</v>
      </c>
      <c r="H41" s="99">
        <f>G41+'9'!H41</f>
        <v>-1.0000000009313226E-2</v>
      </c>
      <c r="I41" s="95"/>
      <c r="J41" s="175">
        <f>H41/DAY(B2)</f>
        <v>-1.0000000009313225E-3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982309.59</v>
      </c>
      <c r="F42" s="145">
        <v>982309.59</v>
      </c>
      <c r="G42" s="112">
        <f t="shared" si="3"/>
        <v>0</v>
      </c>
      <c r="H42" s="99">
        <f>G42+'9'!H42</f>
        <v>9246.9599999999627</v>
      </c>
      <c r="I42" s="95"/>
      <c r="J42" s="175">
        <f>H42/DAY(B2)</f>
        <v>924.69599999999627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422444</v>
      </c>
      <c r="F43" s="145">
        <v>422444</v>
      </c>
      <c r="G43" s="112">
        <f t="shared" si="3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10474.439999999857</v>
      </c>
      <c r="H47" s="99">
        <f>G47+'9'!H47</f>
        <v>117789.94999999995</v>
      </c>
      <c r="I47" s="95"/>
      <c r="J47" s="175">
        <f>H47/DAY(B2)</f>
        <v>11778.994999999995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827809.91</v>
      </c>
      <c r="F49" s="145">
        <v>828358</v>
      </c>
      <c r="G49" s="112">
        <f t="shared" ref="G49:G58" si="4">F49-E49</f>
        <v>548.0899999999674</v>
      </c>
      <c r="H49" s="99">
        <f>G49+'9'!H49</f>
        <v>5446</v>
      </c>
      <c r="I49" s="95"/>
      <c r="J49" s="175">
        <f>H49/DAY(B2)</f>
        <v>544.6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554509.71</v>
      </c>
      <c r="F50" s="145">
        <v>555756</v>
      </c>
      <c r="G50" s="112">
        <f t="shared" si="4"/>
        <v>1246.2900000000373</v>
      </c>
      <c r="H50" s="99">
        <f>G50+'9'!H50</f>
        <v>13782</v>
      </c>
      <c r="I50" s="95"/>
      <c r="J50" s="175">
        <f>H50/DAY(B2)</f>
        <v>1378.2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156958.44</v>
      </c>
      <c r="F51" s="145">
        <v>156958</v>
      </c>
      <c r="G51" s="112">
        <f t="shared" si="4"/>
        <v>-0.44000000000232831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1457.43</v>
      </c>
      <c r="F52" s="145">
        <v>1457.43</v>
      </c>
      <c r="G52" s="112">
        <f t="shared" si="4"/>
        <v>0</v>
      </c>
      <c r="H52" s="99">
        <f>G52+'9'!H52</f>
        <v>0.43000000000006366</v>
      </c>
      <c r="I52" s="95"/>
      <c r="J52" s="175">
        <f>H52/DAY(B2)</f>
        <v>4.3000000000006366E-2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630355.03</v>
      </c>
      <c r="F53" s="145">
        <v>630355</v>
      </c>
      <c r="G53" s="112">
        <f t="shared" si="4"/>
        <v>-3.0000000027939677E-2</v>
      </c>
      <c r="H53" s="99">
        <f>G53+'9'!H53</f>
        <v>-3.0000000027939677E-2</v>
      </c>
      <c r="I53" s="95"/>
      <c r="J53" s="175">
        <f>H53/DAY(B2)</f>
        <v>-3.0000000027939678E-3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126849.42</v>
      </c>
      <c r="F54" s="145">
        <v>127133.95</v>
      </c>
      <c r="G54" s="112">
        <f t="shared" si="4"/>
        <v>284.52999999999884</v>
      </c>
      <c r="H54" s="99">
        <f>G54+'9'!H54</f>
        <v>3019.7399999999907</v>
      </c>
      <c r="I54" s="95"/>
      <c r="J54" s="175">
        <f>H54/DAY(B2)</f>
        <v>301.97399999999908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594304.75</v>
      </c>
      <c r="F55" s="422">
        <v>594304.75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397754.67</v>
      </c>
      <c r="F56" s="422">
        <v>401245.71</v>
      </c>
      <c r="G56" s="112">
        <f t="shared" si="4"/>
        <v>3491.0400000000373</v>
      </c>
      <c r="H56" s="99">
        <f>G56+'9'!H56</f>
        <v>28125.710000000021</v>
      </c>
      <c r="I56" s="95"/>
      <c r="J56" s="175">
        <f>H56/DAY(B2)</f>
        <v>2812.5710000000022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730988.79</v>
      </c>
      <c r="F57" s="422">
        <v>733600.6</v>
      </c>
      <c r="G57" s="112">
        <f t="shared" si="4"/>
        <v>2611.8099999999395</v>
      </c>
      <c r="H57" s="99">
        <f>G57+'9'!H57</f>
        <v>25902.599999999977</v>
      </c>
      <c r="I57" s="95"/>
      <c r="J57" s="175">
        <f>H57/DAY(B2)</f>
        <v>2590.2599999999975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96921.59</v>
      </c>
      <c r="F58" s="422">
        <v>97179.87</v>
      </c>
      <c r="G58" s="112">
        <f t="shared" si="4"/>
        <v>258.27999999999884</v>
      </c>
      <c r="H58" s="99">
        <f>G58+'9'!H58</f>
        <v>2610.0499999999884</v>
      </c>
      <c r="I58" s="95"/>
      <c r="J58" s="175">
        <f>H58/DAY(B2)</f>
        <v>261.00499999999886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8439.5699999999488</v>
      </c>
      <c r="H59" s="99">
        <f>G59+'9'!H59</f>
        <v>78886.499999999942</v>
      </c>
      <c r="I59" s="95">
        <f>G7-G60</f>
        <v>3239.1900000002643</v>
      </c>
      <c r="J59" s="175">
        <f>H59/DAY(B2)</f>
        <v>7888.6499999999942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18914.009999999806</v>
      </c>
      <c r="H60" s="99">
        <f>G60+'9'!H60</f>
        <v>196676.44999999992</v>
      </c>
      <c r="I60" s="95">
        <f>G13-G60</f>
        <v>2674.7900000009395</v>
      </c>
      <c r="J60" s="175">
        <f>H60/DAY(B2)</f>
        <v>19667.644999999993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'9'!F62</f>
        <v>316743</v>
      </c>
      <c r="F62" s="122">
        <v>316743</v>
      </c>
      <c r="G62" s="112">
        <f t="shared" ref="G62:G63" si="5">F62-E62</f>
        <v>0</v>
      </c>
      <c r="H62" s="99">
        <f>G62+'9'!H62</f>
        <v>1066</v>
      </c>
      <c r="I62" s="118"/>
      <c r="J62" s="175">
        <f>H62/DAY(B2)</f>
        <v>106.6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'9'!F63</f>
        <v>253008</v>
      </c>
      <c r="F63" s="164">
        <v>253101</v>
      </c>
      <c r="G63" s="112">
        <f t="shared" si="5"/>
        <v>93</v>
      </c>
      <c r="H63" s="99">
        <f>G63+'9'!H63</f>
        <v>777</v>
      </c>
      <c r="I63" s="118"/>
      <c r="J63" s="175">
        <f>H63/DAY(B2)</f>
        <v>77.7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'9'!F64</f>
        <v>0</v>
      </c>
      <c r="F64" s="122"/>
      <c r="G64" s="112">
        <f>G62+G63</f>
        <v>93</v>
      </c>
      <c r="H64" s="99">
        <f>G64+'9'!H64</f>
        <v>1843</v>
      </c>
      <c r="I64" s="118"/>
      <c r="J64" s="175">
        <f>H64/DAY(B2)</f>
        <v>184.3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'9'!F65</f>
        <v>477116</v>
      </c>
      <c r="F65" s="122">
        <v>477230</v>
      </c>
      <c r="G65" s="112">
        <f t="shared" ref="G65:G70" si="6">F65-E65</f>
        <v>114</v>
      </c>
      <c r="H65" s="99">
        <f>G65+'9'!H65</f>
        <v>1327</v>
      </c>
      <c r="I65" s="118"/>
      <c r="J65" s="175">
        <f>H65/DAY(B2)</f>
        <v>132.69999999999999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114632</v>
      </c>
      <c r="F66" s="122">
        <v>114641</v>
      </c>
      <c r="G66" s="112">
        <f t="shared" si="6"/>
        <v>9</v>
      </c>
      <c r="H66" s="99">
        <f>G66+'9'!H66</f>
        <v>175</v>
      </c>
      <c r="I66" s="118"/>
      <c r="J66" s="175">
        <f>H66/DAY(B2)</f>
        <v>17.5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117476</v>
      </c>
      <c r="F67" s="122">
        <v>117498</v>
      </c>
      <c r="G67" s="112">
        <f t="shared" si="6"/>
        <v>22</v>
      </c>
      <c r="H67" s="99">
        <f>G67+'9'!H67</f>
        <v>216</v>
      </c>
      <c r="I67" s="118"/>
      <c r="J67" s="175">
        <f>H67/DAY(B2)</f>
        <v>21.6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170137</v>
      </c>
      <c r="F68" s="122">
        <v>170147</v>
      </c>
      <c r="G68" s="112">
        <f t="shared" si="6"/>
        <v>10</v>
      </c>
      <c r="H68" s="99">
        <f>G68+'9'!H68</f>
        <v>197</v>
      </c>
      <c r="I68" s="118"/>
      <c r="J68" s="175">
        <f>H68/DAY(B2)</f>
        <v>19.7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13250</v>
      </c>
      <c r="F69" s="122">
        <v>13256</v>
      </c>
      <c r="G69" s="112">
        <f t="shared" si="6"/>
        <v>6</v>
      </c>
      <c r="H69" s="99">
        <f>G69+'9'!H69</f>
        <v>44</v>
      </c>
      <c r="I69" s="118"/>
      <c r="J69" s="175">
        <f>H69/DAY(B2)</f>
        <v>4.4000000000000004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11322</v>
      </c>
      <c r="F70" s="122">
        <v>11328</v>
      </c>
      <c r="G70" s="112">
        <f t="shared" si="6"/>
        <v>6</v>
      </c>
      <c r="H70" s="99">
        <f>G70+'9'!H70</f>
        <v>70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167</v>
      </c>
      <c r="H71" s="99">
        <f>G71+'9'!H71</f>
        <v>2029</v>
      </c>
      <c r="I71" s="154"/>
      <c r="J71" s="175">
        <f>H71/DAY(B2)</f>
        <v>202.9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'9'!F74</f>
        <v>15163.61</v>
      </c>
      <c r="F74" s="117">
        <v>15475</v>
      </c>
      <c r="G74" s="112">
        <f t="shared" ref="G74:G78" si="7">F74-E74</f>
        <v>311.38999999999942</v>
      </c>
      <c r="H74" s="99">
        <f>G74+'9'!H74</f>
        <v>3213</v>
      </c>
      <c r="I74" s="154"/>
      <c r="J74" s="175">
        <f>H74/DAY(B2)</f>
        <v>321.3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'9'!F76</f>
        <v>211665</v>
      </c>
      <c r="F76" s="123">
        <v>211765</v>
      </c>
      <c r="G76" s="112">
        <f t="shared" si="7"/>
        <v>100</v>
      </c>
      <c r="H76" s="99">
        <f>G76+'9'!H76</f>
        <v>1105</v>
      </c>
      <c r="I76" s="154"/>
      <c r="J76" s="175">
        <f>H76/DAY(B2)</f>
        <v>110.5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'9'!F77</f>
        <v>60215</v>
      </c>
      <c r="F77" s="123">
        <v>60262</v>
      </c>
      <c r="G77" s="112">
        <f t="shared" si="7"/>
        <v>47</v>
      </c>
      <c r="H77" s="99">
        <f>G77+'9'!H77</f>
        <v>501</v>
      </c>
      <c r="I77" s="154"/>
      <c r="J77" s="175">
        <f>H77/DAY(B2)</f>
        <v>50.1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'9'!F78</f>
        <v>9564</v>
      </c>
      <c r="F78" s="123">
        <v>9564</v>
      </c>
      <c r="G78" s="112">
        <f t="shared" si="7"/>
        <v>0</v>
      </c>
      <c r="H78" s="99">
        <f>G78+'9'!H78</f>
        <v>0.5</v>
      </c>
      <c r="I78" s="118"/>
      <c r="J78" s="175">
        <f>H78/DAY(B2)</f>
        <v>0.05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'9'!F79</f>
        <v>0</v>
      </c>
      <c r="F79" s="117"/>
      <c r="G79" s="112">
        <f>G15-SUM(G74:G78)</f>
        <v>616.43000000029861</v>
      </c>
      <c r="H79" s="99">
        <f>G79+'9'!H79</f>
        <v>6524.3650000002235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1074.820000000298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43546</v>
      </c>
      <c r="F84" s="164">
        <v>43546</v>
      </c>
      <c r="G84" s="112">
        <f t="shared" si="8"/>
        <v>0</v>
      </c>
      <c r="H84" s="99">
        <f>G84+'9'!H84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6258</v>
      </c>
      <c r="F85" s="164">
        <v>6258</v>
      </c>
      <c r="G85" s="112">
        <f t="shared" si="8"/>
        <v>0</v>
      </c>
      <c r="H85" s="99">
        <f>G85+'9'!H85</f>
        <v>45</v>
      </c>
      <c r="I85" s="543"/>
      <c r="J85" s="175">
        <f>H85/DAY(B2)</f>
        <v>4.5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46971</v>
      </c>
      <c r="F86" s="164">
        <v>46971</v>
      </c>
      <c r="G86" s="112">
        <f t="shared" si="8"/>
        <v>0</v>
      </c>
      <c r="H86" s="99">
        <f>G86+'9'!H86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37538.47</v>
      </c>
      <c r="F87" s="164">
        <v>37562.89</v>
      </c>
      <c r="G87" s="112">
        <f t="shared" si="8"/>
        <v>24.419999999998254</v>
      </c>
      <c r="H87" s="99">
        <f>G87+'9'!H87</f>
        <v>198.88999999999942</v>
      </c>
      <c r="I87" s="543">
        <f>G84+G85+G86+G87</f>
        <v>24.419999999998254</v>
      </c>
      <c r="J87" s="175">
        <f>H87/DAY(B2)</f>
        <v>19.888999999999943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24822.85</v>
      </c>
      <c r="F88" s="164">
        <v>24831.52</v>
      </c>
      <c r="G88" s="112">
        <f t="shared" si="8"/>
        <v>8.6700000000018917</v>
      </c>
      <c r="H88" s="99">
        <f>G88+'9'!H88</f>
        <v>69.520000000000437</v>
      </c>
      <c r="I88" s="543"/>
      <c r="J88" s="175">
        <f>H88/DAY(B2)</f>
        <v>6.9520000000000435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29094.23</v>
      </c>
      <c r="F89" s="164">
        <v>29098.63</v>
      </c>
      <c r="G89" s="112">
        <f t="shared" si="8"/>
        <v>4.4000000000014552</v>
      </c>
      <c r="H89" s="99">
        <f>G89+'9'!H89</f>
        <v>70.630000000001019</v>
      </c>
      <c r="I89" s="543">
        <f>G88+G89</f>
        <v>13.070000000003347</v>
      </c>
      <c r="J89" s="175">
        <f>H89/DAY(B2)</f>
        <v>7.0630000000001019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74515.13</v>
      </c>
      <c r="F90" s="164">
        <v>74523.679999999993</v>
      </c>
      <c r="G90" s="112">
        <f t="shared" si="8"/>
        <v>8.5499999999883585</v>
      </c>
      <c r="H90" s="99">
        <f>G90+'9'!H90</f>
        <v>75.679999999993015</v>
      </c>
      <c r="I90" s="543">
        <f>G90</f>
        <v>8.5499999999883585</v>
      </c>
      <c r="J90" s="175">
        <f>H90/DAY(B2)</f>
        <v>7.5679999999993015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5693.3</v>
      </c>
      <c r="F91" s="122">
        <v>5705.41</v>
      </c>
      <c r="G91" s="112">
        <f t="shared" si="8"/>
        <v>12.109999999999673</v>
      </c>
      <c r="H91" s="99">
        <f>G91+'9'!H91</f>
        <v>87.199999999999818</v>
      </c>
      <c r="I91" s="544"/>
      <c r="J91" s="175">
        <f>H91/DAY(B2)</f>
        <v>8.7199999999999811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7466.87</v>
      </c>
      <c r="F92" s="122">
        <v>7466.87</v>
      </c>
      <c r="G92" s="112">
        <f t="shared" si="8"/>
        <v>0</v>
      </c>
      <c r="H92" s="99">
        <f>G92+'9'!H92</f>
        <v>34.590000000000146</v>
      </c>
      <c r="I92" s="545">
        <f>G91+G92</f>
        <v>12.109999999999673</v>
      </c>
      <c r="J92" s="175">
        <f>H92/DAY(B2)</f>
        <v>3.4590000000000147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5710.7499999998836</v>
      </c>
      <c r="H94" s="99">
        <f>G94+'9'!H94</f>
        <v>57029.599999999977</v>
      </c>
      <c r="I94" s="118"/>
      <c r="J94" s="175">
        <f>H94/DAY(B2)</f>
        <v>5702.9599999999973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0.25778442843471217</v>
      </c>
      <c r="H95" s="99">
        <f>G95+'9'!H95</f>
        <v>2.5424732280932534</v>
      </c>
      <c r="I95" s="167"/>
      <c r="J95" s="175">
        <f>H95/DAY(B2)</f>
        <v>0.25424732280932533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3491.0400000000373</v>
      </c>
      <c r="H96" s="99">
        <f>G96+'9'!H96</f>
        <v>37372.659999999974</v>
      </c>
      <c r="I96" s="118"/>
      <c r="J96" s="175">
        <f>H96/DAY(B2)</f>
        <v>3737.2659999999973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0.15758626293267006</v>
      </c>
      <c r="H97" s="99">
        <f>G97+'9'!H97</f>
        <v>1.6681942512166443</v>
      </c>
      <c r="I97" s="167"/>
      <c r="J97" s="175">
        <f>H97/DAY(B2)</f>
        <v>0.16681942512166442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2862.6599999999162</v>
      </c>
      <c r="H98" s="99">
        <f>G98+'9'!H98</f>
        <v>28400.969999999972</v>
      </c>
      <c r="I98" s="168"/>
      <c r="J98" s="175">
        <f>H98/DAY(B2)</f>
        <v>2840.096999999997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0.12922106061426372</v>
      </c>
      <c r="H99" s="99">
        <f>G99+'9'!H99</f>
        <v>1.2665725054868082</v>
      </c>
      <c r="I99" s="168"/>
      <c r="J99" s="175">
        <f>H99/DAY(B2)</f>
        <v>0.12665725054868082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2439.5699999999488</v>
      </c>
      <c r="H100" s="99">
        <f>G100+'9'!H100</f>
        <v>26752.43</v>
      </c>
      <c r="I100" s="118"/>
      <c r="J100" s="175">
        <f>H100/DAY(B2)</f>
        <v>2675.2429999999999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0.11012269107848713</v>
      </c>
      <c r="H101" s="99">
        <f>G101+'9'!H101</f>
        <v>1.1923675081352856</v>
      </c>
      <c r="I101" s="168"/>
      <c r="J101" s="175">
        <f>H101/DAY(B2)</f>
        <v>0.11923675081352855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2251.7400000000489</v>
      </c>
      <c r="H102" s="99">
        <f>G102+'9'!H102</f>
        <v>24093</v>
      </c>
      <c r="I102" s="168"/>
      <c r="J102" s="175">
        <f>H102/DAY(B2)</f>
        <v>2409.3000000000002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0.1016440062835185</v>
      </c>
      <c r="H103" s="99">
        <f>G103+'9'!H103</f>
        <v>1.072390306658058</v>
      </c>
      <c r="I103" s="118"/>
      <c r="J103" s="175">
        <f>H103/DAY(B2)</f>
        <v>0.1072390306658058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1391.4099999999744</v>
      </c>
      <c r="H104" s="99">
        <f>G104+'9'!H104</f>
        <v>14663</v>
      </c>
      <c r="I104" s="118"/>
      <c r="J104" s="175">
        <f>H104/DAY(B2)</f>
        <v>1466.3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6.2808533304442249E-2</v>
      </c>
      <c r="H105" s="99">
        <f>G105+'9'!H105</f>
        <v>0.65365239667164154</v>
      </c>
      <c r="I105" s="187"/>
      <c r="J105" s="188">
        <f>H105/DAY(B2)</f>
        <v>6.5365239667164149E-2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'9'!F112</f>
        <v>19948.45</v>
      </c>
      <c r="F112" s="237">
        <v>20009.900000000001</v>
      </c>
      <c r="G112" s="112">
        <f t="shared" ref="G112:G123" si="9">F112-E112</f>
        <v>61.450000000000728</v>
      </c>
      <c r="H112" s="99">
        <f>G112+'9'!H112</f>
        <v>612.90000000000146</v>
      </c>
      <c r="I112" s="165"/>
      <c r="J112" s="328">
        <f>H112/DAY(B2)</f>
        <v>61.290000000000148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'9'!F113</f>
        <v>42830.59</v>
      </c>
      <c r="F113" s="237">
        <v>42977.47</v>
      </c>
      <c r="G113" s="112">
        <f t="shared" si="9"/>
        <v>146.88000000000466</v>
      </c>
      <c r="H113" s="99">
        <f>G113+'9'!H113</f>
        <v>1457.5200000000041</v>
      </c>
      <c r="I113" s="165"/>
      <c r="J113" s="328">
        <f>H113/DAY(B2)</f>
        <v>145.75200000000041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'9'!F114</f>
        <v>63240</v>
      </c>
      <c r="F114" s="237">
        <v>63471</v>
      </c>
      <c r="G114" s="112">
        <f t="shared" si="9"/>
        <v>231</v>
      </c>
      <c r="H114" s="99">
        <f>G114+'9'!H114</f>
        <v>2253</v>
      </c>
      <c r="I114" s="165"/>
      <c r="J114" s="328">
        <f>H114/DAY(B2)</f>
        <v>225.3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'9'!F115</f>
        <v>40782</v>
      </c>
      <c r="F115" s="237">
        <v>40916.89</v>
      </c>
      <c r="G115" s="112">
        <f t="shared" si="9"/>
        <v>134.88999999999942</v>
      </c>
      <c r="H115" s="99">
        <f>G115+'9'!H115</f>
        <v>1457.8899999999994</v>
      </c>
      <c r="I115" s="165"/>
      <c r="J115" s="328">
        <f>H115/DAY(B2)</f>
        <v>145.78899999999993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'9'!F116</f>
        <v>152144</v>
      </c>
      <c r="F116" s="237">
        <v>152602</v>
      </c>
      <c r="G116" s="112">
        <f t="shared" si="9"/>
        <v>458</v>
      </c>
      <c r="H116" s="99">
        <f>G116+'9'!H116</f>
        <v>4672</v>
      </c>
      <c r="I116" s="165"/>
      <c r="J116" s="328">
        <f>H116/DAY(B2)</f>
        <v>467.2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'9'!F117</f>
        <v>94322</v>
      </c>
      <c r="F117" s="237">
        <v>94544.9</v>
      </c>
      <c r="G117" s="112">
        <f t="shared" si="9"/>
        <v>222.89999999999418</v>
      </c>
      <c r="H117" s="99">
        <f>G117+'9'!H117</f>
        <v>2555.5009999999893</v>
      </c>
      <c r="I117" s="165"/>
      <c r="J117" s="328">
        <f>H117/DAY(B2)</f>
        <v>255.55009999999893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'9'!F118</f>
        <v>183789</v>
      </c>
      <c r="F118" s="237">
        <v>184526.4</v>
      </c>
      <c r="G118" s="112">
        <f t="shared" si="9"/>
        <v>737.39999999999418</v>
      </c>
      <c r="H118" s="99">
        <f>G118+'9'!H118</f>
        <v>6993.8699999999953</v>
      </c>
      <c r="I118" s="165"/>
      <c r="J118" s="328">
        <f>H118/DAY(B2)</f>
        <v>699.38699999999949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'9'!F119</f>
        <v>45616</v>
      </c>
      <c r="F119" s="237">
        <v>45677.58</v>
      </c>
      <c r="G119" s="112">
        <f t="shared" si="9"/>
        <v>61.580000000001746</v>
      </c>
      <c r="H119" s="99">
        <f>G119+'9'!H119</f>
        <v>484.58000000000175</v>
      </c>
      <c r="I119" s="165"/>
      <c r="J119" s="328">
        <f>H119/DAY(B2)</f>
        <v>48.458000000000176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'9'!F120</f>
        <v>123872</v>
      </c>
      <c r="F120" s="237">
        <v>124273.7</v>
      </c>
      <c r="G120" s="112">
        <f t="shared" si="9"/>
        <v>401.69999999999709</v>
      </c>
      <c r="H120" s="99">
        <f>G120+'9'!H120</f>
        <v>3829.6999999999971</v>
      </c>
      <c r="I120" s="165"/>
      <c r="J120" s="328">
        <f>H120/DAY(B2)</f>
        <v>382.96999999999969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'9'!F121</f>
        <v>138387</v>
      </c>
      <c r="F121" s="237">
        <v>138832.6</v>
      </c>
      <c r="G121" s="112">
        <f t="shared" si="9"/>
        <v>445.60000000000582</v>
      </c>
      <c r="H121" s="99">
        <f>G121+'9'!H121</f>
        <v>4269.6000000000058</v>
      </c>
      <c r="I121" s="165"/>
      <c r="J121" s="328">
        <f>H121/DAY(B2)</f>
        <v>426.9600000000006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'9'!F122</f>
        <v>93664</v>
      </c>
      <c r="F122" s="237">
        <v>93977.3</v>
      </c>
      <c r="G122" s="112">
        <f t="shared" si="9"/>
        <v>313.30000000000291</v>
      </c>
      <c r="H122" s="99">
        <f>G122+'9'!H122</f>
        <v>3100.3000000000029</v>
      </c>
      <c r="I122" s="165"/>
      <c r="J122" s="328">
        <f>H122/DAY(B2)</f>
        <v>310.03000000000031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'9'!F123</f>
        <v>90343.6</v>
      </c>
      <c r="F123" s="237">
        <v>90647</v>
      </c>
      <c r="G123" s="112">
        <f t="shared" si="9"/>
        <v>303.39999999999418</v>
      </c>
      <c r="H123" s="99">
        <f>G123+'9'!H123</f>
        <v>3068</v>
      </c>
      <c r="I123" s="165"/>
      <c r="J123" s="328">
        <f>H123/DAY(B2)</f>
        <v>306.8</v>
      </c>
    </row>
    <row r="124" spans="1:18" ht="29.25" customHeight="1">
      <c r="A124" s="887"/>
      <c r="B124" s="888"/>
      <c r="C124" s="88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3518.0999999999949</v>
      </c>
      <c r="H125" s="156"/>
      <c r="I125" s="327">
        <f>G125-(G39+G53)</f>
        <v>655.44000000007873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'9'!F128</f>
        <v>211788</v>
      </c>
      <c r="F128" s="155">
        <v>212309</v>
      </c>
      <c r="G128" s="112">
        <f t="shared" ref="G128:G134" si="10">F128-E128</f>
        <v>521</v>
      </c>
      <c r="H128" s="99">
        <f>G128+'9'!H128</f>
        <v>5020</v>
      </c>
      <c r="I128" s="165"/>
      <c r="J128" s="328">
        <f>H128/DAY(B2)</f>
        <v>502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1788</v>
      </c>
      <c r="F129" s="155">
        <v>1911.14</v>
      </c>
      <c r="G129" s="112">
        <f t="shared" si="10"/>
        <v>123.1400000000001</v>
      </c>
      <c r="H129" s="99">
        <f>G129+'9'!H129</f>
        <v>1177.1400000000001</v>
      </c>
      <c r="I129" s="165"/>
      <c r="J129" s="328">
        <f>H129/DAY(B2)</f>
        <v>117.71400000000001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293112</v>
      </c>
      <c r="F130" s="157">
        <v>293675.59999999998</v>
      </c>
      <c r="G130" s="112">
        <f t="shared" si="10"/>
        <v>563.59999999997672</v>
      </c>
      <c r="H130" s="99">
        <f>G130+'9'!H130</f>
        <v>4953.5999999999767</v>
      </c>
      <c r="I130" s="165"/>
      <c r="J130" s="328">
        <f>H130/DAY(B2)</f>
        <v>495.35999999999768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'9'!F131</f>
        <v>86506</v>
      </c>
      <c r="F131" s="155">
        <v>86708.2</v>
      </c>
      <c r="G131" s="112">
        <f t="shared" si="10"/>
        <v>202.19999999999709</v>
      </c>
      <c r="H131" s="99">
        <f>G131+'9'!H131</f>
        <v>2004.3699999999953</v>
      </c>
      <c r="I131" s="165"/>
      <c r="J131" s="328">
        <f>H131/DAY(B2)</f>
        <v>200.43699999999953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'9'!F132</f>
        <v>70294</v>
      </c>
      <c r="F132" s="155">
        <v>70608</v>
      </c>
      <c r="G132" s="112">
        <f t="shared" si="10"/>
        <v>314</v>
      </c>
      <c r="H132" s="99">
        <f>G132+'9'!H132</f>
        <v>3161</v>
      </c>
      <c r="I132" s="165"/>
      <c r="J132" s="328">
        <f>H132/DAY(B2)</f>
        <v>316.10000000000002</v>
      </c>
    </row>
    <row r="133" spans="1:15" ht="25.5">
      <c r="A133" s="883" t="s">
        <v>323</v>
      </c>
      <c r="B133" s="884"/>
      <c r="C133" s="885"/>
      <c r="D133" s="151" t="s">
        <v>183</v>
      </c>
      <c r="E133" s="95">
        <f>'9'!F133</f>
        <v>954999</v>
      </c>
      <c r="F133" s="155">
        <v>955505</v>
      </c>
      <c r="G133" s="112">
        <f t="shared" si="10"/>
        <v>506</v>
      </c>
      <c r="H133" s="99">
        <f>G133+'9'!H133</f>
        <v>5358</v>
      </c>
      <c r="I133" s="165"/>
      <c r="J133" s="328">
        <f>H133/DAY(B2)</f>
        <v>535.79999999999995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'9'!F134</f>
        <v>95557</v>
      </c>
      <c r="F134" s="157">
        <v>95813</v>
      </c>
      <c r="G134" s="112">
        <f t="shared" si="10"/>
        <v>256</v>
      </c>
      <c r="H134" s="99">
        <f>G134+'9'!H134</f>
        <v>2579.5</v>
      </c>
      <c r="I134" s="165"/>
      <c r="J134" s="328">
        <f>H134/DAY(B2)</f>
        <v>257.95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2485.9399999999741</v>
      </c>
      <c r="H135" s="99">
        <f>G135+'9'!H135</f>
        <v>24253.609999999971</v>
      </c>
      <c r="I135" s="327">
        <f>G135-(G35+G49)</f>
        <v>-612.99999999996999</v>
      </c>
      <c r="J135" s="328">
        <f>H135/DAY(B2)</f>
        <v>2425.3609999999971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'9'!F138</f>
        <v>913989</v>
      </c>
      <c r="F138" s="147">
        <v>914090</v>
      </c>
      <c r="G138" s="112">
        <f t="shared" ref="G138:G152" si="11">F138-E138</f>
        <v>101</v>
      </c>
      <c r="H138" s="99">
        <f>G138+'9'!H138</f>
        <v>1179</v>
      </c>
      <c r="I138" s="118"/>
      <c r="J138" s="328">
        <f>H138/DAY(B2)</f>
        <v>117.9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'9'!F139</f>
        <v>938603</v>
      </c>
      <c r="F139" s="148">
        <v>938756</v>
      </c>
      <c r="G139" s="112">
        <f t="shared" si="11"/>
        <v>153</v>
      </c>
      <c r="H139" s="99">
        <f>G139+'9'!H139</f>
        <v>1498</v>
      </c>
      <c r="I139" s="118"/>
      <c r="J139" s="328">
        <f>H139/DAY(B2)</f>
        <v>149.80000000000001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'9'!F140</f>
        <v>5046</v>
      </c>
      <c r="F140" s="149">
        <v>5076.8900000000003</v>
      </c>
      <c r="G140" s="112">
        <f t="shared" si="11"/>
        <v>30.890000000000327</v>
      </c>
      <c r="H140" s="99">
        <f>G140+'9'!H140</f>
        <v>312.89000000000033</v>
      </c>
      <c r="I140" s="118"/>
      <c r="J140" s="328">
        <f>H140/DAY(B2)</f>
        <v>31.289000000000033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'9'!F141</f>
        <v>133520</v>
      </c>
      <c r="F141" s="149">
        <v>133765.67000000001</v>
      </c>
      <c r="G141" s="112">
        <f t="shared" si="11"/>
        <v>245.67000000001281</v>
      </c>
      <c r="H141" s="99">
        <f>G141+'9'!H141</f>
        <v>2445.6700000000128</v>
      </c>
      <c r="I141" s="118"/>
      <c r="J141" s="328">
        <f>H141/DAY(B2)</f>
        <v>244.56700000000129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'9'!F142</f>
        <v>54024</v>
      </c>
      <c r="F142" s="148">
        <v>54113</v>
      </c>
      <c r="G142" s="112">
        <f t="shared" si="11"/>
        <v>89</v>
      </c>
      <c r="H142" s="99">
        <f>G142+'9'!H142</f>
        <v>922</v>
      </c>
      <c r="I142" s="140"/>
      <c r="J142" s="328">
        <f>H142/DAY(B2)</f>
        <v>92.2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'9'!F143</f>
        <v>14607</v>
      </c>
      <c r="F143" s="149">
        <v>14641.4</v>
      </c>
      <c r="G143" s="112">
        <f t="shared" si="11"/>
        <v>34.399999999999636</v>
      </c>
      <c r="H143" s="99">
        <f>G143+'9'!H143</f>
        <v>329.39999999999964</v>
      </c>
      <c r="I143" s="140"/>
      <c r="J143" s="328">
        <f>H143/DAY(B2)</f>
        <v>32.939999999999962</v>
      </c>
      <c r="O143" s="148">
        <v>582206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'9'!F144</f>
        <v>965669</v>
      </c>
      <c r="F144" s="149">
        <v>965912</v>
      </c>
      <c r="G144" s="236">
        <f t="shared" si="11"/>
        <v>243</v>
      </c>
      <c r="H144" s="99">
        <f>G144+'9'!H144</f>
        <v>2686</v>
      </c>
      <c r="I144" s="140"/>
      <c r="J144" s="328">
        <f>H144/DAY(B2)</f>
        <v>268.60000000000002</v>
      </c>
    </row>
    <row r="145" spans="1:15" ht="25.5">
      <c r="A145" s="882" t="s">
        <v>190</v>
      </c>
      <c r="B145" s="882"/>
      <c r="C145" s="882"/>
      <c r="D145" s="152" t="s">
        <v>183</v>
      </c>
      <c r="E145" s="95">
        <f>'9'!F145</f>
        <v>752659</v>
      </c>
      <c r="F145" s="149">
        <v>752873</v>
      </c>
      <c r="G145" s="112">
        <f t="shared" si="11"/>
        <v>214</v>
      </c>
      <c r="H145" s="99">
        <f>G145+'9'!H145</f>
        <v>2140</v>
      </c>
      <c r="I145" s="140"/>
      <c r="J145" s="328">
        <f>H145/DAY(B2)</f>
        <v>214</v>
      </c>
    </row>
    <row r="146" spans="1:15" ht="25.5">
      <c r="A146" s="916" t="s">
        <v>191</v>
      </c>
      <c r="B146" s="902"/>
      <c r="C146" s="903"/>
      <c r="D146" s="152" t="s">
        <v>183</v>
      </c>
      <c r="E146" s="95">
        <f>'9'!F146</f>
        <v>789386</v>
      </c>
      <c r="F146" s="148">
        <v>789417</v>
      </c>
      <c r="G146" s="112">
        <f t="shared" si="11"/>
        <v>31</v>
      </c>
      <c r="H146" s="99">
        <f>G146+'9'!H146</f>
        <v>392</v>
      </c>
      <c r="I146" s="140"/>
      <c r="J146" s="328">
        <f>H146/DAY(B2)</f>
        <v>39.200000000000003</v>
      </c>
    </row>
    <row r="147" spans="1:15" ht="25.5">
      <c r="A147" s="865" t="s">
        <v>192</v>
      </c>
      <c r="B147" s="865"/>
      <c r="C147" s="865"/>
      <c r="D147" s="152" t="s">
        <v>183</v>
      </c>
      <c r="E147" s="95">
        <f>'9'!F147</f>
        <v>775013</v>
      </c>
      <c r="F147" s="148">
        <v>775354</v>
      </c>
      <c r="G147" s="112">
        <f t="shared" si="11"/>
        <v>341</v>
      </c>
      <c r="H147" s="99">
        <f>G147+'9'!H147</f>
        <v>3697.1199999999953</v>
      </c>
      <c r="I147" s="140"/>
      <c r="J147" s="328">
        <f>H147/DAY(B2)</f>
        <v>369.71199999999953</v>
      </c>
    </row>
    <row r="148" spans="1:15" ht="25.5">
      <c r="A148" s="866" t="s">
        <v>193</v>
      </c>
      <c r="B148" s="867"/>
      <c r="C148" s="868"/>
      <c r="D148" s="123" t="s">
        <v>130</v>
      </c>
      <c r="E148" s="95">
        <f>'9'!F148</f>
        <v>810005</v>
      </c>
      <c r="F148" s="150">
        <v>810261</v>
      </c>
      <c r="G148" s="112">
        <f t="shared" si="11"/>
        <v>256</v>
      </c>
      <c r="H148" s="99">
        <f>G148+'9'!H148</f>
        <v>3440.7600000000093</v>
      </c>
      <c r="I148" s="124"/>
      <c r="J148" s="328">
        <f>H148/DAY(B2)</f>
        <v>344.07600000000093</v>
      </c>
    </row>
    <row r="149" spans="1:15" ht="25.5">
      <c r="A149" s="866" t="s">
        <v>336</v>
      </c>
      <c r="B149" s="867"/>
      <c r="C149" s="868"/>
      <c r="D149" s="227" t="s">
        <v>130</v>
      </c>
      <c r="E149" s="95">
        <f>'9'!F149</f>
        <v>221819</v>
      </c>
      <c r="F149" s="146">
        <v>222194</v>
      </c>
      <c r="G149" s="112">
        <f t="shared" si="11"/>
        <v>375</v>
      </c>
      <c r="H149" s="99">
        <f>G149+'9'!H149</f>
        <v>5298</v>
      </c>
      <c r="I149" s="119"/>
      <c r="J149" s="328">
        <f>H149/DAY(B2)</f>
        <v>529.79999999999995</v>
      </c>
    </row>
    <row r="150" spans="1:15" ht="25.5">
      <c r="A150" s="866" t="s">
        <v>337</v>
      </c>
      <c r="B150" s="867"/>
      <c r="C150" s="868"/>
      <c r="D150" s="117" t="s">
        <v>130</v>
      </c>
      <c r="E150" s="95">
        <f>'9'!F150</f>
        <v>94542</v>
      </c>
      <c r="F150" s="233">
        <v>94759.8</v>
      </c>
      <c r="G150" s="112">
        <f t="shared" si="11"/>
        <v>217.80000000000291</v>
      </c>
      <c r="H150" s="99">
        <f>G150+'9'!H150</f>
        <v>1594.8000000000029</v>
      </c>
      <c r="I150" s="119"/>
      <c r="J150" s="328">
        <f>H150/DAY(B2)</f>
        <v>159.4800000000003</v>
      </c>
    </row>
    <row r="151" spans="1:15" ht="25.5">
      <c r="A151" s="866" t="s">
        <v>338</v>
      </c>
      <c r="B151" s="867"/>
      <c r="C151" s="868"/>
      <c r="D151" s="117" t="s">
        <v>130</v>
      </c>
      <c r="E151" s="95">
        <f>'9'!F151</f>
        <v>179190</v>
      </c>
      <c r="F151" s="233">
        <v>179530</v>
      </c>
      <c r="G151" s="236">
        <f t="shared" si="11"/>
        <v>340</v>
      </c>
      <c r="H151" s="99">
        <f>G151+'9'!H151</f>
        <v>3355</v>
      </c>
      <c r="I151" s="119"/>
      <c r="J151" s="328">
        <f>H151/DAY(B2)</f>
        <v>335.5</v>
      </c>
    </row>
    <row r="152" spans="1:15" ht="25.5">
      <c r="A152" s="866" t="s">
        <v>339</v>
      </c>
      <c r="B152" s="867"/>
      <c r="C152" s="868"/>
      <c r="D152" s="117" t="s">
        <v>130</v>
      </c>
      <c r="E152" s="95">
        <f>'9'!F152</f>
        <v>47828</v>
      </c>
      <c r="F152" s="233">
        <v>47958.9</v>
      </c>
      <c r="G152" s="112">
        <f t="shared" si="11"/>
        <v>130.90000000000146</v>
      </c>
      <c r="H152" s="99">
        <f>G152+'9'!H152</f>
        <v>1326.9000000000015</v>
      </c>
      <c r="I152" s="119"/>
      <c r="J152" s="328">
        <f>H152/DAY(B2)</f>
        <v>132.69000000000014</v>
      </c>
    </row>
    <row r="153" spans="1:15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2802.6600000000171</v>
      </c>
      <c r="H153" s="363"/>
      <c r="I153" s="119">
        <f>G153-(G38+G52)</f>
        <v>363.09000000006836</v>
      </c>
      <c r="J153" s="366"/>
    </row>
    <row r="154" spans="1:15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5" ht="27.75">
      <c r="A155" s="865" t="s">
        <v>345</v>
      </c>
      <c r="B155" s="865"/>
      <c r="C155" s="865"/>
      <c r="D155" s="117" t="s">
        <v>130</v>
      </c>
      <c r="E155" s="95">
        <f>'9'!F155</f>
        <v>261423</v>
      </c>
      <c r="F155" s="374">
        <v>261981.9</v>
      </c>
      <c r="G155" s="112">
        <f t="shared" ref="G155:G158" si="12">F155-E155</f>
        <v>558.89999999999418</v>
      </c>
      <c r="H155" s="99">
        <f>G155+'9'!H155</f>
        <v>5629.8999999999942</v>
      </c>
      <c r="I155" s="364"/>
      <c r="J155" s="328">
        <f>H155/DAY(B2)</f>
        <v>562.98999999999944</v>
      </c>
      <c r="O155" s="65">
        <v>678.99000000000524</v>
      </c>
    </row>
    <row r="156" spans="1:15" ht="25.5">
      <c r="A156" s="865" t="s">
        <v>346</v>
      </c>
      <c r="B156" s="865"/>
      <c r="C156" s="865"/>
      <c r="D156" s="117" t="s">
        <v>130</v>
      </c>
      <c r="E156" s="95">
        <f>'9'!F156</f>
        <v>33439</v>
      </c>
      <c r="F156" s="155">
        <v>33536.800000000003</v>
      </c>
      <c r="G156" s="112">
        <f t="shared" si="12"/>
        <v>97.80000000000291</v>
      </c>
      <c r="H156" s="99">
        <f>G156+'9'!H156</f>
        <v>977.80000000000291</v>
      </c>
      <c r="I156" s="165"/>
      <c r="J156" s="328">
        <f>H156/DAY(B2)</f>
        <v>97.780000000000285</v>
      </c>
      <c r="O156" s="65">
        <v>50.350000000000364</v>
      </c>
    </row>
    <row r="157" spans="1:15" ht="25.5">
      <c r="A157" s="866" t="s">
        <v>359</v>
      </c>
      <c r="B157" s="867"/>
      <c r="C157" s="868"/>
      <c r="D157" s="117" t="s">
        <v>130</v>
      </c>
      <c r="E157" s="95">
        <f>'9'!F157</f>
        <v>2350</v>
      </c>
      <c r="F157" s="155">
        <v>2434</v>
      </c>
      <c r="G157" s="112">
        <f t="shared" si="12"/>
        <v>84</v>
      </c>
      <c r="H157" s="99">
        <f>G157+'9'!H157</f>
        <v>542</v>
      </c>
      <c r="I157" s="165"/>
      <c r="J157" s="328">
        <f>H157/DAY(B2)</f>
        <v>54.2</v>
      </c>
      <c r="O157" s="65">
        <v>101.82999999999993</v>
      </c>
    </row>
    <row r="158" spans="1:15" ht="25.5">
      <c r="A158" s="866" t="s">
        <v>360</v>
      </c>
      <c r="B158" s="867"/>
      <c r="C158" s="868"/>
      <c r="D158" s="117" t="s">
        <v>130</v>
      </c>
      <c r="E158" s="95">
        <f>'9'!F158</f>
        <v>1788</v>
      </c>
      <c r="F158" s="155">
        <v>1788</v>
      </c>
      <c r="G158" s="112">
        <f t="shared" si="12"/>
        <v>0</v>
      </c>
      <c r="H158" s="99">
        <f>G158+'9'!H158</f>
        <v>5</v>
      </c>
      <c r="I158" s="165"/>
      <c r="J158" s="328">
        <f>H158/DAY(B2)</f>
        <v>0.5</v>
      </c>
    </row>
    <row r="159" spans="1:15" ht="25.5">
      <c r="A159" s="946"/>
      <c r="B159" s="947"/>
      <c r="C159" s="948"/>
      <c r="D159" s="117"/>
      <c r="E159" s="95"/>
      <c r="F159" s="155"/>
      <c r="G159" s="112"/>
      <c r="H159" s="99"/>
      <c r="I159" s="165"/>
      <c r="J159" s="328"/>
    </row>
    <row r="160" spans="1:15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513757</v>
      </c>
      <c r="F161" s="235">
        <v>513956</v>
      </c>
      <c r="G161" s="238">
        <f t="shared" ref="G161:G165" si="13">F161-E161</f>
        <v>199</v>
      </c>
      <c r="H161" s="99">
        <f>G161+'9'!H161</f>
        <v>1511</v>
      </c>
      <c r="I161" s="236"/>
      <c r="J161" s="239">
        <f>H161/DAY(B2)</f>
        <v>151.1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2089</v>
      </c>
      <c r="F162" s="235">
        <v>2135.4</v>
      </c>
      <c r="G162" s="238">
        <f t="shared" si="13"/>
        <v>46.400000000000091</v>
      </c>
      <c r="H162" s="99">
        <f>G162+'9'!H162</f>
        <v>348.40000000000009</v>
      </c>
      <c r="I162" s="236"/>
      <c r="J162" s="239">
        <f>H162/DAY(B2)</f>
        <v>34.840000000000011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0</v>
      </c>
      <c r="F163" s="235">
        <v>0</v>
      </c>
      <c r="G163" s="238">
        <f t="shared" si="13"/>
        <v>0</v>
      </c>
      <c r="H163" s="99">
        <f>G163+'9'!H163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7371</v>
      </c>
      <c r="F164" s="235">
        <v>7372.4</v>
      </c>
      <c r="G164" s="238">
        <f t="shared" si="13"/>
        <v>1.3999999999996362</v>
      </c>
      <c r="H164" s="99">
        <f>G164+'9'!H164</f>
        <v>35.399999999999636</v>
      </c>
      <c r="I164" s="236"/>
      <c r="J164" s="239">
        <f>H164/DAY(B2)</f>
        <v>3.5399999999999636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33040</v>
      </c>
      <c r="F165" s="235">
        <v>33048</v>
      </c>
      <c r="G165" s="238">
        <f t="shared" si="13"/>
        <v>8</v>
      </c>
      <c r="H165" s="99">
        <f>G165+'9'!H165</f>
        <v>73.480000000003201</v>
      </c>
      <c r="I165" s="236"/>
      <c r="J165" s="239">
        <f>H165/DAY(B2)</f>
        <v>7.3480000000003205</v>
      </c>
    </row>
    <row r="166" spans="1:10" ht="26.25">
      <c r="A166" s="872"/>
      <c r="B166" s="87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'9'!F173</f>
        <v>8622</v>
      </c>
      <c r="F173" s="155">
        <v>8624</v>
      </c>
      <c r="G173" s="155">
        <f>F173-E173</f>
        <v>2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790" t="s">
        <v>75</v>
      </c>
      <c r="B174" s="791"/>
      <c r="C174" s="333"/>
      <c r="D174" s="228" t="s">
        <v>142</v>
      </c>
      <c r="E174" s="95">
        <f>'9'!F174</f>
        <v>43513</v>
      </c>
      <c r="F174" s="157">
        <v>43523</v>
      </c>
      <c r="G174" s="157">
        <f t="shared" ref="G174:G175" si="14">F174-E174</f>
        <v>10</v>
      </c>
      <c r="H174" s="99">
        <f>G174+'9'!H174</f>
        <v>109</v>
      </c>
      <c r="I174" s="155"/>
      <c r="J174" s="178">
        <f>H174/DAY(B2)</f>
        <v>10.9</v>
      </c>
    </row>
    <row r="175" spans="1:10" ht="31.5" customHeight="1">
      <c r="A175" s="790" t="s">
        <v>76</v>
      </c>
      <c r="B175" s="803"/>
      <c r="C175" s="791"/>
      <c r="D175" s="228" t="s">
        <v>142</v>
      </c>
      <c r="E175" s="95">
        <f>'9'!F175</f>
        <v>26416</v>
      </c>
      <c r="F175" s="155">
        <v>26429</v>
      </c>
      <c r="G175" s="155">
        <f t="shared" si="14"/>
        <v>13</v>
      </c>
      <c r="H175" s="99">
        <f>G175+'9'!H175</f>
        <v>142</v>
      </c>
      <c r="I175" s="155"/>
      <c r="J175" s="178">
        <f>H175/DAY(B2)</f>
        <v>14.2</v>
      </c>
    </row>
    <row r="176" spans="1:10" ht="21.75" customHeight="1">
      <c r="A176" s="788" t="s">
        <v>196</v>
      </c>
      <c r="B176" s="789"/>
      <c r="C176" s="333"/>
      <c r="D176" s="228"/>
      <c r="E176" s="95"/>
      <c r="F176" s="155"/>
      <c r="G176" s="155">
        <f>SUM(G173:G175)</f>
        <v>25</v>
      </c>
      <c r="H176" s="99">
        <f>G176+'9'!H176</f>
        <v>263</v>
      </c>
      <c r="I176" s="155"/>
      <c r="J176" s="178">
        <f>H176/DAY(B2)</f>
        <v>26.3</v>
      </c>
    </row>
    <row r="177" spans="1:10" ht="27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790" t="s">
        <v>210</v>
      </c>
      <c r="B178" s="791"/>
      <c r="C178" s="333"/>
      <c r="D178" s="228" t="s">
        <v>142</v>
      </c>
      <c r="E178" s="95">
        <f>'9'!F178</f>
        <v>111377</v>
      </c>
      <c r="F178" s="155">
        <v>111469</v>
      </c>
      <c r="G178" s="155">
        <f>F178-E178</f>
        <v>92</v>
      </c>
      <c r="H178" s="99">
        <f>G178+'9'!H178</f>
        <v>1078</v>
      </c>
      <c r="I178" s="155"/>
      <c r="J178" s="178">
        <f>H178/DAY(B2)</f>
        <v>107.8</v>
      </c>
    </row>
    <row r="179" spans="1:10" ht="27.75" customHeight="1">
      <c r="A179" s="790" t="s">
        <v>211</v>
      </c>
      <c r="B179" s="791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'9'!F180</f>
        <v>7745</v>
      </c>
      <c r="F180" s="155">
        <v>7746</v>
      </c>
      <c r="G180" s="155">
        <f t="shared" si="15"/>
        <v>1</v>
      </c>
      <c r="H180" s="99">
        <f>G180+'9'!H180</f>
        <v>45</v>
      </c>
      <c r="I180" s="155"/>
      <c r="J180" s="178">
        <f>H180/DAY(B2)</f>
        <v>4.5</v>
      </c>
    </row>
    <row r="181" spans="1:10" ht="25.5">
      <c r="A181" s="878" t="s">
        <v>108</v>
      </c>
      <c r="B181" s="879"/>
      <c r="C181" s="333"/>
      <c r="D181" s="228"/>
      <c r="E181" s="95"/>
      <c r="F181" s="155"/>
      <c r="G181" s="155">
        <f>SUM(G178:G180)</f>
        <v>93</v>
      </c>
      <c r="H181" s="99">
        <f>G181+'9'!H181</f>
        <v>1123</v>
      </c>
      <c r="I181" s="155"/>
      <c r="J181" s="178">
        <f>H181/DAY(B2)</f>
        <v>112.3</v>
      </c>
    </row>
    <row r="182" spans="1:10" ht="25.5">
      <c r="A182" s="790" t="s">
        <v>213</v>
      </c>
      <c r="B182" s="791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'9'!F183</f>
        <v>18741</v>
      </c>
      <c r="F183" s="157">
        <v>18749</v>
      </c>
      <c r="G183" s="157">
        <f>F183-E183</f>
        <v>8</v>
      </c>
      <c r="H183" s="99">
        <f>G183+'9'!H183</f>
        <v>57</v>
      </c>
      <c r="I183" s="155"/>
      <c r="J183" s="178">
        <f>H183/DAY(B2)</f>
        <v>5.7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'9'!F184</f>
        <v>13315</v>
      </c>
      <c r="F184" s="157">
        <v>13321</v>
      </c>
      <c r="G184" s="157">
        <f t="shared" ref="G184:G185" si="16">F184-E184</f>
        <v>6</v>
      </c>
      <c r="H184" s="99">
        <f>G184+'9'!H184</f>
        <v>75</v>
      </c>
      <c r="I184" s="155"/>
      <c r="J184" s="178">
        <f>H184/DAY(B2)</f>
        <v>7.5</v>
      </c>
    </row>
    <row r="185" spans="1:10" ht="37.5" customHeight="1">
      <c r="A185" s="790" t="s">
        <v>216</v>
      </c>
      <c r="B185" s="791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788" t="s">
        <v>196</v>
      </c>
      <c r="B186" s="789"/>
      <c r="C186" s="334"/>
      <c r="D186" s="229"/>
      <c r="E186" s="95"/>
      <c r="F186" s="157"/>
      <c r="G186" s="157">
        <f>SUM(G183:G185)</f>
        <v>14</v>
      </c>
      <c r="H186" s="99">
        <f>G186+'9'!H186</f>
        <v>132</v>
      </c>
      <c r="I186" s="157"/>
      <c r="J186" s="178">
        <f>H186/DAY(B2)</f>
        <v>13.2</v>
      </c>
    </row>
    <row r="187" spans="1:10" ht="21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423">
        <f>G62+G19</f>
        <v>47</v>
      </c>
      <c r="H187" s="99">
        <f>G187+'9'!H187</f>
        <v>1589</v>
      </c>
      <c r="I187" s="158"/>
      <c r="J187" s="179">
        <f>H187/DAY(B2)</f>
        <v>158.9</v>
      </c>
    </row>
    <row r="188" spans="1:10" ht="21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423">
        <f>G65+G66+G67+G69+G70</f>
        <v>157</v>
      </c>
      <c r="H188" s="99">
        <f>G188+'9'!H188</f>
        <v>1832</v>
      </c>
      <c r="I188" s="158"/>
      <c r="J188" s="179">
        <f>H188/DAY(B2)</f>
        <v>183.2</v>
      </c>
    </row>
    <row r="189" spans="1:10" ht="21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420">
        <f>G181</f>
        <v>93</v>
      </c>
      <c r="H189" s="99">
        <f>G189+'9'!H189</f>
        <v>1123</v>
      </c>
      <c r="I189" s="158"/>
      <c r="J189" s="179">
        <f>H189/DAY(B2)</f>
        <v>112.3</v>
      </c>
    </row>
    <row r="190" spans="1:10" ht="27" customHeight="1">
      <c r="A190" s="876"/>
      <c r="B190" s="877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36" zoomScale="55" zoomScaleNormal="55" workbookViewId="0">
      <selection activeCell="H13" sqref="H1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30.75" customHeight="1">
      <c r="A2" s="191" t="s">
        <v>354</v>
      </c>
      <c r="B2" s="262">
        <v>44968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847141.67</v>
      </c>
      <c r="F7" s="95">
        <v>868018.07</v>
      </c>
      <c r="G7" s="112">
        <f>F7-E7</f>
        <v>20876.399999999907</v>
      </c>
      <c r="H7" s="99">
        <f>G7+'10'!H7</f>
        <v>245219.06999999995</v>
      </c>
      <c r="I7" s="113">
        <f>'1'!I7</f>
        <v>12000</v>
      </c>
      <c r="J7" s="175">
        <f>H7/DAY(B2)</f>
        <v>22292.642727272723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45495.51</v>
      </c>
      <c r="F8" s="114">
        <v>66979.539999999994</v>
      </c>
      <c r="G8" s="115">
        <f>F8-E8</f>
        <v>21484.029999999992</v>
      </c>
      <c r="H8" s="99">
        <f>G8+'10'!H8</f>
        <v>250869.54000000004</v>
      </c>
      <c r="I8" s="116"/>
      <c r="J8" s="175">
        <f>H8/DAY(B2)</f>
        <v>22806.321818181823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4954209.9000000004</v>
      </c>
      <c r="F9" s="468">
        <v>4965949.5</v>
      </c>
      <c r="G9" s="112">
        <f>F9-E9</f>
        <v>11739.599999999627</v>
      </c>
      <c r="H9" s="99">
        <f>G9+'10'!H9</f>
        <v>140850.5</v>
      </c>
      <c r="I9" s="124">
        <f>I7-J7</f>
        <v>-10292.642727272723</v>
      </c>
      <c r="J9" s="175">
        <f>H9/DAY(B2)</f>
        <v>12804.59090909091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4380142.3</v>
      </c>
      <c r="F10" s="353">
        <v>4388678.3</v>
      </c>
      <c r="G10" s="112">
        <f t="shared" ref="G10:G12" si="0">F10-E10</f>
        <v>8536</v>
      </c>
      <c r="H10" s="99">
        <f>G10+'10'!H10</f>
        <v>98144.299999999814</v>
      </c>
      <c r="I10" s="282"/>
      <c r="J10" s="175">
        <f>H10/DAY(B2)</f>
        <v>8922.2090909090748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38700</v>
      </c>
      <c r="F11" s="95">
        <v>38700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40550</v>
      </c>
      <c r="F12" s="117">
        <v>40550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20275.599999999627</v>
      </c>
      <c r="H13" s="99">
        <f>G13+'10'!H13</f>
        <v>238994.79999999981</v>
      </c>
      <c r="I13" s="120">
        <f>G7-G13</f>
        <v>600.8000000002794</v>
      </c>
      <c r="J13" s="175">
        <f>H13/DAY(B2)</f>
        <v>21726.799999999985</v>
      </c>
      <c r="K13" s="79"/>
      <c r="L13" s="66"/>
      <c r="N13" s="87"/>
      <c r="O13" s="71"/>
    </row>
    <row r="14" spans="1:16" ht="30.7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2299817.58</v>
      </c>
      <c r="F15" s="468">
        <v>2300884</v>
      </c>
      <c r="G15" s="112">
        <f>(F15-E15)</f>
        <v>1066.4199999999255</v>
      </c>
      <c r="H15" s="99">
        <f>G15+'10'!H15</f>
        <v>12410.285000000149</v>
      </c>
      <c r="I15" s="113">
        <f>'1'!I15</f>
        <v>800</v>
      </c>
      <c r="J15" s="175">
        <f>H15/DAY(B2)</f>
        <v>1128.2077272727408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-328.20772727274084</v>
      </c>
      <c r="J16" s="176"/>
      <c r="K16" s="79"/>
      <c r="L16" s="66"/>
      <c r="N16" s="87"/>
      <c r="O16" s="71"/>
    </row>
    <row r="17" spans="1:15" ht="30.7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4" t="s">
        <v>141</v>
      </c>
      <c r="B18" s="905"/>
      <c r="C18" s="906"/>
      <c r="D18" s="151" t="s">
        <v>142</v>
      </c>
      <c r="E18" s="95">
        <f>'10'!F18</f>
        <v>0</v>
      </c>
      <c r="F18" s="122">
        <v>0</v>
      </c>
      <c r="G18" s="119">
        <f>F18*10</f>
        <v>0</v>
      </c>
      <c r="H18" s="99">
        <f>G18+'10'!H18</f>
        <v>1890</v>
      </c>
      <c r="I18" s="113">
        <f>'1'!I18</f>
        <v>65</v>
      </c>
      <c r="J18" s="175">
        <f>H18/DAY(B2)</f>
        <v>171.81818181818181</v>
      </c>
      <c r="K18" s="79"/>
      <c r="L18" s="66"/>
      <c r="N18" s="87"/>
      <c r="O18" s="71"/>
    </row>
    <row r="19" spans="1:15" ht="30.75" customHeight="1">
      <c r="A19" s="904" t="s">
        <v>69</v>
      </c>
      <c r="B19" s="905"/>
      <c r="C19" s="906"/>
      <c r="D19" s="151" t="s">
        <v>142</v>
      </c>
      <c r="E19" s="95">
        <f>'10'!F19</f>
        <v>171846</v>
      </c>
      <c r="F19" s="122">
        <v>171900</v>
      </c>
      <c r="G19" s="112">
        <f t="shared" ref="G19" si="1">F19-E19</f>
        <v>54</v>
      </c>
      <c r="H19" s="99">
        <f>G19+'10'!H19</f>
        <v>577</v>
      </c>
      <c r="I19" s="335"/>
      <c r="J19" s="175">
        <f>H19/DAY(B2)</f>
        <v>52.454545454545453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54</v>
      </c>
      <c r="H20" s="99">
        <f>G20+'10'!H20</f>
        <v>2467</v>
      </c>
      <c r="I20" s="336">
        <f>I18-J20</f>
        <v>-159.27272727272728</v>
      </c>
      <c r="J20" s="175">
        <f>H20/DAY(B2)</f>
        <v>224.27272727272728</v>
      </c>
      <c r="K20" s="79"/>
      <c r="L20" s="66"/>
      <c r="N20" s="87"/>
      <c r="O20" s="71"/>
    </row>
    <row r="21" spans="1:15" ht="30.7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21484.029999999992</v>
      </c>
      <c r="F27" s="136">
        <v>10</v>
      </c>
      <c r="G27" s="137">
        <f>E27*F27</f>
        <v>214840.29999999993</v>
      </c>
      <c r="H27" s="99">
        <f>G27+'10'!H27</f>
        <v>2508695.4000000004</v>
      </c>
      <c r="I27" s="138"/>
      <c r="J27" s="175">
        <f>H27/DAY(B2)</f>
        <v>228063.21818181823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1066.4199999999255</v>
      </c>
      <c r="F28" s="136">
        <v>63</v>
      </c>
      <c r="G28" s="137">
        <f>E28*F28</f>
        <v>67184.459999995306</v>
      </c>
      <c r="H28" s="99">
        <f>G28+'10'!H28</f>
        <v>798769.41000001039</v>
      </c>
      <c r="I28" s="140"/>
      <c r="J28" s="175">
        <f>H28/DAY(B2)</f>
        <v>72615.400909091855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155</v>
      </c>
      <c r="G30" s="137">
        <f>E30*F30</f>
        <v>8370</v>
      </c>
      <c r="H30" s="99">
        <f>G30+'10'!H30</f>
        <v>88335</v>
      </c>
      <c r="I30" s="140"/>
      <c r="J30" s="175">
        <f>H30/DAY(B2)</f>
        <v>8030.454545454545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88</v>
      </c>
      <c r="G31" s="137">
        <f>E31*F31</f>
        <v>0</v>
      </c>
      <c r="H31" s="99">
        <f>G31+'10'!H31</f>
        <v>163200</v>
      </c>
      <c r="I31" s="140"/>
      <c r="J31" s="175">
        <f>H31/DAY(B2)</f>
        <v>14836.363636363636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290394.75999999524</v>
      </c>
      <c r="H32" s="99">
        <f>G32+'10'!H32</f>
        <v>3558999.8100000103</v>
      </c>
      <c r="I32" s="144"/>
      <c r="J32" s="175">
        <f>H32/DAY(B2)</f>
        <v>323545.43727272819</v>
      </c>
      <c r="K32" s="63"/>
      <c r="L32" s="89"/>
      <c r="N32" s="87"/>
      <c r="O32" s="71"/>
    </row>
    <row r="33" spans="1:15" ht="30.7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555737</v>
      </c>
      <c r="F35" s="145">
        <v>558437.71</v>
      </c>
      <c r="G35" s="112">
        <f t="shared" ref="G35:G46" si="3">F35-E35</f>
        <v>2700.7099999999627</v>
      </c>
      <c r="H35" s="99">
        <f>G35+'10'!H35</f>
        <v>28381.709999999963</v>
      </c>
      <c r="I35" s="95"/>
      <c r="J35" s="175">
        <f>H35/DAY(B2)</f>
        <v>2580.155454545451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392132</v>
      </c>
      <c r="F36" s="145">
        <v>393142.47</v>
      </c>
      <c r="G36" s="112">
        <f t="shared" si="3"/>
        <v>1010.4699999999721</v>
      </c>
      <c r="H36" s="99">
        <f>G36+'10'!H36</f>
        <v>11321.469999999972</v>
      </c>
      <c r="I36" s="95"/>
      <c r="J36" s="175">
        <f>H36/DAY(B2)</f>
        <v>1029.224545454543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398282</v>
      </c>
      <c r="F37" s="145">
        <v>399647.75</v>
      </c>
      <c r="G37" s="112">
        <f t="shared" si="3"/>
        <v>1365.75</v>
      </c>
      <c r="H37" s="99">
        <f>G37+'10'!H37</f>
        <v>16028.75</v>
      </c>
      <c r="I37" s="95"/>
      <c r="J37" s="175">
        <f>H37/DAY(B2)</f>
        <v>1457.159090909091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903879</v>
      </c>
      <c r="F38" s="108">
        <v>906295.75</v>
      </c>
      <c r="G38" s="112">
        <f t="shared" si="3"/>
        <v>2416.75</v>
      </c>
      <c r="H38" s="99">
        <f>G38+'10'!H38</f>
        <v>29168.75</v>
      </c>
      <c r="I38" s="95"/>
      <c r="J38" s="175">
        <f>H38/DAY(B2)</f>
        <v>2651.7045454545455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734537</v>
      </c>
      <c r="F39" s="145">
        <v>737331.19</v>
      </c>
      <c r="G39" s="112">
        <f t="shared" si="3"/>
        <v>2794.1899999999441</v>
      </c>
      <c r="H39" s="99">
        <f>G39+'10'!H39</f>
        <v>31195.189999999944</v>
      </c>
      <c r="I39" s="95"/>
      <c r="J39" s="175">
        <f>H39/DAY(B2)</f>
        <v>2835.9263636363585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220527</v>
      </c>
      <c r="F40" s="145">
        <v>220744.31</v>
      </c>
      <c r="G40" s="112">
        <f t="shared" si="3"/>
        <v>217.30999999999767</v>
      </c>
      <c r="H40" s="99">
        <f>G40+'10'!H40</f>
        <v>2952.3099999999977</v>
      </c>
      <c r="I40" s="95"/>
      <c r="J40" s="175">
        <f>H40/DAY(B2)</f>
        <v>268.391818181818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420212.5</v>
      </c>
      <c r="F41" s="145">
        <v>420212.51</v>
      </c>
      <c r="G41" s="112">
        <f t="shared" si="3"/>
        <v>1.0000000009313226E-2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982309.59</v>
      </c>
      <c r="F42" s="145">
        <v>982309.59</v>
      </c>
      <c r="G42" s="112">
        <f t="shared" si="3"/>
        <v>0</v>
      </c>
      <c r="H42" s="99">
        <f>G42+'10'!H42</f>
        <v>9246.9599999999627</v>
      </c>
      <c r="I42" s="95"/>
      <c r="J42" s="175">
        <f>H42/DAY(B2)</f>
        <v>840.63272727272386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422444</v>
      </c>
      <c r="F43" s="422">
        <v>422444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10505.189999999886</v>
      </c>
      <c r="H47" s="99">
        <f>G47+'10'!H47</f>
        <v>128295.13999999984</v>
      </c>
      <c r="I47" s="95"/>
      <c r="J47" s="175">
        <f>H47/DAY(B2)</f>
        <v>11663.194545454531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828358</v>
      </c>
      <c r="F49" s="145">
        <v>828867.75</v>
      </c>
      <c r="G49" s="112">
        <f t="shared" ref="G49:G58" si="4">F49-E49</f>
        <v>509.75</v>
      </c>
      <c r="H49" s="99">
        <f>G49+'10'!H49</f>
        <v>5955.75</v>
      </c>
      <c r="I49" s="95"/>
      <c r="J49" s="175">
        <f>H49/DAY(B2)</f>
        <v>541.43181818181813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555756</v>
      </c>
      <c r="F50" s="145">
        <v>556912.94999999995</v>
      </c>
      <c r="G50" s="112">
        <f t="shared" si="4"/>
        <v>1156.9499999999534</v>
      </c>
      <c r="H50" s="99">
        <f>G50+'10'!H50</f>
        <v>14938.949999999953</v>
      </c>
      <c r="I50" s="95"/>
      <c r="J50" s="175">
        <f>H50/DAY(B2)</f>
        <v>1358.0863636363595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156958</v>
      </c>
      <c r="F51" s="145">
        <v>156958.44</v>
      </c>
      <c r="G51" s="112">
        <f t="shared" si="4"/>
        <v>0.44000000000232831</v>
      </c>
      <c r="H51" s="99">
        <f>G51+'10'!H51</f>
        <v>0.44000000000232831</v>
      </c>
      <c r="I51" s="95"/>
      <c r="J51" s="175">
        <f>H51/DAY(B2)</f>
        <v>4.0000000000211665E-2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1457.43</v>
      </c>
      <c r="F52" s="145">
        <v>1457.43</v>
      </c>
      <c r="G52" s="112">
        <f t="shared" si="4"/>
        <v>0</v>
      </c>
      <c r="H52" s="99">
        <f>G52+'10'!H52</f>
        <v>0.43000000000006366</v>
      </c>
      <c r="I52" s="95"/>
      <c r="J52" s="175">
        <f>H52/DAY(B2)</f>
        <v>3.909090909091488E-2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630355</v>
      </c>
      <c r="F53" s="145">
        <v>630355.03</v>
      </c>
      <c r="G53" s="112">
        <f t="shared" si="4"/>
        <v>3.0000000027939677E-2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127133.95</v>
      </c>
      <c r="F54" s="145">
        <v>127522.79</v>
      </c>
      <c r="G54" s="112">
        <f t="shared" si="4"/>
        <v>388.83999999999651</v>
      </c>
      <c r="H54" s="99">
        <f>G54+'10'!H54</f>
        <v>3408.5799999999872</v>
      </c>
      <c r="I54" s="95"/>
      <c r="J54" s="175">
        <f>H54/DAY(B2)</f>
        <v>309.8709090909079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594304.75</v>
      </c>
      <c r="F55" s="145">
        <v>594304.75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401245.71</v>
      </c>
      <c r="F56" s="422">
        <v>403963.91</v>
      </c>
      <c r="G56" s="112">
        <f t="shared" si="4"/>
        <v>2718.1999999999534</v>
      </c>
      <c r="H56" s="99">
        <f>G56+'10'!H56</f>
        <v>30843.909999999974</v>
      </c>
      <c r="I56" s="95"/>
      <c r="J56" s="175">
        <f>H56/DAY(B2)</f>
        <v>2803.9918181818157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733600.6</v>
      </c>
      <c r="F57" s="145">
        <v>736220.47</v>
      </c>
      <c r="G57" s="112">
        <f t="shared" si="4"/>
        <v>2619.8699999999953</v>
      </c>
      <c r="H57" s="99">
        <f>G57+'10'!H57</f>
        <v>28522.469999999972</v>
      </c>
      <c r="I57" s="95"/>
      <c r="J57" s="175">
        <f>H57/DAY(B2)</f>
        <v>2592.9518181818157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97179.87</v>
      </c>
      <c r="F58" s="145">
        <v>97438.51</v>
      </c>
      <c r="G58" s="112">
        <f t="shared" si="4"/>
        <v>258.63999999999942</v>
      </c>
      <c r="H58" s="99">
        <f>G58+'10'!H58</f>
        <v>2868.6899999999878</v>
      </c>
      <c r="I58" s="95"/>
      <c r="J58" s="175">
        <f>H58/DAY(B2)</f>
        <v>260.78999999999888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7652.7199999999284</v>
      </c>
      <c r="H59" s="99">
        <f>G59+'10'!H59</f>
        <v>86539.21999999987</v>
      </c>
      <c r="I59" s="95">
        <f>G7-G60</f>
        <v>2718.4900000000926</v>
      </c>
      <c r="J59" s="175">
        <f>H59/DAY(B2)</f>
        <v>7867.2018181818066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18157.909999999814</v>
      </c>
      <c r="H60" s="99">
        <f>G60+'10'!H60</f>
        <v>214834.35999999975</v>
      </c>
      <c r="I60" s="95">
        <f>G13-G60</f>
        <v>2117.6899999998132</v>
      </c>
      <c r="J60" s="175">
        <f>H60/DAY(B2)</f>
        <v>19530.396363636341</v>
      </c>
      <c r="K60" s="79"/>
      <c r="L60" s="66"/>
      <c r="N60" s="87"/>
      <c r="O60" s="71"/>
    </row>
    <row r="61" spans="1:15" s="68" customFormat="1" ht="30.75" customHeight="1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4" t="s">
        <v>198</v>
      </c>
      <c r="B62" s="905"/>
      <c r="C62" s="906"/>
      <c r="D62" s="151" t="s">
        <v>142</v>
      </c>
      <c r="E62" s="95">
        <f>'10'!F62</f>
        <v>316743</v>
      </c>
      <c r="F62" s="122">
        <v>316743</v>
      </c>
      <c r="G62" s="112">
        <f t="shared" ref="G62:G63" si="5">F62-E62</f>
        <v>0</v>
      </c>
      <c r="H62" s="99">
        <f>G62+'10'!H62</f>
        <v>1066</v>
      </c>
      <c r="I62" s="118"/>
      <c r="J62" s="175">
        <f>H62/DAY(B2)</f>
        <v>96.909090909090907</v>
      </c>
      <c r="K62" s="80"/>
      <c r="L62" s="66"/>
      <c r="N62" s="87"/>
      <c r="O62" s="71"/>
    </row>
    <row r="63" spans="1:15" ht="30.75" customHeight="1">
      <c r="A63" s="904" t="s">
        <v>199</v>
      </c>
      <c r="B63" s="905"/>
      <c r="C63" s="906"/>
      <c r="D63" s="151" t="s">
        <v>142</v>
      </c>
      <c r="E63" s="95">
        <f>'10'!F63</f>
        <v>253101</v>
      </c>
      <c r="F63" s="150">
        <v>253233</v>
      </c>
      <c r="G63" s="112">
        <f t="shared" si="5"/>
        <v>132</v>
      </c>
      <c r="H63" s="99">
        <f>G63+'10'!H63</f>
        <v>909</v>
      </c>
      <c r="I63" s="118"/>
      <c r="J63" s="175">
        <f>H63/DAY(B2)</f>
        <v>82.63636363636364</v>
      </c>
      <c r="K63" s="69"/>
      <c r="L63" s="66"/>
      <c r="N63" s="87"/>
      <c r="O63" s="71"/>
    </row>
    <row r="64" spans="1:15" ht="30.75" customHeight="1">
      <c r="A64" s="913" t="s">
        <v>200</v>
      </c>
      <c r="B64" s="914"/>
      <c r="C64" s="915"/>
      <c r="D64" s="151"/>
      <c r="E64" s="95">
        <f>'10'!F64</f>
        <v>0</v>
      </c>
      <c r="F64" s="122"/>
      <c r="G64" s="112">
        <f>G62+G63</f>
        <v>132</v>
      </c>
      <c r="H64" s="99">
        <f>G64+'10'!H64</f>
        <v>1975</v>
      </c>
      <c r="I64" s="118"/>
      <c r="J64" s="175">
        <f>H64/DAY(B2)</f>
        <v>179.54545454545453</v>
      </c>
      <c r="K64" s="69"/>
      <c r="L64" s="66"/>
      <c r="N64" s="87"/>
      <c r="O64" s="71"/>
    </row>
    <row r="65" spans="1:15" ht="30.75" customHeight="1">
      <c r="A65" s="904" t="s">
        <v>201</v>
      </c>
      <c r="B65" s="905"/>
      <c r="C65" s="906"/>
      <c r="D65" s="151" t="s">
        <v>142</v>
      </c>
      <c r="E65" s="95">
        <f>'10'!F65</f>
        <v>477230</v>
      </c>
      <c r="F65" s="122">
        <v>477336</v>
      </c>
      <c r="G65" s="112">
        <f t="shared" ref="G65:G70" si="6">F65-E65</f>
        <v>106</v>
      </c>
      <c r="H65" s="99">
        <f>G65+'10'!H65</f>
        <v>1433</v>
      </c>
      <c r="I65" s="118"/>
      <c r="J65" s="175">
        <f>H65/DAY(B2)</f>
        <v>130.27272727272728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114641</v>
      </c>
      <c r="F66" s="122">
        <v>114651</v>
      </c>
      <c r="G66" s="112">
        <f t="shared" si="6"/>
        <v>10</v>
      </c>
      <c r="H66" s="99">
        <f>G66+'10'!H66</f>
        <v>185</v>
      </c>
      <c r="I66" s="118"/>
      <c r="J66" s="175">
        <f>H66/DAY(B2)</f>
        <v>16.818181818181817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117498</v>
      </c>
      <c r="F67" s="122">
        <v>117534</v>
      </c>
      <c r="G67" s="112">
        <f t="shared" si="6"/>
        <v>36</v>
      </c>
      <c r="H67" s="99">
        <f>G67+'10'!H67</f>
        <v>252</v>
      </c>
      <c r="I67" s="118"/>
      <c r="J67" s="175">
        <f>H67/DAY(B2)</f>
        <v>22.90909090909091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170147</v>
      </c>
      <c r="F68" s="122">
        <v>170155</v>
      </c>
      <c r="G68" s="112">
        <f t="shared" si="6"/>
        <v>8</v>
      </c>
      <c r="H68" s="99">
        <f>G68+'10'!H68</f>
        <v>205</v>
      </c>
      <c r="I68" s="118"/>
      <c r="J68" s="175">
        <f>H68/DAY(B2)</f>
        <v>18.636363636363637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13256</v>
      </c>
      <c r="F69" s="122">
        <v>13259</v>
      </c>
      <c r="G69" s="112">
        <f t="shared" si="6"/>
        <v>3</v>
      </c>
      <c r="H69" s="99">
        <f>G69+'10'!H69</f>
        <v>47</v>
      </c>
      <c r="I69" s="118"/>
      <c r="J69" s="175">
        <f>H69/DAY(B2)</f>
        <v>4.2727272727272725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11328</v>
      </c>
      <c r="F70" s="122">
        <v>11334</v>
      </c>
      <c r="G70" s="112">
        <f t="shared" si="6"/>
        <v>6</v>
      </c>
      <c r="H70" s="99">
        <f>G70+'10'!H70</f>
        <v>76</v>
      </c>
      <c r="I70" s="118"/>
      <c r="J70" s="175">
        <f>H70/DAY(B2)</f>
        <v>6.9090909090909092</v>
      </c>
      <c r="K70" s="69"/>
      <c r="L70" s="66"/>
      <c r="N70" s="87"/>
      <c r="O70" s="71"/>
    </row>
    <row r="71" spans="1:15" ht="30.75" customHeight="1">
      <c r="A71" s="913" t="s">
        <v>208</v>
      </c>
      <c r="B71" s="914"/>
      <c r="C71" s="915"/>
      <c r="D71" s="152"/>
      <c r="E71" s="152"/>
      <c r="F71" s="124">
        <f>+'11'!O79</f>
        <v>0</v>
      </c>
      <c r="G71" s="153">
        <f>SUM(G65:G70)</f>
        <v>169</v>
      </c>
      <c r="H71" s="99">
        <f>G71+'10'!H71</f>
        <v>2198</v>
      </c>
      <c r="I71" s="154"/>
      <c r="J71" s="175">
        <f>H71/DAY(B2)</f>
        <v>199.81818181818181</v>
      </c>
      <c r="K71" s="69"/>
      <c r="L71" s="66"/>
      <c r="N71" s="87"/>
      <c r="O71" s="71"/>
    </row>
    <row r="72" spans="1:15" s="88" customFormat="1" ht="30.7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4" t="s">
        <v>220</v>
      </c>
      <c r="B74" s="905"/>
      <c r="C74" s="906"/>
      <c r="D74" s="151" t="s">
        <v>139</v>
      </c>
      <c r="E74" s="95">
        <f>'10'!F74</f>
        <v>15475</v>
      </c>
      <c r="F74" s="117">
        <v>15770.92</v>
      </c>
      <c r="G74" s="112">
        <f>F74-E74</f>
        <v>295.92000000000007</v>
      </c>
      <c r="H74" s="99">
        <f>G74+'10'!H74</f>
        <v>3508.92</v>
      </c>
      <c r="I74" s="154"/>
      <c r="J74" s="175">
        <f>H74/DAY(B2)</f>
        <v>318.99272727272728</v>
      </c>
      <c r="K74" s="69"/>
      <c r="L74" s="66"/>
      <c r="N74" s="87"/>
      <c r="O74" s="71"/>
    </row>
    <row r="75" spans="1:15" ht="30.75" customHeight="1">
      <c r="A75" s="904" t="s">
        <v>221</v>
      </c>
      <c r="B75" s="905"/>
      <c r="C75" s="906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1" t="s">
        <v>222</v>
      </c>
      <c r="B76" s="902"/>
      <c r="C76" s="903"/>
      <c r="D76" s="151" t="s">
        <v>139</v>
      </c>
      <c r="E76" s="95">
        <f>'10'!F76</f>
        <v>211765</v>
      </c>
      <c r="F76" s="123">
        <v>211896</v>
      </c>
      <c r="G76" s="112">
        <f t="shared" si="7"/>
        <v>131</v>
      </c>
      <c r="H76" s="99">
        <f>G76+'10'!H76</f>
        <v>1236</v>
      </c>
      <c r="I76" s="154"/>
      <c r="J76" s="175">
        <f>H76/DAY(B2)</f>
        <v>112.36363636363636</v>
      </c>
      <c r="K76" s="69"/>
      <c r="L76" s="66"/>
      <c r="N76" s="87"/>
      <c r="O76" s="71"/>
    </row>
    <row r="77" spans="1:15" ht="30.75" customHeight="1">
      <c r="A77" s="901" t="s">
        <v>223</v>
      </c>
      <c r="B77" s="902"/>
      <c r="C77" s="903"/>
      <c r="D77" s="151" t="s">
        <v>139</v>
      </c>
      <c r="E77" s="95">
        <f>'10'!F77</f>
        <v>60262</v>
      </c>
      <c r="F77" s="123">
        <v>60311</v>
      </c>
      <c r="G77" s="112">
        <f t="shared" si="7"/>
        <v>49</v>
      </c>
      <c r="H77" s="99">
        <f>G77+'10'!H77</f>
        <v>550</v>
      </c>
      <c r="I77" s="154"/>
      <c r="J77" s="175">
        <f>H77/DAY(B2)</f>
        <v>50</v>
      </c>
      <c r="K77" s="69"/>
      <c r="L77" s="66"/>
      <c r="N77" s="87"/>
      <c r="O77" s="71"/>
    </row>
    <row r="78" spans="1:15" ht="30.75" customHeight="1">
      <c r="A78" s="901" t="s">
        <v>224</v>
      </c>
      <c r="B78" s="902"/>
      <c r="C78" s="903"/>
      <c r="D78" s="151" t="s">
        <v>139</v>
      </c>
      <c r="E78" s="95">
        <f>'10'!F78</f>
        <v>9564</v>
      </c>
      <c r="F78" s="123">
        <v>9564</v>
      </c>
      <c r="G78" s="112">
        <f t="shared" si="7"/>
        <v>0</v>
      </c>
      <c r="H78" s="99">
        <f>G78+'10'!H78</f>
        <v>0.5</v>
      </c>
      <c r="I78" s="118"/>
      <c r="J78" s="175">
        <f>H78/DAY(B2)</f>
        <v>4.5454545454545456E-2</v>
      </c>
      <c r="K78" s="69"/>
      <c r="L78" s="66"/>
      <c r="N78" s="87"/>
      <c r="O78" s="71"/>
    </row>
    <row r="79" spans="1:15" s="57" customFormat="1" ht="30.75" customHeight="1">
      <c r="A79" s="901" t="s">
        <v>225</v>
      </c>
      <c r="B79" s="902"/>
      <c r="C79" s="903"/>
      <c r="D79" s="151"/>
      <c r="E79" s="95">
        <f>'10'!F79</f>
        <v>0</v>
      </c>
      <c r="F79" s="117"/>
      <c r="G79" s="112">
        <f>G15-SUM(G74:G78)</f>
        <v>590.49999999992542</v>
      </c>
      <c r="H79" s="99">
        <f>G79+'10'!H79</f>
        <v>7114.8650000001489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1066.4199999999255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4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4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43546</v>
      </c>
      <c r="F84" s="164">
        <v>43546</v>
      </c>
      <c r="G84" s="112">
        <f t="shared" si="8"/>
        <v>0</v>
      </c>
      <c r="H84" s="99">
        <f>G84+'10'!H84</f>
        <v>0</v>
      </c>
      <c r="I84" s="54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6258</v>
      </c>
      <c r="F85" s="164">
        <v>6258</v>
      </c>
      <c r="G85" s="112">
        <f t="shared" si="8"/>
        <v>0</v>
      </c>
      <c r="H85" s="99">
        <f>G85+'10'!H85</f>
        <v>45</v>
      </c>
      <c r="I85" s="543"/>
      <c r="J85" s="175">
        <f>H85/DAY(B2)</f>
        <v>4.0909090909090908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46971</v>
      </c>
      <c r="F86" s="164">
        <v>46971</v>
      </c>
      <c r="G86" s="112">
        <f t="shared" si="8"/>
        <v>0</v>
      </c>
      <c r="H86" s="99">
        <f>G86+'10'!H86</f>
        <v>0</v>
      </c>
      <c r="I86" s="543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37562.89</v>
      </c>
      <c r="F87" s="164">
        <v>37586.949999999997</v>
      </c>
      <c r="G87" s="112">
        <f t="shared" si="8"/>
        <v>24.059999999997672</v>
      </c>
      <c r="H87" s="99">
        <f>G87+'10'!H87</f>
        <v>222.94999999999709</v>
      </c>
      <c r="I87" s="543">
        <f>G84+G85+G86+G87</f>
        <v>24.059999999997672</v>
      </c>
      <c r="J87" s="175">
        <f>H87/DAY(B2)</f>
        <v>20.268181818181553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24831.52</v>
      </c>
      <c r="F88" s="164">
        <v>24836.2</v>
      </c>
      <c r="G88" s="112">
        <f t="shared" si="8"/>
        <v>4.680000000000291</v>
      </c>
      <c r="H88" s="99">
        <f>G88+'10'!H88</f>
        <v>74.200000000000728</v>
      </c>
      <c r="I88" s="543"/>
      <c r="J88" s="175">
        <f>H88/DAY(B2)</f>
        <v>6.7454545454546118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29098.63</v>
      </c>
      <c r="F89" s="164">
        <v>29106.07</v>
      </c>
      <c r="G89" s="112">
        <f t="shared" si="8"/>
        <v>7.4399999999986903</v>
      </c>
      <c r="H89" s="99">
        <f>G89+'10'!H89</f>
        <v>78.069999999999709</v>
      </c>
      <c r="I89" s="543">
        <f>G88+G89</f>
        <v>12.119999999998981</v>
      </c>
      <c r="J89" s="175">
        <f>H89/DAY(B2)</f>
        <v>7.097272727272701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74523.679999999993</v>
      </c>
      <c r="F90" s="164">
        <v>74530.8</v>
      </c>
      <c r="G90" s="112">
        <f t="shared" si="8"/>
        <v>7.1200000000098953</v>
      </c>
      <c r="H90" s="99">
        <f>G90+'10'!H90</f>
        <v>82.80000000000291</v>
      </c>
      <c r="I90" s="543">
        <f>G90</f>
        <v>7.1200000000098953</v>
      </c>
      <c r="J90" s="175">
        <f>H90/DAY(B2)</f>
        <v>7.527272727272992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5705.41</v>
      </c>
      <c r="F91" s="122">
        <v>5716.91</v>
      </c>
      <c r="G91" s="112">
        <f t="shared" si="8"/>
        <v>11.5</v>
      </c>
      <c r="H91" s="99">
        <f>G91+'10'!H91</f>
        <v>98.699999999999818</v>
      </c>
      <c r="I91" s="544"/>
      <c r="J91" s="175">
        <f>H91/DAY(B2)</f>
        <v>8.9727272727272567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7466.87</v>
      </c>
      <c r="F92" s="122">
        <v>7466.87</v>
      </c>
      <c r="G92" s="112">
        <f t="shared" si="8"/>
        <v>0</v>
      </c>
      <c r="H92" s="99">
        <f>G92+'10'!H92</f>
        <v>34.590000000000146</v>
      </c>
      <c r="I92" s="545">
        <f>G91+G92</f>
        <v>11.5</v>
      </c>
      <c r="J92" s="175">
        <f>H92/DAY(B2)</f>
        <v>3.1445454545454679</v>
      </c>
      <c r="O92" s="71"/>
    </row>
    <row r="93" spans="1:15" ht="30.7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5830.3299999999581</v>
      </c>
      <c r="H94" s="99">
        <f>G94+'10'!H94</f>
        <v>62859.929999999935</v>
      </c>
      <c r="I94" s="118"/>
      <c r="J94" s="175">
        <f>H94/DAY(B2)</f>
        <v>5714.5390909090847</v>
      </c>
      <c r="K94" s="69"/>
      <c r="L94" s="66"/>
      <c r="O94" s="71"/>
    </row>
    <row r="95" spans="1:15" ht="30.7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0.27927851545285509</v>
      </c>
      <c r="H95" s="99">
        <f>G95+'10'!H95</f>
        <v>2.8217517435461086</v>
      </c>
      <c r="I95" s="167"/>
      <c r="J95" s="175">
        <f>H95/DAY(B2)</f>
        <v>0.25652288577691895</v>
      </c>
      <c r="K95" s="69"/>
      <c r="L95" s="66"/>
      <c r="O95" s="71"/>
    </row>
    <row r="96" spans="1:15" ht="30.7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2718.2099999999627</v>
      </c>
      <c r="H96" s="99">
        <f>G96+'10'!H96</f>
        <v>40090.869999999937</v>
      </c>
      <c r="I96" s="118"/>
      <c r="J96" s="175">
        <f>H96/DAY(B2)</f>
        <v>3644.6245454545397</v>
      </c>
      <c r="K96" s="69"/>
      <c r="L96" s="66"/>
      <c r="O96" s="71"/>
    </row>
    <row r="97" spans="1:15" ht="30.7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0.13020492038857154</v>
      </c>
      <c r="H97" s="99">
        <f>G97+'10'!H97</f>
        <v>1.7983991716052159</v>
      </c>
      <c r="I97" s="167"/>
      <c r="J97" s="175">
        <f>H97/DAY(B2)</f>
        <v>0.16349083378229234</v>
      </c>
      <c r="K97" s="69"/>
      <c r="L97" s="66"/>
      <c r="O97" s="71"/>
    </row>
    <row r="98" spans="1:15" ht="30.7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2794.2199999999721</v>
      </c>
      <c r="H98" s="99">
        <f>G98+'10'!H98</f>
        <v>31195.189999999944</v>
      </c>
      <c r="I98" s="168"/>
      <c r="J98" s="175">
        <f>H98/DAY(B2)</f>
        <v>2835.9263636363585</v>
      </c>
      <c r="K98" s="69"/>
      <c r="L98" s="66"/>
      <c r="O98" s="71"/>
    </row>
    <row r="99" spans="1:15" ht="30.7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0.13384587380965993</v>
      </c>
      <c r="H99" s="99">
        <f>G99+'10'!H99</f>
        <v>1.4004183792964682</v>
      </c>
      <c r="I99" s="168"/>
      <c r="J99" s="175">
        <f>H99/DAY(B2)</f>
        <v>0.12731076175422437</v>
      </c>
      <c r="O99" s="71"/>
    </row>
    <row r="100" spans="1:15" ht="30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2416.75</v>
      </c>
      <c r="H100" s="99">
        <f>G100+'10'!H100</f>
        <v>29169.18</v>
      </c>
      <c r="I100" s="118"/>
      <c r="J100" s="175">
        <f>H100/DAY(B2)</f>
        <v>2651.7436363636366</v>
      </c>
      <c r="K100" s="70"/>
      <c r="O100" s="71"/>
    </row>
    <row r="101" spans="1:15" ht="30.7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0.11576469123028926</v>
      </c>
      <c r="H101" s="99">
        <f>G101+'10'!H101</f>
        <v>1.3081321993655748</v>
      </c>
      <c r="I101" s="168"/>
      <c r="J101" s="175">
        <f>H101/DAY(B2)</f>
        <v>0.11892110903323407</v>
      </c>
      <c r="O101" s="71"/>
    </row>
    <row r="102" spans="1:15" ht="30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2167.4199999999255</v>
      </c>
      <c r="H102" s="99">
        <f>G102+'10'!H102</f>
        <v>26260.419999999925</v>
      </c>
      <c r="I102" s="168"/>
      <c r="J102" s="175">
        <f>H102/DAY(B2)</f>
        <v>2387.3109090909024</v>
      </c>
      <c r="O102" s="71"/>
    </row>
    <row r="103" spans="1:15" ht="30.7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0.10382154011227679</v>
      </c>
      <c r="H103" s="99">
        <f>G103+'10'!H103</f>
        <v>1.1762118467703349</v>
      </c>
      <c r="I103" s="118"/>
      <c r="J103" s="175">
        <f>H103/DAY(B2)</f>
        <v>0.10692834970639407</v>
      </c>
      <c r="O103" s="71"/>
    </row>
    <row r="104" spans="1:15" ht="30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1366.1900000000023</v>
      </c>
      <c r="H104" s="99">
        <f>G104+'10'!H104</f>
        <v>16029.190000000002</v>
      </c>
      <c r="I104" s="118"/>
      <c r="J104" s="175">
        <f>H104/DAY(B2)</f>
        <v>1457.1990909090912</v>
      </c>
      <c r="O104" s="71"/>
    </row>
    <row r="105" spans="1:15" ht="30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6.5441838631182025E-2</v>
      </c>
      <c r="H105" s="99">
        <f>G105+'10'!H105</f>
        <v>0.71909423530282357</v>
      </c>
      <c r="I105" s="187"/>
      <c r="J105" s="188">
        <f>H105/DAY(B2)</f>
        <v>6.5372203209347599E-2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30.75" customHeight="1">
      <c r="A109" s="920"/>
      <c r="B109" s="920"/>
    </row>
    <row r="110" spans="1:15" ht="30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30.7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3" t="s">
        <v>252</v>
      </c>
      <c r="B112" s="884"/>
      <c r="C112" s="885"/>
      <c r="D112" s="146" t="s">
        <v>183</v>
      </c>
      <c r="E112" s="95">
        <f>'10'!F112</f>
        <v>20009.900000000001</v>
      </c>
      <c r="F112" s="237">
        <v>20070.11</v>
      </c>
      <c r="G112" s="112">
        <f t="shared" ref="G112:G123" si="9">F112-E112</f>
        <v>60.209999999999127</v>
      </c>
      <c r="H112" s="99">
        <f>G112+'10'!H112</f>
        <v>673.11000000000058</v>
      </c>
      <c r="I112" s="165"/>
      <c r="J112" s="328">
        <f>H112/DAY(B2)</f>
        <v>61.191818181818235</v>
      </c>
    </row>
    <row r="113" spans="1:18" ht="30.75" customHeight="1">
      <c r="A113" s="883" t="s">
        <v>253</v>
      </c>
      <c r="B113" s="884"/>
      <c r="C113" s="885"/>
      <c r="D113" s="146" t="s">
        <v>183</v>
      </c>
      <c r="E113" s="95">
        <f>'10'!F113</f>
        <v>42977.47</v>
      </c>
      <c r="F113" s="237">
        <v>43123</v>
      </c>
      <c r="G113" s="112">
        <f t="shared" si="9"/>
        <v>145.52999999999884</v>
      </c>
      <c r="H113" s="99">
        <f>G113+'10'!H113</f>
        <v>1603.0500000000029</v>
      </c>
      <c r="I113" s="165"/>
      <c r="J113" s="328">
        <f>H113/DAY(B2)</f>
        <v>145.73181818181845</v>
      </c>
    </row>
    <row r="114" spans="1:18" ht="30.75" customHeight="1">
      <c r="A114" s="883" t="s">
        <v>254</v>
      </c>
      <c r="B114" s="884"/>
      <c r="C114" s="885"/>
      <c r="D114" s="146" t="s">
        <v>183</v>
      </c>
      <c r="E114" s="95">
        <f>'10'!F114</f>
        <v>63471</v>
      </c>
      <c r="F114" s="237">
        <v>63700.63</v>
      </c>
      <c r="G114" s="112">
        <f t="shared" si="9"/>
        <v>229.62999999999738</v>
      </c>
      <c r="H114" s="99">
        <f>G114+'10'!H114</f>
        <v>2482.6299999999974</v>
      </c>
      <c r="I114" s="165"/>
      <c r="J114" s="328">
        <f>H114/DAY(B2)</f>
        <v>225.69363636363613</v>
      </c>
    </row>
    <row r="115" spans="1:18" ht="30.75" customHeight="1">
      <c r="A115" s="883" t="s">
        <v>255</v>
      </c>
      <c r="B115" s="884"/>
      <c r="C115" s="885"/>
      <c r="D115" s="146" t="s">
        <v>183</v>
      </c>
      <c r="E115" s="95">
        <f>'10'!F115</f>
        <v>40916.89</v>
      </c>
      <c r="F115" s="237">
        <v>41046.03</v>
      </c>
      <c r="G115" s="112">
        <f t="shared" si="9"/>
        <v>129.13999999999942</v>
      </c>
      <c r="H115" s="99">
        <f>G115+'10'!H115</f>
        <v>1587.0299999999988</v>
      </c>
      <c r="I115" s="165"/>
      <c r="J115" s="328">
        <f>H115/DAY(B2)</f>
        <v>144.27545454545444</v>
      </c>
    </row>
    <row r="116" spans="1:18" ht="30.75" customHeight="1">
      <c r="A116" s="890" t="s">
        <v>96</v>
      </c>
      <c r="B116" s="891"/>
      <c r="C116" s="892"/>
      <c r="D116" s="146" t="s">
        <v>183</v>
      </c>
      <c r="E116" s="95">
        <f>'10'!F116</f>
        <v>152602</v>
      </c>
      <c r="F116" s="237">
        <v>153031</v>
      </c>
      <c r="G116" s="112">
        <f t="shared" si="9"/>
        <v>429</v>
      </c>
      <c r="H116" s="99">
        <f>G116+'10'!H116</f>
        <v>5101</v>
      </c>
      <c r="I116" s="165"/>
      <c r="J116" s="328">
        <f>H116/DAY(B2)</f>
        <v>463.72727272727275</v>
      </c>
      <c r="Q116" s="883" t="s">
        <v>311</v>
      </c>
      <c r="R116" s="885"/>
    </row>
    <row r="117" spans="1:18" ht="30.75" customHeight="1">
      <c r="A117" s="890" t="s">
        <v>184</v>
      </c>
      <c r="B117" s="891"/>
      <c r="C117" s="892"/>
      <c r="D117" s="146" t="s">
        <v>183</v>
      </c>
      <c r="E117" s="95">
        <f>'10'!F117</f>
        <v>94544.9</v>
      </c>
      <c r="F117" s="237">
        <v>94754</v>
      </c>
      <c r="G117" s="112">
        <f t="shared" si="9"/>
        <v>209.10000000000582</v>
      </c>
      <c r="H117" s="99">
        <f>G117+'10'!H117</f>
        <v>2764.6009999999951</v>
      </c>
      <c r="I117" s="165"/>
      <c r="J117" s="328">
        <f>H117/DAY(B2)</f>
        <v>251.3273636363632</v>
      </c>
      <c r="Q117" s="883" t="s">
        <v>312</v>
      </c>
      <c r="R117" s="885"/>
    </row>
    <row r="118" spans="1:18" ht="30.75" customHeight="1">
      <c r="A118" s="882" t="s">
        <v>97</v>
      </c>
      <c r="B118" s="882"/>
      <c r="C118" s="882"/>
      <c r="D118" s="151" t="s">
        <v>183</v>
      </c>
      <c r="E118" s="95">
        <f>'10'!F118</f>
        <v>184526.4</v>
      </c>
      <c r="F118" s="416">
        <v>185255</v>
      </c>
      <c r="G118" s="112">
        <f t="shared" si="9"/>
        <v>728.60000000000582</v>
      </c>
      <c r="H118" s="99">
        <f>G118+'10'!H118</f>
        <v>7722.4700000000012</v>
      </c>
      <c r="I118" s="165"/>
      <c r="J118" s="328">
        <f>H118/DAY(B2)</f>
        <v>702.04272727272735</v>
      </c>
      <c r="Q118" s="883" t="s">
        <v>311</v>
      </c>
      <c r="R118" s="885"/>
    </row>
    <row r="119" spans="1:18" ht="30.75" customHeight="1">
      <c r="A119" s="882" t="s">
        <v>98</v>
      </c>
      <c r="B119" s="882"/>
      <c r="C119" s="882"/>
      <c r="D119" s="151" t="s">
        <v>183</v>
      </c>
      <c r="E119" s="95">
        <f>'10'!F119</f>
        <v>45677.58</v>
      </c>
      <c r="F119" s="237">
        <v>45739</v>
      </c>
      <c r="G119" s="112">
        <f t="shared" si="9"/>
        <v>61.419999999998254</v>
      </c>
      <c r="H119" s="99">
        <f>G119+'10'!H119</f>
        <v>546</v>
      </c>
      <c r="I119" s="165"/>
      <c r="J119" s="328">
        <f>H119/DAY(B2)</f>
        <v>49.636363636363633</v>
      </c>
    </row>
    <row r="120" spans="1:18" ht="30.75" customHeight="1">
      <c r="A120" s="882" t="s">
        <v>99</v>
      </c>
      <c r="B120" s="882"/>
      <c r="C120" s="882"/>
      <c r="D120" s="151" t="s">
        <v>183</v>
      </c>
      <c r="E120" s="95">
        <f>'10'!F120</f>
        <v>124273.7</v>
      </c>
      <c r="F120" s="237">
        <v>124662</v>
      </c>
      <c r="G120" s="112">
        <f t="shared" si="9"/>
        <v>388.30000000000291</v>
      </c>
      <c r="H120" s="99">
        <f>G120+'10'!H120</f>
        <v>4218</v>
      </c>
      <c r="I120" s="165"/>
      <c r="J120" s="328">
        <f>H120/DAY(B2)</f>
        <v>383.45454545454544</v>
      </c>
    </row>
    <row r="121" spans="1:18" ht="30.75" customHeight="1">
      <c r="A121" s="882" t="s">
        <v>100</v>
      </c>
      <c r="B121" s="882"/>
      <c r="C121" s="882"/>
      <c r="D121" s="151" t="s">
        <v>183</v>
      </c>
      <c r="E121" s="95">
        <f>'10'!F121</f>
        <v>138832.6</v>
      </c>
      <c r="F121" s="237">
        <v>139283</v>
      </c>
      <c r="G121" s="112">
        <f t="shared" si="9"/>
        <v>450.39999999999418</v>
      </c>
      <c r="H121" s="99">
        <f>G121+'10'!H121</f>
        <v>4720</v>
      </c>
      <c r="I121" s="165"/>
      <c r="J121" s="328">
        <f>H121/DAY(B2)</f>
        <v>429.09090909090907</v>
      </c>
    </row>
    <row r="122" spans="1:18" ht="30.75" customHeight="1">
      <c r="A122" s="882" t="s">
        <v>101</v>
      </c>
      <c r="B122" s="882"/>
      <c r="C122" s="882"/>
      <c r="D122" s="151" t="s">
        <v>183</v>
      </c>
      <c r="E122" s="95">
        <f>'10'!F122</f>
        <v>93977.3</v>
      </c>
      <c r="F122" s="237">
        <v>94296.6</v>
      </c>
      <c r="G122" s="112">
        <f t="shared" si="9"/>
        <v>319.30000000000291</v>
      </c>
      <c r="H122" s="99">
        <f>G122+'10'!H122</f>
        <v>3419.6000000000058</v>
      </c>
      <c r="I122" s="165"/>
      <c r="J122" s="328">
        <f>H122/DAY(B2)</f>
        <v>310.87272727272779</v>
      </c>
    </row>
    <row r="123" spans="1:18" ht="30.75" customHeight="1">
      <c r="A123" s="882" t="s">
        <v>102</v>
      </c>
      <c r="B123" s="882"/>
      <c r="C123" s="882"/>
      <c r="D123" s="151" t="s">
        <v>183</v>
      </c>
      <c r="E123" s="95">
        <f>'10'!F123</f>
        <v>90647</v>
      </c>
      <c r="F123" s="237">
        <v>90954</v>
      </c>
      <c r="G123" s="112">
        <f t="shared" si="9"/>
        <v>307</v>
      </c>
      <c r="H123" s="99">
        <f>G123+'10'!H123</f>
        <v>3375</v>
      </c>
      <c r="I123" s="165"/>
      <c r="J123" s="328">
        <f>H123/DAY(B2)</f>
        <v>306.81818181818181</v>
      </c>
    </row>
    <row r="124" spans="1:18" ht="30.7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3457.6300000000047</v>
      </c>
      <c r="H125" s="156"/>
      <c r="I125" s="327">
        <f>G125-(G39+G53)</f>
        <v>663.4100000000326</v>
      </c>
      <c r="J125" s="327"/>
    </row>
    <row r="126" spans="1:18" ht="30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30.75" customHeight="1">
      <c r="A127" s="872"/>
      <c r="B127" s="87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83" t="s">
        <v>318</v>
      </c>
      <c r="B128" s="884"/>
      <c r="C128" s="885"/>
      <c r="D128" s="151" t="s">
        <v>183</v>
      </c>
      <c r="E128" s="95">
        <f>'10'!F128</f>
        <v>212309</v>
      </c>
      <c r="F128" s="157">
        <v>212821.8</v>
      </c>
      <c r="G128" s="112">
        <f t="shared" ref="G128:G134" si="10">F128-E128</f>
        <v>512.79999999998836</v>
      </c>
      <c r="H128" s="99">
        <f>G128+'10'!H128</f>
        <v>5532.7999999999884</v>
      </c>
      <c r="I128" s="165"/>
      <c r="J128" s="328">
        <f>H128/DAY(B2)</f>
        <v>502.98181818181712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1911.14</v>
      </c>
      <c r="F129" s="157">
        <v>1981.82</v>
      </c>
      <c r="G129" s="112">
        <f t="shared" si="10"/>
        <v>70.679999999999836</v>
      </c>
      <c r="H129" s="99">
        <f>G129+'10'!H129</f>
        <v>1247.82</v>
      </c>
      <c r="I129" s="165"/>
      <c r="J129" s="328">
        <f>H129/DAY(B2)</f>
        <v>113.43818181818182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293675.59999999998</v>
      </c>
      <c r="F130" s="157">
        <v>294216.59999999998</v>
      </c>
      <c r="G130" s="112">
        <f t="shared" si="10"/>
        <v>541</v>
      </c>
      <c r="H130" s="99">
        <f>G130+'10'!H130</f>
        <v>5494.5999999999767</v>
      </c>
      <c r="I130" s="165"/>
      <c r="J130" s="328">
        <f>H130/DAY(B2)</f>
        <v>499.5090909090888</v>
      </c>
      <c r="N130" s="240"/>
      <c r="O130" s="241"/>
    </row>
    <row r="131" spans="1:15" ht="30.75" customHeight="1">
      <c r="A131" s="883" t="s">
        <v>321</v>
      </c>
      <c r="B131" s="884"/>
      <c r="C131" s="885"/>
      <c r="D131" s="151" t="s">
        <v>183</v>
      </c>
      <c r="E131" s="95">
        <f>'10'!F131</f>
        <v>86708.2</v>
      </c>
      <c r="F131" s="157">
        <v>86934.84</v>
      </c>
      <c r="G131" s="112">
        <f t="shared" si="10"/>
        <v>226.63999999999942</v>
      </c>
      <c r="H131" s="99">
        <f>G131+'10'!H131</f>
        <v>2231.0099999999948</v>
      </c>
      <c r="I131" s="165"/>
      <c r="J131" s="328">
        <f>H131/DAY(B2)</f>
        <v>202.81909090909042</v>
      </c>
      <c r="N131" s="240"/>
      <c r="O131" s="241"/>
    </row>
    <row r="132" spans="1:15" ht="30.75" customHeight="1">
      <c r="A132" s="883" t="s">
        <v>322</v>
      </c>
      <c r="B132" s="884"/>
      <c r="C132" s="885"/>
      <c r="D132" s="151" t="s">
        <v>183</v>
      </c>
      <c r="E132" s="95">
        <f>'10'!F132</f>
        <v>70608</v>
      </c>
      <c r="F132" s="157">
        <v>70917.899999999994</v>
      </c>
      <c r="G132" s="112">
        <f t="shared" si="10"/>
        <v>309.89999999999418</v>
      </c>
      <c r="H132" s="99">
        <f>G132+'10'!H132</f>
        <v>3470.8999999999942</v>
      </c>
      <c r="I132" s="165"/>
      <c r="J132" s="328">
        <f>H132/DAY(B2)</f>
        <v>315.53636363636309</v>
      </c>
    </row>
    <row r="133" spans="1:15" ht="30.75" customHeight="1">
      <c r="A133" s="883" t="s">
        <v>358</v>
      </c>
      <c r="B133" s="884"/>
      <c r="C133" s="885"/>
      <c r="D133" s="151" t="s">
        <v>183</v>
      </c>
      <c r="E133" s="95">
        <f>'10'!F133</f>
        <v>955505</v>
      </c>
      <c r="F133" s="157">
        <v>956365</v>
      </c>
      <c r="G133" s="112">
        <f t="shared" si="10"/>
        <v>860</v>
      </c>
      <c r="H133" s="99">
        <f>G133+'10'!H133</f>
        <v>6218</v>
      </c>
      <c r="I133" s="165"/>
      <c r="J133" s="328">
        <f>H133/DAY(B2)</f>
        <v>565.27272727272725</v>
      </c>
    </row>
    <row r="134" spans="1:15" ht="30.75" customHeight="1">
      <c r="A134" s="883" t="s">
        <v>340</v>
      </c>
      <c r="B134" s="884"/>
      <c r="C134" s="885"/>
      <c r="D134" s="151" t="s">
        <v>183</v>
      </c>
      <c r="E134" s="95">
        <f>'10'!F134</f>
        <v>95813</v>
      </c>
      <c r="F134" s="157">
        <v>96071</v>
      </c>
      <c r="G134" s="112">
        <f t="shared" si="10"/>
        <v>258</v>
      </c>
      <c r="H134" s="99">
        <f>G134+'10'!H134</f>
        <v>2837.5</v>
      </c>
      <c r="I134" s="165"/>
      <c r="J134" s="328">
        <f>H134/DAY(B2)</f>
        <v>257.95454545454544</v>
      </c>
    </row>
    <row r="135" spans="1:15" ht="30.75" customHeight="1">
      <c r="A135" s="788" t="s">
        <v>196</v>
      </c>
      <c r="B135" s="789"/>
      <c r="C135" s="331"/>
      <c r="D135" s="151"/>
      <c r="E135" s="95"/>
      <c r="F135" s="165"/>
      <c r="G135" s="112">
        <f>SUM(G128:G134)</f>
        <v>2779.0199999999818</v>
      </c>
      <c r="H135" s="99">
        <f>G135+'10'!H135</f>
        <v>27032.629999999954</v>
      </c>
      <c r="I135" s="327">
        <f>G135-(G35+G49)</f>
        <v>-431.43999999998096</v>
      </c>
      <c r="J135" s="328">
        <f>H135/DAY(B2)</f>
        <v>2457.5118181818139</v>
      </c>
    </row>
    <row r="136" spans="1:15" ht="30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82" t="s">
        <v>185</v>
      </c>
      <c r="B138" s="882"/>
      <c r="C138" s="882"/>
      <c r="D138" s="151" t="s">
        <v>183</v>
      </c>
      <c r="E138" s="95">
        <f>'10'!F138</f>
        <v>914090</v>
      </c>
      <c r="F138" s="147">
        <v>914195</v>
      </c>
      <c r="G138" s="112">
        <f t="shared" ref="G138:G152" si="11">F138-E138</f>
        <v>105</v>
      </c>
      <c r="H138" s="99">
        <f>G138+'10'!H138</f>
        <v>1284</v>
      </c>
      <c r="I138" s="118"/>
      <c r="J138" s="328">
        <f>H138/DAY(B2)</f>
        <v>116.72727272727273</v>
      </c>
    </row>
    <row r="139" spans="1:15" ht="30.75" customHeight="1">
      <c r="A139" s="882" t="s">
        <v>186</v>
      </c>
      <c r="B139" s="882"/>
      <c r="C139" s="882"/>
      <c r="D139" s="151" t="s">
        <v>183</v>
      </c>
      <c r="E139" s="95">
        <f>'10'!F139</f>
        <v>938756</v>
      </c>
      <c r="F139" s="148">
        <v>938877</v>
      </c>
      <c r="G139" s="112">
        <f t="shared" si="11"/>
        <v>121</v>
      </c>
      <c r="H139" s="99">
        <f>G139+'10'!H139</f>
        <v>1619</v>
      </c>
      <c r="I139" s="118"/>
      <c r="J139" s="328">
        <f>H139/DAY(B2)</f>
        <v>147.18181818181819</v>
      </c>
    </row>
    <row r="140" spans="1:15" ht="30.75" customHeight="1">
      <c r="A140" s="882" t="s">
        <v>187</v>
      </c>
      <c r="B140" s="882"/>
      <c r="C140" s="882"/>
      <c r="D140" s="151" t="s">
        <v>183</v>
      </c>
      <c r="E140" s="95">
        <f>'10'!F140</f>
        <v>5076.8900000000003</v>
      </c>
      <c r="F140" s="149">
        <v>5107.83</v>
      </c>
      <c r="G140" s="112">
        <f t="shared" si="11"/>
        <v>30.9399999999996</v>
      </c>
      <c r="H140" s="99">
        <f>G140+'10'!H140</f>
        <v>343.82999999999993</v>
      </c>
      <c r="I140" s="118"/>
      <c r="J140" s="328">
        <f>H140/DAY(B2)</f>
        <v>31.257272727272721</v>
      </c>
    </row>
    <row r="141" spans="1:15" ht="30.75" customHeight="1">
      <c r="A141" s="865" t="s">
        <v>188</v>
      </c>
      <c r="B141" s="865"/>
      <c r="C141" s="865"/>
      <c r="D141" s="151" t="s">
        <v>183</v>
      </c>
      <c r="E141" s="95">
        <f>'10'!F141</f>
        <v>133765.67000000001</v>
      </c>
      <c r="F141" s="149">
        <v>134016.60999999999</v>
      </c>
      <c r="G141" s="112">
        <f t="shared" si="11"/>
        <v>250.93999999997322</v>
      </c>
      <c r="H141" s="99">
        <f>G141+'10'!H141</f>
        <v>2696.609999999986</v>
      </c>
      <c r="I141" s="118"/>
      <c r="J141" s="328">
        <f>H141/DAY(B2)</f>
        <v>245.14636363636237</v>
      </c>
    </row>
    <row r="142" spans="1:15" ht="30.75" customHeight="1">
      <c r="A142" s="865" t="s">
        <v>189</v>
      </c>
      <c r="B142" s="865"/>
      <c r="C142" s="865"/>
      <c r="D142" s="151" t="s">
        <v>183</v>
      </c>
      <c r="E142" s="95">
        <f>'10'!F142</f>
        <v>54113</v>
      </c>
      <c r="F142" s="148">
        <v>54194.9</v>
      </c>
      <c r="G142" s="112">
        <f t="shared" si="11"/>
        <v>81.900000000001455</v>
      </c>
      <c r="H142" s="99">
        <f>G142+'10'!H142</f>
        <v>1003.9000000000015</v>
      </c>
      <c r="I142" s="140"/>
      <c r="J142" s="328">
        <f>H142/DAY(B2)</f>
        <v>91.263636363636493</v>
      </c>
    </row>
    <row r="143" spans="1:15" ht="30.75" customHeight="1">
      <c r="A143" s="882" t="s">
        <v>91</v>
      </c>
      <c r="B143" s="882"/>
      <c r="C143" s="882"/>
      <c r="D143" s="151" t="s">
        <v>183</v>
      </c>
      <c r="E143" s="95">
        <f>'10'!F143</f>
        <v>14641.4</v>
      </c>
      <c r="F143" s="149">
        <v>14670.31</v>
      </c>
      <c r="G143" s="112">
        <f t="shared" si="11"/>
        <v>28.909999999999854</v>
      </c>
      <c r="H143" s="99">
        <f>G143+'10'!H143</f>
        <v>358.30999999999949</v>
      </c>
      <c r="I143" s="140"/>
      <c r="J143" s="328">
        <f>H143/DAY(B2)</f>
        <v>32.573636363636318</v>
      </c>
    </row>
    <row r="144" spans="1:15" ht="30.75" customHeight="1">
      <c r="A144" s="865" t="s">
        <v>90</v>
      </c>
      <c r="B144" s="865"/>
      <c r="C144" s="865"/>
      <c r="D144" s="151" t="s">
        <v>183</v>
      </c>
      <c r="E144" s="95">
        <f>'10'!F144</f>
        <v>965912</v>
      </c>
      <c r="F144" s="149">
        <v>966144</v>
      </c>
      <c r="G144" s="112">
        <f t="shared" si="11"/>
        <v>232</v>
      </c>
      <c r="H144" s="99">
        <f>G144+'10'!H144</f>
        <v>2918</v>
      </c>
      <c r="I144" s="140"/>
      <c r="J144" s="328">
        <f>H144/DAY(B2)</f>
        <v>265.27272727272725</v>
      </c>
    </row>
    <row r="145" spans="1:10" ht="30.75" customHeight="1">
      <c r="A145" s="882" t="s">
        <v>190</v>
      </c>
      <c r="B145" s="882"/>
      <c r="C145" s="882"/>
      <c r="D145" s="152" t="s">
        <v>183</v>
      </c>
      <c r="E145" s="95">
        <f>'10'!F145</f>
        <v>752873</v>
      </c>
      <c r="F145" s="149">
        <v>753064</v>
      </c>
      <c r="G145" s="112">
        <f t="shared" si="11"/>
        <v>191</v>
      </c>
      <c r="H145" s="99">
        <f>G145+'10'!H145</f>
        <v>2331</v>
      </c>
      <c r="I145" s="140"/>
      <c r="J145" s="328">
        <f>H145/DAY(B2)</f>
        <v>211.90909090909091</v>
      </c>
    </row>
    <row r="146" spans="1:10" ht="30.75" customHeight="1">
      <c r="A146" s="916" t="s">
        <v>191</v>
      </c>
      <c r="B146" s="902"/>
      <c r="C146" s="903"/>
      <c r="D146" s="152" t="s">
        <v>183</v>
      </c>
      <c r="E146" s="95">
        <f>'10'!F146</f>
        <v>789417</v>
      </c>
      <c r="F146" s="148">
        <v>789448</v>
      </c>
      <c r="G146" s="112">
        <f t="shared" si="11"/>
        <v>31</v>
      </c>
      <c r="H146" s="99">
        <f>G146+'10'!H146</f>
        <v>423</v>
      </c>
      <c r="I146" s="140"/>
      <c r="J146" s="328">
        <f>H146/DAY(B2)</f>
        <v>38.454545454545453</v>
      </c>
    </row>
    <row r="147" spans="1:10" ht="30.75" customHeight="1">
      <c r="A147" s="865" t="s">
        <v>192</v>
      </c>
      <c r="B147" s="865"/>
      <c r="C147" s="865"/>
      <c r="D147" s="152" t="s">
        <v>183</v>
      </c>
      <c r="E147" s="95">
        <f>'10'!F147</f>
        <v>775354</v>
      </c>
      <c r="F147" s="148">
        <v>775722</v>
      </c>
      <c r="G147" s="112">
        <f t="shared" si="11"/>
        <v>368</v>
      </c>
      <c r="H147" s="99">
        <f>G147+'10'!H147</f>
        <v>4065.1199999999953</v>
      </c>
      <c r="I147" s="140"/>
      <c r="J147" s="328">
        <f>H147/DAY(B2)</f>
        <v>369.55636363636319</v>
      </c>
    </row>
    <row r="148" spans="1:10" ht="30.75" customHeight="1">
      <c r="A148" s="866" t="s">
        <v>193</v>
      </c>
      <c r="B148" s="867"/>
      <c r="C148" s="868"/>
      <c r="D148" s="123" t="s">
        <v>130</v>
      </c>
      <c r="E148" s="95">
        <f>'10'!F148</f>
        <v>810261</v>
      </c>
      <c r="F148" s="150">
        <v>810622</v>
      </c>
      <c r="G148" s="112">
        <f t="shared" si="11"/>
        <v>361</v>
      </c>
      <c r="H148" s="99">
        <f>G148+'10'!H148</f>
        <v>3801.7600000000093</v>
      </c>
      <c r="I148" s="124"/>
      <c r="J148" s="328">
        <f>H148/DAY(B2)</f>
        <v>345.61454545454632</v>
      </c>
    </row>
    <row r="149" spans="1:10" ht="30.75" customHeight="1">
      <c r="A149" s="866" t="s">
        <v>336</v>
      </c>
      <c r="B149" s="867"/>
      <c r="C149" s="868"/>
      <c r="D149" s="227" t="s">
        <v>130</v>
      </c>
      <c r="E149" s="95">
        <f>'10'!F149</f>
        <v>222194</v>
      </c>
      <c r="F149" s="146">
        <v>222580</v>
      </c>
      <c r="G149" s="112">
        <f t="shared" si="11"/>
        <v>386</v>
      </c>
      <c r="H149" s="99">
        <f>G149+'10'!H149</f>
        <v>5684</v>
      </c>
      <c r="I149" s="119"/>
      <c r="J149" s="328">
        <f>H149/DAY(B2)</f>
        <v>516.72727272727275</v>
      </c>
    </row>
    <row r="150" spans="1:10" ht="30.75" customHeight="1">
      <c r="A150" s="866" t="s">
        <v>337</v>
      </c>
      <c r="B150" s="867"/>
      <c r="C150" s="868"/>
      <c r="D150" s="117" t="s">
        <v>130</v>
      </c>
      <c r="E150" s="95">
        <f>'10'!F150</f>
        <v>94759.8</v>
      </c>
      <c r="F150" s="233">
        <v>94976.9</v>
      </c>
      <c r="G150" s="112">
        <f t="shared" si="11"/>
        <v>217.09999999999127</v>
      </c>
      <c r="H150" s="99">
        <f>G150+'10'!H150</f>
        <v>1811.8999999999942</v>
      </c>
      <c r="I150" s="119"/>
      <c r="J150" s="328">
        <f>H150/DAY(B2)</f>
        <v>164.71818181818128</v>
      </c>
    </row>
    <row r="151" spans="1:10" ht="30.75" customHeight="1">
      <c r="A151" s="866" t="s">
        <v>338</v>
      </c>
      <c r="B151" s="867"/>
      <c r="C151" s="868"/>
      <c r="D151" s="117" t="s">
        <v>130</v>
      </c>
      <c r="E151" s="95">
        <f>'10'!F151</f>
        <v>179530</v>
      </c>
      <c r="F151" s="233">
        <v>179883</v>
      </c>
      <c r="G151" s="112">
        <f t="shared" si="11"/>
        <v>353</v>
      </c>
      <c r="H151" s="99">
        <f>G151+'10'!H151</f>
        <v>3708</v>
      </c>
      <c r="I151" s="119"/>
      <c r="J151" s="328">
        <f>H151/DAY(B2)</f>
        <v>337.09090909090907</v>
      </c>
    </row>
    <row r="152" spans="1:10" ht="30.75" customHeight="1">
      <c r="A152" s="866" t="s">
        <v>339</v>
      </c>
      <c r="B152" s="867"/>
      <c r="C152" s="868"/>
      <c r="D152" s="117" t="s">
        <v>130</v>
      </c>
      <c r="E152" s="95">
        <f>'10'!F152</f>
        <v>47958.9</v>
      </c>
      <c r="F152" s="233">
        <v>48088.9</v>
      </c>
      <c r="G152" s="112">
        <f t="shared" si="11"/>
        <v>130</v>
      </c>
      <c r="H152" s="99">
        <f>G152+'10'!H152</f>
        <v>1456.9000000000015</v>
      </c>
      <c r="I152" s="119"/>
      <c r="J152" s="328">
        <f>H152/DAY(B2)</f>
        <v>132.44545454545468</v>
      </c>
    </row>
    <row r="153" spans="1:10" ht="30.7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2887.7899999999654</v>
      </c>
      <c r="H153" s="363"/>
      <c r="I153" s="119">
        <f>G153-(G38+G52)</f>
        <v>471.0399999999654</v>
      </c>
      <c r="J153" s="366"/>
    </row>
    <row r="154" spans="1:10" ht="30.7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>
      <c r="A155" s="865" t="s">
        <v>345</v>
      </c>
      <c r="B155" s="865"/>
      <c r="C155" s="865"/>
      <c r="D155" s="117" t="s">
        <v>130</v>
      </c>
      <c r="E155" s="95">
        <f>'10'!F155</f>
        <v>261981.9</v>
      </c>
      <c r="F155" s="157">
        <v>262542.59999999998</v>
      </c>
      <c r="G155" s="112">
        <f t="shared" ref="G155:G159" si="12">F155-E155</f>
        <v>560.69999999998254</v>
      </c>
      <c r="H155" s="99">
        <f>G155+'10'!H155</f>
        <v>6190.5999999999767</v>
      </c>
      <c r="I155" s="364"/>
      <c r="J155" s="328">
        <f>H155/DAY(B2)</f>
        <v>562.78181818181611</v>
      </c>
    </row>
    <row r="156" spans="1:10" ht="30.75" customHeight="1">
      <c r="A156" s="865" t="s">
        <v>347</v>
      </c>
      <c r="B156" s="865"/>
      <c r="C156" s="865"/>
      <c r="D156" s="117" t="s">
        <v>130</v>
      </c>
      <c r="E156" s="95">
        <f>'10'!F156</f>
        <v>33536.800000000003</v>
      </c>
      <c r="F156" s="155">
        <v>33629.5</v>
      </c>
      <c r="G156" s="112">
        <f t="shared" si="12"/>
        <v>92.69999999999709</v>
      </c>
      <c r="H156" s="99">
        <f>G156+'10'!H156</f>
        <v>1070.5</v>
      </c>
      <c r="I156" s="165"/>
      <c r="J156" s="328">
        <f>H156/DAY(B2)</f>
        <v>97.318181818181813</v>
      </c>
    </row>
    <row r="157" spans="1:10" ht="30.75" customHeight="1">
      <c r="A157" s="866" t="s">
        <v>359</v>
      </c>
      <c r="B157" s="867"/>
      <c r="C157" s="868"/>
      <c r="D157" s="117" t="s">
        <v>130</v>
      </c>
      <c r="E157" s="95">
        <f>'10'!F157</f>
        <v>2434</v>
      </c>
      <c r="F157" s="155">
        <v>2504.1999999999998</v>
      </c>
      <c r="G157" s="112">
        <f t="shared" si="12"/>
        <v>70.199999999999818</v>
      </c>
      <c r="H157" s="99">
        <f>G157+'10'!H157</f>
        <v>612.19999999999982</v>
      </c>
      <c r="I157" s="165"/>
      <c r="J157" s="328">
        <f>H157/DAY(B2)</f>
        <v>55.654545454545435</v>
      </c>
    </row>
    <row r="158" spans="1:10" ht="30.75" customHeight="1">
      <c r="A158" s="866" t="s">
        <v>360</v>
      </c>
      <c r="B158" s="867"/>
      <c r="C158" s="868"/>
      <c r="D158" s="117" t="s">
        <v>130</v>
      </c>
      <c r="E158" s="95">
        <f>'10'!F158</f>
        <v>1788</v>
      </c>
      <c r="F158" s="155">
        <v>1788</v>
      </c>
      <c r="G158" s="112">
        <f t="shared" si="12"/>
        <v>0</v>
      </c>
      <c r="H158" s="99">
        <f>G158+'10'!H158</f>
        <v>5</v>
      </c>
      <c r="I158" s="165"/>
      <c r="J158" s="328">
        <f>H158/DAY(B2)</f>
        <v>0.45454545454545453</v>
      </c>
    </row>
    <row r="159" spans="1:10" ht="30.75" customHeight="1">
      <c r="A159" s="946"/>
      <c r="B159" s="947"/>
      <c r="C159" s="948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513956</v>
      </c>
      <c r="F161" s="235">
        <v>514118</v>
      </c>
      <c r="G161" s="238">
        <f>F161-E161</f>
        <v>162</v>
      </c>
      <c r="H161" s="99">
        <f>G161+'10'!H161</f>
        <v>1673</v>
      </c>
      <c r="I161" s="236"/>
      <c r="J161" s="239">
        <f>H161/DAY(B2)</f>
        <v>152.09090909090909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2135.4</v>
      </c>
      <c r="F162" s="235">
        <v>2188.6999999999998</v>
      </c>
      <c r="G162" s="238">
        <f t="shared" ref="G162:G165" si="13">F162-E162</f>
        <v>53.299999999999727</v>
      </c>
      <c r="H162" s="99">
        <f>G162+'10'!H162</f>
        <v>401.69999999999982</v>
      </c>
      <c r="I162" s="236"/>
      <c r="J162" s="239">
        <f>H162/DAY(B2)</f>
        <v>36.518181818181802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0</v>
      </c>
      <c r="F163" s="235">
        <v>0</v>
      </c>
      <c r="G163" s="238">
        <f t="shared" si="13"/>
        <v>0</v>
      </c>
      <c r="H163" s="99">
        <f>G163+'10'!H163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7372.4</v>
      </c>
      <c r="F164" s="235">
        <v>7374.1</v>
      </c>
      <c r="G164" s="238">
        <f t="shared" si="13"/>
        <v>1.7000000000007276</v>
      </c>
      <c r="H164" s="99">
        <f>G164+'10'!H164</f>
        <v>37.100000000000364</v>
      </c>
      <c r="I164" s="236"/>
      <c r="J164" s="239">
        <f>H164/DAY(B2)</f>
        <v>3.3727272727273059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33048</v>
      </c>
      <c r="F165" s="235">
        <v>33052.74</v>
      </c>
      <c r="G165" s="238">
        <f t="shared" si="13"/>
        <v>4.7399999999979627</v>
      </c>
      <c r="H165" s="99">
        <f>G165+'10'!H165</f>
        <v>78.220000000001164</v>
      </c>
      <c r="I165" s="236"/>
      <c r="J165" s="239">
        <f>H165/DAY(B2)</f>
        <v>7.110909090909197</v>
      </c>
    </row>
    <row r="166" spans="1:10" ht="30.75" customHeight="1">
      <c r="A166" s="872"/>
      <c r="B166" s="87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72"/>
      <c r="B167" s="87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72"/>
      <c r="B168" s="87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30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90" t="s">
        <v>209</v>
      </c>
      <c r="B173" s="791"/>
      <c r="C173" s="333"/>
      <c r="D173" s="228" t="s">
        <v>142</v>
      </c>
      <c r="E173" s="95">
        <f>'10'!F173</f>
        <v>8624</v>
      </c>
      <c r="F173" s="157">
        <v>8626</v>
      </c>
      <c r="G173" s="155">
        <f>F173-E173</f>
        <v>2</v>
      </c>
      <c r="H173" s="99">
        <f>G173+'10'!H173</f>
        <v>14</v>
      </c>
      <c r="I173" s="155"/>
      <c r="J173" s="178">
        <f>H173/DAY(B2)</f>
        <v>1.2727272727272727</v>
      </c>
    </row>
    <row r="174" spans="1:10" ht="30.75" customHeight="1">
      <c r="A174" s="790" t="s">
        <v>75</v>
      </c>
      <c r="B174" s="791"/>
      <c r="C174" s="333"/>
      <c r="D174" s="228" t="s">
        <v>142</v>
      </c>
      <c r="E174" s="95">
        <f>'10'!F174</f>
        <v>43523</v>
      </c>
      <c r="F174" s="157">
        <v>43534</v>
      </c>
      <c r="G174" s="155">
        <f t="shared" ref="G174:G175" si="14">F174-E174</f>
        <v>11</v>
      </c>
      <c r="H174" s="99">
        <f>G174+'10'!H174</f>
        <v>120</v>
      </c>
      <c r="I174" s="155"/>
      <c r="J174" s="178">
        <f>H174/DAY(B2)</f>
        <v>10.909090909090908</v>
      </c>
    </row>
    <row r="175" spans="1:10" ht="30.75" customHeight="1">
      <c r="A175" s="790" t="s">
        <v>76</v>
      </c>
      <c r="B175" s="803"/>
      <c r="C175" s="791"/>
      <c r="D175" s="228" t="s">
        <v>142</v>
      </c>
      <c r="E175" s="95">
        <f>'10'!F175</f>
        <v>26429</v>
      </c>
      <c r="F175" s="155">
        <v>26441</v>
      </c>
      <c r="G175" s="155">
        <f t="shared" si="14"/>
        <v>12</v>
      </c>
      <c r="H175" s="99">
        <f>G175+'10'!H175</f>
        <v>154</v>
      </c>
      <c r="I175" s="155"/>
      <c r="J175" s="178">
        <f>H175/DAY(B2)</f>
        <v>14</v>
      </c>
    </row>
    <row r="176" spans="1:10" ht="30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25</v>
      </c>
      <c r="H176" s="99">
        <f>G176+'10'!H176</f>
        <v>288</v>
      </c>
      <c r="I176" s="155"/>
      <c r="J176" s="178">
        <f>H176/DAY(B2)</f>
        <v>26.181818181818183</v>
      </c>
    </row>
    <row r="177" spans="1:10" ht="30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790" t="s">
        <v>210</v>
      </c>
      <c r="B178" s="791"/>
      <c r="C178" s="333"/>
      <c r="D178" s="228" t="s">
        <v>142</v>
      </c>
      <c r="E178" s="95">
        <f>'10'!F178</f>
        <v>111469</v>
      </c>
      <c r="F178" s="155">
        <v>111578</v>
      </c>
      <c r="G178" s="155">
        <f>F178-E178</f>
        <v>109</v>
      </c>
      <c r="H178" s="99">
        <f>G178+'10'!H178</f>
        <v>1187</v>
      </c>
      <c r="I178" s="155"/>
      <c r="J178" s="178">
        <f>H178/DAY(B2)</f>
        <v>107.90909090909091</v>
      </c>
    </row>
    <row r="179" spans="1:10" ht="30.75" customHeight="1">
      <c r="A179" s="790" t="s">
        <v>211</v>
      </c>
      <c r="B179" s="791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790" t="s">
        <v>212</v>
      </c>
      <c r="B180" s="791"/>
      <c r="C180" s="333"/>
      <c r="D180" s="228" t="s">
        <v>142</v>
      </c>
      <c r="E180" s="95">
        <f>'10'!F180</f>
        <v>7746</v>
      </c>
      <c r="F180" s="155">
        <v>7748</v>
      </c>
      <c r="G180" s="155">
        <f t="shared" si="15"/>
        <v>2</v>
      </c>
      <c r="H180" s="99">
        <f>G180+'10'!H180</f>
        <v>47</v>
      </c>
      <c r="I180" s="155"/>
      <c r="J180" s="178">
        <f>H180/DAY(B2)</f>
        <v>4.2727272727272725</v>
      </c>
    </row>
    <row r="181" spans="1:10" ht="30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111</v>
      </c>
      <c r="H181" s="99">
        <f>G181+'10'!H181</f>
        <v>1234</v>
      </c>
      <c r="I181" s="155"/>
      <c r="J181" s="178">
        <f>H181/DAY(B2)</f>
        <v>112.18181818181819</v>
      </c>
    </row>
    <row r="182" spans="1:10" ht="30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790" t="s">
        <v>214</v>
      </c>
      <c r="B183" s="791"/>
      <c r="C183" s="334"/>
      <c r="D183" s="228" t="s">
        <v>142</v>
      </c>
      <c r="E183" s="95">
        <f>'10'!F183</f>
        <v>18749</v>
      </c>
      <c r="F183" s="157">
        <v>18752</v>
      </c>
      <c r="G183" s="157">
        <f>F183-E183</f>
        <v>3</v>
      </c>
      <c r="H183" s="99">
        <f>G183+'10'!H183</f>
        <v>60</v>
      </c>
      <c r="I183" s="155"/>
      <c r="J183" s="178">
        <f>H183/DAY(B2)</f>
        <v>5.4545454545454541</v>
      </c>
    </row>
    <row r="184" spans="1:10" ht="30.75" customHeight="1">
      <c r="A184" s="790" t="s">
        <v>215</v>
      </c>
      <c r="B184" s="791"/>
      <c r="C184" s="334"/>
      <c r="D184" s="228" t="s">
        <v>142</v>
      </c>
      <c r="E184" s="95">
        <f>'10'!F184</f>
        <v>13321</v>
      </c>
      <c r="F184" s="157">
        <v>13327</v>
      </c>
      <c r="G184" s="157">
        <f t="shared" ref="G184:G185" si="16">F184-E184</f>
        <v>6</v>
      </c>
      <c r="H184" s="99">
        <f>G184+'10'!H184</f>
        <v>81</v>
      </c>
      <c r="I184" s="155"/>
      <c r="J184" s="178">
        <f>H184/DAY(B2)</f>
        <v>7.3636363636363633</v>
      </c>
    </row>
    <row r="185" spans="1:10" ht="30.75" customHeight="1">
      <c r="A185" s="790" t="s">
        <v>216</v>
      </c>
      <c r="B185" s="791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9</v>
      </c>
      <c r="H186" s="99">
        <f>G186+'10'!H186</f>
        <v>141</v>
      </c>
      <c r="I186" s="157"/>
      <c r="J186" s="178">
        <f>H186/DAY(B2)</f>
        <v>12.818181818181818</v>
      </c>
    </row>
    <row r="187" spans="1:10" ht="30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54</v>
      </c>
      <c r="H187" s="99">
        <f>G187+'10'!H187</f>
        <v>1643</v>
      </c>
      <c r="I187" s="158"/>
      <c r="J187" s="179">
        <f>H187/DAY(B2)</f>
        <v>149.36363636363637</v>
      </c>
    </row>
    <row r="188" spans="1:10" ht="30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161</v>
      </c>
      <c r="H188" s="99">
        <f>G188+'10'!H188</f>
        <v>1993</v>
      </c>
      <c r="I188" s="158"/>
      <c r="J188" s="179">
        <f>H188/DAY(B2)</f>
        <v>181.18181818181819</v>
      </c>
    </row>
    <row r="189" spans="1:10" ht="30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111</v>
      </c>
      <c r="H189" s="99">
        <f>G189+'10'!H189</f>
        <v>1234</v>
      </c>
      <c r="I189" s="158"/>
      <c r="J189" s="179">
        <f>H189/DAY(B2)</f>
        <v>112.18181818181819</v>
      </c>
    </row>
    <row r="190" spans="1:10" ht="30.75" customHeight="1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5" zoomScaleNormal="75" zoomScaleSheetLayoutView="55" workbookViewId="0">
      <selection activeCell="F134" sqref="F13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32.25" customHeight="1">
      <c r="A2" s="191" t="s">
        <v>382</v>
      </c>
      <c r="B2" s="262">
        <v>44969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868018.07</v>
      </c>
      <c r="F7" s="95">
        <v>888099.91</v>
      </c>
      <c r="G7" s="112">
        <f>F7-E7</f>
        <v>20081.840000000084</v>
      </c>
      <c r="H7" s="99">
        <f>G7+'11'!H7</f>
        <v>265300.91000000003</v>
      </c>
      <c r="I7" s="113">
        <f>'1'!I7</f>
        <v>12000</v>
      </c>
      <c r="J7" s="175">
        <f>H7/DAY(B2)</f>
        <v>22108.409166666668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66979.539999999994</v>
      </c>
      <c r="F8" s="114">
        <v>87538.92</v>
      </c>
      <c r="G8" s="115">
        <f>F8-E8</f>
        <v>20559.380000000005</v>
      </c>
      <c r="H8" s="99">
        <f>G8+'11'!H8</f>
        <v>271428.92000000004</v>
      </c>
      <c r="I8" s="116"/>
      <c r="J8" s="175">
        <f>H8/DAY(B2)</f>
        <v>22619.076666666671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4965949.5</v>
      </c>
      <c r="F9" s="468">
        <v>4977199.0999999996</v>
      </c>
      <c r="G9" s="112">
        <f>F9-E9</f>
        <v>11249.599999999627</v>
      </c>
      <c r="H9" s="99">
        <f>G9+'11'!H9</f>
        <v>152100.09999999963</v>
      </c>
      <c r="I9" s="124">
        <f>I7-J7</f>
        <v>-10108.409166666668</v>
      </c>
      <c r="J9" s="175">
        <f>H9/DAY(B2)</f>
        <v>12675.008333333302</v>
      </c>
      <c r="K9" s="79">
        <f>K8-100</f>
        <v>1715817</v>
      </c>
      <c r="L9" s="66"/>
      <c r="N9" s="87"/>
      <c r="O9" s="71">
        <f>G9-G10</f>
        <v>2989.9999999990687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4388678.3</v>
      </c>
      <c r="F10" s="353">
        <v>4396937.9000000004</v>
      </c>
      <c r="G10" s="112">
        <f t="shared" ref="G10:G12" si="0">F10-E10</f>
        <v>8259.6000000005588</v>
      </c>
      <c r="H10" s="99">
        <f>G10+'11'!H10</f>
        <v>106403.90000000037</v>
      </c>
      <c r="I10" s="282"/>
      <c r="J10" s="175">
        <f>H10/DAY(B2)</f>
        <v>8866.9916666666977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38700</v>
      </c>
      <c r="F11" s="95">
        <v>38700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40550</v>
      </c>
      <c r="F12" s="117">
        <v>40550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19509.200000000186</v>
      </c>
      <c r="H13" s="99">
        <f>G13+'11'!H13</f>
        <v>258504</v>
      </c>
      <c r="I13" s="120">
        <f>G7-G13</f>
        <v>572.63999999989755</v>
      </c>
      <c r="J13" s="175">
        <f>H13/DAY(B2)</f>
        <v>21542</v>
      </c>
      <c r="K13" s="79"/>
      <c r="L13" s="66"/>
      <c r="N13" s="87"/>
      <c r="O13" s="71"/>
    </row>
    <row r="14" spans="1:15" ht="32.2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2300884</v>
      </c>
      <c r="F15" s="468">
        <v>2301625.61</v>
      </c>
      <c r="G15" s="112">
        <f>(F15-E15)</f>
        <v>741.60999999986961</v>
      </c>
      <c r="H15" s="99">
        <f>G15+'11'!H15</f>
        <v>13151.895000000019</v>
      </c>
      <c r="I15" s="113">
        <f>'1'!I15</f>
        <v>800</v>
      </c>
      <c r="J15" s="175">
        <f>H15/DAY(B2)</f>
        <v>1095.9912500000016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-295.99125000000163</v>
      </c>
      <c r="J16" s="176"/>
      <c r="K16" s="79"/>
      <c r="L16" s="66"/>
      <c r="N16" s="87"/>
      <c r="O16" s="71"/>
    </row>
    <row r="17" spans="1:15" ht="32.2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04" t="s">
        <v>141</v>
      </c>
      <c r="B18" s="905"/>
      <c r="C18" s="906"/>
      <c r="D18" s="151" t="s">
        <v>142</v>
      </c>
      <c r="E18" s="95">
        <f>'11'!F18</f>
        <v>0</v>
      </c>
      <c r="F18" s="122">
        <v>0</v>
      </c>
      <c r="G18" s="119">
        <f>F18*10</f>
        <v>0</v>
      </c>
      <c r="H18" s="99">
        <f>G18+'11'!H18</f>
        <v>1890</v>
      </c>
      <c r="I18" s="113">
        <f>'1'!I18</f>
        <v>65</v>
      </c>
      <c r="J18" s="175">
        <f>H18/DAY(B2)</f>
        <v>157.5</v>
      </c>
      <c r="K18" s="79"/>
      <c r="L18" s="66"/>
      <c r="N18" s="87"/>
      <c r="O18" s="71"/>
    </row>
    <row r="19" spans="1:15" ht="32.25" customHeight="1">
      <c r="A19" s="904" t="s">
        <v>69</v>
      </c>
      <c r="B19" s="905"/>
      <c r="C19" s="906"/>
      <c r="D19" s="151" t="s">
        <v>142</v>
      </c>
      <c r="E19" s="95">
        <f>'11'!F19</f>
        <v>171900</v>
      </c>
      <c r="F19" s="122">
        <v>171957</v>
      </c>
      <c r="G19" s="112">
        <f t="shared" ref="G19" si="1">F19-E19</f>
        <v>57</v>
      </c>
      <c r="H19" s="99">
        <f>G19+'11'!H19</f>
        <v>634</v>
      </c>
      <c r="I19" s="335"/>
      <c r="J19" s="175">
        <f>H19/DAY(B2)</f>
        <v>52.833333333333336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57</v>
      </c>
      <c r="H20" s="99">
        <f>G20+'11'!H20</f>
        <v>2524</v>
      </c>
      <c r="I20" s="336">
        <f>I18-J20</f>
        <v>-145.33333333333334</v>
      </c>
      <c r="J20" s="175">
        <f>H20/DAY(B2)</f>
        <v>210.33333333333334</v>
      </c>
      <c r="K20" s="79"/>
      <c r="L20" s="66"/>
      <c r="N20" s="87"/>
      <c r="O20" s="71"/>
    </row>
    <row r="21" spans="1:15" ht="32.2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20559.380000000005</v>
      </c>
      <c r="F27" s="136">
        <v>10</v>
      </c>
      <c r="G27" s="137">
        <f>E27*F27</f>
        <v>205593.80000000005</v>
      </c>
      <c r="H27" s="99">
        <f>G27+'11'!H27</f>
        <v>2714289.2</v>
      </c>
      <c r="I27" s="138"/>
      <c r="J27" s="175">
        <f>H27/DAY(B2)</f>
        <v>226190.76666666669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741.60999999986961</v>
      </c>
      <c r="F28" s="136">
        <v>63</v>
      </c>
      <c r="G28" s="137">
        <f>E28*F28</f>
        <v>46721.429999991786</v>
      </c>
      <c r="H28" s="99">
        <f>G28+'11'!H28</f>
        <v>845490.84000000218</v>
      </c>
      <c r="I28" s="140"/>
      <c r="J28" s="175">
        <f>H28/DAY(B2)</f>
        <v>70457.570000000182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155</v>
      </c>
      <c r="G30" s="137">
        <f>E30*F30</f>
        <v>8835</v>
      </c>
      <c r="H30" s="99">
        <f>G30+'11'!H30</f>
        <v>97170</v>
      </c>
      <c r="I30" s="140"/>
      <c r="J30" s="175">
        <f>H30/DAY(B2)</f>
        <v>8097.5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88</v>
      </c>
      <c r="G31" s="137">
        <f>E31*F31</f>
        <v>0</v>
      </c>
      <c r="H31" s="99">
        <f>G31+'11'!H31</f>
        <v>163200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261150.22999999183</v>
      </c>
      <c r="H32" s="99">
        <f>G32+'11'!H32</f>
        <v>3820150.0400000019</v>
      </c>
      <c r="I32" s="144"/>
      <c r="J32" s="175">
        <f>H32/DAY(B2)</f>
        <v>318345.83666666684</v>
      </c>
      <c r="K32" s="63"/>
      <c r="L32" s="89"/>
      <c r="N32" s="87"/>
      <c r="O32" s="71"/>
    </row>
    <row r="33" spans="1:15" ht="32.2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558437.71</v>
      </c>
      <c r="F35" s="145">
        <v>560985.79</v>
      </c>
      <c r="G35" s="112">
        <f t="shared" ref="G35:G46" si="3">F35-E35</f>
        <v>2548.0800000000745</v>
      </c>
      <c r="H35" s="99">
        <f>G35+'11'!H35</f>
        <v>30929.790000000037</v>
      </c>
      <c r="I35" s="95"/>
      <c r="J35" s="175">
        <f>H35/DAY(B2)</f>
        <v>2577.4825000000033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393142.47</v>
      </c>
      <c r="F36" s="145">
        <v>393876.91</v>
      </c>
      <c r="G36" s="112">
        <f t="shared" si="3"/>
        <v>734.44000000000233</v>
      </c>
      <c r="H36" s="99">
        <f>G36+'11'!H36</f>
        <v>12055.909999999974</v>
      </c>
      <c r="I36" s="95"/>
      <c r="J36" s="175">
        <f>H36/DAY(B2)</f>
        <v>1004.6591666666645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399647.75</v>
      </c>
      <c r="F37" s="418">
        <v>400983.91</v>
      </c>
      <c r="G37" s="112">
        <f t="shared" si="3"/>
        <v>1336.1599999999744</v>
      </c>
      <c r="H37" s="99">
        <f>G37+'11'!H37</f>
        <v>17364.909999999974</v>
      </c>
      <c r="I37" s="95"/>
      <c r="J37" s="175">
        <f>H37/DAY(B2)</f>
        <v>1447.0758333333313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906295.75</v>
      </c>
      <c r="F38" s="108">
        <v>908671.27</v>
      </c>
      <c r="G38" s="112">
        <f t="shared" si="3"/>
        <v>2375.5200000000186</v>
      </c>
      <c r="H38" s="99">
        <f>G38+'11'!H38</f>
        <v>31544.270000000019</v>
      </c>
      <c r="I38" s="95"/>
      <c r="J38" s="175">
        <f>H38/DAY(B2)</f>
        <v>2628.6891666666684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737331.19</v>
      </c>
      <c r="F39" s="145">
        <v>740124.79</v>
      </c>
      <c r="G39" s="112">
        <f t="shared" si="3"/>
        <v>2793.6000000000931</v>
      </c>
      <c r="H39" s="99">
        <f>G39+'11'!H39</f>
        <v>33988.790000000037</v>
      </c>
      <c r="I39" s="95"/>
      <c r="J39" s="175">
        <f>H39/DAY(B2)</f>
        <v>2832.3991666666698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220744.31</v>
      </c>
      <c r="F40" s="145">
        <v>220957.93</v>
      </c>
      <c r="G40" s="112">
        <f t="shared" si="3"/>
        <v>213.61999999999534</v>
      </c>
      <c r="H40" s="99">
        <f>G40+'11'!H40</f>
        <v>3165.929999999993</v>
      </c>
      <c r="I40" s="95"/>
      <c r="J40" s="175">
        <f>H40/DAY(B2)</f>
        <v>263.82749999999942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420212.51</v>
      </c>
      <c r="F41" s="145">
        <v>420212.51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982309.59</v>
      </c>
      <c r="F42" s="145">
        <v>982309.59</v>
      </c>
      <c r="G42" s="112">
        <f t="shared" si="3"/>
        <v>0</v>
      </c>
      <c r="H42" s="99">
        <f>G42+'11'!H42</f>
        <v>9246.9599999999627</v>
      </c>
      <c r="I42" s="95"/>
      <c r="J42" s="175">
        <f>H42/DAY(B2)</f>
        <v>770.57999999999686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422444</v>
      </c>
      <c r="F43" s="418">
        <v>422444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10001.420000000158</v>
      </c>
      <c r="H47" s="99">
        <f>G47+'11'!H47</f>
        <v>138296.56</v>
      </c>
      <c r="I47" s="95"/>
      <c r="J47" s="175">
        <f>H47/DAY(B2)</f>
        <v>11524.713333333333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828867.75</v>
      </c>
      <c r="F49" s="145">
        <v>829394.87</v>
      </c>
      <c r="G49" s="112">
        <f t="shared" ref="G49:G58" si="4">F49-E49</f>
        <v>527.11999999999534</v>
      </c>
      <c r="H49" s="99">
        <f>G49+'11'!H49</f>
        <v>6482.8699999999953</v>
      </c>
      <c r="I49" s="95"/>
      <c r="J49" s="175">
        <f>H49/DAY(B2)</f>
        <v>540.23916666666628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556912.94999999995</v>
      </c>
      <c r="F50" s="145">
        <v>558050.43000000005</v>
      </c>
      <c r="G50" s="112">
        <f t="shared" si="4"/>
        <v>1137.4800000000978</v>
      </c>
      <c r="H50" s="99">
        <f>G50+'11'!H50</f>
        <v>16076.430000000051</v>
      </c>
      <c r="I50" s="95"/>
      <c r="J50" s="175">
        <f>H50/DAY(B2)</f>
        <v>1339.7025000000042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156958.44</v>
      </c>
      <c r="F51" s="145">
        <v>156958.44</v>
      </c>
      <c r="G51" s="112">
        <f t="shared" si="4"/>
        <v>0</v>
      </c>
      <c r="H51" s="99">
        <f>G51+'11'!H51</f>
        <v>0.44000000000232831</v>
      </c>
      <c r="I51" s="95"/>
      <c r="J51" s="175">
        <f>H51/DAY(B2)</f>
        <v>3.6666666666860692E-2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1457.43</v>
      </c>
      <c r="F52" s="145">
        <v>1457.43</v>
      </c>
      <c r="G52" s="112">
        <f t="shared" si="4"/>
        <v>0</v>
      </c>
      <c r="H52" s="99">
        <f>G52+'11'!H52</f>
        <v>0.43000000000006366</v>
      </c>
      <c r="I52" s="95"/>
      <c r="J52" s="175">
        <f>H52/DAY(B2)</f>
        <v>3.5833333333338636E-2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630355.03</v>
      </c>
      <c r="F53" s="145">
        <v>630355.03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127522.79</v>
      </c>
      <c r="F54" s="145">
        <v>127932.96</v>
      </c>
      <c r="G54" s="112">
        <f t="shared" si="4"/>
        <v>410.17000000001281</v>
      </c>
      <c r="H54" s="99">
        <f>G54+'11'!H54</f>
        <v>3818.75</v>
      </c>
      <c r="I54" s="95"/>
      <c r="J54" s="175">
        <f>H54/DAY(B2)</f>
        <v>318.22916666666669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594304.75</v>
      </c>
      <c r="F55" s="145">
        <v>595639.15</v>
      </c>
      <c r="G55" s="112">
        <f t="shared" si="4"/>
        <v>1334.4000000000233</v>
      </c>
      <c r="H55" s="99">
        <f>G55+'11'!H55</f>
        <v>1334.4000000000233</v>
      </c>
      <c r="I55" s="95"/>
      <c r="J55" s="175">
        <f>H55/DAY(B2)</f>
        <v>111.20000000000194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403963.91</v>
      </c>
      <c r="F56" s="145">
        <v>405435.55</v>
      </c>
      <c r="G56" s="112">
        <f t="shared" si="4"/>
        <v>1471.640000000014</v>
      </c>
      <c r="H56" s="99">
        <f>G56+'11'!H56</f>
        <v>32315.549999999988</v>
      </c>
      <c r="I56" s="95"/>
      <c r="J56" s="175">
        <f>H56/DAY(B2)</f>
        <v>2692.9624999999992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736220.47</v>
      </c>
      <c r="F57" s="145">
        <v>738834.71</v>
      </c>
      <c r="G57" s="112">
        <f t="shared" si="4"/>
        <v>2614.2399999999907</v>
      </c>
      <c r="H57" s="99">
        <f>G57+'11'!H57</f>
        <v>31136.709999999963</v>
      </c>
      <c r="I57" s="95"/>
      <c r="J57" s="175">
        <f>H57/DAY(B2)</f>
        <v>2594.7258333333302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97438.51</v>
      </c>
      <c r="F58" s="145">
        <v>97491.520000000004</v>
      </c>
      <c r="G58" s="112">
        <f t="shared" si="4"/>
        <v>53.010000000009313</v>
      </c>
      <c r="H58" s="99">
        <f>G58+'11'!H58</f>
        <v>2921.6999999999971</v>
      </c>
      <c r="I58" s="95"/>
      <c r="J58" s="175">
        <f>H58/DAY(B2)</f>
        <v>243.47499999999977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7548.0600000001432</v>
      </c>
      <c r="H59" s="99">
        <f>G59+'11'!H59</f>
        <v>94087.280000000013</v>
      </c>
      <c r="I59" s="95">
        <f>G7-G60</f>
        <v>2532.3599999997823</v>
      </c>
      <c r="J59" s="175">
        <f>H59/DAY(B2)</f>
        <v>7840.6066666666675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17549.480000000302</v>
      </c>
      <c r="H60" s="99">
        <f>G60+'11'!H60</f>
        <v>232383.84000000005</v>
      </c>
      <c r="I60" s="95">
        <f>G13-G60</f>
        <v>1959.7199999998847</v>
      </c>
      <c r="J60" s="175">
        <f>H60/DAY(B2)</f>
        <v>19365.320000000003</v>
      </c>
      <c r="K60" s="79"/>
      <c r="L60" s="66"/>
      <c r="N60" s="87"/>
      <c r="O60" s="71"/>
    </row>
    <row r="61" spans="1:15" s="68" customFormat="1" ht="32.25" customHeight="1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904" t="s">
        <v>198</v>
      </c>
      <c r="B62" s="905"/>
      <c r="C62" s="906"/>
      <c r="D62" s="151" t="s">
        <v>142</v>
      </c>
      <c r="E62" s="95">
        <f>'11'!F62</f>
        <v>316743</v>
      </c>
      <c r="F62" s="122">
        <v>316743</v>
      </c>
      <c r="G62" s="112">
        <f t="shared" ref="G62:G63" si="5">F62-E62</f>
        <v>0</v>
      </c>
      <c r="H62" s="99">
        <f>G62+'11'!H62</f>
        <v>1066</v>
      </c>
      <c r="I62" s="118"/>
      <c r="J62" s="175">
        <f>H62/DAY(B2)</f>
        <v>88.833333333333329</v>
      </c>
      <c r="K62" s="80"/>
      <c r="L62" s="66"/>
      <c r="N62" s="87"/>
      <c r="O62" s="71"/>
    </row>
    <row r="63" spans="1:15" ht="32.25" customHeight="1">
      <c r="A63" s="904" t="s">
        <v>199</v>
      </c>
      <c r="B63" s="905"/>
      <c r="C63" s="906"/>
      <c r="D63" s="151" t="s">
        <v>142</v>
      </c>
      <c r="E63" s="95">
        <f>'11'!F63</f>
        <v>253233</v>
      </c>
      <c r="F63" s="122">
        <v>253349</v>
      </c>
      <c r="G63" s="112">
        <f t="shared" si="5"/>
        <v>116</v>
      </c>
      <c r="H63" s="99">
        <f>G63+'11'!H63</f>
        <v>1025</v>
      </c>
      <c r="I63" s="118"/>
      <c r="J63" s="175">
        <f>H63/DAY(B2)</f>
        <v>85.416666666666671</v>
      </c>
      <c r="K63" s="69"/>
      <c r="L63" s="66"/>
      <c r="N63" s="87"/>
      <c r="O63" s="71"/>
    </row>
    <row r="64" spans="1:15" ht="32.25" customHeight="1">
      <c r="A64" s="913" t="s">
        <v>200</v>
      </c>
      <c r="B64" s="914"/>
      <c r="C64" s="915"/>
      <c r="D64" s="151"/>
      <c r="E64" s="95">
        <f>'11'!F64</f>
        <v>0</v>
      </c>
      <c r="F64" s="122"/>
      <c r="G64" s="112">
        <f>G62+G63</f>
        <v>116</v>
      </c>
      <c r="H64" s="99">
        <f>G64+'11'!H64</f>
        <v>2091</v>
      </c>
      <c r="I64" s="118"/>
      <c r="J64" s="175">
        <f>H64/DAY(B2)</f>
        <v>174.25</v>
      </c>
      <c r="K64" s="69"/>
      <c r="L64" s="66"/>
      <c r="N64" s="87"/>
      <c r="O64" s="71"/>
    </row>
    <row r="65" spans="1:15" ht="32.25" customHeight="1">
      <c r="A65" s="904" t="s">
        <v>201</v>
      </c>
      <c r="B65" s="905"/>
      <c r="C65" s="906"/>
      <c r="D65" s="151" t="s">
        <v>142</v>
      </c>
      <c r="E65" s="95">
        <f>'11'!F65</f>
        <v>477336</v>
      </c>
      <c r="F65" s="122">
        <v>477437</v>
      </c>
      <c r="G65" s="112">
        <f t="shared" ref="G65:G70" si="6">F65-E65</f>
        <v>101</v>
      </c>
      <c r="H65" s="99">
        <f>G65+'11'!H65</f>
        <v>1534</v>
      </c>
      <c r="I65" s="118"/>
      <c r="J65" s="175">
        <f>H65/DAY(B2)</f>
        <v>127.83333333333333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114651</v>
      </c>
      <c r="F66" s="122">
        <v>114660</v>
      </c>
      <c r="G66" s="112">
        <f t="shared" si="6"/>
        <v>9</v>
      </c>
      <c r="H66" s="99">
        <f>G66+'11'!H66</f>
        <v>194</v>
      </c>
      <c r="I66" s="118"/>
      <c r="J66" s="175">
        <f>H66/DAY(B2)</f>
        <v>16.166666666666668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117534</v>
      </c>
      <c r="F67" s="122">
        <v>117569</v>
      </c>
      <c r="G67" s="112">
        <f t="shared" si="6"/>
        <v>35</v>
      </c>
      <c r="H67" s="99">
        <f>G67+'11'!H67</f>
        <v>287</v>
      </c>
      <c r="I67" s="118"/>
      <c r="J67" s="175">
        <f>H67/DAY(B2)</f>
        <v>23.916666666666668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170155</v>
      </c>
      <c r="F68" s="122">
        <v>170168</v>
      </c>
      <c r="G68" s="112">
        <f t="shared" si="6"/>
        <v>13</v>
      </c>
      <c r="H68" s="99">
        <f>G68+'11'!H68</f>
        <v>218</v>
      </c>
      <c r="I68" s="118"/>
      <c r="J68" s="175">
        <f>H68/DAY(B2)</f>
        <v>18.166666666666668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13259</v>
      </c>
      <c r="F69" s="122">
        <v>13263</v>
      </c>
      <c r="G69" s="112">
        <f t="shared" si="6"/>
        <v>4</v>
      </c>
      <c r="H69" s="99">
        <f>G69+'11'!H69</f>
        <v>51</v>
      </c>
      <c r="I69" s="118"/>
      <c r="J69" s="175">
        <f>H69/DAY(B2)</f>
        <v>4.25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11334</v>
      </c>
      <c r="F70" s="122">
        <v>11340</v>
      </c>
      <c r="G70" s="112">
        <f t="shared" si="6"/>
        <v>6</v>
      </c>
      <c r="H70" s="99">
        <f>G70+'11'!H70</f>
        <v>82</v>
      </c>
      <c r="I70" s="118"/>
      <c r="J70" s="175">
        <f>H70/DAY(B2)</f>
        <v>6.833333333333333</v>
      </c>
      <c r="K70" s="69"/>
      <c r="L70" s="66"/>
      <c r="N70" s="87"/>
      <c r="O70" s="71"/>
    </row>
    <row r="71" spans="1:15" ht="32.25" customHeight="1">
      <c r="A71" s="913" t="s">
        <v>208</v>
      </c>
      <c r="B71" s="914"/>
      <c r="C71" s="915"/>
      <c r="D71" s="152"/>
      <c r="E71" s="152"/>
      <c r="F71" s="152"/>
      <c r="G71" s="153">
        <f>SUM(G65:G70)</f>
        <v>168</v>
      </c>
      <c r="H71" s="99">
        <f>G71+'11'!H71</f>
        <v>2366</v>
      </c>
      <c r="I71" s="154"/>
      <c r="J71" s="175">
        <f>H71/DAY(B2)</f>
        <v>197.16666666666666</v>
      </c>
      <c r="K71" s="69"/>
      <c r="L71" s="66"/>
      <c r="N71" s="87"/>
      <c r="O71" s="71"/>
    </row>
    <row r="72" spans="1:15" s="88" customFormat="1" ht="32.2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904" t="s">
        <v>220</v>
      </c>
      <c r="B74" s="905"/>
      <c r="C74" s="906"/>
      <c r="D74" s="151" t="s">
        <v>139</v>
      </c>
      <c r="E74" s="95">
        <f>'11'!F74</f>
        <v>15770.92</v>
      </c>
      <c r="F74" s="117">
        <v>16057</v>
      </c>
      <c r="G74" s="112">
        <f t="shared" ref="G74:G78" si="7">F74-E74</f>
        <v>286.07999999999993</v>
      </c>
      <c r="H74" s="99">
        <f>G74+'11'!H74</f>
        <v>3795</v>
      </c>
      <c r="I74" s="154"/>
      <c r="J74" s="175">
        <f>H74/DAY(B2)</f>
        <v>316.25</v>
      </c>
      <c r="K74" s="69"/>
      <c r="L74" s="66"/>
      <c r="N74" s="87"/>
      <c r="O74" s="71"/>
    </row>
    <row r="75" spans="1:15" ht="32.25" customHeight="1">
      <c r="A75" s="904" t="s">
        <v>221</v>
      </c>
      <c r="B75" s="905"/>
      <c r="C75" s="906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01" t="s">
        <v>222</v>
      </c>
      <c r="B76" s="902"/>
      <c r="C76" s="903"/>
      <c r="D76" s="151" t="s">
        <v>139</v>
      </c>
      <c r="E76" s="95">
        <f>'11'!F76</f>
        <v>211896</v>
      </c>
      <c r="F76" s="123">
        <v>212008</v>
      </c>
      <c r="G76" s="112">
        <f t="shared" si="7"/>
        <v>112</v>
      </c>
      <c r="H76" s="99">
        <f>G76+'11'!H76</f>
        <v>1348</v>
      </c>
      <c r="I76" s="154"/>
      <c r="J76" s="175">
        <f>H76/DAY(B2)</f>
        <v>112.33333333333333</v>
      </c>
      <c r="K76" s="69"/>
      <c r="L76" s="66"/>
      <c r="N76" s="87"/>
      <c r="O76" s="71"/>
    </row>
    <row r="77" spans="1:15" ht="32.25" customHeight="1">
      <c r="A77" s="901" t="s">
        <v>223</v>
      </c>
      <c r="B77" s="902"/>
      <c r="C77" s="903"/>
      <c r="D77" s="151" t="s">
        <v>139</v>
      </c>
      <c r="E77" s="95">
        <f>'11'!F77</f>
        <v>60311</v>
      </c>
      <c r="F77" s="123">
        <v>60369</v>
      </c>
      <c r="G77" s="112">
        <f t="shared" si="7"/>
        <v>58</v>
      </c>
      <c r="H77" s="99">
        <f>G77+'11'!H77</f>
        <v>608</v>
      </c>
      <c r="I77" s="154"/>
      <c r="J77" s="175">
        <f>H77/DAY(B2)</f>
        <v>50.666666666666664</v>
      </c>
      <c r="K77" s="69"/>
      <c r="L77" s="66"/>
      <c r="N77" s="87"/>
      <c r="O77" s="71"/>
    </row>
    <row r="78" spans="1:15" ht="32.25" customHeight="1">
      <c r="A78" s="901" t="s">
        <v>224</v>
      </c>
      <c r="B78" s="902"/>
      <c r="C78" s="903"/>
      <c r="D78" s="151" t="s">
        <v>139</v>
      </c>
      <c r="E78" s="95">
        <f>'11'!F78</f>
        <v>9564</v>
      </c>
      <c r="F78" s="123">
        <v>9564</v>
      </c>
      <c r="G78" s="112">
        <f t="shared" si="7"/>
        <v>0</v>
      </c>
      <c r="H78" s="99">
        <f>G78+'11'!H78</f>
        <v>0.5</v>
      </c>
      <c r="I78" s="118"/>
      <c r="J78" s="175">
        <f>H78/DAY(B2)</f>
        <v>4.1666666666666664E-2</v>
      </c>
      <c r="K78" s="69"/>
      <c r="L78" s="66"/>
      <c r="N78" s="87"/>
      <c r="O78" s="71"/>
    </row>
    <row r="79" spans="1:15" s="57" customFormat="1" ht="32.25" customHeight="1">
      <c r="A79" s="901" t="s">
        <v>225</v>
      </c>
      <c r="B79" s="902"/>
      <c r="C79" s="903"/>
      <c r="D79" s="151"/>
      <c r="E79" s="95">
        <f>'11'!F79</f>
        <v>0</v>
      </c>
      <c r="F79" s="117"/>
      <c r="G79" s="112">
        <f>G15-SUM(G74:G78)</f>
        <v>285.3299999998726</v>
      </c>
      <c r="H79" s="99">
        <f>G79+'11'!H79</f>
        <v>7400.1950000000215</v>
      </c>
      <c r="I79" s="118"/>
      <c r="J79" s="175">
        <f>H79/DAY(B2)</f>
        <v>616.68291666666846</v>
      </c>
      <c r="K79" s="59"/>
      <c r="L79" s="58"/>
      <c r="N79" s="87"/>
      <c r="O79" s="71"/>
    </row>
    <row r="80" spans="1:15" s="57" customFormat="1" ht="32.2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741.60999999986961</v>
      </c>
      <c r="H80" s="99">
        <f>G80+'11'!H80</f>
        <v>741.60999999986961</v>
      </c>
      <c r="I80" s="118"/>
      <c r="J80" s="175">
        <f>H80/DAY(B2)</f>
        <v>61.800833333322466</v>
      </c>
      <c r="K80" s="59"/>
      <c r="L80" s="58"/>
      <c r="N80" s="87"/>
      <c r="O80" s="71"/>
    </row>
    <row r="81" spans="1:15" ht="32.2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43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43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43546</v>
      </c>
      <c r="F84" s="164">
        <v>43546</v>
      </c>
      <c r="G84" s="112">
        <f t="shared" si="8"/>
        <v>0</v>
      </c>
      <c r="H84" s="99">
        <f>G84+'11'!H84</f>
        <v>0</v>
      </c>
      <c r="I84" s="543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6258</v>
      </c>
      <c r="F85" s="164">
        <v>6258</v>
      </c>
      <c r="G85" s="112">
        <f t="shared" si="8"/>
        <v>0</v>
      </c>
      <c r="H85" s="99">
        <f>G85+'11'!H85</f>
        <v>45</v>
      </c>
      <c r="I85" s="543"/>
      <c r="J85" s="175">
        <f>H85/DAY(B2)</f>
        <v>3.75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46971</v>
      </c>
      <c r="F86" s="164">
        <v>46981</v>
      </c>
      <c r="G86" s="112">
        <f t="shared" si="8"/>
        <v>10</v>
      </c>
      <c r="H86" s="99">
        <f>G86+'11'!H86</f>
        <v>10</v>
      </c>
      <c r="I86" s="543"/>
      <c r="J86" s="175">
        <f>H86/DAY(B2)</f>
        <v>0.83333333333333337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37586.949999999997</v>
      </c>
      <c r="F87" s="164">
        <v>37602</v>
      </c>
      <c r="G87" s="112">
        <f t="shared" si="8"/>
        <v>15.05000000000291</v>
      </c>
      <c r="H87" s="99">
        <f>G87+'11'!H87</f>
        <v>238</v>
      </c>
      <c r="I87" s="543">
        <f>G84+G85+G86+G87</f>
        <v>25.05000000000291</v>
      </c>
      <c r="J87" s="175">
        <f>H87/DAY(B2)</f>
        <v>19.833333333333332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24836.2</v>
      </c>
      <c r="F88" s="164">
        <v>24836.2</v>
      </c>
      <c r="G88" s="112">
        <f t="shared" si="8"/>
        <v>0</v>
      </c>
      <c r="H88" s="99">
        <f>G88+'11'!H88</f>
        <v>74.200000000000728</v>
      </c>
      <c r="I88" s="543"/>
      <c r="J88" s="175">
        <f>H88/DAY(B2)</f>
        <v>6.183333333333394</v>
      </c>
      <c r="N88" s="65">
        <v>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29106.07</v>
      </c>
      <c r="F89" s="164">
        <v>29106.07</v>
      </c>
      <c r="G89" s="112">
        <f t="shared" si="8"/>
        <v>0</v>
      </c>
      <c r="H89" s="99">
        <f>G89+'11'!H89</f>
        <v>78.069999999999709</v>
      </c>
      <c r="I89" s="543">
        <f>G88+G89</f>
        <v>0</v>
      </c>
      <c r="J89" s="175">
        <f>H89/DAY(B2)</f>
        <v>6.5058333333333094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74530.8</v>
      </c>
      <c r="F90" s="164">
        <v>74540.259999999995</v>
      </c>
      <c r="G90" s="112">
        <f t="shared" si="8"/>
        <v>9.4599999999918509</v>
      </c>
      <c r="H90" s="99">
        <f>G90+'11'!H90</f>
        <v>92.259999999994761</v>
      </c>
      <c r="I90" s="543">
        <f>G90</f>
        <v>9.4599999999918509</v>
      </c>
      <c r="J90" s="175">
        <f>H90/DAY(B2)</f>
        <v>7.6883333333328965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5716.91</v>
      </c>
      <c r="F91" s="122">
        <v>5728.27</v>
      </c>
      <c r="G91" s="112">
        <f t="shared" si="8"/>
        <v>11.360000000000582</v>
      </c>
      <c r="H91" s="99">
        <f>G91+'11'!H91</f>
        <v>110.0600000000004</v>
      </c>
      <c r="I91" s="544"/>
      <c r="J91" s="175">
        <f>H91/DAY(B2)</f>
        <v>9.1716666666667006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7466.87</v>
      </c>
      <c r="F92" s="122">
        <v>7466.87</v>
      </c>
      <c r="G92" s="112">
        <f t="shared" si="8"/>
        <v>0</v>
      </c>
      <c r="H92" s="99">
        <f>G92+'11'!H92</f>
        <v>34.590000000000146</v>
      </c>
      <c r="I92" s="545">
        <f>G91+G92</f>
        <v>11.360000000000582</v>
      </c>
      <c r="J92" s="175">
        <f>H92/DAY(B2)</f>
        <v>2.8825000000000123</v>
      </c>
      <c r="O92" s="71"/>
    </row>
    <row r="93" spans="1:15" ht="32.2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5689.4400000000605</v>
      </c>
      <c r="H94" s="99">
        <f>G94+'11'!H94</f>
        <v>68549.37</v>
      </c>
      <c r="I94" s="118"/>
      <c r="J94" s="175">
        <f>H94/DAY(B2)</f>
        <v>5712.4474999999993</v>
      </c>
      <c r="K94" s="69"/>
      <c r="L94" s="66"/>
      <c r="O94" s="71"/>
    </row>
    <row r="95" spans="1:15" ht="32.2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0.28331268449504809</v>
      </c>
      <c r="H95" s="99">
        <f>G95+'11'!H95</f>
        <v>3.1050644280411568</v>
      </c>
      <c r="I95" s="167"/>
      <c r="J95" s="175">
        <f>H95/DAY(B2)</f>
        <v>0.25875536900342971</v>
      </c>
      <c r="K95" s="69"/>
      <c r="L95" s="66"/>
      <c r="O95" s="71"/>
    </row>
    <row r="96" spans="1:15" ht="32.2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2806.0400000000373</v>
      </c>
      <c r="H96" s="99">
        <f>G96+'11'!H96</f>
        <v>42896.909999999974</v>
      </c>
      <c r="I96" s="118"/>
      <c r="J96" s="175">
        <f>H96/DAY(B2)</f>
        <v>3574.742499999998</v>
      </c>
      <c r="K96" s="69"/>
      <c r="L96" s="66"/>
      <c r="O96" s="71"/>
    </row>
    <row r="97" spans="1:15" ht="32.2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0.13973022392370549</v>
      </c>
      <c r="H97" s="99">
        <f>G97+'11'!H97</f>
        <v>1.9381293955289214</v>
      </c>
      <c r="I97" s="167"/>
      <c r="J97" s="175">
        <f>H97/DAY(B2)</f>
        <v>0.16151078296074345</v>
      </c>
      <c r="K97" s="69"/>
      <c r="L97" s="66"/>
      <c r="O97" s="71"/>
    </row>
    <row r="98" spans="1:15" ht="32.2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2793.6000000000931</v>
      </c>
      <c r="H98" s="99">
        <f>G98+'11'!H98</f>
        <v>33988.790000000037</v>
      </c>
      <c r="I98" s="168"/>
      <c r="J98" s="175">
        <f>H98/DAY(B2)</f>
        <v>2832.3991666666698</v>
      </c>
      <c r="K98" s="69"/>
      <c r="L98" s="66"/>
      <c r="O98" s="71"/>
    </row>
    <row r="99" spans="1:15" ht="32.2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0.13911075877509638</v>
      </c>
      <c r="H99" s="99">
        <f>G99+'11'!H99</f>
        <v>1.5395291380715646</v>
      </c>
      <c r="I99" s="168"/>
      <c r="J99" s="175">
        <f>H99/DAY(B2)</f>
        <v>0.12829409483929705</v>
      </c>
      <c r="O99" s="71"/>
    </row>
    <row r="100" spans="1:15" ht="32.2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2375.5200000000186</v>
      </c>
      <c r="H100" s="99">
        <f>G100+'11'!H100</f>
        <v>31544.700000000019</v>
      </c>
      <c r="I100" s="118"/>
      <c r="J100" s="175">
        <f>H100/DAY(B2)</f>
        <v>2628.7250000000017</v>
      </c>
      <c r="K100" s="70"/>
      <c r="O100" s="71"/>
    </row>
    <row r="101" spans="1:15" ht="32.2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0.1182919493432877</v>
      </c>
      <c r="H101" s="99">
        <f>G101+'11'!H101</f>
        <v>1.4264241487088625</v>
      </c>
      <c r="I101" s="168"/>
      <c r="J101" s="175">
        <f>H101/DAY(B2)</f>
        <v>0.11886867905907188</v>
      </c>
      <c r="O101" s="71"/>
    </row>
    <row r="102" spans="1:15" ht="32.2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1871.9200000001001</v>
      </c>
      <c r="H102" s="99">
        <f>G102+'11'!H102</f>
        <v>28132.340000000026</v>
      </c>
      <c r="I102" s="168"/>
      <c r="J102" s="175">
        <f>H102/DAY(B2)</f>
        <v>2344.361666666669</v>
      </c>
      <c r="O102" s="71"/>
    </row>
    <row r="103" spans="1:15" ht="32.2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9.3214565995949197E-2</v>
      </c>
      <c r="H103" s="99">
        <f>G103+'11'!H103</f>
        <v>1.269426412766284</v>
      </c>
      <c r="I103" s="118"/>
      <c r="J103" s="175">
        <f>H103/DAY(B2)</f>
        <v>0.10578553439719034</v>
      </c>
      <c r="O103" s="71"/>
    </row>
    <row r="104" spans="1:15" ht="32.2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1336.1599999999744</v>
      </c>
      <c r="H104" s="99">
        <f>G104+'11'!H104</f>
        <v>17365.349999999977</v>
      </c>
      <c r="I104" s="118"/>
      <c r="J104" s="175">
        <f>H104/DAY(B2)</f>
        <v>1447.1124999999981</v>
      </c>
      <c r="O104" s="71"/>
    </row>
    <row r="105" spans="1:15" ht="32.2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6.6535735769230747E-2</v>
      </c>
      <c r="H105" s="99">
        <f>G105+'11'!H105</f>
        <v>0.78562997107205434</v>
      </c>
      <c r="I105" s="187"/>
      <c r="J105" s="188">
        <f>H105/DAY(B2)</f>
        <v>6.5469164256004533E-2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32.25" customHeight="1">
      <c r="A109" s="920"/>
      <c r="B109" s="920"/>
    </row>
    <row r="110" spans="1:15" ht="32.2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32.2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83" t="s">
        <v>252</v>
      </c>
      <c r="B112" s="884"/>
      <c r="C112" s="885"/>
      <c r="D112" s="146" t="s">
        <v>183</v>
      </c>
      <c r="E112" s="95">
        <f>'11'!F112</f>
        <v>20070.11</v>
      </c>
      <c r="F112" s="237">
        <v>20130.240000000002</v>
      </c>
      <c r="G112" s="112">
        <f t="shared" ref="G112:G123" si="9">F112-E112</f>
        <v>60.130000000001019</v>
      </c>
      <c r="H112" s="99">
        <f>G112+'11'!H112</f>
        <v>733.2400000000016</v>
      </c>
      <c r="I112" s="165"/>
      <c r="J112" s="328">
        <f>H112/DAY(B2)</f>
        <v>61.103333333333467</v>
      </c>
    </row>
    <row r="113" spans="1:18" ht="32.25" customHeight="1">
      <c r="A113" s="883" t="s">
        <v>253</v>
      </c>
      <c r="B113" s="884"/>
      <c r="C113" s="885"/>
      <c r="D113" s="146" t="s">
        <v>183</v>
      </c>
      <c r="E113" s="95">
        <f>'11'!F113</f>
        <v>43123</v>
      </c>
      <c r="F113" s="237">
        <v>43267.19</v>
      </c>
      <c r="G113" s="112">
        <f t="shared" si="9"/>
        <v>144.19000000000233</v>
      </c>
      <c r="H113" s="99">
        <f>G113+'11'!H113</f>
        <v>1747.2400000000052</v>
      </c>
      <c r="I113" s="165"/>
      <c r="J113" s="328">
        <f>H113/DAY(B2)</f>
        <v>145.60333333333378</v>
      </c>
    </row>
    <row r="114" spans="1:18" ht="32.25" customHeight="1">
      <c r="A114" s="883" t="s">
        <v>254</v>
      </c>
      <c r="B114" s="884"/>
      <c r="C114" s="885"/>
      <c r="D114" s="146" t="s">
        <v>183</v>
      </c>
      <c r="E114" s="95">
        <f>'11'!F114</f>
        <v>63700.63</v>
      </c>
      <c r="F114" s="237">
        <v>63920.23</v>
      </c>
      <c r="G114" s="112">
        <f t="shared" si="9"/>
        <v>219.60000000000582</v>
      </c>
      <c r="H114" s="99">
        <f>G114+'11'!H114</f>
        <v>2702.2300000000032</v>
      </c>
      <c r="I114" s="165"/>
      <c r="J114" s="328">
        <f>H114/DAY(B2)</f>
        <v>225.18583333333359</v>
      </c>
    </row>
    <row r="115" spans="1:18" ht="32.25" customHeight="1">
      <c r="A115" s="883" t="s">
        <v>255</v>
      </c>
      <c r="B115" s="884"/>
      <c r="C115" s="885"/>
      <c r="D115" s="146" t="s">
        <v>183</v>
      </c>
      <c r="E115" s="95">
        <f>'11'!F115</f>
        <v>41046.03</v>
      </c>
      <c r="F115" s="237">
        <v>41184.720000000001</v>
      </c>
      <c r="G115" s="112">
        <f t="shared" si="9"/>
        <v>138.69000000000233</v>
      </c>
      <c r="H115" s="99">
        <f>G115+'11'!H115</f>
        <v>1725.7200000000012</v>
      </c>
      <c r="I115" s="165"/>
      <c r="J115" s="328">
        <f>H115/DAY(B2)</f>
        <v>143.81000000000009</v>
      </c>
    </row>
    <row r="116" spans="1:18" ht="32.25" customHeight="1">
      <c r="A116" s="890" t="s">
        <v>96</v>
      </c>
      <c r="B116" s="891"/>
      <c r="C116" s="892"/>
      <c r="D116" s="146" t="s">
        <v>183</v>
      </c>
      <c r="E116" s="95">
        <f>'11'!F116</f>
        <v>153031</v>
      </c>
      <c r="F116" s="237">
        <v>153435</v>
      </c>
      <c r="G116" s="112">
        <f t="shared" si="9"/>
        <v>404</v>
      </c>
      <c r="H116" s="99">
        <f>G116+'11'!H116</f>
        <v>5505</v>
      </c>
      <c r="I116" s="165"/>
      <c r="J116" s="328">
        <f>H116/DAY(B2)</f>
        <v>458.75</v>
      </c>
      <c r="Q116" s="883" t="s">
        <v>311</v>
      </c>
      <c r="R116" s="885"/>
    </row>
    <row r="117" spans="1:18" ht="32.25" customHeight="1">
      <c r="A117" s="890" t="s">
        <v>184</v>
      </c>
      <c r="B117" s="891"/>
      <c r="C117" s="892"/>
      <c r="D117" s="146" t="s">
        <v>183</v>
      </c>
      <c r="E117" s="95">
        <f>'11'!F117</f>
        <v>94754</v>
      </c>
      <c r="F117" s="237">
        <v>94988.45</v>
      </c>
      <c r="G117" s="112">
        <f t="shared" si="9"/>
        <v>234.44999999999709</v>
      </c>
      <c r="H117" s="99">
        <f>G117+'11'!H117</f>
        <v>2999.0509999999922</v>
      </c>
      <c r="I117" s="165"/>
      <c r="J117" s="328">
        <f>H117/DAY(B2)</f>
        <v>249.92091666666602</v>
      </c>
      <c r="Q117" s="883" t="s">
        <v>312</v>
      </c>
      <c r="R117" s="885"/>
    </row>
    <row r="118" spans="1:18" ht="32.25" customHeight="1">
      <c r="A118" s="882" t="s">
        <v>97</v>
      </c>
      <c r="B118" s="882"/>
      <c r="C118" s="882"/>
      <c r="D118" s="151" t="s">
        <v>183</v>
      </c>
      <c r="E118" s="95">
        <f>'11'!F118</f>
        <v>185255</v>
      </c>
      <c r="F118" s="237">
        <v>185960.2</v>
      </c>
      <c r="G118" s="112">
        <f t="shared" si="9"/>
        <v>705.20000000001164</v>
      </c>
      <c r="H118" s="99">
        <f>G118+'11'!H118</f>
        <v>8427.6700000000128</v>
      </c>
      <c r="I118" s="165"/>
      <c r="J118" s="328">
        <f>H118/DAY(B2)</f>
        <v>702.30583333333436</v>
      </c>
      <c r="Q118" s="883" t="s">
        <v>311</v>
      </c>
      <c r="R118" s="885"/>
    </row>
    <row r="119" spans="1:18" ht="32.25" customHeight="1">
      <c r="A119" s="882" t="s">
        <v>98</v>
      </c>
      <c r="B119" s="882"/>
      <c r="C119" s="882"/>
      <c r="D119" s="151" t="s">
        <v>183</v>
      </c>
      <c r="E119" s="95">
        <f>'11'!F119</f>
        <v>45739</v>
      </c>
      <c r="F119" s="237">
        <v>45804.4</v>
      </c>
      <c r="G119" s="112">
        <f t="shared" si="9"/>
        <v>65.400000000001455</v>
      </c>
      <c r="H119" s="99">
        <f>G119+'11'!H119</f>
        <v>611.40000000000146</v>
      </c>
      <c r="I119" s="165"/>
      <c r="J119" s="328">
        <f>H119/DAY(B2)</f>
        <v>50.950000000000124</v>
      </c>
    </row>
    <row r="120" spans="1:18" ht="32.25" customHeight="1">
      <c r="A120" s="882" t="s">
        <v>99</v>
      </c>
      <c r="B120" s="882"/>
      <c r="C120" s="882"/>
      <c r="D120" s="151" t="s">
        <v>183</v>
      </c>
      <c r="E120" s="95">
        <f>'11'!F120</f>
        <v>124662</v>
      </c>
      <c r="F120" s="237">
        <v>125049.8</v>
      </c>
      <c r="G120" s="112">
        <f t="shared" si="9"/>
        <v>387.80000000000291</v>
      </c>
      <c r="H120" s="99">
        <f>G120+'11'!H120</f>
        <v>4605.8000000000029</v>
      </c>
      <c r="I120" s="165"/>
      <c r="J120" s="328">
        <f>H120/DAY(B2)</f>
        <v>383.81666666666689</v>
      </c>
    </row>
    <row r="121" spans="1:18" ht="32.25" customHeight="1">
      <c r="A121" s="882" t="s">
        <v>100</v>
      </c>
      <c r="B121" s="882"/>
      <c r="C121" s="882"/>
      <c r="D121" s="151" t="s">
        <v>183</v>
      </c>
      <c r="E121" s="95">
        <f>'11'!F121</f>
        <v>139283</v>
      </c>
      <c r="F121" s="237">
        <v>139721.9</v>
      </c>
      <c r="G121" s="112">
        <f t="shared" si="9"/>
        <v>438.89999999999418</v>
      </c>
      <c r="H121" s="99">
        <f>G121+'11'!H121</f>
        <v>5158.8999999999942</v>
      </c>
      <c r="I121" s="165"/>
      <c r="J121" s="328">
        <f>H121/DAY(B2)</f>
        <v>429.90833333333285</v>
      </c>
    </row>
    <row r="122" spans="1:18" ht="32.25" customHeight="1">
      <c r="A122" s="882" t="s">
        <v>101</v>
      </c>
      <c r="B122" s="882"/>
      <c r="C122" s="882"/>
      <c r="D122" s="151" t="s">
        <v>183</v>
      </c>
      <c r="E122" s="95">
        <f>'11'!F122</f>
        <v>94296.6</v>
      </c>
      <c r="F122" s="237">
        <v>94630.6</v>
      </c>
      <c r="G122" s="112">
        <f t="shared" si="9"/>
        <v>334</v>
      </c>
      <c r="H122" s="99">
        <f>G122+'11'!H122</f>
        <v>3753.6000000000058</v>
      </c>
      <c r="I122" s="165"/>
      <c r="J122" s="328">
        <f>H122/DAY(B2)</f>
        <v>312.80000000000047</v>
      </c>
    </row>
    <row r="123" spans="1:18" ht="32.25" customHeight="1">
      <c r="A123" s="882" t="s">
        <v>102</v>
      </c>
      <c r="B123" s="882"/>
      <c r="C123" s="882"/>
      <c r="D123" s="151" t="s">
        <v>183</v>
      </c>
      <c r="E123" s="95">
        <f>'11'!F123</f>
        <v>90954</v>
      </c>
      <c r="F123" s="237">
        <v>91271.8</v>
      </c>
      <c r="G123" s="112">
        <f t="shared" si="9"/>
        <v>317.80000000000291</v>
      </c>
      <c r="H123" s="99">
        <f>G123+'11'!H123</f>
        <v>3692.8000000000029</v>
      </c>
      <c r="I123" s="165"/>
      <c r="J123" s="328">
        <f>H123/DAY(B2)</f>
        <v>307.73333333333358</v>
      </c>
    </row>
    <row r="124" spans="1:18" ht="32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3450.1600000000217</v>
      </c>
      <c r="H125" s="156"/>
      <c r="I125" s="327" t="s">
        <v>364</v>
      </c>
      <c r="J125" s="327"/>
    </row>
    <row r="126" spans="1:18" ht="32.2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32.25" customHeight="1">
      <c r="A127" s="872"/>
      <c r="B127" s="87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83" t="s">
        <v>318</v>
      </c>
      <c r="B128" s="884"/>
      <c r="C128" s="885"/>
      <c r="D128" s="151" t="s">
        <v>183</v>
      </c>
      <c r="E128" s="95">
        <f>'11'!F128</f>
        <v>212821.8</v>
      </c>
      <c r="F128" s="165">
        <v>213289.9</v>
      </c>
      <c r="G128" s="112">
        <f t="shared" ref="G128:G134" si="10">F128-E128</f>
        <v>468.10000000000582</v>
      </c>
      <c r="H128" s="99">
        <f>G128+'11'!H128</f>
        <v>6000.8999999999942</v>
      </c>
      <c r="I128" s="165"/>
      <c r="J128" s="328">
        <f>H128/DAY(B2)</f>
        <v>500.07499999999953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1981.82</v>
      </c>
      <c r="F129" s="165">
        <v>2066.86</v>
      </c>
      <c r="G129" s="112">
        <f t="shared" si="10"/>
        <v>85.040000000000191</v>
      </c>
      <c r="H129" s="99">
        <f>G129+'11'!H129</f>
        <v>1332.8600000000001</v>
      </c>
      <c r="I129" s="165"/>
      <c r="J129" s="328">
        <f>H129/DAY(B2)</f>
        <v>111.07166666666667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294216.59999999998</v>
      </c>
      <c r="F130" s="165">
        <v>294818.59999999998</v>
      </c>
      <c r="G130" s="112">
        <f t="shared" si="10"/>
        <v>602</v>
      </c>
      <c r="H130" s="99">
        <f>G130+'11'!H130</f>
        <v>6096.5999999999767</v>
      </c>
      <c r="I130" s="165"/>
      <c r="J130" s="328">
        <f>H130/DAY(B2)</f>
        <v>508.04999999999808</v>
      </c>
      <c r="N130" s="240"/>
      <c r="O130" s="241"/>
    </row>
    <row r="131" spans="1:15" ht="32.25" customHeight="1">
      <c r="A131" s="883" t="s">
        <v>321</v>
      </c>
      <c r="B131" s="884"/>
      <c r="C131" s="885"/>
      <c r="D131" s="151" t="s">
        <v>183</v>
      </c>
      <c r="E131" s="95">
        <f>'11'!F131</f>
        <v>86934.84</v>
      </c>
      <c r="F131" s="165">
        <v>87058.79</v>
      </c>
      <c r="G131" s="112">
        <f t="shared" si="10"/>
        <v>123.94999999999709</v>
      </c>
      <c r="H131" s="99">
        <f>G131+'11'!H131</f>
        <v>2354.9599999999919</v>
      </c>
      <c r="I131" s="165"/>
      <c r="J131" s="328">
        <f>H131/DAY(B2)</f>
        <v>196.24666666666599</v>
      </c>
      <c r="N131" s="240"/>
      <c r="O131" s="241"/>
    </row>
    <row r="132" spans="1:15" ht="32.25" customHeight="1">
      <c r="A132" s="883" t="s">
        <v>322</v>
      </c>
      <c r="B132" s="884"/>
      <c r="C132" s="885"/>
      <c r="D132" s="151" t="s">
        <v>183</v>
      </c>
      <c r="E132" s="95">
        <f>'11'!F132</f>
        <v>70917.899999999994</v>
      </c>
      <c r="F132" s="165">
        <v>71226.399999999994</v>
      </c>
      <c r="G132" s="112">
        <f t="shared" si="10"/>
        <v>308.5</v>
      </c>
      <c r="H132" s="99">
        <f>G132+'11'!H132</f>
        <v>3779.3999999999942</v>
      </c>
      <c r="I132" s="165"/>
      <c r="J132" s="328">
        <f>H132/DAY(B2)</f>
        <v>314.94999999999953</v>
      </c>
    </row>
    <row r="133" spans="1:15" ht="32.25" customHeight="1">
      <c r="A133" s="883" t="s">
        <v>358</v>
      </c>
      <c r="B133" s="884"/>
      <c r="C133" s="885"/>
      <c r="D133" s="151" t="s">
        <v>183</v>
      </c>
      <c r="E133" s="95">
        <f>'11'!F133</f>
        <v>956365</v>
      </c>
      <c r="F133" s="165">
        <v>957064</v>
      </c>
      <c r="G133" s="112">
        <f t="shared" si="10"/>
        <v>699</v>
      </c>
      <c r="H133" s="99">
        <f>G133+'11'!H133</f>
        <v>6917</v>
      </c>
      <c r="I133" s="165"/>
      <c r="J133" s="328">
        <f>H133/DAY(B2)</f>
        <v>576.41666666666663</v>
      </c>
    </row>
    <row r="134" spans="1:15" ht="32.25" customHeight="1">
      <c r="A134" s="883" t="s">
        <v>340</v>
      </c>
      <c r="B134" s="884"/>
      <c r="C134" s="885"/>
      <c r="D134" s="151" t="s">
        <v>183</v>
      </c>
      <c r="E134" s="95">
        <f>'11'!F134</f>
        <v>96071</v>
      </c>
      <c r="F134" s="165">
        <v>96332.41</v>
      </c>
      <c r="G134" s="112">
        <f t="shared" si="10"/>
        <v>261.41000000000349</v>
      </c>
      <c r="H134" s="99">
        <f>G134+'11'!H134</f>
        <v>3098.9100000000035</v>
      </c>
      <c r="I134" s="165"/>
      <c r="J134" s="328">
        <f>H134/DAY(B2)</f>
        <v>258.24250000000029</v>
      </c>
    </row>
    <row r="135" spans="1:15" ht="32.25" customHeight="1">
      <c r="A135" s="788" t="s">
        <v>196</v>
      </c>
      <c r="B135" s="789"/>
      <c r="C135" s="331"/>
      <c r="D135" s="151"/>
      <c r="E135" s="95"/>
      <c r="F135" s="165"/>
      <c r="G135" s="112">
        <f>SUM(G128:G134)</f>
        <v>2548.0000000000064</v>
      </c>
      <c r="H135" s="99">
        <f>G135+'10'!H135</f>
        <v>26801.609999999979</v>
      </c>
      <c r="I135" s="327">
        <f>G135-(G35+G49)</f>
        <v>-527.20000000006348</v>
      </c>
      <c r="J135" s="328">
        <f>H135/DAY(B2)</f>
        <v>2233.4674999999984</v>
      </c>
    </row>
    <row r="136" spans="1:15" ht="32.25" customHeight="1">
      <c r="A136" s="871" t="s">
        <v>207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82" t="s">
        <v>185</v>
      </c>
      <c r="B138" s="882"/>
      <c r="C138" s="882"/>
      <c r="D138" s="151" t="s">
        <v>183</v>
      </c>
      <c r="E138" s="95">
        <f>'11'!F138</f>
        <v>914195</v>
      </c>
      <c r="F138" s="147">
        <v>914307</v>
      </c>
      <c r="G138" s="112">
        <f t="shared" ref="G138:G152" si="11">F138-E138</f>
        <v>112</v>
      </c>
      <c r="H138" s="99">
        <f>G138+'11'!H138</f>
        <v>1396</v>
      </c>
      <c r="I138" s="118"/>
      <c r="J138" s="328">
        <f>H138/DAY(B2)</f>
        <v>116.33333333333333</v>
      </c>
    </row>
    <row r="139" spans="1:15" ht="32.25" customHeight="1">
      <c r="A139" s="882" t="s">
        <v>186</v>
      </c>
      <c r="B139" s="882"/>
      <c r="C139" s="882"/>
      <c r="D139" s="151" t="s">
        <v>183</v>
      </c>
      <c r="E139" s="95">
        <f>'11'!F139</f>
        <v>938877</v>
      </c>
      <c r="F139" s="148">
        <v>939027</v>
      </c>
      <c r="G139" s="112">
        <f t="shared" si="11"/>
        <v>150</v>
      </c>
      <c r="H139" s="99">
        <f>G139+'11'!H139</f>
        <v>1769</v>
      </c>
      <c r="I139" s="118"/>
      <c r="J139" s="328">
        <f>H139/DAY(B2)</f>
        <v>147.41666666666666</v>
      </c>
    </row>
    <row r="140" spans="1:15" ht="32.25" customHeight="1">
      <c r="A140" s="882" t="s">
        <v>187</v>
      </c>
      <c r="B140" s="882"/>
      <c r="C140" s="882"/>
      <c r="D140" s="151" t="s">
        <v>183</v>
      </c>
      <c r="E140" s="95">
        <f>'11'!F140</f>
        <v>5107.83</v>
      </c>
      <c r="F140" s="149">
        <v>5138.8100000000004</v>
      </c>
      <c r="G140" s="112">
        <f t="shared" si="11"/>
        <v>30.980000000000473</v>
      </c>
      <c r="H140" s="99">
        <f>G140+'11'!H140</f>
        <v>374.8100000000004</v>
      </c>
      <c r="I140" s="118"/>
      <c r="J140" s="328">
        <f>H140/DAY(B2)</f>
        <v>31.234166666666699</v>
      </c>
    </row>
    <row r="141" spans="1:15" ht="32.25" customHeight="1">
      <c r="A141" s="865" t="s">
        <v>188</v>
      </c>
      <c r="B141" s="865"/>
      <c r="C141" s="865"/>
      <c r="D141" s="151" t="s">
        <v>183</v>
      </c>
      <c r="E141" s="95">
        <f>'11'!F141</f>
        <v>134016.60999999999</v>
      </c>
      <c r="F141" s="149">
        <v>134271.96</v>
      </c>
      <c r="G141" s="112">
        <f t="shared" si="11"/>
        <v>255.35000000000582</v>
      </c>
      <c r="H141" s="99">
        <f>G141+'11'!H141</f>
        <v>2951.9599999999919</v>
      </c>
      <c r="I141" s="118"/>
      <c r="J141" s="328">
        <f>H141/DAY(B2)</f>
        <v>245.99666666666599</v>
      </c>
    </row>
    <row r="142" spans="1:15" ht="32.25" customHeight="1">
      <c r="A142" s="865" t="s">
        <v>189</v>
      </c>
      <c r="B142" s="865"/>
      <c r="C142" s="865"/>
      <c r="D142" s="151" t="s">
        <v>183</v>
      </c>
      <c r="E142" s="95">
        <f>'11'!F142</f>
        <v>54194.9</v>
      </c>
      <c r="F142" s="148">
        <v>54277.9</v>
      </c>
      <c r="G142" s="112">
        <f t="shared" si="11"/>
        <v>83</v>
      </c>
      <c r="H142" s="99">
        <f>G142+'11'!H142</f>
        <v>1086.9000000000015</v>
      </c>
      <c r="I142" s="140"/>
      <c r="J142" s="328">
        <f>H142/DAY(B2)</f>
        <v>90.575000000000117</v>
      </c>
    </row>
    <row r="143" spans="1:15" ht="32.25" customHeight="1">
      <c r="A143" s="882" t="s">
        <v>91</v>
      </c>
      <c r="B143" s="882"/>
      <c r="C143" s="882"/>
      <c r="D143" s="151" t="s">
        <v>183</v>
      </c>
      <c r="E143" s="95">
        <f>'11'!F143</f>
        <v>14670.31</v>
      </c>
      <c r="F143" s="149">
        <v>14701.37</v>
      </c>
      <c r="G143" s="112">
        <f t="shared" si="11"/>
        <v>31.06000000000131</v>
      </c>
      <c r="H143" s="99">
        <f>G143+'11'!H143</f>
        <v>389.3700000000008</v>
      </c>
      <c r="I143" s="140"/>
      <c r="J143" s="328">
        <f>H143/DAY(B2)</f>
        <v>32.447500000000069</v>
      </c>
    </row>
    <row r="144" spans="1:15" ht="32.25" customHeight="1">
      <c r="A144" s="865" t="s">
        <v>90</v>
      </c>
      <c r="B144" s="865"/>
      <c r="C144" s="865"/>
      <c r="D144" s="151" t="s">
        <v>183</v>
      </c>
      <c r="E144" s="95">
        <f>'11'!F144</f>
        <v>966144</v>
      </c>
      <c r="F144" s="149">
        <v>966371</v>
      </c>
      <c r="G144" s="112">
        <f t="shared" si="11"/>
        <v>227</v>
      </c>
      <c r="H144" s="99">
        <f>G144+'11'!H144</f>
        <v>3145</v>
      </c>
      <c r="I144" s="140"/>
      <c r="J144" s="328">
        <f>H144/DAY(B2)</f>
        <v>262.08333333333331</v>
      </c>
    </row>
    <row r="145" spans="1:10" ht="32.25" customHeight="1">
      <c r="A145" s="882" t="s">
        <v>190</v>
      </c>
      <c r="B145" s="882"/>
      <c r="C145" s="882"/>
      <c r="D145" s="152" t="s">
        <v>183</v>
      </c>
      <c r="E145" s="95">
        <f>'11'!F145</f>
        <v>753064</v>
      </c>
      <c r="F145" s="149">
        <v>753225</v>
      </c>
      <c r="G145" s="112">
        <f t="shared" si="11"/>
        <v>161</v>
      </c>
      <c r="H145" s="99">
        <f>G145+'11'!H145</f>
        <v>2492</v>
      </c>
      <c r="I145" s="140"/>
      <c r="J145" s="328">
        <f>H145/DAY(B2)</f>
        <v>207.66666666666666</v>
      </c>
    </row>
    <row r="146" spans="1:10" ht="32.25" customHeight="1">
      <c r="A146" s="916" t="s">
        <v>191</v>
      </c>
      <c r="B146" s="902"/>
      <c r="C146" s="903"/>
      <c r="D146" s="152" t="s">
        <v>183</v>
      </c>
      <c r="E146" s="95">
        <f>'11'!F146</f>
        <v>789448</v>
      </c>
      <c r="F146" s="148">
        <v>789478</v>
      </c>
      <c r="G146" s="112">
        <f t="shared" si="11"/>
        <v>30</v>
      </c>
      <c r="H146" s="99">
        <f>G146+'11'!H146</f>
        <v>453</v>
      </c>
      <c r="I146" s="140"/>
      <c r="J146" s="328">
        <f>H146/DAY(B2)</f>
        <v>37.75</v>
      </c>
    </row>
    <row r="147" spans="1:10" ht="32.25" customHeight="1">
      <c r="A147" s="865" t="s">
        <v>192</v>
      </c>
      <c r="B147" s="865"/>
      <c r="C147" s="865"/>
      <c r="D147" s="152" t="s">
        <v>183</v>
      </c>
      <c r="E147" s="95">
        <f>'11'!F147</f>
        <v>775722</v>
      </c>
      <c r="F147" s="148">
        <v>776082</v>
      </c>
      <c r="G147" s="112">
        <f t="shared" si="11"/>
        <v>360</v>
      </c>
      <c r="H147" s="99">
        <f>G147+'11'!H147</f>
        <v>4425.1199999999953</v>
      </c>
      <c r="I147" s="140"/>
      <c r="J147" s="328">
        <f>H147/DAY(B2)</f>
        <v>368.75999999999959</v>
      </c>
    </row>
    <row r="148" spans="1:10" ht="32.25" customHeight="1">
      <c r="A148" s="866" t="s">
        <v>193</v>
      </c>
      <c r="B148" s="867"/>
      <c r="C148" s="868"/>
      <c r="D148" s="123" t="s">
        <v>130</v>
      </c>
      <c r="E148" s="95">
        <f>'11'!F148</f>
        <v>810622</v>
      </c>
      <c r="F148" s="150">
        <v>810943.6</v>
      </c>
      <c r="G148" s="112">
        <f t="shared" si="11"/>
        <v>321.59999999997672</v>
      </c>
      <c r="H148" s="99">
        <f>G148+'11'!H148</f>
        <v>4123.359999999986</v>
      </c>
      <c r="I148" s="124"/>
      <c r="J148" s="328">
        <f>H148/DAY(B2)</f>
        <v>343.61333333333215</v>
      </c>
    </row>
    <row r="149" spans="1:10" ht="32.25" customHeight="1">
      <c r="A149" s="866" t="s">
        <v>336</v>
      </c>
      <c r="B149" s="867"/>
      <c r="C149" s="868"/>
      <c r="D149" s="227" t="s">
        <v>130</v>
      </c>
      <c r="E149" s="95">
        <f>'11'!F149</f>
        <v>222580</v>
      </c>
      <c r="F149" s="146">
        <v>222969.43</v>
      </c>
      <c r="G149" s="112">
        <f t="shared" si="11"/>
        <v>389.42999999999302</v>
      </c>
      <c r="H149" s="99">
        <f>G149+'11'!H149</f>
        <v>6073.429999999993</v>
      </c>
      <c r="I149" s="119"/>
      <c r="J149" s="328">
        <f>H149/DAY(B2)</f>
        <v>506.1191666666661</v>
      </c>
    </row>
    <row r="150" spans="1:10" ht="32.25" customHeight="1">
      <c r="A150" s="866" t="s">
        <v>337</v>
      </c>
      <c r="B150" s="867"/>
      <c r="C150" s="868"/>
      <c r="D150" s="117" t="s">
        <v>130</v>
      </c>
      <c r="E150" s="95">
        <f>'11'!F150</f>
        <v>94976.9</v>
      </c>
      <c r="F150" s="233">
        <v>95169.9</v>
      </c>
      <c r="G150" s="112">
        <f t="shared" si="11"/>
        <v>193</v>
      </c>
      <c r="H150" s="99">
        <f>G150+'11'!H150</f>
        <v>2004.8999999999942</v>
      </c>
      <c r="I150" s="119"/>
      <c r="J150" s="328">
        <f>H150/DAY(B2)</f>
        <v>167.07499999999951</v>
      </c>
    </row>
    <row r="151" spans="1:10" ht="32.25" customHeight="1">
      <c r="A151" s="866" t="s">
        <v>338</v>
      </c>
      <c r="B151" s="867"/>
      <c r="C151" s="868"/>
      <c r="D151" s="117" t="s">
        <v>130</v>
      </c>
      <c r="E151" s="95">
        <f>'11'!F151</f>
        <v>179883</v>
      </c>
      <c r="F151" s="233">
        <v>180218</v>
      </c>
      <c r="G151" s="112">
        <f t="shared" si="11"/>
        <v>335</v>
      </c>
      <c r="H151" s="99">
        <f>G151+'11'!H151</f>
        <v>4043</v>
      </c>
      <c r="I151" s="119"/>
      <c r="J151" s="328">
        <f>H151/DAY(B2)</f>
        <v>336.91666666666669</v>
      </c>
    </row>
    <row r="152" spans="1:10" ht="32.25" customHeight="1">
      <c r="A152" s="866" t="s">
        <v>339</v>
      </c>
      <c r="B152" s="867"/>
      <c r="C152" s="868"/>
      <c r="D152" s="117" t="s">
        <v>130</v>
      </c>
      <c r="E152" s="95">
        <f>'11'!F152</f>
        <v>48088.9</v>
      </c>
      <c r="F152" s="233">
        <v>48218.36</v>
      </c>
      <c r="G152" s="112">
        <f t="shared" si="11"/>
        <v>129.45999999999913</v>
      </c>
      <c r="H152" s="99">
        <f>G152+'11'!H152</f>
        <v>1586.3600000000006</v>
      </c>
      <c r="I152" s="119"/>
      <c r="J152" s="328">
        <f>H152/DAY(B2)</f>
        <v>132.19666666666672</v>
      </c>
    </row>
    <row r="153" spans="1:10" ht="32.2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2808.8799999999765</v>
      </c>
      <c r="H153" s="363"/>
      <c r="I153" s="119">
        <f>G153-(G38+G52)</f>
        <v>433.35999999995784</v>
      </c>
      <c r="J153" s="366"/>
    </row>
    <row r="154" spans="1:10" ht="32.2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2.25" customHeight="1">
      <c r="A155" s="865" t="s">
        <v>345</v>
      </c>
      <c r="B155" s="865"/>
      <c r="C155" s="865"/>
      <c r="D155" s="117" t="s">
        <v>130</v>
      </c>
      <c r="E155" s="95">
        <f>'11'!F155</f>
        <v>262542.59999999998</v>
      </c>
      <c r="F155" s="374">
        <v>263090</v>
      </c>
      <c r="G155" s="112">
        <f t="shared" ref="G155:G158" si="12">F155-E155</f>
        <v>547.40000000002328</v>
      </c>
      <c r="H155" s="99">
        <f>G155+'11'!H155</f>
        <v>6738</v>
      </c>
      <c r="I155" s="364"/>
      <c r="J155" s="328">
        <f>H155/DAY(B2)</f>
        <v>561.5</v>
      </c>
    </row>
    <row r="156" spans="1:10" ht="32.25" customHeight="1">
      <c r="A156" s="865" t="s">
        <v>347</v>
      </c>
      <c r="B156" s="865"/>
      <c r="C156" s="865"/>
      <c r="D156" s="117" t="s">
        <v>130</v>
      </c>
      <c r="E156" s="95">
        <f>'11'!F156</f>
        <v>33629.5</v>
      </c>
      <c r="F156" s="155">
        <v>33725.32</v>
      </c>
      <c r="G156" s="112">
        <f t="shared" si="12"/>
        <v>95.819999999999709</v>
      </c>
      <c r="H156" s="99">
        <f>G156+'11'!H156</f>
        <v>1166.3199999999997</v>
      </c>
      <c r="I156" s="165"/>
      <c r="J156" s="328">
        <f>H156/DAY(B2)</f>
        <v>97.193333333333314</v>
      </c>
    </row>
    <row r="157" spans="1:10" ht="32.25" customHeight="1">
      <c r="A157" s="866" t="s">
        <v>359</v>
      </c>
      <c r="B157" s="867"/>
      <c r="C157" s="868"/>
      <c r="D157" s="117" t="s">
        <v>130</v>
      </c>
      <c r="E157" s="95">
        <f>'11'!F157</f>
        <v>2504.1999999999998</v>
      </c>
      <c r="F157" s="155">
        <v>2573</v>
      </c>
      <c r="G157" s="112">
        <f t="shared" si="12"/>
        <v>68.800000000000182</v>
      </c>
      <c r="H157" s="99">
        <f>G157+'11'!H157</f>
        <v>681</v>
      </c>
      <c r="I157" s="165"/>
      <c r="J157" s="328">
        <f>H157/DAY(B2)</f>
        <v>56.75</v>
      </c>
    </row>
    <row r="158" spans="1:10" ht="32.25" customHeight="1">
      <c r="A158" s="866" t="s">
        <v>360</v>
      </c>
      <c r="B158" s="867"/>
      <c r="C158" s="868"/>
      <c r="D158" s="117" t="s">
        <v>130</v>
      </c>
      <c r="E158" s="95">
        <f>'11'!F158</f>
        <v>1788</v>
      </c>
      <c r="F158" s="155">
        <v>1788</v>
      </c>
      <c r="G158" s="112">
        <f t="shared" si="12"/>
        <v>0</v>
      </c>
      <c r="H158" s="99">
        <f>G158+'11'!H158</f>
        <v>5</v>
      </c>
      <c r="I158" s="165"/>
      <c r="J158" s="328">
        <f>H158/DAY(B2)</f>
        <v>0.41666666666666669</v>
      </c>
    </row>
    <row r="159" spans="1:10" ht="32.25" customHeight="1">
      <c r="A159" s="946"/>
      <c r="B159" s="947"/>
      <c r="C159" s="948"/>
      <c r="D159" s="117"/>
      <c r="E159" s="95"/>
      <c r="F159" s="165"/>
      <c r="G159" s="362">
        <f>SUM(G155:G158)</f>
        <v>712.02000000002317</v>
      </c>
      <c r="H159" s="99"/>
      <c r="I159" s="165"/>
      <c r="J159" s="328"/>
    </row>
    <row r="160" spans="1:10" ht="32.2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514118</v>
      </c>
      <c r="F161" s="235">
        <v>514189.1</v>
      </c>
      <c r="G161" s="238">
        <f t="shared" ref="G161:G165" si="13">F161-E161</f>
        <v>71.099999999976717</v>
      </c>
      <c r="H161" s="99">
        <f>G161+'11'!H161</f>
        <v>1744.0999999999767</v>
      </c>
      <c r="I161" s="236"/>
      <c r="J161" s="239">
        <f>H161/DAY(B2)</f>
        <v>145.34166666666474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2188.6999999999998</v>
      </c>
      <c r="F162" s="235">
        <v>2239.5</v>
      </c>
      <c r="G162" s="238">
        <f t="shared" si="13"/>
        <v>50.800000000000182</v>
      </c>
      <c r="H162" s="99">
        <f>G162+'11'!H162</f>
        <v>452.5</v>
      </c>
      <c r="I162" s="236"/>
      <c r="J162" s="239">
        <f>H162/DAY(B2)</f>
        <v>37.708333333333336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0</v>
      </c>
      <c r="F163" s="235">
        <v>0</v>
      </c>
      <c r="G163" s="238">
        <f t="shared" si="13"/>
        <v>0</v>
      </c>
      <c r="H163" s="99">
        <f>G163+'11'!H163</f>
        <v>0</v>
      </c>
      <c r="I163" s="236"/>
      <c r="J163" s="239">
        <f>H163/DAY(B2)</f>
        <v>0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7374.1</v>
      </c>
      <c r="F164" s="235">
        <v>7374.8</v>
      </c>
      <c r="G164" s="238">
        <f t="shared" si="13"/>
        <v>0.6999999999998181</v>
      </c>
      <c r="H164" s="99">
        <f>G164+'11'!H164</f>
        <v>37.800000000000182</v>
      </c>
      <c r="I164" s="236"/>
      <c r="J164" s="239">
        <f>H164/DAY(B2)</f>
        <v>3.150000000000015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33052.74</v>
      </c>
      <c r="F165" s="235">
        <v>33055</v>
      </c>
      <c r="G165" s="238">
        <f t="shared" si="13"/>
        <v>2.2600000000020373</v>
      </c>
      <c r="H165" s="99">
        <f>G165+'11'!H165</f>
        <v>80.480000000003201</v>
      </c>
      <c r="I165" s="236"/>
      <c r="J165" s="239">
        <f>H165/DAY(B2)</f>
        <v>6.7066666666669335</v>
      </c>
    </row>
    <row r="166" spans="1:10" ht="32.25" customHeight="1">
      <c r="A166" s="872"/>
      <c r="B166" s="87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72"/>
      <c r="B167" s="872"/>
      <c r="C167" s="246"/>
      <c r="D167" s="244" t="s">
        <v>180</v>
      </c>
      <c r="E167" s="95">
        <f>'11'!F167</f>
        <v>0</v>
      </c>
      <c r="F167" s="165">
        <v>0</v>
      </c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72"/>
      <c r="B168" s="872"/>
      <c r="C168" s="246"/>
      <c r="D168" s="244" t="s">
        <v>180</v>
      </c>
      <c r="E168" s="95">
        <f>'11'!F168</f>
        <v>0</v>
      </c>
      <c r="F168" s="165">
        <v>0</v>
      </c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32.2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790" t="s">
        <v>209</v>
      </c>
      <c r="B173" s="791"/>
      <c r="C173" s="333"/>
      <c r="D173" s="228" t="s">
        <v>142</v>
      </c>
      <c r="E173" s="157">
        <f>'11'!F173</f>
        <v>8626</v>
      </c>
      <c r="F173" s="155">
        <v>8626</v>
      </c>
      <c r="G173" s="155">
        <f>F173-E173</f>
        <v>0</v>
      </c>
      <c r="H173" s="99">
        <f>G173+'11'!H173</f>
        <v>14</v>
      </c>
      <c r="I173" s="155"/>
      <c r="J173" s="178">
        <f>H173/DAY(B2)</f>
        <v>1.1666666666666667</v>
      </c>
    </row>
    <row r="174" spans="1:10" ht="32.25" customHeight="1">
      <c r="A174" s="790" t="s">
        <v>75</v>
      </c>
      <c r="B174" s="791"/>
      <c r="C174" s="333"/>
      <c r="D174" s="228" t="s">
        <v>142</v>
      </c>
      <c r="E174" s="157">
        <f>'11'!F174</f>
        <v>43534</v>
      </c>
      <c r="F174" s="157">
        <v>43534</v>
      </c>
      <c r="G174" s="155">
        <f t="shared" ref="G174:G175" si="14">F174-E174</f>
        <v>0</v>
      </c>
      <c r="H174" s="99">
        <f>G174+'11'!H174</f>
        <v>120</v>
      </c>
      <c r="I174" s="155"/>
      <c r="J174" s="178">
        <f>H174/DAY(B2)</f>
        <v>10</v>
      </c>
    </row>
    <row r="175" spans="1:10" ht="32.25" customHeight="1">
      <c r="A175" s="790" t="s">
        <v>76</v>
      </c>
      <c r="B175" s="803"/>
      <c r="C175" s="791"/>
      <c r="D175" s="228" t="s">
        <v>142</v>
      </c>
      <c r="E175" s="157">
        <f>'11'!F175</f>
        <v>26441</v>
      </c>
      <c r="F175" s="155">
        <v>26450</v>
      </c>
      <c r="G175" s="155">
        <f t="shared" si="14"/>
        <v>9</v>
      </c>
      <c r="H175" s="99">
        <f>G175+'11'!H175</f>
        <v>163</v>
      </c>
      <c r="I175" s="155"/>
      <c r="J175" s="178">
        <f>H175/DAY(B2)</f>
        <v>13.583333333333334</v>
      </c>
    </row>
    <row r="176" spans="1:10" ht="32.25" customHeight="1">
      <c r="A176" s="462" t="s">
        <v>196</v>
      </c>
      <c r="B176" s="463"/>
      <c r="C176" s="400"/>
      <c r="D176" s="228" t="s">
        <v>142</v>
      </c>
      <c r="E176" s="95"/>
      <c r="F176" s="155"/>
      <c r="G176" s="155">
        <f>SUM(G173:G175)</f>
        <v>9</v>
      </c>
      <c r="H176" s="99">
        <f>G176+'11'!H176</f>
        <v>297</v>
      </c>
      <c r="I176" s="155"/>
      <c r="J176" s="178">
        <f>H176/DAY(B2)</f>
        <v>24.75</v>
      </c>
    </row>
    <row r="177" spans="1:10" ht="32.2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790" t="s">
        <v>210</v>
      </c>
      <c r="B178" s="791"/>
      <c r="C178" s="333"/>
      <c r="D178" s="228" t="s">
        <v>142</v>
      </c>
      <c r="E178" s="95">
        <f>'11'!F178</f>
        <v>111578</v>
      </c>
      <c r="F178" s="155">
        <v>111670</v>
      </c>
      <c r="G178" s="155">
        <f>F178-E178</f>
        <v>92</v>
      </c>
      <c r="H178" s="99">
        <f>G178+'11'!H178</f>
        <v>1279</v>
      </c>
      <c r="I178" s="155"/>
      <c r="J178" s="178">
        <f>H178/DAY(B2)</f>
        <v>106.58333333333333</v>
      </c>
    </row>
    <row r="179" spans="1:10" ht="32.25" customHeight="1">
      <c r="A179" s="790" t="s">
        <v>211</v>
      </c>
      <c r="B179" s="791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790" t="s">
        <v>212</v>
      </c>
      <c r="B180" s="791"/>
      <c r="C180" s="333"/>
      <c r="D180" s="228" t="s">
        <v>142</v>
      </c>
      <c r="E180" s="95">
        <f>'11'!F180</f>
        <v>7748</v>
      </c>
      <c r="F180" s="155">
        <v>7748</v>
      </c>
      <c r="G180" s="155">
        <f t="shared" si="15"/>
        <v>0</v>
      </c>
      <c r="H180" s="99">
        <f>G180+'11'!H180</f>
        <v>47</v>
      </c>
      <c r="I180" s="155"/>
      <c r="J180" s="178">
        <f>H180/DAY(B2)</f>
        <v>3.9166666666666665</v>
      </c>
    </row>
    <row r="181" spans="1:10" ht="32.2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92</v>
      </c>
      <c r="H181" s="99">
        <f>G181+'11'!H181</f>
        <v>1326</v>
      </c>
      <c r="I181" s="155"/>
      <c r="J181" s="178">
        <f>H181/DAY(B2)</f>
        <v>110.5</v>
      </c>
    </row>
    <row r="182" spans="1:10" ht="32.2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790" t="s">
        <v>214</v>
      </c>
      <c r="B183" s="791"/>
      <c r="C183" s="334"/>
      <c r="D183" s="228" t="s">
        <v>142</v>
      </c>
      <c r="E183" s="95">
        <f>'11'!F183</f>
        <v>18752</v>
      </c>
      <c r="F183" s="157">
        <v>18758</v>
      </c>
      <c r="G183" s="157">
        <f>F183-E183</f>
        <v>6</v>
      </c>
      <c r="H183" s="99">
        <f>G183+'11'!H183</f>
        <v>66</v>
      </c>
      <c r="I183" s="155"/>
      <c r="J183" s="178">
        <f>H183/DAY(B2)</f>
        <v>5.5</v>
      </c>
    </row>
    <row r="184" spans="1:10" ht="32.25" customHeight="1">
      <c r="A184" s="790" t="s">
        <v>215</v>
      </c>
      <c r="B184" s="791"/>
      <c r="C184" s="334"/>
      <c r="D184" s="228" t="s">
        <v>142</v>
      </c>
      <c r="E184" s="95">
        <f>'11'!F184</f>
        <v>13327</v>
      </c>
      <c r="F184" s="157">
        <v>13333</v>
      </c>
      <c r="G184" s="157">
        <f t="shared" ref="G184:G185" si="16">F184-E184</f>
        <v>6</v>
      </c>
      <c r="H184" s="99">
        <f>G184+'11'!H184</f>
        <v>87</v>
      </c>
      <c r="I184" s="155"/>
      <c r="J184" s="178">
        <f>H184/DAY(B2)</f>
        <v>7.25</v>
      </c>
    </row>
    <row r="185" spans="1:10" ht="32.25" customHeight="1">
      <c r="A185" s="790" t="s">
        <v>216</v>
      </c>
      <c r="B185" s="791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12</v>
      </c>
      <c r="H186" s="99">
        <f>G186+'11'!H186</f>
        <v>153</v>
      </c>
      <c r="I186" s="157"/>
      <c r="J186" s="178">
        <f>H186/DAY(B2)</f>
        <v>12.75</v>
      </c>
    </row>
    <row r="187" spans="1:10" ht="32.25" customHeight="1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57</v>
      </c>
      <c r="H187" s="99">
        <f>G187+'11'!H187</f>
        <v>1700</v>
      </c>
      <c r="I187" s="158"/>
      <c r="J187" s="179">
        <f>H187/DAY(B2)</f>
        <v>141.66666666666666</v>
      </c>
    </row>
    <row r="188" spans="1:10" ht="32.25" customHeight="1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155</v>
      </c>
      <c r="H188" s="99">
        <f>G188+'11'!H188</f>
        <v>2148</v>
      </c>
      <c r="I188" s="158"/>
      <c r="J188" s="179">
        <f>H188/DAY(B2)</f>
        <v>179</v>
      </c>
    </row>
    <row r="189" spans="1:10" ht="32.25" customHeight="1">
      <c r="A189" s="869" t="s">
        <v>219</v>
      </c>
      <c r="B189" s="870"/>
      <c r="C189" s="333"/>
      <c r="D189" s="230" t="s">
        <v>142</v>
      </c>
      <c r="E189" s="95"/>
      <c r="F189" s="157"/>
      <c r="G189" s="517">
        <f>G181</f>
        <v>92</v>
      </c>
      <c r="H189" s="99">
        <f>G189+'11'!H189</f>
        <v>1326</v>
      </c>
      <c r="I189" s="158"/>
      <c r="J189" s="179">
        <f>H189/DAY(B2)</f>
        <v>110.5</v>
      </c>
    </row>
    <row r="190" spans="1:10" ht="32.25" customHeight="1">
      <c r="A190" s="876"/>
      <c r="B190" s="877"/>
      <c r="C190" s="398"/>
      <c r="D190" s="395"/>
      <c r="E190" s="392"/>
      <c r="F190" s="395"/>
      <c r="G190" s="395"/>
      <c r="H190" s="401"/>
      <c r="I190" s="395"/>
      <c r="J190" s="397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55" zoomScaleSheetLayoutView="55" workbookViewId="0">
      <selection activeCell="G8" sqref="G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7.75" customHeight="1">
      <c r="A2" s="191" t="s">
        <v>372</v>
      </c>
      <c r="B2" s="262">
        <v>44970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33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888099.91</v>
      </c>
      <c r="F7" s="95">
        <v>909065.99</v>
      </c>
      <c r="G7" s="112">
        <f>F7-E7</f>
        <v>20966.079999999958</v>
      </c>
      <c r="H7" s="99">
        <f>G7+'12'!H7</f>
        <v>286266.99</v>
      </c>
      <c r="I7" s="113">
        <f>'1'!I7</f>
        <v>12000</v>
      </c>
      <c r="J7" s="175">
        <f>H7/DAY(B2)</f>
        <v>22020.537692307691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87538.92</v>
      </c>
      <c r="F8" s="114">
        <v>108947.69</v>
      </c>
      <c r="G8" s="115">
        <f>F8-E8</f>
        <v>21408.770000000004</v>
      </c>
      <c r="H8" s="99">
        <f>G8+'12'!H8</f>
        <v>292837.69000000006</v>
      </c>
      <c r="I8" s="116"/>
      <c r="J8" s="175">
        <f>H8/DAY(B2)</f>
        <v>22525.976153846157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4977199.0999999996</v>
      </c>
      <c r="F9" s="468">
        <v>4988165.9000000004</v>
      </c>
      <c r="G9" s="112">
        <f>F9-E9</f>
        <v>10966.800000000745</v>
      </c>
      <c r="H9" s="99">
        <f>G9+'12'!H9</f>
        <v>163066.90000000037</v>
      </c>
      <c r="I9" s="124">
        <f>I7-J7</f>
        <v>-10020.537692307691</v>
      </c>
      <c r="J9" s="175">
        <f>H9/DAY(B2)</f>
        <v>12543.607692307722</v>
      </c>
      <c r="K9" s="79">
        <f>K8-100</f>
        <v>1715817</v>
      </c>
      <c r="L9" s="66"/>
      <c r="N9" s="87">
        <v>0</v>
      </c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4396937.9000000004</v>
      </c>
      <c r="F10" s="353">
        <v>4406236</v>
      </c>
      <c r="G10" s="112">
        <f t="shared" ref="G10:G12" si="0">F10-E10</f>
        <v>9298.0999999996275</v>
      </c>
      <c r="H10" s="99">
        <f>G10+'12'!H10</f>
        <v>115702</v>
      </c>
      <c r="I10" s="282"/>
      <c r="J10" s="175">
        <f>H10/DAY(B2)</f>
        <v>8900.1538461538457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38700</v>
      </c>
      <c r="F11" s="468">
        <v>38700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40550</v>
      </c>
      <c r="F12" s="117">
        <v>40550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20264.900000000373</v>
      </c>
      <c r="H13" s="99">
        <f>G13+'12'!H13</f>
        <v>278768.90000000037</v>
      </c>
      <c r="I13" s="120">
        <f>G7-G13</f>
        <v>701.17999999958556</v>
      </c>
      <c r="J13" s="175">
        <f>H13/DAY(B2)</f>
        <v>21443.761538461567</v>
      </c>
      <c r="K13" s="79"/>
      <c r="L13" s="66"/>
      <c r="N13" s="87"/>
      <c r="O13" s="71"/>
    </row>
    <row r="14" spans="1:15" ht="27.7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'12'!F15</f>
        <v>2301625.61</v>
      </c>
      <c r="F15" s="468">
        <v>2302364.0236</v>
      </c>
      <c r="G15" s="112">
        <f>(F15-E15)</f>
        <v>738.41360000008717</v>
      </c>
      <c r="H15" s="99">
        <f>G15+'12'!H15</f>
        <v>13890.308600000106</v>
      </c>
      <c r="I15" s="113">
        <f>'1'!I15</f>
        <v>800</v>
      </c>
      <c r="J15" s="175">
        <f>H15/DAY(B2)</f>
        <v>1068.4852769230852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-268.48527692308517</v>
      </c>
      <c r="J16" s="176"/>
      <c r="K16" s="79"/>
      <c r="L16" s="66"/>
      <c r="N16" s="87"/>
      <c r="O16" s="71"/>
    </row>
    <row r="17" spans="1:15" ht="27.7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4" t="s">
        <v>141</v>
      </c>
      <c r="B18" s="905"/>
      <c r="C18" s="906"/>
      <c r="D18" s="151" t="s">
        <v>142</v>
      </c>
      <c r="E18" s="95">
        <f>'12'!F18</f>
        <v>0</v>
      </c>
      <c r="F18" s="122">
        <v>0</v>
      </c>
      <c r="G18" s="119">
        <f>F18*10</f>
        <v>0</v>
      </c>
      <c r="H18" s="99">
        <f>G18+'12'!H18</f>
        <v>1890</v>
      </c>
      <c r="I18" s="113">
        <f>'1'!I18</f>
        <v>65</v>
      </c>
      <c r="J18" s="175">
        <f>H18/DAY(B2)</f>
        <v>145.38461538461539</v>
      </c>
      <c r="K18" s="79"/>
      <c r="L18" s="66"/>
      <c r="N18" s="87"/>
      <c r="O18" s="71"/>
    </row>
    <row r="19" spans="1:15" ht="27.75" customHeight="1">
      <c r="A19" s="904" t="s">
        <v>69</v>
      </c>
      <c r="B19" s="905"/>
      <c r="C19" s="906"/>
      <c r="D19" s="151" t="s">
        <v>142</v>
      </c>
      <c r="E19" s="95">
        <f>'12'!F19</f>
        <v>171957</v>
      </c>
      <c r="F19" s="122">
        <v>172021</v>
      </c>
      <c r="G19" s="112">
        <f t="shared" ref="G19" si="1">F19-E19</f>
        <v>64</v>
      </c>
      <c r="H19" s="99">
        <f>G19+'12'!H19</f>
        <v>698</v>
      </c>
      <c r="I19" s="335"/>
      <c r="J19" s="175">
        <f>H19/DAY(B2)</f>
        <v>53.692307692307693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64</v>
      </c>
      <c r="H20" s="99">
        <f>G20+'12'!H20</f>
        <v>2588</v>
      </c>
      <c r="I20" s="336">
        <f>I18-J20</f>
        <v>-134.07692307692307</v>
      </c>
      <c r="J20" s="175">
        <f>H20/DAY(B2)</f>
        <v>199.07692307692307</v>
      </c>
      <c r="K20" s="79"/>
      <c r="L20" s="66"/>
      <c r="N20" s="87"/>
      <c r="O20" s="71"/>
    </row>
    <row r="21" spans="1:15" ht="27.7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21408.770000000004</v>
      </c>
      <c r="F27" s="136">
        <v>10</v>
      </c>
      <c r="G27" s="137">
        <f>E27*F27</f>
        <v>214087.70000000004</v>
      </c>
      <c r="H27" s="99">
        <f>G27+'12'!H27</f>
        <v>2928376.9000000004</v>
      </c>
      <c r="I27" s="138"/>
      <c r="J27" s="175">
        <f>H27/DAY(B2)</f>
        <v>225259.76153846158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738.41360000008717</v>
      </c>
      <c r="F28" s="136">
        <v>63</v>
      </c>
      <c r="G28" s="137">
        <f>E28*F28</f>
        <v>46520.056800005492</v>
      </c>
      <c r="H28" s="99">
        <f>G28+'12'!H28</f>
        <v>892010.89680000767</v>
      </c>
      <c r="I28" s="140"/>
      <c r="J28" s="175">
        <f>H28/DAY(B2)</f>
        <v>68616.222830769824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64</v>
      </c>
      <c r="F30" s="136">
        <v>155</v>
      </c>
      <c r="G30" s="137">
        <f>E30*F30</f>
        <v>9920</v>
      </c>
      <c r="H30" s="99">
        <f>G30+'12'!H30</f>
        <v>107090</v>
      </c>
      <c r="I30" s="140"/>
      <c r="J30" s="175">
        <f>H30/DAY(B2)</f>
        <v>8237.6923076923085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88</v>
      </c>
      <c r="G31" s="137">
        <f>E31*F31</f>
        <v>0</v>
      </c>
      <c r="H31" s="99">
        <f>G31+'12'!H31</f>
        <v>163200</v>
      </c>
      <c r="I31" s="140"/>
      <c r="J31" s="175">
        <f>H31/DAY(B2)</f>
        <v>12553.846153846154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270527.75680000556</v>
      </c>
      <c r="H32" s="99">
        <f>G32+'12'!H32</f>
        <v>4090677.7968000076</v>
      </c>
      <c r="I32" s="144"/>
      <c r="J32" s="175">
        <f>H32/DAY(B2)</f>
        <v>314667.52283076983</v>
      </c>
      <c r="K32" s="63"/>
      <c r="L32" s="89"/>
      <c r="N32" s="87"/>
      <c r="O32" s="71"/>
    </row>
    <row r="33" spans="1:15" ht="27.7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560985.79</v>
      </c>
      <c r="F35" s="145">
        <v>563338.27</v>
      </c>
      <c r="G35" s="112">
        <f t="shared" ref="G35:G46" si="3">F35-E35</f>
        <v>2352.4799999999814</v>
      </c>
      <c r="H35" s="99">
        <f>G35+'12'!H35</f>
        <v>33282.270000000019</v>
      </c>
      <c r="I35" s="95"/>
      <c r="J35" s="175">
        <f>H35/DAY(B2)</f>
        <v>2560.174615384617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393876.91</v>
      </c>
      <c r="F36" s="145">
        <v>394684</v>
      </c>
      <c r="G36" s="112">
        <f t="shared" si="3"/>
        <v>807.09000000002561</v>
      </c>
      <c r="H36" s="99">
        <f>G36+'12'!H36</f>
        <v>12863</v>
      </c>
      <c r="I36" s="95"/>
      <c r="J36" s="175">
        <f>H36/DAY(B2)</f>
        <v>989.46153846153845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400983.91</v>
      </c>
      <c r="F37" s="145">
        <v>402338</v>
      </c>
      <c r="G37" s="112">
        <f t="shared" si="3"/>
        <v>1354.0900000000256</v>
      </c>
      <c r="H37" s="99">
        <f>G37+'12'!H37</f>
        <v>18719</v>
      </c>
      <c r="I37" s="95"/>
      <c r="J37" s="175">
        <f>H37/DAY(B2)</f>
        <v>1439.9230769230769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908671.27</v>
      </c>
      <c r="F38" s="108">
        <v>910973.43</v>
      </c>
      <c r="G38" s="112">
        <f t="shared" si="3"/>
        <v>2302.1600000000326</v>
      </c>
      <c r="H38" s="99">
        <f>G38+'12'!H38</f>
        <v>33846.430000000051</v>
      </c>
      <c r="I38" s="95"/>
      <c r="J38" s="175">
        <f>H38/DAY(B2)</f>
        <v>2603.5715384615423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740124.79</v>
      </c>
      <c r="F39" s="145">
        <v>742876.23</v>
      </c>
      <c r="G39" s="112">
        <f t="shared" si="3"/>
        <v>2751.4399999999441</v>
      </c>
      <c r="H39" s="99">
        <f>G39+'12'!H39</f>
        <v>36740.229999999981</v>
      </c>
      <c r="I39" s="95"/>
      <c r="J39" s="175">
        <f>H39/DAY(B2)</f>
        <v>2826.1715384615372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220957.93</v>
      </c>
      <c r="F40" s="145">
        <v>221159.65</v>
      </c>
      <c r="G40" s="112">
        <f t="shared" si="3"/>
        <v>201.72000000000116</v>
      </c>
      <c r="H40" s="99">
        <f>G40+'12'!H40</f>
        <v>3367.6499999999942</v>
      </c>
      <c r="I40" s="95"/>
      <c r="J40" s="175">
        <f>H40/DAY(B2)</f>
        <v>259.04999999999956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420212.51</v>
      </c>
      <c r="F41" s="145">
        <v>420212.51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982309.59</v>
      </c>
      <c r="F42" s="145">
        <v>982309.59</v>
      </c>
      <c r="G42" s="112">
        <f t="shared" si="3"/>
        <v>0</v>
      </c>
      <c r="H42" s="99">
        <f>G42+'12'!H42</f>
        <v>9246.9599999999627</v>
      </c>
      <c r="I42" s="95"/>
      <c r="J42" s="175">
        <f>H42/DAY(B2)</f>
        <v>711.30461538461248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422444</v>
      </c>
      <c r="F43" s="145">
        <v>422444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9768.9800000000105</v>
      </c>
      <c r="H47" s="99">
        <f>G47+'12'!H47</f>
        <v>148065.54</v>
      </c>
      <c r="I47" s="95"/>
      <c r="J47" s="175">
        <f>H47/DAY(B2)</f>
        <v>11389.656923076924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829394.87</v>
      </c>
      <c r="F49" s="145">
        <v>829910</v>
      </c>
      <c r="G49" s="112">
        <f t="shared" ref="G49:G58" si="4">F49-E49</f>
        <v>515.13000000000466</v>
      </c>
      <c r="H49" s="99">
        <f>G49+'12'!H49</f>
        <v>6998</v>
      </c>
      <c r="I49" s="95"/>
      <c r="J49" s="175">
        <f>H49/DAY(B2)</f>
        <v>538.30769230769226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558050.43000000005</v>
      </c>
      <c r="F50" s="145">
        <v>559612.94999999995</v>
      </c>
      <c r="G50" s="112">
        <f t="shared" si="4"/>
        <v>1562.5199999999022</v>
      </c>
      <c r="H50" s="99">
        <f>G50+'12'!H50</f>
        <v>17638.949999999953</v>
      </c>
      <c r="I50" s="95"/>
      <c r="J50" s="175">
        <f>H50/DAY(B2)</f>
        <v>1356.8423076923041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156958.44</v>
      </c>
      <c r="F51" s="145">
        <v>156958</v>
      </c>
      <c r="G51" s="112">
        <f t="shared" si="4"/>
        <v>-0.44000000000232831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1457.43</v>
      </c>
      <c r="F52" s="145">
        <v>1457.43</v>
      </c>
      <c r="G52" s="112">
        <f t="shared" si="4"/>
        <v>0</v>
      </c>
      <c r="H52" s="99">
        <f>G52+'12'!H52</f>
        <v>0.43000000000006366</v>
      </c>
      <c r="I52" s="95"/>
      <c r="J52" s="175">
        <f>H52/DAY(B2)</f>
        <v>3.3076923076927972E-2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630355.03</v>
      </c>
      <c r="F53" s="145">
        <v>630355</v>
      </c>
      <c r="G53" s="112">
        <f t="shared" si="4"/>
        <v>-3.0000000027939677E-2</v>
      </c>
      <c r="H53" s="99">
        <f>G53+'12'!H53</f>
        <v>-3.0000000027939677E-2</v>
      </c>
      <c r="I53" s="95"/>
      <c r="J53" s="175">
        <f>H53/DAY(B2)</f>
        <v>-2.3076923098415136E-3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127932.96</v>
      </c>
      <c r="F54" s="145">
        <v>128306.6</v>
      </c>
      <c r="G54" s="112">
        <f t="shared" si="4"/>
        <v>373.63999999999942</v>
      </c>
      <c r="H54" s="99">
        <f>G54+'12'!H54</f>
        <v>4192.3899999999994</v>
      </c>
      <c r="I54" s="95"/>
      <c r="J54" s="175">
        <f>H54/DAY(B2)</f>
        <v>322.49153846153843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595639.15</v>
      </c>
      <c r="F55" s="145">
        <v>599055.99</v>
      </c>
      <c r="G55" s="112">
        <f t="shared" si="4"/>
        <v>3416.8399999999674</v>
      </c>
      <c r="H55" s="99">
        <f>G55+'12'!H55</f>
        <v>4751.2399999999907</v>
      </c>
      <c r="I55" s="95"/>
      <c r="J55" s="175">
        <f>H55/DAY(B2)</f>
        <v>365.47999999999928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405435.55</v>
      </c>
      <c r="F56" s="145">
        <v>405435.55</v>
      </c>
      <c r="G56" s="112">
        <f t="shared" si="4"/>
        <v>0</v>
      </c>
      <c r="H56" s="99">
        <f>G56+'12'!H56</f>
        <v>32315.549999999988</v>
      </c>
      <c r="I56" s="95"/>
      <c r="J56" s="175">
        <f>H56/DAY(B2)</f>
        <v>2485.8115384615376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738834.71</v>
      </c>
      <c r="F57" s="145">
        <v>741393.67</v>
      </c>
      <c r="G57" s="112">
        <f t="shared" si="4"/>
        <v>2558.9600000000792</v>
      </c>
      <c r="H57" s="99">
        <f>G57+'12'!H57</f>
        <v>33695.670000000042</v>
      </c>
      <c r="I57" s="95"/>
      <c r="J57" s="175">
        <f>H57/DAY(B2)</f>
        <v>2591.9746153846186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97491.520000000004</v>
      </c>
      <c r="F58" s="145">
        <v>97542</v>
      </c>
      <c r="G58" s="112">
        <f t="shared" si="4"/>
        <v>50.479999999995925</v>
      </c>
      <c r="H58" s="99">
        <f>G58+'12'!H58</f>
        <v>2972.179999999993</v>
      </c>
      <c r="I58" s="95"/>
      <c r="J58" s="175">
        <f>H58/DAY(B2)</f>
        <v>228.62923076923022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8477.0999999999185</v>
      </c>
      <c r="H59" s="99">
        <f>G59+'12'!H59</f>
        <v>102564.37999999993</v>
      </c>
      <c r="I59" s="95">
        <f>G7-G60</f>
        <v>2720.0000000000291</v>
      </c>
      <c r="J59" s="175">
        <f>H59/DAY(B2)</f>
        <v>7889.5676923076871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18246.079999999929</v>
      </c>
      <c r="H60" s="99">
        <f>G60+'12'!H60</f>
        <v>250629.91999999998</v>
      </c>
      <c r="I60" s="95">
        <f>G13-G60</f>
        <v>2018.8200000004435</v>
      </c>
      <c r="J60" s="175">
        <f>H60/DAY(B2)</f>
        <v>19279.224615384614</v>
      </c>
      <c r="K60" s="79"/>
      <c r="L60" s="66"/>
      <c r="N60" s="87"/>
      <c r="O60" s="71"/>
    </row>
    <row r="61" spans="1:15" s="68" customFormat="1" ht="27.75" customHeight="1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4" t="s">
        <v>198</v>
      </c>
      <c r="B62" s="905"/>
      <c r="C62" s="906"/>
      <c r="D62" s="151" t="s">
        <v>142</v>
      </c>
      <c r="E62" s="95">
        <f>'12'!F62</f>
        <v>316743</v>
      </c>
      <c r="F62" s="122">
        <v>316743</v>
      </c>
      <c r="G62" s="112">
        <f t="shared" ref="G62:G63" si="5">F62-E62</f>
        <v>0</v>
      </c>
      <c r="H62" s="99">
        <f>G62+'12'!H62</f>
        <v>1066</v>
      </c>
      <c r="I62" s="118"/>
      <c r="J62" s="175">
        <f>H62/DAY(B2)</f>
        <v>82</v>
      </c>
      <c r="K62" s="80"/>
      <c r="L62" s="66"/>
      <c r="N62" s="87"/>
      <c r="O62" s="71"/>
    </row>
    <row r="63" spans="1:15" ht="27.75" customHeight="1">
      <c r="A63" s="904" t="s">
        <v>199</v>
      </c>
      <c r="B63" s="905"/>
      <c r="C63" s="906"/>
      <c r="D63" s="151" t="s">
        <v>142</v>
      </c>
      <c r="E63" s="95">
        <f>'12'!F63</f>
        <v>253349</v>
      </c>
      <c r="F63" s="122">
        <v>253440</v>
      </c>
      <c r="G63" s="112">
        <f t="shared" si="5"/>
        <v>91</v>
      </c>
      <c r="H63" s="99">
        <f>G63+'12'!H63</f>
        <v>1116</v>
      </c>
      <c r="I63" s="118"/>
      <c r="J63" s="175">
        <f>H63/DAY(B2)</f>
        <v>85.84615384615384</v>
      </c>
      <c r="K63" s="69"/>
      <c r="L63" s="66"/>
      <c r="N63" s="87"/>
      <c r="O63" s="71"/>
    </row>
    <row r="64" spans="1:15" ht="27.75" customHeight="1">
      <c r="A64" s="913" t="s">
        <v>200</v>
      </c>
      <c r="B64" s="914"/>
      <c r="C64" s="915"/>
      <c r="D64" s="151"/>
      <c r="E64" s="95">
        <f>'12'!F64</f>
        <v>0</v>
      </c>
      <c r="F64" s="122"/>
      <c r="G64" s="112">
        <f>G62+G63</f>
        <v>91</v>
      </c>
      <c r="H64" s="99">
        <f>G64+'12'!H64</f>
        <v>2182</v>
      </c>
      <c r="I64" s="118"/>
      <c r="J64" s="175">
        <f>H64/DAY(B2)</f>
        <v>167.84615384615384</v>
      </c>
      <c r="K64" s="69"/>
      <c r="L64" s="66"/>
      <c r="N64" s="87"/>
      <c r="O64" s="71"/>
    </row>
    <row r="65" spans="1:15" ht="27.75" customHeight="1">
      <c r="A65" s="904" t="s">
        <v>201</v>
      </c>
      <c r="B65" s="905"/>
      <c r="C65" s="906"/>
      <c r="D65" s="151" t="s">
        <v>142</v>
      </c>
      <c r="E65" s="95">
        <f>'12'!F65</f>
        <v>477437</v>
      </c>
      <c r="F65" s="122">
        <v>477520</v>
      </c>
      <c r="G65" s="112">
        <f t="shared" ref="G65:G70" si="6">F65-E65</f>
        <v>83</v>
      </c>
      <c r="H65" s="99">
        <f>G65+'12'!H65</f>
        <v>1617</v>
      </c>
      <c r="I65" s="118"/>
      <c r="J65" s="175">
        <f>H65/DAY(B2)</f>
        <v>124.38461538461539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114660</v>
      </c>
      <c r="F66" s="122">
        <v>114669</v>
      </c>
      <c r="G66" s="112">
        <f t="shared" si="6"/>
        <v>9</v>
      </c>
      <c r="H66" s="99">
        <f>G66+'12'!H66</f>
        <v>203</v>
      </c>
      <c r="I66" s="118"/>
      <c r="J66" s="175">
        <f>H66/DAY(B2)</f>
        <v>15.615384615384615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117569</v>
      </c>
      <c r="F67" s="122">
        <v>117601</v>
      </c>
      <c r="G67" s="112">
        <f t="shared" si="6"/>
        <v>32</v>
      </c>
      <c r="H67" s="99">
        <f>G67+'12'!H67</f>
        <v>319</v>
      </c>
      <c r="I67" s="118"/>
      <c r="J67" s="175">
        <f>H67/DAY(B2)</f>
        <v>24.53846153846154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170168</v>
      </c>
      <c r="F68" s="122">
        <v>170177</v>
      </c>
      <c r="G68" s="112">
        <f t="shared" si="6"/>
        <v>9</v>
      </c>
      <c r="H68" s="99">
        <f>G68+'12'!H68</f>
        <v>227</v>
      </c>
      <c r="I68" s="118"/>
      <c r="J68" s="175">
        <f>H68/DAY(B2)</f>
        <v>17.46153846153846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13263</v>
      </c>
      <c r="F69" s="122">
        <v>13270</v>
      </c>
      <c r="G69" s="112">
        <f t="shared" si="6"/>
        <v>7</v>
      </c>
      <c r="H69" s="99">
        <f>G69+'12'!H69</f>
        <v>58</v>
      </c>
      <c r="I69" s="118"/>
      <c r="J69" s="175">
        <f>H69/DAY(B2)</f>
        <v>4.4615384615384617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11340</v>
      </c>
      <c r="F70" s="122">
        <v>11351</v>
      </c>
      <c r="G70" s="112">
        <f t="shared" si="6"/>
        <v>11</v>
      </c>
      <c r="H70" s="99">
        <f>G70+'12'!H70</f>
        <v>93</v>
      </c>
      <c r="I70" s="118"/>
      <c r="J70" s="175">
        <f>H70/DAY(B2)</f>
        <v>7.1538461538461542</v>
      </c>
      <c r="K70" s="69"/>
      <c r="L70" s="66"/>
      <c r="N70" s="87"/>
      <c r="O70" s="71"/>
    </row>
    <row r="71" spans="1:15" ht="27.75" customHeight="1">
      <c r="A71" s="913" t="s">
        <v>208</v>
      </c>
      <c r="B71" s="914"/>
      <c r="C71" s="915"/>
      <c r="D71" s="152"/>
      <c r="E71" s="152"/>
      <c r="F71" s="152" t="s">
        <v>368</v>
      </c>
      <c r="G71" s="153">
        <f>SUM(G65:G70)</f>
        <v>151</v>
      </c>
      <c r="H71" s="99">
        <f>G71+'12'!H71</f>
        <v>2517</v>
      </c>
      <c r="I71" s="154"/>
      <c r="J71" s="175">
        <f>H71/DAY(B2)</f>
        <v>193.61538461538461</v>
      </c>
      <c r="K71" s="69"/>
      <c r="L71" s="66"/>
      <c r="N71" s="87"/>
      <c r="O71" s="71"/>
    </row>
    <row r="72" spans="1:15" s="88" customFormat="1" ht="27.7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4" t="s">
        <v>220</v>
      </c>
      <c r="B74" s="905"/>
      <c r="C74" s="906"/>
      <c r="D74" s="151" t="s">
        <v>139</v>
      </c>
      <c r="E74" s="95">
        <f>'12'!F74</f>
        <v>16057</v>
      </c>
      <c r="F74" s="117">
        <v>16356</v>
      </c>
      <c r="G74" s="112">
        <f t="shared" ref="G74:G78" si="7">F74-E74</f>
        <v>299</v>
      </c>
      <c r="H74" s="99">
        <f>G74+'12'!H74</f>
        <v>4094</v>
      </c>
      <c r="I74" s="154"/>
      <c r="J74" s="175">
        <f>H74/DAY(B2)</f>
        <v>314.92307692307691</v>
      </c>
      <c r="K74" s="69"/>
      <c r="L74" s="66"/>
      <c r="N74" s="87"/>
      <c r="O74" s="71"/>
    </row>
    <row r="75" spans="1:15" ht="27.75" customHeight="1">
      <c r="A75" s="904" t="s">
        <v>221</v>
      </c>
      <c r="B75" s="905"/>
      <c r="C75" s="906"/>
      <c r="D75" s="151" t="s">
        <v>139</v>
      </c>
      <c r="E75" s="95">
        <f>'12'!F75</f>
        <v>73587</v>
      </c>
      <c r="F75" s="123">
        <v>73586.600000000006</v>
      </c>
      <c r="G75" s="112">
        <f t="shared" si="7"/>
        <v>-0.39999999999417923</v>
      </c>
      <c r="H75" s="99">
        <f>G75+'12'!H75</f>
        <v>-0.19999999999708962</v>
      </c>
      <c r="I75" s="154"/>
      <c r="J75" s="175">
        <f>H75/DAY(B2)</f>
        <v>-1.5384615384391509E-2</v>
      </c>
      <c r="K75" s="69"/>
      <c r="L75" s="66"/>
      <c r="N75" s="87"/>
      <c r="O75" s="71"/>
    </row>
    <row r="76" spans="1:15" ht="27.75" customHeight="1">
      <c r="A76" s="901" t="s">
        <v>222</v>
      </c>
      <c r="B76" s="902"/>
      <c r="C76" s="903"/>
      <c r="D76" s="151" t="s">
        <v>139</v>
      </c>
      <c r="E76" s="95">
        <f>'12'!F76</f>
        <v>212008</v>
      </c>
      <c r="F76" s="123">
        <v>212113</v>
      </c>
      <c r="G76" s="112">
        <f t="shared" si="7"/>
        <v>105</v>
      </c>
      <c r="H76" s="99">
        <f>G76+'12'!H76</f>
        <v>1453</v>
      </c>
      <c r="I76" s="154"/>
      <c r="J76" s="175">
        <f>H76/DAY(B2)</f>
        <v>111.76923076923077</v>
      </c>
      <c r="K76" s="69"/>
      <c r="L76" s="66"/>
      <c r="N76" s="87"/>
      <c r="O76" s="71"/>
    </row>
    <row r="77" spans="1:15" ht="27.75" customHeight="1">
      <c r="A77" s="901" t="s">
        <v>223</v>
      </c>
      <c r="B77" s="902"/>
      <c r="C77" s="903"/>
      <c r="D77" s="151" t="s">
        <v>139</v>
      </c>
      <c r="E77" s="95">
        <f>'12'!F77</f>
        <v>60369</v>
      </c>
      <c r="F77" s="123">
        <v>60417</v>
      </c>
      <c r="G77" s="112">
        <f t="shared" si="7"/>
        <v>48</v>
      </c>
      <c r="H77" s="99">
        <f>G77+'12'!H77</f>
        <v>656</v>
      </c>
      <c r="I77" s="154"/>
      <c r="J77" s="175">
        <f>H77/DAY(B2)</f>
        <v>50.46153846153846</v>
      </c>
      <c r="K77" s="69"/>
      <c r="L77" s="66"/>
      <c r="N77" s="87"/>
      <c r="O77" s="71"/>
    </row>
    <row r="78" spans="1:15" ht="27.75" customHeight="1">
      <c r="A78" s="901" t="s">
        <v>224</v>
      </c>
      <c r="B78" s="902"/>
      <c r="C78" s="903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0.5</v>
      </c>
      <c r="I78" s="118"/>
      <c r="J78" s="175">
        <f>H78/DAY(B2)</f>
        <v>3.8461538461538464E-2</v>
      </c>
      <c r="K78" s="69"/>
      <c r="L78" s="66"/>
      <c r="N78" s="87"/>
      <c r="O78" s="71"/>
    </row>
    <row r="79" spans="1:15" s="57" customFormat="1" ht="27.75" customHeight="1">
      <c r="A79" s="901" t="s">
        <v>225</v>
      </c>
      <c r="B79" s="902"/>
      <c r="C79" s="903"/>
      <c r="D79" s="151"/>
      <c r="E79" s="95">
        <f>'12'!F79</f>
        <v>0</v>
      </c>
      <c r="F79" s="117"/>
      <c r="G79" s="112">
        <f>G15-SUM(G74:G78)</f>
        <v>286.81360000008135</v>
      </c>
      <c r="H79" s="99">
        <f>G79+'12'!H79</f>
        <v>7687.0086000001029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738.41360000008717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4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4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43546</v>
      </c>
      <c r="F84" s="164">
        <v>43546</v>
      </c>
      <c r="G84" s="112">
        <f t="shared" si="8"/>
        <v>0</v>
      </c>
      <c r="H84" s="99">
        <f>G84+'12'!H84</f>
        <v>0</v>
      </c>
      <c r="I84" s="543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6258</v>
      </c>
      <c r="F85" s="164">
        <v>6258</v>
      </c>
      <c r="G85" s="112">
        <f t="shared" si="8"/>
        <v>0</v>
      </c>
      <c r="H85" s="99">
        <f>G85+'12'!H85</f>
        <v>45</v>
      </c>
      <c r="I85" s="543"/>
      <c r="J85" s="175">
        <f>H85/DAY(B2)</f>
        <v>3.4615384615384617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46981</v>
      </c>
      <c r="F86" s="164">
        <v>47005.06</v>
      </c>
      <c r="G86" s="112">
        <f t="shared" si="8"/>
        <v>24.059999999997672</v>
      </c>
      <c r="H86" s="99">
        <f>G86+'12'!H86</f>
        <v>34.059999999997672</v>
      </c>
      <c r="I86" s="543"/>
      <c r="J86" s="175">
        <f>H86/DAY(B2)</f>
        <v>2.6199999999998207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37602</v>
      </c>
      <c r="F87" s="164">
        <v>37602</v>
      </c>
      <c r="G87" s="112">
        <f t="shared" si="8"/>
        <v>0</v>
      </c>
      <c r="H87" s="99">
        <f>G87+'12'!H87</f>
        <v>238</v>
      </c>
      <c r="I87" s="543">
        <f>G84+G85+G86+G87</f>
        <v>24.059999999997672</v>
      </c>
      <c r="J87" s="175">
        <f>H87/DAY(B2)</f>
        <v>18.307692307692307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24836.2</v>
      </c>
      <c r="F88" s="164">
        <v>24836</v>
      </c>
      <c r="G88" s="112">
        <f t="shared" si="8"/>
        <v>-0.2000000000007276</v>
      </c>
      <c r="H88" s="99">
        <f>G88+'12'!H88</f>
        <v>74</v>
      </c>
      <c r="I88" s="543"/>
      <c r="J88" s="175">
        <f>H88/DAY(B2)</f>
        <v>5.6923076923076925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29106.07</v>
      </c>
      <c r="F89" s="164">
        <v>29106</v>
      </c>
      <c r="G89" s="112">
        <f t="shared" si="8"/>
        <v>-6.9999999999708962E-2</v>
      </c>
      <c r="H89" s="99">
        <f>G89+'12'!H89</f>
        <v>78</v>
      </c>
      <c r="I89" s="543">
        <f>G88+G89</f>
        <v>-0.27000000000043656</v>
      </c>
      <c r="J89" s="175">
        <f>H89/DAY(B2)</f>
        <v>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74540.259999999995</v>
      </c>
      <c r="F90" s="164">
        <v>74550</v>
      </c>
      <c r="G90" s="112">
        <f t="shared" si="8"/>
        <v>9.7400000000052387</v>
      </c>
      <c r="H90" s="99">
        <f>G90+'12'!H90</f>
        <v>102</v>
      </c>
      <c r="I90" s="543">
        <f>G90</f>
        <v>9.7400000000052387</v>
      </c>
      <c r="J90" s="175">
        <f>H90/DAY(B2)</f>
        <v>7.8461538461538458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5728.27</v>
      </c>
      <c r="F91" s="122">
        <v>5737.62</v>
      </c>
      <c r="G91" s="112">
        <f t="shared" si="8"/>
        <v>9.3499999999994543</v>
      </c>
      <c r="H91" s="99">
        <f>G91+'12'!H91</f>
        <v>119.40999999999985</v>
      </c>
      <c r="I91" s="544"/>
      <c r="J91" s="175">
        <f>H91/DAY(B2)</f>
        <v>9.1853846153846046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7466.87</v>
      </c>
      <c r="F92" s="122">
        <v>7469.24</v>
      </c>
      <c r="G92" s="112">
        <f t="shared" si="8"/>
        <v>2.3699999999998909</v>
      </c>
      <c r="H92" s="99">
        <f>G92+'12'!H92</f>
        <v>36.960000000000036</v>
      </c>
      <c r="I92" s="545">
        <f>G91+G92</f>
        <v>11.719999999999345</v>
      </c>
      <c r="J92" s="175">
        <f>H92/DAY(B2)</f>
        <v>2.8430769230769259</v>
      </c>
      <c r="O92" s="71"/>
    </row>
    <row r="93" spans="1:15" ht="27.7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5426.5700000000652</v>
      </c>
      <c r="H94" s="99">
        <f>G94+'12'!H94</f>
        <v>73975.940000000061</v>
      </c>
      <c r="I94" s="118"/>
      <c r="J94" s="175">
        <f>H94/DAY(B2)</f>
        <v>5690.4569230769275</v>
      </c>
      <c r="K94" s="69"/>
      <c r="L94" s="66"/>
      <c r="O94" s="71"/>
    </row>
    <row r="95" spans="1:15" ht="27.7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0.25882616111357376</v>
      </c>
      <c r="H95" s="99">
        <f>G95+'12'!H95</f>
        <v>3.3638905891547304</v>
      </c>
      <c r="I95" s="167"/>
      <c r="J95" s="175">
        <f>H95/DAY(B2)</f>
        <v>0.25876081455036387</v>
      </c>
      <c r="K95" s="69"/>
      <c r="L95" s="66"/>
      <c r="O95" s="71"/>
    </row>
    <row r="96" spans="1:15" ht="27.7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3416.8399999999674</v>
      </c>
      <c r="H96" s="99">
        <f>G96+'12'!H96</f>
        <v>46313.749999999942</v>
      </c>
      <c r="I96" s="118"/>
      <c r="J96" s="175">
        <f>H96/DAY(B2)</f>
        <v>3562.5961538461493</v>
      </c>
      <c r="K96" s="69"/>
      <c r="L96" s="66"/>
      <c r="O96" s="71"/>
    </row>
    <row r="97" spans="1:15" ht="27.7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0.16296990186052779</v>
      </c>
      <c r="H97" s="99">
        <f>G97+'12'!H97</f>
        <v>2.1010992973894491</v>
      </c>
      <c r="I97" s="167"/>
      <c r="J97" s="175">
        <f>H97/DAY(B2)</f>
        <v>0.16162302287611147</v>
      </c>
      <c r="K97" s="69"/>
      <c r="L97" s="66"/>
      <c r="O97" s="71"/>
    </row>
    <row r="98" spans="1:15" ht="27.7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2751.4099999999162</v>
      </c>
      <c r="H98" s="99">
        <f>G98+'12'!H98</f>
        <v>36740.199999999953</v>
      </c>
      <c r="I98" s="168"/>
      <c r="J98" s="175">
        <f>H98/DAY(B2)</f>
        <v>2826.1692307692274</v>
      </c>
      <c r="K98" s="69"/>
      <c r="L98" s="66"/>
      <c r="O98" s="71"/>
    </row>
    <row r="99" spans="1:15" ht="27.7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0.1312314939177911</v>
      </c>
      <c r="H99" s="99">
        <f>G99+'12'!H99</f>
        <v>1.6707606319893555</v>
      </c>
      <c r="I99" s="168"/>
      <c r="J99" s="175">
        <f>H99/DAY(B2)</f>
        <v>0.12852004861456581</v>
      </c>
      <c r="O99" s="71"/>
    </row>
    <row r="100" spans="1:15" ht="27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2302.1600000000326</v>
      </c>
      <c r="H100" s="99">
        <f>G100+'12'!H100</f>
        <v>33846.860000000052</v>
      </c>
      <c r="I100" s="118"/>
      <c r="J100" s="175">
        <f>H100/DAY(B2)</f>
        <v>2603.6046153846191</v>
      </c>
      <c r="K100" s="70"/>
      <c r="O100" s="71"/>
    </row>
    <row r="101" spans="1:15" ht="27.7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0.10980402631297968</v>
      </c>
      <c r="H101" s="99">
        <f>G101+'12'!H101</f>
        <v>1.5362281750218421</v>
      </c>
      <c r="I101" s="168"/>
      <c r="J101" s="175">
        <f>H101/DAY(B2)</f>
        <v>0.11817139807860323</v>
      </c>
      <c r="O101" s="71"/>
    </row>
    <row r="102" spans="1:15" ht="27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2369.6099999999278</v>
      </c>
      <c r="H102" s="99">
        <f>G102+'12'!H102</f>
        <v>30501.949999999953</v>
      </c>
      <c r="I102" s="168"/>
      <c r="J102" s="175">
        <f>H102/DAY(B2)</f>
        <v>2346.3038461538426</v>
      </c>
      <c r="O102" s="71"/>
    </row>
    <row r="103" spans="1:15" ht="27.7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0.11302112745920709</v>
      </c>
      <c r="H103" s="99">
        <f>G103+'12'!H103</f>
        <v>1.382447540225491</v>
      </c>
      <c r="I103" s="118"/>
      <c r="J103" s="175">
        <f>H103/DAY(B2)</f>
        <v>0.10634211847888392</v>
      </c>
      <c r="O103" s="71"/>
    </row>
    <row r="104" spans="1:15" ht="27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1353.6500000000233</v>
      </c>
      <c r="H104" s="99">
        <f>G104+'12'!H104</f>
        <v>18719</v>
      </c>
      <c r="I104" s="118"/>
      <c r="J104" s="175">
        <f>H104/DAY(B2)</f>
        <v>1439.9230769230769</v>
      </c>
      <c r="O104" s="71"/>
    </row>
    <row r="105" spans="1:15" ht="27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6.4563809734582048E-2</v>
      </c>
      <c r="H105" s="99">
        <f>G105+'12'!H105</f>
        <v>0.85019378080663643</v>
      </c>
      <c r="I105" s="187"/>
      <c r="J105" s="188">
        <f>H105/DAY(B2)</f>
        <v>6.5399521600510491E-2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7.75" customHeight="1">
      <c r="A109" s="920"/>
      <c r="B109" s="920"/>
    </row>
    <row r="110" spans="1:15" ht="27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7.7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3" t="s">
        <v>252</v>
      </c>
      <c r="B112" s="884"/>
      <c r="C112" s="885"/>
      <c r="D112" s="146" t="s">
        <v>183</v>
      </c>
      <c r="E112" s="95">
        <f>'12'!F112</f>
        <v>20130.240000000002</v>
      </c>
      <c r="F112" s="237">
        <v>20190.34</v>
      </c>
      <c r="G112" s="112">
        <f t="shared" ref="G112:G123" si="9">F112-E112</f>
        <v>60.099999999998545</v>
      </c>
      <c r="H112" s="99">
        <f>G112+'12'!H112</f>
        <v>793.34000000000015</v>
      </c>
      <c r="I112" s="165"/>
      <c r="J112" s="328">
        <f>H112/DAY(B2)</f>
        <v>61.026153846153861</v>
      </c>
    </row>
    <row r="113" spans="1:18" ht="27.75" customHeight="1">
      <c r="A113" s="883" t="s">
        <v>253</v>
      </c>
      <c r="B113" s="884"/>
      <c r="C113" s="885"/>
      <c r="D113" s="146" t="s">
        <v>183</v>
      </c>
      <c r="E113" s="95">
        <f>'12'!F113</f>
        <v>43267.19</v>
      </c>
      <c r="F113" s="237">
        <v>43409.71</v>
      </c>
      <c r="G113" s="112">
        <f t="shared" si="9"/>
        <v>142.5199999999968</v>
      </c>
      <c r="H113" s="99">
        <f>G113+'12'!H113</f>
        <v>1889.760000000002</v>
      </c>
      <c r="I113" s="165"/>
      <c r="J113" s="328">
        <f>H113/DAY(B2)</f>
        <v>145.36615384615399</v>
      </c>
    </row>
    <row r="114" spans="1:18" ht="27.75" customHeight="1">
      <c r="A114" s="883" t="s">
        <v>254</v>
      </c>
      <c r="B114" s="884"/>
      <c r="C114" s="885"/>
      <c r="D114" s="146" t="s">
        <v>183</v>
      </c>
      <c r="E114" s="95">
        <f>'12'!F114</f>
        <v>63920.23</v>
      </c>
      <c r="F114" s="237">
        <v>64141.85</v>
      </c>
      <c r="G114" s="112">
        <f t="shared" si="9"/>
        <v>221.61999999999534</v>
      </c>
      <c r="H114" s="99">
        <f>G114+'12'!H114</f>
        <v>2923.8499999999985</v>
      </c>
      <c r="I114" s="165"/>
      <c r="J114" s="328">
        <f>H114/DAY(B2)</f>
        <v>224.91153846153836</v>
      </c>
    </row>
    <row r="115" spans="1:18" ht="27.75" customHeight="1">
      <c r="A115" s="883" t="s">
        <v>255</v>
      </c>
      <c r="B115" s="884"/>
      <c r="C115" s="885"/>
      <c r="D115" s="146" t="s">
        <v>183</v>
      </c>
      <c r="E115" s="95">
        <f>'12'!F115</f>
        <v>41184.720000000001</v>
      </c>
      <c r="F115" s="237">
        <v>41318.21</v>
      </c>
      <c r="G115" s="112">
        <f t="shared" si="9"/>
        <v>133.48999999999796</v>
      </c>
      <c r="H115" s="99">
        <f>G115+'12'!H115</f>
        <v>1859.2099999999991</v>
      </c>
      <c r="I115" s="165"/>
      <c r="J115" s="328">
        <f>H115/DAY(B2)</f>
        <v>143.01615384615377</v>
      </c>
    </row>
    <row r="116" spans="1:18" ht="27.75" customHeight="1">
      <c r="A116" s="890" t="s">
        <v>96</v>
      </c>
      <c r="B116" s="891"/>
      <c r="C116" s="892"/>
      <c r="D116" s="146" t="s">
        <v>183</v>
      </c>
      <c r="E116" s="95">
        <f>'12'!F116</f>
        <v>153435</v>
      </c>
      <c r="F116" s="237">
        <v>153830</v>
      </c>
      <c r="G116" s="112">
        <f t="shared" si="9"/>
        <v>395</v>
      </c>
      <c r="H116" s="99">
        <f>G116+'12'!H116</f>
        <v>5900</v>
      </c>
      <c r="I116" s="165"/>
      <c r="J116" s="328">
        <f>H116/DAY(B2)</f>
        <v>453.84615384615387</v>
      </c>
      <c r="Q116" s="883"/>
      <c r="R116" s="885"/>
    </row>
    <row r="117" spans="1:18" ht="27.75" customHeight="1">
      <c r="A117" s="890" t="s">
        <v>184</v>
      </c>
      <c r="B117" s="891"/>
      <c r="C117" s="892"/>
      <c r="D117" s="146" t="s">
        <v>183</v>
      </c>
      <c r="E117" s="95">
        <f>'12'!F117</f>
        <v>94988.45</v>
      </c>
      <c r="F117" s="237">
        <v>95209.37</v>
      </c>
      <c r="G117" s="112">
        <f t="shared" si="9"/>
        <v>220.91999999999825</v>
      </c>
      <c r="H117" s="99">
        <f>G117+'12'!H117</f>
        <v>3219.9709999999905</v>
      </c>
      <c r="I117" s="165"/>
      <c r="J117" s="328">
        <f>H117/DAY(B2)</f>
        <v>247.69007692307619</v>
      </c>
      <c r="Q117" s="883"/>
      <c r="R117" s="885"/>
    </row>
    <row r="118" spans="1:18" ht="27.75" customHeight="1">
      <c r="A118" s="882" t="s">
        <v>97</v>
      </c>
      <c r="B118" s="882"/>
      <c r="C118" s="882"/>
      <c r="D118" s="151" t="s">
        <v>183</v>
      </c>
      <c r="E118" s="95">
        <f>'12'!F118</f>
        <v>185960.2</v>
      </c>
      <c r="F118" s="237">
        <v>186656.17</v>
      </c>
      <c r="G118" s="112">
        <f t="shared" si="9"/>
        <v>695.97000000000116</v>
      </c>
      <c r="H118" s="99">
        <f>G118+'12'!H118</f>
        <v>9123.640000000014</v>
      </c>
      <c r="I118" s="165"/>
      <c r="J118" s="328">
        <f>H118/DAY(B2)</f>
        <v>701.81846153846266</v>
      </c>
      <c r="Q118" s="883"/>
      <c r="R118" s="885"/>
    </row>
    <row r="119" spans="1:18" ht="27.75" customHeight="1">
      <c r="A119" s="882" t="s">
        <v>98</v>
      </c>
      <c r="B119" s="882"/>
      <c r="C119" s="882"/>
      <c r="D119" s="151" t="s">
        <v>183</v>
      </c>
      <c r="E119" s="95">
        <f>'12'!F119</f>
        <v>45804.4</v>
      </c>
      <c r="F119" s="237">
        <v>45863</v>
      </c>
      <c r="G119" s="112">
        <f t="shared" si="9"/>
        <v>58.599999999998545</v>
      </c>
      <c r="H119" s="99">
        <f>G119+'12'!H119</f>
        <v>670</v>
      </c>
      <c r="I119" s="165"/>
      <c r="J119" s="328">
        <f>H119/DAY(B2)</f>
        <v>51.53846153846154</v>
      </c>
    </row>
    <row r="120" spans="1:18" ht="27.75" customHeight="1">
      <c r="A120" s="882" t="s">
        <v>99</v>
      </c>
      <c r="B120" s="882"/>
      <c r="C120" s="882"/>
      <c r="D120" s="151" t="s">
        <v>183</v>
      </c>
      <c r="E120" s="95">
        <f>'12'!F120</f>
        <v>125049.8</v>
      </c>
      <c r="F120" s="237">
        <v>125424</v>
      </c>
      <c r="G120" s="112">
        <f t="shared" si="9"/>
        <v>374.19999999999709</v>
      </c>
      <c r="H120" s="99">
        <f>G120+'12'!H120</f>
        <v>4980</v>
      </c>
      <c r="I120" s="165"/>
      <c r="J120" s="328">
        <f>H120/DAY(B2)</f>
        <v>383.07692307692309</v>
      </c>
    </row>
    <row r="121" spans="1:18" ht="27.75" customHeight="1">
      <c r="A121" s="882" t="s">
        <v>100</v>
      </c>
      <c r="B121" s="882"/>
      <c r="C121" s="882"/>
      <c r="D121" s="151" t="s">
        <v>183</v>
      </c>
      <c r="E121" s="95">
        <f>'12'!F121</f>
        <v>139721.9</v>
      </c>
      <c r="F121" s="237">
        <v>140146</v>
      </c>
      <c r="G121" s="112">
        <f t="shared" si="9"/>
        <v>424.10000000000582</v>
      </c>
      <c r="H121" s="99">
        <f>G121+'12'!H121</f>
        <v>5583</v>
      </c>
      <c r="I121" s="165"/>
      <c r="J121" s="328">
        <f>H121/DAY(B2)</f>
        <v>429.46153846153845</v>
      </c>
    </row>
    <row r="122" spans="1:18" ht="27.75" customHeight="1">
      <c r="A122" s="882" t="s">
        <v>101</v>
      </c>
      <c r="B122" s="882"/>
      <c r="C122" s="882"/>
      <c r="D122" s="151" t="s">
        <v>183</v>
      </c>
      <c r="E122" s="95">
        <f>'12'!F122</f>
        <v>94630.6</v>
      </c>
      <c r="F122" s="237">
        <v>94936.35</v>
      </c>
      <c r="G122" s="112">
        <f t="shared" si="9"/>
        <v>305.75</v>
      </c>
      <c r="H122" s="99">
        <f>G122+'12'!H122</f>
        <v>4059.3500000000058</v>
      </c>
      <c r="I122" s="165"/>
      <c r="J122" s="328">
        <f>H122/DAY(B2)</f>
        <v>312.25769230769276</v>
      </c>
    </row>
    <row r="123" spans="1:18" ht="27.75" customHeight="1">
      <c r="A123" s="882" t="s">
        <v>102</v>
      </c>
      <c r="B123" s="882"/>
      <c r="C123" s="882"/>
      <c r="D123" s="151" t="s">
        <v>183</v>
      </c>
      <c r="E123" s="95">
        <f>'12'!F123</f>
        <v>91271.8</v>
      </c>
      <c r="F123" s="237">
        <v>91578.047000000006</v>
      </c>
      <c r="G123" s="112">
        <f t="shared" si="9"/>
        <v>306.24700000000303</v>
      </c>
      <c r="H123" s="99">
        <f>G123+'12'!H123</f>
        <v>3999.0470000000059</v>
      </c>
      <c r="I123" s="165"/>
      <c r="J123" s="328">
        <f>H123/DAY(B2)</f>
        <v>307.61900000000048</v>
      </c>
    </row>
    <row r="124" spans="1:18" ht="27.7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3338.5169999999925</v>
      </c>
      <c r="H125" s="156"/>
      <c r="I125" s="327">
        <f>G125-(G39+G53)</f>
        <v>587.10700000007637</v>
      </c>
      <c r="J125" s="327"/>
    </row>
    <row r="126" spans="1:18" ht="27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7.75" customHeight="1">
      <c r="A127" s="872"/>
      <c r="B127" s="87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83" t="s">
        <v>318</v>
      </c>
      <c r="B128" s="884"/>
      <c r="C128" s="885"/>
      <c r="D128" s="151" t="s">
        <v>183</v>
      </c>
      <c r="E128" s="95">
        <f>'12'!F128</f>
        <v>213289.9</v>
      </c>
      <c r="F128" s="165">
        <v>213692.25</v>
      </c>
      <c r="G128" s="112">
        <f t="shared" ref="G128:G134" si="10">F128-E128</f>
        <v>402.35000000000582</v>
      </c>
      <c r="H128" s="99">
        <f>G128+'12'!H128</f>
        <v>6403.25</v>
      </c>
      <c r="I128" s="165"/>
      <c r="J128" s="328">
        <f>H128/DAY(B2)</f>
        <v>492.55769230769232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2066.86</v>
      </c>
      <c r="F129" s="165">
        <v>2160</v>
      </c>
      <c r="G129" s="112">
        <f t="shared" si="10"/>
        <v>93.139999999999873</v>
      </c>
      <c r="H129" s="99">
        <f>G129+'12'!H129</f>
        <v>1426</v>
      </c>
      <c r="I129" s="165"/>
      <c r="J129" s="328">
        <f>H129/DAY(B2)</f>
        <v>109.69230769230769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294818.59999999998</v>
      </c>
      <c r="F130" s="165">
        <v>295354</v>
      </c>
      <c r="G130" s="112">
        <f t="shared" si="10"/>
        <v>535.40000000002328</v>
      </c>
      <c r="H130" s="99">
        <f>G130+'12'!H130</f>
        <v>6632</v>
      </c>
      <c r="I130" s="165"/>
      <c r="J130" s="328">
        <f>H130/DAY(B2)</f>
        <v>510.15384615384613</v>
      </c>
      <c r="N130" s="240"/>
      <c r="O130" s="241"/>
    </row>
    <row r="131" spans="1:15" ht="27.75" customHeight="1">
      <c r="A131" s="883" t="s">
        <v>321</v>
      </c>
      <c r="B131" s="884"/>
      <c r="C131" s="885"/>
      <c r="D131" s="151" t="s">
        <v>183</v>
      </c>
      <c r="E131" s="95">
        <f>'12'!F131</f>
        <v>87058.79</v>
      </c>
      <c r="F131" s="165">
        <v>87254.798999999999</v>
      </c>
      <c r="G131" s="112">
        <f t="shared" si="10"/>
        <v>196.00900000000547</v>
      </c>
      <c r="H131" s="99">
        <f>G131+'12'!H131</f>
        <v>2550.9689999999973</v>
      </c>
      <c r="I131" s="165"/>
      <c r="J131" s="328">
        <f>H131/DAY(B2)</f>
        <v>196.22838461538441</v>
      </c>
      <c r="N131" s="240"/>
      <c r="O131" s="241"/>
    </row>
    <row r="132" spans="1:15" ht="27.75" customHeight="1">
      <c r="A132" s="883" t="s">
        <v>322</v>
      </c>
      <c r="B132" s="884"/>
      <c r="C132" s="885"/>
      <c r="D132" s="151" t="s">
        <v>183</v>
      </c>
      <c r="E132" s="95">
        <f>'12'!F132</f>
        <v>71226.399999999994</v>
      </c>
      <c r="F132" s="165">
        <v>71524.55</v>
      </c>
      <c r="G132" s="112">
        <f t="shared" si="10"/>
        <v>298.15000000000873</v>
      </c>
      <c r="H132" s="99">
        <f>G132+'12'!H132</f>
        <v>4077.5500000000029</v>
      </c>
      <c r="I132" s="165"/>
      <c r="J132" s="328">
        <f>H132/DAY(B2)</f>
        <v>313.65769230769251</v>
      </c>
    </row>
    <row r="133" spans="1:15" ht="27.75" customHeight="1">
      <c r="A133" s="883" t="s">
        <v>358</v>
      </c>
      <c r="B133" s="884"/>
      <c r="C133" s="885"/>
      <c r="D133" s="151" t="s">
        <v>183</v>
      </c>
      <c r="E133" s="95">
        <f>'12'!F133</f>
        <v>957064</v>
      </c>
      <c r="F133" s="165">
        <v>957600</v>
      </c>
      <c r="G133" s="112">
        <f t="shared" si="10"/>
        <v>536</v>
      </c>
      <c r="H133" s="99">
        <f>G133+'12'!H133</f>
        <v>7453</v>
      </c>
      <c r="I133" s="165"/>
      <c r="J133" s="328">
        <f>H133/DAY(B2)</f>
        <v>573.30769230769226</v>
      </c>
    </row>
    <row r="134" spans="1:15" ht="27.75" customHeight="1">
      <c r="A134" s="883" t="s">
        <v>340</v>
      </c>
      <c r="B134" s="884"/>
      <c r="C134" s="885"/>
      <c r="D134" s="151" t="s">
        <v>183</v>
      </c>
      <c r="E134" s="95">
        <v>924082</v>
      </c>
      <c r="F134" s="165">
        <v>924764</v>
      </c>
      <c r="G134" s="112">
        <f t="shared" si="10"/>
        <v>682</v>
      </c>
      <c r="H134" s="99">
        <f>G134+'12'!H134</f>
        <v>3780.9100000000035</v>
      </c>
      <c r="I134" s="165"/>
      <c r="J134" s="328">
        <f>H134/DAY(B2)</f>
        <v>290.83923076923105</v>
      </c>
    </row>
    <row r="135" spans="1:15" ht="27.75" customHeight="1">
      <c r="A135" s="788" t="s">
        <v>196</v>
      </c>
      <c r="B135" s="789"/>
      <c r="C135" s="331"/>
      <c r="D135" s="151"/>
      <c r="E135" s="95"/>
      <c r="F135" s="165"/>
      <c r="G135" s="112">
        <f>SUM(G128:G134)</f>
        <v>2743.0490000000432</v>
      </c>
      <c r="H135" s="99">
        <f>G135+'12'!H135</f>
        <v>29544.659000000021</v>
      </c>
      <c r="I135" s="327">
        <f>G135-(G35+G49)</f>
        <v>-124.56099999994285</v>
      </c>
      <c r="J135" s="328">
        <f>H135/DAY(B2)</f>
        <v>2272.6660769230784</v>
      </c>
    </row>
    <row r="136" spans="1:15" ht="27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2" t="s">
        <v>185</v>
      </c>
      <c r="B138" s="882"/>
      <c r="C138" s="882"/>
      <c r="D138" s="151" t="s">
        <v>183</v>
      </c>
      <c r="E138" s="95">
        <f>'12'!F138</f>
        <v>914307</v>
      </c>
      <c r="F138" s="147">
        <v>914427</v>
      </c>
      <c r="G138" s="112">
        <f t="shared" ref="G138:G152" si="11">F138-E138</f>
        <v>120</v>
      </c>
      <c r="H138" s="99">
        <f>G138+'12'!H138</f>
        <v>1516</v>
      </c>
      <c r="I138" s="118"/>
      <c r="J138" s="328">
        <f>H138/DAY(B2)</f>
        <v>116.61538461538461</v>
      </c>
    </row>
    <row r="139" spans="1:15" ht="27.75" customHeight="1">
      <c r="A139" s="882" t="s">
        <v>186</v>
      </c>
      <c r="B139" s="882"/>
      <c r="C139" s="882"/>
      <c r="D139" s="151" t="s">
        <v>183</v>
      </c>
      <c r="E139" s="95">
        <f>'12'!F139</f>
        <v>939027</v>
      </c>
      <c r="F139" s="148">
        <v>939143</v>
      </c>
      <c r="G139" s="112">
        <f t="shared" si="11"/>
        <v>116</v>
      </c>
      <c r="H139" s="99">
        <f>G139+'12'!H139</f>
        <v>1885</v>
      </c>
      <c r="I139" s="118"/>
      <c r="J139" s="328">
        <f>H139/DAY(B2)</f>
        <v>145</v>
      </c>
    </row>
    <row r="140" spans="1:15" ht="27.75" customHeight="1">
      <c r="A140" s="882" t="s">
        <v>187</v>
      </c>
      <c r="B140" s="882"/>
      <c r="C140" s="882"/>
      <c r="D140" s="151" t="s">
        <v>183</v>
      </c>
      <c r="E140" s="95">
        <f>'12'!F140</f>
        <v>5138.8100000000004</v>
      </c>
      <c r="F140" s="149">
        <v>5171.7</v>
      </c>
      <c r="G140" s="112">
        <f t="shared" si="11"/>
        <v>32.889999999999418</v>
      </c>
      <c r="H140" s="99">
        <f>G140+'12'!H140</f>
        <v>407.69999999999982</v>
      </c>
      <c r="I140" s="118"/>
      <c r="J140" s="328">
        <f>H140/DAY(B2)</f>
        <v>31.361538461538448</v>
      </c>
    </row>
    <row r="141" spans="1:15" ht="27.75" customHeight="1">
      <c r="A141" s="865" t="s">
        <v>188</v>
      </c>
      <c r="B141" s="865"/>
      <c r="C141" s="865"/>
      <c r="D141" s="151" t="s">
        <v>183</v>
      </c>
      <c r="E141" s="95">
        <f>'12'!F141</f>
        <v>134271.96</v>
      </c>
      <c r="F141" s="149">
        <v>134533</v>
      </c>
      <c r="G141" s="112">
        <f t="shared" si="11"/>
        <v>261.04000000000815</v>
      </c>
      <c r="H141" s="99">
        <f>G141+'12'!H141</f>
        <v>3213</v>
      </c>
      <c r="I141" s="118"/>
      <c r="J141" s="328">
        <f>H141/DAY(B2)</f>
        <v>247.15384615384616</v>
      </c>
    </row>
    <row r="142" spans="1:15" ht="27.75" customHeight="1">
      <c r="A142" s="865" t="s">
        <v>189</v>
      </c>
      <c r="B142" s="865"/>
      <c r="C142" s="865"/>
      <c r="D142" s="151" t="s">
        <v>183</v>
      </c>
      <c r="E142" s="95">
        <f>'12'!F142</f>
        <v>54277.9</v>
      </c>
      <c r="F142" s="148">
        <v>54361.8</v>
      </c>
      <c r="G142" s="112">
        <f t="shared" si="11"/>
        <v>83.900000000001455</v>
      </c>
      <c r="H142" s="99">
        <f>G142+'12'!H142</f>
        <v>1170.8000000000029</v>
      </c>
      <c r="I142" s="140"/>
      <c r="J142" s="328">
        <f>H142/DAY(B2)</f>
        <v>90.061538461538689</v>
      </c>
    </row>
    <row r="143" spans="1:15" ht="27.75" customHeight="1">
      <c r="A143" s="882" t="s">
        <v>91</v>
      </c>
      <c r="B143" s="882"/>
      <c r="C143" s="882"/>
      <c r="D143" s="151" t="s">
        <v>183</v>
      </c>
      <c r="E143" s="95">
        <f>'12'!F143</f>
        <v>14701.37</v>
      </c>
      <c r="F143" s="149">
        <v>14731.718000000001</v>
      </c>
      <c r="G143" s="112">
        <f t="shared" si="11"/>
        <v>30.347999999999956</v>
      </c>
      <c r="H143" s="99">
        <f>G143+'12'!H143</f>
        <v>419.71800000000076</v>
      </c>
      <c r="I143" s="140"/>
      <c r="J143" s="328">
        <f>H143/DAY(B2)</f>
        <v>32.286000000000058</v>
      </c>
    </row>
    <row r="144" spans="1:15" ht="27.75" customHeight="1">
      <c r="A144" s="865" t="s">
        <v>90</v>
      </c>
      <c r="B144" s="865"/>
      <c r="C144" s="865"/>
      <c r="D144" s="151" t="s">
        <v>183</v>
      </c>
      <c r="E144" s="95">
        <f>'12'!F144</f>
        <v>966371</v>
      </c>
      <c r="F144" s="149">
        <v>966593</v>
      </c>
      <c r="G144" s="112">
        <f t="shared" si="11"/>
        <v>222</v>
      </c>
      <c r="H144" s="99">
        <f>G144+'12'!H144</f>
        <v>3367</v>
      </c>
      <c r="I144" s="140"/>
      <c r="J144" s="328">
        <f>H144/DAY(B2)</f>
        <v>259</v>
      </c>
    </row>
    <row r="145" spans="1:10" ht="27.75" customHeight="1">
      <c r="A145" s="882" t="s">
        <v>190</v>
      </c>
      <c r="B145" s="882"/>
      <c r="C145" s="882"/>
      <c r="D145" s="152" t="s">
        <v>183</v>
      </c>
      <c r="E145" s="95">
        <f>'12'!F145</f>
        <v>753225</v>
      </c>
      <c r="F145" s="149">
        <v>753444</v>
      </c>
      <c r="G145" s="112">
        <f t="shared" si="11"/>
        <v>219</v>
      </c>
      <c r="H145" s="99">
        <f>G145+'12'!H145</f>
        <v>2711</v>
      </c>
      <c r="I145" s="140"/>
      <c r="J145" s="328">
        <f>H145/DAY(B2)</f>
        <v>208.53846153846155</v>
      </c>
    </row>
    <row r="146" spans="1:10" ht="27.75" customHeight="1">
      <c r="A146" s="916" t="s">
        <v>191</v>
      </c>
      <c r="B146" s="902"/>
      <c r="C146" s="903"/>
      <c r="D146" s="152" t="s">
        <v>183</v>
      </c>
      <c r="E146" s="95">
        <f>'12'!F146</f>
        <v>789478</v>
      </c>
      <c r="F146" s="148">
        <v>789515</v>
      </c>
      <c r="G146" s="112">
        <f t="shared" si="11"/>
        <v>37</v>
      </c>
      <c r="H146" s="99">
        <f>G146+'12'!H146</f>
        <v>490</v>
      </c>
      <c r="I146" s="140"/>
      <c r="J146" s="328">
        <f>H146/DAY(B2)</f>
        <v>37.692307692307693</v>
      </c>
    </row>
    <row r="147" spans="1:10" ht="27.75" customHeight="1">
      <c r="A147" s="865" t="s">
        <v>192</v>
      </c>
      <c r="B147" s="865"/>
      <c r="C147" s="865"/>
      <c r="D147" s="152" t="s">
        <v>183</v>
      </c>
      <c r="E147" s="95">
        <f>'12'!F147</f>
        <v>776082</v>
      </c>
      <c r="F147" s="148">
        <v>776465.92000000004</v>
      </c>
      <c r="G147" s="112">
        <f t="shared" si="11"/>
        <v>383.92000000004191</v>
      </c>
      <c r="H147" s="99">
        <f>G147+'12'!H147</f>
        <v>4809.0400000000373</v>
      </c>
      <c r="I147" s="140"/>
      <c r="J147" s="328">
        <f>H147/DAY(B2)</f>
        <v>369.92615384615669</v>
      </c>
    </row>
    <row r="148" spans="1:10" ht="27.75" customHeight="1">
      <c r="A148" s="866" t="s">
        <v>193</v>
      </c>
      <c r="B148" s="867"/>
      <c r="C148" s="868"/>
      <c r="D148" s="123" t="s">
        <v>130</v>
      </c>
      <c r="E148" s="95">
        <f>'12'!F148</f>
        <v>810943.6</v>
      </c>
      <c r="F148" s="150">
        <v>811244.08</v>
      </c>
      <c r="G148" s="112">
        <f t="shared" si="11"/>
        <v>300.47999999998137</v>
      </c>
      <c r="H148" s="99">
        <f>G148+'12'!H148</f>
        <v>4423.8399999999674</v>
      </c>
      <c r="I148" s="124"/>
      <c r="J148" s="328">
        <f>H148/DAY(B2)</f>
        <v>340.29538461538209</v>
      </c>
    </row>
    <row r="149" spans="1:10" ht="27.75" customHeight="1">
      <c r="A149" s="866" t="s">
        <v>336</v>
      </c>
      <c r="B149" s="867"/>
      <c r="C149" s="868"/>
      <c r="D149" s="227" t="s">
        <v>130</v>
      </c>
      <c r="E149" s="95">
        <f>'12'!F149</f>
        <v>222969.43</v>
      </c>
      <c r="F149" s="146">
        <v>223242</v>
      </c>
      <c r="G149" s="112">
        <f t="shared" si="11"/>
        <v>272.57000000000698</v>
      </c>
      <c r="H149" s="99">
        <f>G149+'12'!H149</f>
        <v>6346</v>
      </c>
      <c r="I149" s="119"/>
      <c r="J149" s="328">
        <f>H149/DAY(B2)</f>
        <v>488.15384615384613</v>
      </c>
    </row>
    <row r="150" spans="1:10" ht="27.75" customHeight="1">
      <c r="A150" s="866" t="s">
        <v>337</v>
      </c>
      <c r="B150" s="867"/>
      <c r="C150" s="868"/>
      <c r="D150" s="117" t="s">
        <v>130</v>
      </c>
      <c r="E150" s="95">
        <f>'12'!F150</f>
        <v>95169.9</v>
      </c>
      <c r="F150" s="233">
        <v>96470</v>
      </c>
      <c r="G150" s="112">
        <f t="shared" si="11"/>
        <v>1300.1000000000058</v>
      </c>
      <c r="H150" s="99">
        <f>G150+'12'!H150</f>
        <v>3305</v>
      </c>
      <c r="I150" s="119"/>
      <c r="J150" s="328">
        <f>H150/DAY(B2)</f>
        <v>254.23076923076923</v>
      </c>
    </row>
    <row r="151" spans="1:10" ht="27.75" customHeight="1">
      <c r="A151" s="866" t="s">
        <v>338</v>
      </c>
      <c r="B151" s="867"/>
      <c r="C151" s="868"/>
      <c r="D151" s="117" t="s">
        <v>130</v>
      </c>
      <c r="E151" s="95">
        <f>'12'!F151</f>
        <v>180218</v>
      </c>
      <c r="F151" s="233">
        <v>180553</v>
      </c>
      <c r="G151" s="112">
        <f t="shared" si="11"/>
        <v>335</v>
      </c>
      <c r="H151" s="99">
        <f>G151+'12'!H151</f>
        <v>4378</v>
      </c>
      <c r="I151" s="119"/>
      <c r="J151" s="328">
        <f>H151/DAY(B2)</f>
        <v>336.76923076923077</v>
      </c>
    </row>
    <row r="152" spans="1:10" ht="27.75" customHeight="1">
      <c r="A152" s="866" t="s">
        <v>339</v>
      </c>
      <c r="B152" s="867"/>
      <c r="C152" s="868"/>
      <c r="D152" s="117" t="s">
        <v>130</v>
      </c>
      <c r="E152" s="95">
        <f>'12'!F152</f>
        <v>48218.36</v>
      </c>
      <c r="F152" s="233">
        <v>48345</v>
      </c>
      <c r="G152" s="112">
        <f t="shared" si="11"/>
        <v>126.63999999999942</v>
      </c>
      <c r="H152" s="99">
        <f>G152+'12'!H152</f>
        <v>1713</v>
      </c>
      <c r="I152" s="119"/>
      <c r="J152" s="328">
        <f>H152/DAY(B2)</f>
        <v>131.76923076923077</v>
      </c>
    </row>
    <row r="153" spans="1:10" ht="27.7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3840.8880000000445</v>
      </c>
      <c r="H153" s="363"/>
      <c r="I153" s="119">
        <f>G153-(G38+G52)</f>
        <v>1538.7280000000119</v>
      </c>
      <c r="J153" s="366"/>
    </row>
    <row r="154" spans="1:10" ht="27.7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>
      <c r="A155" s="865" t="s">
        <v>345</v>
      </c>
      <c r="B155" s="865"/>
      <c r="C155" s="865"/>
      <c r="D155" s="117" t="s">
        <v>130</v>
      </c>
      <c r="E155" s="374">
        <f>'12'!F155</f>
        <v>263090</v>
      </c>
      <c r="F155" s="374">
        <v>263624.69</v>
      </c>
      <c r="G155" s="112">
        <f t="shared" ref="G155:G158" si="12">F155-E155</f>
        <v>534.69000000000233</v>
      </c>
      <c r="H155" s="99">
        <f>G155+'12'!H155</f>
        <v>7272.6900000000023</v>
      </c>
      <c r="I155" s="364"/>
      <c r="J155" s="328">
        <f>H155/DAY(B2)</f>
        <v>559.43769230769249</v>
      </c>
    </row>
    <row r="156" spans="1:10" ht="27.75" customHeight="1">
      <c r="A156" s="865" t="s">
        <v>347</v>
      </c>
      <c r="B156" s="865"/>
      <c r="C156" s="865"/>
      <c r="D156" s="117" t="s">
        <v>130</v>
      </c>
      <c r="E156" s="374">
        <f>'12'!F156</f>
        <v>33725.32</v>
      </c>
      <c r="F156" s="155">
        <v>33815.78</v>
      </c>
      <c r="G156" s="112">
        <f t="shared" si="12"/>
        <v>90.459999999999127</v>
      </c>
      <c r="H156" s="99">
        <f>G156+'12'!H156</f>
        <v>1256.7799999999988</v>
      </c>
      <c r="I156" s="165"/>
      <c r="J156" s="328">
        <f>H156/DAY(B2)</f>
        <v>96.67538461538453</v>
      </c>
    </row>
    <row r="157" spans="1:10" ht="27.75" customHeight="1">
      <c r="A157" s="866" t="s">
        <v>359</v>
      </c>
      <c r="B157" s="867"/>
      <c r="C157" s="868"/>
      <c r="D157" s="117" t="s">
        <v>130</v>
      </c>
      <c r="E157" s="374">
        <f>'12'!F157</f>
        <v>2573</v>
      </c>
      <c r="F157" s="155">
        <v>2647</v>
      </c>
      <c r="G157" s="112">
        <f t="shared" si="12"/>
        <v>74</v>
      </c>
      <c r="H157" s="99">
        <f>G157+'12'!H157</f>
        <v>755</v>
      </c>
      <c r="I157" s="165"/>
      <c r="J157" s="328">
        <f>H157/DAY(B2)</f>
        <v>58.07692307692308</v>
      </c>
    </row>
    <row r="158" spans="1:10" ht="27.75" customHeight="1">
      <c r="A158" s="866" t="s">
        <v>360</v>
      </c>
      <c r="B158" s="867"/>
      <c r="C158" s="868"/>
      <c r="D158" s="117" t="s">
        <v>130</v>
      </c>
      <c r="E158" s="374">
        <f>'12'!F158</f>
        <v>1788</v>
      </c>
      <c r="F158" s="155">
        <v>1788</v>
      </c>
      <c r="G158" s="112">
        <f t="shared" si="12"/>
        <v>0</v>
      </c>
      <c r="H158" s="99">
        <f>G158+'12'!H158</f>
        <v>5</v>
      </c>
      <c r="I158" s="165"/>
      <c r="J158" s="328">
        <f>H158/DAY(B2)</f>
        <v>0.38461538461538464</v>
      </c>
    </row>
    <row r="159" spans="1:10" ht="27.75" customHeight="1">
      <c r="A159" s="946"/>
      <c r="B159" s="947"/>
      <c r="C159" s="948"/>
      <c r="D159" s="117"/>
      <c r="E159" s="95"/>
      <c r="F159" s="165"/>
      <c r="G159" s="362">
        <f>SUM(G155:G158)</f>
        <v>699.15000000000146</v>
      </c>
      <c r="H159" s="99"/>
      <c r="I159" s="165"/>
      <c r="J159" s="328"/>
    </row>
    <row r="160" spans="1:10" ht="27.7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514189.1</v>
      </c>
      <c r="F161" s="235">
        <v>514367.04</v>
      </c>
      <c r="G161" s="238">
        <f t="shared" ref="G161:G165" si="13">F161-E161</f>
        <v>177.94000000000233</v>
      </c>
      <c r="H161" s="99">
        <f>G161+'12'!H161</f>
        <v>1922.039999999979</v>
      </c>
      <c r="I161" s="236"/>
      <c r="J161" s="239">
        <f>H161/DAY(B2)</f>
        <v>147.84923076922917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2239.5</v>
      </c>
      <c r="F162" s="235">
        <v>2295.3000000000002</v>
      </c>
      <c r="G162" s="238">
        <f t="shared" si="13"/>
        <v>55.800000000000182</v>
      </c>
      <c r="H162" s="99">
        <f>G162+'12'!H162</f>
        <v>508.30000000000018</v>
      </c>
      <c r="I162" s="236"/>
      <c r="J162" s="239">
        <f>H162/DAY(B2)</f>
        <v>39.100000000000016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0</v>
      </c>
      <c r="F163" s="235">
        <v>0</v>
      </c>
      <c r="G163" s="238">
        <f t="shared" si="13"/>
        <v>0</v>
      </c>
      <c r="H163" s="99">
        <f>G163+'12'!H163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7374.8</v>
      </c>
      <c r="F164" s="235">
        <v>7376.1</v>
      </c>
      <c r="G164" s="238">
        <f t="shared" si="13"/>
        <v>1.3000000000001819</v>
      </c>
      <c r="H164" s="99">
        <f>G164+'12'!H164</f>
        <v>39.100000000000364</v>
      </c>
      <c r="I164" s="236"/>
      <c r="J164" s="239">
        <f>H164/DAY(B2)</f>
        <v>3.0076923076923356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33055</v>
      </c>
      <c r="F165" s="235">
        <v>33063.976999999999</v>
      </c>
      <c r="G165" s="238">
        <f t="shared" si="13"/>
        <v>8.9769999999989523</v>
      </c>
      <c r="H165" s="99">
        <f>G165+'12'!H165</f>
        <v>89.457000000002154</v>
      </c>
      <c r="I165" s="236"/>
      <c r="J165" s="239">
        <f>H165/DAY(B2)</f>
        <v>6.8813076923078578</v>
      </c>
    </row>
    <row r="166" spans="1:10" ht="27.75" customHeight="1">
      <c r="A166" s="872"/>
      <c r="B166" s="87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72"/>
      <c r="B167" s="87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72"/>
      <c r="B168" s="87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7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90" t="s">
        <v>209</v>
      </c>
      <c r="B173" s="791"/>
      <c r="C173" s="333"/>
      <c r="D173" s="228" t="s">
        <v>142</v>
      </c>
      <c r="E173" s="95">
        <f>'12'!F173</f>
        <v>8626</v>
      </c>
      <c r="F173" s="155">
        <v>8630</v>
      </c>
      <c r="G173" s="155">
        <f>F173-E173</f>
        <v>4</v>
      </c>
      <c r="H173" s="99">
        <f>G173+'12'!H173</f>
        <v>18</v>
      </c>
      <c r="I173" s="155"/>
      <c r="J173" s="178">
        <f>H173/DAY(B2)</f>
        <v>1.3846153846153846</v>
      </c>
    </row>
    <row r="174" spans="1:10" ht="27.75" customHeight="1">
      <c r="A174" s="790" t="s">
        <v>75</v>
      </c>
      <c r="B174" s="791"/>
      <c r="C174" s="333"/>
      <c r="D174" s="228" t="s">
        <v>142</v>
      </c>
      <c r="E174" s="95">
        <f>'12'!F174</f>
        <v>43534</v>
      </c>
      <c r="F174" s="157">
        <v>43534</v>
      </c>
      <c r="G174" s="155">
        <f t="shared" ref="G174:G175" si="14">F174-E174</f>
        <v>0</v>
      </c>
      <c r="H174" s="99">
        <f>G174+'12'!H174</f>
        <v>120</v>
      </c>
      <c r="I174" s="155"/>
      <c r="J174" s="178">
        <f>H174/DAY(B2)</f>
        <v>9.2307692307692299</v>
      </c>
    </row>
    <row r="175" spans="1:10" ht="27.75" customHeight="1">
      <c r="A175" s="790" t="s">
        <v>76</v>
      </c>
      <c r="B175" s="803"/>
      <c r="C175" s="791"/>
      <c r="D175" s="228" t="s">
        <v>142</v>
      </c>
      <c r="E175" s="95">
        <f>'12'!F175</f>
        <v>26450</v>
      </c>
      <c r="F175" s="155">
        <v>26459</v>
      </c>
      <c r="G175" s="155">
        <f t="shared" si="14"/>
        <v>9</v>
      </c>
      <c r="H175" s="99">
        <f>G175+'12'!H175</f>
        <v>172</v>
      </c>
      <c r="I175" s="155"/>
      <c r="J175" s="178">
        <f>H175/DAY(B2)</f>
        <v>13.23076923076923</v>
      </c>
    </row>
    <row r="176" spans="1:10" ht="27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13</v>
      </c>
      <c r="H176" s="99">
        <f>G176+'12'!H176</f>
        <v>310</v>
      </c>
      <c r="I176" s="155"/>
      <c r="J176" s="178">
        <f>H176/DAY(B2)</f>
        <v>23.846153846153847</v>
      </c>
    </row>
    <row r="177" spans="1:15" ht="27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790" t="s">
        <v>210</v>
      </c>
      <c r="B178" s="791"/>
      <c r="C178" s="333"/>
      <c r="D178" s="228" t="s">
        <v>142</v>
      </c>
      <c r="E178" s="95">
        <f>'12'!F178</f>
        <v>111670</v>
      </c>
      <c r="F178" s="155">
        <v>111748</v>
      </c>
      <c r="G178" s="155">
        <f>F178-E178</f>
        <v>78</v>
      </c>
      <c r="H178" s="99">
        <f>G178+'12'!H178</f>
        <v>1357</v>
      </c>
      <c r="I178" s="155"/>
      <c r="J178" s="178">
        <f>H178/DAY(B2)</f>
        <v>104.38461538461539</v>
      </c>
    </row>
    <row r="179" spans="1:15" ht="27.75" customHeight="1">
      <c r="A179" s="790" t="s">
        <v>211</v>
      </c>
      <c r="B179" s="791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790" t="s">
        <v>212</v>
      </c>
      <c r="B180" s="791"/>
      <c r="C180" s="333"/>
      <c r="D180" s="228" t="s">
        <v>142</v>
      </c>
      <c r="E180" s="95">
        <f>'12'!F180</f>
        <v>7748</v>
      </c>
      <c r="F180" s="155">
        <v>7748</v>
      </c>
      <c r="G180" s="155">
        <f t="shared" si="15"/>
        <v>0</v>
      </c>
      <c r="H180" s="99">
        <f>G180+'12'!H180</f>
        <v>47</v>
      </c>
      <c r="I180" s="155"/>
      <c r="J180" s="178">
        <f>H180/DAY(B2)</f>
        <v>3.6153846153846154</v>
      </c>
    </row>
    <row r="181" spans="1:15" ht="27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78</v>
      </c>
      <c r="H181" s="99">
        <f>G181+'12'!H181</f>
        <v>1404</v>
      </c>
      <c r="I181" s="155"/>
      <c r="J181" s="178">
        <f>H181/DAY(B2)</f>
        <v>108</v>
      </c>
    </row>
    <row r="182" spans="1:15" ht="27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790" t="s">
        <v>214</v>
      </c>
      <c r="B183" s="791"/>
      <c r="C183" s="334"/>
      <c r="D183" s="228" t="s">
        <v>142</v>
      </c>
      <c r="E183" s="95">
        <f>'12'!F183</f>
        <v>18758</v>
      </c>
      <c r="F183" s="157">
        <v>18764</v>
      </c>
      <c r="G183" s="157">
        <f>F183-E183</f>
        <v>6</v>
      </c>
      <c r="H183" s="99">
        <f>G183+'12'!H183</f>
        <v>72</v>
      </c>
      <c r="I183" s="155"/>
      <c r="J183" s="178">
        <f>H183/DAY(B2)</f>
        <v>5.5384615384615383</v>
      </c>
    </row>
    <row r="184" spans="1:15" ht="27.75" customHeight="1">
      <c r="A184" s="790" t="s">
        <v>215</v>
      </c>
      <c r="B184" s="791"/>
      <c r="C184" s="334"/>
      <c r="D184" s="228" t="s">
        <v>142</v>
      </c>
      <c r="E184" s="95">
        <f>'12'!F184</f>
        <v>13333</v>
      </c>
      <c r="F184" s="157">
        <v>13344</v>
      </c>
      <c r="G184" s="157">
        <f t="shared" ref="G184:G185" si="16">F184-E184</f>
        <v>11</v>
      </c>
      <c r="H184" s="99">
        <f>G184+'12'!H184</f>
        <v>98</v>
      </c>
      <c r="I184" s="155"/>
      <c r="J184" s="178">
        <f>H184/DAY(B2)</f>
        <v>7.5384615384615383</v>
      </c>
      <c r="O184" s="65" t="s">
        <v>361</v>
      </c>
    </row>
    <row r="185" spans="1:15" ht="27.75" customHeight="1">
      <c r="A185" s="790" t="s">
        <v>216</v>
      </c>
      <c r="B185" s="791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17</v>
      </c>
      <c r="H186" s="99">
        <f>G186+'12'!H186</f>
        <v>170</v>
      </c>
      <c r="I186" s="157"/>
      <c r="J186" s="178">
        <f>H186/DAY(B2)</f>
        <v>13.076923076923077</v>
      </c>
    </row>
    <row r="187" spans="1:15" ht="27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64</v>
      </c>
      <c r="H187" s="99">
        <f>G187+'12'!H187</f>
        <v>1764</v>
      </c>
      <c r="I187" s="158"/>
      <c r="J187" s="179">
        <f>H187/DAY(B2)</f>
        <v>135.69230769230768</v>
      </c>
    </row>
    <row r="188" spans="1:15" ht="27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142</v>
      </c>
      <c r="H188" s="99">
        <f>G188+'12'!H188</f>
        <v>2290</v>
      </c>
      <c r="I188" s="158"/>
      <c r="J188" s="179">
        <f>H188/DAY(B2)</f>
        <v>176.15384615384616</v>
      </c>
    </row>
    <row r="189" spans="1:15" ht="27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78</v>
      </c>
      <c r="H189" s="99">
        <f>G189+'12'!H189</f>
        <v>1404</v>
      </c>
      <c r="I189" s="158"/>
      <c r="J189" s="179">
        <f>H189/DAY(B2)</f>
        <v>108</v>
      </c>
    </row>
    <row r="190" spans="1:15" ht="27.75" customHeight="1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KS190"/>
  <sheetViews>
    <sheetView view="pageBreakPreview" zoomScale="53" zoomScaleSheetLayoutView="53" workbookViewId="0">
      <selection activeCell="Q27" sqref="Q27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7.75" customHeight="1">
      <c r="A2" s="191" t="s">
        <v>371</v>
      </c>
      <c r="B2" s="262">
        <v>44971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909065.99</v>
      </c>
      <c r="F7" s="95">
        <v>930753.93</v>
      </c>
      <c r="G7" s="112">
        <f>F7-E7</f>
        <v>21687.940000000061</v>
      </c>
      <c r="H7" s="99">
        <f>G7+'13'!H7</f>
        <v>307954.93000000005</v>
      </c>
      <c r="I7" s="113">
        <f>'1'!I7</f>
        <v>12000</v>
      </c>
      <c r="J7" s="175">
        <f>H7/DAY(B2)</f>
        <v>21996.780714285716</v>
      </c>
      <c r="K7" s="172">
        <v>1375467</v>
      </c>
      <c r="L7" s="66"/>
      <c r="N7" s="87">
        <f>G8-G7</f>
        <v>423.66999999994005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108947.69</v>
      </c>
      <c r="F8" s="114">
        <v>131059.3</v>
      </c>
      <c r="G8" s="115">
        <f>F8-E8</f>
        <v>22111.61</v>
      </c>
      <c r="H8" s="99">
        <f>G8+'13'!H8</f>
        <v>314949.30000000005</v>
      </c>
      <c r="I8" s="116"/>
      <c r="J8" s="175">
        <f>H8/DAY(B2)</f>
        <v>22496.378571428573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4988165.9000000004</v>
      </c>
      <c r="F9" s="468">
        <v>4999612</v>
      </c>
      <c r="G9" s="112">
        <f>F9-E9</f>
        <v>11446.099999999627</v>
      </c>
      <c r="H9" s="99">
        <f>G9+'13'!H9</f>
        <v>174513</v>
      </c>
      <c r="I9" s="124">
        <f>I7-J7</f>
        <v>-9996.7807142857164</v>
      </c>
      <c r="J9" s="175">
        <f>H9/DAY(B2)</f>
        <v>12465.214285714286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4406236</v>
      </c>
      <c r="F10" s="353">
        <v>4415900.7</v>
      </c>
      <c r="G10" s="112">
        <f t="shared" ref="G10:G12" si="0">F10-E10</f>
        <v>9664.7000000001863</v>
      </c>
      <c r="H10" s="99">
        <f>G10+'13'!H10</f>
        <v>125366.70000000019</v>
      </c>
      <c r="I10" s="282"/>
      <c r="J10" s="175">
        <f>H10/DAY(B2)</f>
        <v>8954.7642857142982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38700</v>
      </c>
      <c r="F11" s="95">
        <v>38700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40550</v>
      </c>
      <c r="F12" s="117">
        <v>40550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21110.799999999814</v>
      </c>
      <c r="H13" s="99">
        <f>G13+'13'!H13</f>
        <v>299879.70000000019</v>
      </c>
      <c r="I13" s="120">
        <f>G7-G13</f>
        <v>577.1400000002468</v>
      </c>
      <c r="J13" s="175">
        <f>H13/DAY(B2)</f>
        <v>21419.978571428586</v>
      </c>
      <c r="K13" s="79"/>
      <c r="L13" s="66"/>
      <c r="N13" s="87"/>
      <c r="O13" s="71"/>
    </row>
    <row r="14" spans="1:15" ht="27.7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'13'!F15</f>
        <v>2302364.0236</v>
      </c>
      <c r="F15" s="468">
        <v>2303188</v>
      </c>
      <c r="G15" s="112">
        <f>(F15-E15)</f>
        <v>823.97640000004321</v>
      </c>
      <c r="H15" s="99">
        <f>G15+'13'!H15</f>
        <v>14714.285000000149</v>
      </c>
      <c r="I15" s="113">
        <f>'1'!I15</f>
        <v>800</v>
      </c>
      <c r="J15" s="175">
        <f>H15/DAY(B2)</f>
        <v>1051.0203571428679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-251.02035714286785</v>
      </c>
      <c r="J16" s="176"/>
      <c r="K16" s="79"/>
      <c r="L16" s="66"/>
      <c r="N16" s="87"/>
      <c r="O16" s="71"/>
    </row>
    <row r="17" spans="1:15" ht="27.7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4" t="s">
        <v>141</v>
      </c>
      <c r="B18" s="905"/>
      <c r="C18" s="906"/>
      <c r="D18" s="151" t="s">
        <v>142</v>
      </c>
      <c r="E18" s="95">
        <f>'13'!F18</f>
        <v>0</v>
      </c>
      <c r="F18" s="122">
        <v>11</v>
      </c>
      <c r="G18" s="119">
        <f>F18*10</f>
        <v>110</v>
      </c>
      <c r="H18" s="99">
        <f>G18+'13'!H18</f>
        <v>2000</v>
      </c>
      <c r="I18" s="113">
        <f>'1'!I18</f>
        <v>65</v>
      </c>
      <c r="J18" s="175">
        <f>H18/DAY(B2)</f>
        <v>142.85714285714286</v>
      </c>
      <c r="K18" s="79"/>
      <c r="L18" s="66"/>
      <c r="N18" s="87"/>
      <c r="O18" s="71"/>
    </row>
    <row r="19" spans="1:15" ht="27.75" customHeight="1">
      <c r="A19" s="904" t="s">
        <v>69</v>
      </c>
      <c r="B19" s="905"/>
      <c r="C19" s="906"/>
      <c r="D19" s="151" t="s">
        <v>142</v>
      </c>
      <c r="E19" s="95">
        <f>'13'!F19</f>
        <v>172021</v>
      </c>
      <c r="F19" s="122">
        <v>172085</v>
      </c>
      <c r="G19" s="112">
        <f t="shared" ref="G19" si="1">F19-E19</f>
        <v>64</v>
      </c>
      <c r="H19" s="99">
        <f>G19+'13'!H19</f>
        <v>762</v>
      </c>
      <c r="I19" s="335"/>
      <c r="J19" s="175">
        <f>H19/DAY(B2)</f>
        <v>54.428571428571431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174</v>
      </c>
      <c r="H20" s="99">
        <f>G20+'13'!H20</f>
        <v>2762</v>
      </c>
      <c r="I20" s="336">
        <f>I18-J20</f>
        <v>-132.28571428571428</v>
      </c>
      <c r="J20" s="175">
        <f>H20/DAY(B2)</f>
        <v>197.28571428571428</v>
      </c>
      <c r="K20" s="79"/>
      <c r="L20" s="66"/>
      <c r="N20" s="87"/>
      <c r="O20" s="71"/>
    </row>
    <row r="21" spans="1:15" ht="27.7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v>1960</v>
      </c>
      <c r="F23" s="122">
        <v>1960</v>
      </c>
      <c r="G23" s="112">
        <f t="shared" ref="G23" si="3">F23-E23</f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4930</v>
      </c>
      <c r="F24" s="128">
        <f>SUM(F22:F23)</f>
        <v>4930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22111.61</v>
      </c>
      <c r="F27" s="136">
        <v>10</v>
      </c>
      <c r="G27" s="137">
        <f>E27*F27</f>
        <v>221116.1</v>
      </c>
      <c r="H27" s="99">
        <f>G27+'13'!H27</f>
        <v>3149493.0000000005</v>
      </c>
      <c r="I27" s="138"/>
      <c r="J27" s="175">
        <f>H27/DAY(B2)</f>
        <v>224963.78571428574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823.97640000004321</v>
      </c>
      <c r="F28" s="136">
        <v>63</v>
      </c>
      <c r="G28" s="137">
        <f>E28*F28</f>
        <v>51910.513200002722</v>
      </c>
      <c r="H28" s="99">
        <f>G28+'13'!H28</f>
        <v>943921.41000001039</v>
      </c>
      <c r="I28" s="140"/>
      <c r="J28" s="175">
        <f>H28/DAY(B2)</f>
        <v>67422.9578571436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100</v>
      </c>
      <c r="F29" s="136">
        <v>69</v>
      </c>
      <c r="G29" s="137">
        <f>E29*F29</f>
        <v>6900</v>
      </c>
      <c r="H29" s="99">
        <f>G29+'13'!H29</f>
        <v>6900</v>
      </c>
      <c r="I29" s="140"/>
      <c r="J29" s="175">
        <f>H29/DAY(B2)</f>
        <v>492.85714285714283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64</v>
      </c>
      <c r="F30" s="136">
        <v>155</v>
      </c>
      <c r="G30" s="137">
        <f>E30*F30</f>
        <v>9920</v>
      </c>
      <c r="H30" s="99">
        <f>G30+'13'!H30</f>
        <v>117010</v>
      </c>
      <c r="I30" s="140"/>
      <c r="J30" s="175">
        <f>H30/DAY(B2)</f>
        <v>8357.8571428571431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88</v>
      </c>
      <c r="G31" s="137">
        <f>E31*F31</f>
        <v>9680</v>
      </c>
      <c r="H31" s="99">
        <f>G31+'13'!H31</f>
        <v>172880</v>
      </c>
      <c r="I31" s="140"/>
      <c r="J31" s="175">
        <f>H31/DAY(B2)</f>
        <v>12348.571428571429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299526.6132000027</v>
      </c>
      <c r="H32" s="99">
        <f>G32+'13'!H32</f>
        <v>4390204.4100000104</v>
      </c>
      <c r="I32" s="144"/>
      <c r="J32" s="175">
        <f>H32/DAY(B2)</f>
        <v>313586.02928571502</v>
      </c>
      <c r="K32" s="63"/>
      <c r="L32" s="89"/>
      <c r="N32" s="87"/>
      <c r="O32" s="71"/>
    </row>
    <row r="33" spans="1:15" ht="27.7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563338.27</v>
      </c>
      <c r="F35" s="145">
        <v>565968</v>
      </c>
      <c r="G35" s="112">
        <f t="shared" ref="G35:G46" si="4">F35-E35</f>
        <v>2629.7299999999814</v>
      </c>
      <c r="H35" s="99">
        <f>G35+'13'!H35</f>
        <v>35912</v>
      </c>
      <c r="I35" s="95"/>
      <c r="J35" s="175">
        <f>H35/DAY(B2)</f>
        <v>2565.1428571428573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394684</v>
      </c>
      <c r="F36" s="145">
        <v>395632.87</v>
      </c>
      <c r="G36" s="112">
        <f t="shared" si="4"/>
        <v>948.86999999999534</v>
      </c>
      <c r="H36" s="99">
        <f>G36+'13'!H36</f>
        <v>13811.869999999995</v>
      </c>
      <c r="I36" s="95"/>
      <c r="J36" s="175">
        <f>H36/DAY(B2)</f>
        <v>986.56214285714248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402338</v>
      </c>
      <c r="F37" s="145">
        <v>403707.31</v>
      </c>
      <c r="G37" s="112">
        <f t="shared" si="4"/>
        <v>1369.3099999999977</v>
      </c>
      <c r="H37" s="99">
        <f>G37+'13'!H37</f>
        <v>20088.309999999998</v>
      </c>
      <c r="I37" s="95"/>
      <c r="J37" s="175">
        <f>H37/DAY(B2)</f>
        <v>1434.8792857142855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910973.43</v>
      </c>
      <c r="F38" s="108">
        <v>913335.35</v>
      </c>
      <c r="G38" s="112">
        <f t="shared" si="4"/>
        <v>2361.9199999999255</v>
      </c>
      <c r="H38" s="99">
        <f>G38+'13'!H38</f>
        <v>36208.349999999977</v>
      </c>
      <c r="I38" s="95"/>
      <c r="J38" s="175">
        <f>H38/DAY(B2)</f>
        <v>2586.3107142857125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742876.23</v>
      </c>
      <c r="F39" s="145">
        <v>745635.75</v>
      </c>
      <c r="G39" s="112">
        <f t="shared" si="4"/>
        <v>2759.5200000000186</v>
      </c>
      <c r="H39" s="99">
        <f>G39+'13'!H39</f>
        <v>39499.75</v>
      </c>
      <c r="I39" s="95"/>
      <c r="J39" s="175">
        <f>H39/DAY(B2)</f>
        <v>2821.4107142857142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221159.65</v>
      </c>
      <c r="F40" s="145">
        <v>221361.31</v>
      </c>
      <c r="G40" s="112">
        <f t="shared" si="4"/>
        <v>201.66000000000349</v>
      </c>
      <c r="H40" s="99">
        <f>G40+'13'!H40</f>
        <v>3569.3099999999977</v>
      </c>
      <c r="I40" s="95"/>
      <c r="J40" s="175">
        <f>H40/DAY(B2)</f>
        <v>254.95071428571413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420212.51</v>
      </c>
      <c r="F41" s="145">
        <v>420212.51</v>
      </c>
      <c r="G41" s="112">
        <f t="shared" si="4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982309.59</v>
      </c>
      <c r="F42" s="145">
        <v>982309.59</v>
      </c>
      <c r="G42" s="112">
        <f t="shared" si="4"/>
        <v>0</v>
      </c>
      <c r="H42" s="99">
        <f>G42+'13'!H42</f>
        <v>9246.9599999999627</v>
      </c>
      <c r="I42" s="95"/>
      <c r="J42" s="175">
        <f>H42/DAY(B2)</f>
        <v>660.49714285714015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422444</v>
      </c>
      <c r="F43" s="145">
        <v>422444</v>
      </c>
      <c r="G43" s="112">
        <f t="shared" si="4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4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4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4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10271.009999999922</v>
      </c>
      <c r="H47" s="99">
        <f>G47+'13'!H47</f>
        <v>158336.54999999993</v>
      </c>
      <c r="I47" s="95"/>
      <c r="J47" s="175">
        <f>H47/DAY(B2)</f>
        <v>11309.753571428566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829910</v>
      </c>
      <c r="F49" s="145">
        <v>830454</v>
      </c>
      <c r="G49" s="112">
        <f t="shared" ref="G49:G58" si="5">F49-E49</f>
        <v>544</v>
      </c>
      <c r="H49" s="99">
        <f>G49+'13'!H49</f>
        <v>7542</v>
      </c>
      <c r="I49" s="95"/>
      <c r="J49" s="175">
        <f>H49/DAY(B2)</f>
        <v>538.71428571428567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559612.94999999995</v>
      </c>
      <c r="F50" s="145">
        <v>561250.67000000004</v>
      </c>
      <c r="G50" s="112">
        <f t="shared" si="5"/>
        <v>1637.7200000000885</v>
      </c>
      <c r="H50" s="99">
        <f>G50+'13'!H50</f>
        <v>19276.670000000042</v>
      </c>
      <c r="I50" s="95"/>
      <c r="J50" s="175">
        <f>H50/DAY(B2)</f>
        <v>1376.9050000000029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156958</v>
      </c>
      <c r="F51" s="145">
        <v>156958.44</v>
      </c>
      <c r="G51" s="112">
        <f t="shared" si="5"/>
        <v>0.44000000000232831</v>
      </c>
      <c r="H51" s="99">
        <f>G51+'13'!H51</f>
        <v>0.44000000000232831</v>
      </c>
      <c r="I51" s="95"/>
      <c r="J51" s="175">
        <f>H51/DAY(B2)</f>
        <v>3.1428571428737735E-2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1457.43</v>
      </c>
      <c r="F52" s="145">
        <v>1457</v>
      </c>
      <c r="G52" s="112">
        <f t="shared" si="5"/>
        <v>-0.43000000000006366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630355</v>
      </c>
      <c r="F53" s="145">
        <v>630355.03</v>
      </c>
      <c r="G53" s="112">
        <f t="shared" si="5"/>
        <v>3.0000000027939677E-2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128306.6</v>
      </c>
      <c r="F54" s="145">
        <v>128587.92</v>
      </c>
      <c r="G54" s="112">
        <f t="shared" si="5"/>
        <v>281.31999999999243</v>
      </c>
      <c r="H54" s="99">
        <f>G54+'13'!H54</f>
        <v>4473.7099999999919</v>
      </c>
      <c r="I54" s="95"/>
      <c r="J54" s="175">
        <f>H54/DAY(B2)</f>
        <v>319.5507142857137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599055.99</v>
      </c>
      <c r="F55" s="145">
        <v>602597</v>
      </c>
      <c r="G55" s="112">
        <f t="shared" si="5"/>
        <v>3541.0100000000093</v>
      </c>
      <c r="H55" s="99">
        <f>G55+'13'!H55</f>
        <v>8292.25</v>
      </c>
      <c r="I55" s="95"/>
      <c r="J55" s="175">
        <f>H55/DAY(B2)</f>
        <v>592.30357142857144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405435.55</v>
      </c>
      <c r="F56" s="145">
        <v>405435.55</v>
      </c>
      <c r="G56" s="112">
        <f t="shared" si="5"/>
        <v>0</v>
      </c>
      <c r="H56" s="99">
        <f>G56+'13'!H56</f>
        <v>32315.549999999988</v>
      </c>
      <c r="I56" s="95"/>
      <c r="J56" s="175">
        <f>H56/DAY(B2)</f>
        <v>2308.2535714285705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741393.67</v>
      </c>
      <c r="F57" s="145">
        <v>743987.75</v>
      </c>
      <c r="G57" s="112">
        <f t="shared" si="5"/>
        <v>2594.0799999999581</v>
      </c>
      <c r="H57" s="99">
        <f>G57+'13'!H57</f>
        <v>36289.75</v>
      </c>
      <c r="I57" s="95"/>
      <c r="J57" s="175">
        <f>H57/DAY(B2)</f>
        <v>2592.125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97542</v>
      </c>
      <c r="F58" s="145">
        <v>97597.59</v>
      </c>
      <c r="G58" s="112">
        <f t="shared" si="5"/>
        <v>55.589999999996508</v>
      </c>
      <c r="H58" s="99">
        <f>G58+'13'!H58</f>
        <v>3027.7699999999895</v>
      </c>
      <c r="I58" s="95"/>
      <c r="J58" s="175">
        <f>H58/DAY(B2)</f>
        <v>216.26928571428496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8653.7600000000748</v>
      </c>
      <c r="H59" s="99">
        <f>G59+'13'!H59</f>
        <v>111218.14000000001</v>
      </c>
      <c r="I59" s="95">
        <f>G7-G60</f>
        <v>2763.1700000000637</v>
      </c>
      <c r="J59" s="175">
        <f>H59/DAY(B2)</f>
        <v>7944.152857142858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18924.769999999997</v>
      </c>
      <c r="H60" s="99">
        <f>G60+'13'!H60</f>
        <v>269554.69</v>
      </c>
      <c r="I60" s="95">
        <f>G13-G60</f>
        <v>2186.0299999998169</v>
      </c>
      <c r="J60" s="175">
        <f>H60/DAY(B2)</f>
        <v>19253.90642857143</v>
      </c>
      <c r="K60" s="79"/>
      <c r="L60" s="66"/>
      <c r="N60" s="87"/>
      <c r="O60" s="71"/>
    </row>
    <row r="61" spans="1:15" s="68" customFormat="1" ht="27.75" customHeight="1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4" t="s">
        <v>198</v>
      </c>
      <c r="B62" s="905"/>
      <c r="C62" s="906"/>
      <c r="D62" s="151" t="s">
        <v>142</v>
      </c>
      <c r="E62" s="95">
        <f>'13'!F62</f>
        <v>316743</v>
      </c>
      <c r="F62" s="122">
        <v>316743</v>
      </c>
      <c r="G62" s="112">
        <f t="shared" ref="G62:G63" si="6">F62-E62</f>
        <v>0</v>
      </c>
      <c r="H62" s="99">
        <f>G62+'13'!H62</f>
        <v>1066</v>
      </c>
      <c r="I62" s="118"/>
      <c r="J62" s="175">
        <f>H62/DAY(B2)</f>
        <v>76.142857142857139</v>
      </c>
      <c r="K62" s="80"/>
      <c r="L62" s="66"/>
      <c r="N62" s="87"/>
      <c r="O62" s="71"/>
    </row>
    <row r="63" spans="1:15" ht="27.75" customHeight="1">
      <c r="A63" s="904" t="s">
        <v>199</v>
      </c>
      <c r="B63" s="905"/>
      <c r="C63" s="906"/>
      <c r="D63" s="151" t="s">
        <v>142</v>
      </c>
      <c r="E63" s="95">
        <f>'13'!F63</f>
        <v>253440</v>
      </c>
      <c r="F63" s="122">
        <v>253542</v>
      </c>
      <c r="G63" s="112">
        <f t="shared" si="6"/>
        <v>102</v>
      </c>
      <c r="H63" s="99">
        <f>G63+'13'!H63</f>
        <v>1218</v>
      </c>
      <c r="I63" s="118"/>
      <c r="J63" s="175">
        <f>H63/DAY(B2)</f>
        <v>87</v>
      </c>
      <c r="K63" s="69"/>
      <c r="L63" s="66"/>
      <c r="N63" s="87"/>
      <c r="O63" s="71"/>
    </row>
    <row r="64" spans="1:15" ht="27.75" customHeight="1">
      <c r="A64" s="913" t="s">
        <v>200</v>
      </c>
      <c r="B64" s="914"/>
      <c r="C64" s="915"/>
      <c r="D64" s="151"/>
      <c r="E64" s="95">
        <f>'13'!F64</f>
        <v>0</v>
      </c>
      <c r="F64" s="122"/>
      <c r="G64" s="112">
        <f>G62+G63</f>
        <v>102</v>
      </c>
      <c r="H64" s="99">
        <f>G64+'13'!H64</f>
        <v>2284</v>
      </c>
      <c r="I64" s="118"/>
      <c r="J64" s="175">
        <f>H64/DAY(B2)</f>
        <v>163.14285714285714</v>
      </c>
      <c r="K64" s="69"/>
      <c r="L64" s="66"/>
      <c r="N64" s="87"/>
      <c r="O64" s="71"/>
    </row>
    <row r="65" spans="1:981" ht="27.75" customHeight="1">
      <c r="A65" s="904" t="s">
        <v>201</v>
      </c>
      <c r="B65" s="905"/>
      <c r="C65" s="906"/>
      <c r="D65" s="151" t="s">
        <v>142</v>
      </c>
      <c r="E65" s="95">
        <f>'13'!F65</f>
        <v>477520</v>
      </c>
      <c r="F65" s="122">
        <v>477619</v>
      </c>
      <c r="G65" s="112">
        <f t="shared" ref="G65:G70" si="7">F65-E65</f>
        <v>99</v>
      </c>
      <c r="H65" s="99">
        <f>G65+'13'!H65</f>
        <v>1716</v>
      </c>
      <c r="I65" s="118"/>
      <c r="J65" s="175">
        <f>H65/DAY(B2)</f>
        <v>122.57142857142857</v>
      </c>
      <c r="K65" s="69"/>
      <c r="L65" s="66"/>
      <c r="N65" s="87"/>
      <c r="O65" s="71"/>
    </row>
    <row r="66" spans="1:981" ht="27.75" customHeight="1">
      <c r="A66" s="345" t="s">
        <v>202</v>
      </c>
      <c r="B66" s="346"/>
      <c r="C66" s="346"/>
      <c r="D66" s="151" t="s">
        <v>142</v>
      </c>
      <c r="E66" s="95">
        <f>'13'!F66</f>
        <v>114669</v>
      </c>
      <c r="F66" s="122">
        <v>114681</v>
      </c>
      <c r="G66" s="112">
        <f t="shared" si="7"/>
        <v>12</v>
      </c>
      <c r="H66" s="99">
        <f>G66+'13'!H66</f>
        <v>215</v>
      </c>
      <c r="I66" s="118"/>
      <c r="J66" s="175">
        <f>H66/DAY(B2)</f>
        <v>15.357142857142858</v>
      </c>
      <c r="K66" s="78"/>
      <c r="L66" s="66"/>
      <c r="N66" s="87"/>
      <c r="O66" s="71"/>
    </row>
    <row r="67" spans="1:981" ht="27.75" customHeight="1">
      <c r="A67" s="345" t="s">
        <v>203</v>
      </c>
      <c r="B67" s="346"/>
      <c r="C67" s="346"/>
      <c r="D67" s="151" t="s">
        <v>142</v>
      </c>
      <c r="E67" s="95">
        <f>'13'!F67</f>
        <v>117601</v>
      </c>
      <c r="F67" s="122">
        <v>117641</v>
      </c>
      <c r="G67" s="112">
        <f t="shared" si="7"/>
        <v>40</v>
      </c>
      <c r="H67" s="99">
        <f>G67+'13'!H67</f>
        <v>359</v>
      </c>
      <c r="I67" s="118"/>
      <c r="J67" s="175">
        <f>H67/DAY(B2)</f>
        <v>25.642857142857142</v>
      </c>
      <c r="K67" s="81"/>
      <c r="L67" s="66"/>
      <c r="N67" s="87"/>
      <c r="O67" s="71"/>
    </row>
    <row r="68" spans="1:981" ht="27.75" customHeight="1">
      <c r="A68" s="345" t="s">
        <v>204</v>
      </c>
      <c r="B68" s="346"/>
      <c r="C68" s="346"/>
      <c r="D68" s="151" t="s">
        <v>142</v>
      </c>
      <c r="E68" s="95">
        <f>'13'!F68</f>
        <v>170177</v>
      </c>
      <c r="F68" s="122">
        <v>170188</v>
      </c>
      <c r="G68" s="112">
        <f t="shared" si="7"/>
        <v>11</v>
      </c>
      <c r="H68" s="99">
        <f>G68+'13'!H68</f>
        <v>238</v>
      </c>
      <c r="I68" s="118"/>
      <c r="J68" s="175">
        <f>H68/DAY(B2)</f>
        <v>17</v>
      </c>
      <c r="K68" s="69"/>
      <c r="L68" s="66"/>
      <c r="N68" s="87"/>
      <c r="O68" s="71"/>
      <c r="AKS68" s="65" t="s">
        <v>379</v>
      </c>
    </row>
    <row r="69" spans="1:981" ht="27.75" customHeight="1">
      <c r="A69" s="345" t="s">
        <v>205</v>
      </c>
      <c r="B69" s="346"/>
      <c r="C69" s="346"/>
      <c r="D69" s="151" t="s">
        <v>142</v>
      </c>
      <c r="E69" s="95">
        <f>'13'!F69</f>
        <v>13270</v>
      </c>
      <c r="F69" s="122">
        <v>13274</v>
      </c>
      <c r="G69" s="112">
        <f t="shared" si="7"/>
        <v>4</v>
      </c>
      <c r="H69" s="99">
        <f>G69+'13'!H69</f>
        <v>62</v>
      </c>
      <c r="I69" s="118"/>
      <c r="J69" s="175">
        <f>H69/DAY(B2)</f>
        <v>4.4285714285714288</v>
      </c>
      <c r="K69" s="69"/>
      <c r="L69" s="66"/>
      <c r="N69" s="87"/>
      <c r="O69" s="71"/>
    </row>
    <row r="70" spans="1:981" ht="27.75" customHeight="1">
      <c r="A70" s="345" t="s">
        <v>206</v>
      </c>
      <c r="B70" s="346"/>
      <c r="C70" s="346"/>
      <c r="D70" s="151" t="s">
        <v>142</v>
      </c>
      <c r="E70" s="95">
        <f>'13'!F70</f>
        <v>11351</v>
      </c>
      <c r="F70" s="122">
        <v>11357</v>
      </c>
      <c r="G70" s="112">
        <f t="shared" si="7"/>
        <v>6</v>
      </c>
      <c r="H70" s="99">
        <f>G70+'13'!H70</f>
        <v>99</v>
      </c>
      <c r="I70" s="118"/>
      <c r="J70" s="175">
        <f>H70/DAY(B2)</f>
        <v>7.0714285714285712</v>
      </c>
      <c r="K70" s="69"/>
      <c r="L70" s="66"/>
      <c r="N70" s="87"/>
      <c r="O70" s="71"/>
    </row>
    <row r="71" spans="1:981" ht="27.75" customHeight="1">
      <c r="A71" s="913" t="s">
        <v>208</v>
      </c>
      <c r="B71" s="914"/>
      <c r="C71" s="915"/>
      <c r="D71" s="152"/>
      <c r="E71" s="152"/>
      <c r="F71" s="152"/>
      <c r="G71" s="153">
        <f>SUM(G65:G70)</f>
        <v>172</v>
      </c>
      <c r="H71" s="99">
        <f>G71+'13'!H71</f>
        <v>2689</v>
      </c>
      <c r="I71" s="154"/>
      <c r="J71" s="175">
        <f>H71/DAY(B2)</f>
        <v>192.07142857142858</v>
      </c>
      <c r="K71" s="69"/>
      <c r="L71" s="66"/>
      <c r="N71" s="87"/>
      <c r="O71" s="71"/>
    </row>
    <row r="72" spans="1:981" s="88" customFormat="1" ht="27.7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981" ht="27.7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981" ht="27.75" customHeight="1">
      <c r="A74" s="904" t="s">
        <v>220</v>
      </c>
      <c r="B74" s="905"/>
      <c r="C74" s="906"/>
      <c r="D74" s="151" t="s">
        <v>139</v>
      </c>
      <c r="E74" s="95">
        <f>'13'!F74</f>
        <v>16356</v>
      </c>
      <c r="F74" s="232">
        <v>16642</v>
      </c>
      <c r="G74" s="112">
        <f t="shared" ref="G74:G78" si="8">F74-E74</f>
        <v>286</v>
      </c>
      <c r="H74" s="99">
        <f>G74+'13'!H74</f>
        <v>4380</v>
      </c>
      <c r="I74" s="154"/>
      <c r="J74" s="175">
        <f>H74/DAY(B2)</f>
        <v>312.85714285714283</v>
      </c>
      <c r="K74" s="69"/>
      <c r="L74" s="66"/>
      <c r="N74" s="87"/>
      <c r="O74" s="71"/>
    </row>
    <row r="75" spans="1:981" ht="27.75" customHeight="1">
      <c r="A75" s="904" t="s">
        <v>221</v>
      </c>
      <c r="B75" s="905"/>
      <c r="C75" s="906"/>
      <c r="D75" s="151" t="s">
        <v>139</v>
      </c>
      <c r="E75" s="95">
        <f>'13'!F75</f>
        <v>73586.600000000006</v>
      </c>
      <c r="F75" s="123">
        <v>73586.600000000006</v>
      </c>
      <c r="G75" s="112">
        <f t="shared" si="8"/>
        <v>0</v>
      </c>
      <c r="H75" s="99">
        <f>G75+'13'!H75</f>
        <v>-0.19999999999708962</v>
      </c>
      <c r="I75" s="154"/>
      <c r="J75" s="175">
        <f>H75/DAY(B2)</f>
        <v>-1.4285714285506401E-2</v>
      </c>
      <c r="K75" s="69"/>
      <c r="L75" s="66"/>
      <c r="N75" s="87"/>
      <c r="O75" s="71"/>
    </row>
    <row r="76" spans="1:981" ht="27.75" customHeight="1">
      <c r="A76" s="901" t="s">
        <v>222</v>
      </c>
      <c r="B76" s="902"/>
      <c r="C76" s="903"/>
      <c r="D76" s="151" t="s">
        <v>139</v>
      </c>
      <c r="E76" s="95">
        <f>'13'!F76</f>
        <v>212113</v>
      </c>
      <c r="F76" s="123">
        <v>212226</v>
      </c>
      <c r="G76" s="112">
        <f t="shared" si="8"/>
        <v>113</v>
      </c>
      <c r="H76" s="99">
        <f>G76+'13'!H76</f>
        <v>1566</v>
      </c>
      <c r="I76" s="154"/>
      <c r="J76" s="175">
        <f>H76/DAY(B2)</f>
        <v>111.85714285714286</v>
      </c>
      <c r="K76" s="69"/>
      <c r="L76" s="66"/>
      <c r="N76" s="87"/>
      <c r="O76" s="71"/>
    </row>
    <row r="77" spans="1:981" ht="27.75" customHeight="1">
      <c r="A77" s="901" t="s">
        <v>223</v>
      </c>
      <c r="B77" s="902"/>
      <c r="C77" s="903"/>
      <c r="D77" s="151" t="s">
        <v>139</v>
      </c>
      <c r="E77" s="95">
        <f>'13'!F77</f>
        <v>60417</v>
      </c>
      <c r="F77" s="123">
        <v>60481</v>
      </c>
      <c r="G77" s="112">
        <f t="shared" si="8"/>
        <v>64</v>
      </c>
      <c r="H77" s="99">
        <f>G77+'13'!H77</f>
        <v>720</v>
      </c>
      <c r="I77" s="154"/>
      <c r="J77" s="175">
        <f>H77/DAY(B2)</f>
        <v>51.428571428571431</v>
      </c>
      <c r="K77" s="69"/>
      <c r="L77" s="66"/>
      <c r="N77" s="87"/>
      <c r="O77" s="71"/>
    </row>
    <row r="78" spans="1:981" ht="27.75" customHeight="1">
      <c r="A78" s="901" t="s">
        <v>224</v>
      </c>
      <c r="B78" s="902"/>
      <c r="C78" s="903"/>
      <c r="D78" s="151" t="s">
        <v>139</v>
      </c>
      <c r="E78" s="123">
        <v>9564</v>
      </c>
      <c r="F78" s="123">
        <v>9564</v>
      </c>
      <c r="G78" s="112">
        <f t="shared" si="8"/>
        <v>0</v>
      </c>
      <c r="H78" s="99">
        <f>G78+'13'!H78</f>
        <v>0.5</v>
      </c>
      <c r="I78" s="118"/>
      <c r="J78" s="175">
        <f>H78/DAY(B2)</f>
        <v>3.5714285714285712E-2</v>
      </c>
      <c r="K78" s="69"/>
      <c r="L78" s="66"/>
      <c r="N78" s="87"/>
      <c r="O78" s="71"/>
    </row>
    <row r="79" spans="1:981" s="57" customFormat="1" ht="27.75" customHeight="1">
      <c r="A79" s="901" t="s">
        <v>225</v>
      </c>
      <c r="B79" s="902"/>
      <c r="C79" s="903"/>
      <c r="D79" s="151"/>
      <c r="E79" s="95">
        <f>'13'!F79</f>
        <v>0</v>
      </c>
      <c r="F79" s="117"/>
      <c r="G79" s="112">
        <f>G15-SUM(G74:G78)</f>
        <v>360.97640000004321</v>
      </c>
      <c r="H79" s="99">
        <f>G79+'13'!H79</f>
        <v>8047.9850000001461</v>
      </c>
      <c r="I79" s="118"/>
      <c r="J79" s="175">
        <f>H79/DAY(B2)</f>
        <v>574.85607142858191</v>
      </c>
      <c r="K79" s="59"/>
      <c r="L79" s="58"/>
      <c r="N79" s="87"/>
      <c r="O79" s="71"/>
    </row>
    <row r="80" spans="1:981" s="57" customFormat="1" ht="27.7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823.97640000004321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9">F82-E82</f>
        <v>0</v>
      </c>
      <c r="H82" s="99">
        <f>G82+'13'!H82</f>
        <v>0</v>
      </c>
      <c r="I82" s="54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9"/>
        <v>0</v>
      </c>
      <c r="H83" s="99">
        <f>G83+'13'!H83</f>
        <v>0</v>
      </c>
      <c r="I83" s="54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43546</v>
      </c>
      <c r="F84" s="164">
        <v>43546</v>
      </c>
      <c r="G84" s="112">
        <f t="shared" si="9"/>
        <v>0</v>
      </c>
      <c r="H84" s="99">
        <f>G84+'13'!H84</f>
        <v>0</v>
      </c>
      <c r="I84" s="543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6258</v>
      </c>
      <c r="F85" s="164">
        <v>6258</v>
      </c>
      <c r="G85" s="112">
        <f t="shared" si="9"/>
        <v>0</v>
      </c>
      <c r="H85" s="99">
        <f>G85+'13'!H85</f>
        <v>45</v>
      </c>
      <c r="I85" s="543"/>
      <c r="J85" s="175">
        <f>H85/DAY(B2)</f>
        <v>3.2142857142857144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47005.06</v>
      </c>
      <c r="F86" s="164">
        <v>47029</v>
      </c>
      <c r="G86" s="112">
        <f t="shared" si="9"/>
        <v>23.940000000002328</v>
      </c>
      <c r="H86" s="99">
        <f>G86+'13'!H86</f>
        <v>58</v>
      </c>
      <c r="I86" s="543"/>
      <c r="J86" s="175">
        <f>H86/DAY(B2)</f>
        <v>4.1428571428571432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37602</v>
      </c>
      <c r="F87" s="164">
        <v>37602</v>
      </c>
      <c r="G87" s="112">
        <f t="shared" si="9"/>
        <v>0</v>
      </c>
      <c r="H87" s="99">
        <f>G87+'13'!H87</f>
        <v>238</v>
      </c>
      <c r="I87" s="543">
        <f>G84+G85+G86+G87</f>
        <v>23.940000000002328</v>
      </c>
      <c r="J87" s="175">
        <f>H87/DAY(B2)</f>
        <v>17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24836</v>
      </c>
      <c r="F88" s="164">
        <v>24845.599999999999</v>
      </c>
      <c r="G88" s="112">
        <f t="shared" si="9"/>
        <v>9.5999999999985448</v>
      </c>
      <c r="H88" s="99">
        <f>G88+'13'!H88</f>
        <v>83.599999999998545</v>
      </c>
      <c r="I88" s="543"/>
      <c r="J88" s="175">
        <f>H88/DAY(B2)</f>
        <v>5.9714285714284676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29106</v>
      </c>
      <c r="F89" s="164">
        <v>29106.33</v>
      </c>
      <c r="G89" s="112">
        <f t="shared" si="9"/>
        <v>0.33000000000174623</v>
      </c>
      <c r="H89" s="99">
        <f>G89+'13'!H89</f>
        <v>78.330000000001746</v>
      </c>
      <c r="I89" s="543">
        <f>G88+G89</f>
        <v>9.930000000000291</v>
      </c>
      <c r="J89" s="175">
        <f>H89/DAY(B2)</f>
        <v>5.595000000000125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74550</v>
      </c>
      <c r="F90" s="164">
        <v>74551</v>
      </c>
      <c r="G90" s="112">
        <f t="shared" si="9"/>
        <v>1</v>
      </c>
      <c r="H90" s="99">
        <f>G90+'13'!H90</f>
        <v>103</v>
      </c>
      <c r="I90" s="543">
        <f>G90</f>
        <v>1</v>
      </c>
      <c r="J90" s="175">
        <f>H90/DAY(B2)</f>
        <v>7.3571428571428568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5737.62</v>
      </c>
      <c r="F91" s="122">
        <v>5749.46</v>
      </c>
      <c r="G91" s="112">
        <f t="shared" si="9"/>
        <v>11.840000000000146</v>
      </c>
      <c r="H91" s="99">
        <f>G91+'13'!H91</f>
        <v>131.25</v>
      </c>
      <c r="I91" s="544"/>
      <c r="J91" s="175">
        <f>H91/DAY(B2)</f>
        <v>9.375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7469.24</v>
      </c>
      <c r="F92" s="122">
        <v>7469</v>
      </c>
      <c r="G92" s="112">
        <f t="shared" si="9"/>
        <v>-0.23999999999978172</v>
      </c>
      <c r="H92" s="99">
        <f>G92+'13'!H92</f>
        <v>36.720000000000255</v>
      </c>
      <c r="I92" s="545">
        <f>G91+G92</f>
        <v>11.600000000000364</v>
      </c>
      <c r="J92" s="175">
        <f>H92/DAY(B2)</f>
        <v>2.622857142857161</v>
      </c>
      <c r="O92" s="71"/>
    </row>
    <row r="93" spans="1:15" ht="27.7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5767.8099999999395</v>
      </c>
      <c r="H94" s="99">
        <f>G94+'13'!H94</f>
        <v>79743.75</v>
      </c>
      <c r="I94" s="118"/>
      <c r="J94" s="175">
        <f>H94/DAY(B2)</f>
        <v>5695.9821428571431</v>
      </c>
      <c r="K94" s="69"/>
      <c r="L94" s="66"/>
      <c r="O94" s="71"/>
    </row>
    <row r="95" spans="1:15" ht="27.7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0.26594549782044413</v>
      </c>
      <c r="H95" s="99">
        <f>G95+'13'!H95</f>
        <v>3.6298360869751747</v>
      </c>
      <c r="I95" s="167"/>
      <c r="J95" s="175">
        <f>H95/DAY(B2)</f>
        <v>0.25927400621251245</v>
      </c>
      <c r="K95" s="69"/>
      <c r="L95" s="66"/>
      <c r="O95" s="71"/>
    </row>
    <row r="96" spans="1:15" ht="27.7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3541.0100000000093</v>
      </c>
      <c r="H96" s="99">
        <f>G96+'13'!H96</f>
        <v>49854.759999999951</v>
      </c>
      <c r="I96" s="118"/>
      <c r="J96" s="175">
        <f>H96/DAY(B2)</f>
        <v>3561.0542857142823</v>
      </c>
      <c r="K96" s="69"/>
      <c r="L96" s="66"/>
      <c r="O96" s="71"/>
    </row>
    <row r="97" spans="1:15" ht="27.7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0.16327092384062292</v>
      </c>
      <c r="H97" s="99">
        <f>G97+'13'!H97</f>
        <v>2.264370221230072</v>
      </c>
      <c r="I97" s="167"/>
      <c r="J97" s="175">
        <f>H97/DAY(B2)</f>
        <v>0.1617407300878623</v>
      </c>
      <c r="K97" s="69"/>
      <c r="L97" s="66"/>
      <c r="O97" s="71"/>
    </row>
    <row r="98" spans="1:15" ht="27.7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2759.5500000000466</v>
      </c>
      <c r="H98" s="99">
        <f>G98+'13'!H98</f>
        <v>39499.75</v>
      </c>
      <c r="I98" s="168"/>
      <c r="J98" s="175">
        <f>H98/DAY(B2)</f>
        <v>2821.4107142857142</v>
      </c>
      <c r="K98" s="69"/>
      <c r="L98" s="66"/>
      <c r="O98" s="71"/>
    </row>
    <row r="99" spans="1:15" ht="27.7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0.12723891711246152</v>
      </c>
      <c r="H99" s="99">
        <f>G99+'13'!H99</f>
        <v>1.797999549101817</v>
      </c>
      <c r="I99" s="168"/>
      <c r="J99" s="175">
        <f>H99/DAY(B2)</f>
        <v>0.12842853922155836</v>
      </c>
      <c r="O99" s="71"/>
    </row>
    <row r="100" spans="1:15" ht="27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2361.4899999999252</v>
      </c>
      <c r="H100" s="99">
        <f>G100+'13'!H100</f>
        <v>36208.349999999977</v>
      </c>
      <c r="I100" s="118"/>
      <c r="J100" s="175">
        <f>H100/DAY(B2)</f>
        <v>2586.3107142857125</v>
      </c>
      <c r="K100" s="70"/>
      <c r="O100" s="71"/>
    </row>
    <row r="101" spans="1:15" ht="27.7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0.10888493789635709</v>
      </c>
      <c r="H101" s="99">
        <f>G101+'13'!H101</f>
        <v>1.6451131129181991</v>
      </c>
      <c r="I101" s="168"/>
      <c r="J101" s="175">
        <f>H101/DAY(B2)</f>
        <v>0.11750807949415708</v>
      </c>
      <c r="O101" s="71"/>
    </row>
    <row r="102" spans="1:15" ht="27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2586.5900000000838</v>
      </c>
      <c r="H102" s="99">
        <f>G102+'13'!H102</f>
        <v>33088.540000000037</v>
      </c>
      <c r="I102" s="168"/>
      <c r="J102" s="175">
        <f>H102/DAY(B2)</f>
        <v>2363.4671428571455</v>
      </c>
      <c r="O102" s="71"/>
    </row>
    <row r="103" spans="1:15" ht="27.7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0.11926397804494464</v>
      </c>
      <c r="H103" s="99">
        <f>G103+'13'!H103</f>
        <v>1.5017115182704357</v>
      </c>
      <c r="I103" s="118"/>
      <c r="J103" s="175">
        <f>H103/DAY(B2)</f>
        <v>0.10726510844788827</v>
      </c>
      <c r="O103" s="71"/>
    </row>
    <row r="104" spans="1:15" ht="27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1369.75</v>
      </c>
      <c r="H104" s="99">
        <f>G104+'13'!H104</f>
        <v>20088.75</v>
      </c>
      <c r="I104" s="118"/>
      <c r="J104" s="175">
        <f>H104/DAY(B2)</f>
        <v>1434.9107142857142</v>
      </c>
      <c r="O104" s="71"/>
    </row>
    <row r="105" spans="1:15" ht="27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6.3157220095592118E-2</v>
      </c>
      <c r="H105" s="99">
        <f>G105+'13'!H105</f>
        <v>0.91335100090222854</v>
      </c>
      <c r="I105" s="187"/>
      <c r="J105" s="188">
        <f>H105/DAY(B2)</f>
        <v>6.5239357207302034E-2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7.75" customHeight="1">
      <c r="A109" s="920"/>
      <c r="B109" s="920"/>
    </row>
    <row r="110" spans="1:15" ht="27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7.7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3" t="s">
        <v>252</v>
      </c>
      <c r="B112" s="884"/>
      <c r="C112" s="885"/>
      <c r="D112" s="146" t="s">
        <v>183</v>
      </c>
      <c r="E112" s="95">
        <f>'13'!F112</f>
        <v>20190.34</v>
      </c>
      <c r="F112" s="237">
        <v>20250.54</v>
      </c>
      <c r="G112" s="112">
        <f t="shared" ref="G112:G123" si="10">F112-E112</f>
        <v>60.200000000000728</v>
      </c>
      <c r="H112" s="99">
        <f>G112+'13'!H112</f>
        <v>853.54000000000087</v>
      </c>
      <c r="I112" s="165"/>
      <c r="J112" s="328">
        <f>H112/DAY(B2)</f>
        <v>60.967142857142917</v>
      </c>
    </row>
    <row r="113" spans="1:18" ht="27.75" customHeight="1">
      <c r="A113" s="883" t="s">
        <v>253</v>
      </c>
      <c r="B113" s="884"/>
      <c r="C113" s="885"/>
      <c r="D113" s="146" t="s">
        <v>183</v>
      </c>
      <c r="E113" s="95">
        <f>'13'!F113</f>
        <v>43409.71</v>
      </c>
      <c r="F113" s="237">
        <v>43554.52</v>
      </c>
      <c r="G113" s="112">
        <f t="shared" si="10"/>
        <v>144.80999999999767</v>
      </c>
      <c r="H113" s="99">
        <f>G113+'13'!H113</f>
        <v>2034.5699999999997</v>
      </c>
      <c r="I113" s="165"/>
      <c r="J113" s="328">
        <f>H113/DAY(B2)</f>
        <v>145.32642857142855</v>
      </c>
    </row>
    <row r="114" spans="1:18" ht="27.75" customHeight="1">
      <c r="A114" s="883" t="s">
        <v>254</v>
      </c>
      <c r="B114" s="884"/>
      <c r="C114" s="885"/>
      <c r="D114" s="146" t="s">
        <v>183</v>
      </c>
      <c r="E114" s="95">
        <f>'13'!F114</f>
        <v>64141.85</v>
      </c>
      <c r="F114" s="237">
        <v>64367.34</v>
      </c>
      <c r="G114" s="112">
        <f t="shared" si="10"/>
        <v>225.48999999999796</v>
      </c>
      <c r="H114" s="99">
        <f>G114+'13'!H114</f>
        <v>3149.3399999999965</v>
      </c>
      <c r="I114" s="165"/>
      <c r="J114" s="328">
        <f>H114/DAY(B2)</f>
        <v>224.95285714285689</v>
      </c>
    </row>
    <row r="115" spans="1:18" ht="27.75" customHeight="1">
      <c r="A115" s="883" t="s">
        <v>255</v>
      </c>
      <c r="B115" s="884"/>
      <c r="C115" s="885"/>
      <c r="D115" s="146" t="s">
        <v>183</v>
      </c>
      <c r="E115" s="95">
        <f>'13'!F115</f>
        <v>41318.21</v>
      </c>
      <c r="F115" s="237">
        <v>41439.85</v>
      </c>
      <c r="G115" s="112">
        <f t="shared" si="10"/>
        <v>121.63999999999942</v>
      </c>
      <c r="H115" s="99">
        <f>G115+'13'!H115</f>
        <v>1980.8499999999985</v>
      </c>
      <c r="I115" s="165"/>
      <c r="J115" s="328">
        <f>H115/DAY(B2)</f>
        <v>141.48928571428561</v>
      </c>
    </row>
    <row r="116" spans="1:18" ht="27.75" customHeight="1">
      <c r="A116" s="890" t="s">
        <v>96</v>
      </c>
      <c r="B116" s="891"/>
      <c r="C116" s="892"/>
      <c r="D116" s="146" t="s">
        <v>183</v>
      </c>
      <c r="E116" s="95">
        <f>'13'!F116</f>
        <v>153830</v>
      </c>
      <c r="F116" s="237">
        <v>154240.68</v>
      </c>
      <c r="G116" s="112">
        <f t="shared" si="10"/>
        <v>410.67999999999302</v>
      </c>
      <c r="H116" s="99">
        <f>G116+'13'!H116</f>
        <v>6310.679999999993</v>
      </c>
      <c r="I116" s="165"/>
      <c r="J116" s="328">
        <f>H116/DAY(B2)</f>
        <v>450.76285714285666</v>
      </c>
      <c r="Q116" s="883"/>
      <c r="R116" s="885"/>
    </row>
    <row r="117" spans="1:18" ht="27.75" customHeight="1">
      <c r="A117" s="890" t="s">
        <v>184</v>
      </c>
      <c r="B117" s="891"/>
      <c r="C117" s="892"/>
      <c r="D117" s="146" t="s">
        <v>183</v>
      </c>
      <c r="E117" s="95">
        <f>'13'!F117</f>
        <v>95209.37</v>
      </c>
      <c r="F117" s="756">
        <v>95423.214999999997</v>
      </c>
      <c r="G117" s="757">
        <f t="shared" si="10"/>
        <v>213.84500000000116</v>
      </c>
      <c r="H117" s="99">
        <f>G117+'13'!H117</f>
        <v>3433.8159999999916</v>
      </c>
      <c r="I117" s="165"/>
      <c r="J117" s="328">
        <f>H117/DAY(B2)</f>
        <v>245.27257142857084</v>
      </c>
      <c r="Q117" s="883"/>
      <c r="R117" s="885"/>
    </row>
    <row r="118" spans="1:18" ht="27.75" customHeight="1">
      <c r="A118" s="882" t="s">
        <v>97</v>
      </c>
      <c r="B118" s="882"/>
      <c r="C118" s="882"/>
      <c r="D118" s="151" t="s">
        <v>183</v>
      </c>
      <c r="E118" s="95">
        <f>'13'!F118</f>
        <v>186656.17</v>
      </c>
      <c r="F118" s="237">
        <v>187376.75</v>
      </c>
      <c r="G118" s="112">
        <f t="shared" si="10"/>
        <v>720.57999999998719</v>
      </c>
      <c r="H118" s="99">
        <f>G118+'13'!H118</f>
        <v>9844.2200000000012</v>
      </c>
      <c r="I118" s="165"/>
      <c r="J118" s="328">
        <f>H118/DAY(B2)</f>
        <v>703.15857142857146</v>
      </c>
      <c r="Q118" s="883"/>
      <c r="R118" s="885"/>
    </row>
    <row r="119" spans="1:18" ht="27.75" customHeight="1">
      <c r="A119" s="882" t="s">
        <v>98</v>
      </c>
      <c r="B119" s="882"/>
      <c r="C119" s="882"/>
      <c r="D119" s="151" t="s">
        <v>183</v>
      </c>
      <c r="E119" s="95">
        <f>'13'!F119</f>
        <v>45863</v>
      </c>
      <c r="F119" s="237">
        <v>45923.699000000001</v>
      </c>
      <c r="G119" s="112">
        <f t="shared" si="10"/>
        <v>60.699000000000524</v>
      </c>
      <c r="H119" s="99">
        <f>G119+'13'!H119</f>
        <v>730.69900000000052</v>
      </c>
      <c r="I119" s="165"/>
      <c r="J119" s="328">
        <f>H119/DAY(B2)</f>
        <v>52.192785714285755</v>
      </c>
    </row>
    <row r="120" spans="1:18" ht="27.75" customHeight="1">
      <c r="A120" s="882" t="s">
        <v>99</v>
      </c>
      <c r="B120" s="882"/>
      <c r="C120" s="882"/>
      <c r="D120" s="151" t="s">
        <v>183</v>
      </c>
      <c r="E120" s="95">
        <f>'13'!F120</f>
        <v>125424</v>
      </c>
      <c r="F120" s="237">
        <v>125808.4</v>
      </c>
      <c r="G120" s="112">
        <f t="shared" si="10"/>
        <v>384.39999999999418</v>
      </c>
      <c r="H120" s="99">
        <f>G120+'13'!H120</f>
        <v>5364.3999999999942</v>
      </c>
      <c r="I120" s="165"/>
      <c r="J120" s="328">
        <f>H120/DAY(B2)</f>
        <v>383.17142857142818</v>
      </c>
    </row>
    <row r="121" spans="1:18" ht="27.75" customHeight="1">
      <c r="A121" s="882" t="s">
        <v>100</v>
      </c>
      <c r="B121" s="882"/>
      <c r="C121" s="882"/>
      <c r="D121" s="151" t="s">
        <v>183</v>
      </c>
      <c r="E121" s="95">
        <f>'13'!F121</f>
        <v>140146</v>
      </c>
      <c r="F121" s="237">
        <v>140577.64000000001</v>
      </c>
      <c r="G121" s="112">
        <f t="shared" si="10"/>
        <v>431.64000000001397</v>
      </c>
      <c r="H121" s="99">
        <f>G121+'13'!H121</f>
        <v>6014.640000000014</v>
      </c>
      <c r="I121" s="165"/>
      <c r="J121" s="328">
        <f>H121/DAY(B2)</f>
        <v>429.61714285714385</v>
      </c>
    </row>
    <row r="122" spans="1:18" ht="27.75" customHeight="1">
      <c r="A122" s="882" t="s">
        <v>101</v>
      </c>
      <c r="B122" s="882"/>
      <c r="C122" s="882"/>
      <c r="D122" s="151" t="s">
        <v>183</v>
      </c>
      <c r="E122" s="95">
        <f>'13'!F122</f>
        <v>94936.35</v>
      </c>
      <c r="F122" s="237">
        <v>95216.47</v>
      </c>
      <c r="G122" s="112">
        <f t="shared" si="10"/>
        <v>280.11999999999534</v>
      </c>
      <c r="H122" s="99">
        <f>G122+'13'!H122</f>
        <v>4339.4700000000012</v>
      </c>
      <c r="I122" s="165"/>
      <c r="J122" s="328">
        <f>H122/DAY(B2)</f>
        <v>309.96214285714296</v>
      </c>
    </row>
    <row r="123" spans="1:18" ht="27.75" customHeight="1">
      <c r="A123" s="882" t="s">
        <v>102</v>
      </c>
      <c r="B123" s="882"/>
      <c r="C123" s="882"/>
      <c r="D123" s="151" t="s">
        <v>183</v>
      </c>
      <c r="E123" s="95">
        <f>'13'!F123</f>
        <v>91578.047000000006</v>
      </c>
      <c r="F123" s="237">
        <v>91893.854999999996</v>
      </c>
      <c r="G123" s="112">
        <f t="shared" si="10"/>
        <v>315.80799999998999</v>
      </c>
      <c r="H123" s="99">
        <f>G123+'13'!H123</f>
        <v>4314.8549999999959</v>
      </c>
      <c r="I123" s="165"/>
      <c r="J123" s="328">
        <f>H123/DAY(B2)</f>
        <v>308.20392857142826</v>
      </c>
    </row>
    <row r="124" spans="1:18" ht="27.7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3369.9119999999712</v>
      </c>
      <c r="H125" s="156"/>
      <c r="I125" s="327">
        <f>G125-(G39+G53)</f>
        <v>610.36199999992459</v>
      </c>
      <c r="J125" s="327"/>
    </row>
    <row r="126" spans="1:18" ht="27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7.75" customHeight="1">
      <c r="A127" s="872"/>
      <c r="B127" s="87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83" t="s">
        <v>318</v>
      </c>
      <c r="B128" s="884"/>
      <c r="C128" s="885"/>
      <c r="D128" s="151" t="s">
        <v>183</v>
      </c>
      <c r="E128" s="95">
        <f>'13'!F128</f>
        <v>213692.25</v>
      </c>
      <c r="F128" s="165">
        <v>214123.71</v>
      </c>
      <c r="G128" s="112">
        <f t="shared" ref="G128:G134" si="11">F128-E128</f>
        <v>431.45999999999185</v>
      </c>
      <c r="H128" s="99">
        <f>G128+'13'!H128</f>
        <v>6834.7099999999919</v>
      </c>
      <c r="I128" s="165"/>
      <c r="J128" s="328">
        <f>H128/DAY(B2)</f>
        <v>488.19357142857086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2160</v>
      </c>
      <c r="F129" s="165">
        <v>2272.38</v>
      </c>
      <c r="G129" s="112">
        <f t="shared" si="11"/>
        <v>112.38000000000011</v>
      </c>
      <c r="H129" s="99">
        <f>G129+'13'!H129</f>
        <v>1538.38</v>
      </c>
      <c r="I129" s="165"/>
      <c r="J129" s="328">
        <f>H129/DAY(B2)</f>
        <v>109.88428571428572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295354</v>
      </c>
      <c r="F130" s="165">
        <v>296039</v>
      </c>
      <c r="G130" s="112">
        <f t="shared" si="11"/>
        <v>685</v>
      </c>
      <c r="H130" s="99">
        <f>G130+'13'!H130</f>
        <v>7317</v>
      </c>
      <c r="I130" s="165"/>
      <c r="J130" s="328">
        <f>H130/DAY(B2)</f>
        <v>522.64285714285711</v>
      </c>
      <c r="N130" s="240"/>
      <c r="O130" s="241"/>
    </row>
    <row r="131" spans="1:15" ht="27.75" customHeight="1">
      <c r="A131" s="883" t="s">
        <v>321</v>
      </c>
      <c r="B131" s="884"/>
      <c r="C131" s="885"/>
      <c r="D131" s="151" t="s">
        <v>183</v>
      </c>
      <c r="E131" s="95">
        <f>'13'!F131</f>
        <v>87254.798999999999</v>
      </c>
      <c r="F131" s="165">
        <v>87442.967999999993</v>
      </c>
      <c r="G131" s="112">
        <f t="shared" si="11"/>
        <v>188.16899999999441</v>
      </c>
      <c r="H131" s="99">
        <f>G131+'13'!H131</f>
        <v>2739.1379999999917</v>
      </c>
      <c r="I131" s="165"/>
      <c r="J131" s="328">
        <f>H131/DAY(B2)</f>
        <v>195.6527142857137</v>
      </c>
      <c r="N131" s="240"/>
      <c r="O131" s="241"/>
    </row>
    <row r="132" spans="1:15" ht="27.75" customHeight="1">
      <c r="A132" s="883" t="s">
        <v>322</v>
      </c>
      <c r="B132" s="884"/>
      <c r="C132" s="885"/>
      <c r="D132" s="151" t="s">
        <v>183</v>
      </c>
      <c r="E132" s="95">
        <f>'13'!F132</f>
        <v>71524.55</v>
      </c>
      <c r="F132" s="165">
        <v>71833.759999999995</v>
      </c>
      <c r="G132" s="112">
        <f t="shared" si="11"/>
        <v>309.20999999999185</v>
      </c>
      <c r="H132" s="99">
        <f>G132+'13'!H132</f>
        <v>4386.7599999999948</v>
      </c>
      <c r="I132" s="165"/>
      <c r="J132" s="328">
        <f>H132/DAY(B2)</f>
        <v>313.33999999999963</v>
      </c>
    </row>
    <row r="133" spans="1:15" ht="27.75" customHeight="1">
      <c r="A133" s="883" t="s">
        <v>341</v>
      </c>
      <c r="B133" s="884"/>
      <c r="C133" s="885"/>
      <c r="D133" s="151" t="s">
        <v>183</v>
      </c>
      <c r="E133" s="95">
        <f>'13'!F133</f>
        <v>957600</v>
      </c>
      <c r="F133" s="165">
        <v>958188</v>
      </c>
      <c r="G133" s="112">
        <f t="shared" si="11"/>
        <v>588</v>
      </c>
      <c r="H133" s="99">
        <f>G133+'13'!H133</f>
        <v>8041</v>
      </c>
      <c r="I133" s="165"/>
      <c r="J133" s="328">
        <f>H133/DAY(B2)</f>
        <v>574.35714285714289</v>
      </c>
    </row>
    <row r="134" spans="1:15" ht="27.75" customHeight="1">
      <c r="A134" s="883" t="s">
        <v>340</v>
      </c>
      <c r="B134" s="884"/>
      <c r="C134" s="885"/>
      <c r="D134" s="151" t="s">
        <v>183</v>
      </c>
      <c r="E134" s="95">
        <f>'13'!F134</f>
        <v>924764</v>
      </c>
      <c r="F134" s="165">
        <v>925491</v>
      </c>
      <c r="G134" s="112">
        <f t="shared" si="11"/>
        <v>727</v>
      </c>
      <c r="H134" s="99">
        <f>G134+'13'!H134</f>
        <v>4507.9100000000035</v>
      </c>
      <c r="I134" s="165"/>
      <c r="J134" s="328">
        <f>H134/DAY(B2)</f>
        <v>321.99357142857167</v>
      </c>
    </row>
    <row r="135" spans="1:15" ht="27.75" customHeight="1">
      <c r="A135" s="788" t="s">
        <v>196</v>
      </c>
      <c r="B135" s="789"/>
      <c r="C135" s="331"/>
      <c r="D135" s="151"/>
      <c r="E135" s="95"/>
      <c r="F135" s="165"/>
      <c r="G135" s="112">
        <f>SUM(G128:G134)</f>
        <v>3041.2189999999782</v>
      </c>
      <c r="H135" s="119">
        <f>H128+H134</f>
        <v>11342.619999999995</v>
      </c>
      <c r="I135" s="327">
        <f>G135-(G35+G49)</f>
        <v>-132.51100000000315</v>
      </c>
      <c r="J135" s="328">
        <f>H135/DAY(B2)</f>
        <v>810.18714285714248</v>
      </c>
    </row>
    <row r="136" spans="1:15" ht="27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2" t="s">
        <v>185</v>
      </c>
      <c r="B138" s="882"/>
      <c r="C138" s="882"/>
      <c r="D138" s="151" t="s">
        <v>183</v>
      </c>
      <c r="E138" s="95">
        <f>'13'!F138</f>
        <v>914427</v>
      </c>
      <c r="F138" s="147">
        <v>914542</v>
      </c>
      <c r="G138" s="112">
        <f t="shared" ref="G138:G152" si="12">F138-E138</f>
        <v>115</v>
      </c>
      <c r="H138" s="99">
        <f>G138+'13'!H138</f>
        <v>1631</v>
      </c>
      <c r="I138" s="118"/>
      <c r="J138" s="328">
        <f>H138/DAY(B2)</f>
        <v>116.5</v>
      </c>
    </row>
    <row r="139" spans="1:15" ht="27.75" customHeight="1">
      <c r="A139" s="882" t="s">
        <v>186</v>
      </c>
      <c r="B139" s="882"/>
      <c r="C139" s="882"/>
      <c r="D139" s="151" t="s">
        <v>183</v>
      </c>
      <c r="E139" s="95">
        <f>'13'!F139</f>
        <v>939143</v>
      </c>
      <c r="F139" s="148">
        <v>939267</v>
      </c>
      <c r="G139" s="112">
        <f t="shared" si="12"/>
        <v>124</v>
      </c>
      <c r="H139" s="99">
        <f>G139+'13'!H139</f>
        <v>2009</v>
      </c>
      <c r="I139" s="118"/>
      <c r="J139" s="328">
        <f>H139/DAY(B2)</f>
        <v>143.5</v>
      </c>
    </row>
    <row r="140" spans="1:15" ht="27.75" customHeight="1">
      <c r="A140" s="882" t="s">
        <v>187</v>
      </c>
      <c r="B140" s="882"/>
      <c r="C140" s="882"/>
      <c r="D140" s="151" t="s">
        <v>183</v>
      </c>
      <c r="E140" s="95">
        <f>'13'!F140</f>
        <v>5171.7</v>
      </c>
      <c r="F140" s="149">
        <v>5202</v>
      </c>
      <c r="G140" s="112">
        <f t="shared" si="12"/>
        <v>30.300000000000182</v>
      </c>
      <c r="H140" s="99">
        <f>G140+'13'!H140</f>
        <v>438</v>
      </c>
      <c r="I140" s="118"/>
      <c r="J140" s="328">
        <f>H140/DAY(B2)</f>
        <v>31.285714285714285</v>
      </c>
    </row>
    <row r="141" spans="1:15" ht="27.75" customHeight="1">
      <c r="A141" s="865" t="s">
        <v>188</v>
      </c>
      <c r="B141" s="865"/>
      <c r="C141" s="865"/>
      <c r="D141" s="151" t="s">
        <v>183</v>
      </c>
      <c r="E141" s="95">
        <f>'13'!F141</f>
        <v>134533</v>
      </c>
      <c r="F141" s="149">
        <v>134764.04999999999</v>
      </c>
      <c r="G141" s="112">
        <f t="shared" si="12"/>
        <v>231.04999999998836</v>
      </c>
      <c r="H141" s="99">
        <f>G141+'13'!H141</f>
        <v>3444.0499999999884</v>
      </c>
      <c r="I141" s="118"/>
      <c r="J141" s="328">
        <f>H141/DAY(B2)</f>
        <v>246.00357142857061</v>
      </c>
    </row>
    <row r="142" spans="1:15" ht="27.75" customHeight="1">
      <c r="A142" s="865" t="s">
        <v>189</v>
      </c>
      <c r="B142" s="865"/>
      <c r="C142" s="865"/>
      <c r="D142" s="151" t="s">
        <v>183</v>
      </c>
      <c r="E142" s="95">
        <f>'13'!F142</f>
        <v>54361.8</v>
      </c>
      <c r="F142" s="148">
        <v>54444.334999999999</v>
      </c>
      <c r="G142" s="112">
        <f t="shared" si="12"/>
        <v>82.534999999996217</v>
      </c>
      <c r="H142" s="99">
        <f>G142+'13'!H142</f>
        <v>1253.3349999999991</v>
      </c>
      <c r="I142" s="140"/>
      <c r="J142" s="328">
        <f>H142/DAY(B2)</f>
        <v>89.523928571428513</v>
      </c>
    </row>
    <row r="143" spans="1:15" ht="27.75" customHeight="1">
      <c r="A143" s="882" t="s">
        <v>91</v>
      </c>
      <c r="B143" s="882"/>
      <c r="C143" s="882"/>
      <c r="D143" s="151" t="s">
        <v>183</v>
      </c>
      <c r="E143" s="95">
        <f>'13'!F143</f>
        <v>14731.718000000001</v>
      </c>
      <c r="F143" s="149">
        <v>14764.05</v>
      </c>
      <c r="G143" s="112">
        <f t="shared" si="12"/>
        <v>32.331999999998516</v>
      </c>
      <c r="H143" s="99">
        <f>G143+'13'!H143</f>
        <v>452.04999999999927</v>
      </c>
      <c r="I143" s="140"/>
      <c r="J143" s="328">
        <f>H143/DAY(B2)</f>
        <v>32.289285714285661</v>
      </c>
    </row>
    <row r="144" spans="1:15" ht="27.75" customHeight="1">
      <c r="A144" s="865" t="s">
        <v>90</v>
      </c>
      <c r="B144" s="865"/>
      <c r="C144" s="865"/>
      <c r="D144" s="151" t="s">
        <v>183</v>
      </c>
      <c r="E144" s="95">
        <f>'13'!F144</f>
        <v>966593</v>
      </c>
      <c r="F144" s="149">
        <v>966819</v>
      </c>
      <c r="G144" s="112">
        <f t="shared" si="12"/>
        <v>226</v>
      </c>
      <c r="H144" s="99">
        <f>G144+'13'!H144</f>
        <v>3593</v>
      </c>
      <c r="I144" s="140"/>
      <c r="J144" s="328">
        <f>H144/DAY(B2)</f>
        <v>256.64285714285717</v>
      </c>
    </row>
    <row r="145" spans="1:10" ht="27.75" customHeight="1">
      <c r="A145" s="882" t="s">
        <v>190</v>
      </c>
      <c r="B145" s="882"/>
      <c r="C145" s="882"/>
      <c r="D145" s="152" t="s">
        <v>183</v>
      </c>
      <c r="E145" s="95">
        <f>'13'!F145</f>
        <v>753444</v>
      </c>
      <c r="F145" s="149">
        <v>753670</v>
      </c>
      <c r="G145" s="112">
        <f t="shared" si="12"/>
        <v>226</v>
      </c>
      <c r="H145" s="99">
        <f>G145+'13'!H145</f>
        <v>2937</v>
      </c>
      <c r="I145" s="140"/>
      <c r="J145" s="328">
        <f>H145/DAY(B2)</f>
        <v>209.78571428571428</v>
      </c>
    </row>
    <row r="146" spans="1:10" ht="27.75" customHeight="1">
      <c r="A146" s="916" t="s">
        <v>191</v>
      </c>
      <c r="B146" s="902"/>
      <c r="C146" s="903"/>
      <c r="D146" s="152" t="s">
        <v>183</v>
      </c>
      <c r="E146" s="95">
        <f>'13'!F146</f>
        <v>789515</v>
      </c>
      <c r="F146" s="148">
        <v>789540</v>
      </c>
      <c r="G146" s="112">
        <f t="shared" si="12"/>
        <v>25</v>
      </c>
      <c r="H146" s="99">
        <f>G146+'13'!H146</f>
        <v>515</v>
      </c>
      <c r="I146" s="140"/>
      <c r="J146" s="328">
        <f>H146/DAY(B2)</f>
        <v>36.785714285714285</v>
      </c>
    </row>
    <row r="147" spans="1:10" ht="27.75" customHeight="1">
      <c r="A147" s="865" t="s">
        <v>192</v>
      </c>
      <c r="B147" s="865"/>
      <c r="C147" s="865"/>
      <c r="D147" s="152" t="s">
        <v>183</v>
      </c>
      <c r="E147" s="95">
        <f>'13'!F147</f>
        <v>776465.92000000004</v>
      </c>
      <c r="F147" s="148">
        <v>776861.28</v>
      </c>
      <c r="G147" s="112">
        <f t="shared" si="12"/>
        <v>395.35999999998603</v>
      </c>
      <c r="H147" s="99">
        <f>G147+'13'!H147</f>
        <v>5204.4000000000233</v>
      </c>
      <c r="I147" s="140"/>
      <c r="J147" s="328">
        <f>H147/DAY(B2)</f>
        <v>371.74285714285878</v>
      </c>
    </row>
    <row r="148" spans="1:10" ht="27.75" customHeight="1">
      <c r="A148" s="866" t="s">
        <v>193</v>
      </c>
      <c r="B148" s="867"/>
      <c r="C148" s="868"/>
      <c r="D148" s="123" t="s">
        <v>130</v>
      </c>
      <c r="E148" s="95">
        <f>'13'!F148</f>
        <v>811244.08</v>
      </c>
      <c r="F148" s="150">
        <v>811592</v>
      </c>
      <c r="G148" s="112">
        <f t="shared" si="12"/>
        <v>347.92000000004191</v>
      </c>
      <c r="H148" s="99">
        <f>G148+'13'!H148</f>
        <v>4771.7600000000093</v>
      </c>
      <c r="I148" s="124"/>
      <c r="J148" s="328">
        <f>H148/DAY(B2)</f>
        <v>340.84000000000066</v>
      </c>
    </row>
    <row r="149" spans="1:10" ht="27.75" customHeight="1">
      <c r="A149" s="866" t="s">
        <v>336</v>
      </c>
      <c r="B149" s="867"/>
      <c r="C149" s="868"/>
      <c r="D149" s="227" t="s">
        <v>130</v>
      </c>
      <c r="E149" s="95">
        <f>'13'!F149</f>
        <v>223242</v>
      </c>
      <c r="F149" s="227">
        <v>223525</v>
      </c>
      <c r="G149" s="112">
        <f t="shared" si="12"/>
        <v>283</v>
      </c>
      <c r="H149" s="99">
        <f>G149+'13'!H149</f>
        <v>6629</v>
      </c>
      <c r="I149" s="119"/>
      <c r="J149" s="328">
        <f>H149/DAY(B2)</f>
        <v>473.5</v>
      </c>
    </row>
    <row r="150" spans="1:10" ht="27.75" customHeight="1">
      <c r="A150" s="866" t="s">
        <v>337</v>
      </c>
      <c r="B150" s="867"/>
      <c r="C150" s="868"/>
      <c r="D150" s="117" t="s">
        <v>130</v>
      </c>
      <c r="E150" s="95">
        <f>'13'!F150</f>
        <v>96470</v>
      </c>
      <c r="F150" s="233">
        <v>96602</v>
      </c>
      <c r="G150" s="112">
        <f t="shared" si="12"/>
        <v>132</v>
      </c>
      <c r="H150" s="99">
        <f>G150+'13'!H150</f>
        <v>3437</v>
      </c>
      <c r="I150" s="119"/>
      <c r="J150" s="328">
        <f>H150/DAY(B2)</f>
        <v>245.5</v>
      </c>
    </row>
    <row r="151" spans="1:10" ht="27.75" customHeight="1">
      <c r="A151" s="866" t="s">
        <v>338</v>
      </c>
      <c r="B151" s="867"/>
      <c r="C151" s="868"/>
      <c r="D151" s="117" t="s">
        <v>130</v>
      </c>
      <c r="E151" s="95">
        <f>'13'!F151</f>
        <v>180553</v>
      </c>
      <c r="F151" s="233">
        <v>180895</v>
      </c>
      <c r="G151" s="112">
        <f t="shared" si="12"/>
        <v>342</v>
      </c>
      <c r="H151" s="99">
        <f>G151+'13'!H151</f>
        <v>4720</v>
      </c>
      <c r="I151" s="119"/>
      <c r="J151" s="328">
        <f>H151/DAY(B2)</f>
        <v>337.14285714285717</v>
      </c>
    </row>
    <row r="152" spans="1:10" ht="27.75" customHeight="1">
      <c r="A152" s="866" t="s">
        <v>339</v>
      </c>
      <c r="B152" s="867"/>
      <c r="C152" s="868"/>
      <c r="D152" s="117" t="s">
        <v>130</v>
      </c>
      <c r="E152" s="95">
        <f>'13'!F152</f>
        <v>48345</v>
      </c>
      <c r="F152" s="233">
        <v>48475.23</v>
      </c>
      <c r="G152" s="112">
        <f t="shared" si="12"/>
        <v>130.2300000000032</v>
      </c>
      <c r="H152" s="99">
        <f>G152+'13'!H152</f>
        <v>1843.2300000000032</v>
      </c>
      <c r="I152" s="119"/>
      <c r="J152" s="328">
        <f>H152/DAY(B2)</f>
        <v>131.65928571428594</v>
      </c>
    </row>
    <row r="153" spans="1:10" ht="27.7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2722.7270000000144</v>
      </c>
      <c r="H153" s="363"/>
      <c r="I153" s="119">
        <f>G153-(G38+G52)</f>
        <v>361.23700000008921</v>
      </c>
      <c r="J153" s="366"/>
    </row>
    <row r="154" spans="1:10" ht="27.75" customHeight="1">
      <c r="A154" s="871"/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>
      <c r="A155" s="865" t="s">
        <v>345</v>
      </c>
      <c r="B155" s="865"/>
      <c r="C155" s="865"/>
      <c r="D155" s="117" t="s">
        <v>130</v>
      </c>
      <c r="E155" s="374">
        <f>'13'!F155</f>
        <v>263624.69</v>
      </c>
      <c r="F155" s="374">
        <v>264148</v>
      </c>
      <c r="G155" s="112">
        <f t="shared" ref="G155:G158" si="13">F155-E155</f>
        <v>523.30999999999767</v>
      </c>
      <c r="H155" s="99">
        <f>G155+'13'!H155</f>
        <v>7796</v>
      </c>
      <c r="I155" s="364"/>
      <c r="J155" s="328">
        <f>H155/DAY(B2)</f>
        <v>556.85714285714289</v>
      </c>
    </row>
    <row r="156" spans="1:10" ht="27.75" customHeight="1">
      <c r="A156" s="865" t="s">
        <v>347</v>
      </c>
      <c r="B156" s="865"/>
      <c r="C156" s="865"/>
      <c r="D156" s="117" t="s">
        <v>130</v>
      </c>
      <c r="E156" s="374">
        <f>'13'!F156</f>
        <v>33815.78</v>
      </c>
      <c r="F156" s="155">
        <v>33908</v>
      </c>
      <c r="G156" s="112">
        <f t="shared" si="13"/>
        <v>92.220000000001164</v>
      </c>
      <c r="H156" s="99">
        <f>G156+'13'!H156</f>
        <v>1349</v>
      </c>
      <c r="I156" s="165"/>
      <c r="J156" s="328">
        <f>H156/DAY(B2)</f>
        <v>96.357142857142861</v>
      </c>
    </row>
    <row r="157" spans="1:10" ht="27.75" customHeight="1">
      <c r="A157" s="866" t="s">
        <v>359</v>
      </c>
      <c r="B157" s="867"/>
      <c r="C157" s="868"/>
      <c r="D157" s="117" t="s">
        <v>130</v>
      </c>
      <c r="E157" s="374">
        <f>'13'!F157</f>
        <v>2647</v>
      </c>
      <c r="F157" s="155">
        <v>2717</v>
      </c>
      <c r="G157" s="112">
        <f t="shared" si="13"/>
        <v>70</v>
      </c>
      <c r="H157" s="99">
        <f>G157+'13'!H157</f>
        <v>825</v>
      </c>
      <c r="I157" s="165"/>
      <c r="J157" s="328">
        <f>H157/DAY(B2)</f>
        <v>58.928571428571431</v>
      </c>
    </row>
    <row r="158" spans="1:10" ht="27.75" customHeight="1">
      <c r="A158" s="866" t="s">
        <v>360</v>
      </c>
      <c r="B158" s="867"/>
      <c r="C158" s="868"/>
      <c r="D158" s="117" t="s">
        <v>130</v>
      </c>
      <c r="E158" s="374">
        <f>'13'!F158</f>
        <v>1788</v>
      </c>
      <c r="F158" s="155">
        <v>1788</v>
      </c>
      <c r="G158" s="112">
        <f t="shared" si="13"/>
        <v>0</v>
      </c>
      <c r="H158" s="99">
        <f>G158+'13'!H158</f>
        <v>5</v>
      </c>
      <c r="I158" s="165"/>
      <c r="J158" s="328">
        <f>H158/DAY(B2)</f>
        <v>0.35714285714285715</v>
      </c>
    </row>
    <row r="159" spans="1:10" ht="27.75" customHeight="1">
      <c r="A159" s="946"/>
      <c r="B159" s="947"/>
      <c r="C159" s="948"/>
      <c r="D159" s="117"/>
      <c r="E159" s="165"/>
      <c r="F159" s="165"/>
      <c r="G159" s="362">
        <f>SUM(G155:G158)</f>
        <v>685.52999999999884</v>
      </c>
      <c r="H159" s="99"/>
      <c r="I159" s="165"/>
      <c r="J159" s="328"/>
    </row>
    <row r="160" spans="1:10" ht="27.7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514367.04</v>
      </c>
      <c r="F161" s="235">
        <v>514525.32</v>
      </c>
      <c r="G161" s="238">
        <f t="shared" ref="G161:G165" si="14">F161-E161</f>
        <v>158.28000000002794</v>
      </c>
      <c r="H161" s="99">
        <f>G161+'13'!H161</f>
        <v>2080.320000000007</v>
      </c>
      <c r="I161" s="236"/>
      <c r="J161" s="239">
        <f>H161/DAY(B2)</f>
        <v>148.5942857142862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2295.3000000000002</v>
      </c>
      <c r="F162" s="235">
        <v>2342</v>
      </c>
      <c r="G162" s="238">
        <f t="shared" si="14"/>
        <v>46.699999999999818</v>
      </c>
      <c r="H162" s="99">
        <f>G162+'13'!H162</f>
        <v>555</v>
      </c>
      <c r="I162" s="236"/>
      <c r="J162" s="239">
        <f>H162/DAY(B2)</f>
        <v>39.642857142857146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0</v>
      </c>
      <c r="F163" s="235">
        <v>0</v>
      </c>
      <c r="G163" s="238">
        <f t="shared" si="14"/>
        <v>0</v>
      </c>
      <c r="H163" s="99">
        <f>G163+'13'!H163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7376.1</v>
      </c>
      <c r="F164" s="235">
        <v>7376</v>
      </c>
      <c r="G164" s="238">
        <f t="shared" si="14"/>
        <v>-0.1000000000003638</v>
      </c>
      <c r="H164" s="99">
        <f>G164+'13'!H164</f>
        <v>39</v>
      </c>
      <c r="I164" s="236"/>
      <c r="J164" s="239">
        <f>H164/DAY(B2)</f>
        <v>2.7857142857142856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33063.976999999999</v>
      </c>
      <c r="F165" s="235">
        <v>33072.199999999997</v>
      </c>
      <c r="G165" s="238">
        <f t="shared" si="14"/>
        <v>8.2229999999981374</v>
      </c>
      <c r="H165" s="99">
        <f>G165+'13'!H165</f>
        <v>97.680000000000291</v>
      </c>
      <c r="I165" s="236"/>
      <c r="J165" s="239">
        <f>H165/DAY(B2)</f>
        <v>6.9771428571428782</v>
      </c>
    </row>
    <row r="166" spans="1:10" ht="27.75" customHeight="1">
      <c r="A166" s="872"/>
      <c r="B166" s="87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72"/>
      <c r="B167" s="87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72"/>
      <c r="B168" s="87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7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90" t="s">
        <v>209</v>
      </c>
      <c r="B173" s="791"/>
      <c r="C173" s="333"/>
      <c r="D173" s="228" t="s">
        <v>142</v>
      </c>
      <c r="E173" s="95">
        <f>'13'!F173</f>
        <v>8630</v>
      </c>
      <c r="F173" s="155">
        <v>8600</v>
      </c>
      <c r="G173" s="155">
        <v>0</v>
      </c>
      <c r="H173" s="99">
        <f>G173+'13'!H173</f>
        <v>18</v>
      </c>
      <c r="I173" s="155"/>
      <c r="J173" s="178">
        <f>H173/DAY(B2)</f>
        <v>1.2857142857142858</v>
      </c>
    </row>
    <row r="174" spans="1:10" ht="27.75" customHeight="1">
      <c r="A174" s="790" t="s">
        <v>75</v>
      </c>
      <c r="B174" s="791"/>
      <c r="C174" s="333"/>
      <c r="D174" s="228" t="s">
        <v>142</v>
      </c>
      <c r="E174" s="95">
        <f>'13'!F174</f>
        <v>43534</v>
      </c>
      <c r="F174" s="157">
        <v>43534</v>
      </c>
      <c r="G174" s="155">
        <f t="shared" ref="G174:G175" si="15">F174-E174</f>
        <v>0</v>
      </c>
      <c r="H174" s="99">
        <f>G174+'13'!H174</f>
        <v>120</v>
      </c>
      <c r="I174" s="155"/>
      <c r="J174" s="178">
        <f>H174/DAY(B2)</f>
        <v>8.5714285714285712</v>
      </c>
    </row>
    <row r="175" spans="1:10" ht="27.75" customHeight="1">
      <c r="A175" s="790" t="s">
        <v>76</v>
      </c>
      <c r="B175" s="803"/>
      <c r="C175" s="791"/>
      <c r="D175" s="228" t="s">
        <v>142</v>
      </c>
      <c r="E175" s="95">
        <f>'13'!F175</f>
        <v>26459</v>
      </c>
      <c r="F175" s="155">
        <v>26468</v>
      </c>
      <c r="G175" s="155">
        <f t="shared" si="15"/>
        <v>9</v>
      </c>
      <c r="H175" s="99">
        <f>G175+'13'!H175</f>
        <v>181</v>
      </c>
      <c r="I175" s="155"/>
      <c r="J175" s="178">
        <f>H175/DAY(B2)</f>
        <v>12.928571428571429</v>
      </c>
    </row>
    <row r="176" spans="1:10" ht="27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9</v>
      </c>
      <c r="H176" s="99">
        <f>G176+'13'!H176</f>
        <v>319</v>
      </c>
      <c r="I176" s="155"/>
      <c r="J176" s="178">
        <f>H176/DAY(B2)</f>
        <v>22.785714285714285</v>
      </c>
    </row>
    <row r="177" spans="1:10" ht="27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790" t="s">
        <v>210</v>
      </c>
      <c r="B178" s="791"/>
      <c r="C178" s="333"/>
      <c r="D178" s="228" t="s">
        <v>142</v>
      </c>
      <c r="E178" s="95">
        <f>'13'!F178</f>
        <v>111748</v>
      </c>
      <c r="F178" s="155">
        <v>111793</v>
      </c>
      <c r="G178" s="155">
        <f>F178-E178</f>
        <v>45</v>
      </c>
      <c r="H178" s="99">
        <f>G178+'13'!H178</f>
        <v>1402</v>
      </c>
      <c r="I178" s="155"/>
      <c r="J178" s="178">
        <f>H178/DAY(B2)</f>
        <v>100.14285714285714</v>
      </c>
    </row>
    <row r="179" spans="1:10" ht="27.75" customHeight="1">
      <c r="A179" s="790" t="s">
        <v>211</v>
      </c>
      <c r="B179" s="791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6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790" t="s">
        <v>212</v>
      </c>
      <c r="B180" s="791"/>
      <c r="C180" s="333"/>
      <c r="D180" s="228" t="s">
        <v>142</v>
      </c>
      <c r="E180" s="95">
        <f>'13'!F180</f>
        <v>7748</v>
      </c>
      <c r="F180" s="155">
        <v>7748</v>
      </c>
      <c r="G180" s="155">
        <f t="shared" si="16"/>
        <v>0</v>
      </c>
      <c r="H180" s="99">
        <f>G180+'13'!H180</f>
        <v>47</v>
      </c>
      <c r="I180" s="155"/>
      <c r="J180" s="178">
        <f>H180/DAY(B2)</f>
        <v>3.3571428571428572</v>
      </c>
    </row>
    <row r="181" spans="1:10" ht="27.75" customHeight="1">
      <c r="A181" s="878" t="s">
        <v>108</v>
      </c>
      <c r="B181" s="879"/>
      <c r="C181" s="400"/>
      <c r="D181" s="228" t="s">
        <v>142</v>
      </c>
      <c r="E181" s="95"/>
      <c r="F181" s="155" t="s">
        <v>207</v>
      </c>
      <c r="G181" s="155">
        <f>SUM(G178:G180)</f>
        <v>45</v>
      </c>
      <c r="H181" s="99">
        <f>G181+'13'!H181</f>
        <v>1449</v>
      </c>
      <c r="I181" s="155"/>
      <c r="J181" s="178">
        <f>H181/DAY(B2)</f>
        <v>103.5</v>
      </c>
    </row>
    <row r="182" spans="1:10" ht="27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790" t="s">
        <v>214</v>
      </c>
      <c r="B183" s="791"/>
      <c r="C183" s="334"/>
      <c r="D183" s="228" t="s">
        <v>142</v>
      </c>
      <c r="E183" s="95">
        <f>'13'!F183</f>
        <v>18764</v>
      </c>
      <c r="F183" s="157">
        <v>18771</v>
      </c>
      <c r="G183" s="157">
        <f>F183-E183</f>
        <v>7</v>
      </c>
      <c r="H183" s="99">
        <f>G183+'13'!H183</f>
        <v>79</v>
      </c>
      <c r="I183" s="155"/>
      <c r="J183" s="178">
        <f>H183/DAY(B2)</f>
        <v>5.6428571428571432</v>
      </c>
    </row>
    <row r="184" spans="1:10" ht="27.75" customHeight="1">
      <c r="A184" s="790" t="s">
        <v>215</v>
      </c>
      <c r="B184" s="791"/>
      <c r="C184" s="334"/>
      <c r="D184" s="228" t="s">
        <v>142</v>
      </c>
      <c r="E184" s="95">
        <f>'13'!F184</f>
        <v>13344</v>
      </c>
      <c r="F184" s="157">
        <v>13351</v>
      </c>
      <c r="G184" s="157">
        <f t="shared" ref="G184:G185" si="17">F184-E184</f>
        <v>7</v>
      </c>
      <c r="H184" s="99">
        <f>G184+'13'!H184</f>
        <v>105</v>
      </c>
      <c r="I184" s="155"/>
      <c r="J184" s="178">
        <f>H184/DAY(B2)</f>
        <v>7.5</v>
      </c>
    </row>
    <row r="185" spans="1:10" ht="27.75" customHeight="1">
      <c r="A185" s="790" t="s">
        <v>216</v>
      </c>
      <c r="B185" s="791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7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G186+'13'!H186</f>
        <v>184</v>
      </c>
      <c r="I186" s="157"/>
      <c r="J186" s="178">
        <f>H186/DAY(B2)</f>
        <v>13.142857142857142</v>
      </c>
    </row>
    <row r="187" spans="1:10" ht="27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159">
        <f>G62+G19</f>
        <v>64</v>
      </c>
      <c r="H187" s="99">
        <f>G187+'13'!H187</f>
        <v>1828</v>
      </c>
      <c r="I187" s="158"/>
      <c r="J187" s="179">
        <f>H187/DAY(B2)</f>
        <v>130.57142857142858</v>
      </c>
    </row>
    <row r="188" spans="1:10" ht="27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159">
        <f>G65+G66+G67+G69+G70</f>
        <v>161</v>
      </c>
      <c r="H188" s="99"/>
      <c r="I188" s="158"/>
      <c r="J188" s="404">
        <f>H188/DAY(B2)</f>
        <v>0</v>
      </c>
    </row>
    <row r="189" spans="1:10" ht="27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157">
        <f>G181</f>
        <v>45</v>
      </c>
      <c r="H189" s="99">
        <f>G189+'13'!H189</f>
        <v>1449</v>
      </c>
      <c r="I189" s="158"/>
      <c r="J189" s="179">
        <f>H189/DAY(B2)</f>
        <v>103.5</v>
      </c>
    </row>
    <row r="190" spans="1:10" ht="27.75" customHeight="1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" zoomScale="55" zoomScaleSheetLayoutView="55" workbookViewId="0">
      <selection activeCell="O38" sqref="O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372</v>
      </c>
      <c r="B2" s="262">
        <v>44941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930753.93</v>
      </c>
      <c r="F7" s="95">
        <v>953372</v>
      </c>
      <c r="G7" s="236">
        <f>F7-E7</f>
        <v>22618.069999999949</v>
      </c>
      <c r="H7" s="99">
        <f>G7+'14'!H7</f>
        <v>330573</v>
      </c>
      <c r="I7" s="113">
        <f>'1'!I7</f>
        <v>12000</v>
      </c>
      <c r="J7" s="175">
        <f>H7/DAY(B2)</f>
        <v>22038.2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131059.3</v>
      </c>
      <c r="F8" s="114">
        <v>154134.14000000001</v>
      </c>
      <c r="G8" s="518">
        <f>F8-E8</f>
        <v>23074.840000000011</v>
      </c>
      <c r="H8" s="99">
        <f>G8+'14'!H8</f>
        <v>338024.14000000007</v>
      </c>
      <c r="I8" s="116"/>
      <c r="J8" s="175">
        <f>H8/DAY(B2)</f>
        <v>22534.942666666673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4999612</v>
      </c>
      <c r="F9" s="468">
        <v>5011807.9000000004</v>
      </c>
      <c r="G9" s="112">
        <f>F9-E9</f>
        <v>12195.900000000373</v>
      </c>
      <c r="H9" s="99">
        <f>G9+'14'!H9</f>
        <v>186708.90000000037</v>
      </c>
      <c r="I9" s="124">
        <f>I7-J7</f>
        <v>-10038.200000000001</v>
      </c>
      <c r="J9" s="175">
        <f>H9/DAY(B2)</f>
        <v>12447.260000000026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4415900.7</v>
      </c>
      <c r="F10" s="353">
        <v>4425727.5</v>
      </c>
      <c r="G10" s="112">
        <f>F10-E10</f>
        <v>9826.7999999998137</v>
      </c>
      <c r="H10" s="99">
        <f>G10+'14'!H10</f>
        <v>135193.5</v>
      </c>
      <c r="I10" s="282"/>
      <c r="J10" s="175">
        <f>H10/DAY(B2)</f>
        <v>9012.9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38700</v>
      </c>
      <c r="F11" s="95">
        <v>38700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40550</v>
      </c>
      <c r="F12" s="117">
        <v>40550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22022.700000000186</v>
      </c>
      <c r="H13" s="99">
        <f>G13+'14'!H13</f>
        <v>321902.40000000037</v>
      </c>
      <c r="I13" s="120">
        <f>G7-G13</f>
        <v>595.36999999976251</v>
      </c>
      <c r="J13" s="175">
        <f>H13/DAY(B2)</f>
        <v>21460.160000000025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'14'!F15</f>
        <v>2303188</v>
      </c>
      <c r="F15" s="468">
        <v>2304259</v>
      </c>
      <c r="G15" s="112">
        <f>(F15-E15)</f>
        <v>1071</v>
      </c>
      <c r="H15" s="99">
        <f>G15+'14'!H15</f>
        <v>15785.285000000149</v>
      </c>
      <c r="I15" s="113">
        <f>'1'!I15</f>
        <v>800</v>
      </c>
      <c r="J15" s="175">
        <f>H15/DAY(B2)</f>
        <v>1052.3523333333433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-252.35233333334327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'14'!F18</f>
        <v>11</v>
      </c>
      <c r="F18" s="122">
        <v>27</v>
      </c>
      <c r="G18" s="119">
        <f>F18*10</f>
        <v>270</v>
      </c>
      <c r="H18" s="99">
        <f>G18+'14'!H18</f>
        <v>2270</v>
      </c>
      <c r="I18" s="113">
        <f>'1'!I18</f>
        <v>65</v>
      </c>
      <c r="J18" s="175">
        <f>H18/DAY(B2)</f>
        <v>151.33333333333334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'14'!F19</f>
        <v>172085</v>
      </c>
      <c r="F19" s="122">
        <v>172123</v>
      </c>
      <c r="G19" s="112">
        <f t="shared" ref="G19" si="1">F19-E19</f>
        <v>38</v>
      </c>
      <c r="H19" s="99">
        <f>G19+'14'!H19</f>
        <v>800</v>
      </c>
      <c r="I19" s="335"/>
      <c r="J19" s="175">
        <f>H19/DAY(B2)</f>
        <v>53.333333333333336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G20+'14'!H20</f>
        <v>3070</v>
      </c>
      <c r="I20" s="336">
        <f>I18-J20</f>
        <v>-139.66666666666666</v>
      </c>
      <c r="J20" s="175">
        <f>H20/DAY(B2)</f>
        <v>204.66666666666666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'14'!F23</f>
        <v>1960</v>
      </c>
      <c r="F23" s="122">
        <v>1860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4930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23074.840000000011</v>
      </c>
      <c r="F27" s="136">
        <v>10</v>
      </c>
      <c r="G27" s="137">
        <f>E27*F27</f>
        <v>230748.40000000011</v>
      </c>
      <c r="H27" s="99">
        <f>G27+'14'!H27</f>
        <v>3380241.4000000004</v>
      </c>
      <c r="I27" s="138"/>
      <c r="J27" s="175">
        <f>H27/DAY(B2)</f>
        <v>225349.4266666667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1071</v>
      </c>
      <c r="F28" s="136">
        <v>63</v>
      </c>
      <c r="G28" s="137">
        <f>E28*F28</f>
        <v>67473</v>
      </c>
      <c r="H28" s="99">
        <f>G28+'14'!H28</f>
        <v>1011394.4100000104</v>
      </c>
      <c r="I28" s="140"/>
      <c r="J28" s="175">
        <f>H28/DAY(B2)</f>
        <v>67426.294000000693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6900</v>
      </c>
      <c r="I29" s="140"/>
      <c r="J29" s="175">
        <f>H29/DAY(B2)</f>
        <v>460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38</v>
      </c>
      <c r="F30" s="136">
        <v>155</v>
      </c>
      <c r="G30" s="137">
        <f>E30*F30</f>
        <v>5890</v>
      </c>
      <c r="H30" s="99">
        <f>G30+'14'!H30</f>
        <v>122900</v>
      </c>
      <c r="I30" s="140"/>
      <c r="J30" s="175">
        <f>H30/DAY(B2)</f>
        <v>8193.3333333333339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88</v>
      </c>
      <c r="G31" s="137">
        <f>E31*F31</f>
        <v>23760</v>
      </c>
      <c r="H31" s="99">
        <f>G31+'14'!H31</f>
        <v>196640</v>
      </c>
      <c r="I31" s="140"/>
      <c r="J31" s="175">
        <f>H31/DAY(B2)</f>
        <v>13109.333333333334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327871.40000000014</v>
      </c>
      <c r="H32" s="99">
        <f>G32+'14'!H32</f>
        <v>4718075.8100000108</v>
      </c>
      <c r="I32" s="144"/>
      <c r="J32" s="175">
        <f>H32/DAY(B2)</f>
        <v>314538.38733333407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565968</v>
      </c>
      <c r="F35" s="145">
        <v>568614</v>
      </c>
      <c r="G35" s="112">
        <f t="shared" ref="G35:G46" si="3">F35-E35</f>
        <v>2646</v>
      </c>
      <c r="H35" s="99">
        <f>G35+'14'!H35</f>
        <v>38558</v>
      </c>
      <c r="I35" s="95"/>
      <c r="J35" s="175">
        <f>H35/DAY(B2)</f>
        <v>2570.5333333333333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395632.87</v>
      </c>
      <c r="F36" s="145">
        <v>396884.87</v>
      </c>
      <c r="G36" s="112">
        <f t="shared" si="3"/>
        <v>1252</v>
      </c>
      <c r="H36" s="99">
        <f>G36+'14'!H36</f>
        <v>15063.869999999995</v>
      </c>
      <c r="I36" s="95"/>
      <c r="J36" s="175">
        <f>H36/DAY(B2)</f>
        <v>1004.2579999999997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403707.31</v>
      </c>
      <c r="F37" s="145">
        <v>405062</v>
      </c>
      <c r="G37" s="112">
        <f t="shared" si="3"/>
        <v>1354.6900000000023</v>
      </c>
      <c r="H37" s="99">
        <f>G37+'14'!H37</f>
        <v>21443</v>
      </c>
      <c r="I37" s="95"/>
      <c r="J37" s="175">
        <f>H37/DAY(B2)</f>
        <v>1429.5333333333333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913335.35</v>
      </c>
      <c r="F38" s="108">
        <v>916011.59</v>
      </c>
      <c r="G38" s="112">
        <f t="shared" si="3"/>
        <v>2676.2399999999907</v>
      </c>
      <c r="H38" s="99">
        <f>G38+'14'!H38</f>
        <v>38884.589999999967</v>
      </c>
      <c r="I38" s="95"/>
      <c r="J38" s="175">
        <f>H38/DAY(B2)</f>
        <v>2592.3059999999978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745635.75</v>
      </c>
      <c r="F39" s="145">
        <v>748488</v>
      </c>
      <c r="G39" s="112">
        <f t="shared" si="3"/>
        <v>2852.25</v>
      </c>
      <c r="H39" s="99">
        <f>G39+'14'!H39</f>
        <v>42352</v>
      </c>
      <c r="I39" s="95"/>
      <c r="J39" s="175">
        <f>H39/DAY(B2)</f>
        <v>2823.4666666666667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221361.31</v>
      </c>
      <c r="F40" s="145">
        <v>221561</v>
      </c>
      <c r="G40" s="112">
        <f t="shared" si="3"/>
        <v>199.69000000000233</v>
      </c>
      <c r="H40" s="99">
        <f>G40+'14'!H40</f>
        <v>3769</v>
      </c>
      <c r="I40" s="95"/>
      <c r="J40" s="175">
        <f>H40/DAY(B2)</f>
        <v>251.26666666666668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420212.51</v>
      </c>
      <c r="F41" s="145">
        <v>420212.51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982309.59</v>
      </c>
      <c r="F42" s="145">
        <v>982309.56</v>
      </c>
      <c r="G42" s="112">
        <f t="shared" si="3"/>
        <v>-2.9999999911524355E-2</v>
      </c>
      <c r="H42" s="99">
        <f>G42+'14'!H42</f>
        <v>9246.9300000000512</v>
      </c>
      <c r="I42" s="95"/>
      <c r="J42" s="175">
        <f>H42/DAY(B2)</f>
        <v>616.4620000000034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422444</v>
      </c>
      <c r="F43" s="145">
        <v>422444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10980.840000000084</v>
      </c>
      <c r="H47" s="99">
        <f>G47+'14'!H47</f>
        <v>169317.39</v>
      </c>
      <c r="I47" s="95"/>
      <c r="J47" s="175">
        <f>H47/DAY(B2)</f>
        <v>11287.826000000001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830454</v>
      </c>
      <c r="F49" s="145">
        <v>830997.83</v>
      </c>
      <c r="G49" s="112">
        <f t="shared" ref="G49:G58" si="4">F49-E49</f>
        <v>543.82999999995809</v>
      </c>
      <c r="H49" s="99">
        <f>G49+'14'!H49</f>
        <v>8085.8299999999581</v>
      </c>
      <c r="I49" s="95"/>
      <c r="J49" s="175">
        <f>H49/DAY(B2)</f>
        <v>539.05533333333051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561250.67000000004</v>
      </c>
      <c r="F50" s="145">
        <v>562777</v>
      </c>
      <c r="G50" s="112">
        <f t="shared" si="4"/>
        <v>1526.3299999999581</v>
      </c>
      <c r="H50" s="99">
        <f>G50+'14'!H50</f>
        <v>20803</v>
      </c>
      <c r="I50" s="95"/>
      <c r="J50" s="175">
        <f>H50/DAY(B2)</f>
        <v>1386.8666666666666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156958.44</v>
      </c>
      <c r="F51" s="145">
        <v>156958.44</v>
      </c>
      <c r="G51" s="112">
        <f t="shared" si="4"/>
        <v>0</v>
      </c>
      <c r="H51" s="99">
        <f>G51+'14'!H51</f>
        <v>0.44000000000232831</v>
      </c>
      <c r="I51" s="95"/>
      <c r="J51" s="175">
        <f>H51/DAY(B2)</f>
        <v>2.9333333333488552E-2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1457</v>
      </c>
      <c r="F52" s="145">
        <v>1457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630355.03</v>
      </c>
      <c r="F53" s="145">
        <v>630355.03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128587.92</v>
      </c>
      <c r="F54" s="145">
        <v>128869.55</v>
      </c>
      <c r="G54" s="112">
        <f t="shared" si="4"/>
        <v>281.63000000000466</v>
      </c>
      <c r="H54" s="99">
        <f>G54+'14'!H54</f>
        <v>4755.3399999999965</v>
      </c>
      <c r="I54" s="95"/>
      <c r="J54" s="175">
        <f>H54/DAY(B2)</f>
        <v>317.02266666666645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602597</v>
      </c>
      <c r="F55" s="145">
        <v>606166</v>
      </c>
      <c r="G55" s="112">
        <f t="shared" si="4"/>
        <v>3569</v>
      </c>
      <c r="H55" s="99">
        <f>G55+'14'!H55</f>
        <v>11861.25</v>
      </c>
      <c r="I55" s="95"/>
      <c r="J55" s="175">
        <f>H55/DAY(B2)</f>
        <v>790.75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405435.55</v>
      </c>
      <c r="F56" s="145">
        <v>405435.55</v>
      </c>
      <c r="G56" s="112">
        <f t="shared" si="4"/>
        <v>0</v>
      </c>
      <c r="H56" s="99">
        <f>G56+'14'!H56</f>
        <v>32315.549999999988</v>
      </c>
      <c r="I56" s="95"/>
      <c r="J56" s="175">
        <f>H56/DAY(B2)</f>
        <v>2154.3699999999994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743987.75</v>
      </c>
      <c r="F57" s="145">
        <v>746596</v>
      </c>
      <c r="G57" s="112">
        <f t="shared" si="4"/>
        <v>2608.25</v>
      </c>
      <c r="H57" s="99">
        <f>G57+'14'!H57</f>
        <v>38898</v>
      </c>
      <c r="I57" s="95"/>
      <c r="J57" s="175">
        <f>H57/DAY(B2)</f>
        <v>2593.1999999999998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97597.59</v>
      </c>
      <c r="F58" s="145">
        <v>97840.51</v>
      </c>
      <c r="G58" s="112">
        <f t="shared" si="4"/>
        <v>242.91999999999825</v>
      </c>
      <c r="H58" s="99">
        <f>G58+'14'!H58</f>
        <v>3270.6899999999878</v>
      </c>
      <c r="I58" s="95"/>
      <c r="J58" s="175">
        <f>H58/DAY(B2)</f>
        <v>218.0459999999992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8771.9599999999191</v>
      </c>
      <c r="H59" s="99">
        <f>G59+'14'!H59</f>
        <v>119990.09999999993</v>
      </c>
      <c r="I59" s="95">
        <f>G7-G60</f>
        <v>2865.2699999999459</v>
      </c>
      <c r="J59" s="175">
        <f>H59/DAY(B2)</f>
        <v>7999.3399999999956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19752.800000000003</v>
      </c>
      <c r="H60" s="99">
        <f>G60+'14'!H60</f>
        <v>289307.49</v>
      </c>
      <c r="I60" s="95">
        <f>G13-G60</f>
        <v>2269.9000000001834</v>
      </c>
      <c r="J60" s="175">
        <f>H60/DAY(B2)</f>
        <v>19287.166000000001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'14'!F62</f>
        <v>316743</v>
      </c>
      <c r="F62" s="122">
        <v>316795</v>
      </c>
      <c r="G62" s="112">
        <f t="shared" ref="G62:G63" si="5">F62-E62</f>
        <v>52</v>
      </c>
      <c r="H62" s="99">
        <f>G62+'14'!H62</f>
        <v>1118</v>
      </c>
      <c r="I62" s="118"/>
      <c r="J62" s="175">
        <f>H62/DAY(B2)</f>
        <v>74.533333333333331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'14'!F63</f>
        <v>253542</v>
      </c>
      <c r="F63" s="122">
        <v>253631</v>
      </c>
      <c r="G63" s="112">
        <f t="shared" si="5"/>
        <v>89</v>
      </c>
      <c r="H63" s="99">
        <f>G63+'14'!H63</f>
        <v>1307</v>
      </c>
      <c r="I63" s="118"/>
      <c r="J63" s="175">
        <f>H63/DAY(B2)</f>
        <v>87.13333333333334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/>
      <c r="F64" s="122"/>
      <c r="G64" s="112">
        <f>G62+G63</f>
        <v>141</v>
      </c>
      <c r="H64" s="99">
        <f>G64+'14'!H64</f>
        <v>2425</v>
      </c>
      <c r="I64" s="118"/>
      <c r="J64" s="175">
        <f>H64/DAY(B2)</f>
        <v>161.66666666666666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'14'!F65</f>
        <v>477619</v>
      </c>
      <c r="F65" s="122">
        <v>477764</v>
      </c>
      <c r="G65" s="112">
        <f t="shared" ref="G65:G70" si="6">F65-E65</f>
        <v>145</v>
      </c>
      <c r="H65" s="99">
        <f>G65+'14'!H65</f>
        <v>1861</v>
      </c>
      <c r="I65" s="118"/>
      <c r="J65" s="175">
        <f>H65/DAY(B2)</f>
        <v>124.06666666666666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114681</v>
      </c>
      <c r="F66" s="122">
        <v>114690</v>
      </c>
      <c r="G66" s="112">
        <f t="shared" si="6"/>
        <v>9</v>
      </c>
      <c r="H66" s="99">
        <f>G66+'14'!H66</f>
        <v>224</v>
      </c>
      <c r="I66" s="118"/>
      <c r="J66" s="175">
        <f>H66/DAY(B2)</f>
        <v>14.933333333333334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117641</v>
      </c>
      <c r="F67" s="122">
        <v>117657</v>
      </c>
      <c r="G67" s="112">
        <f t="shared" si="6"/>
        <v>16</v>
      </c>
      <c r="H67" s="99">
        <f>G67+'14'!H67</f>
        <v>375</v>
      </c>
      <c r="I67" s="118"/>
      <c r="J67" s="175">
        <f>H67/DAY(B2)</f>
        <v>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170188</v>
      </c>
      <c r="F68" s="122">
        <v>170205</v>
      </c>
      <c r="G68" s="112">
        <f t="shared" si="6"/>
        <v>17</v>
      </c>
      <c r="H68" s="99">
        <f>G68+'14'!H68</f>
        <v>255</v>
      </c>
      <c r="I68" s="118"/>
      <c r="J68" s="175">
        <f>H68/DAY(B2)</f>
        <v>17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13274</v>
      </c>
      <c r="F69" s="122">
        <v>13283</v>
      </c>
      <c r="G69" s="112">
        <f t="shared" si="6"/>
        <v>9</v>
      </c>
      <c r="H69" s="99">
        <f>G69+'14'!H69</f>
        <v>71</v>
      </c>
      <c r="I69" s="118"/>
      <c r="J69" s="175">
        <f>H69/DAY(B2)</f>
        <v>4.7333333333333334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11357</v>
      </c>
      <c r="F70" s="122">
        <v>11364</v>
      </c>
      <c r="G70" s="112">
        <f t="shared" si="6"/>
        <v>7</v>
      </c>
      <c r="H70" s="99">
        <f>G70+'14'!H70</f>
        <v>106</v>
      </c>
      <c r="I70" s="118"/>
      <c r="J70" s="175">
        <f>H70/DAY(B2)</f>
        <v>7.0666666666666664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203</v>
      </c>
      <c r="H71" s="99">
        <f>G71+'14'!H71</f>
        <v>2892</v>
      </c>
      <c r="I71" s="154"/>
      <c r="J71" s="175">
        <f>H71/DAY(B2)</f>
        <v>192.8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'14'!F74</f>
        <v>16642</v>
      </c>
      <c r="F74" s="123">
        <v>16968.71</v>
      </c>
      <c r="G74" s="112">
        <f t="shared" ref="G74:G78" si="7">F74-E74</f>
        <v>326.70999999999913</v>
      </c>
      <c r="H74" s="99">
        <f>G74+'14'!H74</f>
        <v>4706.7099999999991</v>
      </c>
      <c r="I74" s="154"/>
      <c r="J74" s="175">
        <f>H74/DAY(B2)</f>
        <v>313.7806666666666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'14'!F75</f>
        <v>73586.600000000006</v>
      </c>
      <c r="F75" s="123">
        <v>73586.8</v>
      </c>
      <c r="G75" s="112">
        <f t="shared" si="7"/>
        <v>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'14'!F76</f>
        <v>212226</v>
      </c>
      <c r="F76" s="123">
        <v>212348</v>
      </c>
      <c r="G76" s="112">
        <f t="shared" si="7"/>
        <v>122</v>
      </c>
      <c r="H76" s="99">
        <f>G76+'14'!H76</f>
        <v>1688</v>
      </c>
      <c r="I76" s="154"/>
      <c r="J76" s="175">
        <f>H76/DAY(B2)</f>
        <v>112.53333333333333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'14'!F77</f>
        <v>60481</v>
      </c>
      <c r="F77" s="123">
        <v>60530</v>
      </c>
      <c r="G77" s="112">
        <f t="shared" si="7"/>
        <v>49</v>
      </c>
      <c r="H77" s="99">
        <f>G77+'14'!H77</f>
        <v>769</v>
      </c>
      <c r="I77" s="154"/>
      <c r="J77" s="175">
        <f>H77/DAY(B2)</f>
        <v>51.266666666666666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'14'!F78</f>
        <v>9564</v>
      </c>
      <c r="F78" s="409">
        <v>9564</v>
      </c>
      <c r="G78" s="112">
        <f t="shared" si="7"/>
        <v>0</v>
      </c>
      <c r="H78" s="99">
        <f>G78+'14'!H78</f>
        <v>0.5</v>
      </c>
      <c r="I78" s="118"/>
      <c r="J78" s="175">
        <f>H78/DAY(B2)</f>
        <v>3.3333333333333333E-2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'14'!F79</f>
        <v>0</v>
      </c>
      <c r="F79" s="123"/>
      <c r="G79" s="112">
        <f>G15-SUM(G74:G78)</f>
        <v>573.09000000000378</v>
      </c>
      <c r="H79" s="99">
        <f>G79+'14'!H79</f>
        <v>8621.0750000001499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1071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43546</v>
      </c>
      <c r="F84" s="164">
        <v>43546</v>
      </c>
      <c r="G84" s="112">
        <f t="shared" si="8"/>
        <v>0</v>
      </c>
      <c r="H84" s="99">
        <f>G84+'14'!H84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6258</v>
      </c>
      <c r="F85" s="164">
        <v>6258</v>
      </c>
      <c r="G85" s="112">
        <f t="shared" si="8"/>
        <v>0</v>
      </c>
      <c r="H85" s="99">
        <f>G85+'14'!H85</f>
        <v>45</v>
      </c>
      <c r="I85" s="543"/>
      <c r="J85" s="175">
        <f>H85/DAY(B2)</f>
        <v>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47029</v>
      </c>
      <c r="F86" s="164">
        <v>47053</v>
      </c>
      <c r="G86" s="112">
        <f t="shared" si="8"/>
        <v>24</v>
      </c>
      <c r="H86" s="99">
        <f>G86+'14'!H86</f>
        <v>82</v>
      </c>
      <c r="I86" s="543"/>
      <c r="J86" s="175">
        <f>H86/DAY(B2)</f>
        <v>5.4666666666666668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37602</v>
      </c>
      <c r="F87" s="164">
        <v>37602</v>
      </c>
      <c r="G87" s="112">
        <f t="shared" si="8"/>
        <v>0</v>
      </c>
      <c r="H87" s="99">
        <f>G87+'14'!H87</f>
        <v>238</v>
      </c>
      <c r="I87" s="543">
        <f>G84+G85+G86+G87</f>
        <v>24</v>
      </c>
      <c r="J87" s="175">
        <f>H87/DAY(B2)</f>
        <v>15.866666666666667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24845.599999999999</v>
      </c>
      <c r="F88" s="164">
        <v>24854</v>
      </c>
      <c r="G88" s="112">
        <f t="shared" si="8"/>
        <v>8.4000000000014552</v>
      </c>
      <c r="H88" s="99">
        <f>G88+'14'!H88</f>
        <v>92</v>
      </c>
      <c r="I88" s="543"/>
      <c r="J88" s="175">
        <f>H88/DAY(B2)</f>
        <v>6.1333333333333337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29106.33</v>
      </c>
      <c r="F89" s="164">
        <v>29112</v>
      </c>
      <c r="G89" s="112">
        <f t="shared" si="8"/>
        <v>5.6699999999982538</v>
      </c>
      <c r="H89" s="99">
        <f>G89+'14'!H89</f>
        <v>84</v>
      </c>
      <c r="I89" s="543">
        <f>G88+G89</f>
        <v>14.069999999999709</v>
      </c>
      <c r="J89" s="175">
        <f>H89/DAY(B2)</f>
        <v>5.6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74551</v>
      </c>
      <c r="F90" s="164">
        <v>74555</v>
      </c>
      <c r="G90" s="112">
        <f t="shared" si="8"/>
        <v>4</v>
      </c>
      <c r="H90" s="99">
        <f>G90+'14'!H90</f>
        <v>107</v>
      </c>
      <c r="I90" s="543">
        <f>G90</f>
        <v>4</v>
      </c>
      <c r="J90" s="175">
        <f>H90/DAY(B2)</f>
        <v>7.1333333333333337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5749.46</v>
      </c>
      <c r="F91" s="122">
        <v>5761.58</v>
      </c>
      <c r="G91" s="112">
        <f t="shared" si="8"/>
        <v>12.119999999999891</v>
      </c>
      <c r="H91" s="99">
        <f>G91+'14'!H91</f>
        <v>143.36999999999989</v>
      </c>
      <c r="I91" s="544"/>
      <c r="J91" s="175">
        <f>H91/DAY(B2)</f>
        <v>9.5579999999999927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7469</v>
      </c>
      <c r="F92" s="122">
        <v>7469</v>
      </c>
      <c r="G92" s="112">
        <f t="shared" si="8"/>
        <v>0</v>
      </c>
      <c r="H92" s="99">
        <f>G92+'14'!H92</f>
        <v>36.720000000000255</v>
      </c>
      <c r="I92" s="545">
        <f>G91+G92</f>
        <v>12.119999999999891</v>
      </c>
      <c r="J92" s="175">
        <f>H92/DAY(B2)</f>
        <v>2.4480000000000168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5798.0799999999581</v>
      </c>
      <c r="H94" s="99">
        <f>G94+'14'!H94</f>
        <v>85541.829999999958</v>
      </c>
      <c r="I94" s="118"/>
      <c r="J94" s="175">
        <f>H94/DAY(B2)</f>
        <v>5702.7886666666636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0.25634724801894992</v>
      </c>
      <c r="H95" s="99">
        <f>G95+'14'!H95</f>
        <v>3.8861833349941248</v>
      </c>
      <c r="I95" s="167"/>
      <c r="J95" s="175">
        <f>H95/DAY(B2)</f>
        <v>0.25907888899960835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3568.9700000000885</v>
      </c>
      <c r="H96" s="99">
        <f>G96+'14'!H96</f>
        <v>53423.73000000004</v>
      </c>
      <c r="I96" s="118"/>
      <c r="J96" s="175">
        <f>H96/DAY(B2)</f>
        <v>3561.5820000000026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0.15779286207886423</v>
      </c>
      <c r="H97" s="99">
        <f>G97+'14'!H97</f>
        <v>2.422163083308936</v>
      </c>
      <c r="I97" s="167"/>
      <c r="J97" s="175">
        <f>H97/DAY(B2)</f>
        <v>0.16147753888726241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2852.25</v>
      </c>
      <c r="H98" s="99">
        <f>G98+'14'!H98</f>
        <v>42352</v>
      </c>
      <c r="I98" s="168"/>
      <c r="J98" s="175">
        <f>H98/DAY(B2)</f>
        <v>2823.4666666666667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0.12610492407177121</v>
      </c>
      <c r="H99" s="99">
        <f>G99+'14'!H99</f>
        <v>1.9241044731735881</v>
      </c>
      <c r="I99" s="168"/>
      <c r="J99" s="175">
        <f>H99/DAY(B2)</f>
        <v>0.12827363154490587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2676.2399999999907</v>
      </c>
      <c r="H100" s="99">
        <f>G100+'14'!H100</f>
        <v>38884.589999999967</v>
      </c>
      <c r="I100" s="118"/>
      <c r="J100" s="175">
        <f>H100/DAY(B2)</f>
        <v>2592.3059999999978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0.11832309299599819</v>
      </c>
      <c r="H101" s="99">
        <f>G101+'14'!H101</f>
        <v>1.7634362059141973</v>
      </c>
      <c r="I101" s="168"/>
      <c r="J101" s="175">
        <f>H101/DAY(B2)</f>
        <v>0.11756241372761315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2778.3299999999581</v>
      </c>
      <c r="H102" s="99">
        <f>G102+'14'!H102</f>
        <v>35866.869999999995</v>
      </c>
      <c r="I102" s="168"/>
      <c r="J102" s="175">
        <f>H102/DAY(B2)</f>
        <v>2391.1246666666661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0.1228367407121812</v>
      </c>
      <c r="H103" s="99">
        <f>G103+'14'!H103</f>
        <v>1.624548258982617</v>
      </c>
      <c r="I103" s="118"/>
      <c r="J103" s="175">
        <f>H103/DAY(B2)</f>
        <v>0.1083032172655078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1354.6900000000023</v>
      </c>
      <c r="H104" s="99">
        <f>G104+'14'!H104</f>
        <v>21443.440000000002</v>
      </c>
      <c r="I104" s="118"/>
      <c r="J104" s="175">
        <f>H104/DAY(B2)</f>
        <v>1429.5626666666669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5.989414658279886E-2</v>
      </c>
      <c r="H105" s="99">
        <f>G105+'14'!H105</f>
        <v>0.97324514748502744</v>
      </c>
      <c r="I105" s="187"/>
      <c r="J105" s="188">
        <f>H105/DAY(B2)</f>
        <v>6.4883009832335165E-2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'14'!F112</f>
        <v>20250.54</v>
      </c>
      <c r="F112" s="237">
        <v>20313.22</v>
      </c>
      <c r="G112" s="112">
        <f t="shared" ref="G112:G123" si="9">F112-E112</f>
        <v>62.680000000000291</v>
      </c>
      <c r="H112" s="99">
        <f>G112+'14'!H112</f>
        <v>916.22000000000116</v>
      </c>
      <c r="I112" s="165"/>
      <c r="J112" s="328">
        <f>H112/DAY(B2)</f>
        <v>61.081333333333411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'14'!F113</f>
        <v>43554.52</v>
      </c>
      <c r="F113" s="237">
        <v>43696</v>
      </c>
      <c r="G113" s="112">
        <f t="shared" si="9"/>
        <v>141.4800000000032</v>
      </c>
      <c r="H113" s="99">
        <f>G113+'14'!H113</f>
        <v>2176.0500000000029</v>
      </c>
      <c r="I113" s="165"/>
      <c r="J113" s="328">
        <f>H113/DAY(B2)</f>
        <v>145.07000000000019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'14'!F114</f>
        <v>64367.34</v>
      </c>
      <c r="F114" s="237">
        <v>64594</v>
      </c>
      <c r="G114" s="112">
        <f t="shared" si="9"/>
        <v>226.66000000000349</v>
      </c>
      <c r="H114" s="99">
        <f>G114+'14'!H114</f>
        <v>3376</v>
      </c>
      <c r="I114" s="165"/>
      <c r="J114" s="328">
        <f>H114/DAY(B2)</f>
        <v>225.06666666666666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'14'!F115</f>
        <v>41439.85</v>
      </c>
      <c r="F115" s="237">
        <v>41592.550000000003</v>
      </c>
      <c r="G115" s="112">
        <f t="shared" si="9"/>
        <v>152.70000000000437</v>
      </c>
      <c r="H115" s="99">
        <f>G115+'14'!H115</f>
        <v>2133.5500000000029</v>
      </c>
      <c r="I115" s="165"/>
      <c r="J115" s="328">
        <f>H115/DAY(B2)</f>
        <v>142.23666666666685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'14'!F116</f>
        <v>154240.68</v>
      </c>
      <c r="F116" s="416">
        <v>154656</v>
      </c>
      <c r="G116" s="112">
        <f t="shared" si="9"/>
        <v>415.32000000000698</v>
      </c>
      <c r="H116" s="99">
        <f>G116+'14'!H116</f>
        <v>6726</v>
      </c>
      <c r="I116" s="165"/>
      <c r="J116" s="328">
        <f>H116/DAY(B2)</f>
        <v>448.4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'14'!F117</f>
        <v>95423.214999999997</v>
      </c>
      <c r="F117" s="237">
        <v>95664.6</v>
      </c>
      <c r="G117" s="112">
        <f t="shared" si="9"/>
        <v>241.38500000000931</v>
      </c>
      <c r="H117" s="99">
        <f>G117+'14'!H117</f>
        <v>3675.2010000000009</v>
      </c>
      <c r="I117" s="165"/>
      <c r="J117" s="328">
        <f>H117/DAY(B2)</f>
        <v>245.01340000000008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'14'!F118</f>
        <v>187376.75</v>
      </c>
      <c r="F118" s="237">
        <v>188087.67</v>
      </c>
      <c r="G118" s="112">
        <f t="shared" si="9"/>
        <v>710.92000000001281</v>
      </c>
      <c r="H118" s="99">
        <f>G118+'14'!H118</f>
        <v>10555.140000000014</v>
      </c>
      <c r="I118" s="165"/>
      <c r="J118" s="328">
        <f>H118/DAY(B2)</f>
        <v>703.67600000000095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'14'!F119</f>
        <v>45923.699000000001</v>
      </c>
      <c r="F119" s="237">
        <v>45980.3</v>
      </c>
      <c r="G119" s="112">
        <f t="shared" si="9"/>
        <v>56.601000000002387</v>
      </c>
      <c r="H119" s="99">
        <f>G119+'14'!H119</f>
        <v>787.30000000000291</v>
      </c>
      <c r="I119" s="165"/>
      <c r="J119" s="328">
        <f>H119/DAY(B2)</f>
        <v>52.486666666666864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'14'!F120</f>
        <v>125808.4</v>
      </c>
      <c r="F120" s="237">
        <v>126209</v>
      </c>
      <c r="G120" s="112">
        <f t="shared" si="9"/>
        <v>400.60000000000582</v>
      </c>
      <c r="H120" s="99">
        <f>G120+'14'!H120</f>
        <v>5765</v>
      </c>
      <c r="I120" s="165"/>
      <c r="J120" s="328">
        <f>H120/DAY(B2)</f>
        <v>384.33333333333331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'14'!F121</f>
        <v>140577.64000000001</v>
      </c>
      <c r="F121" s="237">
        <v>141014</v>
      </c>
      <c r="G121" s="112">
        <f t="shared" si="9"/>
        <v>436.35999999998603</v>
      </c>
      <c r="H121" s="99">
        <f>G121+'14'!H121</f>
        <v>6451</v>
      </c>
      <c r="I121" s="165"/>
      <c r="J121" s="328">
        <f>H121/DAY(B2)</f>
        <v>430.06666666666666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'14'!F122</f>
        <v>95216.47</v>
      </c>
      <c r="F122" s="237">
        <v>95514.57</v>
      </c>
      <c r="G122" s="112">
        <f t="shared" si="9"/>
        <v>298.10000000000582</v>
      </c>
      <c r="H122" s="99">
        <f>G122+'14'!H122</f>
        <v>4637.570000000007</v>
      </c>
      <c r="I122" s="165"/>
      <c r="J122" s="328">
        <f>H122/DAY(B2)</f>
        <v>309.17133333333379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'14'!F123</f>
        <v>91893.854999999996</v>
      </c>
      <c r="F123" s="237">
        <v>92208</v>
      </c>
      <c r="G123" s="112">
        <f t="shared" si="9"/>
        <v>314.14500000000407</v>
      </c>
      <c r="H123" s="99">
        <f>G123+'14'!H123</f>
        <v>4629</v>
      </c>
      <c r="I123" s="165"/>
      <c r="J123" s="328">
        <f>H123/DAY(B2)</f>
        <v>308.60000000000002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3456.9510000000446</v>
      </c>
      <c r="H125" s="156"/>
      <c r="I125" s="327">
        <f>G125-(G39+G53)</f>
        <v>604.70100000004459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'14'!F128</f>
        <v>214123.71</v>
      </c>
      <c r="F128" s="165">
        <v>214556.89</v>
      </c>
      <c r="G128" s="112">
        <f t="shared" ref="G128:G134" si="10">F128-E128</f>
        <v>433.18000000002212</v>
      </c>
      <c r="H128" s="99">
        <f>G128+'14'!H128</f>
        <v>7267.890000000014</v>
      </c>
      <c r="I128" s="165"/>
      <c r="J128" s="328">
        <f>H128/DAY(B2)</f>
        <v>484.52600000000092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2272.38</v>
      </c>
      <c r="F129" s="165">
        <v>2389.77</v>
      </c>
      <c r="G129" s="112">
        <f t="shared" si="10"/>
        <v>117.38999999999987</v>
      </c>
      <c r="H129" s="99">
        <f>G129+'14'!H129</f>
        <v>1655.77</v>
      </c>
      <c r="I129" s="165"/>
      <c r="J129" s="328">
        <f>H129/DAY(B2)</f>
        <v>110.38466666666666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296039</v>
      </c>
      <c r="F130" s="165">
        <v>296689.09000000003</v>
      </c>
      <c r="G130" s="112">
        <f t="shared" si="10"/>
        <v>650.09000000002561</v>
      </c>
      <c r="H130" s="99">
        <f>G130+'14'!H130</f>
        <v>7967.0900000000256</v>
      </c>
      <c r="I130" s="165"/>
      <c r="J130" s="328">
        <f>H130/DAY(B2)</f>
        <v>531.139333333335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'14'!F131</f>
        <v>87442.967999999993</v>
      </c>
      <c r="F131" s="158">
        <v>87665</v>
      </c>
      <c r="G131" s="112">
        <f t="shared" si="10"/>
        <v>222.03200000000652</v>
      </c>
      <c r="H131" s="99">
        <f>G131+'14'!H131</f>
        <v>2961.1699999999983</v>
      </c>
      <c r="I131" s="165"/>
      <c r="J131" s="328">
        <f>H131/DAY(B2)</f>
        <v>197.4113333333332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'14'!F132</f>
        <v>71833.759999999995</v>
      </c>
      <c r="F132" s="165">
        <v>72144</v>
      </c>
      <c r="G132" s="112">
        <f t="shared" si="10"/>
        <v>310.24000000000524</v>
      </c>
      <c r="H132" s="99">
        <f>G132+'14'!H132</f>
        <v>4697</v>
      </c>
      <c r="I132" s="165"/>
      <c r="J132" s="328">
        <f>H132/DAY(B2)</f>
        <v>313.13333333333333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'14'!F133</f>
        <v>958188</v>
      </c>
      <c r="F133" s="165">
        <v>958912</v>
      </c>
      <c r="G133" s="112">
        <f t="shared" si="10"/>
        <v>724</v>
      </c>
      <c r="H133" s="99">
        <f>G133+'14'!H133</f>
        <v>8765</v>
      </c>
      <c r="I133" s="165"/>
      <c r="J133" s="328">
        <f>H133/DAY(B2)</f>
        <v>584.33333333333337</v>
      </c>
    </row>
    <row r="134" spans="1:15" s="408" customFormat="1" ht="25.5">
      <c r="A134" s="956" t="s">
        <v>340</v>
      </c>
      <c r="B134" s="957"/>
      <c r="C134" s="958"/>
      <c r="D134" s="233" t="s">
        <v>183</v>
      </c>
      <c r="E134" s="405">
        <f>'14'!F134</f>
        <v>925491</v>
      </c>
      <c r="F134" s="158">
        <v>926135</v>
      </c>
      <c r="G134" s="236">
        <f t="shared" si="10"/>
        <v>644</v>
      </c>
      <c r="H134" s="238">
        <f>G134+'14'!H134</f>
        <v>5151.9100000000035</v>
      </c>
      <c r="I134" s="158"/>
      <c r="J134" s="407">
        <f>H134/DAY(B2)</f>
        <v>343.4606666666669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3100.9320000000594</v>
      </c>
      <c r="H135" s="99">
        <f>G135+'10'!H135</f>
        <v>27354.54200000003</v>
      </c>
      <c r="I135" s="327">
        <f>G135-(G35+G49)</f>
        <v>-88.89799999989873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1738</v>
      </c>
      <c r="I138" s="118"/>
      <c r="J138" s="328">
        <f>H138/DAY(B2)</f>
        <v>115.86666666666666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'14'!F139</f>
        <v>939267</v>
      </c>
      <c r="F139" s="148">
        <v>939422</v>
      </c>
      <c r="G139" s="112">
        <f t="shared" si="11"/>
        <v>155</v>
      </c>
      <c r="H139" s="99">
        <f>G139+'14'!H139</f>
        <v>2164</v>
      </c>
      <c r="I139" s="118"/>
      <c r="J139" s="328">
        <f>H139/DAY(B2)</f>
        <v>144.26666666666668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'14'!F140</f>
        <v>5202</v>
      </c>
      <c r="F140" s="149">
        <v>5235</v>
      </c>
      <c r="G140" s="112">
        <f t="shared" si="11"/>
        <v>33</v>
      </c>
      <c r="H140" s="99">
        <f>G140+'14'!H140</f>
        <v>471</v>
      </c>
      <c r="I140" s="118"/>
      <c r="J140" s="328">
        <f>H140/DAY(B2)</f>
        <v>31.4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'14'!F141</f>
        <v>134764.04999999999</v>
      </c>
      <c r="F141" s="149">
        <v>135070.24</v>
      </c>
      <c r="G141" s="112">
        <f t="shared" si="11"/>
        <v>306.19000000000233</v>
      </c>
      <c r="H141" s="99">
        <f>G141+'14'!H141</f>
        <v>3750.2399999999907</v>
      </c>
      <c r="I141" s="118"/>
      <c r="J141" s="328">
        <f>H141/DAY(B2)</f>
        <v>250.01599999999937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'14'!F142</f>
        <v>54444.334999999999</v>
      </c>
      <c r="F142" s="148">
        <v>54527</v>
      </c>
      <c r="G142" s="112">
        <f t="shared" si="11"/>
        <v>82.665000000000873</v>
      </c>
      <c r="H142" s="99">
        <f>G142+'14'!H142</f>
        <v>1336</v>
      </c>
      <c r="I142" s="140"/>
      <c r="J142" s="328">
        <f>H142/DAY(B2)</f>
        <v>89.066666666666663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'14'!F143</f>
        <v>14764.05</v>
      </c>
      <c r="F143" s="149">
        <v>14794</v>
      </c>
      <c r="G143" s="112">
        <f t="shared" si="11"/>
        <v>29.950000000000728</v>
      </c>
      <c r="H143" s="99">
        <f>G143+'14'!H143</f>
        <v>482</v>
      </c>
      <c r="I143" s="140"/>
      <c r="J143" s="328">
        <f>H143/DAY(B2)</f>
        <v>32.133333333333333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'14'!F144</f>
        <v>966819</v>
      </c>
      <c r="F144" s="149">
        <v>967053</v>
      </c>
      <c r="G144" s="112">
        <f t="shared" si="11"/>
        <v>234</v>
      </c>
      <c r="H144" s="99">
        <f>G144+'14'!H144</f>
        <v>3827</v>
      </c>
      <c r="I144" s="140"/>
      <c r="J144" s="328">
        <f>H144/DAY(B2)</f>
        <v>255.13333333333333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'14'!F145</f>
        <v>753670</v>
      </c>
      <c r="F145" s="148">
        <v>753992</v>
      </c>
      <c r="G145" s="112">
        <f t="shared" si="11"/>
        <v>322</v>
      </c>
      <c r="H145" s="99">
        <f>G145+'14'!H145</f>
        <v>3259</v>
      </c>
      <c r="I145" s="140"/>
      <c r="J145" s="328">
        <f>H145/DAY(B2)</f>
        <v>217.26666666666668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'14'!F146</f>
        <v>789540</v>
      </c>
      <c r="F146" s="148">
        <v>789589</v>
      </c>
      <c r="G146" s="112">
        <f t="shared" si="11"/>
        <v>49</v>
      </c>
      <c r="H146" s="99">
        <f>G146+'14'!H146</f>
        <v>564</v>
      </c>
      <c r="I146" s="140"/>
      <c r="J146" s="328">
        <f>H146/DAY(B2)</f>
        <v>37.6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'14'!F147</f>
        <v>776861.28</v>
      </c>
      <c r="F147" s="148">
        <v>777242</v>
      </c>
      <c r="G147" s="112">
        <f t="shared" si="11"/>
        <v>380.71999999997206</v>
      </c>
      <c r="H147" s="99">
        <f>G147+'14'!H147</f>
        <v>5585.1199999999953</v>
      </c>
      <c r="I147" s="140"/>
      <c r="J147" s="328">
        <f>H147/DAY(B2)</f>
        <v>372.34133333333301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'14'!F148</f>
        <v>811592</v>
      </c>
      <c r="F148" s="150">
        <v>812003.12</v>
      </c>
      <c r="G148" s="112">
        <f t="shared" si="11"/>
        <v>411.11999999999534</v>
      </c>
      <c r="H148" s="99">
        <f>G148+'14'!H148</f>
        <v>5182.8800000000047</v>
      </c>
      <c r="I148" s="124"/>
      <c r="J148" s="328">
        <f>H148/DAY(B2)</f>
        <v>345.52533333333366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'14'!F149</f>
        <v>223525</v>
      </c>
      <c r="F149" s="415">
        <v>223970</v>
      </c>
      <c r="G149" s="112">
        <f t="shared" si="11"/>
        <v>445</v>
      </c>
      <c r="H149" s="99">
        <f>G149+'14'!H149</f>
        <v>7074</v>
      </c>
      <c r="I149" s="119"/>
      <c r="J149" s="328">
        <f>H149/DAY(B2)</f>
        <v>471.6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'14'!F150</f>
        <v>96602</v>
      </c>
      <c r="F150" s="233">
        <v>96674</v>
      </c>
      <c r="G150" s="112">
        <f t="shared" si="11"/>
        <v>72</v>
      </c>
      <c r="H150" s="99">
        <f>G150+'14'!H150</f>
        <v>3509</v>
      </c>
      <c r="I150" s="119"/>
      <c r="J150" s="328">
        <f>H150/DAY(B2)</f>
        <v>233.93333333333334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'14'!F151</f>
        <v>180895</v>
      </c>
      <c r="F151" s="233">
        <v>181321</v>
      </c>
      <c r="G151" s="112">
        <f t="shared" si="11"/>
        <v>426</v>
      </c>
      <c r="H151" s="99">
        <f>G151+'14'!H151</f>
        <v>5146</v>
      </c>
      <c r="I151" s="119"/>
      <c r="J151" s="328">
        <f>H151/DAY(B2)</f>
        <v>343.06666666666666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'14'!F152</f>
        <v>48475.23</v>
      </c>
      <c r="F152" s="233">
        <v>48603</v>
      </c>
      <c r="G152" s="112">
        <f t="shared" si="11"/>
        <v>127.7699999999968</v>
      </c>
      <c r="H152" s="99">
        <f>G152+'14'!H152</f>
        <v>1971</v>
      </c>
      <c r="I152" s="119"/>
      <c r="J152" s="328">
        <f>H152/DAY(B2)</f>
        <v>131.4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3181.4149999999681</v>
      </c>
      <c r="H153" s="363"/>
      <c r="I153" s="119">
        <f>G153-(G38+G52)</f>
        <v>505.17499999997744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'14'!F155</f>
        <v>264148</v>
      </c>
      <c r="F155" s="157">
        <v>264711</v>
      </c>
      <c r="G155" s="112">
        <f t="shared" ref="G155:G158" si="12">F155-E155</f>
        <v>563</v>
      </c>
      <c r="H155" s="99">
        <f>G155+'14'!H155</f>
        <v>8359</v>
      </c>
      <c r="I155" s="364"/>
      <c r="J155" s="328">
        <f>H155/DAY(B2)</f>
        <v>557.26666666666665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'14'!F156</f>
        <v>33908</v>
      </c>
      <c r="F156" s="157">
        <v>33998</v>
      </c>
      <c r="G156" s="112">
        <f t="shared" si="12"/>
        <v>90</v>
      </c>
      <c r="H156" s="99">
        <f>G156+'14'!H156</f>
        <v>1439</v>
      </c>
      <c r="I156" s="165"/>
      <c r="J156" s="328">
        <f>H156/DAY(B2)</f>
        <v>95.933333333333337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'14'!F157</f>
        <v>2717</v>
      </c>
      <c r="F157" s="157">
        <v>2782</v>
      </c>
      <c r="G157" s="112">
        <f t="shared" si="12"/>
        <v>65</v>
      </c>
      <c r="H157" s="99">
        <f>G157+'14'!H157</f>
        <v>890</v>
      </c>
      <c r="I157" s="165"/>
      <c r="J157" s="328">
        <f>H157/DAY(B2)</f>
        <v>59.333333333333336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'14'!F158</f>
        <v>1788</v>
      </c>
      <c r="F158" s="157">
        <v>1790</v>
      </c>
      <c r="G158" s="112">
        <f t="shared" si="12"/>
        <v>2</v>
      </c>
      <c r="H158" s="99">
        <f>G158+'14'!H158</f>
        <v>7</v>
      </c>
      <c r="I158" s="165"/>
      <c r="J158" s="328">
        <f>H158/DAY(B2)</f>
        <v>0.46666666666666667</v>
      </c>
    </row>
    <row r="159" spans="1:10" ht="25.5">
      <c r="A159" s="946"/>
      <c r="B159" s="947"/>
      <c r="C159" s="948"/>
      <c r="D159" s="117"/>
      <c r="E159" s="95"/>
      <c r="F159" s="165"/>
      <c r="G159" s="362">
        <f>SUM(G155:G158)</f>
        <v>720</v>
      </c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514525.32</v>
      </c>
      <c r="F161" s="235">
        <v>514682.52</v>
      </c>
      <c r="G161" s="238">
        <f t="shared" ref="G161:G165" si="13">F161-E161</f>
        <v>157.20000000001164</v>
      </c>
      <c r="H161" s="99">
        <f>G161+'14'!H161</f>
        <v>2237.5200000000186</v>
      </c>
      <c r="I161" s="236"/>
      <c r="J161" s="239">
        <f>H161/DAY(B2)</f>
        <v>149.16800000000123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2342</v>
      </c>
      <c r="F162" s="235">
        <v>2388</v>
      </c>
      <c r="G162" s="238">
        <f t="shared" si="13"/>
        <v>46</v>
      </c>
      <c r="H162" s="99">
        <f>G162+'14'!H162</f>
        <v>601</v>
      </c>
      <c r="I162" s="236"/>
      <c r="J162" s="239">
        <f>H162/DAY(B2)</f>
        <v>40.06666666666667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0</v>
      </c>
      <c r="F163" s="235">
        <v>0</v>
      </c>
      <c r="G163" s="238">
        <f t="shared" si="13"/>
        <v>0</v>
      </c>
      <c r="H163" s="99">
        <f>G163+'14'!H163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7376</v>
      </c>
      <c r="F164" s="235">
        <v>7376</v>
      </c>
      <c r="G164" s="238">
        <f t="shared" si="13"/>
        <v>0</v>
      </c>
      <c r="H164" s="99">
        <f>G164+'14'!H164</f>
        <v>39</v>
      </c>
      <c r="I164" s="236"/>
      <c r="J164" s="239">
        <f>H164/DAY(B2)</f>
        <v>2.6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33072.199999999997</v>
      </c>
      <c r="F165" s="235">
        <v>33081</v>
      </c>
      <c r="G165" s="238">
        <f t="shared" si="13"/>
        <v>8.8000000000029104</v>
      </c>
      <c r="H165" s="99">
        <f>G165+'14'!H165</f>
        <v>106.4800000000032</v>
      </c>
      <c r="I165" s="236"/>
      <c r="J165" s="239">
        <f>H165/DAY(B2)</f>
        <v>7.0986666666668805</v>
      </c>
    </row>
    <row r="166" spans="1:10" ht="26.25">
      <c r="A166" s="872"/>
      <c r="B166" s="87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1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790" t="s">
        <v>209</v>
      </c>
      <c r="B173" s="791"/>
      <c r="C173" s="333"/>
      <c r="D173" s="228" t="s">
        <v>142</v>
      </c>
      <c r="E173" s="95">
        <f>'14'!F173</f>
        <v>8600</v>
      </c>
      <c r="F173" s="155">
        <v>8600</v>
      </c>
      <c r="G173" s="155">
        <f>F173-E173</f>
        <v>0</v>
      </c>
      <c r="H173" s="99">
        <f>G173+'14'!H173</f>
        <v>18</v>
      </c>
      <c r="I173" s="155"/>
      <c r="J173" s="178">
        <f>H173/DAY(B2)</f>
        <v>1.2</v>
      </c>
    </row>
    <row r="174" spans="1:10" ht="21.75" customHeight="1">
      <c r="A174" s="790" t="s">
        <v>75</v>
      </c>
      <c r="B174" s="791"/>
      <c r="C174" s="333"/>
      <c r="D174" s="228" t="s">
        <v>142</v>
      </c>
      <c r="E174" s="95">
        <f>'14'!F174</f>
        <v>43534</v>
      </c>
      <c r="F174" s="157">
        <v>43545</v>
      </c>
      <c r="G174" s="155">
        <f t="shared" ref="G174:G175" si="14">F174-E174</f>
        <v>11</v>
      </c>
      <c r="H174" s="99">
        <f>G174+'14'!H174</f>
        <v>131</v>
      </c>
      <c r="I174" s="155"/>
      <c r="J174" s="178">
        <f>H174/DAY(B2)</f>
        <v>8.7333333333333325</v>
      </c>
    </row>
    <row r="175" spans="1:10" ht="21.75" customHeight="1">
      <c r="A175" s="790" t="s">
        <v>76</v>
      </c>
      <c r="B175" s="803"/>
      <c r="C175" s="791"/>
      <c r="D175" s="228" t="s">
        <v>142</v>
      </c>
      <c r="E175" s="95">
        <f>'14'!F175</f>
        <v>26468</v>
      </c>
      <c r="F175" s="155">
        <v>26483</v>
      </c>
      <c r="G175" s="155">
        <f t="shared" si="14"/>
        <v>15</v>
      </c>
      <c r="H175" s="99">
        <f>G175+'14'!H175</f>
        <v>196</v>
      </c>
      <c r="I175" s="155"/>
      <c r="J175" s="178">
        <f>H175/DAY(B2)</f>
        <v>13.066666666666666</v>
      </c>
    </row>
    <row r="176" spans="1:10" ht="21.75" customHeight="1">
      <c r="A176" s="788" t="s">
        <v>196</v>
      </c>
      <c r="B176" s="789"/>
      <c r="C176" s="333"/>
      <c r="D176" s="228" t="s">
        <v>142</v>
      </c>
      <c r="E176" s="95"/>
      <c r="F176" s="155"/>
      <c r="G176" s="155">
        <f>SUM(G173:G175)</f>
        <v>26</v>
      </c>
      <c r="H176" s="99">
        <f>G176+'14'!H176</f>
        <v>345</v>
      </c>
      <c r="I176" s="155"/>
      <c r="J176" s="178">
        <f>H176/DAY(B2)</f>
        <v>23</v>
      </c>
    </row>
    <row r="177" spans="1:10" ht="21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790" t="s">
        <v>210</v>
      </c>
      <c r="B178" s="791"/>
      <c r="C178" s="333"/>
      <c r="D178" s="228" t="s">
        <v>142</v>
      </c>
      <c r="E178" s="95">
        <f>'14'!F178</f>
        <v>111793</v>
      </c>
      <c r="F178" s="155">
        <v>111952</v>
      </c>
      <c r="G178" s="155">
        <f>F178-E178</f>
        <v>159</v>
      </c>
      <c r="H178" s="99">
        <f>G178+'14'!H178</f>
        <v>1561</v>
      </c>
      <c r="I178" s="155"/>
      <c r="J178" s="178">
        <f>H178/DAY(B2)</f>
        <v>104.06666666666666</v>
      </c>
    </row>
    <row r="179" spans="1:10" ht="24" customHeight="1">
      <c r="A179" s="790" t="s">
        <v>211</v>
      </c>
      <c r="B179" s="791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'14'!F180</f>
        <v>7748</v>
      </c>
      <c r="F180" s="155">
        <v>7761</v>
      </c>
      <c r="G180" s="155">
        <f t="shared" si="15"/>
        <v>13</v>
      </c>
      <c r="H180" s="99">
        <f>G180+'14'!H180</f>
        <v>60</v>
      </c>
      <c r="I180" s="155"/>
      <c r="J180" s="178">
        <f>H180/DAY(B2)</f>
        <v>4</v>
      </c>
    </row>
    <row r="181" spans="1:10" ht="25.5">
      <c r="A181" s="878" t="s">
        <v>108</v>
      </c>
      <c r="B181" s="879"/>
      <c r="C181" s="333"/>
      <c r="D181" s="228" t="s">
        <v>142</v>
      </c>
      <c r="E181" s="95"/>
      <c r="F181" s="155"/>
      <c r="G181" s="155">
        <f>SUM(G178:G180)</f>
        <v>172</v>
      </c>
      <c r="H181" s="99">
        <f>G181+'14'!H181</f>
        <v>1621</v>
      </c>
      <c r="I181" s="155"/>
      <c r="J181" s="178">
        <f>H181/DAY(B2)</f>
        <v>108.06666666666666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'14'!F183</f>
        <v>18771</v>
      </c>
      <c r="F183" s="157">
        <v>18783</v>
      </c>
      <c r="G183" s="157">
        <f>F183-E183</f>
        <v>12</v>
      </c>
      <c r="H183" s="99">
        <f>G183+'14'!H183</f>
        <v>91</v>
      </c>
      <c r="I183" s="155"/>
      <c r="J183" s="178">
        <f>H183/DAY(B2)</f>
        <v>6.0666666666666664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'14'!F184</f>
        <v>13351</v>
      </c>
      <c r="F184" s="157">
        <v>13353</v>
      </c>
      <c r="G184" s="157">
        <f t="shared" ref="G184:G185" si="16">F184-E184</f>
        <v>2</v>
      </c>
      <c r="H184" s="99">
        <f>G184+'14'!H184</f>
        <v>107</v>
      </c>
      <c r="I184" s="155"/>
      <c r="J184" s="178">
        <f>H184/DAY(B2)</f>
        <v>7.1333333333333337</v>
      </c>
    </row>
    <row r="185" spans="1:10" ht="32.25" customHeight="1">
      <c r="A185" s="790" t="s">
        <v>216</v>
      </c>
      <c r="B185" s="791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34"/>
      <c r="D186" s="228" t="s">
        <v>142</v>
      </c>
      <c r="E186" s="95"/>
      <c r="F186" s="157"/>
      <c r="G186" s="157">
        <f>SUM(G183:G185)</f>
        <v>14</v>
      </c>
      <c r="H186" s="99">
        <f>G186+'14'!H186</f>
        <v>198</v>
      </c>
      <c r="I186" s="157"/>
      <c r="J186" s="178">
        <f>H186/DAY(B2)</f>
        <v>13.2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90</v>
      </c>
      <c r="H187" s="99">
        <f>G187+'14'!H187</f>
        <v>1918</v>
      </c>
      <c r="I187" s="158"/>
      <c r="J187" s="179">
        <f>H187/DAY(B2)</f>
        <v>127.86666666666666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186</v>
      </c>
      <c r="H188" s="99">
        <f>G188+'14'!H188</f>
        <v>186</v>
      </c>
      <c r="I188" s="158"/>
      <c r="J188" s="179">
        <f>H188/DAY(B2)</f>
        <v>12.4</v>
      </c>
    </row>
    <row r="189" spans="1:10" ht="27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172</v>
      </c>
      <c r="H189" s="99">
        <f>G189+'14'!H189</f>
        <v>1621</v>
      </c>
      <c r="I189" s="158"/>
      <c r="J189" s="179">
        <f>H189/DAY(B2)</f>
        <v>108.06666666666666</v>
      </c>
    </row>
    <row r="190" spans="1:10" ht="27" customHeight="1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O27" sqref="O2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3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6" s="57" customFormat="1" ht="23.25">
      <c r="A2" s="191" t="s">
        <v>372</v>
      </c>
      <c r="B2" s="262">
        <v>44973</v>
      </c>
      <c r="C2" s="348" t="s">
        <v>67</v>
      </c>
      <c r="D2" s="218">
        <v>0.83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23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4" t="s">
        <v>128</v>
      </c>
      <c r="B6" s="925"/>
      <c r="C6" s="926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953372</v>
      </c>
      <c r="F7" s="95">
        <v>976460.39</v>
      </c>
      <c r="G7" s="112">
        <f>F7-E7</f>
        <v>23088.390000000014</v>
      </c>
      <c r="H7" s="99">
        <f>G7+'15'!H7</f>
        <v>353661.39</v>
      </c>
      <c r="I7" s="113">
        <f>'1'!I7</f>
        <v>12000</v>
      </c>
      <c r="J7" s="175">
        <f>H7/DAY(B2)</f>
        <v>22103.836875000001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154134.14000000001</v>
      </c>
      <c r="F8" s="114">
        <v>177767.29</v>
      </c>
      <c r="G8" s="115">
        <f>F8-E8</f>
        <v>23633.149999999994</v>
      </c>
      <c r="H8" s="99">
        <f>G8+'15'!H8</f>
        <v>361657.29000000004</v>
      </c>
      <c r="I8" s="116"/>
      <c r="J8" s="175">
        <f>H8/DAY(B2)</f>
        <v>22603.580625000002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5011807.9000000004</v>
      </c>
      <c r="F9" s="468">
        <v>5024401.5</v>
      </c>
      <c r="G9" s="112">
        <f>F9-E9</f>
        <v>12593.599999999627</v>
      </c>
      <c r="H9" s="99">
        <f>G9+'15'!H9</f>
        <v>199302.5</v>
      </c>
      <c r="I9" s="124">
        <f>I7-J7</f>
        <v>-10103.836875000001</v>
      </c>
      <c r="J9" s="175">
        <f>H9/DAY(B2)</f>
        <v>12456.40625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4425727.5</v>
      </c>
      <c r="F10" s="353">
        <v>4435748.3</v>
      </c>
      <c r="G10" s="112">
        <f t="shared" ref="G10:G12" si="0">F10-E10</f>
        <v>10020.799999999814</v>
      </c>
      <c r="H10" s="99">
        <f>G10+'15'!H10</f>
        <v>145214.29999999981</v>
      </c>
      <c r="I10" s="282"/>
      <c r="J10" s="175">
        <f>H10/DAY(B2)</f>
        <v>9075.8937499999884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38700</v>
      </c>
      <c r="F11" s="95">
        <v>38700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40550</v>
      </c>
      <c r="F12" s="117">
        <v>40550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22614.399999999441</v>
      </c>
      <c r="H13" s="99">
        <f>G13+'15'!H13</f>
        <v>344516.79999999981</v>
      </c>
      <c r="I13" s="120">
        <f>G7-G13</f>
        <v>473.99000000057276</v>
      </c>
      <c r="J13" s="175">
        <f>H13/DAY(B2)</f>
        <v>21532.299999999988</v>
      </c>
      <c r="K13" s="79"/>
      <c r="L13" s="66"/>
      <c r="N13" s="87"/>
      <c r="O13" s="71" t="s">
        <v>380</v>
      </c>
    </row>
    <row r="14" spans="1:16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2304259</v>
      </c>
      <c r="F15" s="468">
        <v>2305369</v>
      </c>
      <c r="G15" s="112">
        <f>(F15-E15)</f>
        <v>1110</v>
      </c>
      <c r="H15" s="99">
        <f>G15+'15'!H15</f>
        <v>16895.285000000149</v>
      </c>
      <c r="I15" s="113">
        <f>'1'!I15</f>
        <v>800</v>
      </c>
      <c r="J15" s="175">
        <f>H15/DAY(B2)</f>
        <v>1055.9553125000093</v>
      </c>
      <c r="K15" s="79"/>
      <c r="L15" s="66"/>
      <c r="N15" s="87"/>
      <c r="O15" s="71"/>
      <c r="P15" s="425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-255.95531250000931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'15'!F18</f>
        <v>27</v>
      </c>
      <c r="F18" s="164">
        <v>36</v>
      </c>
      <c r="G18" s="119">
        <f>F18*10</f>
        <v>360</v>
      </c>
      <c r="H18" s="99">
        <f>G18+'15'!H18</f>
        <v>2630</v>
      </c>
      <c r="I18" s="113">
        <f>'1'!I18</f>
        <v>65</v>
      </c>
      <c r="J18" s="175">
        <f>H18/DAY(B2)</f>
        <v>164.375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'15'!F19</f>
        <v>172123</v>
      </c>
      <c r="F19" s="164">
        <v>172159</v>
      </c>
      <c r="G19" s="112">
        <f>F19-E19</f>
        <v>36</v>
      </c>
      <c r="H19" s="99">
        <f>G19+'15'!H19</f>
        <v>836</v>
      </c>
      <c r="I19" s="335"/>
      <c r="J19" s="175">
        <f>H19/DAY(B2)</f>
        <v>52.25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396</v>
      </c>
      <c r="H20" s="99">
        <f>G20+'15'!H20</f>
        <v>3466</v>
      </c>
      <c r="I20" s="336">
        <f>I18-J20</f>
        <v>-151.625</v>
      </c>
      <c r="J20" s="175">
        <f>H20/DAY(B2)</f>
        <v>216.625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1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1860</v>
      </c>
      <c r="F23" s="122">
        <v>1860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23633.149999999994</v>
      </c>
      <c r="F27" s="136">
        <v>10</v>
      </c>
      <c r="G27" s="137">
        <f>E27*F27</f>
        <v>236331.49999999994</v>
      </c>
      <c r="H27" s="99">
        <f>G27+'15'!H27</f>
        <v>3616572.9000000004</v>
      </c>
      <c r="I27" s="138"/>
      <c r="J27" s="175">
        <f>H27/DAY(B2)</f>
        <v>226035.80625000002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1110</v>
      </c>
      <c r="F28" s="136">
        <v>63</v>
      </c>
      <c r="G28" s="137">
        <f>E28*F28</f>
        <v>69930</v>
      </c>
      <c r="H28" s="99">
        <f>G28+'15'!H28</f>
        <v>1081324.4100000104</v>
      </c>
      <c r="I28" s="140"/>
      <c r="J28" s="175">
        <f>H28/DAY(B2)</f>
        <v>67582.77562500065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6900</v>
      </c>
      <c r="I29" s="140"/>
      <c r="J29" s="175">
        <f>H29/DAY(B2)</f>
        <v>431.25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36</v>
      </c>
      <c r="F30" s="136">
        <v>155</v>
      </c>
      <c r="G30" s="137">
        <f>E30*F30</f>
        <v>5580</v>
      </c>
      <c r="H30" s="99">
        <f>G30+'15'!H30</f>
        <v>128480</v>
      </c>
      <c r="I30" s="140"/>
      <c r="J30" s="175">
        <f>H30/DAY(B2)</f>
        <v>8030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360</v>
      </c>
      <c r="F31" s="136">
        <v>88</v>
      </c>
      <c r="G31" s="137">
        <f>E31*F31</f>
        <v>31680</v>
      </c>
      <c r="H31" s="99">
        <f>G31+'15'!H31</f>
        <v>228320</v>
      </c>
      <c r="I31" s="140"/>
      <c r="J31" s="175">
        <f>H31/DAY(B2)</f>
        <v>14270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343521.49999999994</v>
      </c>
      <c r="H32" s="99">
        <f>G32+'15'!H32</f>
        <v>5061597.3100000108</v>
      </c>
      <c r="I32" s="144"/>
      <c r="J32" s="175">
        <f>H32/DAY(B2)</f>
        <v>316349.83187500067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410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568614</v>
      </c>
      <c r="F35" s="117">
        <v>571563.82999999996</v>
      </c>
      <c r="G35" s="112">
        <f t="shared" ref="G35:G46" si="2">F35-E35</f>
        <v>2949.8299999999581</v>
      </c>
      <c r="H35" s="99">
        <f>G35+'15'!H35</f>
        <v>41507.829999999958</v>
      </c>
      <c r="I35" s="95"/>
      <c r="J35" s="175">
        <f>H35/DAY(B2)</f>
        <v>2594.2393749999974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396884.87</v>
      </c>
      <c r="F36" s="117">
        <v>398104.71</v>
      </c>
      <c r="G36" s="112">
        <f t="shared" si="2"/>
        <v>1219.8400000000256</v>
      </c>
      <c r="H36" s="99">
        <f>G36+'15'!H36</f>
        <v>16283.710000000021</v>
      </c>
      <c r="I36" s="95"/>
      <c r="J36" s="175">
        <f>H36/DAY(B2)</f>
        <v>1017.7318750000013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405062</v>
      </c>
      <c r="F37" s="117">
        <v>406477.63</v>
      </c>
      <c r="G37" s="112">
        <f t="shared" si="2"/>
        <v>1415.6300000000047</v>
      </c>
      <c r="H37" s="99">
        <f>G37+'15'!H37</f>
        <v>22858.630000000005</v>
      </c>
      <c r="I37" s="95"/>
      <c r="J37" s="175">
        <f>H37/DAY(B2)</f>
        <v>1428.6643750000003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916011.59</v>
      </c>
      <c r="F38" s="95">
        <v>918718.07</v>
      </c>
      <c r="G38" s="112">
        <f t="shared" si="2"/>
        <v>2706.4799999999814</v>
      </c>
      <c r="H38" s="99">
        <f>G38+'15'!H38</f>
        <v>41591.069999999949</v>
      </c>
      <c r="I38" s="95"/>
      <c r="J38" s="175">
        <f>H38/DAY(B2)</f>
        <v>2599.4418749999968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748488</v>
      </c>
      <c r="F39" s="117">
        <v>751395.11</v>
      </c>
      <c r="G39" s="112">
        <f t="shared" si="2"/>
        <v>2907.109999999986</v>
      </c>
      <c r="H39" s="99">
        <f>G39+'15'!H39</f>
        <v>45259.109999999986</v>
      </c>
      <c r="I39" s="95"/>
      <c r="J39" s="175">
        <f>H39/DAY(B2)</f>
        <v>2828.6943749999991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221561</v>
      </c>
      <c r="F40" s="117">
        <v>221765.85</v>
      </c>
      <c r="G40" s="112">
        <f t="shared" si="2"/>
        <v>204.85000000000582</v>
      </c>
      <c r="H40" s="99">
        <f>G40+'15'!H40</f>
        <v>3973.8500000000058</v>
      </c>
      <c r="I40" s="95"/>
      <c r="J40" s="175">
        <f>H40/DAY(B2)</f>
        <v>248.36562500000036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420212.51</v>
      </c>
      <c r="F41" s="117">
        <v>420212.51</v>
      </c>
      <c r="G41" s="112">
        <f t="shared" si="2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982309.56</v>
      </c>
      <c r="F42" s="117">
        <v>982309.59</v>
      </c>
      <c r="G42" s="112">
        <f t="shared" si="2"/>
        <v>2.9999999911524355E-2</v>
      </c>
      <c r="H42" s="99">
        <f>G42+'15'!H42</f>
        <v>9246.9599999999627</v>
      </c>
      <c r="I42" s="95"/>
      <c r="J42" s="175">
        <f>H42/DAY(B2)</f>
        <v>577.93499999999767</v>
      </c>
      <c r="K42" s="79"/>
      <c r="L42" s="66"/>
      <c r="N42" s="87" t="s">
        <v>375</v>
      </c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422444</v>
      </c>
      <c r="F43" s="117">
        <v>422444</v>
      </c>
      <c r="G43" s="112">
        <f t="shared" si="2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2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2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2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11403.769999999873</v>
      </c>
      <c r="H47" s="99">
        <f>G47+'15'!H47</f>
        <v>180721.15999999989</v>
      </c>
      <c r="I47" s="95"/>
      <c r="J47" s="175">
        <f>H47/DAY(B2)</f>
        <v>11295.072499999993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830997.83</v>
      </c>
      <c r="F49" s="117">
        <v>831510.71</v>
      </c>
      <c r="G49" s="112">
        <f t="shared" ref="G49:G58" si="3">F49-E49</f>
        <v>512.88000000000466</v>
      </c>
      <c r="H49" s="99">
        <f>G49+'15'!H49</f>
        <v>8598.7099999999627</v>
      </c>
      <c r="I49" s="95"/>
      <c r="J49" s="175">
        <f>H49/DAY(B2)</f>
        <v>537.41937499999767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562777</v>
      </c>
      <c r="F50" s="117">
        <v>564574.55000000005</v>
      </c>
      <c r="G50" s="112">
        <f t="shared" si="3"/>
        <v>1797.5500000000466</v>
      </c>
      <c r="H50" s="99">
        <f>G50+'15'!H50</f>
        <v>22600.550000000047</v>
      </c>
      <c r="I50" s="95"/>
      <c r="J50" s="175">
        <f>H50/DAY(B2)</f>
        <v>1412.5343750000029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156958.44</v>
      </c>
      <c r="F51" s="117">
        <v>156958.44</v>
      </c>
      <c r="G51" s="112">
        <f t="shared" si="3"/>
        <v>0</v>
      </c>
      <c r="H51" s="99">
        <f>G51+'15'!H51</f>
        <v>0.44000000000232831</v>
      </c>
      <c r="I51" s="95"/>
      <c r="J51" s="175">
        <f>H51/DAY(B2)</f>
        <v>2.7500000000145519E-2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1457</v>
      </c>
      <c r="F52" s="117">
        <v>1457.43</v>
      </c>
      <c r="G52" s="112">
        <f t="shared" si="3"/>
        <v>0.43000000000006366</v>
      </c>
      <c r="H52" s="99">
        <f>G52+'15'!H52</f>
        <v>0.43000000000006366</v>
      </c>
      <c r="I52" s="95"/>
      <c r="J52" s="175">
        <f>H52/DAY(B2)</f>
        <v>2.6875000000003979E-2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630355.03</v>
      </c>
      <c r="F53" s="409">
        <v>630355.03</v>
      </c>
      <c r="G53" s="236">
        <f t="shared" si="3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128869.55</v>
      </c>
      <c r="F54" s="409">
        <v>129157.18</v>
      </c>
      <c r="G54" s="236">
        <f t="shared" si="3"/>
        <v>287.6299999999901</v>
      </c>
      <c r="H54" s="99">
        <f>G54+'15'!H54</f>
        <v>5042.9699999999866</v>
      </c>
      <c r="I54" s="95"/>
      <c r="J54" s="175">
        <f>H54/DAY(B2)</f>
        <v>315.18562499999916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606166</v>
      </c>
      <c r="F55" s="409">
        <v>609694.03</v>
      </c>
      <c r="G55" s="236">
        <f t="shared" si="3"/>
        <v>3528.0300000000279</v>
      </c>
      <c r="H55" s="99">
        <f>G55+'15'!H55</f>
        <v>15389.280000000028</v>
      </c>
      <c r="I55" s="95"/>
      <c r="J55" s="175">
        <f>H55/DAY(B2)</f>
        <v>961.83000000000175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405435.55</v>
      </c>
      <c r="F56" s="117">
        <v>405435.55</v>
      </c>
      <c r="G56" s="112">
        <f t="shared" si="3"/>
        <v>0</v>
      </c>
      <c r="H56" s="99">
        <f>G56+'15'!H56</f>
        <v>32315.549999999988</v>
      </c>
      <c r="I56" s="95"/>
      <c r="J56" s="175">
        <f>H56/DAY(B2)</f>
        <v>2019.7218749999993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746596</v>
      </c>
      <c r="F57" s="409">
        <v>749302.15</v>
      </c>
      <c r="G57" s="112">
        <f t="shared" si="3"/>
        <v>2706.1500000000233</v>
      </c>
      <c r="H57" s="99">
        <f>G57+'15'!H57</f>
        <v>41604.150000000023</v>
      </c>
      <c r="I57" s="95"/>
      <c r="J57" s="175">
        <f>H57/DAY(B2)</f>
        <v>2600.2593750000015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97840.51</v>
      </c>
      <c r="F58" s="117">
        <v>98103.1</v>
      </c>
      <c r="G58" s="112">
        <f t="shared" si="3"/>
        <v>262.59000000001106</v>
      </c>
      <c r="H58" s="99">
        <f>G58+'15'!H58</f>
        <v>3533.2799999999988</v>
      </c>
      <c r="I58" s="95"/>
      <c r="J58" s="175">
        <f>H58/DAY(B2)</f>
        <v>220.82999999999993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9095.2600000001039</v>
      </c>
      <c r="H59" s="99">
        <f>G59+'15'!H59</f>
        <v>129085.36000000004</v>
      </c>
      <c r="I59" s="95">
        <f>G7-G60</f>
        <v>2589.360000000037</v>
      </c>
      <c r="J59" s="175">
        <f>H59/DAY(B2)</f>
        <v>8067.8350000000028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20499.029999999977</v>
      </c>
      <c r="H60" s="99">
        <f>G60+'15'!H60</f>
        <v>309806.51999999996</v>
      </c>
      <c r="I60" s="95">
        <f>G13-G60</f>
        <v>2115.3699999994642</v>
      </c>
      <c r="J60" s="175">
        <f>H60/DAY(B2)</f>
        <v>19362.907499999998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'15'!F62</f>
        <v>316795</v>
      </c>
      <c r="F62" s="122">
        <v>316880</v>
      </c>
      <c r="G62" s="112">
        <f t="shared" ref="G62:G63" si="4">F62-E62</f>
        <v>85</v>
      </c>
      <c r="H62" s="99">
        <f>G62+'15'!H62</f>
        <v>1203</v>
      </c>
      <c r="I62" s="118"/>
      <c r="J62" s="175">
        <f>H62/DAY(B2)</f>
        <v>75.1875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'15'!F63</f>
        <v>253631</v>
      </c>
      <c r="F63" s="122">
        <v>253758</v>
      </c>
      <c r="G63" s="112">
        <f t="shared" si="4"/>
        <v>127</v>
      </c>
      <c r="H63" s="99">
        <f>G63+'15'!H63</f>
        <v>1434</v>
      </c>
      <c r="I63" s="118"/>
      <c r="J63" s="175">
        <f>H63/DAY(B2)</f>
        <v>89.625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v>0</v>
      </c>
      <c r="F64" s="122"/>
      <c r="G64" s="112">
        <f>G62+G63</f>
        <v>212</v>
      </c>
      <c r="H64" s="99">
        <f>G64+'15'!H64</f>
        <v>2637</v>
      </c>
      <c r="I64" s="118"/>
      <c r="J64" s="175">
        <f>H64/DAY(B2)</f>
        <v>164.8125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'15'!F65</f>
        <v>477764</v>
      </c>
      <c r="F65" s="150">
        <v>477896</v>
      </c>
      <c r="G65" s="112">
        <f t="shared" ref="G65:G70" si="5">F65-E65</f>
        <v>132</v>
      </c>
      <c r="H65" s="99">
        <f>G65+'15'!H65</f>
        <v>1993</v>
      </c>
      <c r="I65" s="118"/>
      <c r="J65" s="175">
        <f>H65/DAY(B2)</f>
        <v>124.5625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114690</v>
      </c>
      <c r="F66" s="122">
        <v>114703</v>
      </c>
      <c r="G66" s="112">
        <f t="shared" si="5"/>
        <v>13</v>
      </c>
      <c r="H66" s="99">
        <f>G66+'15'!H66</f>
        <v>237</v>
      </c>
      <c r="I66" s="118"/>
      <c r="J66" s="175">
        <f>H66/DAY(B2)</f>
        <v>14.8125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117657</v>
      </c>
      <c r="F67" s="122">
        <v>117677</v>
      </c>
      <c r="G67" s="112">
        <f t="shared" si="5"/>
        <v>20</v>
      </c>
      <c r="H67" s="99">
        <f>G67+'15'!H67</f>
        <v>395</v>
      </c>
      <c r="I67" s="118"/>
      <c r="J67" s="175">
        <f>H67/DAY(B2)</f>
        <v>24.6875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170205</v>
      </c>
      <c r="F68" s="122">
        <v>170219</v>
      </c>
      <c r="G68" s="112">
        <f t="shared" si="5"/>
        <v>14</v>
      </c>
      <c r="H68" s="99">
        <f>G68+'15'!H68</f>
        <v>269</v>
      </c>
      <c r="I68" s="118"/>
      <c r="J68" s="175">
        <f>H68/DAY(B2)</f>
        <v>16.8125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13283</v>
      </c>
      <c r="F69" s="122">
        <v>13290</v>
      </c>
      <c r="G69" s="112">
        <f t="shared" si="5"/>
        <v>7</v>
      </c>
      <c r="H69" s="99">
        <f>G69+'15'!H69</f>
        <v>78</v>
      </c>
      <c r="I69" s="118"/>
      <c r="J69" s="175">
        <f>H69/DAY(B2)</f>
        <v>4.875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11364</v>
      </c>
      <c r="F70" s="122">
        <v>11369</v>
      </c>
      <c r="G70" s="112">
        <f t="shared" si="5"/>
        <v>5</v>
      </c>
      <c r="H70" s="99">
        <f>G70+'15'!H70</f>
        <v>111</v>
      </c>
      <c r="I70" s="118"/>
      <c r="J70" s="175">
        <f>H70/DAY(B2)</f>
        <v>6.9375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191</v>
      </c>
      <c r="H71" s="99">
        <f>G71+'15'!H71</f>
        <v>3083</v>
      </c>
      <c r="I71" s="154"/>
      <c r="J71" s="175">
        <f>H71/DAY(B2)</f>
        <v>192.6875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411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'15'!F74</f>
        <v>16968.71</v>
      </c>
      <c r="F74" s="117">
        <v>17287.349999999999</v>
      </c>
      <c r="G74" s="112">
        <f t="shared" ref="G74:G78" si="6">F74-E74</f>
        <v>318.63999999999942</v>
      </c>
      <c r="H74" s="99">
        <f>G74+'15'!H74</f>
        <v>5025.3499999999985</v>
      </c>
      <c r="I74" s="154"/>
      <c r="J74" s="175">
        <f>H74/DAY(B2)</f>
        <v>314.08437499999991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'15'!F75</f>
        <v>73586.8</v>
      </c>
      <c r="F75" s="123">
        <v>73586.8</v>
      </c>
      <c r="G75" s="112">
        <f t="shared" si="6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'15'!F76</f>
        <v>212348</v>
      </c>
      <c r="F76" s="123">
        <v>212502</v>
      </c>
      <c r="G76" s="112">
        <f t="shared" si="6"/>
        <v>154</v>
      </c>
      <c r="H76" s="99">
        <f>G76+'15'!H76</f>
        <v>1842</v>
      </c>
      <c r="I76" s="154"/>
      <c r="J76" s="175">
        <f>H76/DAY(B2)</f>
        <v>115.125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'15'!F77</f>
        <v>60530</v>
      </c>
      <c r="F77" s="123">
        <v>60586.6</v>
      </c>
      <c r="G77" s="112">
        <f t="shared" si="6"/>
        <v>56.599999999998545</v>
      </c>
      <c r="H77" s="99">
        <f>G77+'15'!H77</f>
        <v>825.59999999999854</v>
      </c>
      <c r="I77" s="154"/>
      <c r="J77" s="175">
        <f>H77/DAY(B2)</f>
        <v>51.599999999999909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'15'!F78</f>
        <v>9564</v>
      </c>
      <c r="F78" s="123">
        <v>9564</v>
      </c>
      <c r="G78" s="112">
        <f t="shared" si="6"/>
        <v>0</v>
      </c>
      <c r="H78" s="99">
        <f>G78+'15'!H78</f>
        <v>0.5</v>
      </c>
      <c r="I78" s="118"/>
      <c r="J78" s="175">
        <f>H78/DAY(B2)</f>
        <v>3.125E-2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'15'!F79</f>
        <v>0</v>
      </c>
      <c r="F79" s="123">
        <v>0</v>
      </c>
      <c r="G79" s="112">
        <f>G15-SUM(G74:G78)</f>
        <v>580.76000000000204</v>
      </c>
      <c r="H79" s="99">
        <f>G79+'15'!H79</f>
        <v>9201.8350000001519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1110</v>
      </c>
      <c r="H80" s="99">
        <f>G80+'15'!H80</f>
        <v>1110</v>
      </c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7">F82-E82</f>
        <v>0</v>
      </c>
      <c r="H82" s="99">
        <f>G82+'15'!H82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7"/>
        <v>0</v>
      </c>
      <c r="H83" s="99">
        <f>G83+'15'!H83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43546</v>
      </c>
      <c r="F84" s="164">
        <v>43546</v>
      </c>
      <c r="G84" s="112">
        <f t="shared" si="7"/>
        <v>0</v>
      </c>
      <c r="H84" s="99">
        <f>G84+'15'!H84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6258</v>
      </c>
      <c r="F85" s="164">
        <v>6258.03</v>
      </c>
      <c r="G85" s="112">
        <f t="shared" si="7"/>
        <v>2.9999999999745341E-2</v>
      </c>
      <c r="H85" s="99">
        <f>G85+'15'!H85</f>
        <v>45.029999999999745</v>
      </c>
      <c r="I85" s="543"/>
      <c r="J85" s="175">
        <f>H85/DAY(B2)</f>
        <v>2.8143749999999841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47053</v>
      </c>
      <c r="F86" s="164">
        <v>47077.48</v>
      </c>
      <c r="G86" s="112">
        <f t="shared" si="7"/>
        <v>24.480000000003201</v>
      </c>
      <c r="H86" s="99">
        <f>G86+'15'!H86</f>
        <v>106.4800000000032</v>
      </c>
      <c r="I86" s="543"/>
      <c r="J86" s="175">
        <f>H86/DAY(B2)</f>
        <v>6.6550000000002001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37602</v>
      </c>
      <c r="F87" s="164">
        <v>37602.1</v>
      </c>
      <c r="G87" s="112">
        <f t="shared" si="7"/>
        <v>9.9999999998544808E-2</v>
      </c>
      <c r="H87" s="99">
        <f>G87+'15'!H87</f>
        <v>238.09999999999854</v>
      </c>
      <c r="I87" s="543">
        <f>G84+G85+G86+G87</f>
        <v>24.610000000001492</v>
      </c>
      <c r="J87" s="175">
        <f>H87/DAY(B2)</f>
        <v>14.881249999999909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24854</v>
      </c>
      <c r="F88" s="164">
        <v>24858.63</v>
      </c>
      <c r="G88" s="112">
        <f t="shared" si="7"/>
        <v>4.6300000000010186</v>
      </c>
      <c r="H88" s="99">
        <f>G88+'15'!H88</f>
        <v>96.630000000001019</v>
      </c>
      <c r="I88" s="543"/>
      <c r="J88" s="175">
        <f>H88/DAY(B2)</f>
        <v>6.0393750000000637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29112</v>
      </c>
      <c r="F89" s="164">
        <v>29123.17</v>
      </c>
      <c r="G89" s="112">
        <f t="shared" si="7"/>
        <v>11.169999999998254</v>
      </c>
      <c r="H89" s="99">
        <f>G89+'15'!H89</f>
        <v>95.169999999998254</v>
      </c>
      <c r="I89" s="543">
        <f>G88+G89</f>
        <v>15.799999999999272</v>
      </c>
      <c r="J89" s="175">
        <f>H89/DAY(B2)</f>
        <v>5.9481249999998909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74555</v>
      </c>
      <c r="F90" s="164">
        <v>74559.97</v>
      </c>
      <c r="G90" s="112">
        <f t="shared" si="7"/>
        <v>4.9700000000011642</v>
      </c>
      <c r="H90" s="99">
        <f>G90+'15'!H90</f>
        <v>111.97000000000116</v>
      </c>
      <c r="I90" s="543">
        <f>G90</f>
        <v>4.9700000000011642</v>
      </c>
      <c r="J90" s="175">
        <f>H90/DAY(B2)</f>
        <v>6.9981250000000728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5761.58</v>
      </c>
      <c r="F91" s="122">
        <v>5773.92</v>
      </c>
      <c r="G91" s="112">
        <f t="shared" si="7"/>
        <v>12.340000000000146</v>
      </c>
      <c r="H91" s="99">
        <f>G91+'15'!H91</f>
        <v>155.71000000000004</v>
      </c>
      <c r="I91" s="544"/>
      <c r="J91" s="175">
        <f>H91/DAY(B2)</f>
        <v>9.7318750000000023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7469</v>
      </c>
      <c r="F92" s="122">
        <v>7469</v>
      </c>
      <c r="G92" s="112">
        <f t="shared" si="7"/>
        <v>0</v>
      </c>
      <c r="H92" s="99">
        <f>G92+'15'!H92</f>
        <v>36.720000000000255</v>
      </c>
      <c r="I92" s="545">
        <f>G91+G92</f>
        <v>12.340000000000146</v>
      </c>
      <c r="J92" s="175">
        <f>H92/DAY(B2)</f>
        <v>2.2950000000000159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6168.859999999986</v>
      </c>
      <c r="H94" s="99">
        <f>G94+'15'!H94</f>
        <v>91710.689999999944</v>
      </c>
      <c r="I94" s="118"/>
      <c r="J94" s="175">
        <f>H94/DAY(B2)</f>
        <v>5731.9181249999965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51"/>
      <c r="G95" s="166">
        <f>G94/G7</f>
        <v>0.26718450268728061</v>
      </c>
      <c r="H95" s="99">
        <f>G95+'15'!H95</f>
        <v>4.1533678376814054</v>
      </c>
      <c r="I95" s="167"/>
      <c r="J95" s="175">
        <f>H95/DAY(B2)</f>
        <v>0.25958548985508784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3528.0599999999395</v>
      </c>
      <c r="H96" s="99">
        <f>G96+'15'!H96</f>
        <v>56951.789999999979</v>
      </c>
      <c r="I96" s="118"/>
      <c r="J96" s="175">
        <f>H96/DAY(B2)</f>
        <v>3559.4868749999987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0.15280667036549267</v>
      </c>
      <c r="H97" s="99">
        <f>G97+'15'!H97</f>
        <v>2.5749697536744289</v>
      </c>
      <c r="I97" s="167"/>
      <c r="J97" s="175">
        <f>H97/DAY(B2)</f>
        <v>0.16093560960465181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2907.109999999986</v>
      </c>
      <c r="H98" s="99">
        <f>G98+'15'!H98</f>
        <v>45259.109999999986</v>
      </c>
      <c r="I98" s="168"/>
      <c r="J98" s="175">
        <f>H98/DAY(B2)</f>
        <v>2828.6943749999991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0.12591220089404173</v>
      </c>
      <c r="H99" s="99">
        <f>G99+'15'!H99</f>
        <v>2.05001667406763</v>
      </c>
      <c r="I99" s="168"/>
      <c r="J99" s="175">
        <f>H99/DAY(B2)</f>
        <v>0.12812604212922687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2706.9099999999817</v>
      </c>
      <c r="H100" s="99">
        <f>G100+'15'!H100</f>
        <v>41591.499999999949</v>
      </c>
      <c r="I100" s="118"/>
      <c r="J100" s="175">
        <f>H100/DAY(B2)</f>
        <v>2599.4687499999968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0.11724117619288223</v>
      </c>
      <c r="H101" s="99">
        <f>G101+'15'!H101</f>
        <v>1.8806773821070795</v>
      </c>
      <c r="I101" s="168"/>
      <c r="J101" s="175">
        <f>H101/DAY(B2)</f>
        <v>0.11754233638169247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3017.3900000000722</v>
      </c>
      <c r="H102" s="99">
        <f>G102+'15'!H102</f>
        <v>38884.260000000068</v>
      </c>
      <c r="I102" s="168"/>
      <c r="J102" s="175">
        <f>H102/DAY(B2)</f>
        <v>2430.2662500000042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0.1306886274876711</v>
      </c>
      <c r="H103" s="99">
        <f>G103+'15'!H103</f>
        <v>1.7552368864702881</v>
      </c>
      <c r="I103" s="118"/>
      <c r="J103" s="175">
        <f>H103/DAY(B2)</f>
        <v>0.10970230540439301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1415.6300000000047</v>
      </c>
      <c r="H104" s="99">
        <f>G104+'15'!H104</f>
        <v>22859.070000000007</v>
      </c>
      <c r="I104" s="118"/>
      <c r="J104" s="175">
        <f>H104/DAY(B2)</f>
        <v>1428.6918750000004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6.1313499988522535E-2</v>
      </c>
      <c r="H105" s="99">
        <f>G105+'15'!H105</f>
        <v>1.03455864747355</v>
      </c>
      <c r="I105" s="187"/>
      <c r="J105" s="188">
        <f>H105/DAY(B2)</f>
        <v>6.4659915467096873E-2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5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'15'!F112</f>
        <v>20313.22</v>
      </c>
      <c r="F112" s="237">
        <v>20375.2</v>
      </c>
      <c r="G112" s="112">
        <f t="shared" ref="G112:G123" si="8">F112-E112</f>
        <v>61.979999999999563</v>
      </c>
      <c r="H112" s="99">
        <f>G112+'15'!H112</f>
        <v>978.20000000000073</v>
      </c>
      <c r="I112" s="165"/>
      <c r="J112" s="328">
        <f>H112/DAY(B2)</f>
        <v>61.137500000000045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'15'!F113</f>
        <v>43696</v>
      </c>
      <c r="F113" s="237">
        <v>43845.2</v>
      </c>
      <c r="G113" s="112">
        <f t="shared" si="8"/>
        <v>149.19999999999709</v>
      </c>
      <c r="H113" s="99">
        <f>G113+'15'!H113</f>
        <v>2325.25</v>
      </c>
      <c r="I113" s="165"/>
      <c r="J113" s="328">
        <f>H113/DAY(B2)</f>
        <v>145.328125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'15'!F114</f>
        <v>64594</v>
      </c>
      <c r="F114" s="416">
        <v>64827.73</v>
      </c>
      <c r="G114" s="112">
        <f t="shared" si="8"/>
        <v>233.7300000000032</v>
      </c>
      <c r="H114" s="99">
        <f>G114+'15'!H114</f>
        <v>3609.7300000000032</v>
      </c>
      <c r="I114" s="165"/>
      <c r="J114" s="328">
        <f>H114/DAY(B2)</f>
        <v>225.6081250000002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'15'!F115</f>
        <v>41592.550000000003</v>
      </c>
      <c r="F115" s="467">
        <v>41751.61</v>
      </c>
      <c r="G115" s="236">
        <f t="shared" si="8"/>
        <v>159.05999999999767</v>
      </c>
      <c r="H115" s="99">
        <f>G115+'15'!H115</f>
        <v>2292.6100000000006</v>
      </c>
      <c r="I115" s="165"/>
      <c r="J115" s="328">
        <f>H115/DAY(B2)</f>
        <v>143.28812500000004</v>
      </c>
      <c r="N115" s="469" t="s">
        <v>362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'15'!F116</f>
        <v>154656</v>
      </c>
      <c r="F116" s="237">
        <v>155084.04999999999</v>
      </c>
      <c r="G116" s="112">
        <f t="shared" si="8"/>
        <v>428.04999999998836</v>
      </c>
      <c r="H116" s="99">
        <f>G116+'15'!H116</f>
        <v>7154.0499999999884</v>
      </c>
      <c r="I116" s="165"/>
      <c r="J116" s="328">
        <f>H116/DAY(B2)</f>
        <v>447.12812499999927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'15'!F117</f>
        <v>95664.6</v>
      </c>
      <c r="F117" s="237">
        <v>95905.96</v>
      </c>
      <c r="G117" s="112">
        <f t="shared" si="8"/>
        <v>241.36000000000058</v>
      </c>
      <c r="H117" s="99">
        <f>G117+'15'!H117</f>
        <v>3916.5610000000015</v>
      </c>
      <c r="I117" s="165"/>
      <c r="J117" s="328">
        <f>H117/DAY(B2)</f>
        <v>244.78506250000009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'15'!F118</f>
        <v>188087.67</v>
      </c>
      <c r="F118" s="237">
        <v>188752.51</v>
      </c>
      <c r="G118" s="112">
        <f t="shared" si="8"/>
        <v>664.83999999999651</v>
      </c>
      <c r="H118" s="99">
        <f>G118+'15'!H118</f>
        <v>11219.98000000001</v>
      </c>
      <c r="I118" s="165"/>
      <c r="J118" s="328">
        <f>H118/DAY(B2)</f>
        <v>701.24875000000065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'15'!F119</f>
        <v>45980.3</v>
      </c>
      <c r="F119" s="467">
        <v>46039.19</v>
      </c>
      <c r="G119" s="112">
        <f t="shared" si="8"/>
        <v>58.889999999999418</v>
      </c>
      <c r="H119" s="99">
        <f>G119+'15'!H119</f>
        <v>846.19000000000233</v>
      </c>
      <c r="I119" s="165"/>
      <c r="J119" s="328">
        <f>H119/DAY(B2)</f>
        <v>52.886875000000146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'15'!F120</f>
        <v>126209</v>
      </c>
      <c r="F120" s="237">
        <v>126639.6</v>
      </c>
      <c r="G120" s="112">
        <f t="shared" si="8"/>
        <v>430.60000000000582</v>
      </c>
      <c r="H120" s="99">
        <f>G120+'15'!H120</f>
        <v>6195.6000000000058</v>
      </c>
      <c r="I120" s="165"/>
      <c r="J120" s="328">
        <f>H120/DAY(B2)</f>
        <v>387.22500000000036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'15'!F121</f>
        <v>141014</v>
      </c>
      <c r="F121" s="237">
        <v>141475.63</v>
      </c>
      <c r="G121" s="112">
        <f t="shared" si="8"/>
        <v>461.63000000000466</v>
      </c>
      <c r="H121" s="99">
        <f>G121+'15'!H121</f>
        <v>6912.6300000000047</v>
      </c>
      <c r="I121" s="165"/>
      <c r="J121" s="328">
        <f>H121/DAY(B2)</f>
        <v>432.03937500000029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'15'!F122</f>
        <v>95514.57</v>
      </c>
      <c r="F122" s="237">
        <v>95815.67</v>
      </c>
      <c r="G122" s="112">
        <f t="shared" si="8"/>
        <v>301.09999999999127</v>
      </c>
      <c r="H122" s="99">
        <f>G122+'15'!H122</f>
        <v>4938.6699999999983</v>
      </c>
      <c r="I122" s="165"/>
      <c r="J122" s="328">
        <f>H122/DAY(B2)</f>
        <v>308.66687499999989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'15'!F123</f>
        <v>92208</v>
      </c>
      <c r="F123" s="237">
        <v>92526.62</v>
      </c>
      <c r="G123" s="112">
        <f t="shared" si="8"/>
        <v>318.61999999999534</v>
      </c>
      <c r="H123" s="99">
        <f>G123+'15'!H123</f>
        <v>4947.6199999999953</v>
      </c>
      <c r="I123" s="165"/>
      <c r="J123" s="328">
        <f>H123/DAY(B2)</f>
        <v>309.22624999999971</v>
      </c>
    </row>
    <row r="124" spans="1:18" ht="29.25" customHeight="1">
      <c r="A124" s="887"/>
      <c r="B124" s="888"/>
      <c r="C124" s="889"/>
      <c r="D124" s="165"/>
      <c r="E124" s="165"/>
      <c r="F124" s="15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3509.0599999999795</v>
      </c>
      <c r="H125" s="156"/>
      <c r="I125" s="327">
        <f>G125-(G39+G53)</f>
        <v>601.94999999999345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'15'!F128</f>
        <v>214556.89</v>
      </c>
      <c r="F128" s="155">
        <v>215016.89</v>
      </c>
      <c r="G128" s="112">
        <f t="shared" ref="G128:G134" si="9">F128-E128</f>
        <v>460</v>
      </c>
      <c r="H128" s="99">
        <f>G128+'15'!H128</f>
        <v>7727.890000000014</v>
      </c>
      <c r="I128" s="165"/>
      <c r="J128" s="328">
        <f>H128/DAY(B2)</f>
        <v>482.99312500000087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2389.77</v>
      </c>
      <c r="F129" s="155">
        <v>2494.0100000000002</v>
      </c>
      <c r="G129" s="112">
        <f t="shared" si="9"/>
        <v>104.24000000000024</v>
      </c>
      <c r="H129" s="99">
        <f>G129+'15'!H129</f>
        <v>1760.0100000000002</v>
      </c>
      <c r="I129" s="165"/>
      <c r="J129" s="328">
        <f>H129/DAY(B2)</f>
        <v>110.00062500000001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296689.09000000003</v>
      </c>
      <c r="F130" s="157">
        <v>297496.61</v>
      </c>
      <c r="G130" s="112">
        <f t="shared" si="9"/>
        <v>807.51999999996042</v>
      </c>
      <c r="H130" s="99">
        <f>G130+'15'!H130</f>
        <v>8774.609999999986</v>
      </c>
      <c r="I130" s="165"/>
      <c r="J130" s="328">
        <f>H130/DAY(B2)</f>
        <v>548.41312499999913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'15'!F131</f>
        <v>87665</v>
      </c>
      <c r="F131" s="155">
        <v>87871.79</v>
      </c>
      <c r="G131" s="112">
        <f t="shared" si="9"/>
        <v>206.7899999999936</v>
      </c>
      <c r="H131" s="99">
        <f>G131+'15'!H131</f>
        <v>3167.9599999999919</v>
      </c>
      <c r="I131" s="165"/>
      <c r="J131" s="328">
        <f>H131/DAY(B2)</f>
        <v>197.99749999999949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'15'!F132</f>
        <v>72144</v>
      </c>
      <c r="F132" s="155">
        <v>72461.63</v>
      </c>
      <c r="G132" s="112">
        <f t="shared" si="9"/>
        <v>317.63000000000466</v>
      </c>
      <c r="H132" s="99">
        <f>G132+'15'!H132</f>
        <v>5014.6300000000047</v>
      </c>
      <c r="I132" s="165"/>
      <c r="J132" s="328">
        <f>H132/DAY(B2)</f>
        <v>313.41437500000029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'15'!F133</f>
        <v>958912</v>
      </c>
      <c r="F133" s="157">
        <v>959687</v>
      </c>
      <c r="G133" s="112">
        <f t="shared" si="9"/>
        <v>775</v>
      </c>
      <c r="H133" s="99">
        <f>G133+'15'!H133</f>
        <v>9540</v>
      </c>
      <c r="I133" s="165"/>
      <c r="J133" s="328">
        <f>H133/DAY(B2)</f>
        <v>596.25</v>
      </c>
    </row>
    <row r="134" spans="1:15" s="408" customFormat="1" ht="25.5">
      <c r="A134" s="956" t="s">
        <v>340</v>
      </c>
      <c r="B134" s="957"/>
      <c r="C134" s="958"/>
      <c r="D134" s="233" t="s">
        <v>183</v>
      </c>
      <c r="E134" s="405">
        <f>'15'!F134</f>
        <v>926135</v>
      </c>
      <c r="F134" s="157">
        <v>926834</v>
      </c>
      <c r="G134" s="236">
        <f t="shared" si="9"/>
        <v>699</v>
      </c>
      <c r="H134" s="238">
        <f>G134+'15'!H134</f>
        <v>5850.9100000000035</v>
      </c>
      <c r="I134" s="158"/>
      <c r="J134" s="407">
        <f>H134/DAY(B2)</f>
        <v>365.68187500000022</v>
      </c>
    </row>
    <row r="135" spans="1:15" ht="25.5">
      <c r="A135" s="788" t="s">
        <v>196</v>
      </c>
      <c r="B135" s="789"/>
      <c r="C135" s="331"/>
      <c r="D135" s="151"/>
      <c r="E135" s="95"/>
      <c r="F135" s="155"/>
      <c r="G135" s="112">
        <f>SUM(G128:G134)</f>
        <v>3370.1799999999589</v>
      </c>
      <c r="H135" s="99">
        <f>G135+'10'!H135</f>
        <v>27623.789999999932</v>
      </c>
      <c r="I135" s="327">
        <f>G135-(G35+G49)</f>
        <v>-92.530000000003838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8" customFormat="1" ht="25.5">
      <c r="A138" s="961" t="s">
        <v>185</v>
      </c>
      <c r="B138" s="961"/>
      <c r="C138" s="961"/>
      <c r="D138" s="233" t="s">
        <v>183</v>
      </c>
      <c r="E138" s="405">
        <v>914653</v>
      </c>
      <c r="F138" s="745">
        <v>914784</v>
      </c>
      <c r="G138" s="236">
        <f t="shared" ref="G138:G152" si="10">F138-E138</f>
        <v>131</v>
      </c>
      <c r="H138" s="238">
        <f>G138+'15'!H138</f>
        <v>1869</v>
      </c>
      <c r="I138" s="406"/>
      <c r="J138" s="407">
        <f>H138/DAY(B2)</f>
        <v>116.8125</v>
      </c>
    </row>
    <row r="139" spans="1:15" ht="25.5">
      <c r="A139" s="882" t="s">
        <v>186</v>
      </c>
      <c r="B139" s="882"/>
      <c r="C139" s="882"/>
      <c r="D139" s="151" t="s">
        <v>183</v>
      </c>
      <c r="E139" s="120">
        <f>'15'!F139</f>
        <v>939422</v>
      </c>
      <c r="F139" s="147">
        <v>939577</v>
      </c>
      <c r="G139" s="112">
        <f t="shared" si="10"/>
        <v>155</v>
      </c>
      <c r="H139" s="99">
        <f>G139+'15'!H139</f>
        <v>2319</v>
      </c>
      <c r="I139" s="118"/>
      <c r="J139" s="328">
        <f>H139/DAY(B2)</f>
        <v>144.9375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'15'!F140</f>
        <v>5235</v>
      </c>
      <c r="F140" s="149">
        <v>5272</v>
      </c>
      <c r="G140" s="112">
        <f t="shared" si="10"/>
        <v>37</v>
      </c>
      <c r="H140" s="99">
        <f>G140+'15'!H140</f>
        <v>508</v>
      </c>
      <c r="I140" s="118"/>
      <c r="J140" s="328">
        <f>H140/DAY(B2)</f>
        <v>31.75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'15'!F141</f>
        <v>135070.24</v>
      </c>
      <c r="F141" s="149">
        <v>135330</v>
      </c>
      <c r="G141" s="112">
        <f t="shared" si="10"/>
        <v>259.76000000000931</v>
      </c>
      <c r="H141" s="99">
        <f>G141+'15'!H141</f>
        <v>4010</v>
      </c>
      <c r="I141" s="118"/>
      <c r="J141" s="328">
        <f>H141/DAY(B2)</f>
        <v>250.625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'15'!F142</f>
        <v>54527</v>
      </c>
      <c r="F142" s="148">
        <v>54618.99</v>
      </c>
      <c r="G142" s="112">
        <f t="shared" si="10"/>
        <v>91.989999999997963</v>
      </c>
      <c r="H142" s="99">
        <f>G142+'15'!H142</f>
        <v>1427.989999999998</v>
      </c>
      <c r="I142" s="140"/>
      <c r="J142" s="328">
        <f>H142/DAY(B2)</f>
        <v>89.249374999999873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'15'!F143</f>
        <v>14794</v>
      </c>
      <c r="F143" s="149">
        <v>14828.13</v>
      </c>
      <c r="G143" s="112">
        <f t="shared" si="10"/>
        <v>34.1299999999992</v>
      </c>
      <c r="H143" s="99">
        <f>G143+'15'!H143</f>
        <v>516.1299999999992</v>
      </c>
      <c r="I143" s="140"/>
      <c r="J143" s="328">
        <f>H143/DAY(B2)</f>
        <v>32.25812499999995</v>
      </c>
    </row>
    <row r="144" spans="1:15" ht="25.5">
      <c r="A144" s="865" t="s">
        <v>90</v>
      </c>
      <c r="B144" s="865"/>
      <c r="C144" s="865"/>
      <c r="D144" s="151" t="s">
        <v>183</v>
      </c>
      <c r="E144" s="120">
        <f>'15'!F144</f>
        <v>967053</v>
      </c>
      <c r="F144" s="147">
        <v>967285</v>
      </c>
      <c r="G144" s="112">
        <f t="shared" si="10"/>
        <v>232</v>
      </c>
      <c r="H144" s="99">
        <f>G144+'15'!H144</f>
        <v>4059</v>
      </c>
      <c r="I144" s="140"/>
      <c r="J144" s="328">
        <f>H144/DAY(B2)</f>
        <v>253.6875</v>
      </c>
    </row>
    <row r="145" spans="1:14" ht="25.5">
      <c r="A145" s="882" t="s">
        <v>190</v>
      </c>
      <c r="B145" s="882"/>
      <c r="C145" s="882"/>
      <c r="D145" s="152" t="s">
        <v>183</v>
      </c>
      <c r="E145" s="95">
        <f>'15'!F145</f>
        <v>753992</v>
      </c>
      <c r="F145" s="148">
        <v>754090</v>
      </c>
      <c r="G145" s="112">
        <f t="shared" si="10"/>
        <v>98</v>
      </c>
      <c r="H145" s="99">
        <f>G145+'15'!H145</f>
        <v>3357</v>
      </c>
      <c r="I145" s="140"/>
      <c r="J145" s="328">
        <f>H145/DAY(B2)</f>
        <v>209.8125</v>
      </c>
    </row>
    <row r="146" spans="1:14" ht="25.5">
      <c r="A146" s="916" t="s">
        <v>191</v>
      </c>
      <c r="B146" s="902"/>
      <c r="C146" s="903"/>
      <c r="D146" s="152" t="s">
        <v>183</v>
      </c>
      <c r="E146" s="95">
        <f>'15'!F146</f>
        <v>789589</v>
      </c>
      <c r="F146" s="148">
        <v>789644</v>
      </c>
      <c r="G146" s="112">
        <f t="shared" si="10"/>
        <v>55</v>
      </c>
      <c r="H146" s="99">
        <f>G146+'15'!H146</f>
        <v>619</v>
      </c>
      <c r="I146" s="140"/>
      <c r="J146" s="328">
        <f>H146/DAY(B2)</f>
        <v>38.6875</v>
      </c>
    </row>
    <row r="147" spans="1:14" ht="25.5">
      <c r="A147" s="865" t="s">
        <v>192</v>
      </c>
      <c r="B147" s="865"/>
      <c r="C147" s="865"/>
      <c r="D147" s="152" t="s">
        <v>183</v>
      </c>
      <c r="E147" s="95">
        <f>'15'!F147</f>
        <v>777242</v>
      </c>
      <c r="F147" s="148">
        <v>777645</v>
      </c>
      <c r="G147" s="112">
        <f t="shared" si="10"/>
        <v>403</v>
      </c>
      <c r="H147" s="99">
        <f>G147+'15'!H147</f>
        <v>5988.1199999999953</v>
      </c>
      <c r="I147" s="140"/>
      <c r="J147" s="328">
        <f>H147/DAY(B2)</f>
        <v>374.25749999999971</v>
      </c>
    </row>
    <row r="148" spans="1:14" ht="25.5">
      <c r="A148" s="866" t="s">
        <v>193</v>
      </c>
      <c r="B148" s="867"/>
      <c r="C148" s="868"/>
      <c r="D148" s="123" t="s">
        <v>130</v>
      </c>
      <c r="E148" s="95">
        <f>'15'!F148</f>
        <v>812003.12</v>
      </c>
      <c r="F148" s="164">
        <v>812356.88</v>
      </c>
      <c r="G148" s="112">
        <f t="shared" si="10"/>
        <v>353.76000000000931</v>
      </c>
      <c r="H148" s="99">
        <f>G148+'15'!H148</f>
        <v>5536.640000000014</v>
      </c>
      <c r="I148" s="124"/>
      <c r="J148" s="328">
        <f>H148/DAY(B2)</f>
        <v>346.04000000000087</v>
      </c>
    </row>
    <row r="149" spans="1:14" ht="25.5">
      <c r="A149" s="866" t="s">
        <v>336</v>
      </c>
      <c r="B149" s="867"/>
      <c r="C149" s="868"/>
      <c r="D149" s="227" t="s">
        <v>130</v>
      </c>
      <c r="E149" s="120">
        <f>'15'!F149</f>
        <v>223970</v>
      </c>
      <c r="F149" s="152">
        <v>224436.85</v>
      </c>
      <c r="G149" s="112">
        <f t="shared" si="10"/>
        <v>466.85000000000582</v>
      </c>
      <c r="H149" s="99">
        <f>G149+'15'!H149</f>
        <v>7540.8500000000058</v>
      </c>
      <c r="I149" s="119"/>
      <c r="J149" s="328">
        <f>H149/DAY(B2)</f>
        <v>471.30312500000036</v>
      </c>
    </row>
    <row r="150" spans="1:14" ht="25.5">
      <c r="A150" s="866" t="s">
        <v>337</v>
      </c>
      <c r="B150" s="867"/>
      <c r="C150" s="868"/>
      <c r="D150" s="117" t="s">
        <v>130</v>
      </c>
      <c r="E150" s="95">
        <f>'15'!F150</f>
        <v>96674</v>
      </c>
      <c r="F150" s="233">
        <v>96699</v>
      </c>
      <c r="G150" s="112">
        <v>230</v>
      </c>
      <c r="H150" s="99">
        <f>G150+'15'!H150</f>
        <v>3739</v>
      </c>
      <c r="I150" s="119"/>
      <c r="J150" s="328">
        <f>H150/DAY(B2)</f>
        <v>233.6875</v>
      </c>
      <c r="N150" s="65" t="s">
        <v>374</v>
      </c>
    </row>
    <row r="151" spans="1:14" ht="25.5">
      <c r="A151" s="866" t="s">
        <v>338</v>
      </c>
      <c r="B151" s="867"/>
      <c r="C151" s="868"/>
      <c r="D151" s="117" t="s">
        <v>130</v>
      </c>
      <c r="E151" s="95">
        <f>'15'!F151</f>
        <v>181321</v>
      </c>
      <c r="F151" s="233">
        <v>181709</v>
      </c>
      <c r="G151" s="112">
        <f t="shared" si="10"/>
        <v>388</v>
      </c>
      <c r="H151" s="99">
        <f>G151+'15'!H151</f>
        <v>5534</v>
      </c>
      <c r="I151" s="119"/>
      <c r="J151" s="328">
        <f>H151/DAY(B2)</f>
        <v>345.875</v>
      </c>
    </row>
    <row r="152" spans="1:14" ht="25.5">
      <c r="A152" s="866" t="s">
        <v>339</v>
      </c>
      <c r="B152" s="867"/>
      <c r="C152" s="868"/>
      <c r="D152" s="117" t="s">
        <v>130</v>
      </c>
      <c r="E152" s="95">
        <f>'15'!F152</f>
        <v>48603</v>
      </c>
      <c r="F152" s="233">
        <v>48737</v>
      </c>
      <c r="G152" s="112">
        <f t="shared" si="10"/>
        <v>134</v>
      </c>
      <c r="H152" s="99">
        <f>G152+'15'!H152</f>
        <v>2105</v>
      </c>
      <c r="I152" s="119"/>
      <c r="J152" s="328">
        <f>H152/DAY(B2)</f>
        <v>131.5625</v>
      </c>
    </row>
    <row r="153" spans="1:14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3069.4900000000216</v>
      </c>
      <c r="H153" s="363"/>
      <c r="I153" s="119">
        <f>G153-(G38+G52)</f>
        <v>362.58000000003995</v>
      </c>
      <c r="J153" s="366"/>
    </row>
    <row r="154" spans="1:14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4" ht="27.75">
      <c r="A155" s="865" t="s">
        <v>345</v>
      </c>
      <c r="B155" s="865"/>
      <c r="C155" s="865"/>
      <c r="D155" s="117" t="s">
        <v>130</v>
      </c>
      <c r="E155" s="405">
        <f>'15'!F155</f>
        <v>264711</v>
      </c>
      <c r="F155" s="554">
        <v>265232.59999999998</v>
      </c>
      <c r="G155" s="236">
        <f>F155-E155</f>
        <v>521.59999999997672</v>
      </c>
      <c r="H155" s="99">
        <f>G155+'15'!H155</f>
        <v>8880.5999999999767</v>
      </c>
      <c r="I155" s="364"/>
      <c r="J155" s="328">
        <f>H155/DAY(B2)</f>
        <v>555.03749999999854</v>
      </c>
    </row>
    <row r="156" spans="1:14" ht="25.5">
      <c r="A156" s="865" t="s">
        <v>347</v>
      </c>
      <c r="B156" s="865"/>
      <c r="C156" s="865"/>
      <c r="D156" s="117" t="s">
        <v>130</v>
      </c>
      <c r="E156" s="405">
        <f>'15'!F156</f>
        <v>33998</v>
      </c>
      <c r="F156" s="157">
        <v>34103.49</v>
      </c>
      <c r="G156" s="236">
        <f t="shared" ref="G156:G158" si="11">F156-E156</f>
        <v>105.48999999999796</v>
      </c>
      <c r="H156" s="99">
        <f>G156+'15'!H156</f>
        <v>1544.489999999998</v>
      </c>
      <c r="I156" s="165"/>
      <c r="J156" s="328">
        <f>H156/DAY(B2)</f>
        <v>96.530624999999873</v>
      </c>
    </row>
    <row r="157" spans="1:14" ht="25.5">
      <c r="A157" s="866" t="s">
        <v>359</v>
      </c>
      <c r="B157" s="867"/>
      <c r="C157" s="868"/>
      <c r="D157" s="117" t="s">
        <v>130</v>
      </c>
      <c r="E157" s="405">
        <f>'15'!F157</f>
        <v>2782</v>
      </c>
      <c r="F157" s="157">
        <v>2872</v>
      </c>
      <c r="G157" s="236">
        <f t="shared" si="11"/>
        <v>90</v>
      </c>
      <c r="H157" s="99">
        <f>G157+'15'!H157</f>
        <v>980</v>
      </c>
      <c r="I157" s="165"/>
      <c r="J157" s="328">
        <f>H157/DAY(B2)</f>
        <v>61.25</v>
      </c>
    </row>
    <row r="158" spans="1:14" ht="25.5">
      <c r="A158" s="866" t="s">
        <v>360</v>
      </c>
      <c r="B158" s="867"/>
      <c r="C158" s="868"/>
      <c r="D158" s="117" t="s">
        <v>130</v>
      </c>
      <c r="E158" s="405">
        <f>'15'!F158</f>
        <v>1790</v>
      </c>
      <c r="F158" s="157">
        <v>1790</v>
      </c>
      <c r="G158" s="236">
        <f t="shared" si="11"/>
        <v>0</v>
      </c>
      <c r="H158" s="99">
        <f>G158+'15'!H158</f>
        <v>7</v>
      </c>
      <c r="I158" s="165"/>
      <c r="J158" s="328">
        <f>H158/DAY(B2)</f>
        <v>0.4375</v>
      </c>
    </row>
    <row r="159" spans="1:14" ht="25.5">
      <c r="A159" s="946"/>
      <c r="B159" s="947"/>
      <c r="C159" s="948"/>
      <c r="D159" s="117"/>
      <c r="E159" s="95"/>
      <c r="F159" s="155"/>
      <c r="G159" s="362">
        <f>SUM(G155:G158)</f>
        <v>717.08999999997468</v>
      </c>
      <c r="H159" s="99">
        <f>G159+'15'!H159</f>
        <v>717.08999999997468</v>
      </c>
      <c r="I159" s="165"/>
      <c r="J159" s="328">
        <f>H159/DAY(B2)</f>
        <v>44.818124999998417</v>
      </c>
    </row>
    <row r="160" spans="1:14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4" ht="26.25">
      <c r="A161" s="242" t="s">
        <v>92</v>
      </c>
      <c r="B161" s="243"/>
      <c r="C161" s="243"/>
      <c r="D161" s="244" t="s">
        <v>180</v>
      </c>
      <c r="E161" s="95">
        <f>'15'!F161</f>
        <v>514682.52</v>
      </c>
      <c r="F161" s="235">
        <v>514861</v>
      </c>
      <c r="G161" s="238">
        <f t="shared" ref="G161:G165" si="12">F161-E161</f>
        <v>178.47999999998137</v>
      </c>
      <c r="H161" s="99">
        <f>G161+'15'!H161</f>
        <v>2416</v>
      </c>
      <c r="I161" s="236"/>
      <c r="J161" s="239">
        <f>H161/DAY(B2)</f>
        <v>151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'15'!F162</f>
        <v>2388</v>
      </c>
      <c r="F162" s="235">
        <v>2425</v>
      </c>
      <c r="G162" s="238">
        <v>64</v>
      </c>
      <c r="H162" s="99">
        <f>G162+'15'!H162</f>
        <v>665</v>
      </c>
      <c r="I162" s="236"/>
      <c r="J162" s="239">
        <f>H162/DAY(B2)</f>
        <v>41.5625</v>
      </c>
      <c r="N162" s="65" t="s">
        <v>373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'15'!F163</f>
        <v>0</v>
      </c>
      <c r="F163" s="235">
        <v>0</v>
      </c>
      <c r="G163" s="238">
        <f t="shared" si="12"/>
        <v>0</v>
      </c>
      <c r="H163" s="99">
        <f>G163+'15'!H163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'15'!F164</f>
        <v>7376</v>
      </c>
      <c r="F164" s="235">
        <v>7376</v>
      </c>
      <c r="G164" s="238">
        <f t="shared" si="12"/>
        <v>0</v>
      </c>
      <c r="H164" s="99">
        <f>G164+'15'!H164</f>
        <v>39</v>
      </c>
      <c r="I164" s="236"/>
      <c r="J164" s="239">
        <f>H164/DAY(B2)</f>
        <v>2.4375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'15'!F165</f>
        <v>33081</v>
      </c>
      <c r="F165" s="235">
        <v>33089</v>
      </c>
      <c r="G165" s="238">
        <f t="shared" si="12"/>
        <v>8</v>
      </c>
      <c r="H165" s="99">
        <f>G165+'15'!H165</f>
        <v>114.4800000000032</v>
      </c>
      <c r="I165" s="236"/>
      <c r="J165" s="239">
        <f>H165/DAY(B2)</f>
        <v>7.1550000000002001</v>
      </c>
    </row>
    <row r="166" spans="1:14" ht="26.25">
      <c r="A166" s="872"/>
      <c r="B166" s="87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4" ht="26.25">
      <c r="A167" s="872"/>
      <c r="B167" s="87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4" ht="26.25">
      <c r="A168" s="872"/>
      <c r="B168" s="87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4" ht="26.25"/>
    <row r="170" spans="1:14" ht="26.25"/>
    <row r="171" spans="1:14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4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4" ht="25.5">
      <c r="A173" s="790" t="s">
        <v>209</v>
      </c>
      <c r="B173" s="791"/>
      <c r="C173" s="333"/>
      <c r="D173" s="228" t="s">
        <v>142</v>
      </c>
      <c r="E173" s="95">
        <f>'15'!F173</f>
        <v>8600</v>
      </c>
      <c r="F173" s="155">
        <v>8601</v>
      </c>
      <c r="G173" s="155">
        <f>F173-E173</f>
        <v>1</v>
      </c>
      <c r="H173" s="99">
        <f>G173+'15'!H173</f>
        <v>19</v>
      </c>
      <c r="I173" s="155"/>
      <c r="J173" s="178">
        <f>H173/DAY(B2)</f>
        <v>1.1875</v>
      </c>
    </row>
    <row r="174" spans="1:14" ht="25.5">
      <c r="A174" s="790" t="s">
        <v>75</v>
      </c>
      <c r="B174" s="791"/>
      <c r="C174" s="333"/>
      <c r="D174" s="228" t="s">
        <v>142</v>
      </c>
      <c r="E174" s="95">
        <f>'15'!F174</f>
        <v>43545</v>
      </c>
      <c r="F174" s="157">
        <v>43556</v>
      </c>
      <c r="G174" s="155">
        <f t="shared" ref="G174:G175" si="13">F174-E174</f>
        <v>11</v>
      </c>
      <c r="H174" s="99">
        <f>G174+'15'!H174</f>
        <v>142</v>
      </c>
      <c r="I174" s="155"/>
      <c r="J174" s="178">
        <f>H174/DAY(B2)</f>
        <v>8.875</v>
      </c>
    </row>
    <row r="175" spans="1:14" ht="25.5">
      <c r="A175" s="790" t="s">
        <v>76</v>
      </c>
      <c r="B175" s="803"/>
      <c r="C175" s="791"/>
      <c r="D175" s="228" t="s">
        <v>142</v>
      </c>
      <c r="E175" s="95">
        <f>'15'!F175</f>
        <v>26483</v>
      </c>
      <c r="F175" s="155">
        <v>26496</v>
      </c>
      <c r="G175" s="155">
        <f t="shared" si="13"/>
        <v>13</v>
      </c>
      <c r="H175" s="99">
        <f>G175+'15'!H175</f>
        <v>209</v>
      </c>
      <c r="I175" s="155"/>
      <c r="J175" s="178">
        <f>H175/DAY(B2)</f>
        <v>13.0625</v>
      </c>
    </row>
    <row r="176" spans="1:14" ht="25.5">
      <c r="A176" s="788" t="s">
        <v>196</v>
      </c>
      <c r="B176" s="789"/>
      <c r="C176" s="333"/>
      <c r="D176" s="228" t="s">
        <v>142</v>
      </c>
      <c r="E176" s="95">
        <f>'15'!F176</f>
        <v>0</v>
      </c>
      <c r="F176" s="155"/>
      <c r="G176" s="155">
        <f>SUM(G173:G175)</f>
        <v>25</v>
      </c>
      <c r="H176" s="99">
        <f>G176+'15'!H176</f>
        <v>370</v>
      </c>
      <c r="I176" s="155"/>
      <c r="J176" s="178">
        <f>H176/DAY(B2)</f>
        <v>23.125</v>
      </c>
    </row>
    <row r="177" spans="1:11" ht="25.5">
      <c r="A177" s="790" t="s">
        <v>77</v>
      </c>
      <c r="B177" s="791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790" t="s">
        <v>210</v>
      </c>
      <c r="B178" s="791"/>
      <c r="C178" s="333"/>
      <c r="D178" s="228" t="s">
        <v>142</v>
      </c>
      <c r="E178" s="95">
        <f>'15'!F178</f>
        <v>111952</v>
      </c>
      <c r="F178" s="155">
        <v>112035</v>
      </c>
      <c r="G178" s="155">
        <f>F178-E178</f>
        <v>83</v>
      </c>
      <c r="H178" s="99">
        <f>G178+'15'!H178</f>
        <v>1644</v>
      </c>
      <c r="I178" s="155"/>
      <c r="J178" s="178">
        <f>H178/DAY(B2)</f>
        <v>102.75</v>
      </c>
    </row>
    <row r="179" spans="1:11" ht="25.5">
      <c r="A179" s="790" t="s">
        <v>211</v>
      </c>
      <c r="B179" s="791"/>
      <c r="C179" s="333"/>
      <c r="D179" s="228" t="s">
        <v>142</v>
      </c>
      <c r="E179" s="95">
        <f>'15'!F179</f>
        <v>37501</v>
      </c>
      <c r="F179" s="155">
        <v>37501</v>
      </c>
      <c r="G179" s="155">
        <f t="shared" ref="G179:G180" si="14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790" t="s">
        <v>212</v>
      </c>
      <c r="B180" s="791"/>
      <c r="C180" s="333"/>
      <c r="D180" s="228" t="s">
        <v>142</v>
      </c>
      <c r="E180" s="95">
        <f>'15'!F180</f>
        <v>7761</v>
      </c>
      <c r="F180" s="155">
        <v>7763</v>
      </c>
      <c r="G180" s="155">
        <f t="shared" si="14"/>
        <v>2</v>
      </c>
      <c r="H180" s="99">
        <f>G180+'15'!H180</f>
        <v>62</v>
      </c>
      <c r="I180" s="155"/>
      <c r="J180" s="178">
        <f>H180/DAY(B2)</f>
        <v>3.875</v>
      </c>
    </row>
    <row r="181" spans="1:11" ht="25.5">
      <c r="A181" s="878" t="s">
        <v>108</v>
      </c>
      <c r="B181" s="879"/>
      <c r="C181" s="333"/>
      <c r="D181" s="228" t="s">
        <v>142</v>
      </c>
      <c r="E181" s="95">
        <f>'15'!F181</f>
        <v>0</v>
      </c>
      <c r="F181" s="155"/>
      <c r="G181" s="155">
        <f>SUM(G178:G180)</f>
        <v>85</v>
      </c>
      <c r="H181" s="99">
        <f>G181+'15'!H181</f>
        <v>1706</v>
      </c>
      <c r="I181" s="155"/>
      <c r="J181" s="178">
        <f>H181/DAY(B2)</f>
        <v>106.625</v>
      </c>
    </row>
    <row r="182" spans="1:11" ht="25.5">
      <c r="A182" s="790" t="s">
        <v>213</v>
      </c>
      <c r="B182" s="791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790" t="s">
        <v>214</v>
      </c>
      <c r="B183" s="791"/>
      <c r="C183" s="334"/>
      <c r="D183" s="228" t="s">
        <v>142</v>
      </c>
      <c r="E183" s="95">
        <f>'15'!F183</f>
        <v>18783</v>
      </c>
      <c r="F183" s="157">
        <v>18792</v>
      </c>
      <c r="G183" s="157">
        <f>F183-E183</f>
        <v>9</v>
      </c>
      <c r="H183" s="99">
        <f>G183+'15'!H183</f>
        <v>100</v>
      </c>
      <c r="I183" s="155"/>
      <c r="J183" s="178">
        <f>H183/DAY(B2)</f>
        <v>6.25</v>
      </c>
    </row>
    <row r="184" spans="1:11" ht="25.5">
      <c r="A184" s="790" t="s">
        <v>215</v>
      </c>
      <c r="B184" s="791"/>
      <c r="C184" s="334"/>
      <c r="D184" s="228" t="s">
        <v>142</v>
      </c>
      <c r="E184" s="95">
        <f>'15'!F184</f>
        <v>13353</v>
      </c>
      <c r="F184" s="157">
        <v>13359</v>
      </c>
      <c r="G184" s="157">
        <f t="shared" ref="G184:G185" si="15">F184-E184</f>
        <v>6</v>
      </c>
      <c r="H184" s="99">
        <f>G184+'15'!H184</f>
        <v>113</v>
      </c>
      <c r="I184" s="155"/>
      <c r="J184" s="178">
        <f>H184/DAY(B2)</f>
        <v>7.0625</v>
      </c>
    </row>
    <row r="185" spans="1:11" ht="32.25" customHeight="1">
      <c r="A185" s="790" t="s">
        <v>216</v>
      </c>
      <c r="B185" s="791"/>
      <c r="C185" s="334"/>
      <c r="D185" s="228" t="s">
        <v>142</v>
      </c>
      <c r="E185" s="95"/>
      <c r="F185" s="157"/>
      <c r="G185" s="157">
        <f t="shared" si="15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788" t="s">
        <v>196</v>
      </c>
      <c r="B186" s="789"/>
      <c r="C186" s="334"/>
      <c r="D186" s="228" t="s">
        <v>142</v>
      </c>
      <c r="E186" s="95"/>
      <c r="F186" s="157"/>
      <c r="G186" s="157">
        <f>SUM(G183:G185)</f>
        <v>15</v>
      </c>
      <c r="H186" s="99">
        <f>G186+'15'!H186</f>
        <v>213</v>
      </c>
      <c r="I186" s="157"/>
      <c r="J186" s="178">
        <f>H186/DAY(B2)</f>
        <v>13.3125</v>
      </c>
    </row>
    <row r="187" spans="1:11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121</v>
      </c>
      <c r="H187" s="99">
        <f>G187+'15'!H187</f>
        <v>2039</v>
      </c>
      <c r="I187" s="158"/>
      <c r="J187" s="179">
        <f>H187/DAY(B2)</f>
        <v>127.4375</v>
      </c>
    </row>
    <row r="188" spans="1:11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177</v>
      </c>
      <c r="H188" s="99">
        <f>G188+'15'!H188</f>
        <v>363</v>
      </c>
      <c r="I188" s="158"/>
      <c r="J188" s="179">
        <f>H188/DAY(B2)</f>
        <v>22.6875</v>
      </c>
    </row>
    <row r="189" spans="1:11" ht="23.25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85</v>
      </c>
      <c r="H189" s="99">
        <f>G189+'15'!H189</f>
        <v>1706</v>
      </c>
      <c r="I189" s="158"/>
      <c r="J189" s="179">
        <f>H189/DAY(B2)</f>
        <v>106.625</v>
      </c>
    </row>
    <row r="190" spans="1:11" ht="23.25" customHeight="1">
      <c r="A190" s="959"/>
      <c r="B190" s="960"/>
      <c r="C190" s="426"/>
      <c r="D190" s="395"/>
      <c r="E190" s="395" t="s">
        <v>207</v>
      </c>
      <c r="F190" s="414"/>
      <c r="G190" s="395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>
      <c r="G192" s="160" t="s">
        <v>365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topLeftCell="A4" zoomScale="55" zoomScaleSheetLayoutView="55" zoomScalePageLayoutView="60" workbookViewId="0">
      <selection activeCell="O9" sqref="O9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7.75" customHeight="1">
      <c r="A2" s="191" t="s">
        <v>371</v>
      </c>
      <c r="B2" s="262">
        <v>44609</v>
      </c>
      <c r="C2" s="348" t="s">
        <v>67</v>
      </c>
      <c r="D2" s="218">
        <v>0.91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23</v>
      </c>
      <c r="E3" s="930" t="s">
        <v>119</v>
      </c>
      <c r="F3" s="931"/>
      <c r="G3" s="47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471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4" t="s">
        <v>128</v>
      </c>
      <c r="B6" s="925"/>
      <c r="C6" s="926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976460.39</v>
      </c>
      <c r="F7" s="95">
        <v>999988</v>
      </c>
      <c r="G7" s="474">
        <f>F7-E7</f>
        <v>23527.609999999986</v>
      </c>
      <c r="H7" s="99">
        <f>G7+'16'!H7</f>
        <v>377189</v>
      </c>
      <c r="I7" s="113">
        <f>'1'!I7</f>
        <v>12000</v>
      </c>
      <c r="J7" s="175">
        <f>H7/DAY(B2)</f>
        <v>22187.588235294119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177767.29</v>
      </c>
      <c r="F8" s="114">
        <v>202100</v>
      </c>
      <c r="G8" s="475">
        <f>F8-E8</f>
        <v>24332.709999999992</v>
      </c>
      <c r="H8" s="99">
        <f>G8+'16'!H8</f>
        <v>385990</v>
      </c>
      <c r="I8" s="116"/>
      <c r="J8" s="175">
        <f>H8/DAY(B2)</f>
        <v>22705.294117647059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805.10000000000582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5024401.5</v>
      </c>
      <c r="F9" s="468">
        <v>5038231.9000000004</v>
      </c>
      <c r="G9" s="474">
        <f>F9-E9</f>
        <v>13830.400000000373</v>
      </c>
      <c r="H9" s="99">
        <f>G9+'16'!H9</f>
        <v>213132.90000000037</v>
      </c>
      <c r="I9" s="124">
        <f>I7-J7</f>
        <v>-10187.588235294119</v>
      </c>
      <c r="J9" s="175">
        <f>H9/DAY(B2)</f>
        <v>12537.229411764727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4435748.3</v>
      </c>
      <c r="F10" s="353">
        <v>4445505.5</v>
      </c>
      <c r="G10" s="474">
        <f>F10-E10</f>
        <v>9757.2000000001863</v>
      </c>
      <c r="H10" s="99">
        <f>G10+'16'!H10</f>
        <v>154971.5</v>
      </c>
      <c r="I10" s="282"/>
      <c r="J10" s="175">
        <f>H10/DAY(B2)</f>
        <v>9115.9705882352937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38700</v>
      </c>
      <c r="F11" s="95">
        <v>38700</v>
      </c>
      <c r="G11" s="474">
        <f t="shared" ref="G11:G12" si="0">F11-E11</f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40550</v>
      </c>
      <c r="F12" s="117">
        <v>40550</v>
      </c>
      <c r="G12" s="474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6">
        <f>G9+G10+G11+G12</f>
        <v>23587.600000000559</v>
      </c>
      <c r="H13" s="99">
        <f>G13+'16'!H13</f>
        <v>368104.40000000037</v>
      </c>
      <c r="I13" s="120">
        <f>G7-G13</f>
        <v>-59.990000000572763</v>
      </c>
      <c r="J13" s="175">
        <f>H13/DAY(B2)</f>
        <v>21653.200000000023</v>
      </c>
      <c r="K13" s="79"/>
      <c r="L13" s="66"/>
      <c r="N13" s="87"/>
      <c r="O13" s="71"/>
    </row>
    <row r="14" spans="1:15" ht="27.75" customHeight="1">
      <c r="A14" s="927" t="s">
        <v>137</v>
      </c>
      <c r="B14" s="928"/>
      <c r="C14" s="929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'16'!F15</f>
        <v>2305369</v>
      </c>
      <c r="F15" s="468">
        <v>2306598</v>
      </c>
      <c r="G15" s="474">
        <f>(F15-E15)</f>
        <v>1229</v>
      </c>
      <c r="H15" s="99">
        <f>G15+'16'!H15</f>
        <v>18124.285000000149</v>
      </c>
      <c r="I15" s="113">
        <f>'1'!I15</f>
        <v>800</v>
      </c>
      <c r="J15" s="175">
        <f>H15/DAY(B2)</f>
        <v>1066.1344117647147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4"/>
      <c r="H16" s="124"/>
      <c r="I16" s="120">
        <f>I15-J15</f>
        <v>-266.13441176471474</v>
      </c>
      <c r="J16" s="176"/>
      <c r="K16" s="79"/>
      <c r="L16" s="66"/>
      <c r="N16" s="87"/>
      <c r="O16" s="71"/>
    </row>
    <row r="17" spans="1:15" ht="27.75" customHeight="1">
      <c r="A17" s="927" t="s">
        <v>140</v>
      </c>
      <c r="B17" s="928"/>
      <c r="C17" s="929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4" t="s">
        <v>141</v>
      </c>
      <c r="B18" s="905"/>
      <c r="C18" s="906"/>
      <c r="D18" s="151" t="s">
        <v>142</v>
      </c>
      <c r="E18" s="95">
        <f>'16'!F18</f>
        <v>36</v>
      </c>
      <c r="F18" s="122">
        <v>23</v>
      </c>
      <c r="G18" s="476">
        <f>F18*10</f>
        <v>230</v>
      </c>
      <c r="H18" s="99">
        <f>G18+'16'!H18</f>
        <v>2860</v>
      </c>
      <c r="I18" s="113">
        <f>'1'!I18</f>
        <v>65</v>
      </c>
      <c r="J18" s="175">
        <f>H18/DAY(B2)</f>
        <v>168.23529411764707</v>
      </c>
      <c r="K18" s="79"/>
      <c r="L18" s="66"/>
      <c r="N18" s="87"/>
      <c r="O18" s="71"/>
    </row>
    <row r="19" spans="1:15" ht="27.75" customHeight="1">
      <c r="A19" s="904" t="s">
        <v>69</v>
      </c>
      <c r="B19" s="905"/>
      <c r="C19" s="906"/>
      <c r="D19" s="151" t="s">
        <v>142</v>
      </c>
      <c r="E19" s="95">
        <f>'16'!F19</f>
        <v>172159</v>
      </c>
      <c r="F19" s="122">
        <v>172208</v>
      </c>
      <c r="G19" s="474">
        <f t="shared" ref="G19" si="1">F19-E19</f>
        <v>49</v>
      </c>
      <c r="H19" s="99">
        <f>G19+'16'!H19</f>
        <v>885</v>
      </c>
      <c r="I19" s="335"/>
      <c r="J19" s="175">
        <f>H19/DAY(B2)</f>
        <v>52.058823529411768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 t="s">
        <v>207</v>
      </c>
      <c r="G20" s="478">
        <f>G18+G19</f>
        <v>279</v>
      </c>
      <c r="H20" s="99">
        <f>G20+'16'!H20</f>
        <v>3745</v>
      </c>
      <c r="I20" s="336">
        <f>I18-J20</f>
        <v>-155.29411764705881</v>
      </c>
      <c r="J20" s="175">
        <f>H20/DAY(B2)</f>
        <v>220.29411764705881</v>
      </c>
      <c r="K20" s="79"/>
      <c r="L20" s="66"/>
      <c r="N20" s="87"/>
      <c r="O20" s="71"/>
    </row>
    <row r="21" spans="1:15" ht="27.75" customHeight="1">
      <c r="A21" s="927" t="s">
        <v>144</v>
      </c>
      <c r="B21" s="928"/>
      <c r="C21" s="929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6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1860</v>
      </c>
      <c r="F23" s="122">
        <v>1860</v>
      </c>
      <c r="G23" s="476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f>SUM(F22:F23)</f>
        <v>4830</v>
      </c>
      <c r="G24" s="476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2" t="s">
        <v>149</v>
      </c>
      <c r="B25" s="933"/>
      <c r="C25" s="934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24332.709999999992</v>
      </c>
      <c r="F27" s="136">
        <v>10</v>
      </c>
      <c r="G27" s="481">
        <f>E27*F27</f>
        <v>243327.09999999992</v>
      </c>
      <c r="H27" s="99">
        <f>G27+'16'!H27</f>
        <v>3859900.0000000005</v>
      </c>
      <c r="I27" s="138"/>
      <c r="J27" s="175">
        <f>H27/DAY(B2)</f>
        <v>227052.9411764706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1229</v>
      </c>
      <c r="F28" s="136">
        <v>63</v>
      </c>
      <c r="G28" s="481">
        <f>E28*F28</f>
        <v>77427</v>
      </c>
      <c r="H28" s="99">
        <f>G28+'16'!H28</f>
        <v>1158751.4100000104</v>
      </c>
      <c r="I28" s="140"/>
      <c r="J28" s="175">
        <f>H28/DAY(B2)</f>
        <v>68161.847647059432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G29+'16'!H29</f>
        <v>6900</v>
      </c>
      <c r="I29" s="140"/>
      <c r="J29" s="175">
        <f>H29/DAY(B2)</f>
        <v>405.88235294117646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155</v>
      </c>
      <c r="G30" s="481">
        <f>E30*F30</f>
        <v>7595</v>
      </c>
      <c r="H30" s="99">
        <f>G30+'16'!H30</f>
        <v>136075</v>
      </c>
      <c r="I30" s="140"/>
      <c r="J30" s="175">
        <f>H30/DAY(B2)</f>
        <v>8004.411764705882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88</v>
      </c>
      <c r="G31" s="481">
        <f>E31*F31</f>
        <v>20240</v>
      </c>
      <c r="H31" s="99">
        <f>G31+'16'!H31</f>
        <v>248560</v>
      </c>
      <c r="I31" s="140"/>
      <c r="J31" s="175">
        <f>H31/DAY(B2)</f>
        <v>14621.176470588236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2">
        <f>G27+G28+G29+G30+G31</f>
        <v>348589.09999999992</v>
      </c>
      <c r="H32" s="99">
        <f>G32+'16'!H32</f>
        <v>5410186.4100000104</v>
      </c>
      <c r="I32" s="144"/>
      <c r="J32" s="175">
        <f>H32/DAY(B2)</f>
        <v>318246.25941176532</v>
      </c>
      <c r="K32" s="63"/>
      <c r="L32" s="89"/>
      <c r="N32" s="87"/>
      <c r="O32" s="71"/>
    </row>
    <row r="33" spans="1:15" ht="27.75" customHeight="1">
      <c r="A33" s="935" t="s">
        <v>331</v>
      </c>
      <c r="B33" s="936"/>
      <c r="C33" s="936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571563.82999999996</v>
      </c>
      <c r="F35" s="145">
        <v>574568.03</v>
      </c>
      <c r="G35" s="474">
        <f t="shared" ref="G35:G46" si="3">F35-E35</f>
        <v>3004.2000000000698</v>
      </c>
      <c r="H35" s="99">
        <f>G35+'16'!H35</f>
        <v>44512.030000000028</v>
      </c>
      <c r="I35" s="95"/>
      <c r="J35" s="175">
        <f>H35/DAY(B2)</f>
        <v>2618.3547058823547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398104.71</v>
      </c>
      <c r="F36" s="145">
        <v>399318</v>
      </c>
      <c r="G36" s="474">
        <f t="shared" si="3"/>
        <v>1213.289999999979</v>
      </c>
      <c r="H36" s="99">
        <f>G36+'16'!H36</f>
        <v>17497</v>
      </c>
      <c r="I36" s="95"/>
      <c r="J36" s="175">
        <f>H36/DAY(B2)</f>
        <v>1029.2352941176471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406477.63</v>
      </c>
      <c r="F37" s="145">
        <v>408009</v>
      </c>
      <c r="G37" s="474">
        <f t="shared" si="3"/>
        <v>1531.3699999999953</v>
      </c>
      <c r="H37" s="99">
        <f>G37+'16'!H37</f>
        <v>24390</v>
      </c>
      <c r="I37" s="95"/>
      <c r="J37" s="175">
        <f>H37/DAY(B2)</f>
        <v>1434.7058823529412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918718.07</v>
      </c>
      <c r="F38" s="108">
        <v>921500</v>
      </c>
      <c r="G38" s="474">
        <f t="shared" si="3"/>
        <v>2781.9300000000512</v>
      </c>
      <c r="H38" s="99">
        <f>G38+'16'!H38</f>
        <v>44373</v>
      </c>
      <c r="I38" s="95"/>
      <c r="J38" s="175">
        <f>H38/DAY(B2)</f>
        <v>2610.1764705882351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751395.11</v>
      </c>
      <c r="F39" s="145">
        <v>754284.55</v>
      </c>
      <c r="G39" s="474">
        <f t="shared" si="3"/>
        <v>2889.4400000000605</v>
      </c>
      <c r="H39" s="99">
        <f>G39+'16'!H39</f>
        <v>48148.550000000047</v>
      </c>
      <c r="I39" s="95"/>
      <c r="J39" s="175">
        <f>H39/DAY(B2)</f>
        <v>2832.2676470588262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221765.85</v>
      </c>
      <c r="F40" s="422">
        <v>221991.77</v>
      </c>
      <c r="G40" s="474">
        <f t="shared" si="3"/>
        <v>225.9199999999837</v>
      </c>
      <c r="H40" s="99">
        <f>G40+'16'!H40</f>
        <v>4199.7699999999895</v>
      </c>
      <c r="I40" s="95"/>
      <c r="J40" s="175">
        <f>H40/DAY(B2)</f>
        <v>247.04529411764645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420212.51</v>
      </c>
      <c r="F41" s="145">
        <v>420212.51</v>
      </c>
      <c r="G41" s="474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982309.59</v>
      </c>
      <c r="F42" s="145">
        <v>983468.63</v>
      </c>
      <c r="G42" s="474">
        <f t="shared" si="3"/>
        <v>1159.0400000000373</v>
      </c>
      <c r="H42" s="99">
        <f>G42+'16'!H42</f>
        <v>10406</v>
      </c>
      <c r="I42" s="95"/>
      <c r="J42" s="175">
        <f>H42/DAY(B2)</f>
        <v>612.11764705882354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422444</v>
      </c>
      <c r="F43" s="145">
        <v>422444</v>
      </c>
      <c r="G43" s="474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4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4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4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12805.190000000177</v>
      </c>
      <c r="H47" s="99">
        <f>G47+'16'!H47</f>
        <v>193526.35000000006</v>
      </c>
      <c r="I47" s="95"/>
      <c r="J47" s="175">
        <f>H47/DAY(B2)</f>
        <v>11383.902941176475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831510.71</v>
      </c>
      <c r="F49" s="145">
        <v>832012</v>
      </c>
      <c r="G49" s="474">
        <f t="shared" ref="G49:G58" si="4">F49-E49</f>
        <v>501.29000000003725</v>
      </c>
      <c r="H49" s="99">
        <f>G49+'16'!H49</f>
        <v>9100</v>
      </c>
      <c r="I49" s="95"/>
      <c r="J49" s="175">
        <f>H49/DAY(B2)</f>
        <v>535.29411764705878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564574.55000000005</v>
      </c>
      <c r="F50" s="145">
        <v>566373</v>
      </c>
      <c r="G50" s="474">
        <f t="shared" si="4"/>
        <v>1798.4499999999534</v>
      </c>
      <c r="H50" s="99">
        <f>G50+'16'!H50</f>
        <v>24399</v>
      </c>
      <c r="I50" s="95"/>
      <c r="J50" s="175">
        <f>H50/DAY(B2)</f>
        <v>1435.2352941176471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156958.44</v>
      </c>
      <c r="F51" s="145">
        <v>156958.44</v>
      </c>
      <c r="G51" s="474">
        <f t="shared" si="4"/>
        <v>0</v>
      </c>
      <c r="H51" s="99">
        <f>G51+'16'!H51</f>
        <v>0.44000000000232831</v>
      </c>
      <c r="I51" s="95"/>
      <c r="J51" s="175">
        <f>H51/DAY(B2)</f>
        <v>2.5882352941313431E-2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1457.43</v>
      </c>
      <c r="F52" s="145">
        <v>1457.43</v>
      </c>
      <c r="G52" s="474">
        <f t="shared" si="4"/>
        <v>0</v>
      </c>
      <c r="H52" s="99">
        <f>G52+'16'!H52</f>
        <v>0.43000000000006366</v>
      </c>
      <c r="I52" s="95"/>
      <c r="J52" s="175">
        <f>H52/DAY(B2)</f>
        <v>2.5294117647062568E-2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630355.03</v>
      </c>
      <c r="F53" s="145">
        <v>630355.03</v>
      </c>
      <c r="G53" s="474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129157.18</v>
      </c>
      <c r="F54" s="145">
        <v>129432.98</v>
      </c>
      <c r="G54" s="474">
        <f t="shared" si="4"/>
        <v>275.80000000000291</v>
      </c>
      <c r="H54" s="99">
        <f>G54+'16'!H54</f>
        <v>5318.7699999999895</v>
      </c>
      <c r="I54" s="95"/>
      <c r="J54" s="175">
        <f>H54/DAY(B2)</f>
        <v>312.86882352941115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609694.03</v>
      </c>
      <c r="F55" s="145">
        <v>612995.79</v>
      </c>
      <c r="G55" s="474">
        <f t="shared" si="4"/>
        <v>3301.7600000000093</v>
      </c>
      <c r="H55" s="99">
        <f>G55+'16'!H55</f>
        <v>18691.040000000037</v>
      </c>
      <c r="I55" s="95"/>
      <c r="J55" s="175">
        <f>H55/DAY(B2)</f>
        <v>1099.4729411764729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405435.55</v>
      </c>
      <c r="F56" s="145">
        <v>405435.55</v>
      </c>
      <c r="G56" s="474">
        <f t="shared" si="4"/>
        <v>0</v>
      </c>
      <c r="H56" s="99">
        <f>G56+'16'!H56</f>
        <v>32315.549999999988</v>
      </c>
      <c r="I56" s="95"/>
      <c r="J56" s="175">
        <f>H56/DAY(B2)</f>
        <v>1900.9147058823523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749302.15</v>
      </c>
      <c r="F57" s="145">
        <v>752075</v>
      </c>
      <c r="G57" s="474">
        <f t="shared" si="4"/>
        <v>2772.8499999999767</v>
      </c>
      <c r="H57" s="99">
        <f>G57+'16'!H57</f>
        <v>44377</v>
      </c>
      <c r="I57" s="95"/>
      <c r="J57" s="175">
        <f>H57/DAY(B2)</f>
        <v>2610.4117647058824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98103.1</v>
      </c>
      <c r="F58" s="422">
        <v>98363.96</v>
      </c>
      <c r="G58" s="474">
        <f t="shared" si="4"/>
        <v>260.86000000000058</v>
      </c>
      <c r="H58" s="99">
        <f>G58+'16'!H58</f>
        <v>3794.1399999999994</v>
      </c>
      <c r="I58" s="95"/>
      <c r="J58" s="175">
        <f>H58/DAY(B2)</f>
        <v>223.18470588235292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8911.0099999999802</v>
      </c>
      <c r="H59" s="99">
        <f>G59+'16'!H59</f>
        <v>137996.37000000002</v>
      </c>
      <c r="I59" s="95">
        <f>G7-G60</f>
        <v>1811.4099999998289</v>
      </c>
      <c r="J59" s="175">
        <f>H59/DAY(B2)</f>
        <v>8117.4335294117664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6">
        <f>G47+G59</f>
        <v>21716.200000000157</v>
      </c>
      <c r="H60" s="99">
        <f>G60+'16'!H60</f>
        <v>331522.72000000009</v>
      </c>
      <c r="I60" s="95">
        <f>G13-G60</f>
        <v>1871.4000000004016</v>
      </c>
      <c r="J60" s="175">
        <f>H60/DAY(B2)</f>
        <v>19501.336470588241</v>
      </c>
      <c r="K60" s="79"/>
      <c r="L60" s="66"/>
      <c r="N60" s="87"/>
      <c r="O60" s="71"/>
    </row>
    <row r="61" spans="1:15" s="68" customFormat="1" ht="27.75" customHeight="1">
      <c r="A61" s="937" t="s">
        <v>332</v>
      </c>
      <c r="B61" s="938"/>
      <c r="C61" s="939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4" t="s">
        <v>198</v>
      </c>
      <c r="B62" s="905"/>
      <c r="C62" s="906"/>
      <c r="D62" s="151" t="s">
        <v>142</v>
      </c>
      <c r="E62" s="95">
        <f>'16'!F62</f>
        <v>316880</v>
      </c>
      <c r="F62" s="122">
        <v>317024</v>
      </c>
      <c r="G62" s="474">
        <f t="shared" ref="G62:G63" si="5">F62-E62</f>
        <v>144</v>
      </c>
      <c r="H62" s="99">
        <f>G62+'16'!H62</f>
        <v>1347</v>
      </c>
      <c r="I62" s="118"/>
      <c r="J62" s="175">
        <f>H62/DAY(B2)</f>
        <v>79.235294117647058</v>
      </c>
      <c r="K62" s="80"/>
      <c r="L62" s="66"/>
      <c r="N62" s="87"/>
      <c r="O62" s="71"/>
    </row>
    <row r="63" spans="1:15" ht="27.75" customHeight="1">
      <c r="A63" s="904" t="s">
        <v>199</v>
      </c>
      <c r="B63" s="905"/>
      <c r="C63" s="906"/>
      <c r="D63" s="151" t="s">
        <v>142</v>
      </c>
      <c r="E63" s="95">
        <f>'16'!F63</f>
        <v>253758</v>
      </c>
      <c r="F63" s="122">
        <v>253834</v>
      </c>
      <c r="G63" s="474">
        <f t="shared" si="5"/>
        <v>76</v>
      </c>
      <c r="H63" s="99">
        <f>G63+'16'!H63</f>
        <v>1510</v>
      </c>
      <c r="I63" s="118"/>
      <c r="J63" s="175">
        <f>H63/DAY(B2)</f>
        <v>88.82352941176471</v>
      </c>
      <c r="K63" s="69"/>
      <c r="L63" s="66"/>
      <c r="N63" s="87"/>
      <c r="O63" s="71"/>
    </row>
    <row r="64" spans="1:15" ht="27.75" customHeight="1">
      <c r="A64" s="913" t="s">
        <v>200</v>
      </c>
      <c r="B64" s="914"/>
      <c r="C64" s="915"/>
      <c r="D64" s="151"/>
      <c r="E64" s="95">
        <f>'16'!F64</f>
        <v>0</v>
      </c>
      <c r="F64" s="122"/>
      <c r="G64" s="474">
        <f>G62+G63</f>
        <v>220</v>
      </c>
      <c r="H64" s="99">
        <f>G64+'16'!H64</f>
        <v>2857</v>
      </c>
      <c r="I64" s="118"/>
      <c r="J64" s="175">
        <f>H64/DAY(B2)</f>
        <v>168.05882352941177</v>
      </c>
      <c r="K64" s="69"/>
      <c r="L64" s="66"/>
      <c r="N64" s="87"/>
      <c r="O64" s="71"/>
    </row>
    <row r="65" spans="1:15" ht="27.75" customHeight="1">
      <c r="A65" s="904" t="s">
        <v>201</v>
      </c>
      <c r="B65" s="905"/>
      <c r="C65" s="906"/>
      <c r="D65" s="151" t="s">
        <v>142</v>
      </c>
      <c r="E65" s="95">
        <f>'16'!F65</f>
        <v>477896</v>
      </c>
      <c r="F65" s="122">
        <v>478029</v>
      </c>
      <c r="G65" s="474">
        <f t="shared" ref="G65:G70" si="6">F65-E65</f>
        <v>133</v>
      </c>
      <c r="H65" s="99">
        <f>G65+'16'!H65</f>
        <v>2126</v>
      </c>
      <c r="I65" s="118"/>
      <c r="J65" s="175">
        <f>H65/DAY(B2)</f>
        <v>125.05882352941177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114703</v>
      </c>
      <c r="F66" s="122">
        <v>114716</v>
      </c>
      <c r="G66" s="474">
        <f t="shared" si="6"/>
        <v>13</v>
      </c>
      <c r="H66" s="99">
        <f>G66+'16'!H66</f>
        <v>250</v>
      </c>
      <c r="I66" s="118"/>
      <c r="J66" s="175">
        <f>H66/DAY(B2)</f>
        <v>14.705882352941176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117677</v>
      </c>
      <c r="F67" s="122">
        <v>117699</v>
      </c>
      <c r="G67" s="474">
        <f t="shared" si="6"/>
        <v>22</v>
      </c>
      <c r="H67" s="99">
        <f>G67+'16'!H67</f>
        <v>417</v>
      </c>
      <c r="I67" s="118"/>
      <c r="J67" s="175">
        <f>H67/DAY(B2)</f>
        <v>24.529411764705884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170219</v>
      </c>
      <c r="F68" s="122">
        <v>170247</v>
      </c>
      <c r="G68" s="474">
        <f t="shared" si="6"/>
        <v>28</v>
      </c>
      <c r="H68" s="99">
        <f>G68+'16'!H68</f>
        <v>297</v>
      </c>
      <c r="I68" s="118"/>
      <c r="J68" s="175">
        <f>H68/DAY(B2)</f>
        <v>17.470588235294116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13290</v>
      </c>
      <c r="F69" s="122">
        <v>13294</v>
      </c>
      <c r="G69" s="474">
        <f t="shared" si="6"/>
        <v>4</v>
      </c>
      <c r="H69" s="99">
        <f>G69+'16'!H69</f>
        <v>82</v>
      </c>
      <c r="I69" s="118"/>
      <c r="J69" s="175">
        <f>H69/DAY(B2)</f>
        <v>4.8235294117647056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11369</v>
      </c>
      <c r="F70" s="122">
        <v>11382</v>
      </c>
      <c r="G70" s="474">
        <f t="shared" si="6"/>
        <v>13</v>
      </c>
      <c r="H70" s="99">
        <f>G70+'16'!H70</f>
        <v>124</v>
      </c>
      <c r="I70" s="118"/>
      <c r="J70" s="175">
        <f>H70/DAY(B2)</f>
        <v>7.2941176470588234</v>
      </c>
      <c r="K70" s="69"/>
      <c r="L70" s="66"/>
      <c r="N70" s="87"/>
      <c r="O70" s="71"/>
    </row>
    <row r="71" spans="1:15" ht="27.75" customHeight="1">
      <c r="A71" s="913" t="s">
        <v>208</v>
      </c>
      <c r="B71" s="914"/>
      <c r="C71" s="915"/>
      <c r="D71" s="152"/>
      <c r="E71" s="152"/>
      <c r="F71" s="152"/>
      <c r="G71" s="486">
        <f>SUM(G65:G70)</f>
        <v>213</v>
      </c>
      <c r="H71" s="99">
        <f>G71+'16'!H71</f>
        <v>3296</v>
      </c>
      <c r="I71" s="154"/>
      <c r="J71" s="175">
        <f>H71/DAY(B2)</f>
        <v>193.88235294117646</v>
      </c>
      <c r="K71" s="69"/>
      <c r="L71" s="66"/>
      <c r="N71" s="87"/>
      <c r="O71" s="71"/>
    </row>
    <row r="72" spans="1:15" s="88" customFormat="1" ht="27.75" customHeight="1">
      <c r="A72" s="900"/>
      <c r="B72" s="885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7.75" customHeight="1">
      <c r="A73" s="910" t="s">
        <v>333</v>
      </c>
      <c r="B73" s="911"/>
      <c r="C73" s="912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4" t="s">
        <v>220</v>
      </c>
      <c r="B74" s="905"/>
      <c r="C74" s="906"/>
      <c r="D74" s="151" t="s">
        <v>139</v>
      </c>
      <c r="E74" s="95">
        <f>'16'!F74</f>
        <v>17287.349999999999</v>
      </c>
      <c r="F74" s="117">
        <v>17593</v>
      </c>
      <c r="G74" s="474">
        <f t="shared" ref="G74:G78" si="7">F74-E74</f>
        <v>305.65000000000146</v>
      </c>
      <c r="H74" s="99">
        <f>G74+'16'!H74</f>
        <v>5331</v>
      </c>
      <c r="I74" s="154"/>
      <c r="J74" s="175">
        <f>H74/DAY(B2)</f>
        <v>313.58823529411762</v>
      </c>
      <c r="K74" s="69"/>
      <c r="L74" s="66"/>
      <c r="N74" s="87"/>
      <c r="O74" s="71"/>
    </row>
    <row r="75" spans="1:15" ht="27.75" customHeight="1">
      <c r="A75" s="904" t="s">
        <v>221</v>
      </c>
      <c r="B75" s="905"/>
      <c r="C75" s="906"/>
      <c r="D75" s="151" t="s">
        <v>139</v>
      </c>
      <c r="E75" s="95">
        <f>'16'!F75</f>
        <v>73586.8</v>
      </c>
      <c r="F75" s="123">
        <v>73586.8</v>
      </c>
      <c r="G75" s="474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1" t="s">
        <v>222</v>
      </c>
      <c r="B76" s="902"/>
      <c r="C76" s="903"/>
      <c r="D76" s="151" t="s">
        <v>139</v>
      </c>
      <c r="E76" s="95">
        <f>'16'!F76</f>
        <v>212502</v>
      </c>
      <c r="F76" s="123">
        <v>212650</v>
      </c>
      <c r="G76" s="474">
        <f t="shared" si="7"/>
        <v>148</v>
      </c>
      <c r="H76" s="99">
        <f>G76+'16'!H76</f>
        <v>1990</v>
      </c>
      <c r="I76" s="154"/>
      <c r="J76" s="175">
        <f>H76/DAY(B2)</f>
        <v>117.05882352941177</v>
      </c>
      <c r="K76" s="69"/>
      <c r="L76" s="66"/>
      <c r="N76" s="87"/>
      <c r="O76" s="71"/>
    </row>
    <row r="77" spans="1:15" ht="27.75" customHeight="1">
      <c r="A77" s="901" t="s">
        <v>223</v>
      </c>
      <c r="B77" s="902"/>
      <c r="C77" s="903"/>
      <c r="D77" s="151" t="s">
        <v>139</v>
      </c>
      <c r="E77" s="95">
        <f>'16'!F77</f>
        <v>60586.6</v>
      </c>
      <c r="F77" s="409">
        <v>60648</v>
      </c>
      <c r="G77" s="474">
        <f t="shared" si="7"/>
        <v>61.400000000001455</v>
      </c>
      <c r="H77" s="99">
        <f>G77+'16'!H77</f>
        <v>887</v>
      </c>
      <c r="I77" s="154"/>
      <c r="J77" s="175">
        <f>H77/DAY(B2)</f>
        <v>52.176470588235297</v>
      </c>
      <c r="K77" s="69"/>
      <c r="L77" s="66"/>
      <c r="N77" s="87"/>
      <c r="O77" s="71"/>
    </row>
    <row r="78" spans="1:15" ht="27.75" customHeight="1">
      <c r="A78" s="901" t="s">
        <v>224</v>
      </c>
      <c r="B78" s="902"/>
      <c r="C78" s="903"/>
      <c r="D78" s="151" t="s">
        <v>139</v>
      </c>
      <c r="E78" s="95">
        <f>'16'!F78</f>
        <v>9564</v>
      </c>
      <c r="F78" s="123">
        <v>9564</v>
      </c>
      <c r="G78" s="474">
        <f t="shared" si="7"/>
        <v>0</v>
      </c>
      <c r="H78" s="99">
        <f>G78+'16'!H78</f>
        <v>0.5</v>
      </c>
      <c r="I78" s="118"/>
      <c r="J78" s="175">
        <f>H78/DAY(B2)</f>
        <v>2.9411764705882353E-2</v>
      </c>
      <c r="K78" s="69"/>
      <c r="L78" s="66"/>
      <c r="N78" s="87"/>
      <c r="O78" s="71"/>
    </row>
    <row r="79" spans="1:15" s="57" customFormat="1" ht="27.75" customHeight="1">
      <c r="A79" s="901" t="s">
        <v>225</v>
      </c>
      <c r="B79" s="902"/>
      <c r="C79" s="903"/>
      <c r="D79" s="151"/>
      <c r="E79" s="95">
        <f>'16'!F79</f>
        <v>0</v>
      </c>
      <c r="F79" s="123"/>
      <c r="G79" s="474">
        <f>G15-SUM(G74:G78)</f>
        <v>713.94999999999709</v>
      </c>
      <c r="H79" s="99">
        <f>G79+'16'!H79</f>
        <v>9915.785000000149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3" t="s">
        <v>329</v>
      </c>
      <c r="B80" s="914"/>
      <c r="C80" s="915"/>
      <c r="D80" s="151"/>
      <c r="E80" s="117"/>
      <c r="F80" s="117"/>
      <c r="G80" s="474">
        <f>SUM(G74:G79)</f>
        <v>1229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7" t="s">
        <v>226</v>
      </c>
      <c r="B81" s="918"/>
      <c r="C81" s="919"/>
      <c r="D81" s="110"/>
      <c r="E81" s="110"/>
      <c r="F81" s="110"/>
      <c r="G81" s="488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4">
        <f t="shared" ref="G82:G92" si="8">F82-E82</f>
        <v>0</v>
      </c>
      <c r="H82" s="99">
        <f>G82+'16'!H82</f>
        <v>0</v>
      </c>
      <c r="I82" s="54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4">
        <f t="shared" si="8"/>
        <v>0</v>
      </c>
      <c r="H83" s="99">
        <f>G83+'16'!H83</f>
        <v>0</v>
      </c>
      <c r="I83" s="54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43546</v>
      </c>
      <c r="F84" s="164">
        <v>43546</v>
      </c>
      <c r="G84" s="474">
        <f t="shared" si="8"/>
        <v>0</v>
      </c>
      <c r="H84" s="99">
        <f>G84+'16'!H84</f>
        <v>0</v>
      </c>
      <c r="I84" s="543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6258.03</v>
      </c>
      <c r="F85" s="164">
        <v>6264.3</v>
      </c>
      <c r="G85" s="474">
        <f t="shared" si="8"/>
        <v>6.2700000000004366</v>
      </c>
      <c r="H85" s="99">
        <f>G85+'16'!H85</f>
        <v>51.300000000000182</v>
      </c>
      <c r="I85" s="543"/>
      <c r="J85" s="175">
        <f>H85/DAY(B2)</f>
        <v>3.01764705882354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47077.48</v>
      </c>
      <c r="F86" s="164">
        <v>47101</v>
      </c>
      <c r="G86" s="474">
        <f t="shared" si="8"/>
        <v>23.519999999996799</v>
      </c>
      <c r="H86" s="99">
        <f>G86+'16'!H86</f>
        <v>130</v>
      </c>
      <c r="I86" s="543"/>
      <c r="J86" s="175">
        <f>H86/DAY(B2)</f>
        <v>7.6470588235294121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37602.1</v>
      </c>
      <c r="F87" s="164">
        <v>37602.1</v>
      </c>
      <c r="G87" s="474">
        <f t="shared" si="8"/>
        <v>0</v>
      </c>
      <c r="H87" s="99">
        <f>G87+'16'!H87</f>
        <v>238.09999999999854</v>
      </c>
      <c r="I87" s="543">
        <f>G84+G85+G86+G87</f>
        <v>29.789999999997235</v>
      </c>
      <c r="J87" s="175">
        <f>H87/DAY(B2)</f>
        <v>14.005882352941091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24858.63</v>
      </c>
      <c r="F88" s="164">
        <v>24862</v>
      </c>
      <c r="G88" s="474">
        <f t="shared" si="8"/>
        <v>3.3699999999989814</v>
      </c>
      <c r="H88" s="99">
        <f>G88+'16'!H88</f>
        <v>100</v>
      </c>
      <c r="I88" s="543"/>
      <c r="J88" s="175">
        <f>H88/DAY(B2)</f>
        <v>5.882352941176471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29123.17</v>
      </c>
      <c r="F89" s="164">
        <v>29133.25</v>
      </c>
      <c r="G89" s="474">
        <f t="shared" si="8"/>
        <v>10.080000000001746</v>
      </c>
      <c r="H89" s="99">
        <f>G89+'16'!H89</f>
        <v>105.25</v>
      </c>
      <c r="I89" s="543">
        <f>G88+G89</f>
        <v>13.450000000000728</v>
      </c>
      <c r="J89" s="175">
        <f>H89/DAY(B2)</f>
        <v>6.1911764705882355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74559.97</v>
      </c>
      <c r="F90" s="164">
        <v>74566</v>
      </c>
      <c r="G90" s="474">
        <f t="shared" si="8"/>
        <v>6.0299999999988358</v>
      </c>
      <c r="H90" s="99">
        <f>G90+'16'!H90</f>
        <v>118</v>
      </c>
      <c r="I90" s="543">
        <f>G90</f>
        <v>6.0299999999988358</v>
      </c>
      <c r="J90" s="175">
        <f>H90/DAY(B2)</f>
        <v>6.9411764705882355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5773.92</v>
      </c>
      <c r="F91" s="122">
        <v>5785.76</v>
      </c>
      <c r="G91" s="474">
        <f t="shared" si="8"/>
        <v>11.840000000000146</v>
      </c>
      <c r="H91" s="99">
        <f>G91+'16'!H91</f>
        <v>167.55000000000018</v>
      </c>
      <c r="I91" s="544"/>
      <c r="J91" s="175">
        <f>H91/DAY(B2)</f>
        <v>9.8558823529411868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7469</v>
      </c>
      <c r="F92" s="122">
        <v>7469.24</v>
      </c>
      <c r="G92" s="474">
        <f t="shared" si="8"/>
        <v>0.23999999999978172</v>
      </c>
      <c r="H92" s="99">
        <f>G92+'16'!H92</f>
        <v>36.960000000000036</v>
      </c>
      <c r="I92" s="545">
        <f>G91+G92</f>
        <v>12.079999999999927</v>
      </c>
      <c r="J92" s="175">
        <f>H92/DAY(B2)</f>
        <v>2.1741176470588255</v>
      </c>
      <c r="O92" s="71"/>
    </row>
    <row r="93" spans="1:15" ht="27.75" customHeight="1">
      <c r="A93" s="907" t="s">
        <v>239</v>
      </c>
      <c r="B93" s="908"/>
      <c r="C93" s="909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7.75" customHeight="1">
      <c r="A94" s="904" t="s">
        <v>240</v>
      </c>
      <c r="B94" s="905"/>
      <c r="C94" s="906"/>
      <c r="D94" s="151" t="s">
        <v>130</v>
      </c>
      <c r="E94" s="151"/>
      <c r="F94" s="151"/>
      <c r="G94" s="489">
        <f>G35+G43+G49+G57</f>
        <v>6278.3400000000838</v>
      </c>
      <c r="H94" s="99">
        <f>G94+'16'!H94</f>
        <v>97989.030000000028</v>
      </c>
      <c r="I94" s="118"/>
      <c r="J94" s="175">
        <f>H94/DAY(B2)</f>
        <v>5764.0605882352957</v>
      </c>
      <c r="K94" s="69"/>
      <c r="L94" s="66"/>
      <c r="O94" s="71"/>
    </row>
    <row r="95" spans="1:15" ht="27.75" customHeight="1">
      <c r="A95" s="904" t="s">
        <v>241</v>
      </c>
      <c r="B95" s="905"/>
      <c r="C95" s="906"/>
      <c r="D95" s="151" t="s">
        <v>23</v>
      </c>
      <c r="E95" s="146"/>
      <c r="F95" s="146"/>
      <c r="G95" s="490">
        <f>G94/G7</f>
        <v>0.26684988402987331</v>
      </c>
      <c r="H95" s="99">
        <f>G95+'16'!H95</f>
        <v>4.4202177217112784</v>
      </c>
      <c r="I95" s="167"/>
      <c r="J95" s="175">
        <f>H95/DAY(B2)</f>
        <v>0.26001280715948694</v>
      </c>
      <c r="K95" s="69"/>
      <c r="L95" s="66"/>
      <c r="O95" s="71"/>
    </row>
    <row r="96" spans="1:15" ht="27.75" customHeight="1">
      <c r="A96" s="904" t="s">
        <v>242</v>
      </c>
      <c r="B96" s="905"/>
      <c r="C96" s="906"/>
      <c r="D96" s="151" t="s">
        <v>130</v>
      </c>
      <c r="E96" s="95"/>
      <c r="F96" s="95"/>
      <c r="G96" s="489">
        <f>G41+G42+G55+G56</f>
        <v>4460.8000000000466</v>
      </c>
      <c r="H96" s="99">
        <f>G96+'16'!H96</f>
        <v>61412.590000000026</v>
      </c>
      <c r="I96" s="118"/>
      <c r="J96" s="175">
        <f>H96/DAY(B2)</f>
        <v>3612.5052941176486</v>
      </c>
      <c r="K96" s="69"/>
      <c r="L96" s="66"/>
      <c r="O96" s="71"/>
    </row>
    <row r="97" spans="1:15" ht="27.75" customHeight="1">
      <c r="A97" s="904" t="s">
        <v>243</v>
      </c>
      <c r="B97" s="905"/>
      <c r="C97" s="906"/>
      <c r="D97" s="151" t="s">
        <v>23</v>
      </c>
      <c r="E97" s="95"/>
      <c r="F97" s="95"/>
      <c r="G97" s="490">
        <f>G96/G7</f>
        <v>0.18959851850655673</v>
      </c>
      <c r="H97" s="99">
        <f>G97+'16'!H97</f>
        <v>2.7645682721809859</v>
      </c>
      <c r="I97" s="167"/>
      <c r="J97" s="175">
        <f>H97/DAY(B2)</f>
        <v>0.16262166306946976</v>
      </c>
      <c r="K97" s="69"/>
      <c r="L97" s="66"/>
      <c r="O97" s="71"/>
    </row>
    <row r="98" spans="1:15" ht="27.75" customHeight="1">
      <c r="A98" s="904" t="s">
        <v>244</v>
      </c>
      <c r="B98" s="905"/>
      <c r="C98" s="906"/>
      <c r="D98" s="151" t="s">
        <v>130</v>
      </c>
      <c r="E98" s="95"/>
      <c r="F98" s="95"/>
      <c r="G98" s="489">
        <f>G39+G53</f>
        <v>2889.4400000000605</v>
      </c>
      <c r="H98" s="99">
        <f>G98+'16'!H98</f>
        <v>48148.550000000047</v>
      </c>
      <c r="I98" s="168"/>
      <c r="J98" s="175">
        <f>H98/DAY(B2)</f>
        <v>2832.2676470588262</v>
      </c>
      <c r="K98" s="69"/>
      <c r="L98" s="66"/>
      <c r="O98" s="71"/>
    </row>
    <row r="99" spans="1:15" ht="27.75" customHeight="1">
      <c r="A99" s="904" t="s">
        <v>245</v>
      </c>
      <c r="B99" s="905"/>
      <c r="C99" s="906"/>
      <c r="D99" s="151" t="s">
        <v>23</v>
      </c>
      <c r="E99" s="95"/>
      <c r="F99" s="95"/>
      <c r="G99" s="490">
        <f>G98/G7</f>
        <v>0.12281060422202095</v>
      </c>
      <c r="H99" s="99">
        <f>G99+'16'!H99</f>
        <v>2.1728272782896507</v>
      </c>
      <c r="I99" s="168"/>
      <c r="J99" s="175">
        <f>H99/DAY(B2)</f>
        <v>0.12781336931115592</v>
      </c>
      <c r="O99" s="71"/>
    </row>
    <row r="100" spans="1:15" ht="27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489">
        <f>G38+G52</f>
        <v>2781.9300000000512</v>
      </c>
      <c r="H100" s="99">
        <f>G100+'16'!H100</f>
        <v>44373.43</v>
      </c>
      <c r="I100" s="118"/>
      <c r="J100" s="175">
        <f>H100/DAY(B2)</f>
        <v>2610.2017647058824</v>
      </c>
      <c r="K100" s="70"/>
      <c r="O100" s="71"/>
    </row>
    <row r="101" spans="1:15" ht="27.75" customHeight="1">
      <c r="A101" s="904" t="s">
        <v>247</v>
      </c>
      <c r="B101" s="905"/>
      <c r="C101" s="906"/>
      <c r="D101" s="151" t="s">
        <v>23</v>
      </c>
      <c r="E101" s="95"/>
      <c r="F101" s="95"/>
      <c r="G101" s="490">
        <f>G100/G7</f>
        <v>0.11824107931065046</v>
      </c>
      <c r="H101" s="99">
        <f>G101+'16'!H101</f>
        <v>1.99891846141773</v>
      </c>
      <c r="I101" s="168"/>
      <c r="J101" s="175">
        <f>H101/DAY(B2)</f>
        <v>0.1175834389069253</v>
      </c>
      <c r="O101" s="71"/>
    </row>
    <row r="102" spans="1:15" ht="27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489">
        <f>G36+G50</f>
        <v>3011.7399999999325</v>
      </c>
      <c r="H102" s="99">
        <f>G102+'16'!H102</f>
        <v>41896</v>
      </c>
      <c r="I102" s="168"/>
      <c r="J102" s="175">
        <f>H102/DAY(B2)</f>
        <v>2464.4705882352941</v>
      </c>
      <c r="O102" s="71"/>
    </row>
    <row r="103" spans="1:15" ht="27.75" customHeight="1">
      <c r="A103" s="904" t="s">
        <v>249</v>
      </c>
      <c r="B103" s="905"/>
      <c r="C103" s="906"/>
      <c r="D103" s="151" t="s">
        <v>23</v>
      </c>
      <c r="E103" s="95"/>
      <c r="F103" s="95"/>
      <c r="G103" s="490">
        <f>G102/G7</f>
        <v>0.12800875227020231</v>
      </c>
      <c r="H103" s="99">
        <f>G103+'16'!H103</f>
        <v>1.8832456387404903</v>
      </c>
      <c r="I103" s="118"/>
      <c r="J103" s="175">
        <f>H103/DAY(B2)</f>
        <v>0.11077915522002885</v>
      </c>
      <c r="O103" s="71"/>
    </row>
    <row r="104" spans="1:15" ht="27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489">
        <f>G37+G51</f>
        <v>1531.3699999999953</v>
      </c>
      <c r="H104" s="99">
        <f>G104+'16'!H104</f>
        <v>24390.440000000002</v>
      </c>
      <c r="I104" s="118"/>
      <c r="J104" s="175">
        <f>H104/DAY(B2)</f>
        <v>1434.7317647058826</v>
      </c>
      <c r="O104" s="71"/>
    </row>
    <row r="105" spans="1:15" ht="27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491">
        <f>G104/G7</f>
        <v>6.5088209129613939E-2</v>
      </c>
      <c r="H105" s="99">
        <f>G105+'16'!H105</f>
        <v>1.0996468566031639</v>
      </c>
      <c r="I105" s="187"/>
      <c r="J105" s="188">
        <f>H105/DAY(B2)</f>
        <v>6.4685109211950809E-2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8" spans="1:15" ht="27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7.75" customHeight="1">
      <c r="A109" s="920"/>
      <c r="B109" s="920"/>
    </row>
    <row r="110" spans="1:15" ht="27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7.75" customHeight="1">
      <c r="A111" s="887"/>
      <c r="B111" s="888"/>
      <c r="C111" s="889"/>
      <c r="D111" s="165"/>
      <c r="E111" s="165"/>
      <c r="F111" s="165"/>
      <c r="G111" s="494"/>
      <c r="H111" s="156"/>
      <c r="I111" s="165"/>
      <c r="J111" s="327"/>
    </row>
    <row r="112" spans="1:15" ht="27.75" customHeight="1">
      <c r="A112" s="883" t="s">
        <v>252</v>
      </c>
      <c r="B112" s="884"/>
      <c r="C112" s="885"/>
      <c r="D112" s="146" t="s">
        <v>183</v>
      </c>
      <c r="E112" s="95">
        <f>'16'!F112</f>
        <v>20375.2</v>
      </c>
      <c r="F112" s="237">
        <v>20435</v>
      </c>
      <c r="G112" s="474">
        <f t="shared" ref="G112:G123" si="9">F112-E112</f>
        <v>59.799999999999272</v>
      </c>
      <c r="H112" s="99">
        <f>G112+'16'!H112</f>
        <v>1038</v>
      </c>
      <c r="I112" s="165"/>
      <c r="J112" s="328">
        <f>H112/DAY(B2)</f>
        <v>61.058823529411768</v>
      </c>
    </row>
    <row r="113" spans="1:18" ht="27.75" customHeight="1">
      <c r="A113" s="883" t="s">
        <v>253</v>
      </c>
      <c r="B113" s="884"/>
      <c r="C113" s="885"/>
      <c r="D113" s="146" t="s">
        <v>183</v>
      </c>
      <c r="E113" s="95">
        <f>'16'!F113</f>
        <v>43845.2</v>
      </c>
      <c r="F113" s="237">
        <v>43984.38</v>
      </c>
      <c r="G113" s="474">
        <f t="shared" si="9"/>
        <v>139.18000000000029</v>
      </c>
      <c r="H113" s="99">
        <f>G113+'16'!H113</f>
        <v>2464.4300000000003</v>
      </c>
      <c r="I113" s="165"/>
      <c r="J113" s="328">
        <f>H113/DAY(B2)</f>
        <v>144.96647058823532</v>
      </c>
    </row>
    <row r="114" spans="1:18" ht="27.75" customHeight="1">
      <c r="A114" s="883" t="s">
        <v>254</v>
      </c>
      <c r="B114" s="884"/>
      <c r="C114" s="885"/>
      <c r="D114" s="146" t="s">
        <v>183</v>
      </c>
      <c r="E114" s="95">
        <f>'16'!F114</f>
        <v>64827.73</v>
      </c>
      <c r="F114" s="416">
        <v>65054.720000000001</v>
      </c>
      <c r="G114" s="474">
        <f t="shared" si="9"/>
        <v>226.98999999999796</v>
      </c>
      <c r="H114" s="99">
        <f>G114+'16'!H114</f>
        <v>3836.7200000000012</v>
      </c>
      <c r="I114" s="165"/>
      <c r="J114" s="328">
        <f>H114/DAY(B2)</f>
        <v>225.68941176470594</v>
      </c>
    </row>
    <row r="115" spans="1:18" ht="27.75" customHeight="1">
      <c r="A115" s="883" t="s">
        <v>255</v>
      </c>
      <c r="B115" s="884"/>
      <c r="C115" s="885"/>
      <c r="D115" s="146" t="s">
        <v>183</v>
      </c>
      <c r="E115" s="95">
        <f>'16'!F115</f>
        <v>41751.61</v>
      </c>
      <c r="F115" s="237">
        <v>41907.800000000003</v>
      </c>
      <c r="G115" s="474">
        <f t="shared" si="9"/>
        <v>156.19000000000233</v>
      </c>
      <c r="H115" s="99">
        <f>G115+'16'!H115</f>
        <v>2448.8000000000029</v>
      </c>
      <c r="I115" s="165"/>
      <c r="J115" s="328">
        <f>H115/DAY(B2)</f>
        <v>144.0470588235296</v>
      </c>
    </row>
    <row r="116" spans="1:18" ht="27.75" customHeight="1">
      <c r="A116" s="890" t="s">
        <v>96</v>
      </c>
      <c r="B116" s="891"/>
      <c r="C116" s="892"/>
      <c r="D116" s="146" t="s">
        <v>183</v>
      </c>
      <c r="E116" s="95">
        <f>'16'!F116</f>
        <v>155084.04999999999</v>
      </c>
      <c r="F116" s="237">
        <v>155478.32</v>
      </c>
      <c r="G116" s="474">
        <f t="shared" si="9"/>
        <v>394.27000000001863</v>
      </c>
      <c r="H116" s="99">
        <f>G116+'16'!H116</f>
        <v>7548.320000000007</v>
      </c>
      <c r="I116" s="165"/>
      <c r="J116" s="328">
        <f>H116/DAY(B2)</f>
        <v>444.0188235294122</v>
      </c>
      <c r="Q116" s="883"/>
      <c r="R116" s="885"/>
    </row>
    <row r="117" spans="1:18" ht="27.75" customHeight="1">
      <c r="A117" s="890" t="s">
        <v>184</v>
      </c>
      <c r="B117" s="891"/>
      <c r="C117" s="892"/>
      <c r="D117" s="146" t="s">
        <v>183</v>
      </c>
      <c r="E117" s="95">
        <f>'16'!F117</f>
        <v>95905.96</v>
      </c>
      <c r="F117" s="237">
        <v>96097.47</v>
      </c>
      <c r="G117" s="474">
        <f t="shared" si="9"/>
        <v>191.50999999999476</v>
      </c>
      <c r="H117" s="99">
        <f>G117+'16'!H117</f>
        <v>4108.0709999999963</v>
      </c>
      <c r="I117" s="165"/>
      <c r="J117" s="328">
        <f>H117/DAY(B2)</f>
        <v>241.65123529411744</v>
      </c>
      <c r="Q117" s="883"/>
      <c r="R117" s="885"/>
    </row>
    <row r="118" spans="1:18" ht="27.75" customHeight="1">
      <c r="A118" s="882" t="s">
        <v>97</v>
      </c>
      <c r="B118" s="882"/>
      <c r="C118" s="882"/>
      <c r="D118" s="151" t="s">
        <v>183</v>
      </c>
      <c r="E118" s="95">
        <f>'16'!F118</f>
        <v>188752.51</v>
      </c>
      <c r="F118" s="237">
        <v>189458.93</v>
      </c>
      <c r="G118" s="474">
        <f t="shared" si="9"/>
        <v>706.4199999999837</v>
      </c>
      <c r="H118" s="99">
        <f>G118+'16'!H118</f>
        <v>11926.399999999994</v>
      </c>
      <c r="I118" s="165"/>
      <c r="J118" s="328">
        <f>H118/DAY(B2)</f>
        <v>701.5529411764702</v>
      </c>
      <c r="Q118" s="883"/>
      <c r="R118" s="885"/>
    </row>
    <row r="119" spans="1:18" ht="27.75" customHeight="1">
      <c r="A119" s="882" t="s">
        <v>98</v>
      </c>
      <c r="B119" s="882"/>
      <c r="C119" s="882"/>
      <c r="D119" s="151" t="s">
        <v>183</v>
      </c>
      <c r="E119" s="95">
        <f>'16'!F119</f>
        <v>46039.19</v>
      </c>
      <c r="F119" s="237">
        <v>46100</v>
      </c>
      <c r="G119" s="474">
        <f t="shared" si="9"/>
        <v>60.809999999997672</v>
      </c>
      <c r="H119" s="99">
        <f>G119+'16'!H119</f>
        <v>907</v>
      </c>
      <c r="I119" s="165"/>
      <c r="J119" s="328">
        <f>H119/DAY(B2)</f>
        <v>53.352941176470587</v>
      </c>
    </row>
    <row r="120" spans="1:18" ht="27.75" customHeight="1">
      <c r="A120" s="882" t="s">
        <v>99</v>
      </c>
      <c r="B120" s="882"/>
      <c r="C120" s="882"/>
      <c r="D120" s="151" t="s">
        <v>183</v>
      </c>
      <c r="E120" s="95">
        <f>'16'!F120</f>
        <v>126639.6</v>
      </c>
      <c r="F120" s="237">
        <v>127052.23</v>
      </c>
      <c r="G120" s="474">
        <f t="shared" si="9"/>
        <v>412.6299999999901</v>
      </c>
      <c r="H120" s="99">
        <f>G120+'16'!H120</f>
        <v>6608.2299999999959</v>
      </c>
      <c r="I120" s="165"/>
      <c r="J120" s="328">
        <f>H120/DAY(B2)</f>
        <v>388.71941176470563</v>
      </c>
    </row>
    <row r="121" spans="1:18" ht="27.75" customHeight="1">
      <c r="A121" s="882" t="s">
        <v>100</v>
      </c>
      <c r="B121" s="882"/>
      <c r="C121" s="882"/>
      <c r="D121" s="151" t="s">
        <v>183</v>
      </c>
      <c r="E121" s="95">
        <f>'16'!F121</f>
        <v>141475.63</v>
      </c>
      <c r="F121" s="237">
        <v>141944.6</v>
      </c>
      <c r="G121" s="474">
        <f t="shared" si="9"/>
        <v>468.97000000000116</v>
      </c>
      <c r="H121" s="99">
        <f>G121+'16'!H121</f>
        <v>7381.6000000000058</v>
      </c>
      <c r="I121" s="165"/>
      <c r="J121" s="328">
        <f>H121/DAY(B2)</f>
        <v>434.21176470588267</v>
      </c>
    </row>
    <row r="122" spans="1:18" ht="27.75" customHeight="1">
      <c r="A122" s="882" t="s">
        <v>101</v>
      </c>
      <c r="B122" s="882"/>
      <c r="C122" s="882"/>
      <c r="D122" s="151" t="s">
        <v>183</v>
      </c>
      <c r="E122" s="95">
        <f>'16'!F122</f>
        <v>95815.67</v>
      </c>
      <c r="F122" s="237">
        <v>96097.47</v>
      </c>
      <c r="G122" s="474">
        <f t="shared" si="9"/>
        <v>281.80000000000291</v>
      </c>
      <c r="H122" s="99">
        <f>G122+'16'!H122</f>
        <v>5220.4700000000012</v>
      </c>
      <c r="I122" s="165"/>
      <c r="J122" s="328">
        <f>H122/DAY(B2)</f>
        <v>307.08647058823539</v>
      </c>
    </row>
    <row r="123" spans="1:18" ht="27.75" customHeight="1">
      <c r="A123" s="882" t="s">
        <v>102</v>
      </c>
      <c r="B123" s="882"/>
      <c r="C123" s="882"/>
      <c r="D123" s="151" t="s">
        <v>183</v>
      </c>
      <c r="E123" s="95">
        <f>'16'!F123</f>
        <v>92526.62</v>
      </c>
      <c r="F123" s="237">
        <v>92837.63</v>
      </c>
      <c r="G123" s="474">
        <f t="shared" si="9"/>
        <v>311.01000000000931</v>
      </c>
      <c r="H123" s="99">
        <f>G123+'16'!H123</f>
        <v>5258.6300000000047</v>
      </c>
      <c r="I123" s="165"/>
      <c r="J123" s="328">
        <f>H123/DAY(B2)</f>
        <v>309.3311764705885</v>
      </c>
    </row>
    <row r="124" spans="1:18" ht="27.75" customHeight="1">
      <c r="A124" s="887"/>
      <c r="B124" s="888"/>
      <c r="C124" s="889"/>
      <c r="D124" s="165"/>
      <c r="E124" s="95">
        <f>'16'!F124</f>
        <v>0</v>
      </c>
      <c r="F124" s="165"/>
      <c r="G124" s="494"/>
      <c r="H124" s="99">
        <f>G124+'16'!H124</f>
        <v>0</v>
      </c>
      <c r="I124" s="165"/>
      <c r="J124" s="327"/>
    </row>
    <row r="125" spans="1:18" ht="27.75" customHeight="1">
      <c r="A125" s="788" t="s">
        <v>196</v>
      </c>
      <c r="B125" s="789"/>
      <c r="C125" s="245"/>
      <c r="D125" s="307"/>
      <c r="E125" s="308"/>
      <c r="F125" s="308"/>
      <c r="G125" s="495">
        <f>SUM(G112:G124)</f>
        <v>3409.5799999999981</v>
      </c>
      <c r="H125" s="156"/>
      <c r="I125" s="327">
        <f>G125-(G39+G53)</f>
        <v>520.13999999993757</v>
      </c>
      <c r="J125" s="327"/>
    </row>
    <row r="126" spans="1:18" ht="27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7.75" customHeight="1">
      <c r="A127" s="872"/>
      <c r="B127" s="872"/>
      <c r="C127" s="245"/>
      <c r="D127" s="307"/>
      <c r="E127" s="308"/>
      <c r="F127" s="308"/>
      <c r="G127" s="495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83" t="s">
        <v>318</v>
      </c>
      <c r="B128" s="884"/>
      <c r="C128" s="885"/>
      <c r="D128" s="151" t="s">
        <v>183</v>
      </c>
      <c r="E128" s="95">
        <f>'16'!F128</f>
        <v>215016.89</v>
      </c>
      <c r="F128" s="165">
        <v>215474.97</v>
      </c>
      <c r="G128" s="474">
        <f t="shared" ref="G128:G133" si="10">F128-E128</f>
        <v>458.07999999998719</v>
      </c>
      <c r="H128" s="99">
        <f>G128+'16'!H128</f>
        <v>8185.9700000000012</v>
      </c>
      <c r="I128" s="165"/>
      <c r="J128" s="328">
        <f>H128/DAY(B2)</f>
        <v>481.52764705882362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2494.0100000000002</v>
      </c>
      <c r="F129" s="165">
        <v>2598</v>
      </c>
      <c r="G129" s="474">
        <f t="shared" si="10"/>
        <v>103.98999999999978</v>
      </c>
      <c r="H129" s="99">
        <f>G129+'16'!H129</f>
        <v>1864</v>
      </c>
      <c r="I129" s="165"/>
      <c r="J129" s="328">
        <f>H129/DAY(B2)</f>
        <v>109.64705882352941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297496.61</v>
      </c>
      <c r="F130" s="165">
        <v>298287.63</v>
      </c>
      <c r="G130" s="474">
        <f t="shared" si="10"/>
        <v>791.02000000001863</v>
      </c>
      <c r="H130" s="99">
        <f>G130+'16'!H130</f>
        <v>9565.6300000000047</v>
      </c>
      <c r="I130" s="165"/>
      <c r="J130" s="328">
        <f>H130/DAY(B2)</f>
        <v>562.68411764705911</v>
      </c>
      <c r="N130" s="240"/>
      <c r="O130" s="241"/>
    </row>
    <row r="131" spans="1:15" ht="27.75" customHeight="1">
      <c r="A131" s="883" t="s">
        <v>321</v>
      </c>
      <c r="B131" s="884"/>
      <c r="C131" s="885"/>
      <c r="D131" s="151" t="s">
        <v>183</v>
      </c>
      <c r="E131" s="95">
        <f>'16'!F131</f>
        <v>87871.79</v>
      </c>
      <c r="F131" s="165">
        <v>88087.26</v>
      </c>
      <c r="G131" s="474">
        <f t="shared" si="10"/>
        <v>215.47000000000116</v>
      </c>
      <c r="H131" s="99">
        <f>G131+'16'!H131</f>
        <v>3383.429999999993</v>
      </c>
      <c r="I131" s="165"/>
      <c r="J131" s="328">
        <f>H131/DAY(B2)</f>
        <v>199.02529411764664</v>
      </c>
      <c r="N131" s="240"/>
      <c r="O131" s="241"/>
    </row>
    <row r="132" spans="1:15" ht="27.75" customHeight="1">
      <c r="A132" s="883" t="s">
        <v>322</v>
      </c>
      <c r="B132" s="884"/>
      <c r="C132" s="885"/>
      <c r="D132" s="151" t="s">
        <v>183</v>
      </c>
      <c r="E132" s="95">
        <f>'16'!F132</f>
        <v>72461.63</v>
      </c>
      <c r="F132" s="165">
        <v>72760.72</v>
      </c>
      <c r="G132" s="474">
        <f t="shared" si="10"/>
        <v>299.08999999999651</v>
      </c>
      <c r="H132" s="99">
        <f>G132+'16'!H132</f>
        <v>5313.7200000000012</v>
      </c>
      <c r="I132" s="165"/>
      <c r="J132" s="328">
        <f>H132/DAY(B2)</f>
        <v>312.5717647058824</v>
      </c>
    </row>
    <row r="133" spans="1:15" ht="27.75" customHeight="1">
      <c r="A133" s="883" t="s">
        <v>358</v>
      </c>
      <c r="B133" s="884"/>
      <c r="C133" s="885"/>
      <c r="D133" s="151" t="s">
        <v>183</v>
      </c>
      <c r="E133" s="95">
        <f>'16'!F133</f>
        <v>959687</v>
      </c>
      <c r="F133" s="165">
        <v>960567</v>
      </c>
      <c r="G133" s="474">
        <f t="shared" si="10"/>
        <v>880</v>
      </c>
      <c r="H133" s="99">
        <f>G133+'16'!H133</f>
        <v>10420</v>
      </c>
      <c r="I133" s="165"/>
      <c r="J133" s="328">
        <f>H133/DAY(B2)</f>
        <v>612.94117647058829</v>
      </c>
    </row>
    <row r="134" spans="1:15" ht="27.75" customHeight="1">
      <c r="A134" s="883" t="s">
        <v>340</v>
      </c>
      <c r="B134" s="884"/>
      <c r="C134" s="885"/>
      <c r="D134" s="151" t="s">
        <v>183</v>
      </c>
      <c r="E134" s="95">
        <f>'16'!F134</f>
        <v>926834</v>
      </c>
      <c r="F134" s="165">
        <v>927509</v>
      </c>
      <c r="G134" s="474">
        <f>F134-E134</f>
        <v>675</v>
      </c>
      <c r="H134" s="99">
        <f>G134+'16'!H134</f>
        <v>6525.9100000000035</v>
      </c>
      <c r="I134" s="165"/>
      <c r="J134" s="328">
        <f>H134/DAY(B2)</f>
        <v>383.87705882352964</v>
      </c>
    </row>
    <row r="135" spans="1:15" ht="27.75" customHeight="1">
      <c r="A135" s="788" t="s">
        <v>196</v>
      </c>
      <c r="B135" s="789"/>
      <c r="C135" s="331"/>
      <c r="D135" s="151"/>
      <c r="E135" s="95"/>
      <c r="F135" s="165"/>
      <c r="G135" s="474">
        <f>SUM(G128:G134)</f>
        <v>3422.6500000000033</v>
      </c>
      <c r="H135" s="99">
        <f>G135+'10'!H135</f>
        <v>27676.259999999973</v>
      </c>
      <c r="I135" s="327">
        <f>G135-(G35+G49)</f>
        <v>-82.840000000103828</v>
      </c>
      <c r="J135" s="328"/>
    </row>
    <row r="136" spans="1:15" ht="27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7.75" customHeight="1">
      <c r="A138" s="961" t="s">
        <v>185</v>
      </c>
      <c r="B138" s="961"/>
      <c r="C138" s="961"/>
      <c r="D138" s="233" t="s">
        <v>183</v>
      </c>
      <c r="E138" s="405">
        <v>911270</v>
      </c>
      <c r="F138" s="148">
        <v>914917</v>
      </c>
      <c r="G138" s="546">
        <f t="shared" ref="G138:G152" si="11">F138-E138</f>
        <v>3647</v>
      </c>
      <c r="H138" s="238">
        <f>G138+'16'!H138</f>
        <v>5516</v>
      </c>
      <c r="I138" s="406"/>
      <c r="J138" s="407">
        <f>H138/DAY(B2)</f>
        <v>324.47058823529414</v>
      </c>
    </row>
    <row r="139" spans="1:15" ht="27.75" customHeight="1">
      <c r="A139" s="961" t="s">
        <v>186</v>
      </c>
      <c r="B139" s="961"/>
      <c r="C139" s="961"/>
      <c r="D139" s="233" t="s">
        <v>183</v>
      </c>
      <c r="E139" s="405">
        <f>'16'!F139</f>
        <v>939577</v>
      </c>
      <c r="F139" s="148">
        <v>939762</v>
      </c>
      <c r="G139" s="546">
        <f t="shared" si="11"/>
        <v>185</v>
      </c>
      <c r="H139" s="238">
        <f>G139+'16'!H139</f>
        <v>2504</v>
      </c>
      <c r="I139" s="406"/>
      <c r="J139" s="407">
        <f>H139/DAY(B2)</f>
        <v>147.29411764705881</v>
      </c>
    </row>
    <row r="140" spans="1:15" ht="27.75" customHeight="1">
      <c r="A140" s="961" t="s">
        <v>187</v>
      </c>
      <c r="B140" s="961"/>
      <c r="C140" s="961"/>
      <c r="D140" s="233" t="s">
        <v>183</v>
      </c>
      <c r="E140" s="405">
        <f>'16'!F140</f>
        <v>5272</v>
      </c>
      <c r="F140" s="148">
        <v>5308</v>
      </c>
      <c r="G140" s="546">
        <f t="shared" si="11"/>
        <v>36</v>
      </c>
      <c r="H140" s="238">
        <f>G140+'16'!H140</f>
        <v>544</v>
      </c>
      <c r="I140" s="406"/>
      <c r="J140" s="407">
        <f>H140/DAY(B2)</f>
        <v>32</v>
      </c>
    </row>
    <row r="141" spans="1:15" ht="27.75" customHeight="1">
      <c r="A141" s="962" t="s">
        <v>188</v>
      </c>
      <c r="B141" s="962"/>
      <c r="C141" s="962"/>
      <c r="D141" s="233" t="s">
        <v>183</v>
      </c>
      <c r="E141" s="405">
        <f>'16'!F141</f>
        <v>135330</v>
      </c>
      <c r="F141" s="148">
        <v>135582</v>
      </c>
      <c r="G141" s="546">
        <f t="shared" si="11"/>
        <v>252</v>
      </c>
      <c r="H141" s="238">
        <f>G141+'16'!H141</f>
        <v>4262</v>
      </c>
      <c r="I141" s="406"/>
      <c r="J141" s="407">
        <f>H141/DAY(B2)</f>
        <v>250.70588235294119</v>
      </c>
    </row>
    <row r="142" spans="1:15" ht="27.75" customHeight="1">
      <c r="A142" s="962" t="s">
        <v>189</v>
      </c>
      <c r="B142" s="962"/>
      <c r="C142" s="962"/>
      <c r="D142" s="233" t="s">
        <v>183</v>
      </c>
      <c r="E142" s="405">
        <f>'16'!F142</f>
        <v>54618.99</v>
      </c>
      <c r="F142" s="148">
        <v>54720.87</v>
      </c>
      <c r="G142" s="546">
        <f t="shared" si="11"/>
        <v>101.88000000000466</v>
      </c>
      <c r="H142" s="238">
        <f>G142+'16'!H142</f>
        <v>1529.8700000000026</v>
      </c>
      <c r="I142" s="534"/>
      <c r="J142" s="407">
        <f>H142/DAY(B2)</f>
        <v>89.99235294117662</v>
      </c>
    </row>
    <row r="143" spans="1:15" ht="27.75" customHeight="1">
      <c r="A143" s="961" t="s">
        <v>91</v>
      </c>
      <c r="B143" s="961"/>
      <c r="C143" s="961"/>
      <c r="D143" s="233" t="s">
        <v>183</v>
      </c>
      <c r="E143" s="405">
        <f>'16'!F143</f>
        <v>14828.13</v>
      </c>
      <c r="F143" s="148">
        <v>14856</v>
      </c>
      <c r="G143" s="546">
        <f t="shared" si="11"/>
        <v>27.8700000000008</v>
      </c>
      <c r="H143" s="238">
        <f>G143+'16'!H143</f>
        <v>544</v>
      </c>
      <c r="I143" s="534"/>
      <c r="J143" s="407">
        <f>H143/DAY(B2)</f>
        <v>32</v>
      </c>
    </row>
    <row r="144" spans="1:15" ht="27.75" customHeight="1">
      <c r="A144" s="962" t="s">
        <v>90</v>
      </c>
      <c r="B144" s="962"/>
      <c r="C144" s="962"/>
      <c r="D144" s="233" t="s">
        <v>183</v>
      </c>
      <c r="E144" s="405">
        <f>'16'!F144</f>
        <v>967285</v>
      </c>
      <c r="F144" s="148">
        <v>967539</v>
      </c>
      <c r="G144" s="546">
        <f t="shared" si="11"/>
        <v>254</v>
      </c>
      <c r="H144" s="238">
        <f>G144+'16'!H144</f>
        <v>4313</v>
      </c>
      <c r="I144" s="534"/>
      <c r="J144" s="407">
        <f>H144/DAY(B2)</f>
        <v>253.70588235294119</v>
      </c>
    </row>
    <row r="145" spans="1:10" ht="27.75" customHeight="1">
      <c r="A145" s="961" t="s">
        <v>190</v>
      </c>
      <c r="B145" s="961"/>
      <c r="C145" s="961"/>
      <c r="D145" s="233" t="s">
        <v>183</v>
      </c>
      <c r="E145" s="405">
        <f>'16'!F145</f>
        <v>754090</v>
      </c>
      <c r="F145" s="148">
        <v>754324</v>
      </c>
      <c r="G145" s="546">
        <f t="shared" si="11"/>
        <v>234</v>
      </c>
      <c r="H145" s="238">
        <f>G145+'16'!H145</f>
        <v>3591</v>
      </c>
      <c r="I145" s="534"/>
      <c r="J145" s="407">
        <f>H145/DAY(B2)</f>
        <v>211.23529411764707</v>
      </c>
    </row>
    <row r="146" spans="1:10" ht="27.75" customHeight="1">
      <c r="A146" s="966" t="s">
        <v>191</v>
      </c>
      <c r="B146" s="967"/>
      <c r="C146" s="968"/>
      <c r="D146" s="233" t="s">
        <v>183</v>
      </c>
      <c r="E146" s="405">
        <f>'16'!F146</f>
        <v>789644</v>
      </c>
      <c r="F146" s="148">
        <v>789701</v>
      </c>
      <c r="G146" s="546">
        <f t="shared" si="11"/>
        <v>57</v>
      </c>
      <c r="H146" s="238">
        <f>G146+'16'!H146</f>
        <v>676</v>
      </c>
      <c r="I146" s="534"/>
      <c r="J146" s="407">
        <f>H146/DAY(B2)</f>
        <v>39.764705882352942</v>
      </c>
    </row>
    <row r="147" spans="1:10" ht="27.75" customHeight="1">
      <c r="A147" s="962" t="s">
        <v>192</v>
      </c>
      <c r="B147" s="962"/>
      <c r="C147" s="962"/>
      <c r="D147" s="233" t="s">
        <v>183</v>
      </c>
      <c r="E147" s="405">
        <f>'16'!F147</f>
        <v>777645</v>
      </c>
      <c r="F147" s="148">
        <v>778078</v>
      </c>
      <c r="G147" s="546">
        <f t="shared" si="11"/>
        <v>433</v>
      </c>
      <c r="H147" s="238">
        <f>G147+'16'!H147</f>
        <v>6421.1199999999953</v>
      </c>
      <c r="I147" s="534"/>
      <c r="J147" s="407">
        <f>H147/DAY(B2)</f>
        <v>377.71294117647034</v>
      </c>
    </row>
    <row r="148" spans="1:10" ht="27.75" customHeight="1">
      <c r="A148" s="963" t="s">
        <v>193</v>
      </c>
      <c r="B148" s="964"/>
      <c r="C148" s="965"/>
      <c r="D148" s="409" t="s">
        <v>130</v>
      </c>
      <c r="E148" s="405">
        <f>'16'!F148</f>
        <v>812356.88</v>
      </c>
      <c r="F148" s="164">
        <v>812796.11</v>
      </c>
      <c r="G148" s="546">
        <f t="shared" si="11"/>
        <v>439.22999999998137</v>
      </c>
      <c r="H148" s="238">
        <f>G148+'16'!H148</f>
        <v>5975.8699999999953</v>
      </c>
      <c r="I148" s="238"/>
      <c r="J148" s="407">
        <f>H148/DAY(B2)</f>
        <v>351.52176470588211</v>
      </c>
    </row>
    <row r="149" spans="1:10" ht="27.75" customHeight="1">
      <c r="A149" s="963" t="s">
        <v>336</v>
      </c>
      <c r="B149" s="964"/>
      <c r="C149" s="965"/>
      <c r="D149" s="415" t="s">
        <v>130</v>
      </c>
      <c r="E149" s="405">
        <f>'16'!F149</f>
        <v>224436.85</v>
      </c>
      <c r="F149" s="415">
        <v>224975.01</v>
      </c>
      <c r="G149" s="546">
        <f t="shared" si="11"/>
        <v>538.16000000000349</v>
      </c>
      <c r="H149" s="238">
        <f>G149+'16'!H149</f>
        <v>8079.0100000000093</v>
      </c>
      <c r="I149" s="236"/>
      <c r="J149" s="407">
        <f>H149/DAY(B2)</f>
        <v>475.2358823529417</v>
      </c>
    </row>
    <row r="150" spans="1:10" ht="27.75" customHeight="1">
      <c r="A150" s="963" t="s">
        <v>337</v>
      </c>
      <c r="B150" s="964"/>
      <c r="C150" s="965"/>
      <c r="D150" s="409" t="s">
        <v>130</v>
      </c>
      <c r="E150" s="405">
        <f>'16'!F150</f>
        <v>96699</v>
      </c>
      <c r="F150" s="233">
        <v>96996</v>
      </c>
      <c r="G150" s="546">
        <f t="shared" si="11"/>
        <v>297</v>
      </c>
      <c r="H150" s="238">
        <f>G150+'16'!H150</f>
        <v>4036</v>
      </c>
      <c r="I150" s="236"/>
      <c r="J150" s="407">
        <f>H150/DAY(B2)</f>
        <v>237.41176470588235</v>
      </c>
    </row>
    <row r="151" spans="1:10" ht="27.75" customHeight="1">
      <c r="A151" s="963" t="s">
        <v>338</v>
      </c>
      <c r="B151" s="964"/>
      <c r="C151" s="965"/>
      <c r="D151" s="409" t="s">
        <v>130</v>
      </c>
      <c r="E151" s="405">
        <f>'16'!F151</f>
        <v>181709</v>
      </c>
      <c r="F151" s="233">
        <v>182098</v>
      </c>
      <c r="G151" s="546">
        <f t="shared" si="11"/>
        <v>389</v>
      </c>
      <c r="H151" s="238">
        <f>G151+'16'!H151</f>
        <v>5923</v>
      </c>
      <c r="I151" s="236"/>
      <c r="J151" s="407">
        <f>H151/DAY(B2)</f>
        <v>348.41176470588238</v>
      </c>
    </row>
    <row r="152" spans="1:10" ht="27.75" customHeight="1">
      <c r="A152" s="963" t="s">
        <v>339</v>
      </c>
      <c r="B152" s="964"/>
      <c r="C152" s="965"/>
      <c r="D152" s="409" t="s">
        <v>130</v>
      </c>
      <c r="E152" s="405">
        <f>'16'!F152</f>
        <v>48737</v>
      </c>
      <c r="F152" s="233">
        <v>48862</v>
      </c>
      <c r="G152" s="546">
        <f t="shared" si="11"/>
        <v>125</v>
      </c>
      <c r="H152" s="238">
        <f>G152+'16'!H152</f>
        <v>2230</v>
      </c>
      <c r="I152" s="236"/>
      <c r="J152" s="407">
        <f>H152/DAY(B2)</f>
        <v>131.1764705882353</v>
      </c>
    </row>
    <row r="153" spans="1:10" ht="27.75" customHeight="1">
      <c r="A153" s="970" t="s">
        <v>196</v>
      </c>
      <c r="B153" s="971"/>
      <c r="C153" s="535"/>
      <c r="D153" s="536"/>
      <c r="E153" s="537"/>
      <c r="F153" s="361"/>
      <c r="G153" s="547">
        <f>SUM(G138:G152)</f>
        <v>7016.1399999999903</v>
      </c>
      <c r="H153" s="538"/>
      <c r="I153" s="236">
        <f>G153-(G38+G52)</f>
        <v>4234.2099999999391</v>
      </c>
      <c r="J153" s="539"/>
    </row>
    <row r="154" spans="1:10" ht="27.75" customHeight="1">
      <c r="A154" s="969" t="s">
        <v>344</v>
      </c>
      <c r="B154" s="969"/>
      <c r="C154" s="969"/>
      <c r="D154" s="969"/>
      <c r="E154" s="969"/>
      <c r="F154" s="969"/>
      <c r="G154" s="969"/>
      <c r="H154" s="969"/>
      <c r="I154" s="969"/>
      <c r="J154" s="969"/>
    </row>
    <row r="155" spans="1:10" ht="27.75" customHeight="1">
      <c r="A155" s="962" t="s">
        <v>345</v>
      </c>
      <c r="B155" s="962"/>
      <c r="C155" s="962"/>
      <c r="D155" s="409" t="s">
        <v>130</v>
      </c>
      <c r="E155" s="405">
        <f>'16'!F155</f>
        <v>265232.59999999998</v>
      </c>
      <c r="F155" s="554">
        <v>265734</v>
      </c>
      <c r="G155" s="546">
        <f t="shared" ref="G155:G156" si="12">F155-E155</f>
        <v>501.40000000002328</v>
      </c>
      <c r="H155" s="238">
        <f>G155+'16'!H155</f>
        <v>9382</v>
      </c>
      <c r="I155" s="540"/>
      <c r="J155" s="407">
        <f>H155/DAY(B2)</f>
        <v>551.88235294117646</v>
      </c>
    </row>
    <row r="156" spans="1:10" ht="27.75" customHeight="1">
      <c r="A156" s="962" t="s">
        <v>347</v>
      </c>
      <c r="B156" s="962"/>
      <c r="C156" s="962"/>
      <c r="D156" s="409" t="s">
        <v>130</v>
      </c>
      <c r="E156" s="405">
        <f>'16'!F156</f>
        <v>34103.49</v>
      </c>
      <c r="F156" s="555">
        <v>34196</v>
      </c>
      <c r="G156" s="546">
        <f t="shared" si="12"/>
        <v>92.510000000002037</v>
      </c>
      <c r="H156" s="238">
        <f>G156+'16'!H156</f>
        <v>1637</v>
      </c>
      <c r="I156" s="158"/>
      <c r="J156" s="407">
        <f>H156/DAY(B2)</f>
        <v>96.294117647058826</v>
      </c>
    </row>
    <row r="157" spans="1:10" ht="27.75" customHeight="1">
      <c r="A157" s="963" t="s">
        <v>359</v>
      </c>
      <c r="B157" s="964"/>
      <c r="C157" s="965"/>
      <c r="D157" s="409" t="s">
        <v>130</v>
      </c>
      <c r="E157" s="405">
        <f>'16'!F157</f>
        <v>2872</v>
      </c>
      <c r="F157" s="157">
        <v>2985</v>
      </c>
      <c r="G157" s="546">
        <f>F157-E157</f>
        <v>113</v>
      </c>
      <c r="H157" s="238">
        <f>G157+'16'!H157</f>
        <v>1093</v>
      </c>
      <c r="I157" s="158"/>
      <c r="J157" s="407">
        <f>H157/DAY(B2)</f>
        <v>64.294117647058826</v>
      </c>
    </row>
    <row r="158" spans="1:10" ht="27.75" customHeight="1">
      <c r="A158" s="963" t="s">
        <v>360</v>
      </c>
      <c r="B158" s="964"/>
      <c r="C158" s="965"/>
      <c r="D158" s="409" t="s">
        <v>130</v>
      </c>
      <c r="E158" s="405">
        <f>'16'!F158</f>
        <v>1790</v>
      </c>
      <c r="F158" s="158">
        <v>1790</v>
      </c>
      <c r="G158" s="546">
        <f>F158-E158</f>
        <v>0</v>
      </c>
      <c r="H158" s="238">
        <f>G158+'16'!H158</f>
        <v>7</v>
      </c>
      <c r="I158" s="158"/>
      <c r="J158" s="407">
        <f>H158/DAY(B2)</f>
        <v>0.41176470588235292</v>
      </c>
    </row>
    <row r="159" spans="1:10" ht="27.75" customHeight="1">
      <c r="A159" s="972"/>
      <c r="B159" s="973"/>
      <c r="C159" s="974"/>
      <c r="D159" s="409"/>
      <c r="E159" s="405"/>
      <c r="F159" s="158"/>
      <c r="G159" s="546"/>
      <c r="H159" s="238"/>
      <c r="I159" s="158"/>
      <c r="J159" s="407"/>
    </row>
    <row r="160" spans="1:10" ht="27.75" customHeight="1">
      <c r="A160" s="969" t="s">
        <v>326</v>
      </c>
      <c r="B160" s="969"/>
      <c r="C160" s="969"/>
      <c r="D160" s="969"/>
      <c r="E160" s="969"/>
      <c r="F160" s="969"/>
      <c r="G160" s="969"/>
      <c r="H160" s="969"/>
      <c r="I160" s="969"/>
      <c r="J160" s="969"/>
    </row>
    <row r="161" spans="1:10" ht="27.75" customHeight="1">
      <c r="A161" s="242" t="s">
        <v>92</v>
      </c>
      <c r="B161" s="243"/>
      <c r="C161" s="243"/>
      <c r="D161" s="244" t="s">
        <v>180</v>
      </c>
      <c r="E161" s="405">
        <f>'16'!F161</f>
        <v>514861</v>
      </c>
      <c r="F161" s="235">
        <v>515041.2</v>
      </c>
      <c r="G161" s="497">
        <f t="shared" ref="G161:G165" si="13">F161-E161</f>
        <v>180.20000000001164</v>
      </c>
      <c r="H161" s="238">
        <f>G161+'16'!H161</f>
        <v>2596.2000000000116</v>
      </c>
      <c r="I161" s="236"/>
      <c r="J161" s="239">
        <f>H161/DAY(B2)</f>
        <v>152.71764705882421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2425</v>
      </c>
      <c r="F162" s="235">
        <v>2478</v>
      </c>
      <c r="G162" s="497">
        <f t="shared" si="13"/>
        <v>53</v>
      </c>
      <c r="H162" s="99">
        <f>G162+'16'!H162</f>
        <v>718</v>
      </c>
      <c r="I162" s="236"/>
      <c r="J162" s="239">
        <f>H162/DAY(B2)</f>
        <v>42.235294117647058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0</v>
      </c>
      <c r="F163" s="235">
        <v>0</v>
      </c>
      <c r="G163" s="497">
        <f t="shared" si="13"/>
        <v>0</v>
      </c>
      <c r="H163" s="99">
        <f>G163+'16'!H163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7376</v>
      </c>
      <c r="F164" s="235">
        <v>7385</v>
      </c>
      <c r="G164" s="497">
        <f t="shared" si="13"/>
        <v>9</v>
      </c>
      <c r="H164" s="99">
        <f>G164+'16'!H164</f>
        <v>48</v>
      </c>
      <c r="I164" s="236"/>
      <c r="J164" s="239">
        <f>H164/DAY(B2)</f>
        <v>2.8235294117647061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33089</v>
      </c>
      <c r="F165" s="235">
        <v>33097.1</v>
      </c>
      <c r="G165" s="497">
        <f t="shared" si="13"/>
        <v>8.0999999999985448</v>
      </c>
      <c r="H165" s="99">
        <f>G165+'16'!H165</f>
        <v>122.58000000000175</v>
      </c>
      <c r="I165" s="236"/>
      <c r="J165" s="239">
        <f>H165/DAY(B2)</f>
        <v>7.2105882352942201</v>
      </c>
    </row>
    <row r="166" spans="1:10" ht="27.75" customHeight="1">
      <c r="A166" s="872"/>
      <c r="B166" s="872"/>
      <c r="C166" s="246"/>
      <c r="D166" s="244"/>
      <c r="E166" s="95"/>
      <c r="F166" s="165"/>
      <c r="G166" s="494"/>
      <c r="H166" s="99"/>
      <c r="I166" s="165"/>
      <c r="J166" s="239"/>
    </row>
    <row r="167" spans="1:10" ht="27.75" customHeight="1">
      <c r="A167" s="872"/>
      <c r="B167" s="872"/>
      <c r="C167" s="246"/>
      <c r="D167" s="244"/>
      <c r="E167" s="95"/>
      <c r="F167" s="165"/>
      <c r="G167" s="494"/>
      <c r="H167" s="99"/>
      <c r="I167" s="165"/>
      <c r="J167" s="239"/>
    </row>
    <row r="168" spans="1:10" ht="27.75" customHeight="1">
      <c r="A168" s="872"/>
      <c r="B168" s="872"/>
      <c r="C168" s="246"/>
      <c r="D168" s="244"/>
      <c r="E168" s="95"/>
      <c r="F168" s="165"/>
      <c r="G168" s="494"/>
      <c r="H168" s="99"/>
      <c r="I168" s="165"/>
      <c r="J168" s="239"/>
    </row>
    <row r="171" spans="1:10" ht="27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7.75" customHeight="1">
      <c r="A172" s="880"/>
      <c r="B172" s="881"/>
      <c r="C172" s="332"/>
      <c r="D172" s="228"/>
      <c r="E172" s="155"/>
      <c r="F172" s="155"/>
      <c r="G172" s="498"/>
      <c r="H172" s="156"/>
      <c r="I172" s="155"/>
      <c r="J172" s="178"/>
    </row>
    <row r="173" spans="1:10" ht="27.75" customHeight="1">
      <c r="A173" s="790" t="s">
        <v>209</v>
      </c>
      <c r="B173" s="791"/>
      <c r="C173" s="333"/>
      <c r="D173" s="228" t="s">
        <v>142</v>
      </c>
      <c r="E173" s="95">
        <f>'16'!F173</f>
        <v>8601</v>
      </c>
      <c r="F173" s="157">
        <v>8601</v>
      </c>
      <c r="G173" s="498">
        <f>F173-E173</f>
        <v>0</v>
      </c>
      <c r="H173" s="99">
        <f>G173+'16'!H173</f>
        <v>19</v>
      </c>
      <c r="I173" s="155"/>
      <c r="J173" s="178">
        <f>H173/DAY(B2)</f>
        <v>1.1176470588235294</v>
      </c>
    </row>
    <row r="174" spans="1:10" ht="27.75" customHeight="1">
      <c r="A174" s="790" t="s">
        <v>75</v>
      </c>
      <c r="B174" s="791"/>
      <c r="C174" s="333"/>
      <c r="D174" s="228" t="s">
        <v>142</v>
      </c>
      <c r="E174" s="95">
        <f>'16'!F174</f>
        <v>43556</v>
      </c>
      <c r="F174" s="157">
        <v>43569</v>
      </c>
      <c r="G174" s="498">
        <f t="shared" ref="G174:G175" si="14">F174-E174</f>
        <v>13</v>
      </c>
      <c r="H174" s="99">
        <f>G174+'16'!H174</f>
        <v>155</v>
      </c>
      <c r="I174" s="155"/>
      <c r="J174" s="178">
        <f>H174/DAY(B2)</f>
        <v>9.117647058823529</v>
      </c>
    </row>
    <row r="175" spans="1:10" ht="27.75" customHeight="1">
      <c r="A175" s="790" t="s">
        <v>76</v>
      </c>
      <c r="B175" s="803"/>
      <c r="C175" s="791"/>
      <c r="D175" s="228" t="s">
        <v>142</v>
      </c>
      <c r="E175" s="95">
        <f>'16'!F175</f>
        <v>26496</v>
      </c>
      <c r="F175" s="155">
        <v>26508</v>
      </c>
      <c r="G175" s="498">
        <f t="shared" si="14"/>
        <v>12</v>
      </c>
      <c r="H175" s="99">
        <f>G175+'16'!H175</f>
        <v>221</v>
      </c>
      <c r="I175" s="155"/>
      <c r="J175" s="178">
        <f>H175/DAY(B2)</f>
        <v>13</v>
      </c>
    </row>
    <row r="176" spans="1:10" ht="27.75" customHeight="1">
      <c r="A176" s="788" t="s">
        <v>196</v>
      </c>
      <c r="B176" s="789"/>
      <c r="C176" s="333"/>
      <c r="D176" s="228" t="s">
        <v>142</v>
      </c>
      <c r="E176" s="95"/>
      <c r="F176" s="155"/>
      <c r="G176" s="498">
        <f>SUM(G173:G175)</f>
        <v>25</v>
      </c>
      <c r="H176" s="99">
        <f>G176+'16'!H176</f>
        <v>395</v>
      </c>
      <c r="I176" s="155"/>
      <c r="J176" s="178">
        <f>H176/DAY(B2)</f>
        <v>23.235294117647058</v>
      </c>
    </row>
    <row r="177" spans="1:11" ht="27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498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790" t="s">
        <v>210</v>
      </c>
      <c r="B178" s="791"/>
      <c r="C178" s="333"/>
      <c r="D178" s="228" t="s">
        <v>142</v>
      </c>
      <c r="E178" s="95">
        <f>'16'!F178</f>
        <v>112035</v>
      </c>
      <c r="F178" s="155">
        <v>112171</v>
      </c>
      <c r="G178" s="498">
        <f>F178-E178</f>
        <v>136</v>
      </c>
      <c r="H178" s="99">
        <f>G178+'16'!H178</f>
        <v>1780</v>
      </c>
      <c r="I178" s="155"/>
      <c r="J178" s="178">
        <f>H178/DAY(B2)</f>
        <v>104.70588235294117</v>
      </c>
    </row>
    <row r="179" spans="1:11" ht="27.75" customHeight="1">
      <c r="A179" s="790" t="s">
        <v>211</v>
      </c>
      <c r="B179" s="791"/>
      <c r="C179" s="333"/>
      <c r="D179" s="228" t="s">
        <v>142</v>
      </c>
      <c r="E179" s="95">
        <f>'16'!F179</f>
        <v>37501</v>
      </c>
      <c r="F179" s="155">
        <v>37501</v>
      </c>
      <c r="G179" s="498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790" t="s">
        <v>212</v>
      </c>
      <c r="B180" s="791"/>
      <c r="C180" s="333"/>
      <c r="D180" s="228" t="s">
        <v>142</v>
      </c>
      <c r="E180" s="95">
        <f>'16'!F180</f>
        <v>7763</v>
      </c>
      <c r="F180" s="155">
        <v>7770</v>
      </c>
      <c r="G180" s="498">
        <f t="shared" si="15"/>
        <v>7</v>
      </c>
      <c r="H180" s="99">
        <f>G180+'16'!H180</f>
        <v>69</v>
      </c>
      <c r="I180" s="155"/>
      <c r="J180" s="178">
        <f>H180/DAY(B2)</f>
        <v>4.0588235294117645</v>
      </c>
    </row>
    <row r="181" spans="1:11" ht="27.75" customHeight="1">
      <c r="A181" s="878" t="s">
        <v>108</v>
      </c>
      <c r="B181" s="879"/>
      <c r="C181" s="333"/>
      <c r="D181" s="228" t="s">
        <v>142</v>
      </c>
      <c r="E181" s="95"/>
      <c r="F181" s="155"/>
      <c r="G181" s="498">
        <f>SUM(G178:G180)</f>
        <v>143</v>
      </c>
      <c r="H181" s="99">
        <f>G181+'16'!H181</f>
        <v>1849</v>
      </c>
      <c r="I181" s="155"/>
      <c r="J181" s="178">
        <f>H181/DAY(B2)</f>
        <v>108.76470588235294</v>
      </c>
    </row>
    <row r="182" spans="1:11" ht="27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498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790" t="s">
        <v>214</v>
      </c>
      <c r="B183" s="791"/>
      <c r="C183" s="334"/>
      <c r="D183" s="228" t="s">
        <v>142</v>
      </c>
      <c r="E183" s="95">
        <f>'16'!F183</f>
        <v>18792</v>
      </c>
      <c r="F183" s="157">
        <v>18797</v>
      </c>
      <c r="G183" s="499">
        <f>F183-E183</f>
        <v>5</v>
      </c>
      <c r="H183" s="99">
        <f>G183+'16'!H183</f>
        <v>105</v>
      </c>
      <c r="I183" s="155"/>
      <c r="J183" s="178">
        <f>H183/DAY(B2)</f>
        <v>6.1764705882352944</v>
      </c>
    </row>
    <row r="184" spans="1:11" ht="27.75" customHeight="1">
      <c r="A184" s="790" t="s">
        <v>215</v>
      </c>
      <c r="B184" s="791"/>
      <c r="C184" s="334"/>
      <c r="D184" s="228" t="s">
        <v>142</v>
      </c>
      <c r="E184" s="95">
        <f>'16'!F184</f>
        <v>13359</v>
      </c>
      <c r="F184" s="157">
        <v>13371</v>
      </c>
      <c r="G184" s="499">
        <f t="shared" ref="G184:G185" si="16">F184-E184</f>
        <v>12</v>
      </c>
      <c r="H184" s="99">
        <f>G184+'16'!H184</f>
        <v>125</v>
      </c>
      <c r="I184" s="155"/>
      <c r="J184" s="178">
        <f>H184/DAY(B2)</f>
        <v>7.3529411764705879</v>
      </c>
    </row>
    <row r="185" spans="1:11" ht="27.75" customHeight="1">
      <c r="A185" s="790" t="s">
        <v>216</v>
      </c>
      <c r="B185" s="791"/>
      <c r="C185" s="334"/>
      <c r="D185" s="228" t="s">
        <v>142</v>
      </c>
      <c r="E185" s="95">
        <f>'16'!F185</f>
        <v>0</v>
      </c>
      <c r="F185" s="157"/>
      <c r="G185" s="499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788" t="s">
        <v>196</v>
      </c>
      <c r="B186" s="789"/>
      <c r="C186" s="334"/>
      <c r="D186" s="228" t="s">
        <v>142</v>
      </c>
      <c r="E186" s="95"/>
      <c r="F186" s="157"/>
      <c r="G186" s="499">
        <f>SUM(G183:G185)</f>
        <v>17</v>
      </c>
      <c r="H186" s="99">
        <f>G186+'16'!H186</f>
        <v>230</v>
      </c>
      <c r="I186" s="157"/>
      <c r="J186" s="178">
        <f>H186/DAY(B2)</f>
        <v>13.529411764705882</v>
      </c>
    </row>
    <row r="187" spans="1:11" ht="27.75" customHeight="1">
      <c r="A187" s="869" t="s">
        <v>217</v>
      </c>
      <c r="B187" s="870"/>
      <c r="C187" s="333"/>
      <c r="D187" s="228" t="s">
        <v>142</v>
      </c>
      <c r="E187" s="95"/>
      <c r="F187" s="159"/>
      <c r="G187" s="500">
        <f>G62+G19</f>
        <v>193</v>
      </c>
      <c r="H187" s="99">
        <f>G187+'16'!H187</f>
        <v>2232</v>
      </c>
      <c r="I187" s="158"/>
      <c r="J187" s="179">
        <f>H187/DAY(B2)</f>
        <v>131.29411764705881</v>
      </c>
    </row>
    <row r="188" spans="1:11" ht="27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500">
        <f>G65+G66+G67+G69+G70</f>
        <v>185</v>
      </c>
      <c r="H188" s="99">
        <f>G188+'16'!H188</f>
        <v>548</v>
      </c>
      <c r="I188" s="158"/>
      <c r="J188" s="179">
        <f>H188/DAY(B2)</f>
        <v>32.235294117647058</v>
      </c>
    </row>
    <row r="189" spans="1:11" ht="27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500">
        <f>G181</f>
        <v>143</v>
      </c>
      <c r="H189" s="99">
        <f>G189+'16'!H189</f>
        <v>1849</v>
      </c>
      <c r="I189" s="158"/>
      <c r="J189" s="179">
        <f>H189/DAY(B2)</f>
        <v>108.76470588235294</v>
      </c>
    </row>
    <row r="190" spans="1:11" ht="27.75" customHeight="1">
      <c r="A190" s="876"/>
      <c r="B190" s="877"/>
      <c r="C190" s="398"/>
      <c r="D190" s="395"/>
      <c r="E190" s="395"/>
      <c r="F190" s="395"/>
      <c r="G190" s="548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494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24" zoomScale="55" zoomScaleNormal="68" zoomScaleSheetLayoutView="55" workbookViewId="0">
      <selection activeCell="E67" sqref="E67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7.75" customHeight="1">
      <c r="A2" s="191" t="s">
        <v>349</v>
      </c>
      <c r="B2" s="262">
        <v>44975</v>
      </c>
      <c r="C2" s="348" t="s">
        <v>67</v>
      </c>
      <c r="D2" s="218">
        <v>0.82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22</v>
      </c>
      <c r="E3" s="930" t="s">
        <v>119</v>
      </c>
      <c r="F3" s="931"/>
      <c r="G3" s="42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4" t="s">
        <v>128</v>
      </c>
      <c r="B6" s="925"/>
      <c r="C6" s="926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999988</v>
      </c>
      <c r="F7" s="95">
        <v>24103</v>
      </c>
      <c r="G7" s="431">
        <v>23547</v>
      </c>
      <c r="H7" s="99">
        <f>G7+'17'!H7</f>
        <v>400736</v>
      </c>
      <c r="I7" s="113">
        <f>'1'!I7</f>
        <v>12000</v>
      </c>
      <c r="J7" s="175">
        <f>H7/DAY(B2)</f>
        <v>22263.111111111109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202100</v>
      </c>
      <c r="F8" s="114">
        <v>226452</v>
      </c>
      <c r="G8" s="432">
        <f>F8-E8</f>
        <v>24352</v>
      </c>
      <c r="H8" s="99">
        <f>G8+'17'!H8</f>
        <v>410342</v>
      </c>
      <c r="I8" s="116"/>
      <c r="J8" s="175">
        <f>H8/DAY(B2)</f>
        <v>22796.777777777777</v>
      </c>
      <c r="K8" s="172">
        <v>1715917</v>
      </c>
      <c r="L8" s="76">
        <v>1728480</v>
      </c>
      <c r="M8" s="87">
        <f>L8-K8</f>
        <v>12563</v>
      </c>
      <c r="N8" s="87">
        <f>+G8-805</f>
        <v>23547</v>
      </c>
      <c r="O8" s="71">
        <f>G7-N8</f>
        <v>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5038231.9000000004</v>
      </c>
      <c r="F9" s="468">
        <v>5051245.5</v>
      </c>
      <c r="G9" s="431">
        <f>F9-E9</f>
        <v>13013.599999999627</v>
      </c>
      <c r="H9" s="99">
        <f>G9+'17'!H9</f>
        <v>226146.5</v>
      </c>
      <c r="I9" s="124">
        <f>I7-J7</f>
        <v>-10263.111111111109</v>
      </c>
      <c r="J9" s="175">
        <f>H9/DAY(B2)</f>
        <v>12563.694444444445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4445505.5</v>
      </c>
      <c r="F10" s="353">
        <v>4455308.7</v>
      </c>
      <c r="G10" s="431">
        <f>F10-E10</f>
        <v>9803.2000000001863</v>
      </c>
      <c r="H10" s="99">
        <f>G10+'17'!H10</f>
        <v>164774.70000000019</v>
      </c>
      <c r="I10" s="282"/>
      <c r="J10" s="175">
        <f>H10/DAY(B2)</f>
        <v>9154.1500000000106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38700</v>
      </c>
      <c r="F11" s="95">
        <v>38700</v>
      </c>
      <c r="G11" s="431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40550</v>
      </c>
      <c r="F12" s="117">
        <v>40550</v>
      </c>
      <c r="G12" s="43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3">
        <f>G9+G10+G11+G12</f>
        <v>22816.799999999814</v>
      </c>
      <c r="H13" s="99">
        <f>G13+'17'!H13</f>
        <v>390921.20000000019</v>
      </c>
      <c r="I13" s="120">
        <f>G7-G13</f>
        <v>730.20000000018626</v>
      </c>
      <c r="J13" s="175">
        <f>H13/DAY(B2)</f>
        <v>21717.844444444454</v>
      </c>
      <c r="K13" s="79"/>
      <c r="L13" s="66"/>
      <c r="N13" s="87"/>
      <c r="O13" s="71"/>
    </row>
    <row r="14" spans="1:15" ht="27.75" customHeight="1">
      <c r="A14" s="927" t="s">
        <v>137</v>
      </c>
      <c r="B14" s="928"/>
      <c r="C14" s="929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'17'!F15</f>
        <v>2306598</v>
      </c>
      <c r="F15" s="468">
        <v>2307848</v>
      </c>
      <c r="G15" s="431">
        <f>(F15-E15)</f>
        <v>1250</v>
      </c>
      <c r="H15" s="99">
        <f>G15+'17'!H15</f>
        <v>19374.285000000149</v>
      </c>
      <c r="I15" s="113">
        <f>'1'!I15</f>
        <v>800</v>
      </c>
      <c r="J15" s="175">
        <f>H15/DAY(B2)</f>
        <v>1076.349166666675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-276.34916666667505</v>
      </c>
      <c r="J16" s="176"/>
      <c r="K16" s="79"/>
      <c r="L16" s="66"/>
      <c r="N16" s="87"/>
      <c r="O16" s="71"/>
    </row>
    <row r="17" spans="1:15" ht="27.75" customHeight="1">
      <c r="A17" s="927" t="s">
        <v>140</v>
      </c>
      <c r="B17" s="928"/>
      <c r="C17" s="929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4" t="s">
        <v>141</v>
      </c>
      <c r="B18" s="905"/>
      <c r="C18" s="906"/>
      <c r="D18" s="151" t="s">
        <v>142</v>
      </c>
      <c r="E18" s="95">
        <f>'17'!F18</f>
        <v>23</v>
      </c>
      <c r="F18" s="164">
        <v>18</v>
      </c>
      <c r="G18" s="433">
        <f>F18*10</f>
        <v>180</v>
      </c>
      <c r="H18" s="99">
        <f>G18+'17'!H18</f>
        <v>3040</v>
      </c>
      <c r="I18" s="113">
        <f>'1'!I18</f>
        <v>65</v>
      </c>
      <c r="J18" s="175">
        <f>H18/DAY(B2)</f>
        <v>168.88888888888889</v>
      </c>
      <c r="K18" s="79"/>
      <c r="L18" s="66"/>
      <c r="N18" s="87"/>
      <c r="O18" s="71"/>
    </row>
    <row r="19" spans="1:15" ht="27.75" customHeight="1">
      <c r="A19" s="904" t="s">
        <v>69</v>
      </c>
      <c r="B19" s="905"/>
      <c r="C19" s="906"/>
      <c r="D19" s="151" t="s">
        <v>142</v>
      </c>
      <c r="E19" s="95">
        <f>'17'!F19</f>
        <v>172208</v>
      </c>
      <c r="F19" s="122">
        <v>172263</v>
      </c>
      <c r="G19" s="431">
        <f t="shared" ref="G19" si="1">F19-E19</f>
        <v>55</v>
      </c>
      <c r="H19" s="99">
        <f>G19+'17'!H19</f>
        <v>940</v>
      </c>
      <c r="I19" s="335"/>
      <c r="J19" s="175">
        <f>H19/DAY(B2)</f>
        <v>52.222222222222221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5">
        <f>G18+G19</f>
        <v>235</v>
      </c>
      <c r="H20" s="99">
        <f>G20+'17'!H20</f>
        <v>3980</v>
      </c>
      <c r="I20" s="336">
        <f>I18-J20</f>
        <v>-156.11111111111111</v>
      </c>
      <c r="J20" s="175">
        <f>H20/DAY(B2)</f>
        <v>221.11111111111111</v>
      </c>
      <c r="K20" s="79"/>
      <c r="L20" s="66"/>
      <c r="N20" s="87"/>
      <c r="O20" s="71"/>
    </row>
    <row r="21" spans="1:15" ht="27.75" customHeight="1">
      <c r="A21" s="927" t="s">
        <v>144</v>
      </c>
      <c r="B21" s="928"/>
      <c r="C21" s="929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5">
        <f>'17'!F23</f>
        <v>1860</v>
      </c>
      <c r="F23" s="122">
        <v>1860</v>
      </c>
      <c r="G23" s="519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0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4830</v>
      </c>
      <c r="F24" s="128">
        <f>SUM(F22:F23)</f>
        <v>4830</v>
      </c>
      <c r="G24" s="433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2" t="s">
        <v>149</v>
      </c>
      <c r="B25" s="933"/>
      <c r="C25" s="934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24352</v>
      </c>
      <c r="F27" s="136">
        <v>10</v>
      </c>
      <c r="G27" s="438">
        <f>E27*F27</f>
        <v>243520</v>
      </c>
      <c r="H27" s="99">
        <f>G27+'17'!H27</f>
        <v>4103420.0000000005</v>
      </c>
      <c r="I27" s="138"/>
      <c r="J27" s="175">
        <f>H27/DAY(B2)</f>
        <v>227967.77777777781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1250</v>
      </c>
      <c r="F28" s="136">
        <v>65</v>
      </c>
      <c r="G28" s="438">
        <f>E28*F28</f>
        <v>81250</v>
      </c>
      <c r="H28" s="99">
        <f>G28+'17'!H28</f>
        <v>1240001.4100000104</v>
      </c>
      <c r="I28" s="140"/>
      <c r="J28" s="175">
        <f>H28/DAY(B2)</f>
        <v>68888.967222222796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G29+'17'!H29</f>
        <v>6900</v>
      </c>
      <c r="I29" s="140"/>
      <c r="J29" s="175">
        <f>H29/DAY(B2)</f>
        <v>383.33333333333331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38">
        <f>E30*F30</f>
        <v>8305</v>
      </c>
      <c r="H30" s="99">
        <f>G30+'17'!H30</f>
        <v>144380</v>
      </c>
      <c r="I30" s="140"/>
      <c r="J30" s="175">
        <f>H30/DAY(B2)</f>
        <v>8021.1111111111113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85</v>
      </c>
      <c r="G31" s="438">
        <f>E31*F31</f>
        <v>15300</v>
      </c>
      <c r="H31" s="99">
        <f>G31+'17'!H31</f>
        <v>263860</v>
      </c>
      <c r="I31" s="140"/>
      <c r="J31" s="175">
        <f>H31/DAY(B2)</f>
        <v>14658.888888888889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9">
        <f>G27+G28+G29+G30+G31</f>
        <v>348375</v>
      </c>
      <c r="H32" s="99">
        <f>G32+'17'!H32</f>
        <v>5758561.4100000104</v>
      </c>
      <c r="I32" s="144"/>
      <c r="J32" s="175">
        <f>H32/DAY(B2)</f>
        <v>319920.07833333389</v>
      </c>
      <c r="K32" s="63"/>
      <c r="L32" s="89"/>
      <c r="N32" s="87"/>
      <c r="O32" s="71"/>
    </row>
    <row r="33" spans="1:15" ht="27.75" customHeight="1">
      <c r="A33" s="935" t="s">
        <v>331</v>
      </c>
      <c r="B33" s="936"/>
      <c r="C33" s="936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574568.03</v>
      </c>
      <c r="F35" s="145">
        <v>577493.03</v>
      </c>
      <c r="G35" s="431">
        <f t="shared" ref="G35:G46" si="2">F35-E35</f>
        <v>2925</v>
      </c>
      <c r="H35" s="99">
        <f>G35+'17'!H35</f>
        <v>47437.030000000028</v>
      </c>
      <c r="I35" s="95"/>
      <c r="J35" s="175">
        <f>H35/DAY(B2)</f>
        <v>2635.3905555555571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399318</v>
      </c>
      <c r="F36" s="145">
        <v>400582.91</v>
      </c>
      <c r="G36" s="431">
        <f t="shared" si="2"/>
        <v>1264.9099999999744</v>
      </c>
      <c r="H36" s="99">
        <f>G36+'17'!H36</f>
        <v>18761.909999999974</v>
      </c>
      <c r="I36" s="95"/>
      <c r="J36" s="175">
        <f>H36/DAY(B2)</f>
        <v>1042.328333333332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408009</v>
      </c>
      <c r="F37" s="145">
        <v>409267.549</v>
      </c>
      <c r="G37" s="431">
        <f t="shared" si="2"/>
        <v>1258.5489999999991</v>
      </c>
      <c r="H37" s="99">
        <f>G37+'17'!H37</f>
        <v>25648.548999999999</v>
      </c>
      <c r="I37" s="95"/>
      <c r="J37" s="175">
        <f>H37/DAY(B2)</f>
        <v>1424.9193888888888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921500</v>
      </c>
      <c r="F38" s="108">
        <v>924161.73</v>
      </c>
      <c r="G38" s="431">
        <f t="shared" si="2"/>
        <v>2661.7299999999814</v>
      </c>
      <c r="H38" s="99">
        <f>G38+'17'!H38</f>
        <v>47034.729999999981</v>
      </c>
      <c r="I38" s="95"/>
      <c r="J38" s="175">
        <f>H38/DAY(B2)</f>
        <v>2613.0405555555544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754284.55</v>
      </c>
      <c r="F39" s="145">
        <v>757164.07</v>
      </c>
      <c r="G39" s="431">
        <f t="shared" si="2"/>
        <v>2879.5199999999022</v>
      </c>
      <c r="H39" s="99">
        <f>G39+'17'!H39</f>
        <v>51028.069999999949</v>
      </c>
      <c r="I39" s="95"/>
      <c r="J39" s="175">
        <f>H39/DAY(B2)</f>
        <v>2834.8927777777749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221991.77</v>
      </c>
      <c r="F40" s="422">
        <v>222202.72</v>
      </c>
      <c r="G40" s="519">
        <f t="shared" si="2"/>
        <v>210.95000000001164</v>
      </c>
      <c r="H40" s="99">
        <f>G40+'17'!H40</f>
        <v>4410.7200000000012</v>
      </c>
      <c r="I40" s="95"/>
      <c r="J40" s="175">
        <f>H40/DAY(B2)</f>
        <v>245.04000000000008</v>
      </c>
      <c r="K40" s="80"/>
      <c r="L40" s="66"/>
      <c r="N40" s="87">
        <v>7285</v>
      </c>
      <c r="O40" s="71" t="s">
        <v>363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420212.51</v>
      </c>
      <c r="F41" s="145">
        <v>420212.51</v>
      </c>
      <c r="G41" s="43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983468.63</v>
      </c>
      <c r="F42" s="145">
        <v>983983</v>
      </c>
      <c r="G42" s="431">
        <f t="shared" si="2"/>
        <v>514.36999999999534</v>
      </c>
      <c r="H42" s="99">
        <f>G42+'17'!H42</f>
        <v>10920.369999999995</v>
      </c>
      <c r="I42" s="95"/>
      <c r="J42" s="175">
        <f>H42/DAY(B2)</f>
        <v>606.68722222222198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422444</v>
      </c>
      <c r="F43" s="145">
        <v>422444</v>
      </c>
      <c r="G43" s="431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11715.028999999864</v>
      </c>
      <c r="H47" s="99">
        <f>G47+'17'!H47</f>
        <v>205241.37899999993</v>
      </c>
      <c r="I47" s="95"/>
      <c r="J47" s="175">
        <f>H47/DAY(B2)</f>
        <v>11402.298833333329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832012</v>
      </c>
      <c r="F49" s="145">
        <v>832555.35</v>
      </c>
      <c r="G49" s="431">
        <f t="shared" ref="G49:G58" si="3">F49-E49</f>
        <v>543.34999999997672</v>
      </c>
      <c r="H49" s="99">
        <f>G49+'17'!H49</f>
        <v>9643.3499999999767</v>
      </c>
      <c r="I49" s="95"/>
      <c r="J49" s="175">
        <f>H49/DAY(B2)</f>
        <v>535.74166666666542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566373</v>
      </c>
      <c r="F50" s="145">
        <v>568210.18999999994</v>
      </c>
      <c r="G50" s="431">
        <f t="shared" si="3"/>
        <v>1837.1899999999441</v>
      </c>
      <c r="H50" s="99">
        <f>G50+'17'!H50</f>
        <v>26236.189999999944</v>
      </c>
      <c r="I50" s="95"/>
      <c r="J50" s="175">
        <f>H50/DAY(B2)</f>
        <v>1457.5661111111081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156958.44</v>
      </c>
      <c r="F51" s="145">
        <v>156958.44</v>
      </c>
      <c r="G51" s="431">
        <f t="shared" si="3"/>
        <v>0</v>
      </c>
      <c r="H51" s="99">
        <f>G51+'17'!H51</f>
        <v>0.44000000000232831</v>
      </c>
      <c r="I51" s="95"/>
      <c r="J51" s="175">
        <f>H51/DAY(B2)</f>
        <v>2.4444444444573794E-2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1457.43</v>
      </c>
      <c r="F52" s="145">
        <v>1457.43</v>
      </c>
      <c r="G52" s="431">
        <f t="shared" si="3"/>
        <v>0</v>
      </c>
      <c r="H52" s="99">
        <f>G52+'17'!H52</f>
        <v>0.43000000000006366</v>
      </c>
      <c r="I52" s="95"/>
      <c r="J52" s="175">
        <f>H52/DAY(B2)</f>
        <v>2.3888888888892425E-2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630355.03</v>
      </c>
      <c r="F53" s="145">
        <v>630355</v>
      </c>
      <c r="G53" s="431">
        <f t="shared" si="3"/>
        <v>-3.0000000027939677E-2</v>
      </c>
      <c r="H53" s="99">
        <f>G53+'17'!H53</f>
        <v>-3.0000000027939677E-2</v>
      </c>
      <c r="I53" s="95"/>
      <c r="J53" s="175">
        <f>H53/DAY(B2)</f>
        <v>-1.6666666682188709E-3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129432.98</v>
      </c>
      <c r="F54" s="145">
        <v>129708.82</v>
      </c>
      <c r="G54" s="431">
        <f t="shared" si="3"/>
        <v>275.84000000001106</v>
      </c>
      <c r="H54" s="99">
        <f>G54+'17'!H54</f>
        <v>5594.6100000000006</v>
      </c>
      <c r="I54" s="95"/>
      <c r="J54" s="175">
        <f>H54/DAY(B2)</f>
        <v>310.81166666666672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612995.79</v>
      </c>
      <c r="F55" s="145">
        <v>616444.18999999994</v>
      </c>
      <c r="G55" s="431">
        <f t="shared" si="3"/>
        <v>3448.3999999999069</v>
      </c>
      <c r="H55" s="99">
        <f>G55+'17'!H55</f>
        <v>22139.439999999944</v>
      </c>
      <c r="I55" s="95"/>
      <c r="J55" s="175">
        <f>H55/DAY(B2)</f>
        <v>1229.9688888888859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405435.55</v>
      </c>
      <c r="F56" s="145">
        <v>405435.55</v>
      </c>
      <c r="G56" s="431">
        <f t="shared" si="3"/>
        <v>0</v>
      </c>
      <c r="H56" s="99">
        <f>G56+'17'!H56</f>
        <v>32315.549999999988</v>
      </c>
      <c r="I56" s="95"/>
      <c r="J56" s="175">
        <f>H56/DAY(B2)</f>
        <v>1795.3083333333327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752075</v>
      </c>
      <c r="F57" s="145">
        <v>754522.1</v>
      </c>
      <c r="G57" s="431">
        <f t="shared" si="3"/>
        <v>2447.0999999999767</v>
      </c>
      <c r="H57" s="99">
        <f>G57+'17'!H57</f>
        <v>46824.099999999977</v>
      </c>
      <c r="I57" s="95"/>
      <c r="J57" s="175">
        <f>H57/DAY(B2)</f>
        <v>2601.3388888888876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98363.96</v>
      </c>
      <c r="F58" s="422">
        <v>98633.94</v>
      </c>
      <c r="G58" s="431">
        <f t="shared" si="3"/>
        <v>269.97999999999593</v>
      </c>
      <c r="H58" s="99">
        <f>G58+'17'!H58</f>
        <v>4064.1199999999953</v>
      </c>
      <c r="I58" s="95"/>
      <c r="J58" s="175">
        <f>H58/DAY(B2)</f>
        <v>225.78444444444418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8821.8299999997835</v>
      </c>
      <c r="H59" s="99">
        <f>G59+'17'!H59</f>
        <v>146818.19999999981</v>
      </c>
      <c r="I59" s="95">
        <f>G7-G60</f>
        <v>3010.1410000003525</v>
      </c>
      <c r="J59" s="175">
        <f>H59/DAY(B2)</f>
        <v>8156.5666666666557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3">
        <f>G47+G59</f>
        <v>20536.858999999647</v>
      </c>
      <c r="H60" s="99">
        <f>G60+'17'!H60</f>
        <v>352059.57899999974</v>
      </c>
      <c r="I60" s="95">
        <f>G13-G60</f>
        <v>2279.9410000001662</v>
      </c>
      <c r="J60" s="175">
        <f>H60/DAY(B2)</f>
        <v>19558.865499999985</v>
      </c>
      <c r="K60" s="79"/>
      <c r="L60" s="66"/>
      <c r="N60" s="87"/>
      <c r="O60" s="71"/>
    </row>
    <row r="61" spans="1:15" s="68" customFormat="1" ht="27.75" customHeight="1">
      <c r="A61" s="937" t="s">
        <v>332</v>
      </c>
      <c r="B61" s="938"/>
      <c r="C61" s="939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4" t="s">
        <v>198</v>
      </c>
      <c r="B62" s="905"/>
      <c r="C62" s="906"/>
      <c r="D62" s="151" t="s">
        <v>142</v>
      </c>
      <c r="E62" s="95">
        <f>'17'!F62</f>
        <v>317024</v>
      </c>
      <c r="F62" s="164">
        <v>317116</v>
      </c>
      <c r="G62" s="431">
        <f t="shared" ref="G62:G63" si="4">F62-E62</f>
        <v>92</v>
      </c>
      <c r="H62" s="99">
        <f>G62+'17'!H62</f>
        <v>1439</v>
      </c>
      <c r="I62" s="118"/>
      <c r="J62" s="175">
        <f>H62/DAY(B2)</f>
        <v>79.944444444444443</v>
      </c>
      <c r="K62" s="80"/>
      <c r="L62" s="66"/>
      <c r="N62" s="87"/>
      <c r="O62" s="71"/>
    </row>
    <row r="63" spans="1:15" ht="27.75" customHeight="1">
      <c r="A63" s="904" t="s">
        <v>199</v>
      </c>
      <c r="B63" s="905"/>
      <c r="C63" s="906"/>
      <c r="D63" s="151" t="s">
        <v>142</v>
      </c>
      <c r="E63" s="95">
        <f>'17'!F63</f>
        <v>253834</v>
      </c>
      <c r="F63" s="122">
        <v>253924</v>
      </c>
      <c r="G63" s="431">
        <f t="shared" si="4"/>
        <v>90</v>
      </c>
      <c r="H63" s="99">
        <f>G63+'17'!H63</f>
        <v>1600</v>
      </c>
      <c r="I63" s="118"/>
      <c r="J63" s="175">
        <f>H63/DAY(B2)</f>
        <v>88.888888888888886</v>
      </c>
      <c r="K63" s="69"/>
      <c r="L63" s="66"/>
      <c r="N63" s="87"/>
      <c r="O63" s="71"/>
    </row>
    <row r="64" spans="1:15" ht="27.75" customHeight="1">
      <c r="A64" s="913" t="s">
        <v>200</v>
      </c>
      <c r="B64" s="914"/>
      <c r="C64" s="915"/>
      <c r="D64" s="151"/>
      <c r="E64" s="95">
        <f>'17'!F64</f>
        <v>0</v>
      </c>
      <c r="F64" s="122"/>
      <c r="G64" s="431">
        <f>G62+G63</f>
        <v>182</v>
      </c>
      <c r="H64" s="99">
        <f>G64+'17'!H64</f>
        <v>3039</v>
      </c>
      <c r="I64" s="118"/>
      <c r="J64" s="175">
        <f>H64/DAY(B2)</f>
        <v>168.83333333333334</v>
      </c>
      <c r="K64" s="69"/>
      <c r="L64" s="66"/>
      <c r="N64" s="87"/>
      <c r="O64" s="71"/>
    </row>
    <row r="65" spans="1:15" ht="27.75" customHeight="1">
      <c r="A65" s="904" t="s">
        <v>201</v>
      </c>
      <c r="B65" s="905"/>
      <c r="C65" s="906"/>
      <c r="D65" s="151" t="s">
        <v>142</v>
      </c>
      <c r="E65" s="95">
        <f>'17'!F65</f>
        <v>478029</v>
      </c>
      <c r="F65" s="122">
        <v>478191</v>
      </c>
      <c r="G65" s="431">
        <f t="shared" ref="G65:G70" si="5">F65-E65</f>
        <v>162</v>
      </c>
      <c r="H65" s="99">
        <f>G65+'17'!H65</f>
        <v>2288</v>
      </c>
      <c r="I65" s="118"/>
      <c r="J65" s="175">
        <f>H65/DAY(B2)</f>
        <v>127.11111111111111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114716</v>
      </c>
      <c r="F66" s="122">
        <v>114726</v>
      </c>
      <c r="G66" s="431">
        <f t="shared" si="5"/>
        <v>10</v>
      </c>
      <c r="H66" s="99">
        <f>G66+'17'!H66</f>
        <v>260</v>
      </c>
      <c r="I66" s="118"/>
      <c r="J66" s="175">
        <f>H66/DAY(B2)</f>
        <v>14.444444444444445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117699</v>
      </c>
      <c r="F67" s="122">
        <v>117727</v>
      </c>
      <c r="G67" s="431">
        <f t="shared" si="5"/>
        <v>28</v>
      </c>
      <c r="H67" s="99">
        <f>G67+'17'!H67</f>
        <v>445</v>
      </c>
      <c r="I67" s="118"/>
      <c r="J67" s="175">
        <f>H67/DAY(B2)</f>
        <v>24.722222222222221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170247</v>
      </c>
      <c r="F68" s="122">
        <v>170277</v>
      </c>
      <c r="G68" s="431">
        <f t="shared" si="5"/>
        <v>30</v>
      </c>
      <c r="H68" s="99">
        <f>G68+'17'!H68</f>
        <v>327</v>
      </c>
      <c r="I68" s="118"/>
      <c r="J68" s="175">
        <f>H68/DAY(B2)</f>
        <v>18.166666666666668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13294</v>
      </c>
      <c r="F69" s="122">
        <v>13298</v>
      </c>
      <c r="G69" s="431">
        <f t="shared" si="5"/>
        <v>4</v>
      </c>
      <c r="H69" s="99">
        <f>G69+'17'!H69</f>
        <v>86</v>
      </c>
      <c r="I69" s="118"/>
      <c r="J69" s="175">
        <f>H69/DAY(B2)</f>
        <v>4.7777777777777777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11382</v>
      </c>
      <c r="F70" s="122">
        <v>11389</v>
      </c>
      <c r="G70" s="431">
        <f t="shared" si="5"/>
        <v>7</v>
      </c>
      <c r="H70" s="99">
        <f>G70+'17'!H70</f>
        <v>131</v>
      </c>
      <c r="I70" s="118"/>
      <c r="J70" s="175">
        <f>H70/DAY(B2)</f>
        <v>7.2777777777777777</v>
      </c>
      <c r="K70" s="69"/>
      <c r="L70" s="66"/>
      <c r="N70" s="87"/>
      <c r="O70" s="71"/>
    </row>
    <row r="71" spans="1:15" ht="27.75" customHeight="1">
      <c r="A71" s="913" t="s">
        <v>208</v>
      </c>
      <c r="B71" s="914"/>
      <c r="C71" s="915"/>
      <c r="D71" s="152"/>
      <c r="E71" s="152"/>
      <c r="F71" s="152"/>
      <c r="G71" s="443">
        <f>SUM(G65:G70)</f>
        <v>241</v>
      </c>
      <c r="H71" s="99">
        <f>G71+'17'!H71</f>
        <v>3537</v>
      </c>
      <c r="I71" s="154"/>
      <c r="J71" s="175">
        <f>H71/DAY(B2)</f>
        <v>196.5</v>
      </c>
      <c r="K71" s="69"/>
      <c r="L71" s="66"/>
      <c r="N71" s="87"/>
      <c r="O71" s="71"/>
    </row>
    <row r="72" spans="1:15" s="88" customFormat="1" ht="27.75" customHeight="1">
      <c r="A72" s="900"/>
      <c r="B72" s="885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7.75" customHeight="1">
      <c r="A73" s="910" t="s">
        <v>333</v>
      </c>
      <c r="B73" s="911"/>
      <c r="C73" s="912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4" t="s">
        <v>220</v>
      </c>
      <c r="B74" s="905"/>
      <c r="C74" s="906"/>
      <c r="D74" s="151" t="s">
        <v>139</v>
      </c>
      <c r="E74" s="95">
        <f>'17'!F74</f>
        <v>17593</v>
      </c>
      <c r="F74" s="123">
        <v>17900.560000000001</v>
      </c>
      <c r="G74" s="431">
        <f>F74-E74</f>
        <v>307.56000000000131</v>
      </c>
      <c r="H74" s="99">
        <f>G74+'17'!H74</f>
        <v>5638.5600000000013</v>
      </c>
      <c r="I74" s="154"/>
      <c r="J74" s="175">
        <f>H74/DAY(B2)</f>
        <v>313.25333333333339</v>
      </c>
      <c r="K74" s="69"/>
      <c r="L74" s="66"/>
      <c r="N74" s="87"/>
      <c r="O74" s="71"/>
    </row>
    <row r="75" spans="1:15" ht="27.75" customHeight="1">
      <c r="A75" s="904" t="s">
        <v>221</v>
      </c>
      <c r="B75" s="905"/>
      <c r="C75" s="906"/>
      <c r="D75" s="151" t="s">
        <v>139</v>
      </c>
      <c r="E75" s="95">
        <f>'17'!F75</f>
        <v>73586.8</v>
      </c>
      <c r="F75" s="409">
        <v>73586.8</v>
      </c>
      <c r="G75" s="43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1" t="s">
        <v>222</v>
      </c>
      <c r="B76" s="902"/>
      <c r="C76" s="903"/>
      <c r="D76" s="151" t="s">
        <v>139</v>
      </c>
      <c r="E76" s="95">
        <f>'17'!F76</f>
        <v>212650</v>
      </c>
      <c r="F76" s="123">
        <v>212707</v>
      </c>
      <c r="G76" s="431">
        <f>F76-E76</f>
        <v>57</v>
      </c>
      <c r="H76" s="99">
        <f>G76+'17'!H76</f>
        <v>2047</v>
      </c>
      <c r="I76" s="154"/>
      <c r="J76" s="175">
        <f>H76/DAY(B2)</f>
        <v>113.72222222222223</v>
      </c>
      <c r="K76" s="69"/>
      <c r="L76" s="66"/>
      <c r="N76" s="87"/>
      <c r="O76" s="71"/>
    </row>
    <row r="77" spans="1:15" ht="27.75" customHeight="1">
      <c r="A77" s="901" t="s">
        <v>223</v>
      </c>
      <c r="B77" s="902"/>
      <c r="C77" s="903"/>
      <c r="D77" s="151" t="s">
        <v>139</v>
      </c>
      <c r="E77" s="95">
        <f>'17'!F77</f>
        <v>60648</v>
      </c>
      <c r="F77" s="123">
        <v>60708.800000000003</v>
      </c>
      <c r="G77" s="431">
        <f t="shared" si="6"/>
        <v>60.80000000000291</v>
      </c>
      <c r="H77" s="99">
        <f>G77+'17'!H77</f>
        <v>947.80000000000291</v>
      </c>
      <c r="I77" s="154"/>
      <c r="J77" s="175">
        <f>H77/DAY(B2)</f>
        <v>52.655555555555715</v>
      </c>
      <c r="K77" s="69"/>
      <c r="L77" s="66"/>
      <c r="N77" s="87"/>
      <c r="O77" s="71"/>
    </row>
    <row r="78" spans="1:15" ht="27.75" customHeight="1">
      <c r="A78" s="901" t="s">
        <v>224</v>
      </c>
      <c r="B78" s="902"/>
      <c r="C78" s="903"/>
      <c r="D78" s="151" t="s">
        <v>139</v>
      </c>
      <c r="E78" s="95">
        <f>'17'!F78</f>
        <v>9564</v>
      </c>
      <c r="F78" s="123">
        <v>9564</v>
      </c>
      <c r="G78" s="431">
        <f t="shared" si="6"/>
        <v>0</v>
      </c>
      <c r="H78" s="99">
        <f>G78+'17'!H78</f>
        <v>0.5</v>
      </c>
      <c r="I78" s="118"/>
      <c r="J78" s="175">
        <f>H78/DAY(B2)</f>
        <v>2.7777777777777776E-2</v>
      </c>
      <c r="K78" s="69"/>
      <c r="L78" s="66"/>
      <c r="N78" s="87"/>
      <c r="O78" s="71"/>
    </row>
    <row r="79" spans="1:15" s="57" customFormat="1" ht="27.75" customHeight="1">
      <c r="A79" s="901" t="s">
        <v>225</v>
      </c>
      <c r="B79" s="902"/>
      <c r="C79" s="903"/>
      <c r="D79" s="151"/>
      <c r="E79" s="95">
        <f>'17'!F79</f>
        <v>0</v>
      </c>
      <c r="F79" s="123">
        <v>0</v>
      </c>
      <c r="G79" s="431">
        <f>G15-SUM(G74:G78)</f>
        <v>824.63999999999578</v>
      </c>
      <c r="H79" s="99">
        <f>G79+'17'!H79</f>
        <v>10740.425000000145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3" t="s">
        <v>329</v>
      </c>
      <c r="B80" s="914"/>
      <c r="C80" s="915"/>
      <c r="D80" s="151"/>
      <c r="E80" s="117"/>
      <c r="F80" s="117"/>
      <c r="G80" s="431">
        <f>SUM(G74:G79)</f>
        <v>1250</v>
      </c>
      <c r="H80" s="99">
        <f>G80+'17'!H80</f>
        <v>1250</v>
      </c>
      <c r="I80" s="118"/>
      <c r="J80" s="175"/>
      <c r="K80" s="59"/>
      <c r="L80" s="58"/>
      <c r="N80" s="87"/>
      <c r="O80" s="71"/>
    </row>
    <row r="81" spans="1:15" ht="27.75" customHeight="1">
      <c r="A81" s="917" t="s">
        <v>226</v>
      </c>
      <c r="B81" s="918"/>
      <c r="C81" s="919"/>
      <c r="D81" s="110"/>
      <c r="E81" s="110"/>
      <c r="F81" s="110"/>
      <c r="G81" s="44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1">
        <f t="shared" ref="G82:G92" si="7">F82-E82</f>
        <v>0</v>
      </c>
      <c r="H82" s="99">
        <f>G82+'17'!H82</f>
        <v>0</v>
      </c>
      <c r="I82" s="54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1">
        <f t="shared" si="7"/>
        <v>0</v>
      </c>
      <c r="H83" s="99">
        <f>G83+'17'!H83</f>
        <v>0</v>
      </c>
      <c r="I83" s="54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43546</v>
      </c>
      <c r="F84" s="164">
        <v>43546</v>
      </c>
      <c r="G84" s="431">
        <f>F84-E84</f>
        <v>0</v>
      </c>
      <c r="H84" s="99">
        <f>G84+'17'!H84</f>
        <v>0</v>
      </c>
      <c r="I84" s="543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6264.3</v>
      </c>
      <c r="F85" s="164">
        <v>6266</v>
      </c>
      <c r="G85" s="431">
        <f t="shared" si="7"/>
        <v>1.6999999999998181</v>
      </c>
      <c r="H85" s="99">
        <f>G85+'17'!H85</f>
        <v>53</v>
      </c>
      <c r="I85" s="543"/>
      <c r="J85" s="175">
        <f>H85/DAY(B2)</f>
        <v>2.9444444444444446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47101</v>
      </c>
      <c r="F86" s="164">
        <v>47125.2</v>
      </c>
      <c r="G86" s="431">
        <f t="shared" si="7"/>
        <v>24.19999999999709</v>
      </c>
      <c r="H86" s="99">
        <f>G86+'17'!H86</f>
        <v>154.19999999999709</v>
      </c>
      <c r="I86" s="543"/>
      <c r="J86" s="175">
        <f>H86/DAY(B2)</f>
        <v>8.5666666666665048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37602.1</v>
      </c>
      <c r="F87" s="164">
        <v>37602.1</v>
      </c>
      <c r="G87" s="431">
        <f t="shared" si="7"/>
        <v>0</v>
      </c>
      <c r="H87" s="99">
        <f>G87+'17'!H87</f>
        <v>238.09999999999854</v>
      </c>
      <c r="I87" s="543">
        <f>G84+G85+G86+G87</f>
        <v>25.899999999996908</v>
      </c>
      <c r="J87" s="175">
        <f>H87/DAY(B2)</f>
        <v>13.227777777777696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24862</v>
      </c>
      <c r="F88" s="164">
        <v>24873.75</v>
      </c>
      <c r="G88" s="431">
        <f t="shared" si="7"/>
        <v>11.75</v>
      </c>
      <c r="H88" s="99">
        <f>G88+'17'!H88</f>
        <v>111.75</v>
      </c>
      <c r="I88" s="543"/>
      <c r="J88" s="175">
        <f>H88/DAY(B2)</f>
        <v>6.208333333333333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29133.25</v>
      </c>
      <c r="F89" s="164">
        <v>29136.22</v>
      </c>
      <c r="G89" s="431">
        <f t="shared" si="7"/>
        <v>2.9700000000011642</v>
      </c>
      <c r="H89" s="99">
        <f>G89+'17'!H89</f>
        <v>108.22000000000116</v>
      </c>
      <c r="I89" s="543">
        <f>G88+G89</f>
        <v>14.720000000001164</v>
      </c>
      <c r="J89" s="175">
        <f>H89/DAY(B2)</f>
        <v>6.0122222222222872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74566</v>
      </c>
      <c r="F90" s="164">
        <v>74575.03</v>
      </c>
      <c r="G90" s="431">
        <f t="shared" si="7"/>
        <v>9.0299999999988358</v>
      </c>
      <c r="H90" s="99">
        <f>G90+'17'!H90</f>
        <v>127.02999999999884</v>
      </c>
      <c r="I90" s="543">
        <f>G90</f>
        <v>9.0299999999988358</v>
      </c>
      <c r="J90" s="175">
        <f>H90/DAY(B2)</f>
        <v>7.0572222222221574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5785.76</v>
      </c>
      <c r="F91" s="164">
        <v>5797.62</v>
      </c>
      <c r="G91" s="431">
        <f t="shared" si="7"/>
        <v>11.859999999999673</v>
      </c>
      <c r="H91" s="99">
        <f>G91+'17'!H91</f>
        <v>179.40999999999985</v>
      </c>
      <c r="I91" s="544"/>
      <c r="J91" s="175">
        <f>H91/DAY(B2)</f>
        <v>9.9672222222222135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7469.24</v>
      </c>
      <c r="F92" s="164">
        <v>7469.24</v>
      </c>
      <c r="G92" s="431">
        <f t="shared" si="7"/>
        <v>0</v>
      </c>
      <c r="H92" s="99">
        <f>G92+'17'!H92</f>
        <v>36.960000000000036</v>
      </c>
      <c r="I92" s="545">
        <f>G91+G92</f>
        <v>11.859999999999673</v>
      </c>
      <c r="J92" s="175">
        <f>H92/DAY(B2)</f>
        <v>2.0533333333333355</v>
      </c>
      <c r="O92" s="71"/>
    </row>
    <row r="93" spans="1:15" ht="27.75" customHeight="1">
      <c r="A93" s="907" t="s">
        <v>239</v>
      </c>
      <c r="B93" s="908"/>
      <c r="C93" s="909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7.75" customHeight="1">
      <c r="A94" s="904" t="s">
        <v>240</v>
      </c>
      <c r="B94" s="905"/>
      <c r="C94" s="906"/>
      <c r="D94" s="151" t="s">
        <v>130</v>
      </c>
      <c r="E94" s="151"/>
      <c r="F94" s="151"/>
      <c r="G94" s="446">
        <f>G35+G43+G49+G57</f>
        <v>5915.4499999999534</v>
      </c>
      <c r="H94" s="99">
        <f>G94+'17'!H94</f>
        <v>103904.47999999998</v>
      </c>
      <c r="I94" s="118"/>
      <c r="J94" s="175">
        <f>H94/DAY(B2)</f>
        <v>5772.4711111111101</v>
      </c>
      <c r="K94" s="69"/>
      <c r="L94" s="66"/>
      <c r="O94" s="71"/>
    </row>
    <row r="95" spans="1:15" ht="27.75" customHeight="1">
      <c r="A95" s="904" t="s">
        <v>241</v>
      </c>
      <c r="B95" s="905"/>
      <c r="C95" s="906"/>
      <c r="D95" s="151" t="s">
        <v>23</v>
      </c>
      <c r="E95" s="146"/>
      <c r="F95" s="146"/>
      <c r="G95" s="447">
        <f>G94/G7</f>
        <v>0.25121883891790686</v>
      </c>
      <c r="H95" s="99">
        <f>G95+'17'!H95</f>
        <v>4.6714365606291857</v>
      </c>
      <c r="I95" s="167"/>
      <c r="J95" s="175">
        <f>H95/DAY(B2)</f>
        <v>0.2595242533682881</v>
      </c>
      <c r="K95" s="69"/>
      <c r="L95" s="66"/>
      <c r="O95" s="71"/>
    </row>
    <row r="96" spans="1:15" ht="27.75" customHeight="1">
      <c r="A96" s="904" t="s">
        <v>242</v>
      </c>
      <c r="B96" s="905"/>
      <c r="C96" s="906"/>
      <c r="D96" s="151" t="s">
        <v>130</v>
      </c>
      <c r="E96" s="95"/>
      <c r="F96" s="95"/>
      <c r="G96" s="446">
        <f>G41+G42+G55+G56</f>
        <v>3962.7699999999022</v>
      </c>
      <c r="H96" s="99">
        <f>G96+'17'!H96</f>
        <v>65375.359999999928</v>
      </c>
      <c r="I96" s="118"/>
      <c r="J96" s="175">
        <f>H96/DAY(B2)</f>
        <v>3631.9644444444402</v>
      </c>
      <c r="K96" s="69"/>
      <c r="L96" s="66"/>
      <c r="O96" s="71"/>
    </row>
    <row r="97" spans="1:15" ht="27.75" customHeight="1">
      <c r="A97" s="904" t="s">
        <v>243</v>
      </c>
      <c r="B97" s="905"/>
      <c r="C97" s="906"/>
      <c r="D97" s="151" t="s">
        <v>23</v>
      </c>
      <c r="E97" s="95"/>
      <c r="F97" s="95"/>
      <c r="G97" s="447">
        <f>G96/G7</f>
        <v>0.16829192678472427</v>
      </c>
      <c r="H97" s="99">
        <f>G97+'17'!H97</f>
        <v>2.9328601989657104</v>
      </c>
      <c r="I97" s="167"/>
      <c r="J97" s="175">
        <f>H97/DAY(B2)</f>
        <v>0.16293667772031725</v>
      </c>
      <c r="K97" s="69"/>
      <c r="L97" s="66"/>
      <c r="O97" s="71"/>
    </row>
    <row r="98" spans="1:15" ht="27.75" customHeight="1">
      <c r="A98" s="904" t="s">
        <v>244</v>
      </c>
      <c r="B98" s="905"/>
      <c r="C98" s="906"/>
      <c r="D98" s="151" t="s">
        <v>130</v>
      </c>
      <c r="E98" s="95"/>
      <c r="F98" s="95"/>
      <c r="G98" s="446">
        <f>G39+G53</f>
        <v>2879.4899999998743</v>
      </c>
      <c r="H98" s="99">
        <f>G98+'17'!H98</f>
        <v>51028.039999999921</v>
      </c>
      <c r="I98" s="168"/>
      <c r="J98" s="175">
        <f>H98/DAY(B2)</f>
        <v>2834.8911111111065</v>
      </c>
      <c r="K98" s="69"/>
      <c r="L98" s="66"/>
      <c r="O98" s="71"/>
    </row>
    <row r="99" spans="1:15" ht="27.75" customHeight="1">
      <c r="A99" s="904" t="s">
        <v>245</v>
      </c>
      <c r="B99" s="905"/>
      <c r="C99" s="906"/>
      <c r="D99" s="151" t="s">
        <v>23</v>
      </c>
      <c r="E99" s="95"/>
      <c r="F99" s="95"/>
      <c r="G99" s="447">
        <f>G98/G7</f>
        <v>0.1222869155306355</v>
      </c>
      <c r="H99" s="99">
        <f>G99+'17'!H99</f>
        <v>2.2951141938202864</v>
      </c>
      <c r="I99" s="168"/>
      <c r="J99" s="175">
        <f>H99/DAY(B2)</f>
        <v>0.12750634410112702</v>
      </c>
      <c r="O99" s="71"/>
    </row>
    <row r="100" spans="1:15" ht="27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446">
        <f>G38+G52</f>
        <v>2661.7299999999814</v>
      </c>
      <c r="H100" s="99">
        <f>G100+'17'!H100</f>
        <v>47035.159999999982</v>
      </c>
      <c r="I100" s="118"/>
      <c r="J100" s="175">
        <f>H100/DAY(B2)</f>
        <v>2613.0644444444433</v>
      </c>
      <c r="K100" s="70"/>
      <c r="O100" s="71"/>
    </row>
    <row r="101" spans="1:15" ht="27.75" customHeight="1">
      <c r="A101" s="904" t="s">
        <v>247</v>
      </c>
      <c r="B101" s="905"/>
      <c r="C101" s="906"/>
      <c r="D101" s="151" t="s">
        <v>23</v>
      </c>
      <c r="E101" s="95"/>
      <c r="F101" s="95"/>
      <c r="G101" s="447">
        <f>G100/G7</f>
        <v>0.11303902832632529</v>
      </c>
      <c r="H101" s="99">
        <f>G101+'17'!H101</f>
        <v>2.1119574897440554</v>
      </c>
      <c r="I101" s="168"/>
      <c r="J101" s="175">
        <f>H101/DAY(B2)</f>
        <v>0.11733097165244752</v>
      </c>
      <c r="O101" s="71"/>
    </row>
    <row r="102" spans="1:15" ht="27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446">
        <f>G36+G50</f>
        <v>3102.0999999999185</v>
      </c>
      <c r="H102" s="99">
        <f>G102+'17'!H102</f>
        <v>44998.099999999919</v>
      </c>
      <c r="I102" s="168"/>
      <c r="J102" s="175">
        <f>H102/DAY(B2)</f>
        <v>2499.8944444444401</v>
      </c>
      <c r="O102" s="71"/>
    </row>
    <row r="103" spans="1:15" ht="27.75" customHeight="1">
      <c r="A103" s="904" t="s">
        <v>249</v>
      </c>
      <c r="B103" s="905"/>
      <c r="C103" s="906"/>
      <c r="D103" s="151" t="s">
        <v>23</v>
      </c>
      <c r="E103" s="95"/>
      <c r="F103" s="95"/>
      <c r="G103" s="447">
        <f>G102/G7</f>
        <v>0.13174077377160226</v>
      </c>
      <c r="H103" s="99">
        <f>G103+'17'!H103</f>
        <v>2.0149864125120924</v>
      </c>
      <c r="I103" s="118"/>
      <c r="J103" s="175">
        <f>H103/DAY(B2)</f>
        <v>0.11194368958400513</v>
      </c>
      <c r="O103" s="71"/>
    </row>
    <row r="104" spans="1:15" ht="27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446">
        <f>G37+G51</f>
        <v>1258.5489999999991</v>
      </c>
      <c r="H104" s="99">
        <f>G104+'17'!H104</f>
        <v>25648.989000000001</v>
      </c>
      <c r="I104" s="118"/>
      <c r="J104" s="175">
        <f>H104/DAY(B2)</f>
        <v>1424.9438333333335</v>
      </c>
      <c r="O104" s="71"/>
    </row>
    <row r="105" spans="1:15" ht="27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448">
        <f>G104/G7</f>
        <v>5.3448379836072493E-2</v>
      </c>
      <c r="H105" s="99">
        <f>G105+'17'!H105</f>
        <v>1.1530952364392364</v>
      </c>
      <c r="I105" s="187"/>
      <c r="J105" s="188">
        <f>H105/DAY(B2)</f>
        <v>6.4060846468846466E-2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8" spans="1:15" ht="27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7.75" customHeight="1">
      <c r="A109" s="920"/>
      <c r="B109" s="920"/>
    </row>
    <row r="110" spans="1:15" ht="27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7.75" customHeight="1">
      <c r="A111" s="887"/>
      <c r="B111" s="888"/>
      <c r="C111" s="889"/>
      <c r="D111" s="165"/>
      <c r="E111" s="165"/>
      <c r="F111" s="165"/>
      <c r="G111" s="451"/>
      <c r="H111" s="156"/>
      <c r="I111" s="165"/>
      <c r="J111" s="327"/>
    </row>
    <row r="112" spans="1:15" ht="27.75" customHeight="1">
      <c r="A112" s="883" t="s">
        <v>252</v>
      </c>
      <c r="B112" s="884"/>
      <c r="C112" s="885"/>
      <c r="D112" s="146" t="s">
        <v>183</v>
      </c>
      <c r="E112" s="95">
        <f>'17'!F112</f>
        <v>20435</v>
      </c>
      <c r="F112" s="237">
        <v>20496.599999999999</v>
      </c>
      <c r="G112" s="431">
        <f t="shared" ref="G112:G123" si="8">F112-E112</f>
        <v>61.599999999998545</v>
      </c>
      <c r="H112" s="99">
        <f>G112+'17'!H112</f>
        <v>1099.5999999999985</v>
      </c>
      <c r="I112" s="165"/>
      <c r="J112" s="328">
        <f>H112/DAY(B2)</f>
        <v>61.08888888888881</v>
      </c>
    </row>
    <row r="113" spans="1:18" ht="27.75" customHeight="1">
      <c r="A113" s="883" t="s">
        <v>253</v>
      </c>
      <c r="B113" s="884"/>
      <c r="C113" s="885"/>
      <c r="D113" s="146" t="s">
        <v>183</v>
      </c>
      <c r="E113" s="95">
        <f>'17'!F113</f>
        <v>43984.38</v>
      </c>
      <c r="F113" s="237">
        <v>44127.5</v>
      </c>
      <c r="G113" s="431">
        <f t="shared" si="8"/>
        <v>143.12000000000262</v>
      </c>
      <c r="H113" s="99">
        <f>G113+'17'!H113</f>
        <v>2607.5500000000029</v>
      </c>
      <c r="I113" s="165"/>
      <c r="J113" s="328">
        <f>H113/DAY(B2)</f>
        <v>144.86388888888905</v>
      </c>
    </row>
    <row r="114" spans="1:18" ht="27.75" customHeight="1">
      <c r="A114" s="883" t="s">
        <v>254</v>
      </c>
      <c r="B114" s="884"/>
      <c r="C114" s="885"/>
      <c r="D114" s="146" t="s">
        <v>183</v>
      </c>
      <c r="E114" s="95">
        <f>'17'!F114</f>
        <v>65054.720000000001</v>
      </c>
      <c r="F114" s="237">
        <v>65280.4</v>
      </c>
      <c r="G114" s="431">
        <f t="shared" si="8"/>
        <v>225.68000000000029</v>
      </c>
      <c r="H114" s="99">
        <f>G114+'17'!H114</f>
        <v>4062.4000000000015</v>
      </c>
      <c r="I114" s="165"/>
      <c r="J114" s="328">
        <f>H114/DAY(B2)</f>
        <v>225.68888888888898</v>
      </c>
    </row>
    <row r="115" spans="1:18" ht="27.75" customHeight="1">
      <c r="A115" s="883" t="s">
        <v>255</v>
      </c>
      <c r="B115" s="884"/>
      <c r="C115" s="885"/>
      <c r="D115" s="146" t="s">
        <v>183</v>
      </c>
      <c r="E115" s="95">
        <f>'17'!F115</f>
        <v>41907.800000000003</v>
      </c>
      <c r="F115" s="237">
        <v>42056.7</v>
      </c>
      <c r="G115" s="431">
        <f t="shared" si="8"/>
        <v>148.89999999999418</v>
      </c>
      <c r="H115" s="99">
        <f>G115+'17'!H115</f>
        <v>2597.6999999999971</v>
      </c>
      <c r="I115" s="165"/>
      <c r="J115" s="328">
        <f>H115/DAY(B2)</f>
        <v>144.31666666666649</v>
      </c>
    </row>
    <row r="116" spans="1:18" ht="27.75" customHeight="1">
      <c r="A116" s="890" t="s">
        <v>96</v>
      </c>
      <c r="B116" s="891"/>
      <c r="C116" s="892"/>
      <c r="D116" s="146" t="s">
        <v>183</v>
      </c>
      <c r="E116" s="95">
        <f>'17'!F116</f>
        <v>155478.32</v>
      </c>
      <c r="F116" s="237">
        <v>155900.73000000001</v>
      </c>
      <c r="G116" s="431">
        <f t="shared" si="8"/>
        <v>422.41000000000349</v>
      </c>
      <c r="H116" s="99">
        <f>G116+'17'!H116</f>
        <v>7970.7300000000105</v>
      </c>
      <c r="I116" s="165"/>
      <c r="J116" s="328">
        <f>H116/DAY(B2)</f>
        <v>442.8183333333339</v>
      </c>
      <c r="Q116" s="883" t="s">
        <v>311</v>
      </c>
      <c r="R116" s="885"/>
    </row>
    <row r="117" spans="1:18" ht="27.75" customHeight="1">
      <c r="A117" s="890" t="s">
        <v>184</v>
      </c>
      <c r="B117" s="891"/>
      <c r="C117" s="892"/>
      <c r="D117" s="146" t="s">
        <v>183</v>
      </c>
      <c r="E117" s="95">
        <f>'17'!F117</f>
        <v>96097.47</v>
      </c>
      <c r="F117" s="237">
        <v>96389.6</v>
      </c>
      <c r="G117" s="431">
        <f t="shared" si="8"/>
        <v>292.13000000000466</v>
      </c>
      <c r="H117" s="99">
        <f>G117+'17'!H117</f>
        <v>4400.2010000000009</v>
      </c>
      <c r="I117" s="165"/>
      <c r="J117" s="328">
        <f>H117/DAY(B2)</f>
        <v>244.45561111111115</v>
      </c>
      <c r="Q117" s="883" t="s">
        <v>312</v>
      </c>
      <c r="R117" s="885"/>
    </row>
    <row r="118" spans="1:18" ht="27.75" customHeight="1">
      <c r="A118" s="882" t="s">
        <v>97</v>
      </c>
      <c r="B118" s="882"/>
      <c r="C118" s="882"/>
      <c r="D118" s="151" t="s">
        <v>183</v>
      </c>
      <c r="E118" s="95">
        <f>'17'!F118</f>
        <v>189458.93</v>
      </c>
      <c r="F118" s="237">
        <v>190146</v>
      </c>
      <c r="G118" s="431">
        <f t="shared" si="8"/>
        <v>687.07000000000698</v>
      </c>
      <c r="H118" s="99">
        <f>G118+'17'!H118</f>
        <v>12613.470000000001</v>
      </c>
      <c r="I118" s="165"/>
      <c r="J118" s="328">
        <f>H118/DAY(B2)</f>
        <v>700.74833333333345</v>
      </c>
      <c r="Q118" s="883" t="s">
        <v>311</v>
      </c>
      <c r="R118" s="885"/>
    </row>
    <row r="119" spans="1:18" ht="27.75" customHeight="1">
      <c r="A119" s="882" t="s">
        <v>98</v>
      </c>
      <c r="B119" s="882"/>
      <c r="C119" s="882"/>
      <c r="D119" s="151" t="s">
        <v>183</v>
      </c>
      <c r="E119" s="95">
        <f>'17'!F119</f>
        <v>46100</v>
      </c>
      <c r="F119" s="237">
        <v>46171.05</v>
      </c>
      <c r="G119" s="431">
        <f t="shared" si="8"/>
        <v>71.05000000000291</v>
      </c>
      <c r="H119" s="99">
        <f>G119+'17'!H119</f>
        <v>978.05000000000291</v>
      </c>
      <c r="I119" s="165"/>
      <c r="J119" s="328">
        <f>H119/DAY(B2)</f>
        <v>54.336111111111272</v>
      </c>
    </row>
    <row r="120" spans="1:18" ht="27.75" customHeight="1">
      <c r="A120" s="882" t="s">
        <v>99</v>
      </c>
      <c r="B120" s="882"/>
      <c r="C120" s="882"/>
      <c r="D120" s="151" t="s">
        <v>183</v>
      </c>
      <c r="E120" s="95">
        <f>'17'!F120</f>
        <v>127052.23</v>
      </c>
      <c r="F120" s="237">
        <v>127456.72</v>
      </c>
      <c r="G120" s="431">
        <f t="shared" si="8"/>
        <v>404.49000000000524</v>
      </c>
      <c r="H120" s="99">
        <f>G120+'17'!H120</f>
        <v>7012.7200000000012</v>
      </c>
      <c r="I120" s="165"/>
      <c r="J120" s="328">
        <f>H120/DAY(B2)</f>
        <v>389.59555555555562</v>
      </c>
    </row>
    <row r="121" spans="1:18" ht="27.75" customHeight="1">
      <c r="A121" s="882" t="s">
        <v>100</v>
      </c>
      <c r="B121" s="882"/>
      <c r="C121" s="882"/>
      <c r="D121" s="151" t="s">
        <v>183</v>
      </c>
      <c r="E121" s="95">
        <f>'17'!F121</f>
        <v>141944.6</v>
      </c>
      <c r="F121" s="237">
        <v>142465.5</v>
      </c>
      <c r="G121" s="431">
        <f t="shared" si="8"/>
        <v>520.89999999999418</v>
      </c>
      <c r="H121" s="99">
        <f>G121+'17'!H121</f>
        <v>7902.5</v>
      </c>
      <c r="I121" s="165"/>
      <c r="J121" s="328">
        <f>H121/DAY(B2)</f>
        <v>439.02777777777777</v>
      </c>
    </row>
    <row r="122" spans="1:18" ht="27.75" customHeight="1">
      <c r="A122" s="882" t="s">
        <v>101</v>
      </c>
      <c r="B122" s="882"/>
      <c r="C122" s="882"/>
      <c r="D122" s="151" t="s">
        <v>183</v>
      </c>
      <c r="E122" s="95">
        <f>'17'!F122</f>
        <v>96097.47</v>
      </c>
      <c r="F122" s="237">
        <v>96380.800000000003</v>
      </c>
      <c r="G122" s="431">
        <f t="shared" si="8"/>
        <v>283.33000000000175</v>
      </c>
      <c r="H122" s="99">
        <f>G122+'17'!H122</f>
        <v>5503.8000000000029</v>
      </c>
      <c r="I122" s="165"/>
      <c r="J122" s="328">
        <f>H122/DAY(B2)</f>
        <v>305.76666666666682</v>
      </c>
    </row>
    <row r="123" spans="1:18" ht="27.75" customHeight="1">
      <c r="A123" s="882" t="s">
        <v>102</v>
      </c>
      <c r="B123" s="882"/>
      <c r="C123" s="882"/>
      <c r="D123" s="151" t="s">
        <v>183</v>
      </c>
      <c r="E123" s="95">
        <f>'17'!F123</f>
        <v>92837.63</v>
      </c>
      <c r="F123" s="237">
        <v>93144.149000000005</v>
      </c>
      <c r="G123" s="431">
        <f t="shared" si="8"/>
        <v>306.51900000000023</v>
      </c>
      <c r="H123" s="99">
        <f>G123+'17'!H123</f>
        <v>5565.1490000000049</v>
      </c>
      <c r="I123" s="165"/>
      <c r="J123" s="328">
        <f>H123/DAY(B2)</f>
        <v>309.17494444444469</v>
      </c>
    </row>
    <row r="124" spans="1:18" ht="27.75" customHeight="1">
      <c r="A124" s="887"/>
      <c r="B124" s="888"/>
      <c r="C124" s="889"/>
      <c r="D124" s="165"/>
      <c r="E124" s="95">
        <f>'17'!F124</f>
        <v>0</v>
      </c>
      <c r="F124" s="165"/>
      <c r="G124" s="451"/>
      <c r="H124" s="99">
        <f>G124+'17'!H124</f>
        <v>0</v>
      </c>
      <c r="I124" s="165"/>
      <c r="J124" s="327"/>
    </row>
    <row r="125" spans="1:18" ht="27.75" customHeight="1">
      <c r="A125" s="788" t="s">
        <v>196</v>
      </c>
      <c r="B125" s="789"/>
      <c r="C125" s="245"/>
      <c r="D125" s="307"/>
      <c r="E125" s="308"/>
      <c r="F125" s="308"/>
      <c r="G125" s="452">
        <f>SUM(G112:G124)</f>
        <v>3567.1990000000151</v>
      </c>
      <c r="H125" s="156"/>
      <c r="I125" s="327">
        <f>G125-(G39+G53)</f>
        <v>687.7090000001408</v>
      </c>
      <c r="J125" s="327"/>
    </row>
    <row r="126" spans="1:18" ht="27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7.75" customHeight="1">
      <c r="A127" s="872"/>
      <c r="B127" s="872"/>
      <c r="C127" s="245"/>
      <c r="D127" s="307"/>
      <c r="E127" s="308"/>
      <c r="F127" s="308"/>
      <c r="G127" s="45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83" t="s">
        <v>318</v>
      </c>
      <c r="B128" s="884"/>
      <c r="C128" s="885"/>
      <c r="D128" s="151" t="s">
        <v>183</v>
      </c>
      <c r="E128" s="95">
        <f>'17'!F128</f>
        <v>215474.97</v>
      </c>
      <c r="F128" s="165">
        <v>215944.98</v>
      </c>
      <c r="G128" s="431">
        <f t="shared" ref="G128:G134" si="9">F128-E128</f>
        <v>470.01000000000931</v>
      </c>
      <c r="H128" s="99">
        <f>G128+'17'!H128</f>
        <v>8655.9800000000105</v>
      </c>
      <c r="I128" s="165"/>
      <c r="J128" s="328">
        <f>H128/DAY(B2)</f>
        <v>480.88777777777835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2598</v>
      </c>
      <c r="F129" s="165">
        <v>2708.04</v>
      </c>
      <c r="G129" s="431">
        <f t="shared" si="9"/>
        <v>110.03999999999996</v>
      </c>
      <c r="H129" s="99">
        <f>G129+'17'!H129</f>
        <v>1974.04</v>
      </c>
      <c r="I129" s="165"/>
      <c r="J129" s="328">
        <f>H129/DAY(B2)</f>
        <v>109.66888888888889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298287.63</v>
      </c>
      <c r="F130" s="165">
        <v>299139.8</v>
      </c>
      <c r="G130" s="431">
        <f t="shared" si="9"/>
        <v>852.1699999999837</v>
      </c>
      <c r="H130" s="99">
        <f>G130+'17'!H130</f>
        <v>10417.799999999988</v>
      </c>
      <c r="I130" s="165"/>
      <c r="J130" s="328">
        <f>H130/DAY(B2)</f>
        <v>578.76666666666597</v>
      </c>
      <c r="N130" s="240"/>
      <c r="O130" s="241"/>
    </row>
    <row r="131" spans="1:15" ht="27.75" customHeight="1">
      <c r="A131" s="883" t="s">
        <v>321</v>
      </c>
      <c r="B131" s="884"/>
      <c r="C131" s="885"/>
      <c r="D131" s="151" t="s">
        <v>183</v>
      </c>
      <c r="E131" s="95">
        <f>'17'!F131</f>
        <v>88087.26</v>
      </c>
      <c r="F131" s="158">
        <v>88300.7</v>
      </c>
      <c r="G131" s="431">
        <f t="shared" si="9"/>
        <v>213.44000000000233</v>
      </c>
      <c r="H131" s="99">
        <f>G131+'17'!H131</f>
        <v>3596.8699999999953</v>
      </c>
      <c r="I131" s="165"/>
      <c r="J131" s="328">
        <f>H131/DAY(B2)</f>
        <v>199.82611111111086</v>
      </c>
      <c r="N131" s="240"/>
      <c r="O131" s="241"/>
    </row>
    <row r="132" spans="1:15" ht="27.75" customHeight="1">
      <c r="A132" s="883" t="s">
        <v>322</v>
      </c>
      <c r="B132" s="884"/>
      <c r="C132" s="885"/>
      <c r="D132" s="151" t="s">
        <v>183</v>
      </c>
      <c r="E132" s="95">
        <f>'17'!F132</f>
        <v>72760.72</v>
      </c>
      <c r="F132" s="158">
        <v>73065.7</v>
      </c>
      <c r="G132" s="431">
        <f t="shared" si="9"/>
        <v>304.97999999999593</v>
      </c>
      <c r="H132" s="99">
        <f>G132+'17'!H132</f>
        <v>5618.6999999999971</v>
      </c>
      <c r="I132" s="165"/>
      <c r="J132" s="328">
        <f>H132/DAY(B2)</f>
        <v>312.14999999999986</v>
      </c>
    </row>
    <row r="133" spans="1:15" ht="27.75" customHeight="1">
      <c r="A133" s="883" t="s">
        <v>358</v>
      </c>
      <c r="B133" s="884"/>
      <c r="C133" s="885"/>
      <c r="D133" s="151" t="s">
        <v>183</v>
      </c>
      <c r="E133" s="95">
        <f>'17'!F133</f>
        <v>960567</v>
      </c>
      <c r="F133" s="158">
        <v>960567</v>
      </c>
      <c r="G133" s="431">
        <f t="shared" si="9"/>
        <v>0</v>
      </c>
      <c r="H133" s="99">
        <f>G133+'17'!H133</f>
        <v>10420</v>
      </c>
      <c r="I133" s="165"/>
      <c r="J133" s="328">
        <f>H133/DAY(B2)</f>
        <v>578.88888888888891</v>
      </c>
    </row>
    <row r="134" spans="1:15" ht="27.75" customHeight="1">
      <c r="A134" s="883" t="s">
        <v>340</v>
      </c>
      <c r="B134" s="884"/>
      <c r="C134" s="885"/>
      <c r="D134" s="151" t="s">
        <v>183</v>
      </c>
      <c r="E134" s="95">
        <f>'17'!F134</f>
        <v>927509</v>
      </c>
      <c r="F134" s="758">
        <v>928179</v>
      </c>
      <c r="G134" s="431">
        <f t="shared" si="9"/>
        <v>670</v>
      </c>
      <c r="H134" s="99">
        <f>G134+'17'!H134</f>
        <v>7195.9100000000035</v>
      </c>
      <c r="I134" s="165"/>
      <c r="J134" s="328">
        <f>H134/DAY(B2)</f>
        <v>399.77277777777795</v>
      </c>
    </row>
    <row r="135" spans="1:15" ht="27.75" customHeight="1">
      <c r="A135" s="788" t="s">
        <v>196</v>
      </c>
      <c r="B135" s="789"/>
      <c r="C135" s="331"/>
      <c r="D135" s="151"/>
      <c r="E135" s="95"/>
      <c r="F135" s="165"/>
      <c r="G135" s="431">
        <f>SUM(G128:G134)</f>
        <v>2620.6399999999912</v>
      </c>
      <c r="H135" s="99">
        <f>G135+'10'!H135</f>
        <v>26874.249999999964</v>
      </c>
      <c r="I135" s="327">
        <f>G135-(G35+G49)</f>
        <v>-847.70999999998548</v>
      </c>
      <c r="J135" s="328"/>
    </row>
    <row r="136" spans="1:15" ht="27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7.75" customHeight="1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7.75" customHeight="1">
      <c r="A138" s="882" t="s">
        <v>185</v>
      </c>
      <c r="B138" s="882"/>
      <c r="C138" s="882"/>
      <c r="D138" s="151" t="s">
        <v>183</v>
      </c>
      <c r="E138" s="95">
        <f>'17'!F138</f>
        <v>914917</v>
      </c>
      <c r="F138" s="147">
        <v>915056</v>
      </c>
      <c r="G138" s="431">
        <f t="shared" ref="G138:G152" si="10">F138-E138</f>
        <v>139</v>
      </c>
      <c r="H138" s="99">
        <f>G138+'17'!H138</f>
        <v>5655</v>
      </c>
      <c r="I138" s="118"/>
      <c r="J138" s="328">
        <f>H138/DAY(B2)</f>
        <v>314.16666666666669</v>
      </c>
    </row>
    <row r="139" spans="1:15" ht="27.75" customHeight="1">
      <c r="A139" s="882" t="s">
        <v>186</v>
      </c>
      <c r="B139" s="882"/>
      <c r="C139" s="882"/>
      <c r="D139" s="151" t="s">
        <v>183</v>
      </c>
      <c r="E139" s="95">
        <f>'17'!F139</f>
        <v>939762</v>
      </c>
      <c r="F139" s="148">
        <v>939916</v>
      </c>
      <c r="G139" s="431">
        <f t="shared" si="10"/>
        <v>154</v>
      </c>
      <c r="H139" s="99">
        <f>G139+'17'!H139</f>
        <v>2658</v>
      </c>
      <c r="I139" s="118"/>
      <c r="J139" s="328">
        <f>H139/DAY(B2)</f>
        <v>147.66666666666666</v>
      </c>
    </row>
    <row r="140" spans="1:15" ht="27.75" customHeight="1">
      <c r="A140" s="882" t="s">
        <v>187</v>
      </c>
      <c r="B140" s="882"/>
      <c r="C140" s="882"/>
      <c r="D140" s="151" t="s">
        <v>183</v>
      </c>
      <c r="E140" s="95">
        <f>'17'!F140</f>
        <v>5308</v>
      </c>
      <c r="F140" s="149">
        <v>5340</v>
      </c>
      <c r="G140" s="431">
        <f t="shared" si="10"/>
        <v>32</v>
      </c>
      <c r="H140" s="99">
        <f>G140+'17'!H140</f>
        <v>576</v>
      </c>
      <c r="I140" s="118"/>
      <c r="J140" s="328">
        <f>H140/DAY(B2)</f>
        <v>32</v>
      </c>
    </row>
    <row r="141" spans="1:15" ht="27.75" customHeight="1">
      <c r="A141" s="865" t="s">
        <v>188</v>
      </c>
      <c r="B141" s="865"/>
      <c r="C141" s="865"/>
      <c r="D141" s="151" t="s">
        <v>183</v>
      </c>
      <c r="E141" s="95">
        <f>'17'!F141</f>
        <v>135582</v>
      </c>
      <c r="F141" s="149">
        <v>135849.5</v>
      </c>
      <c r="G141" s="431">
        <f t="shared" si="10"/>
        <v>267.5</v>
      </c>
      <c r="H141" s="99">
        <f>G141+'17'!H141</f>
        <v>4529.5</v>
      </c>
      <c r="I141" s="118"/>
      <c r="J141" s="328">
        <f>H141/DAY(B2)</f>
        <v>251.63888888888889</v>
      </c>
    </row>
    <row r="142" spans="1:15" ht="27.75" customHeight="1">
      <c r="A142" s="865" t="s">
        <v>189</v>
      </c>
      <c r="B142" s="865"/>
      <c r="C142" s="865"/>
      <c r="D142" s="151" t="s">
        <v>183</v>
      </c>
      <c r="E142" s="95">
        <f>'17'!F142</f>
        <v>54720.87</v>
      </c>
      <c r="F142" s="148">
        <v>54819.1</v>
      </c>
      <c r="G142" s="431">
        <f t="shared" si="10"/>
        <v>98.229999999995925</v>
      </c>
      <c r="H142" s="99">
        <f>G142+'17'!H142</f>
        <v>1628.0999999999985</v>
      </c>
      <c r="I142" s="140"/>
      <c r="J142" s="328">
        <f>H142/DAY(B2)</f>
        <v>90.449999999999918</v>
      </c>
    </row>
    <row r="143" spans="1:15" ht="27.75" customHeight="1">
      <c r="A143" s="882" t="s">
        <v>91</v>
      </c>
      <c r="B143" s="882"/>
      <c r="C143" s="882"/>
      <c r="D143" s="151" t="s">
        <v>183</v>
      </c>
      <c r="E143" s="95">
        <f>'17'!F143</f>
        <v>14856</v>
      </c>
      <c r="F143" s="149">
        <v>14890.5</v>
      </c>
      <c r="G143" s="431">
        <f t="shared" si="10"/>
        <v>34.5</v>
      </c>
      <c r="H143" s="99">
        <f>G143+'17'!H143</f>
        <v>578.5</v>
      </c>
      <c r="I143" s="140"/>
      <c r="J143" s="328">
        <f>H143/DAY(B2)</f>
        <v>32.138888888888886</v>
      </c>
    </row>
    <row r="144" spans="1:15" ht="27.75" customHeight="1">
      <c r="A144" s="865" t="s">
        <v>90</v>
      </c>
      <c r="B144" s="865"/>
      <c r="C144" s="865"/>
      <c r="D144" s="151" t="s">
        <v>183</v>
      </c>
      <c r="E144" s="95">
        <f>'17'!F144</f>
        <v>967539</v>
      </c>
      <c r="F144" s="148">
        <v>967796</v>
      </c>
      <c r="G144" s="431">
        <f t="shared" si="10"/>
        <v>257</v>
      </c>
      <c r="H144" s="99">
        <f>G144+'17'!H144</f>
        <v>4570</v>
      </c>
      <c r="I144" s="140"/>
      <c r="J144" s="328">
        <f>H144/DAY(B2)</f>
        <v>253.88888888888889</v>
      </c>
    </row>
    <row r="145" spans="1:10" ht="27.75" customHeight="1">
      <c r="A145" s="882" t="s">
        <v>190</v>
      </c>
      <c r="B145" s="882"/>
      <c r="C145" s="882"/>
      <c r="D145" s="152" t="s">
        <v>183</v>
      </c>
      <c r="E145" s="95">
        <f>'17'!F145</f>
        <v>754324</v>
      </c>
      <c r="F145" s="149">
        <v>754559</v>
      </c>
      <c r="G145" s="431">
        <f t="shared" si="10"/>
        <v>235</v>
      </c>
      <c r="H145" s="99">
        <f>G145+'17'!H145</f>
        <v>3826</v>
      </c>
      <c r="I145" s="140"/>
      <c r="J145" s="328">
        <f>H145/DAY(B2)</f>
        <v>212.55555555555554</v>
      </c>
    </row>
    <row r="146" spans="1:10" ht="27.75" customHeight="1">
      <c r="A146" s="916" t="s">
        <v>191</v>
      </c>
      <c r="B146" s="902"/>
      <c r="C146" s="903"/>
      <c r="D146" s="152" t="s">
        <v>183</v>
      </c>
      <c r="E146" s="95">
        <f>'17'!F146</f>
        <v>789701</v>
      </c>
      <c r="F146" s="148">
        <v>789742</v>
      </c>
      <c r="G146" s="431">
        <f t="shared" si="10"/>
        <v>41</v>
      </c>
      <c r="H146" s="99">
        <f>G146+'17'!H146</f>
        <v>717</v>
      </c>
      <c r="I146" s="140"/>
      <c r="J146" s="328">
        <f>H146/DAY(B2)</f>
        <v>39.833333333333336</v>
      </c>
    </row>
    <row r="147" spans="1:10" ht="27.75" customHeight="1">
      <c r="A147" s="865" t="s">
        <v>192</v>
      </c>
      <c r="B147" s="865"/>
      <c r="C147" s="865"/>
      <c r="D147" s="152" t="s">
        <v>183</v>
      </c>
      <c r="E147" s="95">
        <f>'17'!F147</f>
        <v>778078</v>
      </c>
      <c r="F147" s="148">
        <v>778486.32</v>
      </c>
      <c r="G147" s="431">
        <f t="shared" si="10"/>
        <v>408.31999999994878</v>
      </c>
      <c r="H147" s="99">
        <f>G147+'17'!H147</f>
        <v>6829.4399999999441</v>
      </c>
      <c r="I147" s="140"/>
      <c r="J147" s="328">
        <f>H147/DAY(B2)</f>
        <v>379.41333333333023</v>
      </c>
    </row>
    <row r="148" spans="1:10" ht="27.75" customHeight="1">
      <c r="A148" s="866" t="s">
        <v>193</v>
      </c>
      <c r="B148" s="867"/>
      <c r="C148" s="868"/>
      <c r="D148" s="123" t="s">
        <v>130</v>
      </c>
      <c r="E148" s="95">
        <f>'17'!F148</f>
        <v>812796.11</v>
      </c>
      <c r="F148" s="150">
        <v>813241.04</v>
      </c>
      <c r="G148" s="431">
        <f t="shared" si="10"/>
        <v>444.93000000005122</v>
      </c>
      <c r="H148" s="99">
        <f>G148+'17'!H148</f>
        <v>6420.8000000000466</v>
      </c>
      <c r="I148" s="124"/>
      <c r="J148" s="328">
        <f>H148/DAY(B2)</f>
        <v>356.71111111111372</v>
      </c>
    </row>
    <row r="149" spans="1:10" ht="27.75" customHeight="1">
      <c r="A149" s="866" t="s">
        <v>336</v>
      </c>
      <c r="B149" s="867"/>
      <c r="C149" s="868"/>
      <c r="D149" s="227" t="s">
        <v>130</v>
      </c>
      <c r="E149" s="95">
        <f>'17'!F149</f>
        <v>224975.01</v>
      </c>
      <c r="F149" s="415">
        <v>225470.59</v>
      </c>
      <c r="G149" s="431">
        <f t="shared" si="10"/>
        <v>495.57999999998719</v>
      </c>
      <c r="H149" s="99">
        <f>G149+'17'!H149</f>
        <v>8574.5899999999965</v>
      </c>
      <c r="I149" s="119"/>
      <c r="J149" s="328">
        <f>H149/DAY(B2)</f>
        <v>476.36611111111091</v>
      </c>
    </row>
    <row r="150" spans="1:10" ht="27.75" customHeight="1">
      <c r="A150" s="866" t="s">
        <v>337</v>
      </c>
      <c r="B150" s="867"/>
      <c r="C150" s="868"/>
      <c r="D150" s="117" t="s">
        <v>130</v>
      </c>
      <c r="E150" s="95">
        <f>'17'!F150</f>
        <v>96996</v>
      </c>
      <c r="F150" s="405">
        <f>+E150+290</f>
        <v>97286</v>
      </c>
      <c r="G150" s="431">
        <f t="shared" si="10"/>
        <v>290</v>
      </c>
      <c r="H150" s="99">
        <f>G150+'17'!H150</f>
        <v>4326</v>
      </c>
      <c r="I150" s="119"/>
      <c r="J150" s="328">
        <f>H150/DAY(B2)</f>
        <v>240.33333333333334</v>
      </c>
    </row>
    <row r="151" spans="1:10" ht="27.75" customHeight="1">
      <c r="A151" s="866" t="s">
        <v>338</v>
      </c>
      <c r="B151" s="867"/>
      <c r="C151" s="868"/>
      <c r="D151" s="117" t="s">
        <v>130</v>
      </c>
      <c r="E151" s="95">
        <f>'17'!F151</f>
        <v>182098</v>
      </c>
      <c r="F151" s="233">
        <v>182467</v>
      </c>
      <c r="G151" s="431">
        <f t="shared" si="10"/>
        <v>369</v>
      </c>
      <c r="H151" s="99">
        <f>G151+'17'!H151</f>
        <v>6292</v>
      </c>
      <c r="I151" s="119"/>
      <c r="J151" s="328">
        <f>H151/DAY(B2)</f>
        <v>349.55555555555554</v>
      </c>
    </row>
    <row r="152" spans="1:10" ht="27.75" customHeight="1">
      <c r="A152" s="866" t="s">
        <v>339</v>
      </c>
      <c r="B152" s="867"/>
      <c r="C152" s="868"/>
      <c r="D152" s="117" t="s">
        <v>130</v>
      </c>
      <c r="E152" s="95">
        <f>'17'!F152</f>
        <v>48862</v>
      </c>
      <c r="F152" s="233">
        <v>48990.23</v>
      </c>
      <c r="G152" s="431">
        <f t="shared" si="10"/>
        <v>128.2300000000032</v>
      </c>
      <c r="H152" s="99">
        <f>G152+'17'!H152</f>
        <v>2358.2300000000032</v>
      </c>
      <c r="I152" s="119"/>
      <c r="J152" s="328">
        <f>H152/DAY(B2)</f>
        <v>131.01277777777796</v>
      </c>
    </row>
    <row r="153" spans="1:10" ht="27.75" customHeight="1">
      <c r="A153" s="788" t="s">
        <v>196</v>
      </c>
      <c r="B153" s="789"/>
      <c r="C153" s="365"/>
      <c r="D153" s="358"/>
      <c r="E153" s="360"/>
      <c r="F153" s="361"/>
      <c r="G153" s="453">
        <f>SUM(G138:G152)</f>
        <v>3394.2899999999863</v>
      </c>
      <c r="H153" s="363"/>
      <c r="I153" s="119">
        <f>G153-(G38+G52)</f>
        <v>732.56000000000495</v>
      </c>
      <c r="J153" s="366"/>
    </row>
    <row r="154" spans="1:10" ht="27.7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 customHeight="1">
      <c r="A155" s="865" t="s">
        <v>345</v>
      </c>
      <c r="B155" s="865"/>
      <c r="C155" s="865"/>
      <c r="D155" s="117" t="s">
        <v>130</v>
      </c>
      <c r="E155" s="95">
        <f>'17'!F155</f>
        <v>265734</v>
      </c>
      <c r="F155" s="388">
        <v>266239</v>
      </c>
      <c r="G155" s="431">
        <f t="shared" ref="G155:G157" si="11">F155-E155</f>
        <v>505</v>
      </c>
      <c r="H155" s="99">
        <f>G155+'17'!H155</f>
        <v>9887</v>
      </c>
      <c r="I155" s="364"/>
      <c r="J155" s="328">
        <f>H155/DAY(B2)</f>
        <v>549.27777777777783</v>
      </c>
    </row>
    <row r="156" spans="1:10" ht="27.75" customHeight="1">
      <c r="A156" s="865" t="s">
        <v>347</v>
      </c>
      <c r="B156" s="865"/>
      <c r="C156" s="865"/>
      <c r="D156" s="117" t="s">
        <v>130</v>
      </c>
      <c r="E156" s="95">
        <f>'17'!F156</f>
        <v>34196</v>
      </c>
      <c r="F156" s="155">
        <v>34285.9</v>
      </c>
      <c r="G156" s="431">
        <f t="shared" si="11"/>
        <v>89.900000000001455</v>
      </c>
      <c r="H156" s="99">
        <f>G156+'17'!H156</f>
        <v>1726.9000000000015</v>
      </c>
      <c r="I156" s="165"/>
      <c r="J156" s="328">
        <f>H156/DAY(B2)</f>
        <v>95.938888888888968</v>
      </c>
    </row>
    <row r="157" spans="1:10" ht="27.75" customHeight="1">
      <c r="A157" s="866" t="s">
        <v>359</v>
      </c>
      <c r="B157" s="867"/>
      <c r="C157" s="868"/>
      <c r="D157" s="117" t="s">
        <v>130</v>
      </c>
      <c r="E157" s="95">
        <f>'17'!F157</f>
        <v>2985</v>
      </c>
      <c r="F157" s="155">
        <v>3111.6</v>
      </c>
      <c r="G157" s="431">
        <f t="shared" si="11"/>
        <v>126.59999999999991</v>
      </c>
      <c r="H157" s="99">
        <f>G157+'17'!H157</f>
        <v>1219.5999999999999</v>
      </c>
      <c r="I157" s="165"/>
      <c r="J157" s="328">
        <f>H157/DAY(B2)</f>
        <v>67.755555555555546</v>
      </c>
    </row>
    <row r="158" spans="1:10" ht="27.75" customHeight="1">
      <c r="A158" s="866" t="s">
        <v>360</v>
      </c>
      <c r="B158" s="867"/>
      <c r="C158" s="868"/>
      <c r="D158" s="117" t="s">
        <v>130</v>
      </c>
      <c r="E158" s="95">
        <f>'17'!F158</f>
        <v>1790</v>
      </c>
      <c r="F158" s="155">
        <v>1790.52</v>
      </c>
      <c r="G158" s="431">
        <f t="shared" ref="G158" si="12">F158-E158</f>
        <v>0.51999999999998181</v>
      </c>
      <c r="H158" s="99">
        <f>G158+'17'!H158</f>
        <v>7.5199999999999818</v>
      </c>
      <c r="I158" s="165"/>
      <c r="J158" s="328">
        <f>H158/DAY(B2)</f>
        <v>0.41777777777777675</v>
      </c>
    </row>
    <row r="159" spans="1:10" ht="27.75" customHeight="1">
      <c r="A159" s="946"/>
      <c r="B159" s="947"/>
      <c r="C159" s="948"/>
      <c r="D159" s="117"/>
      <c r="E159" s="95"/>
      <c r="F159" s="165"/>
      <c r="G159" s="431"/>
      <c r="H159" s="99"/>
      <c r="I159" s="165"/>
      <c r="J159" s="328"/>
    </row>
    <row r="160" spans="1:10" ht="27.7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515041.2</v>
      </c>
      <c r="F161" s="235">
        <v>515219.64</v>
      </c>
      <c r="G161" s="454">
        <f t="shared" ref="G161:G165" si="13">F161-E161</f>
        <v>178.44000000000233</v>
      </c>
      <c r="H161" s="99">
        <f>G161+'17'!H161</f>
        <v>2774.640000000014</v>
      </c>
      <c r="I161" s="236"/>
      <c r="J161" s="239">
        <f>H161/DAY(B2)</f>
        <v>154.14666666666744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2478</v>
      </c>
      <c r="F162" s="235">
        <v>2529.3000000000002</v>
      </c>
      <c r="G162" s="454">
        <f t="shared" si="13"/>
        <v>51.300000000000182</v>
      </c>
      <c r="H162" s="99">
        <f>G162+'17'!H162</f>
        <v>769.30000000000018</v>
      </c>
      <c r="I162" s="236"/>
      <c r="J162" s="239">
        <f>H162/DAY(B2)</f>
        <v>42.738888888888901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0</v>
      </c>
      <c r="F163" s="235">
        <v>0</v>
      </c>
      <c r="G163" s="454">
        <f t="shared" si="13"/>
        <v>0</v>
      </c>
      <c r="H163" s="99">
        <f>G163+'17'!H163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7385</v>
      </c>
      <c r="F164" s="235">
        <v>7386.5</v>
      </c>
      <c r="G164" s="454">
        <f t="shared" si="13"/>
        <v>1.5</v>
      </c>
      <c r="H164" s="99">
        <f>G164+'17'!H164</f>
        <v>49.5</v>
      </c>
      <c r="I164" s="236"/>
      <c r="J164" s="239">
        <f>H164/DAY(B2)</f>
        <v>2.75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33097.1</v>
      </c>
      <c r="F165" s="235">
        <v>33103.22</v>
      </c>
      <c r="G165" s="454">
        <f t="shared" si="13"/>
        <v>6.1200000000026193</v>
      </c>
      <c r="H165" s="99">
        <f>G165+'17'!H165</f>
        <v>128.70000000000437</v>
      </c>
      <c r="I165" s="236"/>
      <c r="J165" s="239">
        <f>H165/DAY(B2)</f>
        <v>7.1500000000002428</v>
      </c>
    </row>
    <row r="166" spans="1:10" ht="27.75" customHeight="1">
      <c r="A166" s="872"/>
      <c r="B166" s="872"/>
      <c r="C166" s="246"/>
      <c r="D166" s="244" t="s">
        <v>180</v>
      </c>
      <c r="E166" s="95">
        <f>'17'!F166</f>
        <v>0</v>
      </c>
      <c r="F166" s="165"/>
      <c r="G166" s="45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72"/>
      <c r="B167" s="872"/>
      <c r="C167" s="246"/>
      <c r="D167" s="244" t="s">
        <v>180</v>
      </c>
      <c r="E167" s="95">
        <f>'17'!F167</f>
        <v>0</v>
      </c>
      <c r="F167" s="165"/>
      <c r="G167" s="45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72"/>
      <c r="B168" s="872"/>
      <c r="C168" s="246"/>
      <c r="D168" s="244" t="s">
        <v>180</v>
      </c>
      <c r="E168" s="95">
        <f>'17'!F168</f>
        <v>0</v>
      </c>
      <c r="F168" s="165"/>
      <c r="G168" s="45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7.75" customHeight="1">
      <c r="A172" s="880"/>
      <c r="B172" s="881"/>
      <c r="C172" s="332"/>
      <c r="D172" s="228"/>
      <c r="E172" s="155"/>
      <c r="F172" s="155"/>
      <c r="G172" s="455"/>
      <c r="H172" s="156"/>
      <c r="I172" s="155"/>
      <c r="J172" s="178"/>
    </row>
    <row r="173" spans="1:10" ht="27.75" customHeight="1">
      <c r="A173" s="790" t="s">
        <v>209</v>
      </c>
      <c r="B173" s="791"/>
      <c r="C173" s="333"/>
      <c r="D173" s="228" t="s">
        <v>142</v>
      </c>
      <c r="E173" s="95">
        <f>'17'!F173</f>
        <v>8601</v>
      </c>
      <c r="F173" s="155">
        <v>8602</v>
      </c>
      <c r="G173" s="455">
        <f>F173-E173</f>
        <v>1</v>
      </c>
      <c r="H173" s="99">
        <f>G173+'17'!H173</f>
        <v>20</v>
      </c>
      <c r="I173" s="155"/>
      <c r="J173" s="178">
        <f>H173/DAY(B2)</f>
        <v>1.1111111111111112</v>
      </c>
    </row>
    <row r="174" spans="1:10" ht="27.75" customHeight="1">
      <c r="A174" s="790" t="s">
        <v>75</v>
      </c>
      <c r="B174" s="791"/>
      <c r="C174" s="333"/>
      <c r="D174" s="228" t="s">
        <v>142</v>
      </c>
      <c r="E174" s="95">
        <f>'17'!F174</f>
        <v>43569</v>
      </c>
      <c r="F174" s="157">
        <v>43579</v>
      </c>
      <c r="G174" s="455">
        <f t="shared" ref="G174:G175" si="14">F174-E174</f>
        <v>10</v>
      </c>
      <c r="H174" s="99">
        <f>G174+'17'!H174</f>
        <v>165</v>
      </c>
      <c r="I174" s="155"/>
      <c r="J174" s="178">
        <f>H174/DAY(B2)</f>
        <v>9.1666666666666661</v>
      </c>
    </row>
    <row r="175" spans="1:10" ht="27.75" customHeight="1">
      <c r="A175" s="790" t="s">
        <v>76</v>
      </c>
      <c r="B175" s="803"/>
      <c r="C175" s="791"/>
      <c r="D175" s="228" t="s">
        <v>142</v>
      </c>
      <c r="E175" s="95">
        <f>'17'!F175</f>
        <v>26508</v>
      </c>
      <c r="F175" s="155">
        <v>26525</v>
      </c>
      <c r="G175" s="455">
        <f t="shared" si="14"/>
        <v>17</v>
      </c>
      <c r="H175" s="99">
        <f>G175+'17'!H175</f>
        <v>238</v>
      </c>
      <c r="I175" s="155"/>
      <c r="J175" s="178">
        <f>H175/DAY(B2)</f>
        <v>13.222222222222221</v>
      </c>
    </row>
    <row r="176" spans="1:10" ht="27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455">
        <f>SUM(G173:G175)</f>
        <v>28</v>
      </c>
      <c r="H176" s="99">
        <f>G176+'17'!H176</f>
        <v>423</v>
      </c>
      <c r="I176" s="155"/>
      <c r="J176" s="178">
        <f>H176/DAY(B2)</f>
        <v>23.5</v>
      </c>
    </row>
    <row r="177" spans="1:11" ht="27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45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790" t="s">
        <v>210</v>
      </c>
      <c r="B178" s="791"/>
      <c r="C178" s="333"/>
      <c r="D178" s="228" t="s">
        <v>142</v>
      </c>
      <c r="E178" s="95">
        <f>'17'!F178</f>
        <v>112171</v>
      </c>
      <c r="F178" s="155">
        <v>112285</v>
      </c>
      <c r="G178" s="455">
        <f>F178-E178</f>
        <v>114</v>
      </c>
      <c r="H178" s="99">
        <f>G178+'17'!H178</f>
        <v>1894</v>
      </c>
      <c r="I178" s="155"/>
      <c r="J178" s="178">
        <f>H178/DAY(B2)</f>
        <v>105.22222222222223</v>
      </c>
    </row>
    <row r="179" spans="1:11" ht="27.75" customHeight="1">
      <c r="A179" s="790" t="s">
        <v>211</v>
      </c>
      <c r="B179" s="791"/>
      <c r="C179" s="333"/>
      <c r="D179" s="228" t="s">
        <v>142</v>
      </c>
      <c r="E179" s="95">
        <f>'17'!F179</f>
        <v>37501</v>
      </c>
      <c r="F179" s="155">
        <v>37501</v>
      </c>
      <c r="G179" s="455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790" t="s">
        <v>212</v>
      </c>
      <c r="B180" s="791"/>
      <c r="C180" s="333"/>
      <c r="D180" s="228" t="s">
        <v>142</v>
      </c>
      <c r="E180" s="95">
        <f>'17'!F180</f>
        <v>7770</v>
      </c>
      <c r="F180" s="155">
        <v>7778</v>
      </c>
      <c r="G180" s="455">
        <f t="shared" si="15"/>
        <v>8</v>
      </c>
      <c r="H180" s="99">
        <f>G180+'17'!H180</f>
        <v>77</v>
      </c>
      <c r="I180" s="155"/>
      <c r="J180" s="178">
        <f>H180/DAY(B2)</f>
        <v>4.2777777777777777</v>
      </c>
    </row>
    <row r="181" spans="1:11" ht="27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455">
        <f>SUM(G178:G180)</f>
        <v>122</v>
      </c>
      <c r="H181" s="99">
        <f>G181+'17'!H181</f>
        <v>1971</v>
      </c>
      <c r="I181" s="155"/>
      <c r="J181" s="178">
        <f>H181/DAY(B2)</f>
        <v>109.5</v>
      </c>
    </row>
    <row r="182" spans="1:11" ht="27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45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790" t="s">
        <v>214</v>
      </c>
      <c r="B183" s="791"/>
      <c r="C183" s="334"/>
      <c r="D183" s="228" t="s">
        <v>142</v>
      </c>
      <c r="E183" s="95">
        <f>'17'!F183</f>
        <v>18797</v>
      </c>
      <c r="F183" s="157">
        <v>18803</v>
      </c>
      <c r="G183" s="456">
        <f>F183-E183</f>
        <v>6</v>
      </c>
      <c r="H183" s="99">
        <f>G183+'17'!H183</f>
        <v>111</v>
      </c>
      <c r="I183" s="155"/>
      <c r="J183" s="178">
        <f>H183/DAY(B2)</f>
        <v>6.166666666666667</v>
      </c>
    </row>
    <row r="184" spans="1:11" ht="27.75" customHeight="1">
      <c r="A184" s="790" t="s">
        <v>215</v>
      </c>
      <c r="B184" s="791"/>
      <c r="C184" s="334"/>
      <c r="D184" s="228" t="s">
        <v>142</v>
      </c>
      <c r="E184" s="95">
        <f>'17'!F184</f>
        <v>13371</v>
      </c>
      <c r="F184" s="157">
        <v>13381</v>
      </c>
      <c r="G184" s="456">
        <f t="shared" ref="G184:G185" si="16">F184-E184</f>
        <v>10</v>
      </c>
      <c r="H184" s="99">
        <f>G184+'17'!H184</f>
        <v>135</v>
      </c>
      <c r="I184" s="155"/>
      <c r="J184" s="178">
        <f>H184/DAY(B2)</f>
        <v>7.5</v>
      </c>
    </row>
    <row r="185" spans="1:11" ht="27.75" customHeight="1">
      <c r="A185" s="790" t="s">
        <v>216</v>
      </c>
      <c r="B185" s="791"/>
      <c r="C185" s="334"/>
      <c r="D185" s="228" t="s">
        <v>142</v>
      </c>
      <c r="E185" s="95">
        <f>'17'!F185</f>
        <v>0</v>
      </c>
      <c r="F185" s="157"/>
      <c r="G185" s="45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788" t="s">
        <v>196</v>
      </c>
      <c r="B186" s="789"/>
      <c r="C186" s="399"/>
      <c r="D186" s="228" t="s">
        <v>142</v>
      </c>
      <c r="E186" s="95"/>
      <c r="F186" s="157"/>
      <c r="G186" s="456">
        <f>SUM(G183:G185)</f>
        <v>16</v>
      </c>
      <c r="H186" s="99">
        <f>G186+'17'!H186</f>
        <v>246</v>
      </c>
      <c r="I186" s="157"/>
      <c r="J186" s="178">
        <f>H186/DAY(B2)</f>
        <v>13.666666666666666</v>
      </c>
    </row>
    <row r="187" spans="1:11" ht="27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457">
        <f>G62+G19</f>
        <v>147</v>
      </c>
      <c r="H187" s="99">
        <f>G187+'17'!H187</f>
        <v>2379</v>
      </c>
      <c r="I187" s="158"/>
      <c r="J187" s="179">
        <f>H187/DAY(B2)</f>
        <v>132.16666666666666</v>
      </c>
    </row>
    <row r="188" spans="1:11" ht="27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457">
        <f>G65+G66+G67+G69+G70</f>
        <v>211</v>
      </c>
      <c r="H188" s="99">
        <f>G188+'17'!H188</f>
        <v>759</v>
      </c>
      <c r="I188" s="158"/>
      <c r="J188" s="179">
        <f>H188/DAY(B2)</f>
        <v>42.166666666666664</v>
      </c>
    </row>
    <row r="189" spans="1:11" ht="27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457">
        <f>G181</f>
        <v>122</v>
      </c>
      <c r="H189" s="99">
        <f>G189+'17'!H189</f>
        <v>1971</v>
      </c>
      <c r="I189" s="158"/>
      <c r="J189" s="179">
        <f>H189/DAY(B2)</f>
        <v>109.5</v>
      </c>
    </row>
    <row r="190" spans="1:11" ht="23.25" customHeight="1">
      <c r="A190" s="245"/>
      <c r="B190" s="246"/>
      <c r="C190" s="246"/>
      <c r="D190" s="165"/>
      <c r="E190" s="165"/>
      <c r="F190" s="155"/>
      <c r="G190" s="451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4" zoomScale="50" zoomScaleNormal="40" zoomScaleSheetLayoutView="50" zoomScalePageLayoutView="60" workbookViewId="0">
      <selection activeCell="F158" sqref="F15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349</v>
      </c>
      <c r="B2" s="262">
        <v>44611</v>
      </c>
      <c r="C2" s="348" t="s">
        <v>67</v>
      </c>
      <c r="D2" s="218">
        <v>0.82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0" t="s">
        <v>119</v>
      </c>
      <c r="F3" s="931"/>
      <c r="G3" s="47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24103</v>
      </c>
      <c r="F7" s="95">
        <v>46130</v>
      </c>
      <c r="G7" s="474">
        <f>F7-E7</f>
        <v>22027</v>
      </c>
      <c r="H7" s="99">
        <f>G7+'18 '!H7</f>
        <v>422763</v>
      </c>
      <c r="I7" s="113">
        <f>'1'!I7</f>
        <v>12000</v>
      </c>
      <c r="J7" s="175">
        <f>H7/DAY(B2)</f>
        <v>22250.684210526317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226452</v>
      </c>
      <c r="F8" s="114">
        <v>248936</v>
      </c>
      <c r="G8" s="475">
        <f>F8-E8</f>
        <v>22484</v>
      </c>
      <c r="H8" s="99">
        <f>G8+'18 '!H8</f>
        <v>432826</v>
      </c>
      <c r="I8" s="116"/>
      <c r="J8" s="175">
        <f>H8/DAY(B2)</f>
        <v>22780.315789473683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5051245.5</v>
      </c>
      <c r="F9" s="468">
        <v>5063274</v>
      </c>
      <c r="G9" s="474">
        <f>F9-E9</f>
        <v>12028.5</v>
      </c>
      <c r="H9" s="99">
        <f>G9+'18 '!H9</f>
        <v>238175</v>
      </c>
      <c r="I9" s="124">
        <f>I7-J7</f>
        <v>-10250.684210526317</v>
      </c>
      <c r="J9" s="175">
        <f>H9/DAY(B2)</f>
        <v>12535.526315789473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4455308.7</v>
      </c>
      <c r="F10" s="353">
        <v>4464733.9000000004</v>
      </c>
      <c r="G10" s="474">
        <f t="shared" ref="G10:G12" si="0">F10-E10</f>
        <v>9425.2000000001863</v>
      </c>
      <c r="H10" s="99">
        <f>G10+'18 '!H10</f>
        <v>174199.90000000037</v>
      </c>
      <c r="I10" s="282"/>
      <c r="J10" s="175">
        <f>H10/DAY(B2)</f>
        <v>9168.4157894737036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38700</v>
      </c>
      <c r="F11" s="95">
        <v>38700</v>
      </c>
      <c r="G11" s="474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40550</v>
      </c>
      <c r="F12" s="117">
        <v>40550</v>
      </c>
      <c r="G12" s="474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6">
        <f>G9+G10+G11+G12</f>
        <v>21453.700000000186</v>
      </c>
      <c r="H13" s="99">
        <f>G13+'18 '!H13</f>
        <v>412374.90000000037</v>
      </c>
      <c r="I13" s="120">
        <f>G7-G13</f>
        <v>573.29999999981374</v>
      </c>
      <c r="J13" s="175">
        <f>H13/DAY(B2)</f>
        <v>21703.942105263177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'18 '!F15</f>
        <v>2307848</v>
      </c>
      <c r="F15" s="468">
        <f>+E15+1250</f>
        <v>2309098</v>
      </c>
      <c r="G15" s="474">
        <f>(F15-E15)</f>
        <v>1250</v>
      </c>
      <c r="H15" s="99">
        <f>G15+'18 '!H15</f>
        <v>20624.285000000149</v>
      </c>
      <c r="I15" s="113">
        <f>'1'!I15</f>
        <v>800</v>
      </c>
      <c r="J15" s="175">
        <f>H15/DAY(B2)</f>
        <v>1085.4886842105341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4" t="s">
        <v>207</v>
      </c>
      <c r="H16" s="124"/>
      <c r="I16" s="120">
        <f>I15-J15</f>
        <v>-285.48868421053407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'18 '!F18</f>
        <v>18</v>
      </c>
      <c r="F18" s="122">
        <v>19</v>
      </c>
      <c r="G18" s="476">
        <f>F18*10</f>
        <v>190</v>
      </c>
      <c r="H18" s="99">
        <f>G18+'18 '!H18</f>
        <v>3230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'18 '!F19</f>
        <v>172263</v>
      </c>
      <c r="F19" s="747">
        <v>172312</v>
      </c>
      <c r="G19" s="474">
        <f>F19-E19</f>
        <v>49</v>
      </c>
      <c r="H19" s="99">
        <f>G19+'18 '!H19</f>
        <v>989</v>
      </c>
      <c r="I19" s="335"/>
      <c r="J19" s="175">
        <f>H19/DAY(B2)</f>
        <v>52.05263157894737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8">
        <f>G18+G19</f>
        <v>239</v>
      </c>
      <c r="H20" s="99">
        <f>G20+'18 '!H20</f>
        <v>4219</v>
      </c>
      <c r="I20" s="336">
        <f>I18-J20</f>
        <v>-157.05263157894737</v>
      </c>
      <c r="J20" s="175">
        <f>H20/DAY(B2)</f>
        <v>222.05263157894737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6">
        <f t="shared" ref="G22" si="1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1860</v>
      </c>
      <c r="F23" s="122">
        <v>1860</v>
      </c>
      <c r="G23" s="476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4830</v>
      </c>
      <c r="F24" s="128">
        <f>SUM(F22:F23)</f>
        <v>4830</v>
      </c>
      <c r="G24" s="476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22484</v>
      </c>
      <c r="F27" s="136">
        <v>10</v>
      </c>
      <c r="G27" s="481">
        <f>E27*F27</f>
        <v>224840</v>
      </c>
      <c r="H27" s="99">
        <f>G27+'18 '!H27</f>
        <v>4328260</v>
      </c>
      <c r="I27" s="138"/>
      <c r="J27" s="175">
        <f>H27/DAY(B2)</f>
        <v>227803.15789473685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1250</v>
      </c>
      <c r="F28" s="136">
        <v>63</v>
      </c>
      <c r="G28" s="481">
        <f>E28*F28</f>
        <v>78750</v>
      </c>
      <c r="H28" s="99">
        <f>G28+'18 '!H28</f>
        <v>1318751.4100000104</v>
      </c>
      <c r="I28" s="140"/>
      <c r="J28" s="175">
        <f>H28/DAY(B2)</f>
        <v>69407.968947368965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G29+'18 '!H29</f>
        <v>6900</v>
      </c>
      <c r="I29" s="140"/>
      <c r="J29" s="175">
        <f>H29/DAY(B2)</f>
        <v>363.15789473684208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155</v>
      </c>
      <c r="G30" s="481">
        <f>E30*F30</f>
        <v>7595</v>
      </c>
      <c r="H30" s="99">
        <f>G30+'18 '!H30</f>
        <v>151975</v>
      </c>
      <c r="I30" s="140"/>
      <c r="J30" s="175">
        <f>H30/DAY(B2)</f>
        <v>7998.6842105263158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88</v>
      </c>
      <c r="G31" s="481">
        <f>E31*F31</f>
        <v>16720</v>
      </c>
      <c r="H31" s="99">
        <f>G31+'18 '!H31</f>
        <v>280580</v>
      </c>
      <c r="I31" s="140"/>
      <c r="J31" s="175">
        <f>H31/DAY(B2)</f>
        <v>14767.368421052632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2">
        <f>G27+G28+G29+G30+G31</f>
        <v>327905</v>
      </c>
      <c r="H32" s="99">
        <f>G32+'18 '!H32</f>
        <v>6086466.4100000104</v>
      </c>
      <c r="I32" s="144"/>
      <c r="J32" s="175">
        <f>H32/DAY(B2)</f>
        <v>320340.33736842161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577493.03</v>
      </c>
      <c r="F35" s="145">
        <v>580254.06999999995</v>
      </c>
      <c r="G35" s="474">
        <f t="shared" ref="G35:G46" si="2">F35-E35</f>
        <v>2761.0399999999208</v>
      </c>
      <c r="H35" s="99">
        <f>G35+'18 '!H35</f>
        <v>50198.069999999949</v>
      </c>
      <c r="I35" s="95"/>
      <c r="J35" s="175">
        <f>H35/DAY(B2)</f>
        <v>2642.0036842105237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400582.91</v>
      </c>
      <c r="F36" s="145">
        <v>401651.55</v>
      </c>
      <c r="G36" s="474">
        <f t="shared" si="2"/>
        <v>1068.640000000014</v>
      </c>
      <c r="H36" s="99">
        <f>G36+'18 '!H36</f>
        <v>19830.549999999988</v>
      </c>
      <c r="I36" s="95"/>
      <c r="J36" s="175">
        <f>H36/DAY(B2)</f>
        <v>1043.7131578947362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409267.549</v>
      </c>
      <c r="F37" s="145">
        <v>410624.03</v>
      </c>
      <c r="G37" s="474">
        <f t="shared" si="2"/>
        <v>1356.4810000000289</v>
      </c>
      <c r="H37" s="99">
        <f>G37+'18 '!H37</f>
        <v>27005.030000000028</v>
      </c>
      <c r="I37" s="95"/>
      <c r="J37" s="175">
        <f>H37/DAY(B2)</f>
        <v>1421.3173684210542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924161.73</v>
      </c>
      <c r="F38" s="108">
        <v>926740.23</v>
      </c>
      <c r="G38" s="474">
        <f t="shared" si="2"/>
        <v>2578.5</v>
      </c>
      <c r="H38" s="99">
        <f>G38+'18 '!H38</f>
        <v>49613.229999999981</v>
      </c>
      <c r="I38" s="95"/>
      <c r="J38" s="175">
        <f>H38/DAY(B2)</f>
        <v>2611.2226315789462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757164.07</v>
      </c>
      <c r="F39" s="145">
        <v>760058.47</v>
      </c>
      <c r="G39" s="474">
        <f t="shared" si="2"/>
        <v>2894.4000000000233</v>
      </c>
      <c r="H39" s="99">
        <f>G39+'18 '!H39</f>
        <v>53922.469999999972</v>
      </c>
      <c r="I39" s="95"/>
      <c r="J39" s="175">
        <f>H39/DAY(B2)</f>
        <v>2838.0247368421037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222202.72</v>
      </c>
      <c r="F40" s="418">
        <v>222403.15</v>
      </c>
      <c r="G40" s="474">
        <f t="shared" si="2"/>
        <v>200.42999999999302</v>
      </c>
      <c r="H40" s="99">
        <f>G40+'18 '!H40</f>
        <v>4611.1499999999942</v>
      </c>
      <c r="I40" s="95"/>
      <c r="J40" s="175">
        <f>H40/DAY(B2)</f>
        <v>242.6921052631576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420212.51</v>
      </c>
      <c r="F41" s="145">
        <v>420212.51</v>
      </c>
      <c r="G41" s="474">
        <f t="shared" si="2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983983</v>
      </c>
      <c r="F42" s="145">
        <v>984716</v>
      </c>
      <c r="G42" s="474">
        <f t="shared" si="2"/>
        <v>733</v>
      </c>
      <c r="H42" s="99">
        <f>G42+'18 '!H42</f>
        <v>11653.369999999995</v>
      </c>
      <c r="I42" s="95"/>
      <c r="J42" s="175">
        <f>H42/DAY(B2)</f>
        <v>613.33526315789447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422444</v>
      </c>
      <c r="F43" s="145">
        <v>422444</v>
      </c>
      <c r="G43" s="474">
        <f t="shared" si="2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4">
        <f t="shared" si="2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4">
        <f t="shared" si="2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4">
        <f t="shared" si="2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11592.49099999998</v>
      </c>
      <c r="H47" s="99">
        <f>G47+'18 '!H47</f>
        <v>216833.86999999991</v>
      </c>
      <c r="I47" s="95"/>
      <c r="J47" s="175">
        <f>H47/DAY(B2)</f>
        <v>11412.308947368416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832555.35</v>
      </c>
      <c r="F49" s="145">
        <v>833099.5</v>
      </c>
      <c r="G49" s="474">
        <f t="shared" ref="G49:G58" si="3">F49-E49</f>
        <v>544.15000000002328</v>
      </c>
      <c r="H49" s="99">
        <f>G49+'18 '!H49</f>
        <v>10187.5</v>
      </c>
      <c r="I49" s="95"/>
      <c r="J49" s="175">
        <f>H49/DAY(B2)</f>
        <v>536.18421052631584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568210.18999999994</v>
      </c>
      <c r="F50" s="145">
        <v>569660.59</v>
      </c>
      <c r="G50" s="474">
        <f t="shared" si="3"/>
        <v>1450.4000000000233</v>
      </c>
      <c r="H50" s="99">
        <f>G50+'18 '!H50</f>
        <v>27686.589999999967</v>
      </c>
      <c r="I50" s="95"/>
      <c r="J50" s="175">
        <f>H50/DAY(B2)</f>
        <v>1457.1889473684193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156958.44</v>
      </c>
      <c r="F51" s="145">
        <v>156958.44</v>
      </c>
      <c r="G51" s="474">
        <f t="shared" si="3"/>
        <v>0</v>
      </c>
      <c r="H51" s="99">
        <f>G51+'18 '!H51</f>
        <v>0.44000000000232831</v>
      </c>
      <c r="I51" s="95"/>
      <c r="J51" s="175">
        <f>H51/DAY(B2)</f>
        <v>2.3157894736964647E-2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1457.43</v>
      </c>
      <c r="F52" s="145">
        <v>1457.43</v>
      </c>
      <c r="G52" s="474">
        <f t="shared" si="3"/>
        <v>0</v>
      </c>
      <c r="H52" s="99">
        <f>G52+'18 '!H52</f>
        <v>0.43000000000006366</v>
      </c>
      <c r="I52" s="95"/>
      <c r="J52" s="175">
        <f>H52/DAY(B2)</f>
        <v>2.2631578947371771E-2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630355</v>
      </c>
      <c r="F53" s="145">
        <v>630355.03</v>
      </c>
      <c r="G53" s="474">
        <f t="shared" si="3"/>
        <v>3.0000000027939677E-2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129708.82</v>
      </c>
      <c r="F54" s="145">
        <v>129988.74</v>
      </c>
      <c r="G54" s="474">
        <f t="shared" si="3"/>
        <v>279.91999999999825</v>
      </c>
      <c r="H54" s="99">
        <f>G54+'18 '!H54</f>
        <v>5874.5299999999988</v>
      </c>
      <c r="I54" s="95"/>
      <c r="J54" s="175">
        <f>H54/DAY(B2)</f>
        <v>309.18578947368417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616444.18999999994</v>
      </c>
      <c r="F55" s="145">
        <v>619968.63</v>
      </c>
      <c r="G55" s="474">
        <f t="shared" si="3"/>
        <v>3524.4400000000605</v>
      </c>
      <c r="H55" s="99">
        <f>G55+'18 '!H55</f>
        <v>25663.880000000005</v>
      </c>
      <c r="I55" s="95"/>
      <c r="J55" s="175">
        <f>H55/DAY(B2)</f>
        <v>1350.7305263157898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405435.55</v>
      </c>
      <c r="F56" s="145">
        <v>405435.55</v>
      </c>
      <c r="G56" s="474">
        <f t="shared" si="3"/>
        <v>0</v>
      </c>
      <c r="H56" s="99">
        <f>G56+'18 '!H56</f>
        <v>32315.549999999988</v>
      </c>
      <c r="I56" s="95"/>
      <c r="J56" s="175">
        <f>H56/DAY(B2)</f>
        <v>1700.818421052631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754522.1</v>
      </c>
      <c r="F57" s="145">
        <v>756889.9</v>
      </c>
      <c r="G57" s="474">
        <f t="shared" si="3"/>
        <v>2367.8000000000466</v>
      </c>
      <c r="H57" s="99">
        <f>G57+'18 '!H57</f>
        <v>49191.900000000023</v>
      </c>
      <c r="I57" s="95"/>
      <c r="J57" s="175">
        <f>H57/DAY(B2)</f>
        <v>2589.0473684210538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98633.94</v>
      </c>
      <c r="F58" s="145">
        <v>98947.199999999997</v>
      </c>
      <c r="G58" s="474">
        <f t="shared" si="3"/>
        <v>313.25999999999476</v>
      </c>
      <c r="H58" s="99">
        <f>G58+'18 '!H58</f>
        <v>4377.3799999999901</v>
      </c>
      <c r="I58" s="95"/>
      <c r="J58" s="175">
        <f>H58/DAY(B2)</f>
        <v>230.38842105263106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8480.0000000001746</v>
      </c>
      <c r="H59" s="99">
        <f>G59+'18 '!H59</f>
        <v>155298.19999999998</v>
      </c>
      <c r="I59" s="95">
        <f>G7-G60</f>
        <v>1954.5089999998454</v>
      </c>
      <c r="J59" s="175">
        <f>H59/DAY(B2)</f>
        <v>8173.5894736842092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6">
        <f>G47+G59</f>
        <v>20072.491000000155</v>
      </c>
      <c r="H60" s="99">
        <f>G60+'18 '!H60</f>
        <v>372132.06999999989</v>
      </c>
      <c r="I60" s="95">
        <f>G13-G60</f>
        <v>1381.2090000000317</v>
      </c>
      <c r="J60" s="175">
        <f>H60/DAY(B2)</f>
        <v>19585.898421052625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'18 '!F62</f>
        <v>317116</v>
      </c>
      <c r="F62" s="122">
        <v>317190</v>
      </c>
      <c r="G62" s="474">
        <f t="shared" ref="G62:G63" si="4">F62-E62</f>
        <v>74</v>
      </c>
      <c r="H62" s="99">
        <f>G62+'18 '!H62</f>
        <v>1513</v>
      </c>
      <c r="I62" s="118"/>
      <c r="J62" s="175">
        <f>H62/DAY(B2)</f>
        <v>79.631578947368425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'18 '!F63</f>
        <v>253924</v>
      </c>
      <c r="F63" s="122">
        <v>254034</v>
      </c>
      <c r="G63" s="474">
        <f t="shared" si="4"/>
        <v>110</v>
      </c>
      <c r="H63" s="99">
        <f>G63+'18 '!H63</f>
        <v>1710</v>
      </c>
      <c r="I63" s="118"/>
      <c r="J63" s="175">
        <f>H63/DAY(B2)</f>
        <v>90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'18 '!F64</f>
        <v>0</v>
      </c>
      <c r="F64" s="122"/>
      <c r="G64" s="474">
        <f>G62+G63</f>
        <v>184</v>
      </c>
      <c r="H64" s="99">
        <f>G64+'18 '!H64</f>
        <v>3223</v>
      </c>
      <c r="I64" s="118"/>
      <c r="J64" s="175">
        <f>H64/DAY(B2)</f>
        <v>169.63157894736841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'18 '!F65</f>
        <v>478191</v>
      </c>
      <c r="F65" s="122">
        <v>478299</v>
      </c>
      <c r="G65" s="474">
        <f t="shared" ref="G65:G70" si="5">F65-E65</f>
        <v>108</v>
      </c>
      <c r="H65" s="99">
        <f>G65+'18 '!H65</f>
        <v>2396</v>
      </c>
      <c r="I65" s="118"/>
      <c r="J65" s="175">
        <f>H65/DAY(B2)</f>
        <v>126.10526315789474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114726</v>
      </c>
      <c r="F66" s="122">
        <v>114738</v>
      </c>
      <c r="G66" s="474">
        <f t="shared" si="5"/>
        <v>12</v>
      </c>
      <c r="H66" s="99">
        <f>G66+'18 '!H66</f>
        <v>272</v>
      </c>
      <c r="I66" s="118"/>
      <c r="J66" s="175">
        <f>H66/DAY(B2)</f>
        <v>14.315789473684211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117727</v>
      </c>
      <c r="F67" s="122">
        <v>117747</v>
      </c>
      <c r="G67" s="474">
        <f t="shared" si="5"/>
        <v>20</v>
      </c>
      <c r="H67" s="99">
        <f>G67+'18 '!H67</f>
        <v>465</v>
      </c>
      <c r="I67" s="118"/>
      <c r="J67" s="175">
        <f>H67/DAY(B2)</f>
        <v>24.473684210526315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170277</v>
      </c>
      <c r="F68" s="122">
        <v>170299</v>
      </c>
      <c r="G68" s="474">
        <f t="shared" si="5"/>
        <v>22</v>
      </c>
      <c r="H68" s="99">
        <f>G68+'18 '!H68</f>
        <v>349</v>
      </c>
      <c r="I68" s="118"/>
      <c r="J68" s="175">
        <f>H68/DAY(B2)</f>
        <v>18.368421052631579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13298</v>
      </c>
      <c r="F69" s="122">
        <v>13301</v>
      </c>
      <c r="G69" s="474">
        <f t="shared" si="5"/>
        <v>3</v>
      </c>
      <c r="H69" s="99">
        <f>G69+'18 '!H69</f>
        <v>89</v>
      </c>
      <c r="I69" s="118"/>
      <c r="J69" s="175">
        <f>H69/DAY(B2)</f>
        <v>4.6842105263157894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11389</v>
      </c>
      <c r="F70" s="122">
        <v>11394</v>
      </c>
      <c r="G70" s="474">
        <f t="shared" si="5"/>
        <v>5</v>
      </c>
      <c r="H70" s="99">
        <f>G70+'18 '!H70</f>
        <v>136</v>
      </c>
      <c r="I70" s="118"/>
      <c r="J70" s="175">
        <f>H70/DAY(B2)</f>
        <v>7.1578947368421053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95">
        <f>'18 '!F71</f>
        <v>0</v>
      </c>
      <c r="F71" s="152"/>
      <c r="G71" s="486">
        <f>SUM(G65:G70)</f>
        <v>170</v>
      </c>
      <c r="H71" s="99">
        <f>G71+'18 '!H71</f>
        <v>3707</v>
      </c>
      <c r="I71" s="154"/>
      <c r="J71" s="175">
        <f>H71/DAY(B2)</f>
        <v>195.10526315789474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'18 '!F74</f>
        <v>17900.560000000001</v>
      </c>
      <c r="F74" s="117">
        <v>18206.07</v>
      </c>
      <c r="G74" s="474">
        <f t="shared" ref="G74:G78" si="6">F74-E74</f>
        <v>305.5099999999984</v>
      </c>
      <c r="H74" s="99">
        <f>G74+'18 '!H74</f>
        <v>5944.07</v>
      </c>
      <c r="I74" s="154"/>
      <c r="J74" s="175">
        <f>H74/DAY(B2)</f>
        <v>312.84578947368419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'18 '!F75</f>
        <v>73586.8</v>
      </c>
      <c r="F75" s="123">
        <v>73586.8</v>
      </c>
      <c r="G75" s="474">
        <f t="shared" si="6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'18 '!F76</f>
        <v>212707</v>
      </c>
      <c r="F76" s="123">
        <v>212923</v>
      </c>
      <c r="G76" s="474">
        <f t="shared" si="6"/>
        <v>216</v>
      </c>
      <c r="H76" s="99">
        <f>G76+'18 '!H76</f>
        <v>2263</v>
      </c>
      <c r="I76" s="154"/>
      <c r="J76" s="175">
        <f>H76/DAY(B2)</f>
        <v>119.10526315789474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'18 '!F77</f>
        <v>60708.800000000003</v>
      </c>
      <c r="F77" s="123">
        <v>60763</v>
      </c>
      <c r="G77" s="474">
        <f t="shared" si="6"/>
        <v>54.19999999999709</v>
      </c>
      <c r="H77" s="99">
        <f>G77+'18 '!H77</f>
        <v>1002</v>
      </c>
      <c r="I77" s="154"/>
      <c r="J77" s="175">
        <f>H77/DAY(B2)</f>
        <v>52.736842105263158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'18 '!F78</f>
        <v>9564</v>
      </c>
      <c r="F78" s="123">
        <v>9564</v>
      </c>
      <c r="G78" s="474">
        <f t="shared" si="6"/>
        <v>0</v>
      </c>
      <c r="H78" s="99">
        <f>G78+'18 '!H78</f>
        <v>0.5</v>
      </c>
      <c r="I78" s="118"/>
      <c r="J78" s="175">
        <f>H78/DAY(B2)</f>
        <v>2.6315789473684209E-2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'18 '!F79</f>
        <v>0</v>
      </c>
      <c r="F79" s="123"/>
      <c r="G79" s="474">
        <f>G15-SUM(G74:G78)</f>
        <v>674.29000000000451</v>
      </c>
      <c r="H79" s="99">
        <f>G79+'18 '!H79</f>
        <v>11414.715000000149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474">
        <f>SUM(G74:G79)</f>
        <v>1250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488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4">
        <f t="shared" ref="G82:G92" si="7">F82-E82</f>
        <v>0</v>
      </c>
      <c r="H82" s="99">
        <f>G82+'18 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4">
        <f t="shared" si="7"/>
        <v>0</v>
      </c>
      <c r="H83" s="99">
        <f>G83+'18 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43546</v>
      </c>
      <c r="F84" s="164">
        <v>43546</v>
      </c>
      <c r="G84" s="474">
        <f t="shared" si="7"/>
        <v>0</v>
      </c>
      <c r="H84" s="99">
        <f>G84+'18 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6266</v>
      </c>
      <c r="F85" s="164">
        <v>6269</v>
      </c>
      <c r="G85" s="474">
        <f t="shared" si="7"/>
        <v>3</v>
      </c>
      <c r="H85" s="99">
        <f>G85+'18 '!H85</f>
        <v>56</v>
      </c>
      <c r="I85" s="543"/>
      <c r="J85" s="175">
        <f>H85/DAY(B2)</f>
        <v>2.9473684210526314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47125.2</v>
      </c>
      <c r="F86" s="164">
        <v>47149</v>
      </c>
      <c r="G86" s="474">
        <f t="shared" si="7"/>
        <v>23.80000000000291</v>
      </c>
      <c r="H86" s="99">
        <f>G86+'18 '!H86</f>
        <v>178</v>
      </c>
      <c r="I86" s="543"/>
      <c r="J86" s="175">
        <f>H86/DAY(B2)</f>
        <v>9.3684210526315788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37602.1</v>
      </c>
      <c r="F87" s="164">
        <v>37602.1</v>
      </c>
      <c r="G87" s="474">
        <f t="shared" si="7"/>
        <v>0</v>
      </c>
      <c r="H87" s="99">
        <f>G87+'18 '!H87</f>
        <v>238.09999999999854</v>
      </c>
      <c r="I87" s="543">
        <f>G84+G85+G86+G87</f>
        <v>26.80000000000291</v>
      </c>
      <c r="J87" s="175">
        <f>H87/DAY(B2)</f>
        <v>12.531578947368345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24873.75</v>
      </c>
      <c r="F88" s="164">
        <v>24885.919999999998</v>
      </c>
      <c r="G88" s="474">
        <f t="shared" si="7"/>
        <v>12.169999999998254</v>
      </c>
      <c r="H88" s="99">
        <f>G88+'18 '!H88</f>
        <v>123.91999999999825</v>
      </c>
      <c r="I88" s="543"/>
      <c r="J88" s="175">
        <f>H88/DAY(B2)</f>
        <v>6.5221052631578029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29136.22</v>
      </c>
      <c r="F89" s="164">
        <v>29138.33</v>
      </c>
      <c r="G89" s="474">
        <f t="shared" si="7"/>
        <v>2.1100000000005821</v>
      </c>
      <c r="H89" s="99">
        <f>G89+'18 '!H89</f>
        <v>110.33000000000175</v>
      </c>
      <c r="I89" s="543">
        <f>G88+G89</f>
        <v>14.279999999998836</v>
      </c>
      <c r="J89" s="175">
        <f>H89/DAY(B2)</f>
        <v>5.8068421052632502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74575.03</v>
      </c>
      <c r="F90" s="164">
        <v>74585.47</v>
      </c>
      <c r="G90" s="474">
        <f t="shared" si="7"/>
        <v>10.440000000002328</v>
      </c>
      <c r="H90" s="99">
        <f>G90+'18 '!H90</f>
        <v>137.47000000000116</v>
      </c>
      <c r="I90" s="543">
        <f>G90</f>
        <v>10.440000000002328</v>
      </c>
      <c r="J90" s="175">
        <f>H90/DAY(B2)</f>
        <v>7.2352631578947983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5797.62</v>
      </c>
      <c r="F91" s="122">
        <v>5809.39</v>
      </c>
      <c r="G91" s="474">
        <f t="shared" si="7"/>
        <v>11.770000000000437</v>
      </c>
      <c r="H91" s="99">
        <f>G91+'18 '!H91</f>
        <v>191.18000000000029</v>
      </c>
      <c r="I91" s="544"/>
      <c r="J91" s="175">
        <f>H91/DAY(B2)</f>
        <v>10.06210526315791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7469.24</v>
      </c>
      <c r="F92" s="122">
        <v>7469.24</v>
      </c>
      <c r="G92" s="474">
        <f t="shared" si="7"/>
        <v>0</v>
      </c>
      <c r="H92" s="99">
        <f>G92+'18 '!H92</f>
        <v>36.960000000000036</v>
      </c>
      <c r="I92" s="545">
        <f>G91+G92</f>
        <v>11.770000000000437</v>
      </c>
      <c r="J92" s="175">
        <f>H92/DAY(B2)</f>
        <v>1.9452631578947388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489">
        <f>G35+G43+G49+G57</f>
        <v>5672.9899999999907</v>
      </c>
      <c r="H94" s="99">
        <f>G94+'18 '!H94</f>
        <v>109577.46999999997</v>
      </c>
      <c r="I94" s="118"/>
      <c r="J94" s="175">
        <f>H94/DAY(B2)</f>
        <v>5767.2352631578933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490">
        <f>G94/G7</f>
        <v>0.25754710128478642</v>
      </c>
      <c r="H95" s="99">
        <f>G95+'18 '!H95</f>
        <v>4.9289836619139722</v>
      </c>
      <c r="I95" s="167"/>
      <c r="J95" s="175">
        <f>H95/DAY(B2)</f>
        <v>0.25942019273231431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489">
        <f>G41+G42+G55+G56</f>
        <v>4257.4400000000605</v>
      </c>
      <c r="H96" s="99">
        <f>G96+'18 '!H96</f>
        <v>69632.799999999988</v>
      </c>
      <c r="I96" s="118"/>
      <c r="J96" s="175">
        <f>H96/DAY(B2)</f>
        <v>3664.8842105263152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490">
        <f>G96/G7</f>
        <v>0.19328278930403869</v>
      </c>
      <c r="H97" s="99">
        <f>G97+'18 '!H97</f>
        <v>3.1261429882697489</v>
      </c>
      <c r="I97" s="167"/>
      <c r="J97" s="175">
        <f>H97/DAY(B2)</f>
        <v>0.16453384148788153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489">
        <f>G39+G53</f>
        <v>2894.4300000000512</v>
      </c>
      <c r="H98" s="99">
        <f>G98+'18 '!H98</f>
        <v>53922.469999999972</v>
      </c>
      <c r="I98" s="168"/>
      <c r="J98" s="175">
        <f>H98/DAY(B2)</f>
        <v>2838.0247368421037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490">
        <f>G98/G7</f>
        <v>0.13140373178372231</v>
      </c>
      <c r="H99" s="99">
        <f>G99+'18 '!H99</f>
        <v>2.4265179256040086</v>
      </c>
      <c r="I99" s="168"/>
      <c r="J99" s="175">
        <f>H99/DAY(B2)</f>
        <v>0.12771146976863204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489">
        <f>G38+G52</f>
        <v>2578.5</v>
      </c>
      <c r="H100" s="99">
        <f>G100+'18 '!H100</f>
        <v>49613.659999999982</v>
      </c>
      <c r="I100" s="118"/>
      <c r="J100" s="175">
        <f>H100/DAY(B2)</f>
        <v>2611.245263157894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490">
        <f>G100/G7</f>
        <v>0.1170608798293004</v>
      </c>
      <c r="H101" s="99">
        <f>G101+'18 '!H101</f>
        <v>2.2290183695733559</v>
      </c>
      <c r="I101" s="168"/>
      <c r="J101" s="175">
        <f>H101/DAY(B2)</f>
        <v>0.11731675629333452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489">
        <f>G36+G50</f>
        <v>2519.0400000000373</v>
      </c>
      <c r="H102" s="99">
        <f>G102+'18 '!H102</f>
        <v>47517.139999999956</v>
      </c>
      <c r="I102" s="168"/>
      <c r="J102" s="175">
        <f>H102/DAY(B2)</f>
        <v>2500.9021052631556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490">
        <f>G102/G7</f>
        <v>0.11436146547419246</v>
      </c>
      <c r="H103" s="99">
        <f>G103+'18 '!H103</f>
        <v>2.1293478779862847</v>
      </c>
      <c r="I103" s="118"/>
      <c r="J103" s="175">
        <f>H103/DAY(B2)</f>
        <v>0.11207094094664656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489">
        <f>G37+G51</f>
        <v>1356.4810000000289</v>
      </c>
      <c r="H104" s="99">
        <f>G104+'18 '!H104</f>
        <v>27005.47000000003</v>
      </c>
      <c r="I104" s="118"/>
      <c r="J104" s="175">
        <f>H104/DAY(B2)</f>
        <v>1421.3405263157911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491">
        <f>G104/G7</f>
        <v>6.1582648567668263E-2</v>
      </c>
      <c r="H105" s="99">
        <f>G105+'18 '!H105</f>
        <v>1.2146778850069047</v>
      </c>
      <c r="I105" s="187"/>
      <c r="J105" s="188">
        <f>H105/DAY(B2)</f>
        <v>6.3930415000363408E-2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494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'18 '!F112</f>
        <v>20496.599999999999</v>
      </c>
      <c r="F112" s="237">
        <v>20557.2</v>
      </c>
      <c r="G112" s="474">
        <f t="shared" ref="G112:G123" si="8">F112-E112</f>
        <v>60.600000000002183</v>
      </c>
      <c r="H112" s="99">
        <f>G112+'18 '!H112</f>
        <v>1160.2000000000007</v>
      </c>
      <c r="I112" s="165"/>
      <c r="J112" s="328">
        <f>H112/DAY(B2)</f>
        <v>61.063157894736882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'18 '!F113</f>
        <v>44127.5</v>
      </c>
      <c r="F113" s="237">
        <v>44267.7</v>
      </c>
      <c r="G113" s="474">
        <f t="shared" si="8"/>
        <v>140.19999999999709</v>
      </c>
      <c r="H113" s="99">
        <f>G113+'18 '!H113</f>
        <v>2747.75</v>
      </c>
      <c r="I113" s="165"/>
      <c r="J113" s="328">
        <f>H113/DAY(B2)</f>
        <v>144.61842105263159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'18 '!F114</f>
        <v>65280.4</v>
      </c>
      <c r="F114" s="237">
        <v>65499</v>
      </c>
      <c r="G114" s="474">
        <f t="shared" si="8"/>
        <v>218.59999999999854</v>
      </c>
      <c r="H114" s="99">
        <f>G114+'18 '!H114</f>
        <v>4281</v>
      </c>
      <c r="I114" s="165"/>
      <c r="J114" s="328">
        <f>H114/DAY(B2)</f>
        <v>225.31578947368422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'18 '!F115</f>
        <v>42056.7</v>
      </c>
      <c r="F115" s="237">
        <v>42204</v>
      </c>
      <c r="G115" s="474">
        <f t="shared" si="8"/>
        <v>147.30000000000291</v>
      </c>
      <c r="H115" s="99">
        <f>G115+'18 '!H115</f>
        <v>2745</v>
      </c>
      <c r="I115" s="165"/>
      <c r="J115" s="328">
        <f>H115/DAY(B2)</f>
        <v>144.47368421052633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'18 '!F116</f>
        <v>155900.73000000001</v>
      </c>
      <c r="F116" s="237">
        <v>156301.29999999999</v>
      </c>
      <c r="G116" s="474">
        <f t="shared" si="8"/>
        <v>400.56999999997788</v>
      </c>
      <c r="H116" s="99">
        <f>G116+'18 '!H116</f>
        <v>8371.2999999999884</v>
      </c>
      <c r="I116" s="165"/>
      <c r="J116" s="328">
        <f>H116/DAY(B2)</f>
        <v>440.59473684210462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'18 '!F117</f>
        <v>96389.6</v>
      </c>
      <c r="F117" s="237">
        <v>96629.6</v>
      </c>
      <c r="G117" s="474">
        <f t="shared" si="8"/>
        <v>240</v>
      </c>
      <c r="H117" s="99">
        <f>G117+'18 '!H117</f>
        <v>4640.2010000000009</v>
      </c>
      <c r="I117" s="165"/>
      <c r="J117" s="328">
        <f>H117/DAY(B2)</f>
        <v>244.22110526315794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'18 '!F118</f>
        <v>190146</v>
      </c>
      <c r="F118" s="237">
        <v>190861.19</v>
      </c>
      <c r="G118" s="474">
        <f t="shared" si="8"/>
        <v>715.19000000000233</v>
      </c>
      <c r="H118" s="99">
        <f>G118+'18 '!H118</f>
        <v>13328.660000000003</v>
      </c>
      <c r="I118" s="165"/>
      <c r="J118" s="328">
        <f>H118/DAY(B2)</f>
        <v>701.50842105263177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'18 '!F119</f>
        <v>46171.05</v>
      </c>
      <c r="F119" s="237">
        <v>46241</v>
      </c>
      <c r="G119" s="474">
        <f t="shared" si="8"/>
        <v>69.94999999999709</v>
      </c>
      <c r="H119" s="99">
        <f>G119+'18 '!H119</f>
        <v>1048</v>
      </c>
      <c r="I119" s="165"/>
      <c r="J119" s="328">
        <f>H119/DAY(B2)</f>
        <v>55.157894736842103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'18 '!F120</f>
        <v>127456.72</v>
      </c>
      <c r="F120" s="237">
        <v>127856</v>
      </c>
      <c r="G120" s="474">
        <f t="shared" si="8"/>
        <v>399.27999999999884</v>
      </c>
      <c r="H120" s="99">
        <f>G120+'18 '!H120</f>
        <v>7412</v>
      </c>
      <c r="I120" s="165"/>
      <c r="J120" s="328">
        <f>H120/DAY(B2)</f>
        <v>390.10526315789474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'18 '!F121</f>
        <v>142465.5</v>
      </c>
      <c r="F121" s="237">
        <v>142879</v>
      </c>
      <c r="G121" s="474">
        <f t="shared" si="8"/>
        <v>413.5</v>
      </c>
      <c r="H121" s="99">
        <f>G121+'18 '!H121</f>
        <v>8316</v>
      </c>
      <c r="I121" s="165"/>
      <c r="J121" s="328">
        <f>H121/DAY(B2)</f>
        <v>437.68421052631578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'18 '!F122</f>
        <v>96380.800000000003</v>
      </c>
      <c r="F122" s="237">
        <v>96674.5</v>
      </c>
      <c r="G122" s="474">
        <f t="shared" si="8"/>
        <v>293.69999999999709</v>
      </c>
      <c r="H122" s="99">
        <f>G122+'18 '!H122</f>
        <v>5797.5</v>
      </c>
      <c r="I122" s="165"/>
      <c r="J122" s="328">
        <f>H122/DAY(B2)</f>
        <v>305.13157894736844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'18 '!F123</f>
        <v>93144.149000000005</v>
      </c>
      <c r="F123" s="237">
        <v>93452</v>
      </c>
      <c r="G123" s="474">
        <f t="shared" si="8"/>
        <v>307.85099999999511</v>
      </c>
      <c r="H123" s="99">
        <f>G123+'18 '!H123</f>
        <v>5873</v>
      </c>
      <c r="I123" s="165"/>
      <c r="J123" s="328">
        <f>H123/DAY(B2)</f>
        <v>309.10526315789474</v>
      </c>
    </row>
    <row r="124" spans="1:18" ht="29.25" customHeight="1">
      <c r="A124" s="887"/>
      <c r="B124" s="888"/>
      <c r="C124" s="889"/>
      <c r="D124" s="165"/>
      <c r="E124" s="95">
        <f>'18 '!F124</f>
        <v>0</v>
      </c>
      <c r="F124" s="165"/>
      <c r="G124" s="494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495">
        <f>SUM(G112:G124)</f>
        <v>3406.7409999999691</v>
      </c>
      <c r="H125" s="156"/>
      <c r="I125" s="327">
        <f>G125-(G39+G53)</f>
        <v>512.31099999991784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495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'18 '!F128</f>
        <v>215944.98</v>
      </c>
      <c r="F128" s="165">
        <v>216418</v>
      </c>
      <c r="G128" s="474">
        <f t="shared" ref="G128:G134" si="9">F128-E128</f>
        <v>473.01999999998952</v>
      </c>
      <c r="H128" s="99">
        <f>G128+'18 '!H128</f>
        <v>9129</v>
      </c>
      <c r="I128" s="165"/>
      <c r="J128" s="328">
        <f>H128/DAY(B2)</f>
        <v>480.4736842105263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2708.04</v>
      </c>
      <c r="F129" s="165">
        <v>2821</v>
      </c>
      <c r="G129" s="474">
        <f t="shared" si="9"/>
        <v>112.96000000000004</v>
      </c>
      <c r="H129" s="99">
        <f>G129+'18 '!H129</f>
        <v>2087</v>
      </c>
      <c r="I129" s="165"/>
      <c r="J129" s="328">
        <f>H129/DAY(B2)</f>
        <v>109.84210526315789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299139.8</v>
      </c>
      <c r="F130" s="158">
        <v>299861</v>
      </c>
      <c r="G130" s="474">
        <f t="shared" si="9"/>
        <v>721.20000000001164</v>
      </c>
      <c r="H130" s="99">
        <f>G130+'18 '!H130</f>
        <v>11139</v>
      </c>
      <c r="I130" s="165"/>
      <c r="J130" s="328">
        <f>H130/DAY(B2)</f>
        <v>586.26315789473688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'18 '!F131</f>
        <v>88300.7</v>
      </c>
      <c r="F131" s="165">
        <v>88451.7</v>
      </c>
      <c r="G131" s="474">
        <f t="shared" si="9"/>
        <v>151</v>
      </c>
      <c r="H131" s="99">
        <f>G131+'18 '!H131</f>
        <v>3747.8699999999953</v>
      </c>
      <c r="I131" s="165"/>
      <c r="J131" s="328">
        <f>H131/DAY(B2)</f>
        <v>197.25631578947343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'18 '!F132</f>
        <v>73065.7</v>
      </c>
      <c r="F132" s="165">
        <v>73372</v>
      </c>
      <c r="G132" s="474">
        <f t="shared" si="9"/>
        <v>306.30000000000291</v>
      </c>
      <c r="H132" s="99">
        <f>G132+'18 '!H132</f>
        <v>5925</v>
      </c>
      <c r="I132" s="165"/>
      <c r="J132" s="328">
        <f>H132/DAY(B2)</f>
        <v>311.84210526315792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v>288548.17</v>
      </c>
      <c r="F133" s="158">
        <v>288548</v>
      </c>
      <c r="G133" s="474">
        <f t="shared" si="9"/>
        <v>-0.16999999998370185</v>
      </c>
      <c r="H133" s="99">
        <f>G133+'18 '!H133</f>
        <v>10419.830000000016</v>
      </c>
      <c r="I133" s="165"/>
      <c r="J133" s="328">
        <f>H133/DAY(B2)</f>
        <v>548.41210526315876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v>97877.6</v>
      </c>
      <c r="F134" s="158">
        <v>98136.3</v>
      </c>
      <c r="G134" s="474">
        <f t="shared" si="9"/>
        <v>258.69999999999709</v>
      </c>
      <c r="H134" s="99">
        <f>G134+'18 '!H134</f>
        <v>7454.6100000000006</v>
      </c>
      <c r="I134" s="165"/>
      <c r="J134" s="328">
        <f>H134/DAY(B2)</f>
        <v>392.34789473684214</v>
      </c>
    </row>
    <row r="135" spans="1:15" ht="25.5">
      <c r="A135" s="788" t="s">
        <v>196</v>
      </c>
      <c r="B135" s="789"/>
      <c r="C135" s="331"/>
      <c r="D135" s="151"/>
      <c r="E135" s="95"/>
      <c r="F135" s="158"/>
      <c r="G135" s="474">
        <f>SUM(G128:G134)</f>
        <v>2023.0100000000175</v>
      </c>
      <c r="H135" s="99">
        <f>G135+'10'!H135</f>
        <v>26276.619999999988</v>
      </c>
      <c r="I135" s="327">
        <f>G135-(G35+G49)</f>
        <v>-1282.1799999999266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'18 '!F138</f>
        <v>915056</v>
      </c>
      <c r="F138" s="755">
        <v>915191</v>
      </c>
      <c r="G138" s="474">
        <f t="shared" ref="G138:G152" si="10">F138-E138</f>
        <v>135</v>
      </c>
      <c r="H138" s="99">
        <f>G138+'18 '!H138</f>
        <v>5790</v>
      </c>
      <c r="I138" s="118"/>
      <c r="J138" s="328">
        <f>H138/DAY(B2)</f>
        <v>304.73684210526318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'18 '!F139</f>
        <v>939916</v>
      </c>
      <c r="F139" s="745">
        <v>940070</v>
      </c>
      <c r="G139" s="474">
        <f t="shared" si="10"/>
        <v>154</v>
      </c>
      <c r="H139" s="99">
        <f>G139+'18 '!H139</f>
        <v>2812</v>
      </c>
      <c r="I139" s="118"/>
      <c r="J139" s="328">
        <f>H139/DAY(B2)</f>
        <v>148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'18 '!F140</f>
        <v>5340</v>
      </c>
      <c r="F140" s="149">
        <v>5374</v>
      </c>
      <c r="G140" s="474">
        <f t="shared" si="10"/>
        <v>34</v>
      </c>
      <c r="H140" s="99">
        <f>G140+'18 '!H140</f>
        <v>610</v>
      </c>
      <c r="I140" s="118"/>
      <c r="J140" s="328">
        <f>H140/DAY(B2)</f>
        <v>32.10526315789474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'18 '!F141</f>
        <v>135849.5</v>
      </c>
      <c r="F141" s="149">
        <v>136100.15</v>
      </c>
      <c r="G141" s="474">
        <f t="shared" si="10"/>
        <v>250.64999999999418</v>
      </c>
      <c r="H141" s="99">
        <f>G141+'18 '!H141</f>
        <v>4780.1499999999942</v>
      </c>
      <c r="I141" s="118"/>
      <c r="J141" s="328">
        <f>H141/DAY(B2)</f>
        <v>251.58684210526286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'18 '!F142</f>
        <v>54819.1</v>
      </c>
      <c r="F142" s="148">
        <v>54915</v>
      </c>
      <c r="G142" s="474">
        <f t="shared" si="10"/>
        <v>95.900000000001455</v>
      </c>
      <c r="H142" s="99">
        <f>G142+'18 '!H142</f>
        <v>1724</v>
      </c>
      <c r="I142" s="140"/>
      <c r="J142" s="328">
        <f>H142/DAY(B2)</f>
        <v>90.736842105263165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'18 '!F143</f>
        <v>14890.5</v>
      </c>
      <c r="F143" s="149">
        <v>14927.7</v>
      </c>
      <c r="G143" s="474">
        <f t="shared" si="10"/>
        <v>37.200000000000728</v>
      </c>
      <c r="H143" s="99">
        <f>G143+'18 '!H143</f>
        <v>615.70000000000073</v>
      </c>
      <c r="I143" s="140"/>
      <c r="J143" s="328">
        <f>H143/DAY(B2)</f>
        <v>32.405263157894773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'18 '!F144</f>
        <v>967796</v>
      </c>
      <c r="F144" s="149">
        <v>968040</v>
      </c>
      <c r="G144" s="474">
        <f t="shared" si="10"/>
        <v>244</v>
      </c>
      <c r="H144" s="99">
        <f>G144+'18 '!H144</f>
        <v>4814</v>
      </c>
      <c r="I144" s="140"/>
      <c r="J144" s="328">
        <f>H144/DAY(B2)</f>
        <v>253.36842105263159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'18 '!F145</f>
        <v>754559</v>
      </c>
      <c r="F145" s="149">
        <v>754748</v>
      </c>
      <c r="G145" s="474">
        <f t="shared" si="10"/>
        <v>189</v>
      </c>
      <c r="H145" s="99">
        <f>G145+'18 '!H145</f>
        <v>4015</v>
      </c>
      <c r="I145" s="140"/>
      <c r="J145" s="328">
        <f>H145/DAY(B2)</f>
        <v>211.31578947368422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'18 '!F146</f>
        <v>789742</v>
      </c>
      <c r="F146" s="148">
        <v>789767</v>
      </c>
      <c r="G146" s="474">
        <f t="shared" si="10"/>
        <v>25</v>
      </c>
      <c r="H146" s="99">
        <f>G146+'18 '!H146</f>
        <v>742</v>
      </c>
      <c r="I146" s="140"/>
      <c r="J146" s="328">
        <f>H146/DAY(B2)</f>
        <v>39.05263157894737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'18 '!F147</f>
        <v>778486.32</v>
      </c>
      <c r="F147" s="148">
        <v>778893.28</v>
      </c>
      <c r="G147" s="474">
        <f t="shared" si="10"/>
        <v>406.96000000007916</v>
      </c>
      <c r="H147" s="99">
        <f>G147+'18 '!H147</f>
        <v>7236.4000000000233</v>
      </c>
      <c r="I147" s="140"/>
      <c r="J147" s="328">
        <f>H147/DAY(B2)</f>
        <v>380.86315789473809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'18 '!F148</f>
        <v>813241.04</v>
      </c>
      <c r="F148" s="164">
        <v>813637.92</v>
      </c>
      <c r="G148" s="474">
        <f t="shared" si="10"/>
        <v>396.88000000000466</v>
      </c>
      <c r="H148" s="99">
        <f>G148+'18 '!H148</f>
        <v>6817.6800000000512</v>
      </c>
      <c r="I148" s="124"/>
      <c r="J148" s="328">
        <f>H148/DAY(B2)</f>
        <v>358.82526315789744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'18 '!F149</f>
        <v>225470.59</v>
      </c>
      <c r="F149" s="415">
        <v>225923.25</v>
      </c>
      <c r="G149" s="474">
        <f t="shared" si="10"/>
        <v>452.66000000000349</v>
      </c>
      <c r="H149" s="99">
        <f>G149+'18 '!H149</f>
        <v>9027.25</v>
      </c>
      <c r="I149" s="119"/>
      <c r="J149" s="328">
        <f>H149/DAY(B2)</f>
        <v>475.11842105263156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v>96436.800000000003</v>
      </c>
      <c r="F150" s="233">
        <v>96655.6</v>
      </c>
      <c r="G150" s="474">
        <f t="shared" si="10"/>
        <v>218.80000000000291</v>
      </c>
      <c r="H150" s="99">
        <f>G150+'18 '!H150</f>
        <v>4544.8000000000029</v>
      </c>
      <c r="I150" s="119"/>
      <c r="J150" s="328">
        <f>H150/DAY(B2)</f>
        <v>239.20000000000016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'18 '!F151</f>
        <v>182467</v>
      </c>
      <c r="F151" s="233">
        <v>182833</v>
      </c>
      <c r="G151" s="474">
        <f t="shared" si="10"/>
        <v>366</v>
      </c>
      <c r="H151" s="99">
        <f>G151+'18 '!H151</f>
        <v>6658</v>
      </c>
      <c r="I151" s="119"/>
      <c r="J151" s="328">
        <f>H151/DAY(B2)</f>
        <v>350.42105263157896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'18 '!F152</f>
        <v>48990.23</v>
      </c>
      <c r="F152" s="233">
        <v>49123.42</v>
      </c>
      <c r="G152" s="474">
        <f t="shared" si="10"/>
        <v>133.18999999999505</v>
      </c>
      <c r="H152" s="99">
        <f>G152+'18 '!H152</f>
        <v>2491.4199999999983</v>
      </c>
      <c r="I152" s="119"/>
      <c r="J152" s="328">
        <f>H152/DAY(B2)</f>
        <v>131.12736842105255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496">
        <f>SUM(G138:G152)</f>
        <v>3139.2400000000816</v>
      </c>
      <c r="H153" s="363"/>
      <c r="I153" s="119">
        <f>G153-(G38+G52)</f>
        <v>560.74000000008164</v>
      </c>
      <c r="J153" s="366"/>
    </row>
    <row r="154" spans="1:10" ht="27.75">
      <c r="A154" s="871" t="s">
        <v>207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'18 '!F155</f>
        <v>266239</v>
      </c>
      <c r="F155" s="157">
        <v>266747.90000000002</v>
      </c>
      <c r="G155" s="474">
        <f t="shared" ref="G155:G158" si="11">F155-E155</f>
        <v>508.90000000002328</v>
      </c>
      <c r="H155" s="99">
        <f>G155+'18 '!H155</f>
        <v>10395.900000000023</v>
      </c>
      <c r="I155" s="364"/>
      <c r="J155" s="328">
        <f>H155/DAY(B2)</f>
        <v>547.15263157894856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'18 '!F156</f>
        <v>34285.9</v>
      </c>
      <c r="F156" s="157">
        <v>34375</v>
      </c>
      <c r="G156" s="474">
        <f t="shared" si="11"/>
        <v>89.099999999998545</v>
      </c>
      <c r="H156" s="99">
        <f>G156+'18 '!H156</f>
        <v>1816</v>
      </c>
      <c r="I156" s="165"/>
      <c r="J156" s="328">
        <f>H156/DAY(B2)</f>
        <v>95.578947368421055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'18 '!F157</f>
        <v>3111.6</v>
      </c>
      <c r="F157" s="374">
        <v>3241</v>
      </c>
      <c r="G157" s="474">
        <f t="shared" si="11"/>
        <v>129.40000000000009</v>
      </c>
      <c r="H157" s="99"/>
      <c r="I157" s="165"/>
      <c r="J157" s="328"/>
    </row>
    <row r="158" spans="1:10" ht="25.5">
      <c r="A158" s="866" t="s">
        <v>360</v>
      </c>
      <c r="B158" s="867"/>
      <c r="C158" s="868"/>
      <c r="D158" s="117" t="s">
        <v>130</v>
      </c>
      <c r="E158" s="95">
        <f>'18 '!F158</f>
        <v>1790.52</v>
      </c>
      <c r="F158" s="374">
        <v>1790.52</v>
      </c>
      <c r="G158" s="474">
        <f t="shared" si="11"/>
        <v>0</v>
      </c>
      <c r="H158" s="99"/>
      <c r="I158" s="165"/>
      <c r="J158" s="328"/>
    </row>
    <row r="159" spans="1:10" ht="25.5">
      <c r="A159" s="946"/>
      <c r="B159" s="947"/>
      <c r="C159" s="948"/>
      <c r="D159" s="117"/>
      <c r="E159" s="95"/>
      <c r="F159" s="165"/>
      <c r="G159" s="474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515219.64</v>
      </c>
      <c r="F161" s="235">
        <v>515289.96</v>
      </c>
      <c r="G161" s="497">
        <f t="shared" ref="G161:G165" si="12">F161-E161</f>
        <v>70.320000000006985</v>
      </c>
      <c r="H161" s="99">
        <f>G161+'18 '!H161</f>
        <v>2844.960000000021</v>
      </c>
      <c r="I161" s="236"/>
      <c r="J161" s="239">
        <f>H161/DAY(B2)</f>
        <v>149.73473684210637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2529.3000000000002</v>
      </c>
      <c r="F162" s="235">
        <v>2568.5</v>
      </c>
      <c r="G162" s="497">
        <f t="shared" si="12"/>
        <v>39.199999999999818</v>
      </c>
      <c r="H162" s="99">
        <f>G162+'18 '!H162</f>
        <v>808.5</v>
      </c>
      <c r="I162" s="236"/>
      <c r="J162" s="239">
        <f>H162/DAY(B2)</f>
        <v>42.55263157894737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0</v>
      </c>
      <c r="F163" s="235">
        <v>0</v>
      </c>
      <c r="G163" s="497">
        <f t="shared" si="12"/>
        <v>0</v>
      </c>
      <c r="H163" s="99">
        <f>G163+'18 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7386.5</v>
      </c>
      <c r="F164" s="235">
        <v>7386.6</v>
      </c>
      <c r="G164" s="497">
        <f t="shared" si="12"/>
        <v>0.1000000000003638</v>
      </c>
      <c r="H164" s="99">
        <f>G164+'18 '!H164</f>
        <v>49.600000000000364</v>
      </c>
      <c r="I164" s="236"/>
      <c r="J164" s="239">
        <f>H164/DAY(B2)</f>
        <v>2.6105263157894929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33103.22</v>
      </c>
      <c r="F165" s="235">
        <v>33105.370000000003</v>
      </c>
      <c r="G165" s="497">
        <f t="shared" si="12"/>
        <v>2.1500000000014552</v>
      </c>
      <c r="H165" s="99">
        <f>G165+'18 '!H165</f>
        <v>130.85000000000582</v>
      </c>
      <c r="I165" s="236"/>
      <c r="J165" s="239">
        <f>H165/DAY(B2)</f>
        <v>6.8868421052634643</v>
      </c>
    </row>
    <row r="166" spans="1:10" ht="26.25">
      <c r="A166" s="872"/>
      <c r="B166" s="872"/>
      <c r="C166" s="246"/>
      <c r="D166" s="244"/>
      <c r="E166" s="95"/>
      <c r="F166" s="165"/>
      <c r="G166" s="494"/>
      <c r="H166" s="99"/>
      <c r="I166" s="165"/>
      <c r="J166" s="239"/>
    </row>
    <row r="167" spans="1:10" ht="26.25">
      <c r="A167" s="872"/>
      <c r="B167" s="872"/>
      <c r="C167" s="246"/>
      <c r="D167" s="244"/>
      <c r="E167" s="95"/>
      <c r="F167" s="165"/>
      <c r="G167" s="494"/>
      <c r="H167" s="99"/>
      <c r="I167" s="165"/>
      <c r="J167" s="239"/>
    </row>
    <row r="168" spans="1:10" ht="26.25">
      <c r="A168" s="872"/>
      <c r="B168" s="872"/>
      <c r="C168" s="246"/>
      <c r="D168" s="244"/>
      <c r="E168" s="95"/>
      <c r="F168" s="165"/>
      <c r="G168" s="494"/>
      <c r="H168" s="99"/>
      <c r="I168" s="165"/>
      <c r="J168" s="239"/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498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'18 '!F173</f>
        <v>8602</v>
      </c>
      <c r="F173" s="157">
        <v>8603</v>
      </c>
      <c r="G173" s="498">
        <f>F173-E173</f>
        <v>1</v>
      </c>
      <c r="H173" s="99">
        <f>G173+'18 '!H173</f>
        <v>21</v>
      </c>
      <c r="I173" s="155"/>
      <c r="J173" s="178">
        <f>H173/DAY(B2)</f>
        <v>1.1052631578947369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'18 '!F174</f>
        <v>43579</v>
      </c>
      <c r="F174" s="157">
        <v>43594</v>
      </c>
      <c r="G174" s="498">
        <f t="shared" ref="G174:G175" si="13">F174-E174</f>
        <v>15</v>
      </c>
      <c r="H174" s="99">
        <f>G174+'18 '!H174</f>
        <v>180</v>
      </c>
      <c r="I174" s="155"/>
      <c r="J174" s="178">
        <f>H174/DAY(B2)</f>
        <v>9.473684210526315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'18 '!F175</f>
        <v>26525</v>
      </c>
      <c r="F175" s="157">
        <v>26540</v>
      </c>
      <c r="G175" s="498">
        <f t="shared" si="13"/>
        <v>15</v>
      </c>
      <c r="H175" s="99">
        <f>G175+'18 '!H175</f>
        <v>253</v>
      </c>
      <c r="I175" s="155"/>
      <c r="J175" s="178">
        <f>H175/DAY(B2)</f>
        <v>13.315789473684211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498">
        <f>SUM(G173:G175)</f>
        <v>31</v>
      </c>
      <c r="H176" s="99">
        <f>G176+'18 '!H176</f>
        <v>454</v>
      </c>
      <c r="I176" s="155"/>
      <c r="J176" s="178">
        <f>H176/DAY(B2)</f>
        <v>23.894736842105264</v>
      </c>
    </row>
    <row r="177" spans="1:11" ht="25.5">
      <c r="A177" s="790" t="s">
        <v>77</v>
      </c>
      <c r="B177" s="791"/>
      <c r="C177" s="333"/>
      <c r="D177" s="228" t="s">
        <v>142</v>
      </c>
      <c r="E177" s="95"/>
      <c r="F177" s="155"/>
      <c r="G177" s="498"/>
      <c r="H177" s="99">
        <f>G177+'18 '!H177</f>
        <v>0</v>
      </c>
      <c r="I177" s="155"/>
      <c r="J177" s="178">
        <f>H177/DAY(B2)</f>
        <v>0</v>
      </c>
    </row>
    <row r="178" spans="1:11" ht="25.5">
      <c r="A178" s="790" t="s">
        <v>210</v>
      </c>
      <c r="B178" s="791"/>
      <c r="C178" s="333"/>
      <c r="D178" s="228" t="s">
        <v>142</v>
      </c>
      <c r="E178" s="95">
        <f>'18 '!F178</f>
        <v>112285</v>
      </c>
      <c r="F178" s="155">
        <v>112384</v>
      </c>
      <c r="G178" s="498">
        <f>F178-E178</f>
        <v>99</v>
      </c>
      <c r="H178" s="99">
        <f>G178+'18 '!H178</f>
        <v>1993</v>
      </c>
      <c r="I178" s="155"/>
      <c r="J178" s="178">
        <f>H178/DAY(B2)</f>
        <v>104.89473684210526</v>
      </c>
    </row>
    <row r="179" spans="1:11" ht="25.5">
      <c r="A179" s="790" t="s">
        <v>211</v>
      </c>
      <c r="B179" s="791"/>
      <c r="C179" s="333"/>
      <c r="D179" s="228" t="s">
        <v>142</v>
      </c>
      <c r="E179" s="95">
        <f>'18 '!F179</f>
        <v>37501</v>
      </c>
      <c r="F179" s="155">
        <v>37501</v>
      </c>
      <c r="G179" s="498">
        <f t="shared" ref="G179:G180" si="14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790" t="s">
        <v>212</v>
      </c>
      <c r="B180" s="791"/>
      <c r="C180" s="333"/>
      <c r="D180" s="228" t="s">
        <v>142</v>
      </c>
      <c r="E180" s="95">
        <f>'18 '!F180</f>
        <v>7778</v>
      </c>
      <c r="F180" s="155">
        <v>7778</v>
      </c>
      <c r="G180" s="498">
        <f t="shared" si="14"/>
        <v>0</v>
      </c>
      <c r="H180" s="99">
        <f>G180+'18 '!H180</f>
        <v>77</v>
      </c>
      <c r="I180" s="155"/>
      <c r="J180" s="178">
        <f>H180/DAY(B2)</f>
        <v>4.0526315789473681</v>
      </c>
    </row>
    <row r="181" spans="1:11" ht="25.5">
      <c r="A181" s="878" t="s">
        <v>108</v>
      </c>
      <c r="B181" s="879"/>
      <c r="C181" s="400"/>
      <c r="D181" s="228" t="s">
        <v>142</v>
      </c>
      <c r="E181" s="95"/>
      <c r="F181" s="155"/>
      <c r="G181" s="498">
        <f>SUM(G178:G180)</f>
        <v>99</v>
      </c>
      <c r="H181" s="99">
        <f>G181+'18 '!H181</f>
        <v>2070</v>
      </c>
      <c r="I181" s="155"/>
      <c r="J181" s="178">
        <f>H181/DAY(B2)</f>
        <v>108.94736842105263</v>
      </c>
    </row>
    <row r="182" spans="1:11" ht="25.5">
      <c r="A182" s="790" t="s">
        <v>213</v>
      </c>
      <c r="B182" s="791"/>
      <c r="C182" s="333"/>
      <c r="D182" s="228" t="s">
        <v>142</v>
      </c>
      <c r="E182" s="95"/>
      <c r="F182" s="155"/>
      <c r="G182" s="498"/>
      <c r="H182" s="99">
        <f>G182+'18 '!H182</f>
        <v>0</v>
      </c>
      <c r="I182" s="155"/>
      <c r="J182" s="178">
        <f>H182/DAY(B2)</f>
        <v>0</v>
      </c>
    </row>
    <row r="183" spans="1:11" ht="25.5">
      <c r="A183" s="790" t="s">
        <v>214</v>
      </c>
      <c r="B183" s="791"/>
      <c r="C183" s="334"/>
      <c r="D183" s="228" t="s">
        <v>142</v>
      </c>
      <c r="E183" s="95">
        <f>'18 '!F183</f>
        <v>18803</v>
      </c>
      <c r="F183" s="157">
        <v>18806</v>
      </c>
      <c r="G183" s="499">
        <f>F183-E183</f>
        <v>3</v>
      </c>
      <c r="H183" s="99">
        <f>G183+'18 '!H183</f>
        <v>114</v>
      </c>
      <c r="I183" s="155"/>
      <c r="J183" s="178">
        <f>H183/DAY(B2)</f>
        <v>6</v>
      </c>
    </row>
    <row r="184" spans="1:11" ht="25.5">
      <c r="A184" s="790" t="s">
        <v>215</v>
      </c>
      <c r="B184" s="791"/>
      <c r="C184" s="334"/>
      <c r="D184" s="228" t="s">
        <v>142</v>
      </c>
      <c r="E184" s="95">
        <f>'18 '!F184</f>
        <v>13381</v>
      </c>
      <c r="F184" s="157">
        <v>13385</v>
      </c>
      <c r="G184" s="499">
        <f t="shared" ref="G184:G185" si="15">F184-E184</f>
        <v>4</v>
      </c>
      <c r="H184" s="99">
        <f>G184+'18 '!H184</f>
        <v>139</v>
      </c>
      <c r="I184" s="155"/>
      <c r="J184" s="178">
        <f>H184/DAY(B2)</f>
        <v>7.3157894736842106</v>
      </c>
    </row>
    <row r="185" spans="1:11" ht="30.75" customHeight="1">
      <c r="A185" s="790" t="s">
        <v>216</v>
      </c>
      <c r="B185" s="791"/>
      <c r="C185" s="334"/>
      <c r="D185" s="228" t="s">
        <v>142</v>
      </c>
      <c r="E185" s="95">
        <f>'18 '!F185</f>
        <v>0</v>
      </c>
      <c r="F185" s="157"/>
      <c r="G185" s="499">
        <f t="shared" si="15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788" t="s">
        <v>196</v>
      </c>
      <c r="B186" s="789"/>
      <c r="C186" s="399"/>
      <c r="D186" s="228" t="s">
        <v>142</v>
      </c>
      <c r="E186" s="95"/>
      <c r="F186" s="157"/>
      <c r="G186" s="499">
        <f>SUM(G183:G185)</f>
        <v>7</v>
      </c>
      <c r="H186" s="99">
        <f>G186+'18 '!H186</f>
        <v>253</v>
      </c>
      <c r="I186" s="157"/>
      <c r="J186" s="178">
        <f>H186/DAY(B2)</f>
        <v>13.315789473684211</v>
      </c>
    </row>
    <row r="187" spans="1:11" ht="25.5">
      <c r="A187" s="869" t="s">
        <v>217</v>
      </c>
      <c r="B187" s="870"/>
      <c r="C187" s="333"/>
      <c r="D187" s="230" t="s">
        <v>142</v>
      </c>
      <c r="E187" s="95"/>
      <c r="F187" s="159"/>
      <c r="G187" s="500">
        <f>G62+G19</f>
        <v>123</v>
      </c>
      <c r="H187" s="99">
        <f>G187+'18 '!H187</f>
        <v>2502</v>
      </c>
      <c r="I187" s="158"/>
      <c r="J187" s="179">
        <f>H187/DAY(B2)</f>
        <v>131.68421052631578</v>
      </c>
    </row>
    <row r="188" spans="1:11" ht="25.5">
      <c r="A188" s="869" t="s">
        <v>218</v>
      </c>
      <c r="B188" s="870"/>
      <c r="C188" s="333"/>
      <c r="D188" s="230" t="s">
        <v>142</v>
      </c>
      <c r="E188" s="95"/>
      <c r="F188" s="159"/>
      <c r="G188" s="500">
        <f>G65+G66+G67+G69+G70</f>
        <v>148</v>
      </c>
      <c r="H188" s="99">
        <f>G188+'18 '!H188</f>
        <v>907</v>
      </c>
      <c r="I188" s="158"/>
      <c r="J188" s="179">
        <f>H188/DAY(B2)</f>
        <v>47.736842105263158</v>
      </c>
    </row>
    <row r="189" spans="1:11" ht="25.5">
      <c r="A189" s="869" t="s">
        <v>219</v>
      </c>
      <c r="B189" s="870"/>
      <c r="C189" s="333"/>
      <c r="D189" s="230" t="s">
        <v>142</v>
      </c>
      <c r="E189" s="95"/>
      <c r="F189" s="157"/>
      <c r="G189" s="500">
        <f>G181</f>
        <v>99</v>
      </c>
      <c r="H189" s="99">
        <f>G189+'30'!H238</f>
        <v>99</v>
      </c>
      <c r="I189" s="158"/>
      <c r="J189" s="179">
        <f>H189/DAY(B2)</f>
        <v>5.2105263157894735</v>
      </c>
    </row>
    <row r="190" spans="1:11" ht="23.25" customHeight="1">
      <c r="A190" s="245"/>
      <c r="B190" s="246"/>
      <c r="C190" s="246"/>
      <c r="D190" s="165"/>
      <c r="E190" s="165"/>
      <c r="F190" s="455"/>
      <c r="G190" s="494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30" zoomScale="55" zoomScaleSheetLayoutView="55" zoomScalePageLayoutView="78" workbookViewId="0">
      <selection activeCell="F157" sqref="F15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355</v>
      </c>
      <c r="B2" s="262">
        <v>44977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46130</v>
      </c>
      <c r="F7" s="95">
        <v>70799</v>
      </c>
      <c r="G7" s="112">
        <f>F7-E7</f>
        <v>24669</v>
      </c>
      <c r="H7" s="99">
        <f>G7+'19'!H7</f>
        <v>447432</v>
      </c>
      <c r="I7" s="113">
        <v>24000</v>
      </c>
      <c r="J7" s="175">
        <f>H7/DAY(B2)</f>
        <v>22371.599999999999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248936</v>
      </c>
      <c r="F8" s="114">
        <v>274161</v>
      </c>
      <c r="G8" s="115">
        <f>F8-E8</f>
        <v>25225</v>
      </c>
      <c r="H8" s="99">
        <f>G8+'19'!H8</f>
        <v>458051</v>
      </c>
      <c r="I8" s="116"/>
      <c r="J8" s="175">
        <f>H8/DAY(B2)</f>
        <v>22902.55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5063274</v>
      </c>
      <c r="F9" s="468">
        <v>5076509</v>
      </c>
      <c r="G9" s="112">
        <f>F9-E9</f>
        <v>13235</v>
      </c>
      <c r="H9" s="99">
        <f>G9+'19'!H9</f>
        <v>251410</v>
      </c>
      <c r="I9" s="124">
        <f>I7-J7</f>
        <v>1628.4000000000015</v>
      </c>
      <c r="J9" s="175">
        <f>H9/DAY(B2)</f>
        <v>12570.5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4464733.9000000004</v>
      </c>
      <c r="F10" s="353">
        <v>4475501</v>
      </c>
      <c r="G10" s="112">
        <f t="shared" ref="G10:G12" si="0">F10-E10</f>
        <v>10767.099999999627</v>
      </c>
      <c r="H10" s="99">
        <f>G10+'19'!H10</f>
        <v>184967</v>
      </c>
      <c r="I10" s="282"/>
      <c r="J10" s="175">
        <f>H10/DAY(B2)</f>
        <v>9248.35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38700</v>
      </c>
      <c r="F11" s="95">
        <v>38700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40550</v>
      </c>
      <c r="F12" s="117">
        <v>40550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24002.099999999627</v>
      </c>
      <c r="H13" s="99">
        <f>G13+'19'!H13</f>
        <v>436377</v>
      </c>
      <c r="I13" s="120">
        <f>G7-G13</f>
        <v>666.90000000037253</v>
      </c>
      <c r="J13" s="175">
        <f>H13/DAY(B2)</f>
        <v>21818.85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'19'!F15</f>
        <v>2309098</v>
      </c>
      <c r="F15" s="468">
        <v>2310335</v>
      </c>
      <c r="G15" s="112">
        <f>(F15-E15)</f>
        <v>1237</v>
      </c>
      <c r="H15" s="99">
        <f>G15+'19'!H15</f>
        <v>21861.285000000149</v>
      </c>
      <c r="I15" s="113">
        <f>'1'!I15</f>
        <v>800</v>
      </c>
      <c r="J15" s="175">
        <f>H15/DAY(B2)</f>
        <v>1093.0642500000074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-293.06425000000741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'19'!F18</f>
        <v>19</v>
      </c>
      <c r="F18" s="122">
        <v>18</v>
      </c>
      <c r="G18" s="119">
        <f>F18*10</f>
        <v>180</v>
      </c>
      <c r="H18" s="99">
        <f>G18+'19'!H18</f>
        <v>3410</v>
      </c>
      <c r="I18" s="113">
        <f>'1'!I18</f>
        <v>65</v>
      </c>
      <c r="J18" s="175">
        <f>H18/DAY(B2)</f>
        <v>170.5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'19'!F19</f>
        <v>172312</v>
      </c>
      <c r="F19" s="541">
        <v>172367</v>
      </c>
      <c r="G19" s="112">
        <f t="shared" ref="G19" si="1">F19-E19</f>
        <v>55</v>
      </c>
      <c r="H19" s="99">
        <f>G19+'19'!H19</f>
        <v>1044</v>
      </c>
      <c r="I19" s="335"/>
      <c r="J19" s="175">
        <f>H19/DAY(B2)</f>
        <v>52.2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G20+'19'!H20</f>
        <v>4454</v>
      </c>
      <c r="I20" s="336">
        <f>I18-J20</f>
        <v>-157.69999999999999</v>
      </c>
      <c r="J20" s="175">
        <f>H20/DAY(B2)</f>
        <v>222.7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1860</v>
      </c>
      <c r="F23" s="122">
        <v>1860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4830</v>
      </c>
      <c r="F24" s="128">
        <f>SUM(F22:F23)</f>
        <v>4830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25225</v>
      </c>
      <c r="F27" s="136">
        <v>10</v>
      </c>
      <c r="G27" s="137">
        <f>E27*F27</f>
        <v>252250</v>
      </c>
      <c r="H27" s="99">
        <f>G27+'19'!H27</f>
        <v>4580510</v>
      </c>
      <c r="I27" s="138"/>
      <c r="J27" s="175">
        <f>H27/DAY(B2)</f>
        <v>229025.5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1237</v>
      </c>
      <c r="F28" s="136">
        <v>63</v>
      </c>
      <c r="G28" s="137">
        <f>E28*F28</f>
        <v>77931</v>
      </c>
      <c r="H28" s="99">
        <f>G28+'19'!H28</f>
        <v>1396682.4100000104</v>
      </c>
      <c r="I28" s="140"/>
      <c r="J28" s="175">
        <f>H28/DAY(B2)</f>
        <v>69834.120500000514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6900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155</v>
      </c>
      <c r="G30" s="137">
        <f>E30*F30</f>
        <v>8525</v>
      </c>
      <c r="H30" s="99">
        <f>G30+'19'!H30</f>
        <v>160500</v>
      </c>
      <c r="I30" s="140"/>
      <c r="J30" s="175">
        <f>H30/DAY(B2)</f>
        <v>8025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88</v>
      </c>
      <c r="G31" s="137">
        <f>E31*F31</f>
        <v>15840</v>
      </c>
      <c r="H31" s="99">
        <f>G31+'19'!H31</f>
        <v>296420</v>
      </c>
      <c r="I31" s="140"/>
      <c r="J31" s="175">
        <f>H31/DAY(B2)</f>
        <v>14821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354546</v>
      </c>
      <c r="H32" s="99">
        <f>G32+'19'!H32</f>
        <v>6441012.4100000104</v>
      </c>
      <c r="I32" s="144"/>
      <c r="J32" s="175">
        <f>H32/DAY(B2)</f>
        <v>322050.62050000054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580254.06999999995</v>
      </c>
      <c r="F35" s="145">
        <v>583118</v>
      </c>
      <c r="G35" s="112">
        <f t="shared" ref="G35:G46" si="3">F35-E35</f>
        <v>2863.9300000000512</v>
      </c>
      <c r="H35" s="99">
        <f>G35+'19'!H35</f>
        <v>53062</v>
      </c>
      <c r="I35" s="95"/>
      <c r="J35" s="175">
        <f>H35/DAY(B2)</f>
        <v>2653.1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401651.55</v>
      </c>
      <c r="F36" s="145">
        <v>402715</v>
      </c>
      <c r="G36" s="112">
        <f t="shared" si="3"/>
        <v>1063.4500000000116</v>
      </c>
      <c r="H36" s="99">
        <f>G36+'19'!H36</f>
        <v>20894</v>
      </c>
      <c r="I36" s="95"/>
      <c r="J36" s="175">
        <f>H36/DAY(B2)</f>
        <v>1044.7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410624.03</v>
      </c>
      <c r="F37" s="418">
        <v>412097</v>
      </c>
      <c r="G37" s="112">
        <f t="shared" si="3"/>
        <v>1472.9699999999721</v>
      </c>
      <c r="H37" s="99">
        <f>G37+'19'!H37</f>
        <v>28478</v>
      </c>
      <c r="I37" s="95"/>
      <c r="J37" s="175">
        <f>H37/DAY(B2)</f>
        <v>1423.9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926740.23</v>
      </c>
      <c r="F38" s="106">
        <v>929393</v>
      </c>
      <c r="G38" s="112">
        <f t="shared" si="3"/>
        <v>2652.7700000000186</v>
      </c>
      <c r="H38" s="99">
        <f>G38+'19'!H38</f>
        <v>52266</v>
      </c>
      <c r="I38" s="95"/>
      <c r="J38" s="175">
        <f>H38/DAY(B2)</f>
        <v>2613.3000000000002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760058.47</v>
      </c>
      <c r="F39" s="418">
        <v>763088</v>
      </c>
      <c r="G39" s="112">
        <f t="shared" si="3"/>
        <v>3029.5300000000279</v>
      </c>
      <c r="H39" s="99">
        <f>G39+'19'!H39</f>
        <v>56952</v>
      </c>
      <c r="I39" s="95"/>
      <c r="J39" s="175">
        <f>H39/DAY(B2)</f>
        <v>2847.6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222403.15</v>
      </c>
      <c r="F40" s="145">
        <v>222611</v>
      </c>
      <c r="G40" s="112">
        <f t="shared" si="3"/>
        <v>207.85000000000582</v>
      </c>
      <c r="H40" s="99">
        <f>G40+'19'!H40</f>
        <v>4819</v>
      </c>
      <c r="I40" s="95"/>
      <c r="J40" s="175">
        <f>H40/DAY(B2)</f>
        <v>240.95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420212.51</v>
      </c>
      <c r="F41" s="145">
        <v>420212.51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984716</v>
      </c>
      <c r="F42" s="145">
        <v>984716</v>
      </c>
      <c r="G42" s="112">
        <f t="shared" si="3"/>
        <v>0</v>
      </c>
      <c r="H42" s="99">
        <f>G42+'19'!H42</f>
        <v>11653.369999999995</v>
      </c>
      <c r="I42" s="95"/>
      <c r="J42" s="175">
        <f>H42/DAY(B2)</f>
        <v>582.66849999999977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422444</v>
      </c>
      <c r="F43" s="145">
        <v>422444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11290.500000000087</v>
      </c>
      <c r="H47" s="99">
        <f>G47+'19'!H47</f>
        <v>228124.37</v>
      </c>
      <c r="I47" s="95"/>
      <c r="J47" s="175">
        <f>H47/DAY(B2)</f>
        <v>11406.218499999999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833099.5</v>
      </c>
      <c r="F49" s="145">
        <v>833684</v>
      </c>
      <c r="G49" s="112">
        <f t="shared" ref="G49:G58" si="4">F49-E49</f>
        <v>584.5</v>
      </c>
      <c r="H49" s="99">
        <f>G49+'19'!H49</f>
        <v>10772</v>
      </c>
      <c r="I49" s="95"/>
      <c r="J49" s="175">
        <f>H49/DAY(B2)</f>
        <v>538.6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569660.59</v>
      </c>
      <c r="F50" s="145">
        <v>571380</v>
      </c>
      <c r="G50" s="112">
        <f t="shared" si="4"/>
        <v>1719.4100000000326</v>
      </c>
      <c r="H50" s="99">
        <f>G50+'19'!H50</f>
        <v>29406</v>
      </c>
      <c r="I50" s="95"/>
      <c r="J50" s="175">
        <f>H50/DAY(B2)</f>
        <v>1470.3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156958.44</v>
      </c>
      <c r="F51" s="145">
        <v>156958</v>
      </c>
      <c r="G51" s="112">
        <f t="shared" si="4"/>
        <v>-0.44000000000232831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1457.43</v>
      </c>
      <c r="F52" s="145">
        <v>1457.43</v>
      </c>
      <c r="G52" s="112">
        <f t="shared" si="4"/>
        <v>0</v>
      </c>
      <c r="H52" s="99">
        <f>G52+'19'!H52</f>
        <v>0.43000000000006366</v>
      </c>
      <c r="I52" s="95"/>
      <c r="J52" s="175">
        <f>H52/DAY(B2)</f>
        <v>2.1500000000003183E-2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630355.03</v>
      </c>
      <c r="F53" s="145">
        <v>630355</v>
      </c>
      <c r="G53" s="112">
        <f t="shared" si="4"/>
        <v>-3.0000000027939677E-2</v>
      </c>
      <c r="H53" s="99">
        <f>G53+'19'!H53</f>
        <v>-3.0000000027939677E-2</v>
      </c>
      <c r="I53" s="95"/>
      <c r="J53" s="175">
        <f>H53/DAY(B2)</f>
        <v>-1.5000000013969839E-3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129988.74</v>
      </c>
      <c r="F54" s="145">
        <v>130274</v>
      </c>
      <c r="G54" s="112">
        <f t="shared" si="4"/>
        <v>285.25999999999476</v>
      </c>
      <c r="H54" s="99">
        <f>G54+'19'!H54</f>
        <v>6159.7899999999936</v>
      </c>
      <c r="I54" s="95"/>
      <c r="J54" s="175">
        <f>H54/DAY(B2)</f>
        <v>307.98949999999968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619968.63</v>
      </c>
      <c r="F55" s="145">
        <v>623955</v>
      </c>
      <c r="G55" s="112">
        <f t="shared" si="4"/>
        <v>3986.3699999999953</v>
      </c>
      <c r="H55" s="99">
        <f>G55+'19'!H55</f>
        <v>29650.25</v>
      </c>
      <c r="I55" s="95"/>
      <c r="J55" s="175">
        <f>H55/DAY(B2)</f>
        <v>1482.5125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405435.55</v>
      </c>
      <c r="F56" s="145">
        <v>405435.55</v>
      </c>
      <c r="G56" s="112">
        <f t="shared" si="4"/>
        <v>0</v>
      </c>
      <c r="H56" s="99">
        <f>G56+'19'!H56</f>
        <v>32315.549999999988</v>
      </c>
      <c r="I56" s="95"/>
      <c r="J56" s="175">
        <f>H56/DAY(B2)</f>
        <v>1615.7774999999995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756889.9</v>
      </c>
      <c r="F57" s="145">
        <v>759332</v>
      </c>
      <c r="G57" s="112">
        <f t="shared" si="4"/>
        <v>2442.0999999999767</v>
      </c>
      <c r="H57" s="99">
        <f>G57+'19'!H57</f>
        <v>51634</v>
      </c>
      <c r="I57" s="95"/>
      <c r="J57" s="175">
        <f>H57/DAY(B2)</f>
        <v>2581.6999999999998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98947.199999999997</v>
      </c>
      <c r="F58" s="145">
        <v>99271</v>
      </c>
      <c r="G58" s="112">
        <f t="shared" si="4"/>
        <v>323.80000000000291</v>
      </c>
      <c r="H58" s="99">
        <f>G58+'19'!H58</f>
        <v>4701.179999999993</v>
      </c>
      <c r="I58" s="95"/>
      <c r="J58" s="175">
        <f>H58/DAY(B2)</f>
        <v>235.05899999999966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9340.9699999999721</v>
      </c>
      <c r="H59" s="99">
        <f>G59+'19'!H59</f>
        <v>164639.16999999995</v>
      </c>
      <c r="I59" s="95">
        <f>G7-G60</f>
        <v>4037.5299999999406</v>
      </c>
      <c r="J59" s="175">
        <f>H59/DAY(B2)</f>
        <v>8231.958499999997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20631.470000000059</v>
      </c>
      <c r="H60" s="99">
        <f>G60+'19'!H60</f>
        <v>392763.53999999992</v>
      </c>
      <c r="I60" s="95">
        <f>G13-G60</f>
        <v>3370.6299999995681</v>
      </c>
      <c r="J60" s="175">
        <f>H60/DAY(B2)</f>
        <v>19638.176999999996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'19'!F62</f>
        <v>317190</v>
      </c>
      <c r="F62" s="122">
        <v>317246</v>
      </c>
      <c r="G62" s="112">
        <f t="shared" ref="G62:G63" si="5">F62-E62</f>
        <v>56</v>
      </c>
      <c r="H62" s="99">
        <f>G62+'19'!H62</f>
        <v>1569</v>
      </c>
      <c r="I62" s="118"/>
      <c r="J62" s="175">
        <f>H62/DAY(B2)</f>
        <v>78.45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'19'!F63</f>
        <v>254034</v>
      </c>
      <c r="F63" s="122">
        <v>254131</v>
      </c>
      <c r="G63" s="112">
        <f t="shared" si="5"/>
        <v>97</v>
      </c>
      <c r="H63" s="99">
        <f>G63+'19'!H63</f>
        <v>1807</v>
      </c>
      <c r="I63" s="118"/>
      <c r="J63" s="175">
        <f>H63/DAY(B2)</f>
        <v>90.35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'19'!F64</f>
        <v>0</v>
      </c>
      <c r="F64" s="122"/>
      <c r="G64" s="112">
        <f>G62+G63</f>
        <v>153</v>
      </c>
      <c r="H64" s="99">
        <f>G64+'19'!H64</f>
        <v>3376</v>
      </c>
      <c r="I64" s="118"/>
      <c r="J64" s="175">
        <f>H64/DAY(B2)</f>
        <v>168.8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'19'!F65</f>
        <v>478299</v>
      </c>
      <c r="F65" s="122">
        <v>478436</v>
      </c>
      <c r="G65" s="112">
        <f t="shared" ref="G65:G70" si="6">F65-E65</f>
        <v>137</v>
      </c>
      <c r="H65" s="99">
        <f>G65+'19'!H65</f>
        <v>2533</v>
      </c>
      <c r="I65" s="118"/>
      <c r="J65" s="175">
        <f>H65/DAY(B2)</f>
        <v>126.65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114738</v>
      </c>
      <c r="F66" s="122">
        <v>114751</v>
      </c>
      <c r="G66" s="112">
        <f t="shared" si="6"/>
        <v>13</v>
      </c>
      <c r="H66" s="99">
        <f>G66+'19'!H66</f>
        <v>285</v>
      </c>
      <c r="I66" s="118"/>
      <c r="J66" s="175">
        <f>H66/DAY(B2)</f>
        <v>14.25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117747</v>
      </c>
      <c r="F67" s="122">
        <v>117763</v>
      </c>
      <c r="G67" s="112">
        <f t="shared" si="6"/>
        <v>16</v>
      </c>
      <c r="H67" s="99">
        <f>G67+'19'!H67</f>
        <v>481</v>
      </c>
      <c r="I67" s="118"/>
      <c r="J67" s="175">
        <f>H67/DAY(B2)</f>
        <v>24.05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170299</v>
      </c>
      <c r="F68" s="122">
        <v>170320</v>
      </c>
      <c r="G68" s="112">
        <f t="shared" si="6"/>
        <v>21</v>
      </c>
      <c r="H68" s="99">
        <f>G68+'19'!H68</f>
        <v>370</v>
      </c>
      <c r="I68" s="118"/>
      <c r="J68" s="175">
        <f>H68/DAY(B2)</f>
        <v>18.5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13301</v>
      </c>
      <c r="F69" s="122">
        <v>13313</v>
      </c>
      <c r="G69" s="112">
        <f t="shared" si="6"/>
        <v>12</v>
      </c>
      <c r="H69" s="99">
        <f>G69+'19'!H69</f>
        <v>101</v>
      </c>
      <c r="I69" s="118"/>
      <c r="J69" s="175">
        <f>H69/DAY(B2)</f>
        <v>5.05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11394</v>
      </c>
      <c r="F70" s="122">
        <v>11399</v>
      </c>
      <c r="G70" s="112">
        <f t="shared" si="6"/>
        <v>5</v>
      </c>
      <c r="H70" s="99">
        <f>G70+'19'!H70</f>
        <v>141</v>
      </c>
      <c r="I70" s="118"/>
      <c r="J70" s="175">
        <f>H70/DAY(B2)</f>
        <v>7.05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204</v>
      </c>
      <c r="H71" s="99">
        <f>G71+'19'!H71</f>
        <v>3911</v>
      </c>
      <c r="I71" s="154"/>
      <c r="J71" s="175">
        <f>H71/DAY(B2)</f>
        <v>195.55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'19'!F74</f>
        <v>18206.07</v>
      </c>
      <c r="F74" s="117">
        <v>18510</v>
      </c>
      <c r="G74" s="112">
        <f t="shared" ref="G74:G78" si="7">F74-E74</f>
        <v>303.93000000000029</v>
      </c>
      <c r="H74" s="99">
        <f>G74+'19'!H74</f>
        <v>6248</v>
      </c>
      <c r="I74" s="154"/>
      <c r="J74" s="175">
        <f>H74/DAY(B2)</f>
        <v>312.39999999999998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'19'!F76</f>
        <v>212923</v>
      </c>
      <c r="F76" s="123">
        <v>213072</v>
      </c>
      <c r="G76" s="112">
        <f t="shared" si="7"/>
        <v>149</v>
      </c>
      <c r="H76" s="99">
        <f>G76+'19'!H76</f>
        <v>2412</v>
      </c>
      <c r="I76" s="154"/>
      <c r="J76" s="175">
        <f>H76/DAY(B2)</f>
        <v>120.6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'19'!F77</f>
        <v>60763</v>
      </c>
      <c r="F77" s="123">
        <v>60816</v>
      </c>
      <c r="G77" s="112">
        <f t="shared" si="7"/>
        <v>53</v>
      </c>
      <c r="H77" s="99">
        <f>G77+'19'!H77</f>
        <v>1055</v>
      </c>
      <c r="I77" s="154"/>
      <c r="J77" s="175">
        <f>H77/DAY(B2)</f>
        <v>52.75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0.5</v>
      </c>
      <c r="I78" s="118"/>
      <c r="J78" s="175">
        <f>H78/DAY(B2)</f>
        <v>2.5000000000000001E-2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'19'!F79</f>
        <v>0</v>
      </c>
      <c r="F79" s="117"/>
      <c r="G79" s="112">
        <f>G15-SUM(G74:G78)</f>
        <v>731.06999999999971</v>
      </c>
      <c r="H79" s="99">
        <f>G79+'19'!H79</f>
        <v>12145.785000000149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77" t="s">
        <v>329</v>
      </c>
      <c r="B80" s="978"/>
      <c r="C80" s="979"/>
      <c r="D80" s="151"/>
      <c r="E80" s="117"/>
      <c r="F80" s="117"/>
      <c r="G80" s="112">
        <f>SUM(G74:G79)</f>
        <v>1237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43540.35</v>
      </c>
      <c r="F84" s="164">
        <v>43540.35</v>
      </c>
      <c r="G84" s="112">
        <f t="shared" si="8"/>
        <v>0</v>
      </c>
      <c r="H84" s="99">
        <f>G84+'19'!H84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6269</v>
      </c>
      <c r="F85" s="164">
        <v>6269</v>
      </c>
      <c r="G85" s="112">
        <f t="shared" si="8"/>
        <v>0</v>
      </c>
      <c r="H85" s="99">
        <f>G85+'19'!H85</f>
        <v>56</v>
      </c>
      <c r="I85" s="543"/>
      <c r="J85" s="175">
        <f>H85/DAY(B2)</f>
        <v>2.8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47149</v>
      </c>
      <c r="F86" s="164">
        <v>47173</v>
      </c>
      <c r="G86" s="112">
        <f t="shared" si="8"/>
        <v>24</v>
      </c>
      <c r="H86" s="99">
        <f>G86+'19'!H86</f>
        <v>202</v>
      </c>
      <c r="I86" s="543"/>
      <c r="J86" s="175">
        <f>H86/DAY(B2)</f>
        <v>10.1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37602.1</v>
      </c>
      <c r="F87" s="164">
        <v>37602</v>
      </c>
      <c r="G87" s="112">
        <f t="shared" si="8"/>
        <v>-9.9999999998544808E-2</v>
      </c>
      <c r="H87" s="99">
        <f>G87+'19'!H87</f>
        <v>238</v>
      </c>
      <c r="I87" s="543">
        <f>G84+G85+G86+G87</f>
        <v>23.900000000001455</v>
      </c>
      <c r="J87" s="175">
        <f>H87/DAY(B2)</f>
        <v>11.9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24885.919999999998</v>
      </c>
      <c r="F88" s="164">
        <v>24891</v>
      </c>
      <c r="G88" s="112">
        <f t="shared" si="8"/>
        <v>5.0800000000017462</v>
      </c>
      <c r="H88" s="99">
        <f>G88+'19'!H88</f>
        <v>129</v>
      </c>
      <c r="I88" s="543"/>
      <c r="J88" s="175">
        <f>H88/DAY(B2)</f>
        <v>6.45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29138.33</v>
      </c>
      <c r="F89" s="164">
        <v>29147.79</v>
      </c>
      <c r="G89" s="112">
        <f t="shared" si="8"/>
        <v>9.4599999999991269</v>
      </c>
      <c r="H89" s="99">
        <f>G89+'19'!H89</f>
        <v>119.79000000000087</v>
      </c>
      <c r="I89" s="543">
        <f>G88+G89</f>
        <v>14.540000000000873</v>
      </c>
      <c r="J89" s="175">
        <f>H89/DAY(B2)</f>
        <v>5.989500000000044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74585.47</v>
      </c>
      <c r="F90" s="164">
        <v>74595</v>
      </c>
      <c r="G90" s="112">
        <f t="shared" si="8"/>
        <v>9.5299999999988358</v>
      </c>
      <c r="H90" s="99">
        <f>G90+'19'!H90</f>
        <v>147</v>
      </c>
      <c r="I90" s="543">
        <f>G90</f>
        <v>9.5299999999988358</v>
      </c>
      <c r="J90" s="175">
        <f>H90/DAY(B2)</f>
        <v>7.35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5809.39</v>
      </c>
      <c r="F91" s="122">
        <v>5821</v>
      </c>
      <c r="G91" s="112">
        <f t="shared" si="8"/>
        <v>11.609999999999673</v>
      </c>
      <c r="H91" s="99">
        <f>G91+'19'!H91</f>
        <v>202.78999999999996</v>
      </c>
      <c r="I91" s="544"/>
      <c r="J91" s="175">
        <f>H91/DAY(B2)</f>
        <v>10.139499999999998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7469.24</v>
      </c>
      <c r="F92" s="122">
        <v>7469.24</v>
      </c>
      <c r="G92" s="112">
        <f t="shared" si="8"/>
        <v>0</v>
      </c>
      <c r="H92" s="99">
        <f>G92+'19'!H92</f>
        <v>36.960000000000036</v>
      </c>
      <c r="I92" s="545">
        <f>G91+G92</f>
        <v>11.609999999999673</v>
      </c>
      <c r="J92" s="175">
        <f>H92/DAY(B2)</f>
        <v>1.8480000000000019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5890.5300000000279</v>
      </c>
      <c r="H94" s="99">
        <f>G94+'19'!H94</f>
        <v>115468</v>
      </c>
      <c r="I94" s="118"/>
      <c r="J94" s="175">
        <f>H94/DAY(B2)</f>
        <v>5773.4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0.23878268271920336</v>
      </c>
      <c r="H95" s="99">
        <f>G95+'19'!H95</f>
        <v>5.1677663446331756</v>
      </c>
      <c r="I95" s="167"/>
      <c r="J95" s="175">
        <f>H95/DAY(B2)</f>
        <v>0.25838831723165878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3986.3699999999953</v>
      </c>
      <c r="H96" s="99">
        <f>G96+'19'!H96</f>
        <v>73619.169999999984</v>
      </c>
      <c r="I96" s="118"/>
      <c r="J96" s="175">
        <f>H96/DAY(B2)</f>
        <v>3680.9584999999993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0.1615943086464792</v>
      </c>
      <c r="H97" s="99">
        <f>G97+'19'!H97</f>
        <v>3.287737296916228</v>
      </c>
      <c r="I97" s="167"/>
      <c r="J97" s="175">
        <f>H97/DAY(B2)</f>
        <v>0.16438686484581139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3029.5</v>
      </c>
      <c r="H98" s="99">
        <f>G98+'19'!H98</f>
        <v>56951.969999999972</v>
      </c>
      <c r="I98" s="168"/>
      <c r="J98" s="175">
        <f>H98/DAY(B2)</f>
        <v>2847.5984999999987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0.12280595078843894</v>
      </c>
      <c r="H99" s="99">
        <f>G99+'19'!H99</f>
        <v>2.5493238763924477</v>
      </c>
      <c r="I99" s="168"/>
      <c r="J99" s="175">
        <f>H99/DAY(B2)</f>
        <v>0.12746619381962238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2652.7700000000186</v>
      </c>
      <c r="H100" s="99">
        <f>G100+'19'!H100</f>
        <v>52266.43</v>
      </c>
      <c r="I100" s="118"/>
      <c r="J100" s="175">
        <f>H100/DAY(B2)</f>
        <v>2613.3215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0.1075345575418549</v>
      </c>
      <c r="H101" s="99">
        <f>G101+'19'!H101</f>
        <v>2.3365529271152106</v>
      </c>
      <c r="I101" s="168"/>
      <c r="J101" s="175">
        <f>H101/DAY(B2)</f>
        <v>0.11682764635576053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2782.8600000000442</v>
      </c>
      <c r="H102" s="99">
        <f>G102+'19'!H102</f>
        <v>50300</v>
      </c>
      <c r="I102" s="168"/>
      <c r="J102" s="175">
        <f>H102/DAY(B2)</f>
        <v>2515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0.11280797762374009</v>
      </c>
      <c r="H103" s="99">
        <f>G103+'19'!H103</f>
        <v>2.242155855610025</v>
      </c>
      <c r="I103" s="118"/>
      <c r="J103" s="175">
        <f>H103/DAY(B2)</f>
        <v>0.11210779278050124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1472.5299999999697</v>
      </c>
      <c r="H104" s="99">
        <f>G104+'19'!H104</f>
        <v>28478</v>
      </c>
      <c r="I104" s="118"/>
      <c r="J104" s="175">
        <f>H104/DAY(B2)</f>
        <v>1423.9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5.9691515667435635E-2</v>
      </c>
      <c r="H105" s="99">
        <f>G105+'19'!H105</f>
        <v>1.2743694006743402</v>
      </c>
      <c r="I105" s="187"/>
      <c r="J105" s="188">
        <f>H105/DAY(B2)</f>
        <v>6.3718470033717015E-2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'19'!F112</f>
        <v>20557.2</v>
      </c>
      <c r="F112" s="237">
        <v>20620</v>
      </c>
      <c r="G112" s="112">
        <f t="shared" ref="G112:G123" si="9">F112-E112</f>
        <v>62.799999999999272</v>
      </c>
      <c r="H112" s="99">
        <f>G112+'19'!H112</f>
        <v>1223</v>
      </c>
      <c r="I112" s="165"/>
      <c r="J112" s="328">
        <f>H112/DAY(B2)</f>
        <v>61.15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'19'!F113</f>
        <v>44267.7</v>
      </c>
      <c r="F113" s="237">
        <v>44417</v>
      </c>
      <c r="G113" s="112">
        <f t="shared" si="9"/>
        <v>149.30000000000291</v>
      </c>
      <c r="H113" s="99">
        <f>G113+'19'!H113</f>
        <v>2897.0500000000029</v>
      </c>
      <c r="I113" s="165"/>
      <c r="J113" s="328">
        <f>H113/DAY(B2)</f>
        <v>144.85250000000013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'19'!F114</f>
        <v>65499</v>
      </c>
      <c r="F114" s="237">
        <v>65727</v>
      </c>
      <c r="G114" s="112">
        <f t="shared" si="9"/>
        <v>228</v>
      </c>
      <c r="H114" s="99">
        <f>G114+'19'!H114</f>
        <v>4509</v>
      </c>
      <c r="I114" s="165"/>
      <c r="J114" s="328">
        <f>H114/DAY(B2)</f>
        <v>225.45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'19'!F115</f>
        <v>42204</v>
      </c>
      <c r="F115" s="237">
        <v>42351</v>
      </c>
      <c r="G115" s="112">
        <f t="shared" si="9"/>
        <v>147</v>
      </c>
      <c r="H115" s="99">
        <f>G115+'19'!H115</f>
        <v>2892</v>
      </c>
      <c r="I115" s="165"/>
      <c r="J115" s="328">
        <f>H115/DAY(B2)</f>
        <v>144.6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'19'!F116</f>
        <v>156301.29999999999</v>
      </c>
      <c r="F116" s="237">
        <v>156801</v>
      </c>
      <c r="G116" s="112">
        <f t="shared" si="9"/>
        <v>499.70000000001164</v>
      </c>
      <c r="H116" s="99">
        <f>G116+'19'!H116</f>
        <v>8871</v>
      </c>
      <c r="I116" s="165"/>
      <c r="J116" s="328">
        <f>H116/DAY(B2)</f>
        <v>443.55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'19'!F117</f>
        <v>96629.6</v>
      </c>
      <c r="F117" s="237">
        <v>96889</v>
      </c>
      <c r="G117" s="112">
        <f t="shared" si="9"/>
        <v>259.39999999999418</v>
      </c>
      <c r="H117" s="99">
        <f>G117+'19'!H117</f>
        <v>4899.6009999999951</v>
      </c>
      <c r="I117" s="165"/>
      <c r="J117" s="328">
        <f>H117/DAY(B2)</f>
        <v>244.98004999999975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'19'!F118</f>
        <v>190861.19</v>
      </c>
      <c r="F118" s="237">
        <v>191585</v>
      </c>
      <c r="G118" s="112">
        <f t="shared" si="9"/>
        <v>723.80999999999767</v>
      </c>
      <c r="H118" s="99">
        <f>G118+'19'!H118</f>
        <v>14052.470000000001</v>
      </c>
      <c r="I118" s="165"/>
      <c r="J118" s="328">
        <f>H118/DAY(B2)</f>
        <v>702.62350000000004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'19'!F119</f>
        <v>46241</v>
      </c>
      <c r="F119" s="237">
        <v>46314</v>
      </c>
      <c r="G119" s="112">
        <f t="shared" si="9"/>
        <v>73</v>
      </c>
      <c r="H119" s="99">
        <f>G119+'19'!H119</f>
        <v>1121</v>
      </c>
      <c r="I119" s="165"/>
      <c r="J119" s="328">
        <f>H119/DAY(B2)</f>
        <v>56.05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'19'!F120</f>
        <v>127856</v>
      </c>
      <c r="F120" s="237">
        <v>128259</v>
      </c>
      <c r="G120" s="112">
        <f t="shared" si="9"/>
        <v>403</v>
      </c>
      <c r="H120" s="99">
        <f>G120+'19'!H120</f>
        <v>7815</v>
      </c>
      <c r="I120" s="165"/>
      <c r="J120" s="328">
        <f>H120/DAY(B2)</f>
        <v>390.75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'19'!F121</f>
        <v>142879</v>
      </c>
      <c r="F121" s="237">
        <v>143340</v>
      </c>
      <c r="G121" s="112">
        <f t="shared" si="9"/>
        <v>461</v>
      </c>
      <c r="H121" s="99">
        <f>G121+'19'!H121</f>
        <v>8777</v>
      </c>
      <c r="I121" s="165"/>
      <c r="J121" s="328">
        <f>H121/DAY(B2)</f>
        <v>438.85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'19'!F122</f>
        <v>96674.5</v>
      </c>
      <c r="F122" s="237">
        <v>96975</v>
      </c>
      <c r="G122" s="112">
        <f t="shared" si="9"/>
        <v>300.5</v>
      </c>
      <c r="H122" s="99">
        <f>G122+'19'!H122</f>
        <v>6098</v>
      </c>
      <c r="I122" s="165"/>
      <c r="J122" s="328">
        <f>H122/DAY(B2)</f>
        <v>304.89999999999998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'19'!F123</f>
        <v>93452</v>
      </c>
      <c r="F123" s="237">
        <v>93761</v>
      </c>
      <c r="G123" s="112">
        <f t="shared" si="9"/>
        <v>309</v>
      </c>
      <c r="H123" s="99">
        <f>G123+'19'!H123</f>
        <v>6182</v>
      </c>
      <c r="I123" s="165"/>
      <c r="J123" s="328">
        <f>H123/DAY(B2)</f>
        <v>309.10000000000002</v>
      </c>
    </row>
    <row r="124" spans="1:18" ht="29.25" customHeight="1">
      <c r="A124" s="887"/>
      <c r="B124" s="888"/>
      <c r="C124" s="88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54" t="s">
        <v>108</v>
      </c>
      <c r="B125" s="954"/>
      <c r="C125" s="245"/>
      <c r="D125" s="307"/>
      <c r="E125" s="308"/>
      <c r="F125" s="308"/>
      <c r="G125" s="309">
        <f>SUM(G112:G124)</f>
        <v>3616.5100000000057</v>
      </c>
      <c r="H125" s="156"/>
      <c r="I125" s="327">
        <f>G125-(G39+G53)</f>
        <v>587.01000000000568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'19'!F128</f>
        <v>216418</v>
      </c>
      <c r="F128" s="165">
        <v>216915</v>
      </c>
      <c r="G128" s="112">
        <f t="shared" ref="G128:G134" si="10">F128-E128</f>
        <v>497</v>
      </c>
      <c r="H128" s="99">
        <f>G128+'19'!H128</f>
        <v>9626</v>
      </c>
      <c r="I128" s="165"/>
      <c r="J128" s="328">
        <f>H128/DAY(B2)</f>
        <v>481.3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2821</v>
      </c>
      <c r="F129" s="165">
        <v>2968</v>
      </c>
      <c r="G129" s="112">
        <f t="shared" si="10"/>
        <v>147</v>
      </c>
      <c r="H129" s="99">
        <f>G129+'19'!H129</f>
        <v>2234</v>
      </c>
      <c r="I129" s="165"/>
      <c r="J129" s="328">
        <f>H129/DAY(B2)</f>
        <v>111.7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299861</v>
      </c>
      <c r="F130" s="165">
        <v>300536</v>
      </c>
      <c r="G130" s="112">
        <f t="shared" si="10"/>
        <v>675</v>
      </c>
      <c r="H130" s="99">
        <f>G130+'19'!H130</f>
        <v>11814</v>
      </c>
      <c r="I130" s="165"/>
      <c r="J130" s="328">
        <f>H130/DAY(B2)</f>
        <v>590.70000000000005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'19'!F131</f>
        <v>88451.7</v>
      </c>
      <c r="F131" s="165">
        <v>88669</v>
      </c>
      <c r="G131" s="112">
        <f t="shared" si="10"/>
        <v>217.30000000000291</v>
      </c>
      <c r="H131" s="99">
        <f>G131+'19'!H131</f>
        <v>3965.1699999999983</v>
      </c>
      <c r="I131" s="165"/>
      <c r="J131" s="328">
        <f>H131/DAY(B2)</f>
        <v>198.25849999999991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'19'!F132</f>
        <v>73372</v>
      </c>
      <c r="F132" s="165">
        <v>73684</v>
      </c>
      <c r="G132" s="112">
        <f t="shared" si="10"/>
        <v>312</v>
      </c>
      <c r="H132" s="99">
        <f>G132+'19'!H132</f>
        <v>6237</v>
      </c>
      <c r="I132" s="165"/>
      <c r="J132" s="328">
        <f>H132/DAY(B2)</f>
        <v>311.85000000000002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'19'!F133</f>
        <v>288548</v>
      </c>
      <c r="F133" s="165">
        <v>288548</v>
      </c>
      <c r="G133" s="112">
        <f t="shared" si="10"/>
        <v>0</v>
      </c>
      <c r="H133" s="99">
        <f>G133+'19'!H133</f>
        <v>10419.830000000016</v>
      </c>
      <c r="I133" s="165"/>
      <c r="J133" s="328">
        <f>H133/DAY(B2)</f>
        <v>520.99150000000077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'19'!F134</f>
        <v>98136.3</v>
      </c>
      <c r="F134" s="464">
        <v>98394</v>
      </c>
      <c r="G134" s="112">
        <f t="shared" si="10"/>
        <v>257.69999999999709</v>
      </c>
      <c r="H134" s="99">
        <f>G134+'19'!H134</f>
        <v>7712.3099999999977</v>
      </c>
      <c r="I134" s="165"/>
      <c r="J134" s="328">
        <f>H134/DAY(B2)</f>
        <v>385.61549999999988</v>
      </c>
    </row>
    <row r="135" spans="1:15" ht="25.5">
      <c r="A135" s="975" t="s">
        <v>108</v>
      </c>
      <c r="B135" s="976"/>
      <c r="C135" s="879"/>
      <c r="D135" s="151"/>
      <c r="E135" s="95"/>
      <c r="F135" s="165"/>
      <c r="G135" s="112">
        <f>SUM(G128:G134)</f>
        <v>2106</v>
      </c>
      <c r="H135" s="99"/>
      <c r="I135" s="327">
        <f>G135-(G35+G49)</f>
        <v>-1342.4300000000512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'19'!F138</f>
        <v>915191</v>
      </c>
      <c r="F138" s="147">
        <v>915314</v>
      </c>
      <c r="G138" s="112">
        <f t="shared" ref="G138:G152" si="11">F138-E138</f>
        <v>123</v>
      </c>
      <c r="H138" s="99">
        <f>G138+'19'!H138</f>
        <v>5913</v>
      </c>
      <c r="I138" s="118"/>
      <c r="J138" s="328">
        <f>H138/DAY(B2)</f>
        <v>295.64999999999998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'19'!F139</f>
        <v>940070</v>
      </c>
      <c r="F139" s="148">
        <v>940249</v>
      </c>
      <c r="G139" s="112">
        <f t="shared" si="11"/>
        <v>179</v>
      </c>
      <c r="H139" s="99">
        <f>G139+'19'!H139</f>
        <v>2991</v>
      </c>
      <c r="I139" s="118"/>
      <c r="J139" s="328">
        <f>H139/DAY(B2)</f>
        <v>149.55000000000001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'19'!F140</f>
        <v>5374</v>
      </c>
      <c r="F140" s="149">
        <v>5409</v>
      </c>
      <c r="G140" s="112">
        <f>F140-E140</f>
        <v>35</v>
      </c>
      <c r="H140" s="99">
        <f>G140+'19'!H140</f>
        <v>645</v>
      </c>
      <c r="I140" s="118"/>
      <c r="J140" s="328">
        <f>H140/DAY(B2)</f>
        <v>32.25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'19'!F141</f>
        <v>136100.15</v>
      </c>
      <c r="F141" s="149">
        <v>136355</v>
      </c>
      <c r="G141" s="112">
        <f t="shared" si="11"/>
        <v>254.85000000000582</v>
      </c>
      <c r="H141" s="99">
        <f>G141+'19'!H141</f>
        <v>5035</v>
      </c>
      <c r="I141" s="118"/>
      <c r="J141" s="328">
        <f>H141/DAY(B2)</f>
        <v>251.75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'19'!F142</f>
        <v>54915</v>
      </c>
      <c r="F142" s="148">
        <v>55007</v>
      </c>
      <c r="G142" s="112">
        <f t="shared" si="11"/>
        <v>92</v>
      </c>
      <c r="H142" s="99">
        <f>G142+'19'!H142</f>
        <v>1816</v>
      </c>
      <c r="I142" s="140"/>
      <c r="J142" s="328">
        <f>H142/DAY(B2)</f>
        <v>90.8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'19'!F143</f>
        <v>14927.7</v>
      </c>
      <c r="F143" s="149">
        <v>14957</v>
      </c>
      <c r="G143" s="112">
        <f t="shared" si="11"/>
        <v>29.299999999999272</v>
      </c>
      <c r="H143" s="99">
        <f>G143+'19'!H143</f>
        <v>645</v>
      </c>
      <c r="I143" s="140"/>
      <c r="J143" s="328">
        <f>H143/DAY(B2)</f>
        <v>32.25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'19'!F144</f>
        <v>968040</v>
      </c>
      <c r="F144" s="149">
        <v>968294</v>
      </c>
      <c r="G144" s="112">
        <f t="shared" si="11"/>
        <v>254</v>
      </c>
      <c r="H144" s="99">
        <f>G144+'19'!H144</f>
        <v>5068</v>
      </c>
      <c r="I144" s="140"/>
      <c r="J144" s="328">
        <f>H144/DAY(B2)</f>
        <v>253.4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'19'!F145</f>
        <v>754748</v>
      </c>
      <c r="F145" s="149">
        <v>754993</v>
      </c>
      <c r="G145" s="112">
        <f t="shared" si="11"/>
        <v>245</v>
      </c>
      <c r="H145" s="99">
        <f>G145+'19'!H145</f>
        <v>4260</v>
      </c>
      <c r="I145" s="140"/>
      <c r="J145" s="328">
        <f>H145/DAY(B2)</f>
        <v>213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'19'!F146</f>
        <v>789767</v>
      </c>
      <c r="F146" s="148">
        <v>789801</v>
      </c>
      <c r="G146" s="112">
        <f t="shared" si="11"/>
        <v>34</v>
      </c>
      <c r="H146" s="99">
        <f>G146+'19'!H146</f>
        <v>776</v>
      </c>
      <c r="I146" s="140"/>
      <c r="J146" s="328">
        <f>H146/DAY(B2)</f>
        <v>38.799999999999997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'19'!F147</f>
        <v>778893.28</v>
      </c>
      <c r="F147" s="148">
        <v>779305</v>
      </c>
      <c r="G147" s="112">
        <f t="shared" si="11"/>
        <v>411.71999999997206</v>
      </c>
      <c r="H147" s="99">
        <f>G147+'19'!H147</f>
        <v>7648.1199999999953</v>
      </c>
      <c r="I147" s="140"/>
      <c r="J147" s="328">
        <f>H147/DAY(B2)</f>
        <v>382.40599999999978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'19'!F148</f>
        <v>813637.92</v>
      </c>
      <c r="F148" s="150">
        <v>814018</v>
      </c>
      <c r="G148" s="112">
        <f t="shared" si="11"/>
        <v>380.07999999995809</v>
      </c>
      <c r="H148" s="99">
        <f>G148+'19'!H148</f>
        <v>7197.7600000000093</v>
      </c>
      <c r="I148" s="124"/>
      <c r="J148" s="328">
        <f>H148/DAY(B2)</f>
        <v>359.88800000000049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'19'!F149</f>
        <v>225923.25</v>
      </c>
      <c r="F149" s="146">
        <v>226370</v>
      </c>
      <c r="G149" s="112">
        <f t="shared" si="11"/>
        <v>446.75</v>
      </c>
      <c r="H149" s="99">
        <f>G149+'19'!H149</f>
        <v>9474</v>
      </c>
      <c r="I149" s="119"/>
      <c r="J149" s="328">
        <f>H149/DAY(B2)</f>
        <v>473.7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'19'!F150</f>
        <v>96655.6</v>
      </c>
      <c r="F150" s="233">
        <v>96884</v>
      </c>
      <c r="G150" s="112">
        <f t="shared" si="11"/>
        <v>228.39999999999418</v>
      </c>
      <c r="H150" s="99">
        <f>G150+'19'!H150</f>
        <v>4773.1999999999971</v>
      </c>
      <c r="I150" s="119"/>
      <c r="J150" s="328">
        <f>H150/DAY(B2)</f>
        <v>238.65999999999985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'19'!F151</f>
        <v>182833</v>
      </c>
      <c r="F151" s="233">
        <v>183192</v>
      </c>
      <c r="G151" s="112">
        <f t="shared" si="11"/>
        <v>359</v>
      </c>
      <c r="H151" s="99">
        <f>G151+'19'!H151</f>
        <v>7017</v>
      </c>
      <c r="I151" s="119"/>
      <c r="J151" s="328">
        <f>H151/DAY(B2)</f>
        <v>350.85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'19'!F152</f>
        <v>49123.42</v>
      </c>
      <c r="F152" s="233">
        <v>49255</v>
      </c>
      <c r="G152" s="112">
        <f t="shared" si="11"/>
        <v>131.58000000000175</v>
      </c>
      <c r="H152" s="99">
        <f>G152+'19'!H152</f>
        <v>2623</v>
      </c>
      <c r="I152" s="119"/>
      <c r="J152" s="328">
        <f>H152/DAY(B2)</f>
        <v>131.15</v>
      </c>
    </row>
    <row r="153" spans="1:10" ht="25.5">
      <c r="A153" s="458" t="s">
        <v>108</v>
      </c>
      <c r="B153" s="365"/>
      <c r="C153" s="365"/>
      <c r="D153" s="117"/>
      <c r="E153" s="95"/>
      <c r="F153" s="233"/>
      <c r="G153" s="112">
        <f>SUM(G138:G152)</f>
        <v>3203.6799999999312</v>
      </c>
      <c r="H153" s="99"/>
      <c r="I153" s="119">
        <f>G153-(G38+G52)</f>
        <v>550.90999999991254</v>
      </c>
      <c r="J153" s="328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'19'!F155</f>
        <v>266747.90000000002</v>
      </c>
      <c r="F155" s="374">
        <v>267297</v>
      </c>
      <c r="G155" s="112">
        <f t="shared" ref="G155:G158" si="12">F155-E155</f>
        <v>549.09999999997672</v>
      </c>
      <c r="H155" s="99">
        <f>G155+'19'!H155</f>
        <v>10945</v>
      </c>
      <c r="I155" s="364"/>
      <c r="J155" s="328">
        <f>H155/DAY(B2)</f>
        <v>547.25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'19'!F156</f>
        <v>34375</v>
      </c>
      <c r="F156" s="155">
        <v>34469</v>
      </c>
      <c r="G156" s="112">
        <f t="shared" si="12"/>
        <v>94</v>
      </c>
      <c r="H156" s="99">
        <f>G156+'19'!H156</f>
        <v>1910</v>
      </c>
      <c r="I156" s="165"/>
      <c r="J156" s="328">
        <f>H156/DAY(B2)</f>
        <v>95.5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v>3241</v>
      </c>
      <c r="F157" s="155">
        <v>3372</v>
      </c>
      <c r="G157" s="112">
        <f t="shared" si="12"/>
        <v>131</v>
      </c>
      <c r="H157" s="99">
        <f>G157+'19'!H157</f>
        <v>131</v>
      </c>
      <c r="I157" s="165"/>
      <c r="J157" s="328">
        <f>H157/DAY(B2)</f>
        <v>6.55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v>1790.84</v>
      </c>
      <c r="F158" s="155">
        <v>1791</v>
      </c>
      <c r="G158" s="112">
        <f t="shared" si="12"/>
        <v>0.16000000000008185</v>
      </c>
      <c r="H158" s="99">
        <f>G158+'19'!H158</f>
        <v>0.16000000000008185</v>
      </c>
      <c r="I158" s="165"/>
      <c r="J158" s="328">
        <f>H158/DAY(B2)</f>
        <v>8.0000000000040924E-3</v>
      </c>
    </row>
    <row r="159" spans="1:10" ht="25.5">
      <c r="A159" s="946"/>
      <c r="B159" s="947"/>
      <c r="C159" s="948"/>
      <c r="D159" s="117"/>
      <c r="E159" s="95"/>
      <c r="F159" s="15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515289.96</v>
      </c>
      <c r="F161" s="235">
        <v>515507</v>
      </c>
      <c r="G161" s="238">
        <f t="shared" ref="G161:G166" si="13">F161-E161</f>
        <v>217.03999999997905</v>
      </c>
      <c r="H161" s="99">
        <f>G161+'19'!H161</f>
        <v>3062</v>
      </c>
      <c r="I161" s="236"/>
      <c r="J161" s="239">
        <f>H161/DAY(B2)</f>
        <v>153.1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2568.5</v>
      </c>
      <c r="F162" s="235">
        <v>2619</v>
      </c>
      <c r="G162" s="238">
        <f t="shared" si="13"/>
        <v>50.5</v>
      </c>
      <c r="H162" s="99">
        <f>G162+'19'!H162</f>
        <v>859</v>
      </c>
      <c r="I162" s="236"/>
      <c r="J162" s="239">
        <f>H162/DAY(B2)</f>
        <v>42.95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0</v>
      </c>
      <c r="F163" s="235">
        <v>0</v>
      </c>
      <c r="G163" s="238">
        <f t="shared" si="13"/>
        <v>0</v>
      </c>
      <c r="H163" s="99">
        <f>G163+'19'!H163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7386.6</v>
      </c>
      <c r="F164" s="235">
        <v>7391</v>
      </c>
      <c r="G164" s="238">
        <f t="shared" si="13"/>
        <v>4.3999999999996362</v>
      </c>
      <c r="H164" s="99">
        <f>G164+'19'!H164</f>
        <v>54</v>
      </c>
      <c r="I164" s="236"/>
      <c r="J164" s="239">
        <f>H164/DAY(B2)</f>
        <v>2.7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33105.370000000003</v>
      </c>
      <c r="F165" s="235">
        <v>33114</v>
      </c>
      <c r="G165" s="238">
        <f t="shared" si="13"/>
        <v>8.6299999999973807</v>
      </c>
      <c r="H165" s="99">
        <f>G165+'19'!H165</f>
        <v>139.4800000000032</v>
      </c>
      <c r="I165" s="236"/>
      <c r="J165" s="239">
        <f>H165/DAY(B2)</f>
        <v>6.9740000000001601</v>
      </c>
    </row>
    <row r="166" spans="1:10" ht="26.25">
      <c r="A166" s="872"/>
      <c r="B166" s="87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'19'!F173</f>
        <v>8603</v>
      </c>
      <c r="F173" s="155">
        <v>8603</v>
      </c>
      <c r="G173" s="155">
        <f>F173-E173</f>
        <v>0</v>
      </c>
      <c r="H173" s="99">
        <f>G173+'19'!H173</f>
        <v>21</v>
      </c>
      <c r="I173" s="155"/>
      <c r="J173" s="178">
        <f>H173/DAY(B2)</f>
        <v>1.05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'19'!F174</f>
        <v>43594</v>
      </c>
      <c r="F174" s="157">
        <v>43608</v>
      </c>
      <c r="G174" s="155">
        <f t="shared" ref="G174:G175" si="14">F174-E174</f>
        <v>14</v>
      </c>
      <c r="H174" s="99">
        <f>G174+'19'!H174</f>
        <v>194</v>
      </c>
      <c r="I174" s="155"/>
      <c r="J174" s="178">
        <f>H174/DAY(B2)</f>
        <v>9.6999999999999993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'19'!F175</f>
        <v>26540</v>
      </c>
      <c r="F175" s="155">
        <v>26557</v>
      </c>
      <c r="G175" s="155">
        <f t="shared" si="14"/>
        <v>17</v>
      </c>
      <c r="H175" s="99">
        <f>G175+'19'!H175</f>
        <v>270</v>
      </c>
      <c r="I175" s="155"/>
      <c r="J175" s="178">
        <f>H175/DAY(B2)</f>
        <v>13.5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31</v>
      </c>
      <c r="H176" s="99">
        <f>G176+'19'!H176</f>
        <v>485</v>
      </c>
      <c r="I176" s="155"/>
      <c r="J176" s="178">
        <f>H176/DAY(B2)</f>
        <v>24.25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'19'!F178</f>
        <v>112384</v>
      </c>
      <c r="F178" s="155">
        <v>112499</v>
      </c>
      <c r="G178" s="155">
        <f>F178-E178</f>
        <v>115</v>
      </c>
      <c r="H178" s="99">
        <f>G178+'19'!H178</f>
        <v>2108</v>
      </c>
      <c r="I178" s="155"/>
      <c r="J178" s="178">
        <f>H178/DAY(B2)</f>
        <v>105.4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'19'!F180</f>
        <v>7778</v>
      </c>
      <c r="F180" s="155">
        <v>7784</v>
      </c>
      <c r="G180" s="155">
        <f t="shared" si="15"/>
        <v>6</v>
      </c>
      <c r="H180" s="99">
        <f>G180+'19'!H180</f>
        <v>83</v>
      </c>
      <c r="I180" s="155"/>
      <c r="J180" s="178">
        <f>H180/DAY(B2)</f>
        <v>4.1500000000000004</v>
      </c>
    </row>
    <row r="181" spans="1:10" ht="24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121</v>
      </c>
      <c r="H181" s="99">
        <f>G181+'19'!H181</f>
        <v>2191</v>
      </c>
      <c r="I181" s="155"/>
      <c r="J181" s="178">
        <f>H181/DAY(B2)</f>
        <v>109.55</v>
      </c>
    </row>
    <row r="182" spans="1:10" ht="24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790" t="s">
        <v>214</v>
      </c>
      <c r="B183" s="791"/>
      <c r="C183" s="334"/>
      <c r="D183" s="228" t="s">
        <v>142</v>
      </c>
      <c r="E183" s="95">
        <f>'19'!F183</f>
        <v>18806</v>
      </c>
      <c r="F183" s="157">
        <v>18821</v>
      </c>
      <c r="G183" s="157">
        <f>F183-E183</f>
        <v>15</v>
      </c>
      <c r="H183" s="99">
        <f>G183+'19'!H183</f>
        <v>129</v>
      </c>
      <c r="I183" s="155"/>
      <c r="J183" s="178">
        <f>H183/DAY(B2)</f>
        <v>6.45</v>
      </c>
    </row>
    <row r="184" spans="1:10" ht="24.75" customHeight="1">
      <c r="A184" s="790" t="s">
        <v>215</v>
      </c>
      <c r="B184" s="791"/>
      <c r="C184" s="334"/>
      <c r="D184" s="228" t="s">
        <v>142</v>
      </c>
      <c r="E184" s="95">
        <f>'19'!F184</f>
        <v>13385</v>
      </c>
      <c r="F184" s="157">
        <v>13392</v>
      </c>
      <c r="G184" s="157">
        <f t="shared" ref="G184" si="16">F184-E184</f>
        <v>7</v>
      </c>
      <c r="H184" s="99">
        <f>G184+'19'!H184</f>
        <v>146</v>
      </c>
      <c r="I184" s="155"/>
      <c r="J184" s="178">
        <f>H184/DAY(B2)</f>
        <v>7.3</v>
      </c>
    </row>
    <row r="185" spans="1:10" ht="24.75" customHeight="1">
      <c r="A185" s="790" t="s">
        <v>216</v>
      </c>
      <c r="B185" s="791"/>
      <c r="C185" s="334"/>
      <c r="D185" s="228" t="s">
        <v>142</v>
      </c>
      <c r="E185" s="95">
        <f>'19'!F185</f>
        <v>0</v>
      </c>
      <c r="F185" s="157" t="s">
        <v>365</v>
      </c>
      <c r="G185" s="157"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22</v>
      </c>
      <c r="H186" s="99">
        <f>G186+'19'!H186</f>
        <v>275</v>
      </c>
      <c r="I186" s="157"/>
      <c r="J186" s="178">
        <f>H186/DAY(B2)</f>
        <v>13.75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111</v>
      </c>
      <c r="H187" s="99">
        <f>G187+'19'!H187</f>
        <v>2613</v>
      </c>
      <c r="I187" s="158"/>
      <c r="J187" s="179">
        <f>H187/DAY(B2)</f>
        <v>130.65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183</v>
      </c>
      <c r="H188" s="99">
        <f>G188+'19'!H188</f>
        <v>1090</v>
      </c>
      <c r="I188" s="158"/>
      <c r="J188" s="179">
        <f>H188/DAY(B2)</f>
        <v>54.5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121</v>
      </c>
      <c r="H189" s="99">
        <f>G189+'19'!H189</f>
        <v>220</v>
      </c>
      <c r="I189" s="158"/>
      <c r="J189" s="179">
        <f>H189/DAY(B2)</f>
        <v>11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58" zoomScale="60" zoomScaleNormal="60" zoomScalePageLayoutView="20" workbookViewId="0">
      <selection activeCell="G90" sqref="G9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355</v>
      </c>
      <c r="B2" s="262">
        <v>44978</v>
      </c>
      <c r="C2" s="348" t="s">
        <v>67</v>
      </c>
      <c r="D2" s="218">
        <v>0.88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70799</v>
      </c>
      <c r="F7" s="95">
        <v>95085</v>
      </c>
      <c r="G7" s="112">
        <f>F7-E7</f>
        <v>24286</v>
      </c>
      <c r="H7" s="99">
        <f>G7+'20'!H7</f>
        <v>471718</v>
      </c>
      <c r="I7" s="113">
        <f>'1'!I7</f>
        <v>12000</v>
      </c>
      <c r="J7" s="175">
        <f>H7/DAY(B2)</f>
        <v>22462.761904761905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274161</v>
      </c>
      <c r="F8" s="114">
        <v>299015</v>
      </c>
      <c r="G8" s="115">
        <f>F8-E8</f>
        <v>24854</v>
      </c>
      <c r="H8" s="99">
        <f>G8+'20'!H8</f>
        <v>482905</v>
      </c>
      <c r="I8" s="116"/>
      <c r="J8" s="175">
        <f>H8/DAY(B2)</f>
        <v>22995.476190476191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5076509</v>
      </c>
      <c r="F9" s="468">
        <v>5090361</v>
      </c>
      <c r="G9" s="112">
        <f>F9-E9</f>
        <v>13852</v>
      </c>
      <c r="H9" s="99">
        <f>G9+'20'!H9</f>
        <v>265262</v>
      </c>
      <c r="I9" s="124">
        <f>I7-J7</f>
        <v>-10462.761904761905</v>
      </c>
      <c r="J9" s="175">
        <f>H9/DAY(B2)</f>
        <v>12631.523809523809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4475501</v>
      </c>
      <c r="F10" s="353">
        <v>4485303</v>
      </c>
      <c r="G10" s="112">
        <f t="shared" ref="G10:G12" si="0">F10-E10</f>
        <v>9802</v>
      </c>
      <c r="H10" s="99">
        <f>G10+'20'!H10</f>
        <v>194769</v>
      </c>
      <c r="I10" s="282"/>
      <c r="J10" s="175">
        <f>H10/DAY(B2)</f>
        <v>9274.7142857142862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38700</v>
      </c>
      <c r="F11" s="95">
        <v>38700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40550</v>
      </c>
      <c r="F12" s="117">
        <v>40550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23654</v>
      </c>
      <c r="H13" s="99">
        <f>G13+'20'!H13</f>
        <v>460031</v>
      </c>
      <c r="I13" s="120">
        <f>G7-G13</f>
        <v>632</v>
      </c>
      <c r="J13" s="175">
        <f>H13/DAY(B2)</f>
        <v>21906.238095238095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2310335</v>
      </c>
      <c r="F15" s="468">
        <v>2311551</v>
      </c>
      <c r="G15" s="112">
        <f>(F15-E15)</f>
        <v>1216</v>
      </c>
      <c r="H15" s="99">
        <f>G15+'20'!H15</f>
        <v>23077.285000000149</v>
      </c>
      <c r="I15" s="113">
        <f>'1'!I15</f>
        <v>800</v>
      </c>
      <c r="J15" s="175">
        <f>H15/DAY(B2)</f>
        <v>1098.9183333333403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-298.91833333334034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'20'!F18</f>
        <v>18</v>
      </c>
      <c r="F18" s="122">
        <v>20</v>
      </c>
      <c r="G18" s="119">
        <f>F18*10</f>
        <v>200</v>
      </c>
      <c r="H18" s="99">
        <f>G18+'20'!H18</f>
        <v>3610</v>
      </c>
      <c r="I18" s="113">
        <f>'1'!I18</f>
        <v>65</v>
      </c>
      <c r="J18" s="175">
        <f>H18/DAY(B2)</f>
        <v>171.9047619047619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'20'!F19</f>
        <v>172367</v>
      </c>
      <c r="F19" s="122">
        <v>172425</v>
      </c>
      <c r="G19" s="112">
        <f t="shared" ref="G19" si="1">F19-E19</f>
        <v>58</v>
      </c>
      <c r="H19" s="99">
        <f>G19+'20'!H19</f>
        <v>1102</v>
      </c>
      <c r="I19" s="335"/>
      <c r="J19" s="175">
        <f>H19/DAY(B2)</f>
        <v>52.476190476190474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G20+'20'!H20</f>
        <v>4712</v>
      </c>
      <c r="I20" s="336">
        <f>I18-J20</f>
        <v>-159.38095238095238</v>
      </c>
      <c r="J20" s="175">
        <f>H20/DAY(B2)</f>
        <v>224.38095238095238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>F22-E22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1860</v>
      </c>
      <c r="F23" s="122">
        <v>1860</v>
      </c>
      <c r="G23" s="119">
        <f>F23-E23</f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4830</v>
      </c>
      <c r="F24" s="128">
        <f>SUM(F22:F23)</f>
        <v>4830</v>
      </c>
      <c r="G24" s="119">
        <f>SUM(G22:G23)</f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24854</v>
      </c>
      <c r="F27" s="136">
        <v>10</v>
      </c>
      <c r="G27" s="137">
        <f>E27*F27</f>
        <v>248540</v>
      </c>
      <c r="H27" s="99">
        <f>G27+'20'!H27</f>
        <v>4829050</v>
      </c>
      <c r="I27" s="138"/>
      <c r="J27" s="175">
        <f>H27/DAY(B2)</f>
        <v>229954.76190476189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1216</v>
      </c>
      <c r="F28" s="136">
        <v>63</v>
      </c>
      <c r="G28" s="137">
        <f>E28*F28</f>
        <v>76608</v>
      </c>
      <c r="H28" s="99">
        <f>G28+'20'!H28</f>
        <v>1473290.4100000104</v>
      </c>
      <c r="I28" s="140"/>
      <c r="J28" s="175">
        <f>H28/DAY(B2)</f>
        <v>70156.686190476685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137">
        <f>E29*F29</f>
        <v>0</v>
      </c>
      <c r="H29" s="99">
        <f>G29+'20'!H29</f>
        <v>6900</v>
      </c>
      <c r="I29" s="140"/>
      <c r="J29" s="175">
        <f>H29/DAY(B2)</f>
        <v>328.57142857142856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155</v>
      </c>
      <c r="G30" s="137">
        <f>E30*F30</f>
        <v>8990</v>
      </c>
      <c r="H30" s="99">
        <f>G30+'20'!H30</f>
        <v>169490</v>
      </c>
      <c r="I30" s="140"/>
      <c r="J30" s="175">
        <f>H30/DAY(B2)</f>
        <v>8070.9523809523807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88</v>
      </c>
      <c r="G31" s="137">
        <f>E31*F31</f>
        <v>17600</v>
      </c>
      <c r="H31" s="99">
        <f>G31+'20'!H31</f>
        <v>314020</v>
      </c>
      <c r="I31" s="140"/>
      <c r="J31" s="175">
        <f>H31/DAY(B2)</f>
        <v>14953.333333333334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351738</v>
      </c>
      <c r="H32" s="99">
        <f>G32+'20'!H32</f>
        <v>6792750.4100000104</v>
      </c>
      <c r="I32" s="144"/>
      <c r="J32" s="175">
        <f>H32/DAY(B2)</f>
        <v>323464.30523809575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583118</v>
      </c>
      <c r="F35" s="145">
        <v>586014</v>
      </c>
      <c r="G35" s="112">
        <f t="shared" ref="G35:G46" si="2">F35-E35</f>
        <v>2896</v>
      </c>
      <c r="H35" s="99">
        <f>G35+'20'!H35</f>
        <v>55958</v>
      </c>
      <c r="I35" s="95"/>
      <c r="J35" s="175">
        <f>H35/DAY(B2)</f>
        <v>2664.6666666666665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402715</v>
      </c>
      <c r="F36" s="145">
        <v>403818</v>
      </c>
      <c r="G36" s="112">
        <f t="shared" si="2"/>
        <v>1103</v>
      </c>
      <c r="H36" s="99">
        <f>G36+'20'!H36</f>
        <v>21997</v>
      </c>
      <c r="I36" s="95"/>
      <c r="J36" s="175">
        <f>H36/DAY(B2)</f>
        <v>1047.4761904761904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412097</v>
      </c>
      <c r="F37" s="418">
        <v>413550</v>
      </c>
      <c r="G37" s="112">
        <f t="shared" si="2"/>
        <v>1453</v>
      </c>
      <c r="H37" s="99">
        <f>G37+'20'!H37</f>
        <v>29931</v>
      </c>
      <c r="I37" s="95"/>
      <c r="J37" s="175">
        <f>H37/DAY(B2)</f>
        <v>1425.2857142857142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929393</v>
      </c>
      <c r="F38" s="108">
        <v>932071</v>
      </c>
      <c r="G38" s="112">
        <f t="shared" si="2"/>
        <v>2678</v>
      </c>
      <c r="H38" s="99">
        <f>G38+'20'!H38</f>
        <v>54944</v>
      </c>
      <c r="I38" s="95"/>
      <c r="J38" s="175">
        <f>H38/DAY(B2)</f>
        <v>2616.3809523809523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763088</v>
      </c>
      <c r="F39" s="418">
        <v>765968</v>
      </c>
      <c r="G39" s="112">
        <f t="shared" si="2"/>
        <v>2880</v>
      </c>
      <c r="H39" s="99">
        <f>G39+'20'!H39</f>
        <v>59832</v>
      </c>
      <c r="I39" s="95"/>
      <c r="J39" s="175">
        <f>H39/DAY(B2)</f>
        <v>2849.1428571428573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222611</v>
      </c>
      <c r="F40" s="145">
        <v>222997</v>
      </c>
      <c r="G40" s="112">
        <f t="shared" si="2"/>
        <v>386</v>
      </c>
      <c r="H40" s="99">
        <f>G40+'20'!H40</f>
        <v>5205</v>
      </c>
      <c r="I40" s="95"/>
      <c r="J40" s="175">
        <f>H40/DAY(B2)</f>
        <v>247.85714285714286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420212.51</v>
      </c>
      <c r="F41" s="145">
        <v>420212.51</v>
      </c>
      <c r="G41" s="112">
        <f t="shared" si="2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984716</v>
      </c>
      <c r="F42" s="145">
        <v>986238</v>
      </c>
      <c r="G42" s="112">
        <f t="shared" si="2"/>
        <v>1522</v>
      </c>
      <c r="H42" s="99">
        <f>G42+'20'!H42</f>
        <v>13175.369999999995</v>
      </c>
      <c r="I42" s="95"/>
      <c r="J42" s="175">
        <f>H42/DAY(B2)</f>
        <v>627.39857142857124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422444</v>
      </c>
      <c r="F43" s="145">
        <v>422444</v>
      </c>
      <c r="G43" s="112">
        <f t="shared" si="2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2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2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2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12918</v>
      </c>
      <c r="H47" s="99">
        <f>G47+'20'!H47</f>
        <v>241042.37</v>
      </c>
      <c r="I47" s="95"/>
      <c r="J47" s="175">
        <f>H47/DAY(B2)</f>
        <v>11478.208095238095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833684</v>
      </c>
      <c r="F49" s="145">
        <v>834193</v>
      </c>
      <c r="G49" s="112">
        <f t="shared" ref="G49:G58" si="3">F49-E49</f>
        <v>509</v>
      </c>
      <c r="H49" s="99">
        <f>G49+'20'!H49</f>
        <v>11281</v>
      </c>
      <c r="I49" s="95"/>
      <c r="J49" s="175">
        <f>H49/DAY(B2)</f>
        <v>537.19047619047615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571380</v>
      </c>
      <c r="F50" s="145">
        <v>573002</v>
      </c>
      <c r="G50" s="112">
        <f t="shared" si="3"/>
        <v>1622</v>
      </c>
      <c r="H50" s="99">
        <f>G50+'20'!H50</f>
        <v>31028</v>
      </c>
      <c r="I50" s="95"/>
      <c r="J50" s="175">
        <f>H50/DAY(B2)</f>
        <v>1477.5238095238096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156958</v>
      </c>
      <c r="F51" s="145">
        <v>156958</v>
      </c>
      <c r="G51" s="112">
        <f t="shared" si="3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1457.43</v>
      </c>
      <c r="F52" s="145">
        <v>1457</v>
      </c>
      <c r="G52" s="112">
        <f t="shared" si="3"/>
        <v>-0.43000000000006366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630355</v>
      </c>
      <c r="F53" s="145">
        <v>630355</v>
      </c>
      <c r="G53" s="112">
        <f t="shared" si="3"/>
        <v>0</v>
      </c>
      <c r="H53" s="99">
        <f>G53+'20'!H53</f>
        <v>-3.0000000027939677E-2</v>
      </c>
      <c r="I53" s="95"/>
      <c r="J53" s="175">
        <f>H53/DAY(B2)</f>
        <v>-1.4285714299018895E-3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130274</v>
      </c>
      <c r="F54" s="145">
        <v>130555</v>
      </c>
      <c r="G54" s="112">
        <f t="shared" si="3"/>
        <v>281</v>
      </c>
      <c r="H54" s="99">
        <f>G54+'20'!H54</f>
        <v>6440.7899999999936</v>
      </c>
      <c r="I54" s="95"/>
      <c r="J54" s="175">
        <f>H54/DAY(B2)</f>
        <v>306.70428571428539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623955</v>
      </c>
      <c r="F55" s="145">
        <v>627414</v>
      </c>
      <c r="G55" s="112">
        <f t="shared" si="3"/>
        <v>3459</v>
      </c>
      <c r="H55" s="99">
        <f>G55+'20'!H55</f>
        <v>33109.25</v>
      </c>
      <c r="I55" s="95"/>
      <c r="J55" s="175">
        <f>H55/DAY(B2)</f>
        <v>1576.6309523809523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405435.55</v>
      </c>
      <c r="F56" s="418">
        <v>405435.55</v>
      </c>
      <c r="G56" s="112">
        <f t="shared" si="3"/>
        <v>0</v>
      </c>
      <c r="H56" s="99">
        <f>G56+'20'!H56</f>
        <v>32315.549999999988</v>
      </c>
      <c r="I56" s="95"/>
      <c r="J56" s="175">
        <f>H56/DAY(B2)</f>
        <v>1538.8357142857137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759332</v>
      </c>
      <c r="F57" s="145">
        <v>761988</v>
      </c>
      <c r="G57" s="112">
        <f t="shared" si="3"/>
        <v>2656</v>
      </c>
      <c r="H57" s="99">
        <f>G57+'20'!H57</f>
        <v>54290</v>
      </c>
      <c r="I57" s="95"/>
      <c r="J57" s="175">
        <f>H57/DAY(B2)</f>
        <v>2585.2380952380954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99271</v>
      </c>
      <c r="F58" s="145">
        <v>99556</v>
      </c>
      <c r="G58" s="112">
        <f t="shared" si="3"/>
        <v>285</v>
      </c>
      <c r="H58" s="99">
        <f>G58+'20'!H58</f>
        <v>4986.179999999993</v>
      </c>
      <c r="I58" s="95"/>
      <c r="J58" s="175">
        <f>H58/DAY(B2)</f>
        <v>237.43714285714253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8811.57</v>
      </c>
      <c r="H59" s="99">
        <f>G59+'20'!H59</f>
        <v>173450.73999999996</v>
      </c>
      <c r="I59" s="95">
        <f>G7-G60</f>
        <v>2556.4300000000003</v>
      </c>
      <c r="J59" s="175">
        <f>H59/DAY(B2)</f>
        <v>8259.5590476190464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21729.57</v>
      </c>
      <c r="H60" s="99">
        <f>G60+'20'!H60</f>
        <v>414493.10999999993</v>
      </c>
      <c r="I60" s="95">
        <f>G13-G60</f>
        <v>1924.4300000000003</v>
      </c>
      <c r="J60" s="175">
        <f>H60/DAY(B2)</f>
        <v>19737.767142857141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'20'!F62</f>
        <v>317246</v>
      </c>
      <c r="F62" s="122">
        <v>317298</v>
      </c>
      <c r="G62" s="112">
        <f t="shared" ref="G62:G63" si="4">F62-E62</f>
        <v>52</v>
      </c>
      <c r="H62" s="99">
        <f>G62+'20'!H62</f>
        <v>1621</v>
      </c>
      <c r="I62" s="118"/>
      <c r="J62" s="175">
        <f>H62/DAY(B2)</f>
        <v>77.19047619047619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'20'!F63</f>
        <v>254131</v>
      </c>
      <c r="F63" s="150">
        <v>254235</v>
      </c>
      <c r="G63" s="112">
        <f t="shared" si="4"/>
        <v>104</v>
      </c>
      <c r="H63" s="99">
        <f>G63+'20'!H63</f>
        <v>1911</v>
      </c>
      <c r="I63" s="118"/>
      <c r="J63" s="175">
        <f>H63/DAY(B2)</f>
        <v>91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'20'!F64</f>
        <v>0</v>
      </c>
      <c r="F64" s="122"/>
      <c r="G64" s="112">
        <f>G62+G63</f>
        <v>156</v>
      </c>
      <c r="H64" s="99">
        <f>G64+'20'!H64</f>
        <v>3532</v>
      </c>
      <c r="I64" s="118"/>
      <c r="J64" s="175">
        <f>H64/DAY(B2)</f>
        <v>168.1904761904762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'20'!F65</f>
        <v>478436</v>
      </c>
      <c r="F65" s="122">
        <v>478574</v>
      </c>
      <c r="G65" s="112">
        <f t="shared" ref="G65:G70" si="5">F65-E65</f>
        <v>138</v>
      </c>
      <c r="H65" s="99">
        <f>G65+'20'!H65</f>
        <v>2671</v>
      </c>
      <c r="I65" s="118"/>
      <c r="J65" s="175">
        <f>H65/DAY(B2)</f>
        <v>127.19047619047619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114751</v>
      </c>
      <c r="F66" s="122">
        <v>114768</v>
      </c>
      <c r="G66" s="112">
        <f t="shared" si="5"/>
        <v>17</v>
      </c>
      <c r="H66" s="99">
        <f>G66+'20'!H66</f>
        <v>302</v>
      </c>
      <c r="I66" s="118"/>
      <c r="J66" s="175">
        <f>H66/DAY(B2)</f>
        <v>14.380952380952381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117763</v>
      </c>
      <c r="F67" s="122">
        <v>117783</v>
      </c>
      <c r="G67" s="112">
        <f t="shared" si="5"/>
        <v>20</v>
      </c>
      <c r="H67" s="99">
        <f>G67+'20'!H67</f>
        <v>501</v>
      </c>
      <c r="I67" s="118"/>
      <c r="J67" s="175">
        <f>H67/DAY(B2)</f>
        <v>23.857142857142858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170320</v>
      </c>
      <c r="F68" s="122">
        <v>170358</v>
      </c>
      <c r="G68" s="112">
        <f t="shared" si="5"/>
        <v>38</v>
      </c>
      <c r="H68" s="99">
        <f>G68+'20'!H68</f>
        <v>408</v>
      </c>
      <c r="I68" s="118"/>
      <c r="J68" s="175">
        <f>H68/DAY(B2)</f>
        <v>19.428571428571427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13313</v>
      </c>
      <c r="F69" s="122">
        <v>13316</v>
      </c>
      <c r="G69" s="112">
        <f t="shared" si="5"/>
        <v>3</v>
      </c>
      <c r="H69" s="99">
        <f>G69+'20'!H69</f>
        <v>104</v>
      </c>
      <c r="I69" s="118"/>
      <c r="J69" s="175">
        <f>H69/DAY(B2)</f>
        <v>4.9523809523809526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11399</v>
      </c>
      <c r="F70" s="122">
        <v>11405</v>
      </c>
      <c r="G70" s="112">
        <f t="shared" si="5"/>
        <v>6</v>
      </c>
      <c r="H70" s="99">
        <f>G70+'20'!H70</f>
        <v>147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222</v>
      </c>
      <c r="H71" s="99">
        <f>G71+'20'!H71</f>
        <v>4133</v>
      </c>
      <c r="I71" s="154"/>
      <c r="J71" s="175">
        <f>H71/DAY(B2)</f>
        <v>196.8095238095238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'20'!F74</f>
        <v>18510</v>
      </c>
      <c r="F74" s="123">
        <v>18801</v>
      </c>
      <c r="G74" s="112">
        <f t="shared" ref="G74:G78" si="6">F74-E74</f>
        <v>291</v>
      </c>
      <c r="H74" s="99">
        <v>2921</v>
      </c>
      <c r="I74" s="154"/>
      <c r="J74" s="175">
        <f>H74/DAY(B2)</f>
        <v>139.0952380952381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'20'!F75</f>
        <v>73586.8</v>
      </c>
      <c r="F75" s="123">
        <v>73586.8</v>
      </c>
      <c r="G75" s="112">
        <f t="shared" si="6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'20'!F76</f>
        <v>213072</v>
      </c>
      <c r="F76" s="123">
        <v>213199</v>
      </c>
      <c r="G76" s="112">
        <f t="shared" si="6"/>
        <v>127</v>
      </c>
      <c r="H76" s="99">
        <f>G76+'20'!H76</f>
        <v>2539</v>
      </c>
      <c r="I76" s="154"/>
      <c r="J76" s="175">
        <f>H76/DAY(B2)</f>
        <v>120.9047619047619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'20'!F77</f>
        <v>60816</v>
      </c>
      <c r="F77" s="123">
        <v>60875</v>
      </c>
      <c r="G77" s="112">
        <f t="shared" si="6"/>
        <v>59</v>
      </c>
      <c r="H77" s="99">
        <f>G77+'20'!H77</f>
        <v>1114</v>
      </c>
      <c r="I77" s="154"/>
      <c r="J77" s="175">
        <f>H77/DAY(B2)</f>
        <v>53.047619047619051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'20'!F78</f>
        <v>9564</v>
      </c>
      <c r="F78" s="123">
        <v>9564</v>
      </c>
      <c r="G78" s="112">
        <f t="shared" si="6"/>
        <v>0</v>
      </c>
      <c r="H78" s="99">
        <f>G78+'20'!H78</f>
        <v>0.5</v>
      </c>
      <c r="I78" s="118"/>
      <c r="J78" s="175">
        <f>H78/DAY(B2)</f>
        <v>2.3809523809523808E-2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'20'!F79</f>
        <v>0</v>
      </c>
      <c r="F79" s="123"/>
      <c r="G79" s="112">
        <f>G15-SUM(G74:G78)</f>
        <v>739</v>
      </c>
      <c r="H79" s="99">
        <f>G79+'20'!H79</f>
        <v>12884.785000000149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1216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7">F82-E82</f>
        <v>0</v>
      </c>
      <c r="H82" s="99">
        <f>G82+'20'!H82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7"/>
        <v>0</v>
      </c>
      <c r="H83" s="99">
        <f>G83+'20'!H83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43540.35</v>
      </c>
      <c r="F84" s="164">
        <v>43540.35</v>
      </c>
      <c r="G84" s="112">
        <f t="shared" si="7"/>
        <v>0</v>
      </c>
      <c r="H84" s="99">
        <f>G84+'20'!H84</f>
        <v>0</v>
      </c>
      <c r="I84" s="54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6269</v>
      </c>
      <c r="F85" s="164">
        <v>6278</v>
      </c>
      <c r="G85" s="112">
        <f t="shared" si="7"/>
        <v>9</v>
      </c>
      <c r="H85" s="99">
        <f>G85+'20'!H85</f>
        <v>65</v>
      </c>
      <c r="I85" s="543"/>
      <c r="J85" s="175">
        <f>H85/DAY(B2)</f>
        <v>3.0952380952380953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47173</v>
      </c>
      <c r="F86" s="164">
        <v>47197</v>
      </c>
      <c r="G86" s="112">
        <f t="shared" si="7"/>
        <v>24</v>
      </c>
      <c r="H86" s="99">
        <f>G86+'20'!H86</f>
        <v>226</v>
      </c>
      <c r="I86" s="543"/>
      <c r="J86" s="175">
        <f>H86/DAY(B2)</f>
        <v>10.761904761904763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37602</v>
      </c>
      <c r="F87" s="164">
        <v>37602</v>
      </c>
      <c r="G87" s="112">
        <f t="shared" si="7"/>
        <v>0</v>
      </c>
      <c r="H87" s="99">
        <f>G87+'20'!H87</f>
        <v>238</v>
      </c>
      <c r="I87" s="543">
        <f>G84+G85+G86+G87</f>
        <v>33</v>
      </c>
      <c r="J87" s="175">
        <f>H87/DAY(B2)</f>
        <v>11.333333333333334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24891</v>
      </c>
      <c r="F88" s="164">
        <v>24897</v>
      </c>
      <c r="G88" s="112">
        <f t="shared" si="7"/>
        <v>6</v>
      </c>
      <c r="H88" s="99">
        <f>G88+'20'!H88</f>
        <v>135</v>
      </c>
      <c r="I88" s="543"/>
      <c r="J88" s="175">
        <f>H88/DAY(B2)</f>
        <v>6.4285714285714288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29147.79</v>
      </c>
      <c r="F89" s="164">
        <v>29159</v>
      </c>
      <c r="G89" s="112">
        <f t="shared" si="7"/>
        <v>11.209999999999127</v>
      </c>
      <c r="H89" s="99">
        <f>G89+'20'!H89</f>
        <v>131</v>
      </c>
      <c r="I89" s="543">
        <f>G88+G89</f>
        <v>17.209999999999127</v>
      </c>
      <c r="J89" s="175">
        <f>H89/DAY(B2)</f>
        <v>6.2380952380952381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74595</v>
      </c>
      <c r="F90" s="164">
        <v>74601.740000000005</v>
      </c>
      <c r="G90" s="112">
        <f t="shared" si="7"/>
        <v>6.7400000000052387</v>
      </c>
      <c r="H90" s="99">
        <f>G90+'20'!H90</f>
        <v>153.74000000000524</v>
      </c>
      <c r="I90" s="543">
        <f>G90</f>
        <v>6.7400000000052387</v>
      </c>
      <c r="J90" s="175">
        <f>H90/DAY(B2)</f>
        <v>7.3209523809526305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5821</v>
      </c>
      <c r="F91" s="122">
        <v>5832</v>
      </c>
      <c r="G91" s="112">
        <f t="shared" si="7"/>
        <v>11</v>
      </c>
      <c r="H91" s="99">
        <f>G91+'20'!H91</f>
        <v>213.78999999999996</v>
      </c>
      <c r="I91" s="544"/>
      <c r="J91" s="175">
        <f>H91/DAY(B2)</f>
        <v>10.180476190476188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7469.24</v>
      </c>
      <c r="F92" s="122">
        <v>7469</v>
      </c>
      <c r="G92" s="112">
        <f t="shared" si="7"/>
        <v>-0.23999999999978172</v>
      </c>
      <c r="H92" s="99">
        <f>G92+'20'!H92</f>
        <v>36.720000000000255</v>
      </c>
      <c r="I92" s="545">
        <f>G91+G92</f>
        <v>10.760000000000218</v>
      </c>
      <c r="J92" s="175">
        <f>H92/DAY(B2)</f>
        <v>1.7485714285714407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6061</v>
      </c>
      <c r="H94" s="99">
        <f>G94+'20'!H94</f>
        <v>121529</v>
      </c>
      <c r="I94" s="118"/>
      <c r="J94" s="175">
        <f>H94/DAY(B2)</f>
        <v>5787.0952380952385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0.24956765214526888</v>
      </c>
      <c r="H95" s="99">
        <f>G95+'20'!H95</f>
        <v>5.4173339967784448</v>
      </c>
      <c r="I95" s="167"/>
      <c r="J95" s="175">
        <f>H95/DAY(B2)</f>
        <v>0.25796828556087831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4981</v>
      </c>
      <c r="H96" s="99">
        <f>G96+'20'!H96</f>
        <v>78600.169999999984</v>
      </c>
      <c r="I96" s="118"/>
      <c r="J96" s="175">
        <f>H96/DAY(B2)</f>
        <v>3742.8652380952371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0.20509758708721074</v>
      </c>
      <c r="H97" s="99">
        <f>G97+'20'!H97</f>
        <v>3.4928348840034387</v>
      </c>
      <c r="I97" s="167"/>
      <c r="J97" s="175">
        <f>H97/DAY(B2)</f>
        <v>0.1663254706668304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2880</v>
      </c>
      <c r="H98" s="99">
        <f>G98+'20'!H98</f>
        <v>59831.969999999972</v>
      </c>
      <c r="I98" s="168"/>
      <c r="J98" s="175">
        <f>H98/DAY(B2)</f>
        <v>2849.1414285714272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0.11858684015482171</v>
      </c>
      <c r="H99" s="99">
        <f>G99+'20'!H99</f>
        <v>2.6679107165472695</v>
      </c>
      <c r="I99" s="168"/>
      <c r="J99" s="175">
        <f>H99/DAY(B2)</f>
        <v>0.12704336745463188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2677.5699999999997</v>
      </c>
      <c r="H100" s="99">
        <f>G100+'20'!H100</f>
        <v>54944</v>
      </c>
      <c r="I100" s="118"/>
      <c r="J100" s="175">
        <f>H100/DAY(B2)</f>
        <v>2616.3809523809523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0.11025158527546733</v>
      </c>
      <c r="H101" s="99">
        <f>G101+'20'!H101</f>
        <v>2.4468045123906781</v>
      </c>
      <c r="I101" s="168"/>
      <c r="J101" s="175">
        <f>H101/DAY(B2)</f>
        <v>0.11651450059003229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2725</v>
      </c>
      <c r="H102" s="99">
        <f>G102+'20'!H102</f>
        <v>53025</v>
      </c>
      <c r="I102" s="168"/>
      <c r="J102" s="175">
        <f>H102/DAY(B2)</f>
        <v>2525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0.11220456229926706</v>
      </c>
      <c r="H103" s="99">
        <f>G103+'20'!H103</f>
        <v>2.3543604179092918</v>
      </c>
      <c r="I103" s="118"/>
      <c r="J103" s="175">
        <f>H103/DAY(B2)</f>
        <v>0.11211240085282342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1453</v>
      </c>
      <c r="H104" s="99">
        <f>G104+'20'!H104</f>
        <v>29931</v>
      </c>
      <c r="I104" s="118"/>
      <c r="J104" s="175">
        <f>H104/DAY(B2)</f>
        <v>1425.2857142857142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5.9828707897554144E-2</v>
      </c>
      <c r="H105" s="99">
        <f>G105+'20'!H105</f>
        <v>1.3341981085718944</v>
      </c>
      <c r="I105" s="187"/>
      <c r="J105" s="188">
        <f>H105/DAY(B2)</f>
        <v>6.3533243265328304E-2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'20'!F112</f>
        <v>20620</v>
      </c>
      <c r="F112" s="237">
        <v>20681</v>
      </c>
      <c r="G112" s="112">
        <f t="shared" ref="G112:G123" si="8">F112-E112</f>
        <v>61</v>
      </c>
      <c r="H112" s="99">
        <f>G112+'20'!H112</f>
        <v>1284</v>
      </c>
      <c r="I112" s="165"/>
      <c r="J112" s="328">
        <f>H112/DAY(B2)</f>
        <v>61.142857142857146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'20'!F113</f>
        <v>44417</v>
      </c>
      <c r="F113" s="467">
        <v>44569</v>
      </c>
      <c r="G113" s="112">
        <f t="shared" si="8"/>
        <v>152</v>
      </c>
      <c r="H113" s="99">
        <f>G113+'20'!H113</f>
        <v>3049.0500000000029</v>
      </c>
      <c r="I113" s="165"/>
      <c r="J113" s="328">
        <f>H113/DAY(B2)</f>
        <v>145.19285714285729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'20'!F114</f>
        <v>65727</v>
      </c>
      <c r="F114" s="237">
        <v>65952</v>
      </c>
      <c r="G114" s="112">
        <f t="shared" si="8"/>
        <v>225</v>
      </c>
      <c r="H114" s="99">
        <f>G114+'20'!H114</f>
        <v>4734</v>
      </c>
      <c r="I114" s="165"/>
      <c r="J114" s="328">
        <f>H114/DAY(B2)</f>
        <v>225.42857142857142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'20'!F115</f>
        <v>42351</v>
      </c>
      <c r="F115" s="237">
        <v>42469</v>
      </c>
      <c r="G115" s="112">
        <f t="shared" si="8"/>
        <v>118</v>
      </c>
      <c r="H115" s="99">
        <f>G115+'20'!H115</f>
        <v>3010</v>
      </c>
      <c r="I115" s="165"/>
      <c r="J115" s="328">
        <f>H115/DAY(B2)</f>
        <v>143.33333333333334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'20'!F116</f>
        <v>156801</v>
      </c>
      <c r="F116" s="237">
        <v>157214</v>
      </c>
      <c r="G116" s="112">
        <f t="shared" si="8"/>
        <v>413</v>
      </c>
      <c r="H116" s="99">
        <f>G116+'20'!H116</f>
        <v>9284</v>
      </c>
      <c r="I116" s="165"/>
      <c r="J116" s="328">
        <f>H116/DAY(B2)</f>
        <v>442.09523809523807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'20'!F117</f>
        <v>96889</v>
      </c>
      <c r="F117" s="237">
        <v>97137</v>
      </c>
      <c r="G117" s="112">
        <f t="shared" si="8"/>
        <v>248</v>
      </c>
      <c r="H117" s="99">
        <f>G117+'20'!H117</f>
        <v>5147.6009999999951</v>
      </c>
      <c r="I117" s="165"/>
      <c r="J117" s="328">
        <f>H117/DAY(B2)</f>
        <v>245.12385714285691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'20'!F118</f>
        <v>191585</v>
      </c>
      <c r="F118" s="237">
        <v>192315</v>
      </c>
      <c r="G118" s="112">
        <f t="shared" si="8"/>
        <v>730</v>
      </c>
      <c r="H118" s="99">
        <f>G118+'20'!H118</f>
        <v>14782.470000000001</v>
      </c>
      <c r="I118" s="165"/>
      <c r="J118" s="328">
        <f>H118/DAY(B2)</f>
        <v>703.92714285714294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'20'!F119</f>
        <v>46314</v>
      </c>
      <c r="F119" s="237">
        <v>46386</v>
      </c>
      <c r="G119" s="112">
        <f t="shared" si="8"/>
        <v>72</v>
      </c>
      <c r="H119" s="99">
        <f>G119+'20'!H119</f>
        <v>1193</v>
      </c>
      <c r="I119" s="165"/>
      <c r="J119" s="328">
        <f>H119/DAY(B2)</f>
        <v>56.80952380952381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'20'!F120</f>
        <v>128259</v>
      </c>
      <c r="F120" s="467">
        <v>128646</v>
      </c>
      <c r="G120" s="112">
        <f t="shared" si="8"/>
        <v>387</v>
      </c>
      <c r="H120" s="99">
        <f>G120+'20'!H120</f>
        <v>8202</v>
      </c>
      <c r="I120" s="165"/>
      <c r="J120" s="328">
        <f>H120/DAY(B2)</f>
        <v>390.57142857142856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'20'!F121</f>
        <v>143340</v>
      </c>
      <c r="F121" s="237">
        <v>143779</v>
      </c>
      <c r="G121" s="112">
        <f t="shared" si="8"/>
        <v>439</v>
      </c>
      <c r="H121" s="99">
        <f>G121+'20'!H121</f>
        <v>9216</v>
      </c>
      <c r="I121" s="165"/>
      <c r="J121" s="328">
        <f>H121/DAY(B2)</f>
        <v>438.85714285714283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'20'!F122</f>
        <v>96975</v>
      </c>
      <c r="F122" s="237">
        <v>97262</v>
      </c>
      <c r="G122" s="112">
        <f t="shared" si="8"/>
        <v>287</v>
      </c>
      <c r="H122" s="99">
        <f>G122+'20'!H122</f>
        <v>6385</v>
      </c>
      <c r="I122" s="165"/>
      <c r="J122" s="328">
        <f>H122/DAY(B2)</f>
        <v>304.04761904761904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'20'!F123</f>
        <v>93761</v>
      </c>
      <c r="F123" s="237">
        <v>94064</v>
      </c>
      <c r="G123" s="112">
        <f t="shared" si="8"/>
        <v>303</v>
      </c>
      <c r="H123" s="99">
        <f>G123+'20'!H123</f>
        <v>6485</v>
      </c>
      <c r="I123" s="165"/>
      <c r="J123" s="328">
        <f>H123/DAY(B2)</f>
        <v>308.8095238095238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3435</v>
      </c>
      <c r="H125" s="156"/>
      <c r="I125" s="327">
        <f>G125-(G39+G53)</f>
        <v>555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'20'!F128</f>
        <v>216915</v>
      </c>
      <c r="F128" s="165">
        <v>217411</v>
      </c>
      <c r="G128" s="112">
        <f t="shared" ref="G128:G134" si="9">F128-E128</f>
        <v>496</v>
      </c>
      <c r="H128" s="99">
        <f>G128+'20'!H128</f>
        <v>10122</v>
      </c>
      <c r="I128" s="165"/>
      <c r="J128" s="328">
        <f>H128/DAY(B2)</f>
        <v>482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2968</v>
      </c>
      <c r="F129" s="165">
        <v>3073</v>
      </c>
      <c r="G129" s="112">
        <f t="shared" si="9"/>
        <v>105</v>
      </c>
      <c r="H129" s="99">
        <f>G129+'20'!H129</f>
        <v>2339</v>
      </c>
      <c r="I129" s="165"/>
      <c r="J129" s="328">
        <f>H129/DAY(B2)</f>
        <v>111.38095238095238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300536</v>
      </c>
      <c r="F130" s="464">
        <v>301157</v>
      </c>
      <c r="G130" s="112">
        <f t="shared" si="9"/>
        <v>621</v>
      </c>
      <c r="H130" s="99">
        <f>G130+'20'!H130</f>
        <v>12435</v>
      </c>
      <c r="I130" s="165"/>
      <c r="J130" s="328">
        <f>H130/DAY(B2)</f>
        <v>592.14285714285711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'20'!F131</f>
        <v>88669</v>
      </c>
      <c r="F131" s="165">
        <v>88909</v>
      </c>
      <c r="G131" s="112">
        <f t="shared" si="9"/>
        <v>240</v>
      </c>
      <c r="H131" s="99">
        <f>G131+'20'!H131</f>
        <v>4205.1699999999983</v>
      </c>
      <c r="I131" s="165"/>
      <c r="J131" s="328">
        <f>H131/DAY(B2)</f>
        <v>200.24619047619041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'20'!F132</f>
        <v>73684</v>
      </c>
      <c r="F132" s="165">
        <v>73992</v>
      </c>
      <c r="G132" s="112">
        <f t="shared" si="9"/>
        <v>308</v>
      </c>
      <c r="H132" s="99">
        <f>G132+'20'!H132</f>
        <v>6545</v>
      </c>
      <c r="I132" s="165"/>
      <c r="J132" s="328">
        <f>H132/DAY(B2)</f>
        <v>311.66666666666669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'20'!F133</f>
        <v>288548</v>
      </c>
      <c r="F133" s="165">
        <v>288548</v>
      </c>
      <c r="G133" s="112">
        <f t="shared" si="9"/>
        <v>0</v>
      </c>
      <c r="H133" s="99">
        <f>G133+'20'!H133</f>
        <v>10419.830000000016</v>
      </c>
      <c r="I133" s="165"/>
      <c r="J133" s="328">
        <f>H133/DAY(B2)</f>
        <v>496.18238095238172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'20'!F134</f>
        <v>98394</v>
      </c>
      <c r="F134" s="165">
        <v>98643</v>
      </c>
      <c r="G134" s="112">
        <f t="shared" si="9"/>
        <v>249</v>
      </c>
      <c r="H134" s="99">
        <f>G134+'20'!H134</f>
        <v>7961.3099999999977</v>
      </c>
      <c r="I134" s="165"/>
      <c r="J134" s="328">
        <f>H134/DAY(B2)</f>
        <v>379.1099999999999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2019</v>
      </c>
      <c r="H135" s="99">
        <f>G135+'10'!H135</f>
        <v>26272.609999999971</v>
      </c>
      <c r="I135" s="327">
        <f>G135-(G35+G49)</f>
        <v>-1386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'20'!F138</f>
        <v>915314</v>
      </c>
      <c r="F138" s="147">
        <v>915438</v>
      </c>
      <c r="G138" s="112">
        <f t="shared" ref="G138:G152" si="10">F138-E138</f>
        <v>124</v>
      </c>
      <c r="H138" s="99">
        <f>G138+'20'!H138</f>
        <v>6037</v>
      </c>
      <c r="I138" s="118"/>
      <c r="J138" s="328">
        <f>H138/DAY(B2)</f>
        <v>287.47619047619048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'20'!F139</f>
        <v>940249</v>
      </c>
      <c r="F139" s="148">
        <v>940406</v>
      </c>
      <c r="G139" s="112">
        <f t="shared" si="10"/>
        <v>157</v>
      </c>
      <c r="H139" s="99">
        <f>G139+'20'!H139</f>
        <v>3148</v>
      </c>
      <c r="I139" s="118"/>
      <c r="J139" s="328">
        <f>H139/DAY(B2)</f>
        <v>149.9047619047619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'20'!F140</f>
        <v>5409</v>
      </c>
      <c r="F140" s="149">
        <v>5443</v>
      </c>
      <c r="G140" s="112">
        <f t="shared" si="10"/>
        <v>34</v>
      </c>
      <c r="H140" s="99">
        <f>G140+'20'!H140</f>
        <v>679</v>
      </c>
      <c r="I140" s="118"/>
      <c r="J140" s="328">
        <f>H140/DAY(B2)</f>
        <v>32.333333333333336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'20'!F141</f>
        <v>136355</v>
      </c>
      <c r="F141" s="149">
        <v>136626</v>
      </c>
      <c r="G141" s="112">
        <f t="shared" si="10"/>
        <v>271</v>
      </c>
      <c r="H141" s="99">
        <f>G141+'20'!H141</f>
        <v>5306</v>
      </c>
      <c r="I141" s="118"/>
      <c r="J141" s="328">
        <f>H141/DAY(B2)</f>
        <v>252.66666666666666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'20'!F142</f>
        <v>55007</v>
      </c>
      <c r="F142" s="148">
        <v>55105</v>
      </c>
      <c r="G142" s="112">
        <f t="shared" si="10"/>
        <v>98</v>
      </c>
      <c r="H142" s="99">
        <f>G142+'20'!H142</f>
        <v>1914</v>
      </c>
      <c r="I142" s="140"/>
      <c r="J142" s="328">
        <f>H142/DAY(B2)</f>
        <v>91.142857142857139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'20'!F143</f>
        <v>14957</v>
      </c>
      <c r="F143" s="149">
        <v>14992</v>
      </c>
      <c r="G143" s="112">
        <f t="shared" si="10"/>
        <v>35</v>
      </c>
      <c r="H143" s="99">
        <f>G143+'20'!H143</f>
        <v>680</v>
      </c>
      <c r="I143" s="140"/>
      <c r="J143" s="328">
        <f>H143/DAY(B2)</f>
        <v>32.38095238095238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'20'!F144</f>
        <v>968294</v>
      </c>
      <c r="F144" s="147">
        <v>968553</v>
      </c>
      <c r="G144" s="112">
        <f t="shared" si="10"/>
        <v>259</v>
      </c>
      <c r="H144" s="99">
        <f>G144+'20'!H144</f>
        <v>5327</v>
      </c>
      <c r="I144" s="140"/>
      <c r="J144" s="328">
        <f>H144/DAY(B2)</f>
        <v>253.66666666666666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'20'!F145</f>
        <v>754993</v>
      </c>
      <c r="F145" s="147">
        <v>755230</v>
      </c>
      <c r="G145" s="112">
        <f t="shared" si="10"/>
        <v>237</v>
      </c>
      <c r="H145" s="99">
        <f>G145+'20'!H145</f>
        <v>4497</v>
      </c>
      <c r="I145" s="140"/>
      <c r="J145" s="328">
        <f>H145/DAY(B2)</f>
        <v>214.14285714285714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'20'!F146</f>
        <v>789801</v>
      </c>
      <c r="F146" s="148">
        <v>789837</v>
      </c>
      <c r="G146" s="112">
        <f t="shared" si="10"/>
        <v>36</v>
      </c>
      <c r="H146" s="99">
        <f>G146+'20'!H146</f>
        <v>812</v>
      </c>
      <c r="I146" s="140"/>
      <c r="J146" s="328">
        <f>H146/DAY(B2)</f>
        <v>38.666666666666664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'20'!F147</f>
        <v>779305</v>
      </c>
      <c r="F147" s="148">
        <v>779742</v>
      </c>
      <c r="G147" s="112">
        <f t="shared" si="10"/>
        <v>437</v>
      </c>
      <c r="H147" s="99">
        <f>G147+'20'!H147</f>
        <v>8085.1199999999953</v>
      </c>
      <c r="I147" s="140"/>
      <c r="J147" s="328">
        <f>H147/DAY(B2)</f>
        <v>385.00571428571408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'20'!F148</f>
        <v>814018</v>
      </c>
      <c r="F148" s="150">
        <v>814431</v>
      </c>
      <c r="G148" s="112">
        <f t="shared" si="10"/>
        <v>413</v>
      </c>
      <c r="H148" s="99">
        <f>G148+'20'!H148</f>
        <v>7610.7600000000093</v>
      </c>
      <c r="I148" s="124"/>
      <c r="J148" s="328">
        <f>H148/DAY(B2)</f>
        <v>362.41714285714329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'20'!F149</f>
        <v>226370</v>
      </c>
      <c r="F149" s="146">
        <v>226780</v>
      </c>
      <c r="G149" s="112">
        <f t="shared" si="10"/>
        <v>410</v>
      </c>
      <c r="H149" s="99">
        <f>G149+'20'!H149</f>
        <v>9884</v>
      </c>
      <c r="I149" s="119"/>
      <c r="J149" s="328">
        <f>H149/DAY(B2)</f>
        <v>470.66666666666669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'20'!F150</f>
        <v>96884</v>
      </c>
      <c r="F150" s="233">
        <v>97106</v>
      </c>
      <c r="G150" s="112">
        <f t="shared" si="10"/>
        <v>222</v>
      </c>
      <c r="H150" s="99">
        <f>G150+'20'!H150</f>
        <v>4995.1999999999971</v>
      </c>
      <c r="I150" s="119"/>
      <c r="J150" s="328">
        <f>H150/DAY(B2)</f>
        <v>237.86666666666653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'20'!F151</f>
        <v>183192</v>
      </c>
      <c r="F151" s="152">
        <v>183578</v>
      </c>
      <c r="G151" s="112">
        <f t="shared" si="10"/>
        <v>386</v>
      </c>
      <c r="H151" s="99">
        <f>G151+'20'!H151</f>
        <v>7403</v>
      </c>
      <c r="I151" s="119"/>
      <c r="J151" s="328">
        <f>H151/DAY(B2)</f>
        <v>352.52380952380952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'20'!F152</f>
        <v>49255</v>
      </c>
      <c r="F152" s="233">
        <v>49383</v>
      </c>
      <c r="G152" s="112">
        <f t="shared" si="10"/>
        <v>128</v>
      </c>
      <c r="H152" s="99">
        <f>G152+'20'!H152</f>
        <v>2751</v>
      </c>
      <c r="I152" s="119"/>
      <c r="J152" s="328">
        <f>H152/DAY(B2)</f>
        <v>131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3247</v>
      </c>
      <c r="H153" s="363"/>
      <c r="I153" s="119">
        <f>G153-(G38+G52)</f>
        <v>569.43000000000029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'20'!F155</f>
        <v>267297</v>
      </c>
      <c r="F155" s="374">
        <v>267852</v>
      </c>
      <c r="G155" s="112">
        <f t="shared" ref="G155:G158" si="11">F155-E155</f>
        <v>555</v>
      </c>
      <c r="H155" s="99">
        <f>G155+'20'!H155</f>
        <v>11500</v>
      </c>
      <c r="I155" s="364"/>
      <c r="J155" s="328">
        <f>H155/DAY(B2)</f>
        <v>547.61904761904759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'20'!F156</f>
        <v>34469</v>
      </c>
      <c r="F156" s="155">
        <v>34564</v>
      </c>
      <c r="G156" s="112">
        <f t="shared" si="11"/>
        <v>95</v>
      </c>
      <c r="H156" s="99">
        <f>G156+'20'!H156</f>
        <v>2005</v>
      </c>
      <c r="I156" s="165"/>
      <c r="J156" s="328">
        <f>H156/DAY(B2)</f>
        <v>95.476190476190482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v>3372</v>
      </c>
      <c r="F157" s="374">
        <v>3500</v>
      </c>
      <c r="G157" s="112">
        <f>F157-E157</f>
        <v>128</v>
      </c>
      <c r="H157" s="99">
        <f>G157+'20'!H157</f>
        <v>259</v>
      </c>
      <c r="I157" s="165"/>
      <c r="J157" s="328">
        <f>H157/DAY(B2)</f>
        <v>12.333333333333334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'20'!F158</f>
        <v>1791</v>
      </c>
      <c r="F158" s="155">
        <v>1791.56</v>
      </c>
      <c r="G158" s="112">
        <f t="shared" si="11"/>
        <v>0.55999999999994543</v>
      </c>
      <c r="H158" s="99">
        <f>G158+'20'!H158</f>
        <v>0.72000000000002728</v>
      </c>
      <c r="I158" s="165"/>
      <c r="J158" s="328">
        <f>H158/DAY(B2)</f>
        <v>3.4285714285715585E-2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515507</v>
      </c>
      <c r="F161" s="235">
        <v>515716</v>
      </c>
      <c r="G161" s="238">
        <f t="shared" ref="G161:G165" si="12">F161-E161</f>
        <v>209</v>
      </c>
      <c r="H161" s="99">
        <f>G161+'20'!H161</f>
        <v>3271</v>
      </c>
      <c r="I161" s="236"/>
      <c r="J161" s="239">
        <f>H161/DAY(B2)</f>
        <v>155.76190476190476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2619</v>
      </c>
      <c r="F162" s="235">
        <v>2666</v>
      </c>
      <c r="G162" s="238">
        <f t="shared" si="12"/>
        <v>47</v>
      </c>
      <c r="H162" s="99">
        <f>G162+'20'!H162</f>
        <v>906</v>
      </c>
      <c r="I162" s="236"/>
      <c r="J162" s="239">
        <f>H162/DAY(B2)</f>
        <v>43.142857142857146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0</v>
      </c>
      <c r="F163" s="501">
        <v>0</v>
      </c>
      <c r="G163" s="238">
        <f t="shared" si="12"/>
        <v>0</v>
      </c>
      <c r="H163" s="99">
        <f>G163+'20'!H163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7391</v>
      </c>
      <c r="F164" s="501">
        <v>7394</v>
      </c>
      <c r="G164" s="238">
        <f t="shared" si="12"/>
        <v>3</v>
      </c>
      <c r="H164" s="99">
        <f>G164+'20'!H164</f>
        <v>57</v>
      </c>
      <c r="I164" s="236"/>
      <c r="J164" s="239">
        <f>H164/DAY(B2)</f>
        <v>2.7142857142857144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33114</v>
      </c>
      <c r="F165" s="235">
        <v>33121</v>
      </c>
      <c r="G165" s="238">
        <f t="shared" si="12"/>
        <v>7</v>
      </c>
      <c r="H165" s="99">
        <f>G165+'20'!H165</f>
        <v>146.4800000000032</v>
      </c>
      <c r="I165" s="236"/>
      <c r="J165" s="239">
        <f>H165/DAY(B2)</f>
        <v>6.9752380952382476</v>
      </c>
    </row>
    <row r="166" spans="1:10" ht="26.25">
      <c r="A166" s="872"/>
      <c r="B166" s="87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'20'!F173</f>
        <v>8603</v>
      </c>
      <c r="F173" s="155">
        <v>8603</v>
      </c>
      <c r="G173" s="155">
        <f>F173-E173</f>
        <v>0</v>
      </c>
      <c r="H173" s="99">
        <f>G173+'20'!H173</f>
        <v>21</v>
      </c>
      <c r="I173" s="155"/>
      <c r="J173" s="178">
        <f>H173/DAY(B2)</f>
        <v>1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'20'!F174</f>
        <v>43608</v>
      </c>
      <c r="F174" s="157">
        <v>43621</v>
      </c>
      <c r="G174" s="155">
        <f t="shared" ref="G174:G175" si="13">F174-E174</f>
        <v>13</v>
      </c>
      <c r="H174" s="99">
        <f>G174+'20'!H174</f>
        <v>207</v>
      </c>
      <c r="I174" s="155"/>
      <c r="J174" s="178">
        <f>H174/DAY(B2)</f>
        <v>9.8571428571428577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'20'!F175</f>
        <v>26557</v>
      </c>
      <c r="F175" s="155">
        <v>26574</v>
      </c>
      <c r="G175" s="155">
        <f t="shared" si="13"/>
        <v>17</v>
      </c>
      <c r="H175" s="99">
        <f>G175+'20'!H175</f>
        <v>287</v>
      </c>
      <c r="I175" s="155"/>
      <c r="J175" s="178">
        <f>H175/DAY(B2)</f>
        <v>13.666666666666666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30</v>
      </c>
      <c r="H176" s="99">
        <f>G176+'20'!H176</f>
        <v>515</v>
      </c>
      <c r="I176" s="155"/>
      <c r="J176" s="178">
        <f>H176/DAY(B2)</f>
        <v>24.523809523809526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'20'!F178</f>
        <v>112499</v>
      </c>
      <c r="F178" s="155">
        <v>112614</v>
      </c>
      <c r="G178" s="155">
        <f>F178-E178</f>
        <v>115</v>
      </c>
      <c r="H178" s="99">
        <f>G178+'20'!H178</f>
        <v>2223</v>
      </c>
      <c r="I178" s="155"/>
      <c r="J178" s="178">
        <f>H178/DAY(B2)</f>
        <v>105.85714285714286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'20'!F179</f>
        <v>37501</v>
      </c>
      <c r="F179" s="155">
        <v>37501</v>
      </c>
      <c r="G179" s="155">
        <f t="shared" ref="G179:G180" si="14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'20'!F180</f>
        <v>7784</v>
      </c>
      <c r="F180" s="155">
        <v>7791</v>
      </c>
      <c r="G180" s="155">
        <f t="shared" si="14"/>
        <v>7</v>
      </c>
      <c r="H180" s="99">
        <f>G180+'20'!H180</f>
        <v>90</v>
      </c>
      <c r="I180" s="155"/>
      <c r="J180" s="178">
        <f>H180/DAY(B2)</f>
        <v>4.2857142857142856</v>
      </c>
    </row>
    <row r="181" spans="1:10" ht="25.5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122</v>
      </c>
      <c r="H181" s="99">
        <f>G181+'20'!H181</f>
        <v>2313</v>
      </c>
      <c r="I181" s="155"/>
      <c r="J181" s="178">
        <f>H181/DAY(B2)</f>
        <v>110.14285714285714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'20'!F183</f>
        <v>18821</v>
      </c>
      <c r="F183" s="157">
        <v>18826</v>
      </c>
      <c r="G183" s="157">
        <f>F183-E183</f>
        <v>5</v>
      </c>
      <c r="H183" s="99">
        <f>G183+'20'!H183</f>
        <v>134</v>
      </c>
      <c r="I183" s="155"/>
      <c r="J183" s="178">
        <f>H183/DAY(B2)</f>
        <v>6.3809523809523814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'20'!F184</f>
        <v>13392</v>
      </c>
      <c r="F184" s="157">
        <v>13395</v>
      </c>
      <c r="G184" s="157">
        <f t="shared" ref="G184" si="15">F184-E184</f>
        <v>3</v>
      </c>
      <c r="H184" s="99">
        <f>G184+'20'!H184</f>
        <v>149</v>
      </c>
      <c r="I184" s="155"/>
      <c r="J184" s="178">
        <f>H184/DAY(B2)</f>
        <v>7.0952380952380949</v>
      </c>
    </row>
    <row r="185" spans="1:10" ht="32.25" customHeight="1">
      <c r="A185" s="790" t="s">
        <v>216</v>
      </c>
      <c r="B185" s="791"/>
      <c r="C185" s="334"/>
      <c r="D185" s="228" t="s">
        <v>142</v>
      </c>
      <c r="E185" s="95" t="str">
        <f>'20'!F185</f>
        <v xml:space="preserve">  </v>
      </c>
      <c r="F185" s="157"/>
      <c r="G185" s="157"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8</v>
      </c>
      <c r="H186" s="99">
        <f>G186+'20'!H186</f>
        <v>283</v>
      </c>
      <c r="I186" s="157"/>
      <c r="J186" s="178">
        <f>H186/DAY(B2)</f>
        <v>13.476190476190476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110</v>
      </c>
      <c r="H187" s="99">
        <f>G187+'20'!H187</f>
        <v>2723</v>
      </c>
      <c r="I187" s="158"/>
      <c r="J187" s="179">
        <f>H187/DAY(B2)</f>
        <v>129.66666666666666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 t="s">
        <v>376</v>
      </c>
      <c r="G188" s="377">
        <f>G65+G66+G67+G69+G70</f>
        <v>184</v>
      </c>
      <c r="H188" s="99">
        <f>G188+'20'!H188</f>
        <v>1274</v>
      </c>
      <c r="I188" s="158"/>
      <c r="J188" s="179">
        <f>H188/DAY(B2)</f>
        <v>60.666666666666664</v>
      </c>
    </row>
    <row r="189" spans="1:10" ht="21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122</v>
      </c>
      <c r="H189" s="99">
        <f>G189+'20'!H189</f>
        <v>342</v>
      </c>
      <c r="I189" s="158"/>
      <c r="J189" s="179">
        <f>H189/DAY(B2)</f>
        <v>16.285714285714285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6"/>
  <sheetViews>
    <sheetView view="pageBreakPreview" topLeftCell="A7" zoomScale="60" zoomScaleNormal="71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355</v>
      </c>
      <c r="B2" s="262">
        <v>44979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24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95085</v>
      </c>
      <c r="F7" s="95">
        <v>120605</v>
      </c>
      <c r="G7" s="112">
        <f>F7-E7</f>
        <v>25520</v>
      </c>
      <c r="H7" s="99">
        <f>G7+'21'!H7</f>
        <v>497238</v>
      </c>
      <c r="I7" s="113">
        <f>'1'!I7</f>
        <v>12000</v>
      </c>
      <c r="J7" s="175">
        <f>H7/DAY(B2)</f>
        <v>22601.727272727272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299015</v>
      </c>
      <c r="F8" s="114">
        <v>325034</v>
      </c>
      <c r="G8" s="115">
        <f>F8-E8</f>
        <v>26019</v>
      </c>
      <c r="H8" s="99">
        <f>G8+'21'!H8</f>
        <v>508924</v>
      </c>
      <c r="I8" s="116"/>
      <c r="J8" s="175">
        <f>H8/DAY(B2)</f>
        <v>23132.909090909092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5090361</v>
      </c>
      <c r="F9" s="468">
        <v>5108195</v>
      </c>
      <c r="G9" s="112">
        <f>F9-E9</f>
        <v>17834</v>
      </c>
      <c r="H9" s="99">
        <f>G9+'21'!H9</f>
        <v>283096</v>
      </c>
      <c r="I9" s="124">
        <f>I7-J7</f>
        <v>-10601.727272727272</v>
      </c>
      <c r="J9" s="175">
        <f>H9/DAY(B2)</f>
        <v>12868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4485303</v>
      </c>
      <c r="F10" s="353">
        <v>4492287</v>
      </c>
      <c r="G10" s="112">
        <f t="shared" ref="G10:G12" si="0">F10-E10</f>
        <v>6984</v>
      </c>
      <c r="H10" s="99">
        <f>G10+'21'!H10</f>
        <v>201753</v>
      </c>
      <c r="I10" s="282"/>
      <c r="J10" s="175">
        <f>H10/DAY(B2)</f>
        <v>9170.5909090909099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38700</v>
      </c>
      <c r="F11" s="95">
        <v>38700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40550</v>
      </c>
      <c r="F12" s="117">
        <v>40550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24818</v>
      </c>
      <c r="H13" s="99">
        <f>G13+'21'!H13</f>
        <v>484849</v>
      </c>
      <c r="I13" s="120">
        <f>G7-G13</f>
        <v>702</v>
      </c>
      <c r="J13" s="175">
        <f>H13/DAY(B2)</f>
        <v>22038.590909090908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2311551</v>
      </c>
      <c r="F15" s="468">
        <v>2312700</v>
      </c>
      <c r="G15" s="112">
        <f>(F15-E15)</f>
        <v>1149</v>
      </c>
      <c r="H15" s="99">
        <f>G15+'21'!H15</f>
        <v>24226.285000000149</v>
      </c>
      <c r="I15" s="113">
        <f>'1'!I15</f>
        <v>800</v>
      </c>
      <c r="J15" s="175">
        <f>H15/DAY(B2)</f>
        <v>1101.1947727272795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-301.19477272727954</v>
      </c>
      <c r="J16" s="176"/>
      <c r="K16" s="79"/>
      <c r="L16" s="66"/>
      <c r="N16" s="87"/>
      <c r="O16" s="71"/>
    </row>
    <row r="17" spans="1:16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04" t="s">
        <v>141</v>
      </c>
      <c r="B18" s="905"/>
      <c r="C18" s="906"/>
      <c r="D18" s="151" t="s">
        <v>142</v>
      </c>
      <c r="E18" s="95">
        <f>'21'!F18</f>
        <v>20</v>
      </c>
      <c r="F18" s="122">
        <v>20</v>
      </c>
      <c r="G18" s="119">
        <f>F18*10</f>
        <v>200</v>
      </c>
      <c r="H18" s="99">
        <f>G18+'21'!H18</f>
        <v>3810</v>
      </c>
      <c r="I18" s="113">
        <f>'1'!I18</f>
        <v>65</v>
      </c>
      <c r="J18" s="175">
        <f>H18/DAY(B2)</f>
        <v>173.18181818181819</v>
      </c>
      <c r="K18" s="79"/>
      <c r="L18" s="66"/>
      <c r="N18" s="87"/>
      <c r="O18" s="71"/>
    </row>
    <row r="19" spans="1:16" ht="25.5">
      <c r="A19" s="904" t="s">
        <v>69</v>
      </c>
      <c r="B19" s="905"/>
      <c r="C19" s="906"/>
      <c r="D19" s="151" t="s">
        <v>142</v>
      </c>
      <c r="E19" s="95">
        <f>'21'!F19</f>
        <v>172425</v>
      </c>
      <c r="F19" s="122">
        <v>172485</v>
      </c>
      <c r="G19" s="112">
        <f>F19-E19</f>
        <v>60</v>
      </c>
      <c r="H19" s="99">
        <f>G19+'21'!H19</f>
        <v>1162</v>
      </c>
      <c r="I19" s="335"/>
      <c r="J19" s="175">
        <f>H19/DAY(B2)</f>
        <v>52.81818181818182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G20+'21'!H20</f>
        <v>4972</v>
      </c>
      <c r="I20" s="336">
        <f>I18-J20</f>
        <v>-161</v>
      </c>
      <c r="J20" s="175">
        <f>H20/DAY(B2)</f>
        <v>226</v>
      </c>
      <c r="K20" s="79"/>
      <c r="L20" s="66"/>
      <c r="N20" s="87"/>
      <c r="O20" s="71"/>
    </row>
    <row r="21" spans="1:16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1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'21'!F23</f>
        <v>1860</v>
      </c>
      <c r="F23" s="122">
        <v>1860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4830</v>
      </c>
      <c r="F24" s="128">
        <f>SUM(F22:F23)</f>
        <v>4830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26019</v>
      </c>
      <c r="F27" s="136">
        <v>10</v>
      </c>
      <c r="G27" s="137">
        <f>E27*F27</f>
        <v>260190</v>
      </c>
      <c r="H27" s="99">
        <f>G27+'21'!H27</f>
        <v>5089240</v>
      </c>
      <c r="I27" s="138"/>
      <c r="J27" s="175">
        <f>H27/DAY(B2)</f>
        <v>231329.09090909091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1149</v>
      </c>
      <c r="F28" s="136">
        <v>63</v>
      </c>
      <c r="G28" s="137">
        <f>E28*F28</f>
        <v>72387</v>
      </c>
      <c r="H28" s="99">
        <f>G28+'21'!H28</f>
        <v>1545677.4100000104</v>
      </c>
      <c r="I28" s="140"/>
      <c r="J28" s="175">
        <f>H28/DAY(B2)</f>
        <v>70258.064090909567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6900</v>
      </c>
      <c r="I29" s="140"/>
      <c r="J29" s="175">
        <f>H29/DAY(B2)</f>
        <v>313.63636363636363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155</v>
      </c>
      <c r="G30" s="137">
        <f>E30*F30</f>
        <v>9300</v>
      </c>
      <c r="H30" s="99">
        <f>G30+'21'!H30</f>
        <v>178790</v>
      </c>
      <c r="I30" s="140"/>
      <c r="J30" s="175">
        <f>H30/DAY(B2)</f>
        <v>8126.818181818182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88</v>
      </c>
      <c r="G31" s="137">
        <f>E31*F31</f>
        <v>17600</v>
      </c>
      <c r="H31" s="99">
        <f>G31+'21'!H31</f>
        <v>331620</v>
      </c>
      <c r="I31" s="140"/>
      <c r="J31" s="175">
        <f>H31/DAY(B2)</f>
        <v>15073.636363636364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359477</v>
      </c>
      <c r="H32" s="99">
        <f>G32+'21'!H32</f>
        <v>7152227.4100000104</v>
      </c>
      <c r="I32" s="144"/>
      <c r="J32" s="175">
        <f>H32/DAY(B2)</f>
        <v>325101.24590909138</v>
      </c>
      <c r="K32" s="63"/>
      <c r="L32" s="89"/>
      <c r="N32" s="87"/>
      <c r="O32" s="71"/>
      <c r="P32" s="88" t="s">
        <v>365</v>
      </c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586014</v>
      </c>
      <c r="F35" s="418">
        <v>588891</v>
      </c>
      <c r="G35" s="112">
        <f t="shared" ref="G35:G46" si="2">F35-E35</f>
        <v>2877</v>
      </c>
      <c r="H35" s="99">
        <f>G35+'21'!H35</f>
        <v>58835</v>
      </c>
      <c r="I35" s="95"/>
      <c r="J35" s="175">
        <f>H35/DAY(B2)</f>
        <v>2674.318181818182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403818</v>
      </c>
      <c r="F36" s="145">
        <v>405038</v>
      </c>
      <c r="G36" s="112">
        <f t="shared" si="2"/>
        <v>1220</v>
      </c>
      <c r="H36" s="99">
        <f>G36+'21'!H36</f>
        <v>23217</v>
      </c>
      <c r="I36" s="95"/>
      <c r="J36" s="175">
        <f>H36/DAY(B2)</f>
        <v>1055.3181818181818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413550</v>
      </c>
      <c r="F37" s="418">
        <v>415061</v>
      </c>
      <c r="G37" s="112">
        <f t="shared" si="2"/>
        <v>1511</v>
      </c>
      <c r="H37" s="99">
        <f>G37+'21'!H37</f>
        <v>31442</v>
      </c>
      <c r="I37" s="95"/>
      <c r="J37" s="175">
        <f>H37/DAY(B2)</f>
        <v>1429.1818181818182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932071</v>
      </c>
      <c r="F38" s="108">
        <v>934838</v>
      </c>
      <c r="G38" s="112">
        <f t="shared" si="2"/>
        <v>2767</v>
      </c>
      <c r="H38" s="99">
        <f>G38+'21'!H38</f>
        <v>57711</v>
      </c>
      <c r="I38" s="95"/>
      <c r="J38" s="175">
        <f>H38/DAY(B2)</f>
        <v>2623.2272727272725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765968</v>
      </c>
      <c r="F39" s="418">
        <v>768848</v>
      </c>
      <c r="G39" s="112">
        <f t="shared" si="2"/>
        <v>2880</v>
      </c>
      <c r="H39" s="99">
        <f>G39+'21'!H39</f>
        <v>62712</v>
      </c>
      <c r="I39" s="95"/>
      <c r="J39" s="175">
        <f>H39/DAY(B2)</f>
        <v>2850.5454545454545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222997</v>
      </c>
      <c r="F40" s="145">
        <v>223688</v>
      </c>
      <c r="G40" s="112">
        <f t="shared" si="2"/>
        <v>691</v>
      </c>
      <c r="H40" s="99">
        <f>G40+'21'!H40</f>
        <v>5896</v>
      </c>
      <c r="I40" s="95"/>
      <c r="J40" s="175">
        <f>H40/DAY(B2)</f>
        <v>268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420212.51</v>
      </c>
      <c r="F41" s="145">
        <v>420212.51</v>
      </c>
      <c r="G41" s="112">
        <f t="shared" si="2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986238</v>
      </c>
      <c r="F42" s="145">
        <v>991643</v>
      </c>
      <c r="G42" s="112">
        <f t="shared" si="2"/>
        <v>5405</v>
      </c>
      <c r="H42" s="99">
        <f>G42+'21'!H42</f>
        <v>18580.369999999995</v>
      </c>
      <c r="I42" s="95"/>
      <c r="J42" s="175">
        <f>H42/DAY(B2)</f>
        <v>844.56227272727256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422444</v>
      </c>
      <c r="F43" s="145">
        <v>422444</v>
      </c>
      <c r="G43" s="112">
        <f t="shared" si="2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2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2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2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17351</v>
      </c>
      <c r="H47" s="99">
        <f>G47+'21'!H47</f>
        <v>258393.37</v>
      </c>
      <c r="I47" s="95"/>
      <c r="J47" s="175">
        <f>H47/DAY(B2)</f>
        <v>11745.153181818181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834193</v>
      </c>
      <c r="F49" s="145">
        <v>834714</v>
      </c>
      <c r="G49" s="112">
        <f t="shared" ref="G49:G58" si="3">F49-E49</f>
        <v>521</v>
      </c>
      <c r="H49" s="99">
        <f>G49+'21'!H49</f>
        <v>11802</v>
      </c>
      <c r="I49" s="95"/>
      <c r="J49" s="175">
        <f>H49/DAY(B2)</f>
        <v>536.4545454545455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573002</v>
      </c>
      <c r="F50" s="145">
        <v>574953</v>
      </c>
      <c r="G50" s="112">
        <f t="shared" si="3"/>
        <v>1951</v>
      </c>
      <c r="H50" s="99">
        <f>G50+'21'!H50</f>
        <v>32979</v>
      </c>
      <c r="I50" s="95"/>
      <c r="J50" s="175">
        <f>H50/DAY(B2)</f>
        <v>1499.0454545454545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156958</v>
      </c>
      <c r="F51" s="145">
        <v>156958</v>
      </c>
      <c r="G51" s="112">
        <f t="shared" si="3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1457</v>
      </c>
      <c r="F52" s="145">
        <v>1457</v>
      </c>
      <c r="G52" s="112">
        <f t="shared" si="3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630355</v>
      </c>
      <c r="F53" s="145">
        <v>630355</v>
      </c>
      <c r="G53" s="112">
        <f t="shared" si="3"/>
        <v>0</v>
      </c>
      <c r="H53" s="99">
        <f>G53+'21'!H53</f>
        <v>-3.0000000027939677E-2</v>
      </c>
      <c r="I53" s="95"/>
      <c r="J53" s="175">
        <f>H53/DAY(B2)</f>
        <v>-1.3636363649063489E-3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130555</v>
      </c>
      <c r="F54" s="145">
        <v>130918</v>
      </c>
      <c r="G54" s="112">
        <f t="shared" si="3"/>
        <v>363</v>
      </c>
      <c r="H54" s="99">
        <f>G54+'21'!H54</f>
        <v>6803.7899999999936</v>
      </c>
      <c r="I54" s="95"/>
      <c r="J54" s="175">
        <f>H54/DAY(B2)</f>
        <v>309.26318181818152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627414</v>
      </c>
      <c r="F55" s="418">
        <v>628261</v>
      </c>
      <c r="G55" s="112">
        <f t="shared" si="3"/>
        <v>847</v>
      </c>
      <c r="H55" s="99">
        <f>G55+'21'!H55</f>
        <v>33956.25</v>
      </c>
      <c r="I55" s="95"/>
      <c r="J55" s="175">
        <f>H55/DAY(B2)</f>
        <v>1543.465909090909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405435.55</v>
      </c>
      <c r="F56" s="418">
        <v>405779</v>
      </c>
      <c r="G56" s="112">
        <f>F56-E56</f>
        <v>343.45000000001164</v>
      </c>
      <c r="H56" s="99">
        <f>G56+'21'!H56</f>
        <v>32659</v>
      </c>
      <c r="I56" s="95"/>
      <c r="J56" s="175">
        <f>H56/DAY(B2)</f>
        <v>1484.5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761988</v>
      </c>
      <c r="F57" s="145">
        <v>764651</v>
      </c>
      <c r="G57" s="112">
        <f t="shared" si="3"/>
        <v>2663</v>
      </c>
      <c r="H57" s="99">
        <f>G57+'21'!H57</f>
        <v>56953</v>
      </c>
      <c r="I57" s="95"/>
      <c r="J57" s="175">
        <f>H57/DAY(B2)</f>
        <v>2588.7727272727275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99556</v>
      </c>
      <c r="F58" s="145">
        <v>99807</v>
      </c>
      <c r="G58" s="112">
        <f t="shared" si="3"/>
        <v>251</v>
      </c>
      <c r="H58" s="99">
        <f>G58+'21'!H58</f>
        <v>5237.179999999993</v>
      </c>
      <c r="I58" s="95"/>
      <c r="J58" s="175">
        <f>H58/DAY(B2)</f>
        <v>238.05363636363606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6939.4500000000116</v>
      </c>
      <c r="H59" s="99">
        <f>G59+'21'!H59</f>
        <v>180390.18999999997</v>
      </c>
      <c r="I59" s="95">
        <f>G7-G60</f>
        <v>1229.5499999999884</v>
      </c>
      <c r="J59" s="175">
        <f>H59/DAY(B2)</f>
        <v>8199.5540909090905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24290.450000000012</v>
      </c>
      <c r="H60" s="99">
        <f>G60+'21'!H60</f>
        <v>438783.55999999994</v>
      </c>
      <c r="I60" s="95">
        <f>G13-G60</f>
        <v>527.54999999998836</v>
      </c>
      <c r="J60" s="175">
        <f>H60/DAY(B2)</f>
        <v>19944.707272727272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'21'!F62</f>
        <v>317298</v>
      </c>
      <c r="F62" s="122">
        <v>317434</v>
      </c>
      <c r="G62" s="112">
        <f t="shared" ref="G62:G63" si="4">F62-E62</f>
        <v>136</v>
      </c>
      <c r="H62" s="99">
        <f>G62+'21'!H62</f>
        <v>1757</v>
      </c>
      <c r="I62" s="118"/>
      <c r="J62" s="175">
        <f>H62/DAY(B2)</f>
        <v>79.86363636363636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'21'!F63</f>
        <v>254235</v>
      </c>
      <c r="F63" s="122">
        <v>254299</v>
      </c>
      <c r="G63" s="112">
        <f t="shared" si="4"/>
        <v>64</v>
      </c>
      <c r="H63" s="99">
        <f>G63+'21'!H63</f>
        <v>1975</v>
      </c>
      <c r="I63" s="118"/>
      <c r="J63" s="175">
        <f>H63/DAY(B2)</f>
        <v>89.772727272727266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'21'!F64</f>
        <v>0</v>
      </c>
      <c r="F64" s="122"/>
      <c r="G64" s="112">
        <f>G62+G63</f>
        <v>200</v>
      </c>
      <c r="H64" s="99">
        <f>G64+'21'!H64</f>
        <v>3732</v>
      </c>
      <c r="I64" s="118"/>
      <c r="J64" s="175">
        <f>H64/DAY(B2)</f>
        <v>169.63636363636363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'21'!F65</f>
        <v>478574</v>
      </c>
      <c r="F65" s="122">
        <v>478713</v>
      </c>
      <c r="G65" s="112">
        <f t="shared" ref="G65:G70" si="5">F65-E65</f>
        <v>139</v>
      </c>
      <c r="H65" s="99">
        <f>G65+'21'!H65</f>
        <v>2810</v>
      </c>
      <c r="I65" s="118"/>
      <c r="J65" s="175">
        <f>H65/DAY(B2)</f>
        <v>127.72727272727273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114768</v>
      </c>
      <c r="F66" s="122">
        <v>114782</v>
      </c>
      <c r="G66" s="112">
        <f t="shared" si="5"/>
        <v>14</v>
      </c>
      <c r="H66" s="99">
        <f>G66+'21'!H66</f>
        <v>316</v>
      </c>
      <c r="I66" s="118"/>
      <c r="J66" s="175">
        <f>H66/DAY(B2)</f>
        <v>14.363636363636363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117783</v>
      </c>
      <c r="F67" s="122">
        <v>117803</v>
      </c>
      <c r="G67" s="112">
        <f t="shared" si="5"/>
        <v>20</v>
      </c>
      <c r="H67" s="99">
        <f>G67+'21'!H67</f>
        <v>521</v>
      </c>
      <c r="I67" s="118"/>
      <c r="J67" s="175">
        <f>H67/DAY(B2)</f>
        <v>23.681818181818183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170358</v>
      </c>
      <c r="F68" s="122">
        <v>170385</v>
      </c>
      <c r="G68" s="112">
        <f t="shared" si="5"/>
        <v>27</v>
      </c>
      <c r="H68" s="99">
        <f>G68+'21'!H68</f>
        <v>435</v>
      </c>
      <c r="I68" s="118"/>
      <c r="J68" s="175">
        <f>H68/DAY(B2)</f>
        <v>19.772727272727273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13316</v>
      </c>
      <c r="F69" s="122">
        <v>13326</v>
      </c>
      <c r="G69" s="112">
        <f t="shared" si="5"/>
        <v>10</v>
      </c>
      <c r="H69" s="99">
        <f>G69+'21'!H69</f>
        <v>114</v>
      </c>
      <c r="I69" s="118"/>
      <c r="J69" s="175">
        <f>H69/DAY(B2)</f>
        <v>5.1818181818181817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11405</v>
      </c>
      <c r="F70" s="122">
        <v>11412</v>
      </c>
      <c r="G70" s="112">
        <f t="shared" si="5"/>
        <v>7</v>
      </c>
      <c r="H70" s="99">
        <f>G70+'21'!H70</f>
        <v>154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217</v>
      </c>
      <c r="H71" s="99">
        <f>G71+'21'!H71</f>
        <v>4350</v>
      </c>
      <c r="I71" s="154"/>
      <c r="J71" s="175">
        <f>H71/DAY(B2)</f>
        <v>197.72727272727272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'21'!F74</f>
        <v>18801</v>
      </c>
      <c r="F74" s="123">
        <v>19102</v>
      </c>
      <c r="G74" s="112">
        <f t="shared" ref="G74:G78" si="6">F74-E74</f>
        <v>301</v>
      </c>
      <c r="H74" s="99">
        <f>G74+'21'!H74</f>
        <v>3222</v>
      </c>
      <c r="I74" s="154"/>
      <c r="J74" s="175">
        <f>H74/DAY(B2)</f>
        <v>146.45454545454547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'21'!F75</f>
        <v>73586.8</v>
      </c>
      <c r="F75" s="123">
        <v>73586.8</v>
      </c>
      <c r="G75" s="112">
        <f t="shared" si="6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'21'!F76</f>
        <v>213199</v>
      </c>
      <c r="F76" s="123">
        <v>213320</v>
      </c>
      <c r="G76" s="112">
        <f t="shared" si="6"/>
        <v>121</v>
      </c>
      <c r="H76" s="99">
        <f>G76+'21'!H76</f>
        <v>2660</v>
      </c>
      <c r="I76" s="154"/>
      <c r="J76" s="175">
        <f>H76/DAY(B2)</f>
        <v>120.90909090909091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'21'!F77</f>
        <v>60875</v>
      </c>
      <c r="F77" s="123">
        <v>60933</v>
      </c>
      <c r="G77" s="112">
        <f t="shared" si="6"/>
        <v>58</v>
      </c>
      <c r="H77" s="99">
        <f>G77+'21'!H77</f>
        <v>1172</v>
      </c>
      <c r="I77" s="154"/>
      <c r="J77" s="175">
        <f>H77/DAY(B2)</f>
        <v>53.272727272727273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'21'!F78</f>
        <v>9564</v>
      </c>
      <c r="F78" s="123">
        <v>9564</v>
      </c>
      <c r="G78" s="112">
        <f t="shared" si="6"/>
        <v>0</v>
      </c>
      <c r="H78" s="99"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'21'!F79</f>
        <v>0</v>
      </c>
      <c r="F79" s="123"/>
      <c r="G79" s="112">
        <f>G15-SUM(G74:G78)</f>
        <v>669</v>
      </c>
      <c r="H79" s="99">
        <f>G79+'21'!H79</f>
        <v>13553.785000000149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1149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7">F82-E82</f>
        <v>0</v>
      </c>
      <c r="H82" s="99">
        <f>G82+'21'!H82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7"/>
        <v>0</v>
      </c>
      <c r="H83" s="99">
        <f>G83+'21'!H83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43540.35</v>
      </c>
      <c r="F84" s="164">
        <v>43540</v>
      </c>
      <c r="G84" s="112">
        <f t="shared" si="7"/>
        <v>-0.34999999999854481</v>
      </c>
      <c r="H84" s="99">
        <f>G84+'21'!H84</f>
        <v>-0.34999999999854481</v>
      </c>
      <c r="I84" s="543"/>
      <c r="J84" s="175">
        <f>H84/DAY(B2)</f>
        <v>-1.5909090909024762E-2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6278</v>
      </c>
      <c r="F85" s="164">
        <v>6302</v>
      </c>
      <c r="G85" s="112">
        <f t="shared" si="7"/>
        <v>24</v>
      </c>
      <c r="H85" s="99">
        <f>G85+'21'!H85</f>
        <v>89</v>
      </c>
      <c r="I85" s="543"/>
      <c r="J85" s="175">
        <f>H85/DAY(B2)</f>
        <v>4.0454545454545459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47197</v>
      </c>
      <c r="F86" s="164">
        <v>47204</v>
      </c>
      <c r="G86" s="112">
        <f t="shared" si="7"/>
        <v>7</v>
      </c>
      <c r="H86" s="99">
        <f>G86+'21'!H86</f>
        <v>233</v>
      </c>
      <c r="I86" s="543"/>
      <c r="J86" s="175">
        <f>H86/DAY(B2)</f>
        <v>10.590909090909092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37602</v>
      </c>
      <c r="F87" s="164">
        <v>37604</v>
      </c>
      <c r="G87" s="112">
        <f t="shared" si="7"/>
        <v>2</v>
      </c>
      <c r="H87" s="99">
        <f>G87+'21'!H87</f>
        <v>240</v>
      </c>
      <c r="I87" s="543">
        <f>G84+G85+G86+G87</f>
        <v>32.650000000001455</v>
      </c>
      <c r="J87" s="175">
        <f>H87/DAY(B2)</f>
        <v>10.909090909090908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24897</v>
      </c>
      <c r="F88" s="164">
        <v>24900.62</v>
      </c>
      <c r="G88" s="112">
        <f t="shared" si="7"/>
        <v>3.6199999999989814</v>
      </c>
      <c r="H88" s="99">
        <f>G88+'21'!H88</f>
        <v>138.61999999999898</v>
      </c>
      <c r="I88" s="543"/>
      <c r="J88" s="175">
        <f>H88/DAY(B2)</f>
        <v>6.3009090909090446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29159</v>
      </c>
      <c r="F89" s="164">
        <v>29169.57</v>
      </c>
      <c r="G89" s="112">
        <f t="shared" si="7"/>
        <v>10.569999999999709</v>
      </c>
      <c r="H89" s="99">
        <f>G89+'21'!H89</f>
        <v>141.56999999999971</v>
      </c>
      <c r="I89" s="543">
        <f>G88+G89</f>
        <v>14.18999999999869</v>
      </c>
      <c r="J89" s="175">
        <f>H89/DAY(B2)</f>
        <v>6.4349999999999872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74601.740000000005</v>
      </c>
      <c r="F90" s="164">
        <v>74604</v>
      </c>
      <c r="G90" s="112">
        <f t="shared" si="7"/>
        <v>2.2599999999947613</v>
      </c>
      <c r="H90" s="99">
        <f>G90+'21'!H90</f>
        <v>156</v>
      </c>
      <c r="I90" s="543">
        <f>G90</f>
        <v>2.2599999999947613</v>
      </c>
      <c r="J90" s="175">
        <f>H90/DAY(B2)</f>
        <v>7.0909090909090908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5832</v>
      </c>
      <c r="F91" s="122">
        <v>5842.65</v>
      </c>
      <c r="G91" s="112">
        <f t="shared" si="7"/>
        <v>10.649999999999636</v>
      </c>
      <c r="H91" s="99">
        <f>G91+'21'!H91</f>
        <v>224.4399999999996</v>
      </c>
      <c r="I91" s="544"/>
      <c r="J91" s="175">
        <f>H91/DAY(B2)</f>
        <v>10.201818181818163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7469</v>
      </c>
      <c r="F92" s="122">
        <v>7469</v>
      </c>
      <c r="G92" s="112">
        <f t="shared" si="7"/>
        <v>0</v>
      </c>
      <c r="H92" s="99">
        <f>G92+'21'!H92</f>
        <v>36.720000000000255</v>
      </c>
      <c r="I92" s="545">
        <f>G91+G92</f>
        <v>10.649999999999636</v>
      </c>
      <c r="J92" s="175">
        <f>H92/DAY(B2)</f>
        <v>1.6690909090909207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6061</v>
      </c>
      <c r="H94" s="99">
        <f>G94+'21'!H94</f>
        <v>127590</v>
      </c>
      <c r="I94" s="118"/>
      <c r="J94" s="175">
        <f>H94/DAY(B2)</f>
        <v>5799.545454545455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0.23749999999999999</v>
      </c>
      <c r="H95" s="99">
        <f>G95+'21'!H95</f>
        <v>5.6548339967784447</v>
      </c>
      <c r="I95" s="167"/>
      <c r="J95" s="175">
        <f>H95/DAY(B2)</f>
        <v>0.25703790894447476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6595.4500000000116</v>
      </c>
      <c r="H96" s="99">
        <f>G96+'21'!H96</f>
        <v>85195.62</v>
      </c>
      <c r="I96" s="118"/>
      <c r="J96" s="175">
        <f>H96/DAY(B2)</f>
        <v>3872.5281818181816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0.25844239811912273</v>
      </c>
      <c r="H97" s="99">
        <f>G97+'21'!H97</f>
        <v>3.7512772821225613</v>
      </c>
      <c r="I97" s="167"/>
      <c r="J97" s="175">
        <f>H97/DAY(B2)</f>
        <v>0.17051260373284369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2880</v>
      </c>
      <c r="H98" s="99">
        <f>G98+'21'!H98</f>
        <v>62711.969999999972</v>
      </c>
      <c r="I98" s="168"/>
      <c r="J98" s="175">
        <f>H98/DAY(B2)</f>
        <v>2850.5440909090898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0.11285266457680251</v>
      </c>
      <c r="H99" s="99">
        <f>G99+'21'!H99</f>
        <v>2.7807633811240722</v>
      </c>
      <c r="I99" s="168"/>
      <c r="J99" s="175">
        <f>H99/DAY(B2)</f>
        <v>0.12639833550563964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2767</v>
      </c>
      <c r="H100" s="99">
        <f>G100+'21'!H100</f>
        <v>57711</v>
      </c>
      <c r="I100" s="118"/>
      <c r="J100" s="175">
        <f>H100/DAY(B2)</f>
        <v>2623.2272727272725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0.10842476489028213</v>
      </c>
      <c r="H101" s="99">
        <f>G101+'21'!H101</f>
        <v>2.5552292772809602</v>
      </c>
      <c r="I101" s="168"/>
      <c r="J101" s="175">
        <f>H101/DAY(B2)</f>
        <v>0.11614678533095274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3171</v>
      </c>
      <c r="H102" s="99">
        <f>G102+'21'!H102</f>
        <v>56196</v>
      </c>
      <c r="I102" s="168"/>
      <c r="J102" s="175">
        <f>H102/DAY(B2)</f>
        <v>2554.3636363636365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0.12425548589341692</v>
      </c>
      <c r="H103" s="99">
        <f>G103+'21'!H103</f>
        <v>2.4786159038027087</v>
      </c>
      <c r="I103" s="118"/>
      <c r="J103" s="175">
        <f>H103/DAY(B2)</f>
        <v>0.11266435926375949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1511</v>
      </c>
      <c r="H104" s="99">
        <f>G104+'21'!H104</f>
        <v>31442</v>
      </c>
      <c r="I104" s="118"/>
      <c r="J104" s="175">
        <f>H104/DAY(B2)</f>
        <v>1429.1818181818182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5.9208463949843262E-2</v>
      </c>
      <c r="H105" s="99">
        <f>G105+'21'!H105</f>
        <v>1.3934065725217377</v>
      </c>
      <c r="I105" s="187"/>
      <c r="J105" s="188">
        <f>H105/DAY(B2)</f>
        <v>6.3336662387351708E-2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'21'!F112</f>
        <v>20681</v>
      </c>
      <c r="F112" s="237">
        <v>20742</v>
      </c>
      <c r="G112" s="112">
        <f t="shared" ref="G112:G123" si="8">F112-E112</f>
        <v>61</v>
      </c>
      <c r="H112" s="99">
        <f>G112+'21'!H112</f>
        <v>1345</v>
      </c>
      <c r="I112" s="165"/>
      <c r="J112" s="328">
        <f>H112/DAY(B2)</f>
        <v>61.136363636363633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'21'!F113</f>
        <v>44569</v>
      </c>
      <c r="F113" s="237">
        <v>44729</v>
      </c>
      <c r="G113" s="112">
        <f t="shared" si="8"/>
        <v>160</v>
      </c>
      <c r="H113" s="99">
        <f>G113+'21'!H113</f>
        <v>3209.0500000000029</v>
      </c>
      <c r="I113" s="165"/>
      <c r="J113" s="328">
        <f>H113/DAY(B2)</f>
        <v>145.86590909090921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'21'!F114</f>
        <v>65952</v>
      </c>
      <c r="F114" s="237">
        <v>66182</v>
      </c>
      <c r="G114" s="112">
        <f t="shared" si="8"/>
        <v>230</v>
      </c>
      <c r="H114" s="99">
        <f>G114+'21'!H114</f>
        <v>4964</v>
      </c>
      <c r="I114" s="165"/>
      <c r="J114" s="328">
        <f>H114/DAY(B2)</f>
        <v>225.63636363636363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'21'!F115</f>
        <v>42469</v>
      </c>
      <c r="F115" s="237">
        <v>42633</v>
      </c>
      <c r="G115" s="112">
        <f t="shared" si="8"/>
        <v>164</v>
      </c>
      <c r="H115" s="99">
        <f>G115+'21'!H115</f>
        <v>3174</v>
      </c>
      <c r="I115" s="165"/>
      <c r="J115" s="328">
        <f>H115/DAY(B2)</f>
        <v>144.27272727272728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'21'!F116</f>
        <v>157214</v>
      </c>
      <c r="F116" s="237">
        <v>157592</v>
      </c>
      <c r="G116" s="112">
        <f t="shared" si="8"/>
        <v>378</v>
      </c>
      <c r="H116" s="99">
        <f>G116+'21'!H116</f>
        <v>9662</v>
      </c>
      <c r="I116" s="165"/>
      <c r="J116" s="328">
        <f>H116/DAY(B2)</f>
        <v>439.18181818181819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'21'!F117</f>
        <v>97137</v>
      </c>
      <c r="F117" s="237">
        <v>97416</v>
      </c>
      <c r="G117" s="112">
        <f t="shared" si="8"/>
        <v>279</v>
      </c>
      <c r="H117" s="99">
        <f>G117+'21'!H117</f>
        <v>5426.6009999999951</v>
      </c>
      <c r="I117" s="165"/>
      <c r="J117" s="328">
        <f>H117/DAY(B2)</f>
        <v>246.6636818181816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'21'!F118</f>
        <v>192315</v>
      </c>
      <c r="F118" s="237">
        <v>193046</v>
      </c>
      <c r="G118" s="112">
        <f t="shared" si="8"/>
        <v>731</v>
      </c>
      <c r="H118" s="99">
        <f>G118+'21'!H118</f>
        <v>15513.470000000001</v>
      </c>
      <c r="I118" s="165"/>
      <c r="J118" s="328">
        <f>H118/DAY(B2)</f>
        <v>705.15772727272736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'21'!F119</f>
        <v>46386</v>
      </c>
      <c r="F119" s="237">
        <v>46464</v>
      </c>
      <c r="G119" s="112">
        <f t="shared" si="8"/>
        <v>78</v>
      </c>
      <c r="H119" s="99">
        <f>G119+'21'!H119</f>
        <v>1271</v>
      </c>
      <c r="I119" s="165"/>
      <c r="J119" s="328">
        <f>H119/DAY(B2)</f>
        <v>57.772727272727273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'21'!F120</f>
        <v>128646</v>
      </c>
      <c r="F120" s="237">
        <v>129035</v>
      </c>
      <c r="G120" s="112">
        <f t="shared" si="8"/>
        <v>389</v>
      </c>
      <c r="H120" s="99">
        <f>G120+'21'!H120</f>
        <v>8591</v>
      </c>
      <c r="I120" s="165"/>
      <c r="J120" s="328">
        <f>H120/DAY(B2)</f>
        <v>390.5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'21'!F121</f>
        <v>143779</v>
      </c>
      <c r="F121" s="237">
        <v>144210</v>
      </c>
      <c r="G121" s="112">
        <f t="shared" si="8"/>
        <v>431</v>
      </c>
      <c r="H121" s="99">
        <f>G121+'21'!H121</f>
        <v>9647</v>
      </c>
      <c r="I121" s="165"/>
      <c r="J121" s="328">
        <f>H121/DAY(B2)</f>
        <v>438.5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'21'!F122</f>
        <v>97262</v>
      </c>
      <c r="F122" s="237">
        <v>97564</v>
      </c>
      <c r="G122" s="112">
        <f t="shared" si="8"/>
        <v>302</v>
      </c>
      <c r="H122" s="99">
        <f>G122+'21'!H122</f>
        <v>6687</v>
      </c>
      <c r="I122" s="165"/>
      <c r="J122" s="328">
        <f>H122/DAY(B2)</f>
        <v>303.95454545454544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'21'!F123</f>
        <v>94064</v>
      </c>
      <c r="F123" s="237">
        <v>94373</v>
      </c>
      <c r="G123" s="112">
        <f t="shared" si="8"/>
        <v>309</v>
      </c>
      <c r="H123" s="99">
        <f>G123+'21'!H123</f>
        <v>6794</v>
      </c>
      <c r="I123" s="165"/>
      <c r="J123" s="328">
        <f>H123/DAY(B2)</f>
        <v>308.81818181818181</v>
      </c>
    </row>
    <row r="124" spans="1:18" ht="29.25" customHeight="1">
      <c r="A124" s="887"/>
      <c r="B124" s="888"/>
      <c r="C124" s="88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3512</v>
      </c>
      <c r="H125" s="156"/>
      <c r="I125" s="327">
        <f>G125-(G39+G53)</f>
        <v>632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'21'!F128</f>
        <v>217411</v>
      </c>
      <c r="F128" s="165">
        <v>217882</v>
      </c>
      <c r="G128" s="112">
        <f t="shared" ref="G128:G134" si="9">F128-E128</f>
        <v>471</v>
      </c>
      <c r="H128" s="99">
        <f>G128+'21'!H128</f>
        <v>10593</v>
      </c>
      <c r="I128" s="165"/>
      <c r="J128" s="328">
        <f>H128/DAY(B2)</f>
        <v>481.5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3073</v>
      </c>
      <c r="F129" s="165">
        <v>3185</v>
      </c>
      <c r="G129" s="112">
        <f t="shared" si="9"/>
        <v>112</v>
      </c>
      <c r="H129" s="99">
        <f>G129+'21'!H129</f>
        <v>2451</v>
      </c>
      <c r="I129" s="165"/>
      <c r="J129" s="328">
        <f>H129/DAY(B2)</f>
        <v>111.40909090909091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301157</v>
      </c>
      <c r="F130" s="165">
        <v>301791</v>
      </c>
      <c r="G130" s="112">
        <f t="shared" si="9"/>
        <v>634</v>
      </c>
      <c r="H130" s="99">
        <f>G130+'21'!H130</f>
        <v>13069</v>
      </c>
      <c r="I130" s="165"/>
      <c r="J130" s="328">
        <f>H130/DAY(B2)</f>
        <v>594.0454545454545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'21'!F131</f>
        <v>88909</v>
      </c>
      <c r="F131" s="165">
        <v>89118</v>
      </c>
      <c r="G131" s="112">
        <f t="shared" si="9"/>
        <v>209</v>
      </c>
      <c r="H131" s="99">
        <f>G131+'21'!H131</f>
        <v>4414.1699999999983</v>
      </c>
      <c r="I131" s="165"/>
      <c r="J131" s="328">
        <f>H131/DAY(B2)</f>
        <v>200.64409090909083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'21'!F132</f>
        <v>73992</v>
      </c>
      <c r="F132" s="165">
        <v>74301</v>
      </c>
      <c r="G132" s="112">
        <f t="shared" si="9"/>
        <v>309</v>
      </c>
      <c r="H132" s="99">
        <f>G132+'21'!H132</f>
        <v>6854</v>
      </c>
      <c r="I132" s="165"/>
      <c r="J132" s="328">
        <f>H132/DAY(B2)</f>
        <v>311.54545454545456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'21'!F133</f>
        <v>288548</v>
      </c>
      <c r="F133" s="165">
        <v>288548</v>
      </c>
      <c r="G133" s="112">
        <f t="shared" si="9"/>
        <v>0</v>
      </c>
      <c r="H133" s="99">
        <f>G133+'21'!H133</f>
        <v>10419.830000000016</v>
      </c>
      <c r="I133" s="165"/>
      <c r="J133" s="328">
        <f>H133/DAY(B2)</f>
        <v>473.6286363636371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'21'!F134</f>
        <v>98643</v>
      </c>
      <c r="F134" s="165">
        <v>98896</v>
      </c>
      <c r="G134" s="112">
        <f t="shared" si="9"/>
        <v>253</v>
      </c>
      <c r="H134" s="99">
        <f>G134+'21'!H134</f>
        <v>8214.3099999999977</v>
      </c>
      <c r="I134" s="165"/>
      <c r="J134" s="328">
        <f>H134/DAY(B2)</f>
        <v>373.37772727272716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1988</v>
      </c>
      <c r="H135" s="99">
        <f>G135+'10'!H135</f>
        <v>26241.609999999971</v>
      </c>
      <c r="I135" s="327">
        <f>G135-(G35+G49)</f>
        <v>-1410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'21'!F138</f>
        <v>915438</v>
      </c>
      <c r="F138" s="147">
        <v>915595</v>
      </c>
      <c r="G138" s="112">
        <f t="shared" ref="G138:G152" si="10">F138-E138</f>
        <v>157</v>
      </c>
      <c r="H138" s="99">
        <f>G138+'21'!H138</f>
        <v>6194</v>
      </c>
      <c r="I138" s="118"/>
      <c r="J138" s="328">
        <f>H138/DAY(B2)</f>
        <v>281.54545454545456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'21'!F139</f>
        <v>940406</v>
      </c>
      <c r="F139" s="148">
        <v>940554</v>
      </c>
      <c r="G139" s="112">
        <f t="shared" si="10"/>
        <v>148</v>
      </c>
      <c r="H139" s="99">
        <f>G139+'21'!H139</f>
        <v>3296</v>
      </c>
      <c r="I139" s="118"/>
      <c r="J139" s="328">
        <f>H139/DAY(B2)</f>
        <v>149.81818181818181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'21'!F140</f>
        <v>5443</v>
      </c>
      <c r="F140" s="149">
        <v>5477</v>
      </c>
      <c r="G140" s="112">
        <f t="shared" si="10"/>
        <v>34</v>
      </c>
      <c r="H140" s="99">
        <f>G140+'21'!H140</f>
        <v>713</v>
      </c>
      <c r="I140" s="118"/>
      <c r="J140" s="328">
        <f>H140/DAY(B2)</f>
        <v>32.409090909090907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'21'!F141</f>
        <v>136626</v>
      </c>
      <c r="F141" s="149">
        <v>136910</v>
      </c>
      <c r="G141" s="112">
        <f t="shared" si="10"/>
        <v>284</v>
      </c>
      <c r="H141" s="99">
        <f>G141+'21'!H141</f>
        <v>5590</v>
      </c>
      <c r="I141" s="118"/>
      <c r="J141" s="328">
        <f>H141/DAY(B2)</f>
        <v>254.09090909090909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'21'!F142</f>
        <v>55105</v>
      </c>
      <c r="F142" s="148">
        <v>55201</v>
      </c>
      <c r="G142" s="112">
        <f t="shared" si="10"/>
        <v>96</v>
      </c>
      <c r="H142" s="99">
        <f>G142+'21'!H142</f>
        <v>2010</v>
      </c>
      <c r="I142" s="140"/>
      <c r="J142" s="328">
        <f>H142/DAY(B2)</f>
        <v>91.36363636363636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'21'!F143</f>
        <v>14992</v>
      </c>
      <c r="F143" s="149">
        <v>15026</v>
      </c>
      <c r="G143" s="112">
        <f t="shared" si="10"/>
        <v>34</v>
      </c>
      <c r="H143" s="99">
        <f>G143+'21'!H143</f>
        <v>714</v>
      </c>
      <c r="I143" s="140"/>
      <c r="J143" s="328">
        <f>H143/DAY(B2)</f>
        <v>32.454545454545453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'21'!F144</f>
        <v>968553</v>
      </c>
      <c r="F144" s="149">
        <v>968804</v>
      </c>
      <c r="G144" s="112">
        <f t="shared" si="10"/>
        <v>251</v>
      </c>
      <c r="H144" s="99">
        <f>G144+'21'!H144</f>
        <v>5578</v>
      </c>
      <c r="I144" s="140"/>
      <c r="J144" s="328">
        <f>H144/DAY(B2)</f>
        <v>253.54545454545453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'21'!F145</f>
        <v>755230</v>
      </c>
      <c r="F145" s="149">
        <v>755425</v>
      </c>
      <c r="G145" s="112">
        <f t="shared" si="10"/>
        <v>195</v>
      </c>
      <c r="H145" s="99">
        <f>G145+'21'!H145</f>
        <v>4692</v>
      </c>
      <c r="I145" s="140"/>
      <c r="J145" s="328">
        <f>H145/DAY(B2)</f>
        <v>213.27272727272728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'21'!F146</f>
        <v>789837</v>
      </c>
      <c r="F146" s="148">
        <v>789865</v>
      </c>
      <c r="G146" s="112">
        <f t="shared" si="10"/>
        <v>28</v>
      </c>
      <c r="H146" s="99">
        <f>G146+'21'!H146</f>
        <v>840</v>
      </c>
      <c r="I146" s="140"/>
      <c r="J146" s="328">
        <f>H146/DAY(B2)</f>
        <v>38.18181818181818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'21'!F147</f>
        <v>779742</v>
      </c>
      <c r="F147" s="148">
        <v>780165</v>
      </c>
      <c r="G147" s="112">
        <f t="shared" si="10"/>
        <v>423</v>
      </c>
      <c r="H147" s="99">
        <f>G147+'21'!H147</f>
        <v>8508.1199999999953</v>
      </c>
      <c r="I147" s="140"/>
      <c r="J147" s="328">
        <f>H147/DAY(B2)</f>
        <v>386.73272727272706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'21'!F148</f>
        <v>814431</v>
      </c>
      <c r="F148" s="150">
        <v>814868</v>
      </c>
      <c r="G148" s="112">
        <f t="shared" si="10"/>
        <v>437</v>
      </c>
      <c r="H148" s="99">
        <f>G148+'21'!H148</f>
        <v>8047.7600000000093</v>
      </c>
      <c r="I148" s="124"/>
      <c r="J148" s="328">
        <f>H148/DAY(B2)</f>
        <v>365.80727272727313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'21'!F149</f>
        <v>226780</v>
      </c>
      <c r="F149" s="146">
        <v>227314</v>
      </c>
      <c r="G149" s="112">
        <f t="shared" si="10"/>
        <v>534</v>
      </c>
      <c r="H149" s="99">
        <f>G149+'21'!H149</f>
        <v>10418</v>
      </c>
      <c r="I149" s="119"/>
      <c r="J149" s="328">
        <f>H149/DAY(B2)</f>
        <v>473.54545454545456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'21'!F150</f>
        <v>97106</v>
      </c>
      <c r="F150" s="233">
        <v>97331</v>
      </c>
      <c r="G150" s="112">
        <f t="shared" si="10"/>
        <v>225</v>
      </c>
      <c r="H150" s="99">
        <f>G150+'21'!H150</f>
        <v>5220.1999999999971</v>
      </c>
      <c r="I150" s="119"/>
      <c r="J150" s="328">
        <f>H150/DAY(B2)</f>
        <v>237.28181818181804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'21'!F151</f>
        <v>183578</v>
      </c>
      <c r="F151" s="233">
        <v>183906</v>
      </c>
      <c r="G151" s="112">
        <f t="shared" si="10"/>
        <v>328</v>
      </c>
      <c r="H151" s="99">
        <f>G151+'21'!H151</f>
        <v>7731</v>
      </c>
      <c r="I151" s="119"/>
      <c r="J151" s="328">
        <f>H151/DAY(B2)</f>
        <v>351.40909090909093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'21'!F152</f>
        <v>49383</v>
      </c>
      <c r="F152" s="233">
        <v>49512</v>
      </c>
      <c r="G152" s="112">
        <f t="shared" si="10"/>
        <v>129</v>
      </c>
      <c r="H152" s="99">
        <f>G152+'21'!H152</f>
        <v>2880</v>
      </c>
      <c r="I152" s="119"/>
      <c r="J152" s="328">
        <f>H152/DAY(B2)</f>
        <v>130.90909090909091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3303</v>
      </c>
      <c r="H153" s="363"/>
      <c r="I153" s="119">
        <f>G153-(G38+G52)</f>
        <v>536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'21'!F155</f>
        <v>267852</v>
      </c>
      <c r="F155" s="374">
        <v>268423</v>
      </c>
      <c r="G155" s="112">
        <f t="shared" ref="G155:G158" si="11">F155-E155</f>
        <v>571</v>
      </c>
      <c r="H155" s="99">
        <f>G155+'21'!H155</f>
        <v>12071</v>
      </c>
      <c r="I155" s="364"/>
      <c r="J155" s="328">
        <f>H155/DAY(B2)</f>
        <v>548.68181818181813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'21'!F156</f>
        <v>34564</v>
      </c>
      <c r="F156" s="155">
        <v>34659</v>
      </c>
      <c r="G156" s="112">
        <f t="shared" si="11"/>
        <v>95</v>
      </c>
      <c r="H156" s="99">
        <f>G156+'21'!H156</f>
        <v>2100</v>
      </c>
      <c r="I156" s="165"/>
      <c r="J156" s="328">
        <f>H156/DAY(B2)</f>
        <v>95.454545454545453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'21'!F157</f>
        <v>3500</v>
      </c>
      <c r="F157" s="155">
        <v>3637</v>
      </c>
      <c r="G157" s="112">
        <f t="shared" si="11"/>
        <v>137</v>
      </c>
      <c r="H157" s="99">
        <f>G157+'21'!H157</f>
        <v>396</v>
      </c>
      <c r="I157" s="165"/>
      <c r="J157" s="328">
        <f>H157/DAY(B2)</f>
        <v>18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'21'!F158</f>
        <v>1791.56</v>
      </c>
      <c r="F158" s="155">
        <v>1804.5</v>
      </c>
      <c r="G158" s="112">
        <f t="shared" si="11"/>
        <v>12.940000000000055</v>
      </c>
      <c r="H158" s="99">
        <f>G158+'21'!H158</f>
        <v>13.660000000000082</v>
      </c>
      <c r="I158" s="165"/>
      <c r="J158" s="328">
        <f>H158/DAY(B2)</f>
        <v>0.62090909090909463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515716</v>
      </c>
      <c r="F161" s="235">
        <v>515917</v>
      </c>
      <c r="G161" s="238">
        <f t="shared" ref="G161:G165" si="12">F161-E161</f>
        <v>201</v>
      </c>
      <c r="H161" s="99">
        <f>G161+'21'!H161</f>
        <v>3472</v>
      </c>
      <c r="I161" s="236"/>
      <c r="J161" s="239">
        <f>H161/DAY(B2)</f>
        <v>157.81818181818181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2666</v>
      </c>
      <c r="F162" s="235">
        <v>2707</v>
      </c>
      <c r="G162" s="238">
        <f t="shared" si="12"/>
        <v>41</v>
      </c>
      <c r="H162" s="99">
        <f>G162+'21'!H162</f>
        <v>947</v>
      </c>
      <c r="I162" s="236"/>
      <c r="J162" s="239">
        <f>H162/DAY(B2)</f>
        <v>43.045454545454547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0</v>
      </c>
      <c r="F163" s="235">
        <v>0</v>
      </c>
      <c r="G163" s="238">
        <f t="shared" si="12"/>
        <v>0</v>
      </c>
      <c r="H163" s="99">
        <f>G163+'21'!H163</f>
        <v>0</v>
      </c>
      <c r="I163" s="236"/>
      <c r="J163" s="239">
        <f>H163/DAY(B2)</f>
        <v>0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7394</v>
      </c>
      <c r="F164" s="235">
        <v>7396</v>
      </c>
      <c r="G164" s="238">
        <f t="shared" si="12"/>
        <v>2</v>
      </c>
      <c r="H164" s="99">
        <f>G164+'21'!H164</f>
        <v>59</v>
      </c>
      <c r="I164" s="236"/>
      <c r="J164" s="239">
        <f>H164/DAY(B2)</f>
        <v>2.6818181818181817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33121</v>
      </c>
      <c r="F165" s="235">
        <v>33128</v>
      </c>
      <c r="G165" s="238">
        <f t="shared" si="12"/>
        <v>7</v>
      </c>
      <c r="H165" s="99">
        <f>G165+'21'!H165</f>
        <v>153.4800000000032</v>
      </c>
      <c r="I165" s="236"/>
      <c r="J165" s="239">
        <f>H165/DAY(B2)</f>
        <v>6.9763636363637822</v>
      </c>
    </row>
    <row r="166" spans="1:10" ht="21.95" customHeight="1">
      <c r="A166" s="872"/>
      <c r="B166" s="87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72"/>
      <c r="B167" s="87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72"/>
      <c r="B168" s="87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'21'!F173</f>
        <v>8603</v>
      </c>
      <c r="F173" s="155">
        <v>8604</v>
      </c>
      <c r="G173" s="155">
        <f>F173-E173</f>
        <v>1</v>
      </c>
      <c r="H173" s="99">
        <f>G173+'21'!H173</f>
        <v>22</v>
      </c>
      <c r="I173" s="155"/>
      <c r="J173" s="178">
        <f>H173/DAY(B2)</f>
        <v>1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'21'!F174</f>
        <v>43621</v>
      </c>
      <c r="F174" s="157">
        <v>43631</v>
      </c>
      <c r="G174" s="155">
        <f t="shared" ref="G174:G175" si="13">F174-E174</f>
        <v>10</v>
      </c>
      <c r="H174" s="99">
        <f>G174+'21'!H174</f>
        <v>217</v>
      </c>
      <c r="I174" s="155"/>
      <c r="J174" s="178">
        <f>H174/DAY(B2)</f>
        <v>9.8636363636363633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'21'!F175</f>
        <v>26574</v>
      </c>
      <c r="F175" s="155">
        <v>26585</v>
      </c>
      <c r="G175" s="155">
        <f t="shared" si="13"/>
        <v>11</v>
      </c>
      <c r="H175" s="99">
        <f>G175+'21'!H175</f>
        <v>298</v>
      </c>
      <c r="I175" s="155"/>
      <c r="J175" s="178">
        <f>H175/DAY(B2)</f>
        <v>13.545454545454545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22</v>
      </c>
      <c r="H176" s="99">
        <f>G176+'21'!H176</f>
        <v>537</v>
      </c>
      <c r="I176" s="155"/>
      <c r="J176" s="178">
        <f>H176/DAY(B2)</f>
        <v>24.40909090909091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'21'!F178</f>
        <v>112614</v>
      </c>
      <c r="F178" s="155">
        <v>112673</v>
      </c>
      <c r="G178" s="155">
        <f>F178-E178</f>
        <v>59</v>
      </c>
      <c r="H178" s="99">
        <f>G178+'21'!H178</f>
        <v>2282</v>
      </c>
      <c r="I178" s="155"/>
      <c r="J178" s="178">
        <f>H178/DAY(B2)</f>
        <v>103.72727272727273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'21'!F179</f>
        <v>37501</v>
      </c>
      <c r="F179" s="155">
        <v>37501</v>
      </c>
      <c r="G179" s="155">
        <f t="shared" ref="G179:G180" si="14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'21'!F180</f>
        <v>7791</v>
      </c>
      <c r="F180" s="155">
        <v>7793</v>
      </c>
      <c r="G180" s="374">
        <f t="shared" si="14"/>
        <v>2</v>
      </c>
      <c r="H180" s="99">
        <f>G180+'21'!H180</f>
        <v>92</v>
      </c>
      <c r="I180" s="155"/>
      <c r="J180" s="178">
        <f>H180/DAY(B2)</f>
        <v>4.1818181818181817</v>
      </c>
    </row>
    <row r="181" spans="1:10" ht="27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61</v>
      </c>
      <c r="H181" s="99">
        <f>G181+'21'!H181</f>
        <v>2374</v>
      </c>
      <c r="I181" s="155"/>
      <c r="J181" s="178">
        <f>H181/DAY(B2)</f>
        <v>107.90909090909091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'21'!F183</f>
        <v>18826</v>
      </c>
      <c r="F183" s="157">
        <v>18839</v>
      </c>
      <c r="G183" s="157">
        <f>F183-E183</f>
        <v>13</v>
      </c>
      <c r="H183" s="99">
        <f>G183+'21'!H183</f>
        <v>147</v>
      </c>
      <c r="I183" s="155"/>
      <c r="J183" s="178">
        <f>H183/DAY(B2)</f>
        <v>6.6818181818181817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'21'!F184</f>
        <v>13395</v>
      </c>
      <c r="F184" s="157">
        <v>13401</v>
      </c>
      <c r="G184" s="157">
        <f t="shared" ref="G184" si="15">F184-E184</f>
        <v>6</v>
      </c>
      <c r="H184" s="99">
        <f>G184+'21'!H184</f>
        <v>155</v>
      </c>
      <c r="I184" s="155"/>
      <c r="J184" s="178">
        <f>H184/DAY(B2)</f>
        <v>7.0454545454545459</v>
      </c>
    </row>
    <row r="185" spans="1:10" ht="25.5">
      <c r="A185" s="790" t="s">
        <v>216</v>
      </c>
      <c r="B185" s="791"/>
      <c r="C185" s="334"/>
      <c r="D185" s="228" t="s">
        <v>142</v>
      </c>
      <c r="E185" s="95"/>
      <c r="F185" s="157" t="s">
        <v>207</v>
      </c>
      <c r="G185" s="157"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19</v>
      </c>
      <c r="H186" s="99">
        <f>G186+'21'!H186</f>
        <v>302</v>
      </c>
      <c r="I186" s="157"/>
      <c r="J186" s="178">
        <f>H186/DAY(B2)</f>
        <v>13.727272727272727</v>
      </c>
    </row>
    <row r="187" spans="1:10" ht="25.5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196</v>
      </c>
      <c r="H187" s="99">
        <f>G187+'21'!H187</f>
        <v>2919</v>
      </c>
      <c r="I187" s="158"/>
      <c r="J187" s="179">
        <f>H187/DAY(B2)</f>
        <v>132.68181818181819</v>
      </c>
    </row>
    <row r="188" spans="1:10" ht="25.5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190</v>
      </c>
      <c r="H188" s="99">
        <f>G188+'21'!H188</f>
        <v>1464</v>
      </c>
      <c r="I188" s="158"/>
      <c r="J188" s="179">
        <f>H188/DAY(B2)</f>
        <v>66.545454545454547</v>
      </c>
    </row>
    <row r="189" spans="1:10" ht="25.5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61</v>
      </c>
      <c r="H189" s="99">
        <f>G189+'21'!H189</f>
        <v>403</v>
      </c>
      <c r="I189" s="158"/>
      <c r="J189" s="179">
        <f>H189/DAY(B2)</f>
        <v>18.318181818181817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6" spans="7:7" ht="21.95" customHeight="1">
      <c r="G196" s="160" t="s">
        <v>207</v>
      </c>
    </row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61" zoomScale="50" zoomScaleNormal="80" zoomScaleSheetLayoutView="50" workbookViewId="0">
      <selection activeCell="F43" sqref="F4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  <c r="O1" s="65" t="s">
        <v>207</v>
      </c>
    </row>
    <row r="2" spans="1:15" s="57" customFormat="1" ht="30.75" customHeight="1">
      <c r="A2" s="191" t="s">
        <v>355</v>
      </c>
      <c r="B2" s="262">
        <v>44980</v>
      </c>
      <c r="C2" s="348" t="s">
        <v>67</v>
      </c>
      <c r="D2" s="218">
        <v>0.89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25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120605</v>
      </c>
      <c r="F7" s="95">
        <v>144626</v>
      </c>
      <c r="G7" s="112">
        <f>F7-E7</f>
        <v>24021</v>
      </c>
      <c r="H7" s="99">
        <f>G7+'22'!H7</f>
        <v>521259</v>
      </c>
      <c r="I7" s="113">
        <f>'1'!I7</f>
        <v>12000</v>
      </c>
      <c r="J7" s="175">
        <f>H7/DAY(B2)</f>
        <v>22663.434782608696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325034</v>
      </c>
      <c r="F8" s="114">
        <v>349448</v>
      </c>
      <c r="G8" s="115">
        <f>F8-E8</f>
        <v>24414</v>
      </c>
      <c r="H8" s="99">
        <f>G8+'22'!H8</f>
        <v>533338</v>
      </c>
      <c r="I8" s="116"/>
      <c r="J8" s="175">
        <f>H8/DAY(B2)</f>
        <v>23188.608695652172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5108195</v>
      </c>
      <c r="F9" s="468">
        <v>5124458</v>
      </c>
      <c r="G9" s="112">
        <f>F9-E9</f>
        <v>16263</v>
      </c>
      <c r="H9" s="99">
        <f>G9+'22'!H9</f>
        <v>299359</v>
      </c>
      <c r="I9" s="124">
        <f>I7-J7</f>
        <v>-10663.434782608696</v>
      </c>
      <c r="J9" s="175">
        <f>H9/DAY(B2)</f>
        <v>13015.608695652174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4492287</v>
      </c>
      <c r="F10" s="353">
        <v>4499384</v>
      </c>
      <c r="G10" s="112">
        <f t="shared" ref="G10:G11" si="0">F10-E10</f>
        <v>7097</v>
      </c>
      <c r="H10" s="99">
        <f>G10+'22'!H10</f>
        <v>208850</v>
      </c>
      <c r="I10" s="282"/>
      <c r="J10" s="175">
        <f>H10/DAY(B2)</f>
        <v>9080.434782608696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38700</v>
      </c>
      <c r="F11" s="95">
        <v>38700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40550</v>
      </c>
      <c r="F12" s="117">
        <v>40550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23360</v>
      </c>
      <c r="H13" s="99">
        <f>G13+'22'!H13</f>
        <v>508209</v>
      </c>
      <c r="I13" s="120">
        <f>G7-G13</f>
        <v>661</v>
      </c>
      <c r="J13" s="175">
        <f>H13/DAY(B2)</f>
        <v>22096.043478260868</v>
      </c>
      <c r="K13" s="79"/>
      <c r="L13" s="66"/>
      <c r="N13" s="87"/>
      <c r="O13" s="71"/>
    </row>
    <row r="14" spans="1:15" ht="30.7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2312700</v>
      </c>
      <c r="F15" s="468">
        <v>2313905</v>
      </c>
      <c r="G15" s="112">
        <f>(F15-E15)</f>
        <v>1205</v>
      </c>
      <c r="H15" s="99">
        <f>G15+'22'!H15</f>
        <v>25431.285000000149</v>
      </c>
      <c r="I15" s="113">
        <f>'1'!I15</f>
        <v>800</v>
      </c>
      <c r="J15" s="175">
        <f>H15/DAY(B2)</f>
        <v>1105.7080434782674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 t="s">
        <v>383</v>
      </c>
      <c r="G16" s="112"/>
      <c r="H16" s="124"/>
      <c r="I16" s="120">
        <f>I15-J15</f>
        <v>-305.70804347826743</v>
      </c>
      <c r="J16" s="176"/>
      <c r="K16" s="79"/>
      <c r="L16" s="66"/>
      <c r="N16" s="87"/>
      <c r="O16" s="71"/>
    </row>
    <row r="17" spans="1:15" ht="30.7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4" t="s">
        <v>141</v>
      </c>
      <c r="B18" s="905"/>
      <c r="C18" s="906"/>
      <c r="D18" s="151" t="s">
        <v>142</v>
      </c>
      <c r="E18" s="95">
        <f>'22'!F18</f>
        <v>20</v>
      </c>
      <c r="F18" s="122">
        <v>34</v>
      </c>
      <c r="G18" s="119">
        <f>F18*10</f>
        <v>340</v>
      </c>
      <c r="H18" s="99">
        <f>G18+'22'!H18</f>
        <v>4150</v>
      </c>
      <c r="I18" s="113">
        <f>'1'!I18</f>
        <v>65</v>
      </c>
      <c r="J18" s="175">
        <f>H18/DAY(B2)</f>
        <v>180.43478260869566</v>
      </c>
      <c r="K18" s="79"/>
      <c r="L18" s="66"/>
      <c r="N18" s="87"/>
      <c r="O18" s="71"/>
    </row>
    <row r="19" spans="1:15" ht="30.75" customHeight="1">
      <c r="A19" s="904" t="s">
        <v>69</v>
      </c>
      <c r="B19" s="905"/>
      <c r="C19" s="906"/>
      <c r="D19" s="151" t="s">
        <v>142</v>
      </c>
      <c r="E19" s="95">
        <f>'22'!F19</f>
        <v>172485</v>
      </c>
      <c r="F19" s="122">
        <v>172538</v>
      </c>
      <c r="G19" s="112">
        <f t="shared" ref="G19" si="1">F19-E19</f>
        <v>53</v>
      </c>
      <c r="H19" s="99">
        <f>G19+'22'!H19</f>
        <v>1215</v>
      </c>
      <c r="I19" s="335"/>
      <c r="J19" s="175">
        <f>H19/DAY(B2)</f>
        <v>52.826086956521742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393</v>
      </c>
      <c r="H20" s="99">
        <f>G20+'22'!H20</f>
        <v>5365</v>
      </c>
      <c r="I20" s="336">
        <f>I18-J20</f>
        <v>-168.2608695652174</v>
      </c>
      <c r="J20" s="175">
        <f>H20/DAY(B2)</f>
        <v>233.2608695652174</v>
      </c>
      <c r="K20" s="79"/>
      <c r="L20" s="66"/>
      <c r="N20" s="87"/>
      <c r="O20" s="71"/>
    </row>
    <row r="21" spans="1:15" ht="30.7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1860</v>
      </c>
      <c r="F23" s="122">
        <v>1860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4830</v>
      </c>
      <c r="F24" s="128">
        <v>4830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24414</v>
      </c>
      <c r="F27" s="136">
        <v>10</v>
      </c>
      <c r="G27" s="137">
        <f>E27*F27</f>
        <v>244140</v>
      </c>
      <c r="H27" s="99">
        <f>G27+'22'!H27</f>
        <v>5333380</v>
      </c>
      <c r="I27" s="138"/>
      <c r="J27" s="175">
        <f>H27/DAY(B2)</f>
        <v>231886.08695652173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1205</v>
      </c>
      <c r="F28" s="136">
        <v>63</v>
      </c>
      <c r="G28" s="137">
        <f>E28*F28</f>
        <v>75915</v>
      </c>
      <c r="H28" s="99">
        <f>G28+'22'!H28</f>
        <v>1621592.4100000104</v>
      </c>
      <c r="I28" s="140"/>
      <c r="J28" s="175">
        <f>H28/DAY(B2)</f>
        <v>70504.017826087409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6900</v>
      </c>
      <c r="I29" s="140"/>
      <c r="J29" s="175">
        <f>H29/DAY(B2)</f>
        <v>300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155</v>
      </c>
      <c r="G30" s="137">
        <f>E30*F30</f>
        <v>8215</v>
      </c>
      <c r="H30" s="99">
        <f>G30+'22'!H30</f>
        <v>187005</v>
      </c>
      <c r="I30" s="140"/>
      <c r="J30" s="175">
        <f>H30/DAY(B2)</f>
        <v>8130.652173913043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88</v>
      </c>
      <c r="G31" s="137">
        <f>E31*F31</f>
        <v>29920</v>
      </c>
      <c r="H31" s="99">
        <f>G31+'22'!H31</f>
        <v>361540</v>
      </c>
      <c r="I31" s="140"/>
      <c r="J31" s="175">
        <f>H31/DAY(B2)</f>
        <v>15719.130434782608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358190</v>
      </c>
      <c r="H32" s="99">
        <f>G32+'22'!H32</f>
        <v>7510417.4100000104</v>
      </c>
      <c r="I32" s="144"/>
      <c r="J32" s="175">
        <f>H32/DAY(B2)</f>
        <v>326539.88739130477</v>
      </c>
      <c r="K32" s="63"/>
      <c r="L32" s="89"/>
      <c r="N32" s="87"/>
      <c r="O32" s="71"/>
    </row>
    <row r="33" spans="1:15" ht="30.7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588891</v>
      </c>
      <c r="F35" s="145">
        <v>591664</v>
      </c>
      <c r="G35" s="112">
        <f t="shared" ref="G35:G46" si="3">F35-E35</f>
        <v>2773</v>
      </c>
      <c r="H35" s="99">
        <f>G35+'22'!H35</f>
        <v>61608</v>
      </c>
      <c r="I35" s="95"/>
      <c r="J35" s="175">
        <f>H35/DAY(B2)</f>
        <v>2678.608695652174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405038</v>
      </c>
      <c r="F36" s="145">
        <v>406188</v>
      </c>
      <c r="G36" s="112">
        <f t="shared" si="3"/>
        <v>1150</v>
      </c>
      <c r="H36" s="99">
        <f>G36+'22'!H36</f>
        <v>24367</v>
      </c>
      <c r="I36" s="95"/>
      <c r="J36" s="175">
        <f>H36/DAY(B2)</f>
        <v>1059.4347826086957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415061</v>
      </c>
      <c r="F37" s="145">
        <v>416588</v>
      </c>
      <c r="G37" s="112">
        <f t="shared" si="3"/>
        <v>1527</v>
      </c>
      <c r="H37" s="99">
        <f>G37+'22'!H37</f>
        <v>32969</v>
      </c>
      <c r="I37" s="95"/>
      <c r="J37" s="175">
        <f>H37/DAY(B2)</f>
        <v>1433.4347826086957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934838</v>
      </c>
      <c r="F38" s="108">
        <v>937601</v>
      </c>
      <c r="G38" s="112">
        <f t="shared" si="3"/>
        <v>2763</v>
      </c>
      <c r="H38" s="99">
        <f>G38+'22'!H38</f>
        <v>60474</v>
      </c>
      <c r="I38" s="95"/>
      <c r="J38" s="175">
        <f>H38/DAY(B2)</f>
        <v>2629.304347826087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768848</v>
      </c>
      <c r="F39" s="145">
        <v>771767</v>
      </c>
      <c r="G39" s="112">
        <f t="shared" si="3"/>
        <v>2919</v>
      </c>
      <c r="H39" s="99">
        <f>G39+'22'!H39</f>
        <v>65631</v>
      </c>
      <c r="I39" s="95"/>
      <c r="J39" s="175">
        <f>H39/DAY(B2)</f>
        <v>2853.521739130435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223688</v>
      </c>
      <c r="F40" s="145">
        <v>224178</v>
      </c>
      <c r="G40" s="112">
        <f t="shared" si="3"/>
        <v>490</v>
      </c>
      <c r="H40" s="99">
        <f>G40+'22'!H40</f>
        <v>6386</v>
      </c>
      <c r="I40" s="95"/>
      <c r="J40" s="175">
        <f>H40/DAY(B2)</f>
        <v>277.6521739130435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420212.51</v>
      </c>
      <c r="F41" s="145">
        <v>420212.51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991643</v>
      </c>
      <c r="F42" s="145">
        <v>995520.63</v>
      </c>
      <c r="G42" s="112">
        <f t="shared" si="3"/>
        <v>3877.6300000000047</v>
      </c>
      <c r="H42" s="99">
        <f>G42+'22'!H42</f>
        <v>22458</v>
      </c>
      <c r="I42" s="95"/>
      <c r="J42" s="175">
        <f>H42/DAY(B2)</f>
        <v>976.43478260869563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422444</v>
      </c>
      <c r="F43" s="145">
        <v>422444</v>
      </c>
      <c r="G43" s="112">
        <f t="shared" si="3"/>
        <v>0</v>
      </c>
      <c r="H43" s="99">
        <f>G43+'22'!H43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15499.630000000005</v>
      </c>
      <c r="H47" s="99">
        <f>G47+'22'!H47</f>
        <v>273893</v>
      </c>
      <c r="I47" s="95"/>
      <c r="J47" s="175">
        <f>H47/DAY(B2)</f>
        <v>11908.391304347826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834714</v>
      </c>
      <c r="F49" s="145">
        <v>835302</v>
      </c>
      <c r="G49" s="112">
        <f t="shared" ref="G49:G58" si="4">F49-E49</f>
        <v>588</v>
      </c>
      <c r="H49" s="99">
        <f>G49+'22'!H49</f>
        <v>12390</v>
      </c>
      <c r="I49" s="95"/>
      <c r="J49" s="175">
        <f>H49/DAY(B2)</f>
        <v>538.695652173913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574953</v>
      </c>
      <c r="F50" s="145">
        <v>576559</v>
      </c>
      <c r="G50" s="112">
        <f t="shared" si="4"/>
        <v>1606</v>
      </c>
      <c r="H50" s="99">
        <f>G50+'22'!H50</f>
        <v>34585</v>
      </c>
      <c r="I50" s="95"/>
      <c r="J50" s="175">
        <f>H50/DAY(B2)</f>
        <v>1503.695652173913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156958</v>
      </c>
      <c r="F51" s="145">
        <v>156958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1457</v>
      </c>
      <c r="F52" s="145">
        <v>1457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630355</v>
      </c>
      <c r="F53" s="145">
        <v>630355</v>
      </c>
      <c r="G53" s="112">
        <f t="shared" si="4"/>
        <v>0</v>
      </c>
      <c r="H53" s="99">
        <f>G53+'22'!H53</f>
        <v>-3.0000000027939677E-2</v>
      </c>
      <c r="I53" s="95"/>
      <c r="J53" s="175">
        <f>H53/DAY(B2)</f>
        <v>-1.3043478273017251E-3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130918</v>
      </c>
      <c r="F54" s="145">
        <v>131275</v>
      </c>
      <c r="G54" s="112">
        <f t="shared" si="4"/>
        <v>357</v>
      </c>
      <c r="H54" s="99">
        <f>G54+'22'!H54</f>
        <v>7160.7899999999936</v>
      </c>
      <c r="I54" s="95"/>
      <c r="J54" s="175">
        <f>H54/DAY(B2)</f>
        <v>311.33869565217361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628261</v>
      </c>
      <c r="F55" s="145">
        <v>629748</v>
      </c>
      <c r="G55" s="112">
        <f t="shared" si="4"/>
        <v>1487</v>
      </c>
      <c r="H55" s="99">
        <f>G55+'22'!H55</f>
        <v>35443.25</v>
      </c>
      <c r="I55" s="95"/>
      <c r="J55" s="175">
        <f>H55/DAY(B2)</f>
        <v>1541.0108695652175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405779</v>
      </c>
      <c r="F56" s="145">
        <v>405779</v>
      </c>
      <c r="G56" s="112">
        <f t="shared" si="4"/>
        <v>0</v>
      </c>
      <c r="H56" s="99">
        <f>G56+'22'!H56</f>
        <v>32659</v>
      </c>
      <c r="I56" s="95"/>
      <c r="J56" s="175">
        <f>H56/DAY(B2)</f>
        <v>1419.9565217391305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764651</v>
      </c>
      <c r="F57" s="145">
        <v>767159</v>
      </c>
      <c r="G57" s="112">
        <f t="shared" si="4"/>
        <v>2508</v>
      </c>
      <c r="H57" s="99">
        <f>G57+'22'!H57</f>
        <v>59461</v>
      </c>
      <c r="I57" s="95"/>
      <c r="J57" s="175">
        <f>H57/DAY(B2)</f>
        <v>2585.2608695652175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99807</v>
      </c>
      <c r="F58" s="145">
        <v>100146</v>
      </c>
      <c r="G58" s="112">
        <f t="shared" si="4"/>
        <v>339</v>
      </c>
      <c r="H58" s="99">
        <f>G58+'22'!H58</f>
        <v>5576.179999999993</v>
      </c>
      <c r="I58" s="95"/>
      <c r="J58" s="175">
        <f>H58/DAY(B2)</f>
        <v>242.44260869565187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6885</v>
      </c>
      <c r="H59" s="99">
        <f>G59+'22'!H59</f>
        <v>187275.18999999997</v>
      </c>
      <c r="I59" s="95">
        <f>G7-G60</f>
        <v>1636.3699999999953</v>
      </c>
      <c r="J59" s="175">
        <f>H59/DAY(B2)</f>
        <v>8142.3995652173899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22384.630000000005</v>
      </c>
      <c r="H60" s="99">
        <f>G60+'22'!H60</f>
        <v>461168.18999999994</v>
      </c>
      <c r="I60" s="95">
        <f>G13-G60</f>
        <v>975.36999999999534</v>
      </c>
      <c r="J60" s="175">
        <f>H60/DAY(B2)</f>
        <v>20050.790869565215</v>
      </c>
      <c r="K60" s="79"/>
      <c r="L60" s="66"/>
      <c r="N60" s="87"/>
      <c r="O60" s="71"/>
    </row>
    <row r="61" spans="1:15" s="68" customFormat="1" ht="30.75" customHeight="1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4" t="s">
        <v>198</v>
      </c>
      <c r="B62" s="905"/>
      <c r="C62" s="906"/>
      <c r="D62" s="151" t="s">
        <v>142</v>
      </c>
      <c r="E62" s="95">
        <f>'22'!F62</f>
        <v>317434</v>
      </c>
      <c r="F62" s="164">
        <v>317535</v>
      </c>
      <c r="G62" s="112">
        <f t="shared" ref="G62:G63" si="5">F62-E62</f>
        <v>101</v>
      </c>
      <c r="H62" s="99">
        <f>G62+'22'!H62</f>
        <v>1858</v>
      </c>
      <c r="I62" s="118"/>
      <c r="J62" s="175">
        <f>H62/DAY(B2)</f>
        <v>80.782608695652172</v>
      </c>
      <c r="K62" s="80"/>
      <c r="L62" s="66"/>
      <c r="N62" s="87"/>
      <c r="O62" s="71"/>
    </row>
    <row r="63" spans="1:15" ht="30.75" customHeight="1">
      <c r="A63" s="904" t="s">
        <v>199</v>
      </c>
      <c r="B63" s="905"/>
      <c r="C63" s="906"/>
      <c r="D63" s="151" t="s">
        <v>142</v>
      </c>
      <c r="E63" s="95">
        <f>'22'!F63</f>
        <v>254299</v>
      </c>
      <c r="F63" s="164">
        <v>254316</v>
      </c>
      <c r="G63" s="112">
        <f t="shared" si="5"/>
        <v>17</v>
      </c>
      <c r="H63" s="99">
        <f>G63+'22'!H63</f>
        <v>1992</v>
      </c>
      <c r="I63" s="118"/>
      <c r="J63" s="175">
        <f>H63/DAY(B2)</f>
        <v>86.608695652173907</v>
      </c>
      <c r="K63" s="69"/>
      <c r="L63" s="66"/>
      <c r="N63" s="87"/>
      <c r="O63" s="71"/>
    </row>
    <row r="64" spans="1:15" ht="30.75" customHeight="1">
      <c r="A64" s="913" t="s">
        <v>200</v>
      </c>
      <c r="B64" s="914"/>
      <c r="C64" s="915"/>
      <c r="D64" s="151"/>
      <c r="E64" s="95">
        <f>'22'!F64</f>
        <v>0</v>
      </c>
      <c r="F64" s="122"/>
      <c r="G64" s="112">
        <f>G62+G63</f>
        <v>118</v>
      </c>
      <c r="H64" s="99">
        <f>G64+'22'!H64</f>
        <v>3850</v>
      </c>
      <c r="I64" s="118"/>
      <c r="J64" s="175">
        <f>H64/DAY(B2)</f>
        <v>167.39130434782609</v>
      </c>
      <c r="K64" s="69"/>
      <c r="L64" s="66"/>
      <c r="N64" s="87"/>
      <c r="O64" s="71"/>
    </row>
    <row r="65" spans="1:15" ht="30.75" customHeight="1">
      <c r="A65" s="904" t="s">
        <v>201</v>
      </c>
      <c r="B65" s="905"/>
      <c r="C65" s="906"/>
      <c r="D65" s="151" t="s">
        <v>142</v>
      </c>
      <c r="E65" s="95">
        <f>'22'!F65</f>
        <v>478713</v>
      </c>
      <c r="F65" s="122">
        <v>478900</v>
      </c>
      <c r="G65" s="112">
        <f t="shared" ref="G65:G70" si="6">F65-E65</f>
        <v>187</v>
      </c>
      <c r="H65" s="99">
        <f>G65+'22'!H65</f>
        <v>2997</v>
      </c>
      <c r="I65" s="118"/>
      <c r="J65" s="175">
        <f>H65/DAY(B2)</f>
        <v>130.30434782608697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114782</v>
      </c>
      <c r="F66" s="122">
        <v>114797</v>
      </c>
      <c r="G66" s="112">
        <f t="shared" si="6"/>
        <v>15</v>
      </c>
      <c r="H66" s="99">
        <f>G66+'22'!H66</f>
        <v>331</v>
      </c>
      <c r="I66" s="118"/>
      <c r="J66" s="175">
        <f>H66/DAY(B2)</f>
        <v>14.391304347826088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117803</v>
      </c>
      <c r="F67" s="150">
        <v>117875</v>
      </c>
      <c r="G67" s="112">
        <f t="shared" si="6"/>
        <v>72</v>
      </c>
      <c r="H67" s="99">
        <f>G67+'22'!H67</f>
        <v>593</v>
      </c>
      <c r="I67" s="118"/>
      <c r="J67" s="175">
        <f>H67/DAY(B2)</f>
        <v>25.782608695652176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170385</v>
      </c>
      <c r="F68" s="122">
        <v>170421</v>
      </c>
      <c r="G68" s="112">
        <f t="shared" si="6"/>
        <v>36</v>
      </c>
      <c r="H68" s="99">
        <f>G68+'22'!H68</f>
        <v>471</v>
      </c>
      <c r="I68" s="118"/>
      <c r="J68" s="175">
        <f>H68/DAY(B2)</f>
        <v>20.478260869565219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13326</v>
      </c>
      <c r="F69" s="122">
        <v>13354</v>
      </c>
      <c r="G69" s="112">
        <f t="shared" si="6"/>
        <v>28</v>
      </c>
      <c r="H69" s="99">
        <f>G69+'22'!H69</f>
        <v>142</v>
      </c>
      <c r="I69" s="118"/>
      <c r="J69" s="175">
        <f>H69/DAY(B2)</f>
        <v>6.1739130434782608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11412</v>
      </c>
      <c r="F70" s="150">
        <v>11430</v>
      </c>
      <c r="G70" s="112">
        <f t="shared" si="6"/>
        <v>18</v>
      </c>
      <c r="H70" s="99">
        <f>G70+'22'!H70</f>
        <v>172</v>
      </c>
      <c r="I70" s="118"/>
      <c r="J70" s="175">
        <f>H70/DAY(B2)</f>
        <v>7.4782608695652177</v>
      </c>
      <c r="K70" s="69"/>
      <c r="L70" s="66"/>
      <c r="N70" s="87"/>
      <c r="O70" s="71"/>
    </row>
    <row r="71" spans="1:15" ht="30.75" customHeight="1">
      <c r="A71" s="913" t="s">
        <v>208</v>
      </c>
      <c r="B71" s="914"/>
      <c r="C71" s="915"/>
      <c r="D71" s="152"/>
      <c r="E71" s="152"/>
      <c r="F71" s="152"/>
      <c r="G71" s="153">
        <f>SUM(G65:G70)</f>
        <v>356</v>
      </c>
      <c r="H71" s="99">
        <f>G71+'22'!H71</f>
        <v>4706</v>
      </c>
      <c r="I71" s="154"/>
      <c r="J71" s="175">
        <f>H71/DAY(B2)</f>
        <v>204.60869565217391</v>
      </c>
      <c r="K71" s="69"/>
      <c r="L71" s="66"/>
      <c r="N71" s="87"/>
      <c r="O71" s="71"/>
    </row>
    <row r="72" spans="1:15" s="88" customFormat="1" ht="30.7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4" t="s">
        <v>220</v>
      </c>
      <c r="B74" s="905"/>
      <c r="C74" s="906"/>
      <c r="D74" s="151" t="s">
        <v>139</v>
      </c>
      <c r="E74" s="95">
        <f>'22'!F74</f>
        <v>19102</v>
      </c>
      <c r="F74" s="117">
        <v>19359</v>
      </c>
      <c r="G74" s="112">
        <f t="shared" ref="G74:G78" si="7">F74-E74</f>
        <v>257</v>
      </c>
      <c r="H74" s="99">
        <f>G74+'22'!H74</f>
        <v>3479</v>
      </c>
      <c r="I74" s="154"/>
      <c r="J74" s="175">
        <f>H74/DAY(B2)</f>
        <v>151.2608695652174</v>
      </c>
      <c r="K74" s="69"/>
      <c r="L74" s="66"/>
      <c r="N74" s="87">
        <v>336</v>
      </c>
      <c r="O74" s="71"/>
    </row>
    <row r="75" spans="1:15" ht="30.75" customHeight="1">
      <c r="A75" s="904" t="s">
        <v>221</v>
      </c>
      <c r="B75" s="905"/>
      <c r="C75" s="90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>
        <v>0</v>
      </c>
      <c r="O75" s="71"/>
    </row>
    <row r="76" spans="1:15" ht="30.75" customHeight="1">
      <c r="A76" s="901" t="s">
        <v>222</v>
      </c>
      <c r="B76" s="902"/>
      <c r="C76" s="903"/>
      <c r="D76" s="151" t="s">
        <v>139</v>
      </c>
      <c r="E76" s="95">
        <f>'22'!F76</f>
        <v>213320</v>
      </c>
      <c r="F76" s="123">
        <v>213475</v>
      </c>
      <c r="G76" s="112">
        <f t="shared" si="7"/>
        <v>155</v>
      </c>
      <c r="H76" s="99">
        <f>G76+'22'!H76</f>
        <v>2815</v>
      </c>
      <c r="I76" s="154"/>
      <c r="J76" s="175">
        <f>H76/DAY(B2)</f>
        <v>122.39130434782609</v>
      </c>
      <c r="K76" s="69"/>
      <c r="L76" s="66"/>
      <c r="N76" s="87">
        <v>114</v>
      </c>
      <c r="O76" s="71"/>
    </row>
    <row r="77" spans="1:15" ht="30.75" customHeight="1">
      <c r="A77" s="901" t="s">
        <v>223</v>
      </c>
      <c r="B77" s="902"/>
      <c r="C77" s="903"/>
      <c r="D77" s="151" t="s">
        <v>139</v>
      </c>
      <c r="E77" s="95">
        <f>'22'!F77</f>
        <v>60933</v>
      </c>
      <c r="F77" s="123">
        <v>60984</v>
      </c>
      <c r="G77" s="112">
        <f t="shared" si="7"/>
        <v>51</v>
      </c>
      <c r="H77" s="99">
        <f>G77+'22'!H77</f>
        <v>1223</v>
      </c>
      <c r="I77" s="154"/>
      <c r="J77" s="175">
        <f>H77/DAY(B2)</f>
        <v>53.173913043478258</v>
      </c>
      <c r="K77" s="69"/>
      <c r="L77" s="66"/>
      <c r="N77" s="87">
        <v>64</v>
      </c>
      <c r="O77" s="71"/>
    </row>
    <row r="78" spans="1:15" ht="30.75" customHeight="1">
      <c r="A78" s="901" t="s">
        <v>224</v>
      </c>
      <c r="B78" s="902"/>
      <c r="C78" s="903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>
        <v>0</v>
      </c>
      <c r="O78" s="71"/>
    </row>
    <row r="79" spans="1:15" s="57" customFormat="1" ht="30.75" customHeight="1">
      <c r="A79" s="901" t="s">
        <v>225</v>
      </c>
      <c r="B79" s="902"/>
      <c r="C79" s="903"/>
      <c r="D79" s="151"/>
      <c r="E79" s="95">
        <f>'22'!F79</f>
        <v>0</v>
      </c>
      <c r="F79" s="123"/>
      <c r="G79" s="112">
        <f>G15-SUM(G74:G78)</f>
        <v>742</v>
      </c>
      <c r="H79" s="99">
        <f>G79+'22'!H79</f>
        <v>14295.785000000149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1205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4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4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43540</v>
      </c>
      <c r="F84" s="164">
        <v>43540</v>
      </c>
      <c r="G84" s="112">
        <f t="shared" si="8"/>
        <v>0</v>
      </c>
      <c r="H84" s="99">
        <f>G84+'22'!H84</f>
        <v>-0.34999999999854481</v>
      </c>
      <c r="I84" s="543"/>
      <c r="J84" s="175">
        <f>H84/DAY(B2)</f>
        <v>-1.5217391304284556E-2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6302</v>
      </c>
      <c r="F85" s="164">
        <v>6320.56</v>
      </c>
      <c r="G85" s="112">
        <f t="shared" si="8"/>
        <v>18.5600000000004</v>
      </c>
      <c r="H85" s="99">
        <f>G85+'22'!H85</f>
        <v>107.5600000000004</v>
      </c>
      <c r="I85" s="543"/>
      <c r="J85" s="175">
        <f>H85/DAY(B2)</f>
        <v>4.6765217391304521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47204</v>
      </c>
      <c r="F86" s="164">
        <v>47213</v>
      </c>
      <c r="G86" s="112">
        <f t="shared" si="8"/>
        <v>9</v>
      </c>
      <c r="H86" s="99">
        <f>G86+'22'!H86</f>
        <v>242</v>
      </c>
      <c r="I86" s="543"/>
      <c r="J86" s="175">
        <f>H86/DAY(B2)</f>
        <v>10.521739130434783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37604</v>
      </c>
      <c r="F87" s="164">
        <v>37604</v>
      </c>
      <c r="G87" s="112">
        <f t="shared" si="8"/>
        <v>0</v>
      </c>
      <c r="H87" s="99">
        <f>G87+'22'!H87</f>
        <v>240</v>
      </c>
      <c r="I87" s="543">
        <f>G84+G85+G86+G87</f>
        <v>27.5600000000004</v>
      </c>
      <c r="J87" s="175">
        <f>H87/DAY(B2)</f>
        <v>10.434782608695652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24900.62</v>
      </c>
      <c r="F88" s="164">
        <v>24911</v>
      </c>
      <c r="G88" s="112">
        <f t="shared" si="8"/>
        <v>10.380000000001019</v>
      </c>
      <c r="H88" s="99">
        <f>G88+'22'!H88</f>
        <v>149</v>
      </c>
      <c r="I88" s="543"/>
      <c r="J88" s="175">
        <f>H88/DAY(B2)</f>
        <v>6.4782608695652177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29169.57</v>
      </c>
      <c r="F89" s="164">
        <v>29170.9</v>
      </c>
      <c r="G89" s="112">
        <f t="shared" si="8"/>
        <v>1.3300000000017462</v>
      </c>
      <c r="H89" s="99">
        <f>G89+'22'!H89</f>
        <v>142.90000000000146</v>
      </c>
      <c r="I89" s="543">
        <f>G88+G89</f>
        <v>11.710000000002765</v>
      </c>
      <c r="J89" s="175">
        <f>H89/DAY(B2)</f>
        <v>6.213043478260933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74604</v>
      </c>
      <c r="F90" s="164">
        <v>74615</v>
      </c>
      <c r="G90" s="112">
        <f t="shared" si="8"/>
        <v>11</v>
      </c>
      <c r="H90" s="99">
        <f>G90+'22'!H90</f>
        <v>167</v>
      </c>
      <c r="I90" s="543">
        <f>G90</f>
        <v>11</v>
      </c>
      <c r="J90" s="175">
        <f>H90/DAY(B2)</f>
        <v>7.2608695652173916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5842.65</v>
      </c>
      <c r="F91" s="122">
        <v>5853.81</v>
      </c>
      <c r="G91" s="112">
        <f t="shared" si="8"/>
        <v>11.160000000000764</v>
      </c>
      <c r="H91" s="99">
        <f>G91+'22'!H91</f>
        <v>235.60000000000036</v>
      </c>
      <c r="I91" s="544"/>
      <c r="J91" s="175">
        <f>H91/DAY(B2)</f>
        <v>10.243478260869582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7469</v>
      </c>
      <c r="F92" s="122">
        <v>7469</v>
      </c>
      <c r="G92" s="112">
        <f t="shared" si="8"/>
        <v>0</v>
      </c>
      <c r="H92" s="99">
        <f>G92+'22'!H92</f>
        <v>36.720000000000255</v>
      </c>
      <c r="I92" s="545">
        <f>G91+G92</f>
        <v>11.160000000000764</v>
      </c>
      <c r="J92" s="175">
        <f>H92/DAY(B2)</f>
        <v>1.5965217391304458</v>
      </c>
      <c r="O92" s="71"/>
    </row>
    <row r="93" spans="1:15" ht="30.7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5869</v>
      </c>
      <c r="H94" s="99">
        <f>G94+'22'!H94</f>
        <v>133459</v>
      </c>
      <c r="I94" s="118"/>
      <c r="J94" s="175">
        <f>H94/DAY(B2)</f>
        <v>5802.565217391304</v>
      </c>
      <c r="K94" s="69"/>
      <c r="L94" s="66"/>
      <c r="O94" s="71"/>
    </row>
    <row r="95" spans="1:15" ht="30.7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0.24432787977186629</v>
      </c>
      <c r="H95" s="99">
        <f>G95+'22'!H95</f>
        <v>5.8991618765503109</v>
      </c>
      <c r="I95" s="167"/>
      <c r="J95" s="175">
        <f>H95/DAY(B2)</f>
        <v>0.25648529898044831</v>
      </c>
      <c r="K95" s="69"/>
      <c r="L95" s="66"/>
      <c r="O95" s="71"/>
    </row>
    <row r="96" spans="1:15" ht="30.7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5364.6300000000047</v>
      </c>
      <c r="H96" s="99">
        <f>G96+'22'!H96</f>
        <v>90560.25</v>
      </c>
      <c r="I96" s="118"/>
      <c r="J96" s="175">
        <f>H96/DAY(B2)</f>
        <v>3937.4021739130435</v>
      </c>
      <c r="K96" s="69"/>
      <c r="L96" s="66"/>
      <c r="O96" s="71"/>
    </row>
    <row r="97" spans="1:15" ht="30.7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0.22333083551892113</v>
      </c>
      <c r="H97" s="99">
        <f>G97+'22'!H97</f>
        <v>3.9746081176414823</v>
      </c>
      <c r="I97" s="167"/>
      <c r="J97" s="175">
        <f>H97/DAY(B2)</f>
        <v>0.17280904859310792</v>
      </c>
      <c r="K97" s="69"/>
      <c r="L97" s="66"/>
      <c r="O97" s="71"/>
    </row>
    <row r="98" spans="1:15" ht="30.7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2919</v>
      </c>
      <c r="H98" s="99">
        <f>G98+'22'!H98</f>
        <v>65630.969999999972</v>
      </c>
      <c r="I98" s="168"/>
      <c r="J98" s="175">
        <f>H98/DAY(B2)</f>
        <v>2853.5204347826075</v>
      </c>
      <c r="K98" s="69"/>
      <c r="L98" s="66"/>
      <c r="O98" s="71"/>
    </row>
    <row r="99" spans="1:15" ht="30.7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0.12151867116273261</v>
      </c>
      <c r="H99" s="99">
        <f>G99+'22'!H99</f>
        <v>2.9022820522868047</v>
      </c>
      <c r="I99" s="168"/>
      <c r="J99" s="175">
        <f>H99/DAY(B2)</f>
        <v>0.12618617618638281</v>
      </c>
      <c r="O99" s="71"/>
    </row>
    <row r="100" spans="1:15" ht="30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2763</v>
      </c>
      <c r="H100" s="99">
        <f>G100+'22'!H100</f>
        <v>60474</v>
      </c>
      <c r="I100" s="118"/>
      <c r="J100" s="175">
        <f>H100/DAY(B2)</f>
        <v>2629.304347826087</v>
      </c>
      <c r="K100" s="70"/>
      <c r="O100" s="71"/>
    </row>
    <row r="101" spans="1:15" ht="30.7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0.11502435369052079</v>
      </c>
      <c r="H101" s="99">
        <f>G101+'22'!H101</f>
        <v>2.6702536309714811</v>
      </c>
      <c r="I101" s="168"/>
      <c r="J101" s="175">
        <f>H101/DAY(B2)</f>
        <v>0.11609798395528179</v>
      </c>
      <c r="O101" s="71"/>
    </row>
    <row r="102" spans="1:15" ht="30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2756</v>
      </c>
      <c r="H102" s="99">
        <f>G102+'22'!H102</f>
        <v>58952</v>
      </c>
      <c r="I102" s="168"/>
      <c r="J102" s="175">
        <f>H102/DAY(B2)</f>
        <v>2563.1304347826085</v>
      </c>
      <c r="O102" s="71"/>
    </row>
    <row r="103" spans="1:15" ht="30.7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0.1147329420090754</v>
      </c>
      <c r="H103" s="99">
        <f>G103+'22'!H103</f>
        <v>2.5933488458117839</v>
      </c>
      <c r="I103" s="118"/>
      <c r="J103" s="175">
        <f>H103/DAY(B2)</f>
        <v>0.1127542976439906</v>
      </c>
      <c r="O103" s="71"/>
    </row>
    <row r="104" spans="1:15" ht="30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1527</v>
      </c>
      <c r="H104" s="99">
        <f>G104+'22'!H104</f>
        <v>32969</v>
      </c>
      <c r="I104" s="118"/>
      <c r="J104" s="175">
        <f>H104/DAY(B2)</f>
        <v>1433.4347826086957</v>
      </c>
      <c r="O104" s="71"/>
    </row>
    <row r="105" spans="1:15" ht="30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6.3569376795304111E-2</v>
      </c>
      <c r="H105" s="99">
        <f>G105+'22'!H105</f>
        <v>1.4569759493170418</v>
      </c>
      <c r="I105" s="187"/>
      <c r="J105" s="188">
        <f>H105/DAY(B2)</f>
        <v>6.3346780405088773E-2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30.75" customHeight="1">
      <c r="A109" s="920"/>
      <c r="B109" s="920"/>
    </row>
    <row r="110" spans="1:15" ht="30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30.7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3" t="s">
        <v>252</v>
      </c>
      <c r="B112" s="884"/>
      <c r="C112" s="885"/>
      <c r="D112" s="146" t="s">
        <v>183</v>
      </c>
      <c r="E112" s="95">
        <f>'22'!F112</f>
        <v>20742</v>
      </c>
      <c r="F112" s="237">
        <v>20805</v>
      </c>
      <c r="G112" s="112">
        <f t="shared" ref="G112:G123" si="9">F112-E112</f>
        <v>63</v>
      </c>
      <c r="H112" s="99">
        <f>G112+'22'!H112</f>
        <v>1408</v>
      </c>
      <c r="I112" s="165"/>
      <c r="J112" s="328">
        <f>H112/DAY(B2)</f>
        <v>61.217391304347828</v>
      </c>
    </row>
    <row r="113" spans="1:18" ht="30.75" customHeight="1">
      <c r="A113" s="883" t="s">
        <v>253</v>
      </c>
      <c r="B113" s="884"/>
      <c r="C113" s="885"/>
      <c r="D113" s="146" t="s">
        <v>183</v>
      </c>
      <c r="E113" s="95">
        <f>'22'!F113</f>
        <v>44729</v>
      </c>
      <c r="F113" s="237">
        <v>44872</v>
      </c>
      <c r="G113" s="112">
        <f t="shared" si="9"/>
        <v>143</v>
      </c>
      <c r="H113" s="99">
        <f>G113+'22'!H113</f>
        <v>3352.0500000000029</v>
      </c>
      <c r="I113" s="165"/>
      <c r="J113" s="328">
        <f>H113/DAY(B2)</f>
        <v>145.7413043478262</v>
      </c>
    </row>
    <row r="114" spans="1:18" ht="30.75" customHeight="1">
      <c r="A114" s="883" t="s">
        <v>254</v>
      </c>
      <c r="B114" s="884"/>
      <c r="C114" s="885"/>
      <c r="D114" s="146" t="s">
        <v>183</v>
      </c>
      <c r="E114" s="95">
        <f>'22'!F114</f>
        <v>66182</v>
      </c>
      <c r="F114" s="237">
        <v>66410</v>
      </c>
      <c r="G114" s="112">
        <f t="shared" si="9"/>
        <v>228</v>
      </c>
      <c r="H114" s="99">
        <f>G114+'22'!H114</f>
        <v>5192</v>
      </c>
      <c r="I114" s="165"/>
      <c r="J114" s="328">
        <f>H114/DAY(B2)</f>
        <v>225.7391304347826</v>
      </c>
    </row>
    <row r="115" spans="1:18" ht="30.75" customHeight="1">
      <c r="A115" s="883" t="s">
        <v>255</v>
      </c>
      <c r="B115" s="884"/>
      <c r="C115" s="885"/>
      <c r="D115" s="146" t="s">
        <v>183</v>
      </c>
      <c r="E115" s="95">
        <f>'22'!F115</f>
        <v>42633</v>
      </c>
      <c r="F115" s="237">
        <v>42765</v>
      </c>
      <c r="G115" s="112">
        <f t="shared" si="9"/>
        <v>132</v>
      </c>
      <c r="H115" s="99">
        <f>G115+'22'!H115</f>
        <v>3306</v>
      </c>
      <c r="I115" s="165"/>
      <c r="J115" s="328">
        <f>H115/DAY(B2)</f>
        <v>143.7391304347826</v>
      </c>
    </row>
    <row r="116" spans="1:18" ht="30.75" customHeight="1">
      <c r="A116" s="890" t="s">
        <v>96</v>
      </c>
      <c r="B116" s="891"/>
      <c r="C116" s="892"/>
      <c r="D116" s="146" t="s">
        <v>183</v>
      </c>
      <c r="E116" s="95">
        <f>'22'!F116</f>
        <v>157592</v>
      </c>
      <c r="F116" s="237">
        <v>158016</v>
      </c>
      <c r="G116" s="112">
        <f t="shared" si="9"/>
        <v>424</v>
      </c>
      <c r="H116" s="99">
        <f>G116+'22'!H116</f>
        <v>10086</v>
      </c>
      <c r="I116" s="165"/>
      <c r="J116" s="328">
        <f>H116/DAY(B2)</f>
        <v>438.52173913043481</v>
      </c>
      <c r="Q116" s="883" t="s">
        <v>311</v>
      </c>
      <c r="R116" s="885"/>
    </row>
    <row r="117" spans="1:18" ht="30.75" customHeight="1">
      <c r="A117" s="890" t="s">
        <v>184</v>
      </c>
      <c r="B117" s="891"/>
      <c r="C117" s="892"/>
      <c r="D117" s="146" t="s">
        <v>183</v>
      </c>
      <c r="E117" s="95">
        <f>'22'!F117</f>
        <v>97416</v>
      </c>
      <c r="F117" s="416">
        <v>97694</v>
      </c>
      <c r="G117" s="112">
        <f t="shared" si="9"/>
        <v>278</v>
      </c>
      <c r="H117" s="99">
        <f>G117+'22'!H117</f>
        <v>5704.6009999999951</v>
      </c>
      <c r="I117" s="165"/>
      <c r="J117" s="328">
        <f>H117/DAY(B2)</f>
        <v>248.0261304347824</v>
      </c>
      <c r="Q117" s="883" t="s">
        <v>312</v>
      </c>
      <c r="R117" s="885"/>
    </row>
    <row r="118" spans="1:18" ht="30.75" customHeight="1">
      <c r="A118" s="882" t="s">
        <v>97</v>
      </c>
      <c r="B118" s="882"/>
      <c r="C118" s="882"/>
      <c r="D118" s="151" t="s">
        <v>183</v>
      </c>
      <c r="E118" s="95">
        <f>'22'!F118</f>
        <v>193046</v>
      </c>
      <c r="F118" s="237">
        <v>193776</v>
      </c>
      <c r="G118" s="112">
        <f t="shared" si="9"/>
        <v>730</v>
      </c>
      <c r="H118" s="99">
        <f>G118+'22'!H118</f>
        <v>16243.470000000001</v>
      </c>
      <c r="I118" s="165"/>
      <c r="J118" s="328">
        <f>H118/DAY(B2)</f>
        <v>706.2378260869566</v>
      </c>
      <c r="Q118" s="883" t="s">
        <v>311</v>
      </c>
      <c r="R118" s="885"/>
    </row>
    <row r="119" spans="1:18" ht="30.75" customHeight="1">
      <c r="A119" s="882" t="s">
        <v>98</v>
      </c>
      <c r="B119" s="882"/>
      <c r="C119" s="882"/>
      <c r="D119" s="151" t="s">
        <v>183</v>
      </c>
      <c r="E119" s="95">
        <f>'22'!F119</f>
        <v>46464</v>
      </c>
      <c r="F119" s="237">
        <v>46540</v>
      </c>
      <c r="G119" s="112">
        <f t="shared" si="9"/>
        <v>76</v>
      </c>
      <c r="H119" s="99">
        <f>G119+'22'!H119</f>
        <v>1347</v>
      </c>
      <c r="I119" s="165"/>
      <c r="J119" s="328">
        <f>H119/DAY(B2)</f>
        <v>58.565217391304351</v>
      </c>
    </row>
    <row r="120" spans="1:18" ht="30.75" customHeight="1">
      <c r="A120" s="882" t="s">
        <v>99</v>
      </c>
      <c r="B120" s="882"/>
      <c r="C120" s="882"/>
      <c r="D120" s="151" t="s">
        <v>183</v>
      </c>
      <c r="E120" s="95">
        <f>'22'!F120</f>
        <v>129035</v>
      </c>
      <c r="F120" s="237">
        <v>129411</v>
      </c>
      <c r="G120" s="112">
        <f t="shared" si="9"/>
        <v>376</v>
      </c>
      <c r="H120" s="99">
        <f>G120+'22'!H120</f>
        <v>8967</v>
      </c>
      <c r="I120" s="165"/>
      <c r="J120" s="328">
        <f>H120/DAY(B2)</f>
        <v>389.86956521739131</v>
      </c>
    </row>
    <row r="121" spans="1:18" ht="30.75" customHeight="1">
      <c r="A121" s="882" t="s">
        <v>100</v>
      </c>
      <c r="B121" s="882"/>
      <c r="C121" s="882"/>
      <c r="D121" s="151" t="s">
        <v>183</v>
      </c>
      <c r="E121" s="95">
        <f>'22'!F121</f>
        <v>144210</v>
      </c>
      <c r="F121" s="237">
        <v>144635</v>
      </c>
      <c r="G121" s="112">
        <f t="shared" si="9"/>
        <v>425</v>
      </c>
      <c r="H121" s="99">
        <f>G121+'22'!H121</f>
        <v>10072</v>
      </c>
      <c r="I121" s="165"/>
      <c r="J121" s="328">
        <f>H121/DAY(B2)</f>
        <v>437.91304347826087</v>
      </c>
    </row>
    <row r="122" spans="1:18" ht="30.75" customHeight="1">
      <c r="A122" s="882" t="s">
        <v>101</v>
      </c>
      <c r="B122" s="882"/>
      <c r="C122" s="882"/>
      <c r="D122" s="151" t="s">
        <v>183</v>
      </c>
      <c r="E122" s="95">
        <f>'22'!F122</f>
        <v>97564</v>
      </c>
      <c r="F122" s="237">
        <v>97865</v>
      </c>
      <c r="G122" s="112">
        <f t="shared" si="9"/>
        <v>301</v>
      </c>
      <c r="H122" s="99">
        <f>G122+'22'!H122</f>
        <v>6988</v>
      </c>
      <c r="I122" s="165"/>
      <c r="J122" s="328">
        <f>H122/DAY(B2)</f>
        <v>303.82608695652175</v>
      </c>
    </row>
    <row r="123" spans="1:18" ht="30.75" customHeight="1">
      <c r="A123" s="882" t="s">
        <v>102</v>
      </c>
      <c r="B123" s="882"/>
      <c r="C123" s="882"/>
      <c r="D123" s="151" t="s">
        <v>183</v>
      </c>
      <c r="E123" s="95">
        <f>'22'!F123</f>
        <v>94373</v>
      </c>
      <c r="F123" s="237">
        <v>94678</v>
      </c>
      <c r="G123" s="112">
        <f t="shared" si="9"/>
        <v>305</v>
      </c>
      <c r="H123" s="99">
        <f>G123+'22'!H123</f>
        <v>7099</v>
      </c>
      <c r="I123" s="165"/>
      <c r="J123" s="328">
        <f>H123/DAY(B2)</f>
        <v>308.6521739130435</v>
      </c>
    </row>
    <row r="124" spans="1:18" ht="30.75" customHeight="1">
      <c r="A124" s="887"/>
      <c r="B124" s="888"/>
      <c r="C124" s="88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3481</v>
      </c>
      <c r="H125" s="156"/>
      <c r="I125" s="327">
        <f>G125-(G39+G53)</f>
        <v>562</v>
      </c>
      <c r="J125" s="327"/>
    </row>
    <row r="126" spans="1:18" ht="30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30.75" customHeight="1">
      <c r="A127" s="872"/>
      <c r="B127" s="87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83" t="s">
        <v>318</v>
      </c>
      <c r="B128" s="884"/>
      <c r="C128" s="885"/>
      <c r="D128" s="151" t="s">
        <v>183</v>
      </c>
      <c r="E128" s="95">
        <f>'22'!F128</f>
        <v>217882</v>
      </c>
      <c r="F128" s="155">
        <v>218322</v>
      </c>
      <c r="G128" s="112">
        <f t="shared" ref="G128:G134" si="10">F128-E128</f>
        <v>440</v>
      </c>
      <c r="H128" s="99">
        <f>G128+'22'!H128</f>
        <v>11033</v>
      </c>
      <c r="I128" s="165"/>
      <c r="J128" s="328">
        <f>H128/DAY(B2)</f>
        <v>479.69565217391306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3185</v>
      </c>
      <c r="F129" s="157">
        <v>3307</v>
      </c>
      <c r="G129" s="112">
        <f t="shared" si="10"/>
        <v>122</v>
      </c>
      <c r="H129" s="99">
        <f>G129+'22'!H129</f>
        <v>2573</v>
      </c>
      <c r="I129" s="165"/>
      <c r="J129" s="328">
        <f>H129/DAY(B2)</f>
        <v>111.8695652173913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301791</v>
      </c>
      <c r="F130" s="155">
        <v>302405</v>
      </c>
      <c r="G130" s="112">
        <f t="shared" si="10"/>
        <v>614</v>
      </c>
      <c r="H130" s="99">
        <f>G130+'22'!H130</f>
        <v>13683</v>
      </c>
      <c r="I130" s="165"/>
      <c r="J130" s="328">
        <f>H130/DAY(B2)</f>
        <v>594.91304347826087</v>
      </c>
      <c r="N130" s="240"/>
      <c r="O130" s="241"/>
    </row>
    <row r="131" spans="1:15" ht="30.75" customHeight="1">
      <c r="A131" s="883" t="s">
        <v>321</v>
      </c>
      <c r="B131" s="884"/>
      <c r="C131" s="885"/>
      <c r="D131" s="151" t="s">
        <v>183</v>
      </c>
      <c r="E131" s="95">
        <f>'22'!F131</f>
        <v>89118</v>
      </c>
      <c r="F131" s="155">
        <v>89331</v>
      </c>
      <c r="G131" s="112">
        <f t="shared" si="10"/>
        <v>213</v>
      </c>
      <c r="H131" s="99">
        <f>G131+'22'!H131</f>
        <v>4627.1699999999983</v>
      </c>
      <c r="I131" s="165"/>
      <c r="J131" s="328">
        <f>H131/DAY(B2)</f>
        <v>201.181304347826</v>
      </c>
      <c r="N131" s="240"/>
      <c r="O131" s="241"/>
    </row>
    <row r="132" spans="1:15" ht="30.75" customHeight="1">
      <c r="A132" s="883" t="s">
        <v>322</v>
      </c>
      <c r="B132" s="884"/>
      <c r="C132" s="885"/>
      <c r="D132" s="151" t="s">
        <v>183</v>
      </c>
      <c r="E132" s="95">
        <f>'22'!F132</f>
        <v>74301</v>
      </c>
      <c r="F132" s="155">
        <v>74645</v>
      </c>
      <c r="G132" s="112">
        <f t="shared" si="10"/>
        <v>344</v>
      </c>
      <c r="H132" s="99">
        <f>G132+'22'!H132</f>
        <v>7198</v>
      </c>
      <c r="I132" s="165"/>
      <c r="J132" s="328">
        <f>H132/DAY(B2)</f>
        <v>312.95652173913044</v>
      </c>
    </row>
    <row r="133" spans="1:15" ht="30.75" customHeight="1">
      <c r="A133" s="883" t="s">
        <v>358</v>
      </c>
      <c r="B133" s="884"/>
      <c r="C133" s="885"/>
      <c r="D133" s="151" t="s">
        <v>183</v>
      </c>
      <c r="E133" s="95">
        <f>'22'!F133</f>
        <v>288548</v>
      </c>
      <c r="F133" s="155">
        <v>288548.17</v>
      </c>
      <c r="G133" s="112">
        <f t="shared" si="10"/>
        <v>0.16999999998370185</v>
      </c>
      <c r="H133" s="99">
        <f>G133+'22'!H133</f>
        <v>10420</v>
      </c>
      <c r="I133" s="165"/>
      <c r="J133" s="328">
        <f>H133/DAY(B2)</f>
        <v>453.04347826086956</v>
      </c>
    </row>
    <row r="134" spans="1:15" ht="30.75" customHeight="1">
      <c r="A134" s="883" t="s">
        <v>340</v>
      </c>
      <c r="B134" s="884"/>
      <c r="C134" s="885"/>
      <c r="D134" s="151" t="s">
        <v>183</v>
      </c>
      <c r="E134" s="95">
        <f>'22'!F134</f>
        <v>98896</v>
      </c>
      <c r="F134" s="374">
        <v>99144</v>
      </c>
      <c r="G134" s="112">
        <f t="shared" si="10"/>
        <v>248</v>
      </c>
      <c r="H134" s="99">
        <f>G134+'22'!H134</f>
        <v>8462.3099999999977</v>
      </c>
      <c r="I134" s="165"/>
      <c r="J134" s="328">
        <f>H134/DAY(B2)</f>
        <v>367.92652173913035</v>
      </c>
    </row>
    <row r="135" spans="1:15" ht="30.75" customHeight="1">
      <c r="A135" s="788" t="s">
        <v>196</v>
      </c>
      <c r="B135" s="789"/>
      <c r="C135" s="331"/>
      <c r="D135" s="151"/>
      <c r="E135" s="95"/>
      <c r="F135" s="464"/>
      <c r="G135" s="112">
        <f>SUM(G128:G134)</f>
        <v>1981.1699999999837</v>
      </c>
      <c r="H135" s="99">
        <f>G135+'10'!H135</f>
        <v>26234.779999999955</v>
      </c>
      <c r="I135" s="327">
        <f>G135-(G35+G49)</f>
        <v>-1379.8300000000163</v>
      </c>
      <c r="J135" s="328"/>
    </row>
    <row r="136" spans="1:15" ht="30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2" t="s">
        <v>185</v>
      </c>
      <c r="B138" s="882"/>
      <c r="C138" s="882"/>
      <c r="D138" s="151" t="s">
        <v>183</v>
      </c>
      <c r="E138" s="95">
        <f>'22'!F138</f>
        <v>915595</v>
      </c>
      <c r="F138" s="147">
        <v>915793</v>
      </c>
      <c r="G138" s="112">
        <f t="shared" ref="G138:G152" si="11">F138-E138</f>
        <v>198</v>
      </c>
      <c r="H138" s="99">
        <f>G138+'22'!H138</f>
        <v>6392</v>
      </c>
      <c r="I138" s="118"/>
      <c r="J138" s="328">
        <f>H138/DAY(B2)</f>
        <v>277.91304347826087</v>
      </c>
    </row>
    <row r="139" spans="1:15" ht="30.75" customHeight="1">
      <c r="A139" s="882" t="s">
        <v>186</v>
      </c>
      <c r="B139" s="882"/>
      <c r="C139" s="882"/>
      <c r="D139" s="151" t="s">
        <v>183</v>
      </c>
      <c r="E139" s="95">
        <f>'22'!F139</f>
        <v>940554</v>
      </c>
      <c r="F139" s="148">
        <v>940716</v>
      </c>
      <c r="G139" s="112">
        <f t="shared" si="11"/>
        <v>162</v>
      </c>
      <c r="H139" s="99">
        <f>G139+'22'!H139</f>
        <v>3458</v>
      </c>
      <c r="I139" s="118"/>
      <c r="J139" s="328">
        <f>H139/DAY(B2)</f>
        <v>150.34782608695653</v>
      </c>
    </row>
    <row r="140" spans="1:15" ht="30.75" customHeight="1">
      <c r="A140" s="882" t="s">
        <v>187</v>
      </c>
      <c r="B140" s="882"/>
      <c r="C140" s="882"/>
      <c r="D140" s="151" t="s">
        <v>183</v>
      </c>
      <c r="E140" s="95">
        <f>'22'!F140</f>
        <v>5477</v>
      </c>
      <c r="F140" s="149">
        <v>5514</v>
      </c>
      <c r="G140" s="112">
        <f t="shared" si="11"/>
        <v>37</v>
      </c>
      <c r="H140" s="99">
        <f>G140+'22'!H140</f>
        <v>750</v>
      </c>
      <c r="I140" s="118"/>
      <c r="J140" s="328">
        <f>H140/DAY(B2)</f>
        <v>32.608695652173914</v>
      </c>
    </row>
    <row r="141" spans="1:15" ht="30.75" customHeight="1">
      <c r="A141" s="865" t="s">
        <v>188</v>
      </c>
      <c r="B141" s="865"/>
      <c r="C141" s="865"/>
      <c r="D141" s="151" t="s">
        <v>183</v>
      </c>
      <c r="E141" s="95">
        <f>'22'!F141</f>
        <v>136910</v>
      </c>
      <c r="F141" s="149">
        <v>137179</v>
      </c>
      <c r="G141" s="112">
        <f t="shared" si="11"/>
        <v>269</v>
      </c>
      <c r="H141" s="99">
        <f>G141+'22'!H141</f>
        <v>5859</v>
      </c>
      <c r="I141" s="118"/>
      <c r="J141" s="328">
        <f>H141/DAY(B2)</f>
        <v>254.7391304347826</v>
      </c>
    </row>
    <row r="142" spans="1:15" ht="30.75" customHeight="1">
      <c r="A142" s="865" t="s">
        <v>189</v>
      </c>
      <c r="B142" s="865"/>
      <c r="C142" s="865"/>
      <c r="D142" s="151" t="s">
        <v>183</v>
      </c>
      <c r="E142" s="95">
        <f>'22'!F142</f>
        <v>55201</v>
      </c>
      <c r="F142" s="148">
        <v>55299</v>
      </c>
      <c r="G142" s="112">
        <f t="shared" si="11"/>
        <v>98</v>
      </c>
      <c r="H142" s="99">
        <f>G142+'22'!H142</f>
        <v>2108</v>
      </c>
      <c r="I142" s="140"/>
      <c r="J142" s="328">
        <f>H142/DAY(B2)</f>
        <v>91.652173913043484</v>
      </c>
    </row>
    <row r="143" spans="1:15" ht="30.75" customHeight="1">
      <c r="A143" s="882" t="s">
        <v>91</v>
      </c>
      <c r="B143" s="882"/>
      <c r="C143" s="882"/>
      <c r="D143" s="151" t="s">
        <v>183</v>
      </c>
      <c r="E143" s="95">
        <f>'22'!F143</f>
        <v>15026</v>
      </c>
      <c r="F143" s="149">
        <v>15063</v>
      </c>
      <c r="G143" s="112">
        <f t="shared" si="11"/>
        <v>37</v>
      </c>
      <c r="H143" s="99">
        <f>G143+'22'!H143</f>
        <v>751</v>
      </c>
      <c r="I143" s="140"/>
      <c r="J143" s="328">
        <f>H143/DAY(B2)</f>
        <v>32.652173913043477</v>
      </c>
    </row>
    <row r="144" spans="1:15" ht="30.75" customHeight="1">
      <c r="A144" s="865" t="s">
        <v>90</v>
      </c>
      <c r="B144" s="865"/>
      <c r="C144" s="865"/>
      <c r="D144" s="151" t="s">
        <v>183</v>
      </c>
      <c r="E144" s="95">
        <f>'22'!F144</f>
        <v>968804</v>
      </c>
      <c r="F144" s="148">
        <v>969058</v>
      </c>
      <c r="G144" s="112">
        <f t="shared" si="11"/>
        <v>254</v>
      </c>
      <c r="H144" s="99">
        <f>G144+'22'!H144</f>
        <v>5832</v>
      </c>
      <c r="I144" s="140"/>
      <c r="J144" s="328">
        <f>H144/DAY(B2)</f>
        <v>253.56521739130434</v>
      </c>
    </row>
    <row r="145" spans="1:10" ht="30.75" customHeight="1">
      <c r="A145" s="882" t="s">
        <v>190</v>
      </c>
      <c r="B145" s="882"/>
      <c r="C145" s="882"/>
      <c r="D145" s="152" t="s">
        <v>183</v>
      </c>
      <c r="E145" s="95">
        <f>'22'!F145</f>
        <v>755425</v>
      </c>
      <c r="F145" s="148">
        <v>755663</v>
      </c>
      <c r="G145" s="112">
        <f t="shared" si="11"/>
        <v>238</v>
      </c>
      <c r="H145" s="99">
        <f>G145+'22'!H145</f>
        <v>4930</v>
      </c>
      <c r="I145" s="140"/>
      <c r="J145" s="328">
        <f>H145/DAY(B2)</f>
        <v>214.34782608695653</v>
      </c>
    </row>
    <row r="146" spans="1:10" ht="30.75" customHeight="1">
      <c r="A146" s="916" t="s">
        <v>191</v>
      </c>
      <c r="B146" s="902"/>
      <c r="C146" s="903"/>
      <c r="D146" s="152" t="s">
        <v>183</v>
      </c>
      <c r="E146" s="95">
        <f>'22'!F146</f>
        <v>789865</v>
      </c>
      <c r="F146" s="148">
        <v>789900</v>
      </c>
      <c r="G146" s="112">
        <f t="shared" si="11"/>
        <v>35</v>
      </c>
      <c r="H146" s="99">
        <f>G146+'22'!H146</f>
        <v>875</v>
      </c>
      <c r="I146" s="140"/>
      <c r="J146" s="328">
        <f>H146/DAY(B2)</f>
        <v>38.043478260869563</v>
      </c>
    </row>
    <row r="147" spans="1:10" ht="30.75" customHeight="1">
      <c r="A147" s="865" t="s">
        <v>192</v>
      </c>
      <c r="B147" s="865"/>
      <c r="C147" s="865"/>
      <c r="D147" s="152" t="s">
        <v>183</v>
      </c>
      <c r="E147" s="95">
        <f>'22'!F147</f>
        <v>780165</v>
      </c>
      <c r="F147" s="148">
        <v>780599</v>
      </c>
      <c r="G147" s="112">
        <f t="shared" si="11"/>
        <v>434</v>
      </c>
      <c r="H147" s="99">
        <f>G147+'22'!H147</f>
        <v>8942.1199999999953</v>
      </c>
      <c r="I147" s="140"/>
      <c r="J147" s="328">
        <f>H147/DAY(B2)</f>
        <v>388.78782608695633</v>
      </c>
    </row>
    <row r="148" spans="1:10" ht="30.75" customHeight="1">
      <c r="A148" s="866" t="s">
        <v>193</v>
      </c>
      <c r="B148" s="867"/>
      <c r="C148" s="868"/>
      <c r="D148" s="123" t="s">
        <v>130</v>
      </c>
      <c r="E148" s="95">
        <f>'22'!F148</f>
        <v>814868</v>
      </c>
      <c r="F148" s="150">
        <v>815323</v>
      </c>
      <c r="G148" s="112">
        <f t="shared" si="11"/>
        <v>455</v>
      </c>
      <c r="H148" s="99">
        <f>G148+'22'!H148</f>
        <v>8502.7600000000093</v>
      </c>
      <c r="I148" s="124"/>
      <c r="J148" s="328">
        <f>H148/DAY(B2)</f>
        <v>369.68521739130477</v>
      </c>
    </row>
    <row r="149" spans="1:10" ht="30.75" customHeight="1">
      <c r="A149" s="866" t="s">
        <v>336</v>
      </c>
      <c r="B149" s="867"/>
      <c r="C149" s="868"/>
      <c r="D149" s="227" t="s">
        <v>130</v>
      </c>
      <c r="E149" s="95">
        <f>'22'!F149</f>
        <v>227314</v>
      </c>
      <c r="F149" s="227">
        <v>227858</v>
      </c>
      <c r="G149" s="112">
        <f t="shared" si="11"/>
        <v>544</v>
      </c>
      <c r="H149" s="99">
        <f>G149+'22'!H149</f>
        <v>10962</v>
      </c>
      <c r="I149" s="119"/>
      <c r="J149" s="328">
        <f>H149/DAY(B2)</f>
        <v>476.60869565217394</v>
      </c>
    </row>
    <row r="150" spans="1:10" ht="30.75" customHeight="1">
      <c r="A150" s="866" t="s">
        <v>337</v>
      </c>
      <c r="B150" s="867"/>
      <c r="C150" s="868"/>
      <c r="D150" s="117" t="s">
        <v>130</v>
      </c>
      <c r="E150" s="95">
        <f>'22'!F150</f>
        <v>97331</v>
      </c>
      <c r="F150" s="233">
        <v>97550</v>
      </c>
      <c r="G150" s="112">
        <f t="shared" si="11"/>
        <v>219</v>
      </c>
      <c r="H150" s="99">
        <f>G150+'22'!H150</f>
        <v>5439.1999999999971</v>
      </c>
      <c r="I150" s="119"/>
      <c r="J150" s="328">
        <f>H150/DAY(B2)</f>
        <v>236.48695652173902</v>
      </c>
    </row>
    <row r="151" spans="1:10" ht="30.75" customHeight="1">
      <c r="A151" s="866" t="s">
        <v>338</v>
      </c>
      <c r="B151" s="867"/>
      <c r="C151" s="868"/>
      <c r="D151" s="117" t="s">
        <v>130</v>
      </c>
      <c r="E151" s="95">
        <f>'22'!F151</f>
        <v>183906</v>
      </c>
      <c r="F151" s="233">
        <v>184176</v>
      </c>
      <c r="G151" s="112">
        <f t="shared" si="11"/>
        <v>270</v>
      </c>
      <c r="H151" s="99">
        <f>G151+'22'!H151</f>
        <v>8001</v>
      </c>
      <c r="I151" s="119"/>
      <c r="J151" s="328">
        <f>H151/DAY(B2)</f>
        <v>347.86956521739131</v>
      </c>
    </row>
    <row r="152" spans="1:10" ht="30.75" customHeight="1">
      <c r="A152" s="866" t="s">
        <v>339</v>
      </c>
      <c r="B152" s="867"/>
      <c r="C152" s="868"/>
      <c r="D152" s="117" t="s">
        <v>130</v>
      </c>
      <c r="E152" s="95">
        <f>'22'!F152</f>
        <v>49512</v>
      </c>
      <c r="F152" s="233">
        <v>49639</v>
      </c>
      <c r="G152" s="112">
        <f t="shared" si="11"/>
        <v>127</v>
      </c>
      <c r="H152" s="99">
        <f>G152+'22'!H152</f>
        <v>3007</v>
      </c>
      <c r="I152" s="119"/>
      <c r="J152" s="328">
        <f>H152/DAY(B2)</f>
        <v>130.7391304347826</v>
      </c>
    </row>
    <row r="153" spans="1:10" ht="30.7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3377</v>
      </c>
      <c r="H153" s="363"/>
      <c r="I153" s="119">
        <f>G153-(G38+G52)</f>
        <v>614</v>
      </c>
      <c r="J153" s="366"/>
    </row>
    <row r="154" spans="1:10" ht="30.7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>
      <c r="A155" s="865" t="s">
        <v>345</v>
      </c>
      <c r="B155" s="865"/>
      <c r="C155" s="865"/>
      <c r="D155" s="117" t="s">
        <v>130</v>
      </c>
      <c r="E155" s="95">
        <f>'22'!F155</f>
        <v>268423</v>
      </c>
      <c r="F155" s="374">
        <v>268987</v>
      </c>
      <c r="G155" s="112">
        <f t="shared" ref="G155:G158" si="12">F155-E155</f>
        <v>564</v>
      </c>
      <c r="H155" s="99">
        <f>G155+'22'!H155</f>
        <v>12635</v>
      </c>
      <c r="I155" s="364"/>
      <c r="J155" s="161">
        <v>329</v>
      </c>
    </row>
    <row r="156" spans="1:10" ht="30.75" customHeight="1">
      <c r="A156" s="865" t="s">
        <v>347</v>
      </c>
      <c r="B156" s="865"/>
      <c r="C156" s="865"/>
      <c r="D156" s="117" t="s">
        <v>130</v>
      </c>
      <c r="E156" s="95">
        <f>'22'!F156</f>
        <v>34659</v>
      </c>
      <c r="F156" s="374">
        <v>34749</v>
      </c>
      <c r="G156" s="112">
        <f t="shared" si="12"/>
        <v>90</v>
      </c>
      <c r="H156" s="99">
        <f>G156+'22'!H156</f>
        <v>2190</v>
      </c>
      <c r="I156" s="165"/>
      <c r="J156" s="328">
        <f>H156/DAY(B2)</f>
        <v>95.217391304347828</v>
      </c>
    </row>
    <row r="157" spans="1:10" ht="30.75" customHeight="1">
      <c r="A157" s="866" t="s">
        <v>359</v>
      </c>
      <c r="B157" s="867"/>
      <c r="C157" s="868"/>
      <c r="D157" s="117" t="s">
        <v>130</v>
      </c>
      <c r="E157" s="95">
        <f>'22'!F157</f>
        <v>3637</v>
      </c>
      <c r="F157" s="95">
        <v>3780</v>
      </c>
      <c r="G157" s="112">
        <f t="shared" si="12"/>
        <v>143</v>
      </c>
      <c r="H157" s="99">
        <f>G157+'22'!H157</f>
        <v>539</v>
      </c>
      <c r="I157" s="165"/>
      <c r="J157" s="328">
        <f>H157/DAY(B2)</f>
        <v>23.434782608695652</v>
      </c>
    </row>
    <row r="158" spans="1:10" ht="30.75" customHeight="1">
      <c r="A158" s="866" t="s">
        <v>360</v>
      </c>
      <c r="B158" s="867"/>
      <c r="C158" s="868"/>
      <c r="D158" s="117" t="s">
        <v>130</v>
      </c>
      <c r="E158" s="95">
        <f>'22'!F158</f>
        <v>1804.5</v>
      </c>
      <c r="F158" s="95">
        <v>1820</v>
      </c>
      <c r="G158" s="112">
        <f t="shared" si="12"/>
        <v>15.5</v>
      </c>
      <c r="H158" s="99">
        <f>G158+'22'!H158</f>
        <v>29.160000000000082</v>
      </c>
      <c r="I158" s="165"/>
      <c r="J158" s="328">
        <f>H158/DAY(B2)</f>
        <v>1.2678260869565252</v>
      </c>
    </row>
    <row r="159" spans="1:10" ht="30.75" customHeight="1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515917</v>
      </c>
      <c r="F161" s="235">
        <v>516109</v>
      </c>
      <c r="G161" s="238">
        <f t="shared" ref="G161:G165" si="13">F161-E161</f>
        <v>192</v>
      </c>
      <c r="H161" s="99">
        <f>G161+'22'!H161</f>
        <v>3664</v>
      </c>
      <c r="I161" s="236"/>
      <c r="J161" s="239">
        <f>H161/DAY(B2)</f>
        <v>159.30434782608697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2707</v>
      </c>
      <c r="F162" s="235">
        <v>2751</v>
      </c>
      <c r="G162" s="238">
        <f t="shared" si="13"/>
        <v>44</v>
      </c>
      <c r="H162" s="99">
        <f>G162+'22'!H162</f>
        <v>991</v>
      </c>
      <c r="I162" s="236"/>
      <c r="J162" s="239">
        <f>H162/DAY(B2)</f>
        <v>43.086956521739133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0</v>
      </c>
      <c r="F163" s="235">
        <v>0</v>
      </c>
      <c r="G163" s="238">
        <f t="shared" si="13"/>
        <v>0</v>
      </c>
      <c r="H163" s="99">
        <f>G163+'22'!H163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7396</v>
      </c>
      <c r="F164" s="235">
        <v>7399</v>
      </c>
      <c r="G164" s="238">
        <f t="shared" si="13"/>
        <v>3</v>
      </c>
      <c r="H164" s="99">
        <f>G164+'22'!H164</f>
        <v>62</v>
      </c>
      <c r="I164" s="236"/>
      <c r="J164" s="239">
        <f>H164/DAY(B2)</f>
        <v>2.6956521739130435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33128</v>
      </c>
      <c r="F165" s="235">
        <v>33135</v>
      </c>
      <c r="G165" s="238">
        <f t="shared" si="13"/>
        <v>7</v>
      </c>
      <c r="H165" s="99">
        <f>G165+'22'!H165</f>
        <v>160.4800000000032</v>
      </c>
      <c r="I165" s="236"/>
      <c r="J165" s="239">
        <f>H165/DAY(B2)</f>
        <v>6.9773913043479654</v>
      </c>
    </row>
    <row r="166" spans="1:10" ht="30.75" customHeight="1">
      <c r="A166" s="872"/>
      <c r="B166" s="87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72"/>
      <c r="B167" s="87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72"/>
      <c r="B168" s="87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30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90" t="s">
        <v>209</v>
      </c>
      <c r="B173" s="791"/>
      <c r="C173" s="333"/>
      <c r="D173" s="228" t="s">
        <v>142</v>
      </c>
      <c r="E173" s="95">
        <f>'22'!F173</f>
        <v>8604</v>
      </c>
      <c r="F173" s="155">
        <v>8604</v>
      </c>
      <c r="G173" s="155">
        <f>F173-E173</f>
        <v>0</v>
      </c>
      <c r="H173" s="99">
        <f>G173+'22'!H173</f>
        <v>22</v>
      </c>
      <c r="I173" s="155"/>
      <c r="J173" s="178">
        <f>H173/DAY(B2)</f>
        <v>0.95652173913043481</v>
      </c>
    </row>
    <row r="174" spans="1:10" ht="30.75" customHeight="1">
      <c r="A174" s="790" t="s">
        <v>75</v>
      </c>
      <c r="B174" s="791"/>
      <c r="C174" s="333"/>
      <c r="D174" s="228" t="s">
        <v>142</v>
      </c>
      <c r="E174" s="95">
        <f>'22'!F174</f>
        <v>43631</v>
      </c>
      <c r="F174" s="157">
        <v>43645</v>
      </c>
      <c r="G174" s="155">
        <f t="shared" ref="G174:G175" si="14">F174-E174</f>
        <v>14</v>
      </c>
      <c r="H174" s="99">
        <f>G174+'22'!H174</f>
        <v>231</v>
      </c>
      <c r="I174" s="155"/>
      <c r="J174" s="178">
        <f>H174/DAY(B2)</f>
        <v>10.043478260869565</v>
      </c>
    </row>
    <row r="175" spans="1:10" ht="30.75" customHeight="1">
      <c r="A175" s="790" t="s">
        <v>76</v>
      </c>
      <c r="B175" s="803"/>
      <c r="C175" s="791"/>
      <c r="D175" s="228" t="s">
        <v>142</v>
      </c>
      <c r="E175" s="95">
        <f>'22'!F175</f>
        <v>26585</v>
      </c>
      <c r="F175" s="155">
        <v>26599</v>
      </c>
      <c r="G175" s="155">
        <f t="shared" si="14"/>
        <v>14</v>
      </c>
      <c r="H175" s="99">
        <f>G175+'22'!H175</f>
        <v>312</v>
      </c>
      <c r="I175" s="155"/>
      <c r="J175" s="178">
        <f>H175/DAY(B2)</f>
        <v>13.565217391304348</v>
      </c>
    </row>
    <row r="176" spans="1:10" ht="30.75" customHeight="1">
      <c r="A176" s="788" t="s">
        <v>196</v>
      </c>
      <c r="B176" s="789"/>
      <c r="C176" s="400"/>
      <c r="D176" s="228"/>
      <c r="E176" s="95"/>
      <c r="F176" s="155"/>
      <c r="G176" s="155">
        <f>SUM(G173:G175)</f>
        <v>28</v>
      </c>
      <c r="H176" s="99">
        <f>G176+'22'!H176</f>
        <v>565</v>
      </c>
      <c r="I176" s="155"/>
      <c r="J176" s="178">
        <f>H176/DAY(B2)</f>
        <v>24.565217391304348</v>
      </c>
    </row>
    <row r="177" spans="1:10" ht="30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790" t="s">
        <v>210</v>
      </c>
      <c r="B178" s="791"/>
      <c r="C178" s="333"/>
      <c r="D178" s="228" t="s">
        <v>142</v>
      </c>
      <c r="E178" s="95">
        <f>'22'!F178</f>
        <v>112673</v>
      </c>
      <c r="F178" s="155">
        <v>112732</v>
      </c>
      <c r="G178" s="155">
        <f>F178-E178</f>
        <v>59</v>
      </c>
      <c r="H178" s="99">
        <f>G178+'22'!H178</f>
        <v>2341</v>
      </c>
      <c r="I178" s="155"/>
      <c r="J178" s="178">
        <f>H178/DAY(B2)</f>
        <v>101.78260869565217</v>
      </c>
    </row>
    <row r="179" spans="1:10" ht="30.75" customHeight="1">
      <c r="A179" s="790" t="s">
        <v>211</v>
      </c>
      <c r="B179" s="791"/>
      <c r="C179" s="333"/>
      <c r="D179" s="228" t="s">
        <v>142</v>
      </c>
      <c r="E179" s="95">
        <f>'22'!F179</f>
        <v>37501</v>
      </c>
      <c r="F179" s="155">
        <v>37501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790" t="s">
        <v>212</v>
      </c>
      <c r="B180" s="791"/>
      <c r="C180" s="333"/>
      <c r="D180" s="228" t="s">
        <v>142</v>
      </c>
      <c r="E180" s="95">
        <f>'22'!F180</f>
        <v>7793</v>
      </c>
      <c r="F180" s="155">
        <v>7794</v>
      </c>
      <c r="G180" s="155">
        <f t="shared" si="15"/>
        <v>1</v>
      </c>
      <c r="H180" s="99">
        <f>G180+'22'!H180</f>
        <v>93</v>
      </c>
      <c r="I180" s="155"/>
      <c r="J180" s="178">
        <f>H180/DAY(B2)</f>
        <v>4.0434782608695654</v>
      </c>
    </row>
    <row r="181" spans="1:10" ht="30.75" customHeight="1">
      <c r="A181" s="878" t="s">
        <v>108</v>
      </c>
      <c r="B181" s="879"/>
      <c r="C181" s="400"/>
      <c r="D181" s="228"/>
      <c r="E181" s="95"/>
      <c r="F181" s="155"/>
      <c r="G181" s="155">
        <f>SUM(G178:G180)</f>
        <v>60</v>
      </c>
      <c r="H181" s="99">
        <f>G181+'22'!H181</f>
        <v>2434</v>
      </c>
      <c r="I181" s="155"/>
      <c r="J181" s="178">
        <f>H181/DAY(B2)</f>
        <v>105.82608695652173</v>
      </c>
    </row>
    <row r="182" spans="1:10" ht="30.75" customHeight="1">
      <c r="A182" s="790" t="s">
        <v>213</v>
      </c>
      <c r="B182" s="791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790" t="s">
        <v>214</v>
      </c>
      <c r="B183" s="791"/>
      <c r="C183" s="334"/>
      <c r="D183" s="228" t="s">
        <v>142</v>
      </c>
      <c r="E183" s="95">
        <f>'22'!F183</f>
        <v>18839</v>
      </c>
      <c r="F183" s="157">
        <v>18867</v>
      </c>
      <c r="G183" s="157">
        <f>F183-E183</f>
        <v>28</v>
      </c>
      <c r="H183" s="99">
        <f>G183+'22'!H183</f>
        <v>175</v>
      </c>
      <c r="I183" s="155"/>
      <c r="J183" s="178">
        <f>H183/DAY(B2)</f>
        <v>7.6086956521739131</v>
      </c>
    </row>
    <row r="184" spans="1:10" ht="30.75" customHeight="1">
      <c r="A184" s="790" t="s">
        <v>215</v>
      </c>
      <c r="B184" s="791"/>
      <c r="C184" s="334"/>
      <c r="D184" s="228" t="s">
        <v>142</v>
      </c>
      <c r="E184" s="95">
        <f>'22'!F184</f>
        <v>13401</v>
      </c>
      <c r="F184" s="157">
        <v>13421</v>
      </c>
      <c r="G184" s="157">
        <f t="shared" ref="G184" si="16">F184-E184</f>
        <v>20</v>
      </c>
      <c r="H184" s="99">
        <f>G184+'22'!H184</f>
        <v>175</v>
      </c>
      <c r="I184" s="155"/>
      <c r="J184" s="178">
        <f>H184/DAY(B2)</f>
        <v>7.6086956521739131</v>
      </c>
    </row>
    <row r="185" spans="1:10" ht="30.75" customHeight="1">
      <c r="A185" s="790" t="s">
        <v>216</v>
      </c>
      <c r="B185" s="791"/>
      <c r="C185" s="334"/>
      <c r="D185" s="228" t="s">
        <v>142</v>
      </c>
      <c r="E185" s="95" t="str">
        <f>'22'!F185</f>
        <v xml:space="preserve"> </v>
      </c>
      <c r="F185" s="157">
        <v>0</v>
      </c>
      <c r="G185" s="157"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788" t="s">
        <v>196</v>
      </c>
      <c r="B186" s="789"/>
      <c r="C186" s="399"/>
      <c r="D186" s="229"/>
      <c r="E186" s="95"/>
      <c r="F186" s="157"/>
      <c r="G186" s="157">
        <f>SUM(G183:G185)</f>
        <v>48</v>
      </c>
      <c r="H186" s="99">
        <f>G186+'22'!H186</f>
        <v>350</v>
      </c>
      <c r="I186" s="157"/>
      <c r="J186" s="178">
        <f>H186/DAY(B2)</f>
        <v>15.217391304347826</v>
      </c>
    </row>
    <row r="187" spans="1:10" ht="30.75" customHeight="1">
      <c r="A187" s="869" t="s">
        <v>217</v>
      </c>
      <c r="B187" s="870"/>
      <c r="C187" s="333"/>
      <c r="D187" s="230" t="s">
        <v>142</v>
      </c>
      <c r="E187" s="95"/>
      <c r="F187" s="159"/>
      <c r="G187" s="377">
        <f>G62+G19</f>
        <v>154</v>
      </c>
      <c r="H187" s="99">
        <f>G187+'22'!H187</f>
        <v>3073</v>
      </c>
      <c r="I187" s="158"/>
      <c r="J187" s="179">
        <f>H187/DAY(B2)</f>
        <v>133.60869565217391</v>
      </c>
    </row>
    <row r="188" spans="1:10" ht="30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377">
        <f>G65+G66+G67+G69+G70</f>
        <v>320</v>
      </c>
      <c r="H188" s="99">
        <f>G188+'22'!H188</f>
        <v>1784</v>
      </c>
      <c r="I188" s="158"/>
      <c r="J188" s="179">
        <f>H188/DAY(B2)</f>
        <v>77.565217391304344</v>
      </c>
    </row>
    <row r="189" spans="1:10" ht="30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376">
        <f>G181</f>
        <v>60</v>
      </c>
      <c r="H189" s="99">
        <f>G189+'22'!H189</f>
        <v>463</v>
      </c>
      <c r="I189" s="158"/>
      <c r="J189" s="179">
        <f>H189/DAY(B2)</f>
        <v>20.130434782608695</v>
      </c>
    </row>
    <row r="190" spans="1:10" ht="30.75" customHeight="1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48" zoomScale="55" zoomScaleNormal="44" zoomScaleSheetLayoutView="55" workbookViewId="0">
      <selection activeCell="F165" sqref="F16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354</v>
      </c>
      <c r="B2" s="262">
        <v>44981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144626</v>
      </c>
      <c r="F7" s="95">
        <v>168560.71</v>
      </c>
      <c r="G7" s="112">
        <f>F7-E7</f>
        <v>23934.709999999992</v>
      </c>
      <c r="H7" s="99">
        <f>G7+'23'!H7</f>
        <v>545193.71</v>
      </c>
      <c r="I7" s="113">
        <f>'1'!I7</f>
        <v>12000</v>
      </c>
      <c r="J7" s="175">
        <f>H7/DAY(B2)</f>
        <v>22716.404583333333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349448</v>
      </c>
      <c r="F8" s="114">
        <v>374104.63</v>
      </c>
      <c r="G8" s="115">
        <f>F8-E8</f>
        <v>24656.630000000005</v>
      </c>
      <c r="H8" s="99">
        <f>G8+'23'!H8</f>
        <v>557994.63</v>
      </c>
      <c r="I8" s="116"/>
      <c r="J8" s="175">
        <f>H8/DAY(B2)</f>
        <v>23249.776249999999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5124458</v>
      </c>
      <c r="F9" s="468">
        <v>5137184.7</v>
      </c>
      <c r="G9" s="112">
        <f>F9-E9</f>
        <v>12726.700000000186</v>
      </c>
      <c r="H9" s="99">
        <f>G9+'23'!H9</f>
        <v>312085.70000000019</v>
      </c>
      <c r="I9" s="124">
        <f>I7-J7</f>
        <v>-10716.404583333333</v>
      </c>
      <c r="J9" s="175">
        <f>H9/DAY(B2)</f>
        <v>13003.57083333334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4499384</v>
      </c>
      <c r="F10" s="353">
        <v>4509966.7</v>
      </c>
      <c r="G10" s="112">
        <f t="shared" ref="G10:G12" si="0">F10-E10</f>
        <v>10582.700000000186</v>
      </c>
      <c r="H10" s="99">
        <f>G10+'23'!H10</f>
        <v>219432.70000000019</v>
      </c>
      <c r="I10" s="282"/>
      <c r="J10" s="175">
        <f>H10/DAY(B2)</f>
        <v>9143.0291666666744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38700</v>
      </c>
      <c r="F11" s="95">
        <v>38700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40550</v>
      </c>
      <c r="F12" s="117">
        <v>40550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23309.400000000373</v>
      </c>
      <c r="H13" s="99">
        <f>G13+'23'!H13</f>
        <v>531518.40000000037</v>
      </c>
      <c r="I13" s="120">
        <f>G7-G13</f>
        <v>625.30999999961932</v>
      </c>
      <c r="J13" s="175">
        <f>H13/DAY(B2)</f>
        <v>22146.600000000017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2313905</v>
      </c>
      <c r="F15" s="468">
        <v>2315054</v>
      </c>
      <c r="G15" s="112">
        <f>(F15-E15)</f>
        <v>1149</v>
      </c>
      <c r="H15" s="99">
        <f>G15+'23'!H15</f>
        <v>26580.285000000149</v>
      </c>
      <c r="I15" s="113">
        <f>'1'!I15</f>
        <v>800</v>
      </c>
      <c r="J15" s="175">
        <f>H15/DAY(B2)</f>
        <v>1107.5118750000063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-307.51187500000628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'23'!F18</f>
        <v>34</v>
      </c>
      <c r="F18" s="122">
        <v>39</v>
      </c>
      <c r="G18" s="119">
        <f>F18*10</f>
        <v>390</v>
      </c>
      <c r="H18" s="99">
        <f>G18+'23'!H18</f>
        <v>4540</v>
      </c>
      <c r="I18" s="113">
        <f>'1'!I18</f>
        <v>65</v>
      </c>
      <c r="J18" s="175">
        <f>H18/DAY(B2)</f>
        <v>189.16666666666666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'23'!F19</f>
        <v>172538</v>
      </c>
      <c r="F19" s="122">
        <v>172581</v>
      </c>
      <c r="G19" s="112">
        <f t="shared" ref="G19" si="1">F19-E19</f>
        <v>43</v>
      </c>
      <c r="H19" s="99">
        <f>G19+'23'!H19</f>
        <v>1258</v>
      </c>
      <c r="I19" s="335"/>
      <c r="J19" s="175">
        <f>H19/DAY(B2)</f>
        <v>52.416666666666664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433</v>
      </c>
      <c r="H20" s="99">
        <f>G20+'23'!H20</f>
        <v>5798</v>
      </c>
      <c r="I20" s="336">
        <f>I18-J20</f>
        <v>-176.58333333333334</v>
      </c>
      <c r="J20" s="175">
        <f>H20/DAY(B2)</f>
        <v>241.58333333333334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1860</v>
      </c>
      <c r="F23" s="122">
        <v>1860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4830</v>
      </c>
      <c r="F24" s="128">
        <v>4830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24656.630000000005</v>
      </c>
      <c r="F27" s="136">
        <v>10</v>
      </c>
      <c r="G27" s="137">
        <f>E27*F27</f>
        <v>246566.30000000005</v>
      </c>
      <c r="H27" s="99">
        <f>G27+'23'!H27</f>
        <v>5579946.2999999998</v>
      </c>
      <c r="I27" s="138"/>
      <c r="J27" s="175">
        <f>H27/DAY(B2)</f>
        <v>232497.76249999998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1149</v>
      </c>
      <c r="F28" s="136">
        <v>63</v>
      </c>
      <c r="G28" s="137">
        <f>E28*F28</f>
        <v>72387</v>
      </c>
      <c r="H28" s="99">
        <f>G28+'23'!H28</f>
        <v>1693979.4100000104</v>
      </c>
      <c r="I28" s="140"/>
      <c r="J28" s="175">
        <f>H28/DAY(B2)</f>
        <v>70582.475416667105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6900</v>
      </c>
      <c r="I29" s="140"/>
      <c r="J29" s="175">
        <f>H29/DAY(B2)</f>
        <v>287.5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155</v>
      </c>
      <c r="G30" s="137">
        <f>E30*F30</f>
        <v>6665</v>
      </c>
      <c r="H30" s="99">
        <f>G30+'23'!H30</f>
        <v>193670</v>
      </c>
      <c r="I30" s="140"/>
      <c r="J30" s="175">
        <f>H30/DAY(B2)</f>
        <v>8069.583333333333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390</v>
      </c>
      <c r="F31" s="136">
        <v>88</v>
      </c>
      <c r="G31" s="137">
        <f>E31*F31</f>
        <v>34320</v>
      </c>
      <c r="H31" s="99">
        <f>G31+'23'!H31</f>
        <v>395860</v>
      </c>
      <c r="I31" s="140"/>
      <c r="J31" s="175">
        <f>H31/DAY(B2)</f>
        <v>16494.166666666668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359938.30000000005</v>
      </c>
      <c r="H32" s="99">
        <f>G32+'23'!H32</f>
        <v>7870355.7100000102</v>
      </c>
      <c r="I32" s="144"/>
      <c r="J32" s="175">
        <f>H32/DAY(B2)</f>
        <v>327931.48791666707</v>
      </c>
      <c r="K32" s="63"/>
      <c r="L32" s="89"/>
      <c r="N32" s="87"/>
      <c r="O32" s="71"/>
    </row>
    <row r="33" spans="1:15" ht="25.5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591664</v>
      </c>
      <c r="F35" s="145">
        <v>594437.43000000005</v>
      </c>
      <c r="G35" s="112">
        <f t="shared" ref="G35:G46" si="3">F35-E35</f>
        <v>2773.4300000000512</v>
      </c>
      <c r="H35" s="99">
        <f>G35+'23'!H35</f>
        <v>64381.430000000051</v>
      </c>
      <c r="I35" s="95"/>
      <c r="J35" s="175">
        <f>H35/DAY(B2)</f>
        <v>2682.5595833333355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406188</v>
      </c>
      <c r="F36" s="145">
        <v>407485.55</v>
      </c>
      <c r="G36" s="112">
        <f t="shared" si="3"/>
        <v>1297.5499999999884</v>
      </c>
      <c r="H36" s="99">
        <f>G36+'23'!H36</f>
        <v>25664.549999999988</v>
      </c>
      <c r="I36" s="95"/>
      <c r="J36" s="175">
        <f>H36/DAY(B2)</f>
        <v>1069.3562499999996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416588</v>
      </c>
      <c r="F37" s="145">
        <v>418117.47</v>
      </c>
      <c r="G37" s="112">
        <f t="shared" si="3"/>
        <v>1529.4699999999721</v>
      </c>
      <c r="H37" s="99">
        <f>G37+'23'!H37</f>
        <v>34498.469999999972</v>
      </c>
      <c r="I37" s="95"/>
      <c r="J37" s="175">
        <f>H37/DAY(B2)</f>
        <v>1437.4362499999988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937601</v>
      </c>
      <c r="F38" s="108">
        <v>940500.55</v>
      </c>
      <c r="G38" s="112">
        <f t="shared" si="3"/>
        <v>2899.5500000000466</v>
      </c>
      <c r="H38" s="99">
        <f>G38+'23'!H38</f>
        <v>63373.550000000047</v>
      </c>
      <c r="I38" s="95"/>
      <c r="J38" s="175">
        <f>H38/DAY(B2)</f>
        <v>2640.5645833333351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771767</v>
      </c>
      <c r="F39" s="145">
        <v>774619.67</v>
      </c>
      <c r="G39" s="112">
        <f t="shared" si="3"/>
        <v>2852.6700000000419</v>
      </c>
      <c r="H39" s="99">
        <f>G39+'23'!H39</f>
        <v>68483.670000000042</v>
      </c>
      <c r="I39" s="95"/>
      <c r="J39" s="175">
        <f>H39/DAY(B2)</f>
        <v>2853.4862500000017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224178</v>
      </c>
      <c r="F40" s="145">
        <v>224391.23</v>
      </c>
      <c r="G40" s="112">
        <f t="shared" si="3"/>
        <v>213.23000000001048</v>
      </c>
      <c r="H40" s="99">
        <f>G40+'23'!H40</f>
        <v>6599.2300000000105</v>
      </c>
      <c r="I40" s="95"/>
      <c r="J40" s="175">
        <f>H40/DAY(B2)</f>
        <v>274.96791666666712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420212.51</v>
      </c>
      <c r="F41" s="145">
        <v>420212.51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995520.63</v>
      </c>
      <c r="F42" s="145">
        <v>995520.63</v>
      </c>
      <c r="G42" s="112">
        <f t="shared" si="3"/>
        <v>0</v>
      </c>
      <c r="H42" s="99">
        <f>G42+'23'!H42</f>
        <v>22458</v>
      </c>
      <c r="I42" s="95"/>
      <c r="J42" s="175">
        <f>H42/DAY(B2)</f>
        <v>935.75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422444</v>
      </c>
      <c r="F43" s="145">
        <v>422444</v>
      </c>
      <c r="G43" s="112">
        <f t="shared" si="3"/>
        <v>0</v>
      </c>
      <c r="H43" s="99">
        <f>G43+'23'!H43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11565.900000000111</v>
      </c>
      <c r="H47" s="99">
        <f>G47+'23'!H47</f>
        <v>285458.90000000014</v>
      </c>
      <c r="I47" s="95"/>
      <c r="J47" s="175">
        <f>H47/DAY(B2)</f>
        <v>11894.12083333334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835302</v>
      </c>
      <c r="F49" s="145">
        <v>835962.79</v>
      </c>
      <c r="G49" s="112">
        <f t="shared" ref="G49:G58" si="4">F49-E49</f>
        <v>660.79000000003725</v>
      </c>
      <c r="H49" s="99">
        <f>G49+'23'!H49</f>
        <v>13050.790000000037</v>
      </c>
      <c r="I49" s="95"/>
      <c r="J49" s="175">
        <f>H49/DAY(B2)</f>
        <v>543.78291666666826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576559</v>
      </c>
      <c r="F50" s="145">
        <v>578031.18999999994</v>
      </c>
      <c r="G50" s="112">
        <f t="shared" si="4"/>
        <v>1472.1899999999441</v>
      </c>
      <c r="H50" s="99">
        <f>G50+'23'!H50</f>
        <v>36057.189999999944</v>
      </c>
      <c r="I50" s="95"/>
      <c r="J50" s="175">
        <f>H50/DAY(B2)</f>
        <v>1502.3829166666644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156958</v>
      </c>
      <c r="F51" s="145">
        <v>156958.44</v>
      </c>
      <c r="G51" s="112">
        <f t="shared" si="4"/>
        <v>0.44000000000232831</v>
      </c>
      <c r="H51" s="99">
        <f>G51+'23'!H51</f>
        <v>0.44000000000232831</v>
      </c>
      <c r="I51" s="95"/>
      <c r="J51" s="175">
        <f>H51/DAY(B2)</f>
        <v>1.8333333333430346E-2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1457</v>
      </c>
      <c r="F52" s="145">
        <v>1457.43</v>
      </c>
      <c r="G52" s="112">
        <f t="shared" si="4"/>
        <v>0.43000000000006366</v>
      </c>
      <c r="H52" s="99">
        <f>G52+'23'!H52</f>
        <v>0.43000000000006366</v>
      </c>
      <c r="I52" s="95"/>
      <c r="J52" s="175">
        <f>H52/DAY(B2)</f>
        <v>1.7916666666669318E-2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630355</v>
      </c>
      <c r="F53" s="145">
        <v>630355</v>
      </c>
      <c r="G53" s="112">
        <f t="shared" si="4"/>
        <v>0</v>
      </c>
      <c r="H53" s="99">
        <f>G53+'23'!H53</f>
        <v>-3.0000000027939677E-2</v>
      </c>
      <c r="I53" s="95"/>
      <c r="J53" s="175">
        <f>H53/DAY(B2)</f>
        <v>-1.2500000011641532E-3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131275</v>
      </c>
      <c r="F54" s="145">
        <v>131556.29999999999</v>
      </c>
      <c r="G54" s="112">
        <f t="shared" si="4"/>
        <v>281.29999999998836</v>
      </c>
      <c r="H54" s="99">
        <f>G54+'23'!H54</f>
        <v>7442.089999999982</v>
      </c>
      <c r="I54" s="95"/>
      <c r="J54" s="175">
        <f>H54/DAY(B2)</f>
        <v>310.0870833333326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629748</v>
      </c>
      <c r="F55" s="145">
        <v>632292.91</v>
      </c>
      <c r="G55" s="112">
        <f t="shared" si="4"/>
        <v>2544.9100000000326</v>
      </c>
      <c r="H55" s="99">
        <f>G55+'23'!H55</f>
        <v>37988.160000000033</v>
      </c>
      <c r="I55" s="95"/>
      <c r="J55" s="175">
        <f>H55/DAY(B2)</f>
        <v>1582.8400000000013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405779</v>
      </c>
      <c r="F56" s="145">
        <v>407289.31</v>
      </c>
      <c r="G56" s="112">
        <f t="shared" si="4"/>
        <v>1510.3099999999977</v>
      </c>
      <c r="H56" s="99">
        <f>G56+'23'!H56</f>
        <v>34169.31</v>
      </c>
      <c r="I56" s="95"/>
      <c r="J56" s="175">
        <f>H56/DAY(B2)</f>
        <v>1423.7212499999998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767159</v>
      </c>
      <c r="F57" s="145">
        <v>769594.07</v>
      </c>
      <c r="G57" s="112">
        <f t="shared" si="4"/>
        <v>2435.0699999999488</v>
      </c>
      <c r="H57" s="99">
        <f>G57+'23'!H57</f>
        <v>61896.069999999949</v>
      </c>
      <c r="I57" s="95"/>
      <c r="J57" s="175">
        <f>H57/DAY(B2)</f>
        <v>2579.0029166666645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100146</v>
      </c>
      <c r="F58" s="145">
        <v>100482.03</v>
      </c>
      <c r="G58" s="112">
        <f t="shared" si="4"/>
        <v>336.02999999999884</v>
      </c>
      <c r="H58" s="99">
        <f>G58+'23'!H58</f>
        <v>5912.2099999999919</v>
      </c>
      <c r="I58" s="95"/>
      <c r="J58" s="175">
        <f>H58/DAY(B2)</f>
        <v>246.34208333333299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9241.4699999999502</v>
      </c>
      <c r="H59" s="99">
        <f>G59+'23'!H59</f>
        <v>196516.65999999992</v>
      </c>
      <c r="I59" s="95">
        <f>G7-G60</f>
        <v>3127.339999999931</v>
      </c>
      <c r="J59" s="175">
        <f>H59/DAY(B2)</f>
        <v>8188.1941666666635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20807.370000000061</v>
      </c>
      <c r="H60" s="99">
        <f>G60+'23'!H60</f>
        <v>481975.56</v>
      </c>
      <c r="I60" s="95">
        <f>G13-G60</f>
        <v>2502.0300000003117</v>
      </c>
      <c r="J60" s="175">
        <f>H60/DAY(B2)</f>
        <v>20082.314999999999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'23'!F62</f>
        <v>317535</v>
      </c>
      <c r="F62" s="122">
        <v>317670</v>
      </c>
      <c r="G62" s="112">
        <f t="shared" ref="G62:G63" si="5">F62-E62</f>
        <v>135</v>
      </c>
      <c r="H62" s="99">
        <f>G62+'23'!H62</f>
        <v>1993</v>
      </c>
      <c r="I62" s="118"/>
      <c r="J62" s="175">
        <f>H62/DAY(B2)</f>
        <v>83.041666666666671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'23'!F63</f>
        <v>254316</v>
      </c>
      <c r="F63" s="122">
        <v>254395</v>
      </c>
      <c r="G63" s="112">
        <f t="shared" si="5"/>
        <v>79</v>
      </c>
      <c r="H63" s="99">
        <f>G63+'23'!H63</f>
        <v>2071</v>
      </c>
      <c r="I63" s="118"/>
      <c r="J63" s="175">
        <f>H63/DAY(B2)</f>
        <v>86.291666666666671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'23'!F64</f>
        <v>0</v>
      </c>
      <c r="F64" s="122"/>
      <c r="G64" s="112">
        <f>G62+G63</f>
        <v>214</v>
      </c>
      <c r="H64" s="99">
        <f>G64+'23'!H64</f>
        <v>4064</v>
      </c>
      <c r="I64" s="118"/>
      <c r="J64" s="175">
        <f>H64/DAY(B2)</f>
        <v>169.33333333333334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'23'!F65</f>
        <v>478900</v>
      </c>
      <c r="F65" s="122">
        <v>479050</v>
      </c>
      <c r="G65" s="112">
        <f t="shared" ref="G65:G70" si="6">F65-E65</f>
        <v>150</v>
      </c>
      <c r="H65" s="99">
        <f>G65+'23'!H65</f>
        <v>3147</v>
      </c>
      <c r="I65" s="118"/>
      <c r="J65" s="175">
        <f>H65/DAY(B2)</f>
        <v>131.125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114797</v>
      </c>
      <c r="F66" s="122">
        <v>114810</v>
      </c>
      <c r="G66" s="112">
        <f t="shared" si="6"/>
        <v>13</v>
      </c>
      <c r="H66" s="99">
        <f>G66+'23'!H66</f>
        <v>344</v>
      </c>
      <c r="I66" s="118"/>
      <c r="J66" s="175">
        <f>H66/DAY(B2)</f>
        <v>14.333333333333334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117875</v>
      </c>
      <c r="F67" s="122">
        <v>117945</v>
      </c>
      <c r="G67" s="112">
        <f t="shared" si="6"/>
        <v>70</v>
      </c>
      <c r="H67" s="99">
        <f>G67+'23'!H67</f>
        <v>663</v>
      </c>
      <c r="I67" s="118"/>
      <c r="J67" s="175">
        <f>H67/DAY(B2)</f>
        <v>27.625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170421</v>
      </c>
      <c r="F68" s="122">
        <v>170448</v>
      </c>
      <c r="G68" s="112">
        <f t="shared" si="6"/>
        <v>27</v>
      </c>
      <c r="H68" s="99">
        <f>G68+'23'!H68</f>
        <v>498</v>
      </c>
      <c r="I68" s="118"/>
      <c r="J68" s="175">
        <f>H68/DAY(B2)</f>
        <v>20.75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13354</v>
      </c>
      <c r="F69" s="122">
        <v>13357</v>
      </c>
      <c r="G69" s="112">
        <f t="shared" si="6"/>
        <v>3</v>
      </c>
      <c r="H69" s="99">
        <f>G69+'23'!H69</f>
        <v>145</v>
      </c>
      <c r="I69" s="118"/>
      <c r="J69" s="175">
        <f>H69/DAY(B2)</f>
        <v>6.041666666666667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11430</v>
      </c>
      <c r="F70" s="122">
        <v>11440</v>
      </c>
      <c r="G70" s="112">
        <f t="shared" si="6"/>
        <v>10</v>
      </c>
      <c r="H70" s="99">
        <f>G70+'23'!H70</f>
        <v>182</v>
      </c>
      <c r="I70" s="118"/>
      <c r="J70" s="175">
        <f>H70/DAY(B2)</f>
        <v>7.583333333333333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273</v>
      </c>
      <c r="H71" s="99">
        <f>G71+'23'!H71</f>
        <v>4979</v>
      </c>
      <c r="I71" s="154"/>
      <c r="J71" s="175">
        <f>H71/DAY(B2)</f>
        <v>207.45833333333334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'23'!F74</f>
        <v>19359</v>
      </c>
      <c r="F74" s="117">
        <v>19633.55</v>
      </c>
      <c r="G74" s="112">
        <f t="shared" ref="G74:G78" si="7">F74-E74</f>
        <v>274.54999999999927</v>
      </c>
      <c r="H74" s="99">
        <f>G74+'23'!H74</f>
        <v>3753.5499999999993</v>
      </c>
      <c r="I74" s="154"/>
      <c r="J74" s="175">
        <f>H74/DAY(B2)</f>
        <v>156.39791666666665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'23'!F76</f>
        <v>213475</v>
      </c>
      <c r="F76" s="123">
        <v>213609.60000000001</v>
      </c>
      <c r="G76" s="112">
        <f t="shared" si="7"/>
        <v>134.60000000000582</v>
      </c>
      <c r="H76" s="99">
        <f>G76+'23'!H76</f>
        <v>2949.6000000000058</v>
      </c>
      <c r="I76" s="154"/>
      <c r="J76" s="175">
        <f>H76/DAY(B2)</f>
        <v>122.90000000000025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'23'!F77</f>
        <v>60984</v>
      </c>
      <c r="F77" s="123">
        <v>61047</v>
      </c>
      <c r="G77" s="112">
        <f t="shared" si="7"/>
        <v>63</v>
      </c>
      <c r="H77" s="99">
        <f>G77+'23'!H77</f>
        <v>1286</v>
      </c>
      <c r="I77" s="154"/>
      <c r="J77" s="175">
        <f>H77/DAY(B2)</f>
        <v>53.583333333333336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'23'!F79</f>
        <v>0</v>
      </c>
      <c r="F79" s="117"/>
      <c r="G79" s="112">
        <f>G15-SUM(G74:G78)</f>
        <v>676.84999999999491</v>
      </c>
      <c r="H79" s="99">
        <f>G79+'23'!H79</f>
        <v>14972.635000000144</v>
      </c>
      <c r="I79" s="118"/>
      <c r="J79" s="175">
        <f>H79/DAY(B2)</f>
        <v>623.85979166667266</v>
      </c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1149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43546</v>
      </c>
      <c r="F84" s="164">
        <v>43546</v>
      </c>
      <c r="G84" s="112">
        <f t="shared" si="8"/>
        <v>0</v>
      </c>
      <c r="H84" s="99">
        <f>G84+'23'!H84</f>
        <v>-0.34999999999854481</v>
      </c>
      <c r="I84" s="543"/>
      <c r="J84" s="175">
        <f>H84/DAY(B2)</f>
        <v>-1.45833333332727E-2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6320.56</v>
      </c>
      <c r="F85" s="164">
        <v>6320.56</v>
      </c>
      <c r="G85" s="112">
        <f t="shared" si="8"/>
        <v>0</v>
      </c>
      <c r="H85" s="99">
        <f>G85+'23'!H85</f>
        <v>107.5600000000004</v>
      </c>
      <c r="I85" s="543"/>
      <c r="J85" s="175">
        <f>H85/DAY(B2)</f>
        <v>4.4816666666666833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47213</v>
      </c>
      <c r="F86" s="164">
        <v>47231.55</v>
      </c>
      <c r="G86" s="112">
        <f t="shared" si="8"/>
        <v>18.55000000000291</v>
      </c>
      <c r="H86" s="99">
        <f>G86+'23'!H86</f>
        <v>260.55000000000291</v>
      </c>
      <c r="I86" s="543"/>
      <c r="J86" s="175">
        <f>H86/DAY(B2)</f>
        <v>10.856250000000122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37604</v>
      </c>
      <c r="F87" s="164">
        <v>37615.21</v>
      </c>
      <c r="G87" s="112">
        <f t="shared" si="8"/>
        <v>11.209999999999127</v>
      </c>
      <c r="H87" s="99">
        <f>G87+'23'!H87</f>
        <v>251.20999999999913</v>
      </c>
      <c r="I87" s="543">
        <f>G84+G85+G86+G87</f>
        <v>29.760000000002037</v>
      </c>
      <c r="J87" s="175">
        <f>H87/DAY(B2)</f>
        <v>10.467083333333298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24911</v>
      </c>
      <c r="F88" s="164">
        <v>24917.919999999998</v>
      </c>
      <c r="G88" s="112">
        <f t="shared" si="8"/>
        <v>6.9199999999982538</v>
      </c>
      <c r="H88" s="99">
        <f>G88+'23'!H88</f>
        <v>155.91999999999825</v>
      </c>
      <c r="I88" s="543"/>
      <c r="J88" s="175">
        <f>H88/DAY(B2)</f>
        <v>6.4966666666665942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29170.9</v>
      </c>
      <c r="F89" s="164">
        <v>29172.3</v>
      </c>
      <c r="G89" s="112">
        <f t="shared" si="8"/>
        <v>1.3999999999978172</v>
      </c>
      <c r="H89" s="99">
        <f>G89+'23'!H89</f>
        <v>144.29999999999927</v>
      </c>
      <c r="I89" s="543">
        <f>G88+G89</f>
        <v>8.319999999996071</v>
      </c>
      <c r="J89" s="175">
        <f>H89/DAY(B2)</f>
        <v>6.01249999999997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74615</v>
      </c>
      <c r="F90" s="164">
        <v>74631.08</v>
      </c>
      <c r="G90" s="112">
        <f t="shared" si="8"/>
        <v>16.080000000001746</v>
      </c>
      <c r="H90" s="99">
        <f>G90+'23'!H90</f>
        <v>183.08000000000175</v>
      </c>
      <c r="I90" s="543">
        <f>G90</f>
        <v>16.080000000001746</v>
      </c>
      <c r="J90" s="175">
        <f>H90/DAY(B2)</f>
        <v>7.6283333333334058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5853.81</v>
      </c>
      <c r="F91" s="122">
        <v>5864.52</v>
      </c>
      <c r="G91" s="112">
        <f t="shared" si="8"/>
        <v>10.710000000000036</v>
      </c>
      <c r="H91" s="99">
        <f>G91+'23'!H91</f>
        <v>246.3100000000004</v>
      </c>
      <c r="I91" s="544"/>
      <c r="J91" s="175">
        <f>H91/DAY(B2)</f>
        <v>10.262916666666683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7469</v>
      </c>
      <c r="F92" s="122">
        <v>7469</v>
      </c>
      <c r="G92" s="112">
        <f t="shared" si="8"/>
        <v>0</v>
      </c>
      <c r="H92" s="99">
        <f>G92+'23'!H92</f>
        <v>36.720000000000255</v>
      </c>
      <c r="I92" s="545">
        <f>G91+G92</f>
        <v>10.710000000000036</v>
      </c>
      <c r="J92" s="175">
        <f>H92/DAY(B2)</f>
        <v>1.5300000000000107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5869.2900000000373</v>
      </c>
      <c r="H94" s="99">
        <f>G94+'23'!H94</f>
        <v>139328.29000000004</v>
      </c>
      <c r="I94" s="118"/>
      <c r="J94" s="175">
        <f>H94/DAY(B2)</f>
        <v>5805.3454166666679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0.24522085289523204</v>
      </c>
      <c r="H95" s="99">
        <f>G95+'23'!H95</f>
        <v>6.1443827294455433</v>
      </c>
      <c r="I95" s="167"/>
      <c r="J95" s="175">
        <f>H95/DAY(B2)</f>
        <v>0.25601594706023095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4055.2200000000303</v>
      </c>
      <c r="H96" s="99">
        <f>G96+'23'!H96</f>
        <v>94615.47000000003</v>
      </c>
      <c r="I96" s="118"/>
      <c r="J96" s="175">
        <f>H96/DAY(B2)</f>
        <v>3942.3112500000011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0.16942841588638557</v>
      </c>
      <c r="H97" s="99">
        <f>G97+'23'!H97</f>
        <v>4.1440365335278679</v>
      </c>
      <c r="I97" s="167"/>
      <c r="J97" s="175">
        <f>H97/DAY(B2)</f>
        <v>0.17266818889699451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2852.6700000000419</v>
      </c>
      <c r="H98" s="99">
        <f>G98+'23'!H98</f>
        <v>68483.640000000014</v>
      </c>
      <c r="I98" s="168"/>
      <c r="J98" s="175">
        <f>H98/DAY(B2)</f>
        <v>2853.4850000000006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0.11918548417758322</v>
      </c>
      <c r="H99" s="99">
        <f>G99+'23'!H99</f>
        <v>3.0214675364643879</v>
      </c>
      <c r="I99" s="168"/>
      <c r="J99" s="175">
        <f>H99/DAY(B2)</f>
        <v>0.12589448068601616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2899.9800000000469</v>
      </c>
      <c r="H100" s="99">
        <f>G100+'23'!H100</f>
        <v>63373.980000000047</v>
      </c>
      <c r="I100" s="118"/>
      <c r="J100" s="175">
        <f>H100/DAY(B2)</f>
        <v>2640.5825000000018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0.12116211142729734</v>
      </c>
      <c r="H101" s="99">
        <f>G101+'23'!H101</f>
        <v>2.7914157423987782</v>
      </c>
      <c r="I101" s="168"/>
      <c r="J101" s="175">
        <f>H101/DAY(B2)</f>
        <v>0.11630898926661576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2769.7399999999325</v>
      </c>
      <c r="H102" s="99">
        <f>G102+'23'!H102</f>
        <v>61721.739999999932</v>
      </c>
      <c r="I102" s="168"/>
      <c r="J102" s="175">
        <f>H102/DAY(B2)</f>
        <v>2571.739166666664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0.11572064169567683</v>
      </c>
      <c r="H103" s="99">
        <f>G103+'23'!H103</f>
        <v>2.7090694875074606</v>
      </c>
      <c r="I103" s="118"/>
      <c r="J103" s="175">
        <f>H103/DAY(B2)</f>
        <v>0.11287789531281085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1529.9099999999744</v>
      </c>
      <c r="H104" s="99">
        <f>G104+'23'!H104</f>
        <v>34498.909999999974</v>
      </c>
      <c r="I104" s="118"/>
      <c r="J104" s="175">
        <f>H104/DAY(B2)</f>
        <v>1437.4545833333323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6.3920139412592628E-2</v>
      </c>
      <c r="H105" s="99">
        <f>G105+'23'!H105</f>
        <v>1.5208960887296343</v>
      </c>
      <c r="I105" s="187"/>
      <c r="J105" s="188">
        <f>H105/DAY(B2)</f>
        <v>6.3370670363734768E-2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'23'!F112</f>
        <v>20805</v>
      </c>
      <c r="F112" s="237">
        <v>20868.939999999999</v>
      </c>
      <c r="G112" s="112">
        <f t="shared" ref="G112:G123" si="9">F112-E112</f>
        <v>63.93999999999869</v>
      </c>
      <c r="H112" s="99">
        <f>G112+'23'!H112</f>
        <v>1471.9399999999987</v>
      </c>
      <c r="I112" s="165"/>
      <c r="J112" s="328">
        <f>H112/DAY(B2)</f>
        <v>61.330833333333281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'23'!F113</f>
        <v>44872</v>
      </c>
      <c r="F113" s="237">
        <v>45021.2</v>
      </c>
      <c r="G113" s="112">
        <f t="shared" si="9"/>
        <v>149.19999999999709</v>
      </c>
      <c r="H113" s="99">
        <f>G113+'23'!H113</f>
        <v>3501.25</v>
      </c>
      <c r="I113" s="165"/>
      <c r="J113" s="328">
        <f>H113/DAY(B2)</f>
        <v>145.88541666666666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'23'!F114</f>
        <v>66410</v>
      </c>
      <c r="F114" s="237">
        <v>66639.66</v>
      </c>
      <c r="G114" s="112">
        <f t="shared" si="9"/>
        <v>229.66000000000349</v>
      </c>
      <c r="H114" s="99">
        <f>G114+'23'!H114</f>
        <v>5421.6600000000035</v>
      </c>
      <c r="I114" s="165"/>
      <c r="J114" s="328">
        <f>H114/DAY(B2)</f>
        <v>225.90250000000015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'23'!F115</f>
        <v>42765</v>
      </c>
      <c r="F115" s="237">
        <v>42908.99</v>
      </c>
      <c r="G115" s="112">
        <f t="shared" si="9"/>
        <v>143.98999999999796</v>
      </c>
      <c r="H115" s="99">
        <f>G115+'23'!H115</f>
        <v>3449.989999999998</v>
      </c>
      <c r="I115" s="165"/>
      <c r="J115" s="328">
        <f>H115/DAY(B2)</f>
        <v>143.74958333333325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'23'!F116</f>
        <v>158016</v>
      </c>
      <c r="F116" s="416">
        <v>158332.56</v>
      </c>
      <c r="G116" s="112">
        <f t="shared" si="9"/>
        <v>316.55999999999767</v>
      </c>
      <c r="H116" s="99">
        <f>G116+'23'!H116</f>
        <v>10402.559999999998</v>
      </c>
      <c r="I116" s="165"/>
      <c r="J116" s="328">
        <f>H116/DAY(B2)</f>
        <v>433.43999999999988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'23'!F117</f>
        <v>97694</v>
      </c>
      <c r="F117" s="237">
        <v>97991.59</v>
      </c>
      <c r="G117" s="112">
        <f t="shared" si="9"/>
        <v>297.58999999999651</v>
      </c>
      <c r="H117" s="99">
        <f>G117+'23'!H117</f>
        <v>6002.1909999999916</v>
      </c>
      <c r="I117" s="165"/>
      <c r="J117" s="328">
        <f>H117/DAY(B2)</f>
        <v>250.09129166666631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'23'!F118</f>
        <v>193776</v>
      </c>
      <c r="F118" s="237">
        <v>194472.43</v>
      </c>
      <c r="G118" s="112">
        <f t="shared" si="9"/>
        <v>696.42999999999302</v>
      </c>
      <c r="H118" s="99">
        <f>G118+'23'!H118</f>
        <v>16939.899999999994</v>
      </c>
      <c r="I118" s="165"/>
      <c r="J118" s="328">
        <f>H118/DAY(B2)</f>
        <v>705.82916666666642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'23'!F119</f>
        <v>46540</v>
      </c>
      <c r="F119" s="237">
        <v>46614.61</v>
      </c>
      <c r="G119" s="112">
        <f t="shared" si="9"/>
        <v>74.610000000000582</v>
      </c>
      <c r="H119" s="99">
        <f>G119+'23'!H119</f>
        <v>1421.6100000000006</v>
      </c>
      <c r="I119" s="165"/>
      <c r="J119" s="328">
        <f>H119/DAY(B2)</f>
        <v>59.233750000000022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'23'!F120</f>
        <v>129411</v>
      </c>
      <c r="F120" s="237">
        <v>129819.67</v>
      </c>
      <c r="G120" s="112">
        <f t="shared" si="9"/>
        <v>408.66999999999825</v>
      </c>
      <c r="H120" s="99">
        <f>G120+'23'!H120</f>
        <v>9375.6699999999983</v>
      </c>
      <c r="I120" s="165"/>
      <c r="J120" s="328">
        <f>H120/DAY(B2)</f>
        <v>390.65291666666661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'23'!F121</f>
        <v>144635</v>
      </c>
      <c r="F121" s="237">
        <v>145072.25</v>
      </c>
      <c r="G121" s="112">
        <f t="shared" si="9"/>
        <v>437.25</v>
      </c>
      <c r="H121" s="99">
        <f>G121+'23'!H121</f>
        <v>10509.25</v>
      </c>
      <c r="I121" s="165"/>
      <c r="J121" s="328">
        <f>H121/DAY(B2)</f>
        <v>437.88541666666669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'23'!F122</f>
        <v>97865</v>
      </c>
      <c r="F122" s="237">
        <v>98176.63</v>
      </c>
      <c r="G122" s="112">
        <f t="shared" si="9"/>
        <v>311.63000000000466</v>
      </c>
      <c r="H122" s="99">
        <f>G122+'23'!H122</f>
        <v>7299.6300000000047</v>
      </c>
      <c r="I122" s="165"/>
      <c r="J122" s="328">
        <f>H122/DAY(B2)</f>
        <v>304.15125000000018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'23'!F123</f>
        <v>94678</v>
      </c>
      <c r="F123" s="237">
        <v>94993.72</v>
      </c>
      <c r="G123" s="112">
        <f t="shared" si="9"/>
        <v>315.72000000000116</v>
      </c>
      <c r="H123" s="99">
        <f>G123+'23'!H123</f>
        <v>7414.7200000000012</v>
      </c>
      <c r="I123" s="165"/>
      <c r="J123" s="328">
        <f>H123/DAY(B2)</f>
        <v>308.94666666666672</v>
      </c>
    </row>
    <row r="124" spans="1:18" ht="29.25" customHeight="1">
      <c r="A124" s="887"/>
      <c r="B124" s="888"/>
      <c r="C124" s="88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3445.2499999999891</v>
      </c>
      <c r="H125" s="156"/>
      <c r="I125" s="327">
        <f>G125-(G39+G53)</f>
        <v>592.57999999994718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'23'!F128</f>
        <v>218322</v>
      </c>
      <c r="F128" s="165">
        <v>218760.93</v>
      </c>
      <c r="G128" s="112">
        <f t="shared" ref="G128:G134" si="10">F128-E128</f>
        <v>438.92999999999302</v>
      </c>
      <c r="H128" s="99">
        <f>G128+'23'!H128</f>
        <v>11471.929999999993</v>
      </c>
      <c r="I128" s="165"/>
      <c r="J128" s="328">
        <f>H128/DAY(B2)</f>
        <v>477.99708333333302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3307</v>
      </c>
      <c r="F129" s="165">
        <v>3449.25</v>
      </c>
      <c r="G129" s="112">
        <f t="shared" si="10"/>
        <v>142.25</v>
      </c>
      <c r="H129" s="99">
        <f>G129+'23'!H129</f>
        <v>2715.25</v>
      </c>
      <c r="I129" s="165"/>
      <c r="J129" s="328">
        <f>H129/DAY(B2)</f>
        <v>113.13541666666667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302405</v>
      </c>
      <c r="F130" s="165">
        <v>303102.99</v>
      </c>
      <c r="G130" s="112">
        <f t="shared" si="10"/>
        <v>697.98999999999069</v>
      </c>
      <c r="H130" s="99">
        <f>G130+'23'!H130</f>
        <v>14380.989999999991</v>
      </c>
      <c r="I130" s="165"/>
      <c r="J130" s="328">
        <f>H130/DAY(B2)</f>
        <v>599.20791666666628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'23'!F131</f>
        <v>89331</v>
      </c>
      <c r="F131" s="165">
        <v>89510.22</v>
      </c>
      <c r="G131" s="112">
        <f t="shared" si="10"/>
        <v>179.22000000000116</v>
      </c>
      <c r="H131" s="99">
        <f>G131+'23'!H131</f>
        <v>4806.3899999999994</v>
      </c>
      <c r="I131" s="165"/>
      <c r="J131" s="328">
        <f>H131/DAY(B2)</f>
        <v>200.26624999999999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'23'!F132</f>
        <v>74645</v>
      </c>
      <c r="F132" s="165">
        <v>75046.5</v>
      </c>
      <c r="G132" s="112">
        <f t="shared" si="10"/>
        <v>401.5</v>
      </c>
      <c r="H132" s="99">
        <f>G132+'23'!H132</f>
        <v>7599.5</v>
      </c>
      <c r="I132" s="165"/>
      <c r="J132" s="328">
        <f>H132/DAY(B2)</f>
        <v>316.64583333333331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v>965393</v>
      </c>
      <c r="F133" s="165">
        <v>966176</v>
      </c>
      <c r="G133" s="112">
        <f t="shared" si="10"/>
        <v>783</v>
      </c>
      <c r="H133" s="99">
        <f>G133+'23'!H133</f>
        <v>11203</v>
      </c>
      <c r="I133" s="165"/>
      <c r="J133" s="328">
        <f>H133/DAY(B2)</f>
        <v>466.79166666666669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'23'!F134</f>
        <v>99144</v>
      </c>
      <c r="F134" s="158">
        <v>99397.55</v>
      </c>
      <c r="G134" s="112">
        <f t="shared" si="10"/>
        <v>253.55000000000291</v>
      </c>
      <c r="H134" s="99">
        <f>G134+'23'!H134</f>
        <v>8715.86</v>
      </c>
      <c r="I134" s="165"/>
      <c r="J134" s="328">
        <f>H134/DAY(B2)</f>
        <v>363.16083333333336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2896.4399999999878</v>
      </c>
      <c r="H135" s="99">
        <f>G135+'23'!H135</f>
        <v>29131.219999999943</v>
      </c>
      <c r="I135" s="327">
        <f>G135-(G35+G49)</f>
        <v>-537.7800000001007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'23'!F138</f>
        <v>915793</v>
      </c>
      <c r="F138" s="147">
        <v>915961</v>
      </c>
      <c r="G138" s="112">
        <f t="shared" ref="G138:G152" si="11">F138-E138</f>
        <v>168</v>
      </c>
      <c r="H138" s="99">
        <f>G138+'23'!H138</f>
        <v>6560</v>
      </c>
      <c r="I138" s="118"/>
      <c r="J138" s="328">
        <f>H138/DAY(B2)</f>
        <v>273.33333333333331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'23'!F139</f>
        <v>940716</v>
      </c>
      <c r="F139" s="148">
        <v>940873</v>
      </c>
      <c r="G139" s="112">
        <f t="shared" si="11"/>
        <v>157</v>
      </c>
      <c r="H139" s="99">
        <f>G139+'23'!H139</f>
        <v>3615</v>
      </c>
      <c r="I139" s="118"/>
      <c r="J139" s="328">
        <f>H139/DAY(B2)</f>
        <v>150.625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'23'!F140</f>
        <v>5514</v>
      </c>
      <c r="F140" s="149">
        <v>5549.7</v>
      </c>
      <c r="G140" s="112">
        <f t="shared" si="11"/>
        <v>35.699999999999818</v>
      </c>
      <c r="H140" s="99">
        <f>G140+'23'!H140</f>
        <v>785.69999999999982</v>
      </c>
      <c r="I140" s="118"/>
      <c r="J140" s="328">
        <f>H140/DAY(B2)</f>
        <v>32.73749999999999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'23'!F141</f>
        <v>137179</v>
      </c>
      <c r="F141" s="149">
        <v>137475.72</v>
      </c>
      <c r="G141" s="112">
        <f t="shared" si="11"/>
        <v>296.72000000000116</v>
      </c>
      <c r="H141" s="99">
        <f>G141+'23'!H141</f>
        <v>6155.7200000000012</v>
      </c>
      <c r="I141" s="118"/>
      <c r="J141" s="328">
        <f>H141/DAY(B2)</f>
        <v>256.4883333333334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'23'!F142</f>
        <v>55299</v>
      </c>
      <c r="F142" s="148">
        <v>55409.33</v>
      </c>
      <c r="G142" s="112">
        <f t="shared" si="11"/>
        <v>110.33000000000175</v>
      </c>
      <c r="H142" s="99">
        <f>G142+'23'!H142</f>
        <v>2218.3300000000017</v>
      </c>
      <c r="I142" s="140"/>
      <c r="J142" s="328">
        <f>H142/DAY(B2)</f>
        <v>92.430416666666744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'23'!F143</f>
        <v>15063</v>
      </c>
      <c r="F143" s="149">
        <v>15093.41</v>
      </c>
      <c r="G143" s="112">
        <f t="shared" si="11"/>
        <v>30.409999999999854</v>
      </c>
      <c r="H143" s="99">
        <f>G143+'23'!H143</f>
        <v>781.40999999999985</v>
      </c>
      <c r="I143" s="140"/>
      <c r="J143" s="328">
        <f>H143/DAY(B2)</f>
        <v>32.558749999999996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'23'!F144</f>
        <v>969058</v>
      </c>
      <c r="F144" s="149">
        <v>969315</v>
      </c>
      <c r="G144" s="112">
        <f t="shared" si="11"/>
        <v>257</v>
      </c>
      <c r="H144" s="99">
        <f>G144+'23'!H144</f>
        <v>6089</v>
      </c>
      <c r="I144" s="140"/>
      <c r="J144" s="328">
        <f>H144/DAY(B2)</f>
        <v>253.70833333333334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'23'!F145</f>
        <v>755663</v>
      </c>
      <c r="F145" s="149">
        <v>755885</v>
      </c>
      <c r="G145" s="112">
        <f t="shared" si="11"/>
        <v>222</v>
      </c>
      <c r="H145" s="99">
        <f>G145+'23'!H145</f>
        <v>5152</v>
      </c>
      <c r="I145" s="140"/>
      <c r="J145" s="328">
        <f>H145/DAY(B2)</f>
        <v>214.66666666666666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'23'!F146</f>
        <v>789900</v>
      </c>
      <c r="F146" s="148">
        <v>789930</v>
      </c>
      <c r="G146" s="112">
        <f t="shared" si="11"/>
        <v>30</v>
      </c>
      <c r="H146" s="99">
        <f>G146+'23'!H146</f>
        <v>905</v>
      </c>
      <c r="I146" s="140"/>
      <c r="J146" s="328">
        <f>H146/DAY(B2)</f>
        <v>37.708333333333336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'23'!F147</f>
        <v>780599</v>
      </c>
      <c r="F147" s="148">
        <v>780991</v>
      </c>
      <c r="G147" s="112">
        <f t="shared" si="11"/>
        <v>392</v>
      </c>
      <c r="H147" s="99">
        <f>G147+'23'!H147</f>
        <v>9334.1199999999953</v>
      </c>
      <c r="I147" s="140"/>
      <c r="J147" s="328">
        <f>H147/DAY(B2)</f>
        <v>388.92166666666645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'23'!F148</f>
        <v>815323</v>
      </c>
      <c r="F148" s="150">
        <v>815795.84</v>
      </c>
      <c r="G148" s="112">
        <f t="shared" si="11"/>
        <v>472.8399999999674</v>
      </c>
      <c r="H148" s="99">
        <f>G148+'23'!H148</f>
        <v>8975.5999999999767</v>
      </c>
      <c r="I148" s="124"/>
      <c r="J148" s="328">
        <f>H148/DAY(B2)</f>
        <v>373.98333333333238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'23'!F149</f>
        <v>227858</v>
      </c>
      <c r="F149" s="146">
        <v>228481.01</v>
      </c>
      <c r="G149" s="112">
        <f t="shared" si="11"/>
        <v>623.01000000000931</v>
      </c>
      <c r="H149" s="99">
        <f>G149+'23'!H149</f>
        <v>11585.010000000009</v>
      </c>
      <c r="I149" s="119"/>
      <c r="J149" s="328">
        <f>H149/DAY(B2)</f>
        <v>482.70875000000041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'23'!F150</f>
        <v>97550</v>
      </c>
      <c r="F150" s="233">
        <v>97777.58</v>
      </c>
      <c r="G150" s="112">
        <f t="shared" si="11"/>
        <v>227.58000000000175</v>
      </c>
      <c r="H150" s="99">
        <f>G150+'23'!H150</f>
        <v>5666.7799999999988</v>
      </c>
      <c r="I150" s="119"/>
      <c r="J150" s="328">
        <f>H150/DAY(B2)</f>
        <v>236.11583333333328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'23'!F151</f>
        <v>184176</v>
      </c>
      <c r="F151" s="233">
        <v>184473</v>
      </c>
      <c r="G151" s="112">
        <f t="shared" si="11"/>
        <v>297</v>
      </c>
      <c r="H151" s="99">
        <f>G151+'23'!H151</f>
        <v>8298</v>
      </c>
      <c r="I151" s="119"/>
      <c r="J151" s="328">
        <f>H151/DAY(B2)</f>
        <v>345.75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'23'!F152</f>
        <v>49639</v>
      </c>
      <c r="F152" s="233">
        <v>49769.87</v>
      </c>
      <c r="G152" s="112">
        <f t="shared" si="11"/>
        <v>130.87000000000262</v>
      </c>
      <c r="H152" s="99">
        <f>G152+'23'!H152</f>
        <v>3137.8700000000026</v>
      </c>
      <c r="I152" s="119"/>
      <c r="J152" s="328">
        <f>H152/DAY(B2)</f>
        <v>130.74458333333345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3450.4599999999837</v>
      </c>
      <c r="H153" s="363"/>
      <c r="I153" s="119">
        <f>G153-(G38+G52)</f>
        <v>550.47999999993681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'23'!F155</f>
        <v>268987</v>
      </c>
      <c r="F155" s="555">
        <v>269568.45</v>
      </c>
      <c r="G155" s="112">
        <f t="shared" ref="G155:G158" si="12">F155-E155</f>
        <v>581.45000000001164</v>
      </c>
      <c r="H155" s="99">
        <f>G155+'23'!H155</f>
        <v>13216.450000000012</v>
      </c>
      <c r="I155" s="364"/>
      <c r="J155" s="328">
        <f>H155/DAY(B2)</f>
        <v>550.68541666666715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'23'!F156</f>
        <v>34749</v>
      </c>
      <c r="F156" s="155">
        <v>34846.26</v>
      </c>
      <c r="G156" s="112">
        <f t="shared" si="12"/>
        <v>97.260000000002037</v>
      </c>
      <c r="H156" s="99">
        <f>G156+'23'!H156</f>
        <v>2287.260000000002</v>
      </c>
      <c r="I156" s="165"/>
      <c r="J156" s="328">
        <f>H156/DAY(B2)</f>
        <v>95.30250000000008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'23'!F157</f>
        <v>3780</v>
      </c>
      <c r="F157" s="155">
        <v>3922.86</v>
      </c>
      <c r="G157" s="112">
        <f t="shared" si="12"/>
        <v>142.86000000000013</v>
      </c>
      <c r="H157" s="99">
        <f>G157+'23'!H157</f>
        <v>681.86000000000013</v>
      </c>
      <c r="I157" s="165"/>
      <c r="J157" s="328"/>
    </row>
    <row r="158" spans="1:10" ht="25.5">
      <c r="A158" s="866" t="s">
        <v>360</v>
      </c>
      <c r="B158" s="867"/>
      <c r="C158" s="868"/>
      <c r="D158" s="117" t="s">
        <v>130</v>
      </c>
      <c r="E158" s="95">
        <f>'23'!F158</f>
        <v>1820</v>
      </c>
      <c r="F158" s="155">
        <v>1828.57</v>
      </c>
      <c r="G158" s="112">
        <f t="shared" si="12"/>
        <v>8.5699999999999363</v>
      </c>
      <c r="H158" s="99">
        <f>G158+'23'!H158</f>
        <v>37.730000000000018</v>
      </c>
      <c r="I158" s="165"/>
      <c r="J158" s="328"/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516109</v>
      </c>
      <c r="F161" s="235">
        <v>516298.64</v>
      </c>
      <c r="G161" s="238">
        <f t="shared" ref="G161:G165" si="13">F161-E161</f>
        <v>189.64000000001397</v>
      </c>
      <c r="H161" s="99">
        <f>G161+'23'!H161</f>
        <v>3853.640000000014</v>
      </c>
      <c r="I161" s="236"/>
      <c r="J161" s="239">
        <f>H161/DAY(B2)</f>
        <v>160.56833333333392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2751</v>
      </c>
      <c r="F162" s="235">
        <v>2793.8</v>
      </c>
      <c r="G162" s="238">
        <f t="shared" si="13"/>
        <v>42.800000000000182</v>
      </c>
      <c r="H162" s="99">
        <f>G162+'23'!H162</f>
        <v>1033.8000000000002</v>
      </c>
      <c r="I162" s="236"/>
      <c r="J162" s="239">
        <f>H162/DAY(B2)</f>
        <v>43.07500000000001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0</v>
      </c>
      <c r="F163" s="235">
        <v>0</v>
      </c>
      <c r="G163" s="238">
        <f t="shared" si="13"/>
        <v>0</v>
      </c>
      <c r="H163" s="99">
        <f>G163+'23'!H163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7399</v>
      </c>
      <c r="F164" s="235">
        <v>7400</v>
      </c>
      <c r="G164" s="238">
        <f t="shared" si="13"/>
        <v>1</v>
      </c>
      <c r="H164" s="99">
        <f>G164+'23'!H164</f>
        <v>63</v>
      </c>
      <c r="I164" s="236"/>
      <c r="J164" s="239">
        <f>H164/DAY(B2)</f>
        <v>2.625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33135</v>
      </c>
      <c r="F165" s="235">
        <v>33142.53</v>
      </c>
      <c r="G165" s="238">
        <f t="shared" si="13"/>
        <v>7.5299999999988358</v>
      </c>
      <c r="H165" s="99">
        <f>G165+'23'!H165</f>
        <v>168.01000000000204</v>
      </c>
      <c r="I165" s="236"/>
      <c r="J165" s="239">
        <f>H165/DAY(B2)</f>
        <v>7.0004166666667516</v>
      </c>
    </row>
    <row r="166" spans="1:10" ht="26.25">
      <c r="A166" s="872"/>
      <c r="B166" s="87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1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790" t="s">
        <v>209</v>
      </c>
      <c r="B173" s="791"/>
      <c r="C173" s="333"/>
      <c r="D173" s="228" t="s">
        <v>142</v>
      </c>
      <c r="E173" s="95">
        <f>'23'!F173</f>
        <v>8604</v>
      </c>
      <c r="F173" s="155">
        <v>8608</v>
      </c>
      <c r="G173" s="155">
        <f>F173-E173</f>
        <v>4</v>
      </c>
      <c r="H173" s="99">
        <f>G173+'23'!H173</f>
        <v>26</v>
      </c>
      <c r="I173" s="155"/>
      <c r="J173" s="178">
        <f>H173/DAY(B2)</f>
        <v>1.0833333333333333</v>
      </c>
    </row>
    <row r="174" spans="1:10" ht="27" customHeight="1">
      <c r="A174" s="790" t="s">
        <v>75</v>
      </c>
      <c r="B174" s="791"/>
      <c r="C174" s="333"/>
      <c r="D174" s="228" t="s">
        <v>142</v>
      </c>
      <c r="E174" s="95">
        <f>'23'!F174</f>
        <v>43645</v>
      </c>
      <c r="F174" s="157">
        <v>43654</v>
      </c>
      <c r="G174" s="155">
        <f t="shared" ref="G174:G175" si="14">F174-E174</f>
        <v>9</v>
      </c>
      <c r="H174" s="99">
        <f>G174+'23'!H174</f>
        <v>240</v>
      </c>
      <c r="I174" s="155"/>
      <c r="J174" s="178">
        <f>H174/DAY(B2)</f>
        <v>10</v>
      </c>
    </row>
    <row r="175" spans="1:10" ht="27" customHeight="1">
      <c r="A175" s="790" t="s">
        <v>76</v>
      </c>
      <c r="B175" s="803"/>
      <c r="C175" s="791"/>
      <c r="D175" s="228" t="s">
        <v>142</v>
      </c>
      <c r="E175" s="95">
        <f>'23'!F175</f>
        <v>26599</v>
      </c>
      <c r="F175" s="155">
        <v>26612</v>
      </c>
      <c r="G175" s="155">
        <f t="shared" si="14"/>
        <v>13</v>
      </c>
      <c r="H175" s="99">
        <f>G175+'23'!H175</f>
        <v>325</v>
      </c>
      <c r="I175" s="155"/>
      <c r="J175" s="178">
        <f>H175/DAY(B2)</f>
        <v>13.541666666666666</v>
      </c>
    </row>
    <row r="176" spans="1:10" ht="21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G176+'23'!H176</f>
        <v>591</v>
      </c>
      <c r="I176" s="155"/>
      <c r="J176" s="178">
        <f>H176/DAY(B2)</f>
        <v>24.625</v>
      </c>
    </row>
    <row r="177" spans="1:10" ht="21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'23'!F178</f>
        <v>112732</v>
      </c>
      <c r="F178" s="155">
        <v>112780</v>
      </c>
      <c r="G178" s="155">
        <f>F178-E178</f>
        <v>48</v>
      </c>
      <c r="H178" s="99">
        <f>G178+'23'!H178</f>
        <v>2389</v>
      </c>
      <c r="I178" s="155"/>
      <c r="J178" s="178">
        <f>H178/DAY(B2)</f>
        <v>99.541666666666671</v>
      </c>
    </row>
    <row r="179" spans="1:10" ht="24" customHeight="1">
      <c r="A179" s="790" t="s">
        <v>211</v>
      </c>
      <c r="B179" s="791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'23'!F180</f>
        <v>7794</v>
      </c>
      <c r="F180" s="155">
        <v>7803</v>
      </c>
      <c r="G180" s="155">
        <f t="shared" si="15"/>
        <v>9</v>
      </c>
      <c r="H180" s="99">
        <f>G180+'23'!H180</f>
        <v>102</v>
      </c>
      <c r="I180" s="155"/>
      <c r="J180" s="178">
        <f>H180/DAY(B2)</f>
        <v>4.25</v>
      </c>
    </row>
    <row r="181" spans="1:10" ht="25.5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57</v>
      </c>
      <c r="H181" s="99">
        <f>G181+'23'!H181</f>
        <v>2491</v>
      </c>
      <c r="I181" s="155"/>
      <c r="J181" s="178">
        <f>H181/DAY(B2)</f>
        <v>103.79166666666667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'23'!F183</f>
        <v>18867</v>
      </c>
      <c r="F183" s="157">
        <v>18873</v>
      </c>
      <c r="G183" s="157">
        <f>F183-E183</f>
        <v>6</v>
      </c>
      <c r="H183" s="99">
        <f>G183+'23'!H183</f>
        <v>181</v>
      </c>
      <c r="I183" s="155"/>
      <c r="J183" s="178">
        <f>H183/DAY(B2)</f>
        <v>7.541666666666667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'23'!F184</f>
        <v>13421</v>
      </c>
      <c r="F184" s="157">
        <v>13433</v>
      </c>
      <c r="G184" s="157">
        <f t="shared" ref="G184:G185" si="16">F184-E184</f>
        <v>12</v>
      </c>
      <c r="H184" s="99">
        <f>G184+'23'!H184</f>
        <v>187</v>
      </c>
      <c r="I184" s="155"/>
      <c r="J184" s="178">
        <f>H184/DAY(B2)</f>
        <v>7.791666666666667</v>
      </c>
    </row>
    <row r="185" spans="1:10" ht="26.25" customHeight="1">
      <c r="A185" s="790" t="s">
        <v>216</v>
      </c>
      <c r="B185" s="791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18</v>
      </c>
      <c r="H186" s="99">
        <f>G186+'23'!H186</f>
        <v>368</v>
      </c>
      <c r="I186" s="157"/>
      <c r="J186" s="178">
        <f>H186/DAY(B2)</f>
        <v>15.333333333333334</v>
      </c>
    </row>
    <row r="187" spans="1:10" ht="25.5">
      <c r="A187" s="869" t="s">
        <v>217</v>
      </c>
      <c r="B187" s="870"/>
      <c r="C187" s="333"/>
      <c r="D187" s="230" t="s">
        <v>142</v>
      </c>
      <c r="E187" s="95">
        <f>'23'!F187</f>
        <v>0</v>
      </c>
      <c r="F187" s="159"/>
      <c r="G187" s="377">
        <f>G62+G19</f>
        <v>178</v>
      </c>
      <c r="H187" s="99">
        <f>G187+'23'!H187</f>
        <v>3251</v>
      </c>
      <c r="I187" s="158"/>
      <c r="J187" s="179">
        <f>H187/DAY(B2)</f>
        <v>135.45833333333334</v>
      </c>
    </row>
    <row r="188" spans="1:10" ht="25.5">
      <c r="A188" s="869" t="s">
        <v>218</v>
      </c>
      <c r="B188" s="870"/>
      <c r="C188" s="333"/>
      <c r="D188" s="230" t="s">
        <v>142</v>
      </c>
      <c r="E188" s="95">
        <f>'23'!F188</f>
        <v>0</v>
      </c>
      <c r="F188" s="159"/>
      <c r="G188" s="377">
        <f>G65+G66+G67+G69+G70</f>
        <v>246</v>
      </c>
      <c r="H188" s="99">
        <f>G188+'23'!H188</f>
        <v>2030</v>
      </c>
      <c r="I188" s="158"/>
      <c r="J188" s="179">
        <f>H188/DAY(B2)</f>
        <v>84.583333333333329</v>
      </c>
    </row>
    <row r="189" spans="1:10" ht="25.5">
      <c r="A189" s="869" t="s">
        <v>219</v>
      </c>
      <c r="B189" s="870"/>
      <c r="C189" s="333"/>
      <c r="D189" s="230" t="s">
        <v>142</v>
      </c>
      <c r="E189" s="95">
        <f>'23'!F189</f>
        <v>0</v>
      </c>
      <c r="F189" s="157"/>
      <c r="G189" s="376">
        <f>G181</f>
        <v>57</v>
      </c>
      <c r="H189" s="99">
        <f>G189+'23'!H189</f>
        <v>520</v>
      </c>
      <c r="I189" s="158"/>
      <c r="J189" s="179">
        <f>H189/DAY(B2)</f>
        <v>21.666666666666668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0" zoomScale="55" zoomScaleNormal="49" zoomScaleSheetLayoutView="55" workbookViewId="0">
      <selection activeCell="F69" sqref="F6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354</v>
      </c>
      <c r="B2" s="262">
        <v>44982</v>
      </c>
      <c r="C2" s="348" t="s">
        <v>67</v>
      </c>
      <c r="D2" s="218">
        <v>0.3861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168560.71</v>
      </c>
      <c r="F7" s="95">
        <v>190481.79</v>
      </c>
      <c r="G7" s="112">
        <f>F7-E7</f>
        <v>21921.080000000016</v>
      </c>
      <c r="H7" s="99">
        <f>G7+'24'!H7</f>
        <v>567114.79</v>
      </c>
      <c r="I7" s="113">
        <f>'1'!I7</f>
        <v>12000</v>
      </c>
      <c r="J7" s="175">
        <f>H7/DAY(B2)</f>
        <v>22684.5916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374104.63</v>
      </c>
      <c r="F8" s="114">
        <v>396501.59</v>
      </c>
      <c r="G8" s="115">
        <f>F8-E8</f>
        <v>22396.960000000021</v>
      </c>
      <c r="H8" s="99">
        <f>G8+'24'!H8</f>
        <v>580391.59000000008</v>
      </c>
      <c r="I8" s="116"/>
      <c r="J8" s="175">
        <f>H8/DAY(B2)</f>
        <v>23215.663600000003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5137184.7</v>
      </c>
      <c r="F9" s="468">
        <v>5149334.3</v>
      </c>
      <c r="G9" s="112">
        <f>F9-E9</f>
        <v>12149.599999999627</v>
      </c>
      <c r="H9" s="99">
        <f>G9+'24'!H9</f>
        <v>324235.29999999981</v>
      </c>
      <c r="I9" s="124">
        <f>I7-J7</f>
        <v>-10684.5916</v>
      </c>
      <c r="J9" s="175">
        <f>H9/DAY(B2)</f>
        <v>12969.411999999993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4509966.7</v>
      </c>
      <c r="F10" s="353">
        <v>4519158.3</v>
      </c>
      <c r="G10" s="112">
        <f t="shared" ref="G10:G12" si="0">F10-E10</f>
        <v>9191.5999999996275</v>
      </c>
      <c r="H10" s="99">
        <f>G10+'24'!H10</f>
        <v>228624.29999999981</v>
      </c>
      <c r="I10" s="282"/>
      <c r="J10" s="175">
        <f>H10/DAY(B2)</f>
        <v>9144.9719999999925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38700</v>
      </c>
      <c r="F11" s="95">
        <v>38700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40550</v>
      </c>
      <c r="F12" s="117">
        <v>40550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21341.199999999255</v>
      </c>
      <c r="H13" s="99">
        <f>G13+'24'!H13</f>
        <v>552859.59999999963</v>
      </c>
      <c r="I13" s="120">
        <f>G7-G13</f>
        <v>579.88000000076136</v>
      </c>
      <c r="J13" s="175">
        <f>H13/DAY(B2)</f>
        <v>22114.383999999984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2315054</v>
      </c>
      <c r="F15" s="468">
        <v>2316233</v>
      </c>
      <c r="G15" s="112">
        <f>(F15-E15)</f>
        <v>1179</v>
      </c>
      <c r="H15" s="99">
        <f>G15+'24'!H15</f>
        <v>27759.285000000149</v>
      </c>
      <c r="I15" s="113">
        <f>'1'!I15</f>
        <v>800</v>
      </c>
      <c r="J15" s="175">
        <f>H15/DAY(B2)</f>
        <v>1110.3714000000059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-310.37140000000591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'24'!F18</f>
        <v>39</v>
      </c>
      <c r="F18" s="122">
        <v>32</v>
      </c>
      <c r="G18" s="119">
        <f>F18*10</f>
        <v>320</v>
      </c>
      <c r="H18" s="99">
        <f>G18+'24'!H18</f>
        <v>4860</v>
      </c>
      <c r="I18" s="113">
        <f>'1'!I18</f>
        <v>65</v>
      </c>
      <c r="J18" s="175">
        <f>H18/DAY(B2)</f>
        <v>194.4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'24'!F19</f>
        <v>172581</v>
      </c>
      <c r="F19" s="122">
        <v>172632</v>
      </c>
      <c r="G19" s="112">
        <f t="shared" ref="G19" si="1">F19-E19</f>
        <v>51</v>
      </c>
      <c r="H19" s="99">
        <f>G19+'24'!H19</f>
        <v>1309</v>
      </c>
      <c r="I19" s="335"/>
      <c r="J19" s="175">
        <f>H19/DAY(B2)</f>
        <v>52.36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371</v>
      </c>
      <c r="H20" s="99">
        <f>G20+'24'!H20</f>
        <v>6169</v>
      </c>
      <c r="I20" s="336">
        <f>I18-J20</f>
        <v>-181.76</v>
      </c>
      <c r="J20" s="175">
        <f>H20/DAY(B2)</f>
        <v>246.76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1860</v>
      </c>
      <c r="F23" s="122">
        <v>1860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4830</v>
      </c>
      <c r="F24" s="128">
        <v>4830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22396.960000000021</v>
      </c>
      <c r="F27" s="136">
        <v>10</v>
      </c>
      <c r="G27" s="137">
        <f>E27*F27</f>
        <v>223969.60000000021</v>
      </c>
      <c r="H27" s="99">
        <f>G27+'24'!H27</f>
        <v>5803915.9000000004</v>
      </c>
      <c r="I27" s="138"/>
      <c r="J27" s="175">
        <f>H27/DAY(B2)</f>
        <v>232156.63600000003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1179</v>
      </c>
      <c r="F28" s="136">
        <v>63</v>
      </c>
      <c r="G28" s="137">
        <f>E28*F28</f>
        <v>74277</v>
      </c>
      <c r="H28" s="99">
        <f>G28+'24'!H28</f>
        <v>1768256.4100000104</v>
      </c>
      <c r="I28" s="140"/>
      <c r="J28" s="175">
        <f>H28/DAY(B2)</f>
        <v>70730.25640000042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6900</v>
      </c>
      <c r="I29" s="140"/>
      <c r="J29" s="175">
        <f>H29/DAY(B2)</f>
        <v>276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155</v>
      </c>
      <c r="G30" s="137">
        <f>E30*F30</f>
        <v>7905</v>
      </c>
      <c r="H30" s="99">
        <f>G30+'24'!H30</f>
        <v>201575</v>
      </c>
      <c r="I30" s="140"/>
      <c r="J30" s="175">
        <f>H30/DAY(B2)</f>
        <v>8063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320</v>
      </c>
      <c r="F31" s="136">
        <v>88</v>
      </c>
      <c r="G31" s="137">
        <f>E31*F31</f>
        <v>28160</v>
      </c>
      <c r="H31" s="99">
        <f>G31+'24'!H31</f>
        <v>424020</v>
      </c>
      <c r="I31" s="140"/>
      <c r="J31" s="175">
        <f>H31/DAY(B2)</f>
        <v>16960.8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334311.60000000021</v>
      </c>
      <c r="H32" s="99">
        <f>G32+'24'!H32</f>
        <v>8204667.3100000108</v>
      </c>
      <c r="I32" s="144"/>
      <c r="J32" s="175">
        <f>H32/DAY(B2)</f>
        <v>328186.69240000041</v>
      </c>
      <c r="K32" s="63"/>
      <c r="L32" s="89"/>
      <c r="N32" s="87"/>
      <c r="O32" s="71"/>
    </row>
    <row r="33" spans="1:15" ht="25.5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594437.43000000005</v>
      </c>
      <c r="F35" s="145">
        <v>597053.55000000005</v>
      </c>
      <c r="G35" s="112">
        <f t="shared" ref="G35:G46" si="3">F35-E35</f>
        <v>2616.1199999999953</v>
      </c>
      <c r="H35" s="99">
        <f>G35+'24'!H35</f>
        <v>66997.550000000047</v>
      </c>
      <c r="I35" s="95"/>
      <c r="J35" s="175">
        <f>H35/DAY(B2)</f>
        <v>2679.9020000000019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407485.55</v>
      </c>
      <c r="F36" s="145">
        <v>408618.39</v>
      </c>
      <c r="G36" s="112">
        <f t="shared" si="3"/>
        <v>1132.8400000000256</v>
      </c>
      <c r="H36" s="99">
        <f>G36+'24'!H36</f>
        <v>26797.390000000014</v>
      </c>
      <c r="I36" s="95"/>
      <c r="J36" s="175">
        <f>H36/DAY(B2)</f>
        <v>1071.8956000000005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418117.47</v>
      </c>
      <c r="F37" s="145">
        <v>419556.71</v>
      </c>
      <c r="G37" s="112">
        <f t="shared" si="3"/>
        <v>1439.2400000000489</v>
      </c>
      <c r="H37" s="99">
        <f>G37+'24'!H37</f>
        <v>35937.710000000021</v>
      </c>
      <c r="I37" s="95"/>
      <c r="J37" s="175">
        <f>H37/DAY(B2)</f>
        <v>1437.5084000000008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940500.55</v>
      </c>
      <c r="F38" s="108">
        <v>943263.67</v>
      </c>
      <c r="G38" s="112">
        <f t="shared" si="3"/>
        <v>2763.1199999999953</v>
      </c>
      <c r="H38" s="99">
        <f>G38+'24'!H38</f>
        <v>66136.670000000042</v>
      </c>
      <c r="I38" s="95"/>
      <c r="J38" s="175">
        <f>H38/DAY(B2)</f>
        <v>2645.4668000000015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774619.67</v>
      </c>
      <c r="F39" s="145">
        <v>777454.07</v>
      </c>
      <c r="G39" s="112">
        <f t="shared" si="3"/>
        <v>2834.3999999999069</v>
      </c>
      <c r="H39" s="99">
        <f>G39+'24'!H39</f>
        <v>71318.069999999949</v>
      </c>
      <c r="I39" s="95"/>
      <c r="J39" s="175">
        <f>H39/DAY(B2)</f>
        <v>2852.7227999999977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224391.23</v>
      </c>
      <c r="F40" s="145">
        <v>224598.43</v>
      </c>
      <c r="G40" s="112">
        <f t="shared" si="3"/>
        <v>207.19999999998254</v>
      </c>
      <c r="H40" s="99">
        <f>G40+'24'!H40</f>
        <v>6806.429999999993</v>
      </c>
      <c r="I40" s="95"/>
      <c r="J40" s="175">
        <f>H40/DAY(B2)</f>
        <v>272.25719999999973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420212.51</v>
      </c>
      <c r="F41" s="145">
        <v>420212.51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995520.63</v>
      </c>
      <c r="F42" s="145">
        <v>995520.63</v>
      </c>
      <c r="G42" s="112">
        <f t="shared" si="3"/>
        <v>0</v>
      </c>
      <c r="H42" s="99">
        <f>G42+'24'!H42</f>
        <v>22458</v>
      </c>
      <c r="I42" s="95"/>
      <c r="J42" s="175">
        <f>H42/DAY(B2)</f>
        <v>898.32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422444</v>
      </c>
      <c r="F43" s="145">
        <v>422444</v>
      </c>
      <c r="G43" s="112">
        <f t="shared" si="3"/>
        <v>0</v>
      </c>
      <c r="H43" s="99">
        <f>G43+'24'!H43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10992.919999999955</v>
      </c>
      <c r="H47" s="99">
        <f>G47+'24'!H47</f>
        <v>296451.82000000007</v>
      </c>
      <c r="I47" s="95"/>
      <c r="J47" s="175">
        <f>H47/DAY(B2)</f>
        <v>11858.072800000002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835962.79</v>
      </c>
      <c r="F49" s="145">
        <v>836523.99</v>
      </c>
      <c r="G49" s="112">
        <f t="shared" ref="G49:G58" si="4">F49-E49</f>
        <v>561.19999999995343</v>
      </c>
      <c r="H49" s="99">
        <f>G49+'24'!H49</f>
        <v>13611.989999999991</v>
      </c>
      <c r="I49" s="95"/>
      <c r="J49" s="175">
        <f>H49/DAY(B2)</f>
        <v>544.47959999999966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578031.18999999994</v>
      </c>
      <c r="F50" s="145">
        <v>579293.23</v>
      </c>
      <c r="G50" s="112">
        <f t="shared" si="4"/>
        <v>1262.0400000000373</v>
      </c>
      <c r="H50" s="99">
        <f>G50+'24'!H50</f>
        <v>37319.229999999981</v>
      </c>
      <c r="I50" s="95"/>
      <c r="J50" s="175">
        <f>H50/DAY(B2)</f>
        <v>1492.7691999999993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156958.44</v>
      </c>
      <c r="F51" s="145">
        <v>156958.44</v>
      </c>
      <c r="G51" s="112">
        <f t="shared" si="4"/>
        <v>0</v>
      </c>
      <c r="H51" s="99">
        <f>G51+'24'!H51</f>
        <v>0.44000000000232831</v>
      </c>
      <c r="I51" s="95"/>
      <c r="J51" s="175">
        <f>H51/DAY(B2)</f>
        <v>1.7600000000093131E-2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1457.43</v>
      </c>
      <c r="F52" s="145">
        <v>1457.43</v>
      </c>
      <c r="G52" s="112">
        <f t="shared" si="4"/>
        <v>0</v>
      </c>
      <c r="H52" s="99">
        <f>G52+'24'!H52</f>
        <v>0.43000000000006366</v>
      </c>
      <c r="I52" s="95"/>
      <c r="J52" s="175">
        <f>H52/DAY(B2)</f>
        <v>1.7200000000002547E-2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630355</v>
      </c>
      <c r="F53" s="145">
        <v>630355.03</v>
      </c>
      <c r="G53" s="112">
        <f t="shared" si="4"/>
        <v>3.0000000027939677E-2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131556.29999999999</v>
      </c>
      <c r="F54" s="145">
        <v>131834.98000000001</v>
      </c>
      <c r="G54" s="112">
        <f t="shared" si="4"/>
        <v>278.68000000002212</v>
      </c>
      <c r="H54" s="99">
        <f>G54+'24'!H54</f>
        <v>7720.7700000000041</v>
      </c>
      <c r="I54" s="95"/>
      <c r="J54" s="175">
        <f>H54/DAY(B2)</f>
        <v>308.83080000000018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632292.91</v>
      </c>
      <c r="F55" s="145">
        <v>632292.91</v>
      </c>
      <c r="G55" s="112">
        <f t="shared" si="4"/>
        <v>0</v>
      </c>
      <c r="H55" s="99">
        <f>G55+'24'!H55</f>
        <v>37988.160000000033</v>
      </c>
      <c r="I55" s="95"/>
      <c r="J55" s="175">
        <f>H55/DAY(B2)</f>
        <v>1519.5264000000013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407289.31</v>
      </c>
      <c r="F56" s="145">
        <v>410503.63</v>
      </c>
      <c r="G56" s="112">
        <f t="shared" si="4"/>
        <v>3214.320000000007</v>
      </c>
      <c r="H56" s="99">
        <f>G56+'24'!H56</f>
        <v>37383.630000000005</v>
      </c>
      <c r="I56" s="95"/>
      <c r="J56" s="175">
        <f>H56/DAY(B2)</f>
        <v>1495.3452000000002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769594.07</v>
      </c>
      <c r="F57" s="145">
        <v>771851.99</v>
      </c>
      <c r="G57" s="112">
        <f t="shared" si="4"/>
        <v>2257.9200000000419</v>
      </c>
      <c r="H57" s="99">
        <f>G57+'24'!H57</f>
        <v>64153.989999999991</v>
      </c>
      <c r="I57" s="95"/>
      <c r="J57" s="175">
        <f>H57/DAY(B2)</f>
        <v>2566.1595999999995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100482.03</v>
      </c>
      <c r="F58" s="145">
        <v>100787.23</v>
      </c>
      <c r="G58" s="112">
        <f t="shared" si="4"/>
        <v>305.19999999999709</v>
      </c>
      <c r="H58" s="99">
        <f>G58+'24'!H58</f>
        <v>6217.4099999999889</v>
      </c>
      <c r="I58" s="95"/>
      <c r="J58" s="175">
        <f>H58/DAY(B2)</f>
        <v>248.69639999999956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7879.3900000000867</v>
      </c>
      <c r="H59" s="99">
        <f>G59+'24'!H59</f>
        <v>204396.05</v>
      </c>
      <c r="I59" s="95">
        <f>G7-G60</f>
        <v>3048.769999999975</v>
      </c>
      <c r="J59" s="175">
        <f>H59/DAY(B2)</f>
        <v>8175.8419999999996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18872.310000000041</v>
      </c>
      <c r="H60" s="99">
        <f>G60+'24'!H60</f>
        <v>500847.87000000005</v>
      </c>
      <c r="I60" s="95">
        <f>G13-G60</f>
        <v>2468.8899999992136</v>
      </c>
      <c r="J60" s="175">
        <f>H60/DAY(B2)</f>
        <v>20033.914800000002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'24'!F62</f>
        <v>317670</v>
      </c>
      <c r="F62" s="122">
        <v>317845</v>
      </c>
      <c r="G62" s="112">
        <f t="shared" ref="G62:G63" si="5">F62-E62</f>
        <v>175</v>
      </c>
      <c r="H62" s="99">
        <f>G62+'24'!H62</f>
        <v>2168</v>
      </c>
      <c r="I62" s="118"/>
      <c r="J62" s="175">
        <f>H62/DAY(B2)</f>
        <v>86.72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'24'!F63</f>
        <v>254395</v>
      </c>
      <c r="F63" s="122">
        <v>254485</v>
      </c>
      <c r="G63" s="112">
        <f t="shared" si="5"/>
        <v>90</v>
      </c>
      <c r="H63" s="99">
        <f>G63+'24'!H63</f>
        <v>2161</v>
      </c>
      <c r="I63" s="118"/>
      <c r="J63" s="175">
        <f>H63/DAY(B2)</f>
        <v>86.44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'24'!F64</f>
        <v>0</v>
      </c>
      <c r="F64" s="122"/>
      <c r="G64" s="112">
        <f>G62+G63</f>
        <v>265</v>
      </c>
      <c r="H64" s="99">
        <f>G64+'24'!H64</f>
        <v>4329</v>
      </c>
      <c r="I64" s="118"/>
      <c r="J64" s="175">
        <f>H64/DAY(B2)</f>
        <v>173.16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'24'!F65</f>
        <v>479050</v>
      </c>
      <c r="F65" s="122">
        <v>479196</v>
      </c>
      <c r="G65" s="112">
        <f t="shared" ref="G65:G70" si="6">F65-E65</f>
        <v>146</v>
      </c>
      <c r="H65" s="99">
        <f>G65+'24'!H65</f>
        <v>3293</v>
      </c>
      <c r="I65" s="118"/>
      <c r="J65" s="175">
        <f>H65/DAY(B2)</f>
        <v>131.72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114810</v>
      </c>
      <c r="F66" s="122">
        <v>114831</v>
      </c>
      <c r="G66" s="112">
        <f t="shared" si="6"/>
        <v>21</v>
      </c>
      <c r="H66" s="99">
        <f>G66+'24'!H66</f>
        <v>365</v>
      </c>
      <c r="I66" s="118"/>
      <c r="J66" s="175">
        <f>H66/DAY(B2)</f>
        <v>14.6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117945</v>
      </c>
      <c r="F67" s="122">
        <v>117984</v>
      </c>
      <c r="G67" s="112">
        <f t="shared" si="6"/>
        <v>39</v>
      </c>
      <c r="H67" s="99">
        <f>G67+'24'!H67</f>
        <v>702</v>
      </c>
      <c r="I67" s="118"/>
      <c r="J67" s="175">
        <f>H67/DAY(B2)</f>
        <v>28.08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170448</v>
      </c>
      <c r="F68" s="122">
        <v>170462</v>
      </c>
      <c r="G68" s="112">
        <f t="shared" si="6"/>
        <v>14</v>
      </c>
      <c r="H68" s="99">
        <f>G68+'24'!H68</f>
        <v>512</v>
      </c>
      <c r="I68" s="118"/>
      <c r="J68" s="175">
        <f>H68/DAY(B2)</f>
        <v>20.48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13357</v>
      </c>
      <c r="F69" s="122">
        <v>13363</v>
      </c>
      <c r="G69" s="112">
        <f t="shared" si="6"/>
        <v>6</v>
      </c>
      <c r="H69" s="99">
        <f>G69+'24'!H69</f>
        <v>151</v>
      </c>
      <c r="I69" s="118"/>
      <c r="J69" s="175">
        <f>H69/DAY(B2)</f>
        <v>6.04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11440</v>
      </c>
      <c r="F70" s="122">
        <v>11447</v>
      </c>
      <c r="G70" s="112">
        <f t="shared" si="6"/>
        <v>7</v>
      </c>
      <c r="H70" s="99">
        <f>G70+'24'!H70</f>
        <v>189</v>
      </c>
      <c r="I70" s="118"/>
      <c r="J70" s="175">
        <f>H70/DAY(B2)</f>
        <v>7.56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233</v>
      </c>
      <c r="H71" s="99">
        <f>G71+'24'!H71</f>
        <v>5212</v>
      </c>
      <c r="I71" s="154"/>
      <c r="J71" s="175">
        <f>H71/DAY(B2)</f>
        <v>208.48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'24'!F74</f>
        <v>19633.55</v>
      </c>
      <c r="F74" s="409">
        <v>19923.099999999999</v>
      </c>
      <c r="G74" s="236">
        <f t="shared" ref="G74:G78" si="7">F74-E74</f>
        <v>289.54999999999927</v>
      </c>
      <c r="H74" s="99">
        <f>G74+'24'!H74</f>
        <v>4043.0999999999985</v>
      </c>
      <c r="I74" s="154"/>
      <c r="J74" s="175">
        <f>H74/DAY(B2)</f>
        <v>161.72399999999993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'24'!F75</f>
        <v>73586.8</v>
      </c>
      <c r="F75" s="409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'24'!F76</f>
        <v>213609.60000000001</v>
      </c>
      <c r="F76" s="409">
        <v>213717.7</v>
      </c>
      <c r="G76" s="236">
        <f t="shared" si="7"/>
        <v>108.10000000000582</v>
      </c>
      <c r="H76" s="99">
        <f>G76+'24'!H76</f>
        <v>3057.7000000000116</v>
      </c>
      <c r="I76" s="154"/>
      <c r="J76" s="175">
        <f>H76/DAY(B2)</f>
        <v>122.30800000000046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'24'!F77</f>
        <v>61047</v>
      </c>
      <c r="F77" s="409">
        <v>61105</v>
      </c>
      <c r="G77" s="236">
        <f t="shared" si="7"/>
        <v>58</v>
      </c>
      <c r="H77" s="99">
        <f>G77+'24'!H77</f>
        <v>1344</v>
      </c>
      <c r="I77" s="154"/>
      <c r="J77" s="175">
        <f>H77/DAY(B2)</f>
        <v>53.76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'24'!F78</f>
        <v>9564</v>
      </c>
      <c r="F78" s="409">
        <v>9564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'24'!F79</f>
        <v>0</v>
      </c>
      <c r="F79" s="117"/>
      <c r="G79" s="112">
        <f>G15-SUM(G74:G78)</f>
        <v>723.34999999999491</v>
      </c>
      <c r="H79" s="99">
        <f>G79+'24'!H79</f>
        <v>15695.985000000139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1179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5">
        <f>'24'!F84</f>
        <v>43546</v>
      </c>
      <c r="F84" s="164">
        <v>43546</v>
      </c>
      <c r="G84" s="236">
        <f t="shared" si="8"/>
        <v>0</v>
      </c>
      <c r="H84" s="99">
        <f>G84+'24'!H84</f>
        <v>-0.34999999999854481</v>
      </c>
      <c r="I84" s="543"/>
      <c r="J84" s="175">
        <f>H84/DAY(B2)</f>
        <v>-1.3999999999941792E-2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6320.56</v>
      </c>
      <c r="F85" s="164">
        <v>6320.56</v>
      </c>
      <c r="G85" s="112">
        <f t="shared" si="8"/>
        <v>0</v>
      </c>
      <c r="H85" s="99">
        <f>G85+'24'!H85</f>
        <v>107.5600000000004</v>
      </c>
      <c r="I85" s="543"/>
      <c r="J85" s="175">
        <f>H85/DAY(B2)</f>
        <v>4.3024000000000164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47231.55</v>
      </c>
      <c r="F86" s="164">
        <v>47231.55</v>
      </c>
      <c r="G86" s="112">
        <f t="shared" si="8"/>
        <v>0</v>
      </c>
      <c r="H86" s="99">
        <f>G86+'24'!H86</f>
        <v>260.55000000000291</v>
      </c>
      <c r="I86" s="543"/>
      <c r="J86" s="175">
        <f>H86/DAY(B2)</f>
        <v>10.422000000000116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37615.21</v>
      </c>
      <c r="F87" s="164">
        <v>37639.43</v>
      </c>
      <c r="G87" s="112">
        <f t="shared" si="8"/>
        <v>24.220000000001164</v>
      </c>
      <c r="H87" s="99">
        <f>G87+'24'!H87</f>
        <v>275.43000000000029</v>
      </c>
      <c r="I87" s="543">
        <f>G84+G85+G86+G87</f>
        <v>24.220000000001164</v>
      </c>
      <c r="J87" s="175">
        <f>H87/DAY(B2)</f>
        <v>11.017200000000011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24917.919999999998</v>
      </c>
      <c r="F88" s="164">
        <v>24919.26</v>
      </c>
      <c r="G88" s="112">
        <f t="shared" si="8"/>
        <v>1.3400000000001455</v>
      </c>
      <c r="H88" s="99">
        <f>G88+'24'!H88</f>
        <v>157.2599999999984</v>
      </c>
      <c r="I88" s="543"/>
      <c r="J88" s="175">
        <f>H88/DAY(B2)</f>
        <v>6.290399999999936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29172.3</v>
      </c>
      <c r="F89" s="164">
        <v>29182.42</v>
      </c>
      <c r="G89" s="112">
        <f t="shared" si="8"/>
        <v>10.119999999998981</v>
      </c>
      <c r="H89" s="99">
        <f>G89+'24'!H89</f>
        <v>154.41999999999825</v>
      </c>
      <c r="I89" s="543">
        <f>G88+G89</f>
        <v>11.459999999999127</v>
      </c>
      <c r="J89" s="175">
        <f>H89/DAY(B2)</f>
        <v>6.1767999999999299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74631.08</v>
      </c>
      <c r="F90" s="164">
        <v>74640.2</v>
      </c>
      <c r="G90" s="112">
        <f t="shared" si="8"/>
        <v>9.1199999999953434</v>
      </c>
      <c r="H90" s="99">
        <f>G90+'24'!H90</f>
        <v>192.19999999999709</v>
      </c>
      <c r="I90" s="543">
        <f>G90</f>
        <v>9.1199999999953434</v>
      </c>
      <c r="J90" s="175">
        <f>H90/DAY(B2)</f>
        <v>7.6879999999998834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5864.52</v>
      </c>
      <c r="F91" s="122">
        <v>5875.58</v>
      </c>
      <c r="G91" s="112">
        <f t="shared" si="8"/>
        <v>11.059999999999491</v>
      </c>
      <c r="H91" s="99">
        <f>G91+'24'!H91</f>
        <v>257.36999999999989</v>
      </c>
      <c r="I91" s="544"/>
      <c r="J91" s="175">
        <f>H91/DAY(B2)</f>
        <v>10.294799999999995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7469</v>
      </c>
      <c r="F92" s="122">
        <v>7469.34</v>
      </c>
      <c r="G92" s="112">
        <f t="shared" si="8"/>
        <v>0.34000000000014552</v>
      </c>
      <c r="H92" s="99">
        <f>G92+'24'!H92</f>
        <v>37.0600000000004</v>
      </c>
      <c r="I92" s="545">
        <f>G91+G92</f>
        <v>11.399999999999636</v>
      </c>
      <c r="J92" s="175">
        <f>H92/DAY(B2)</f>
        <v>1.4824000000000159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5435.2399999999907</v>
      </c>
      <c r="H94" s="99">
        <f>G94+'24'!H94</f>
        <v>144763.53000000003</v>
      </c>
      <c r="I94" s="118"/>
      <c r="J94" s="175">
        <f>H94/DAY(B2)</f>
        <v>5790.5412000000015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0.24794581288878043</v>
      </c>
      <c r="H95" s="99">
        <f>G95+'24'!H95</f>
        <v>6.3923285423343241</v>
      </c>
      <c r="I95" s="167"/>
      <c r="J95" s="175">
        <f>H95/DAY(B2)</f>
        <v>0.25569314169337298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3214.320000000007</v>
      </c>
      <c r="H96" s="99">
        <f>G96+'24'!H96</f>
        <v>97829.790000000037</v>
      </c>
      <c r="I96" s="118"/>
      <c r="J96" s="175">
        <f>H96/DAY(B2)</f>
        <v>3913.1916000000015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0.14663146158857157</v>
      </c>
      <c r="H97" s="99">
        <f>G97+'24'!H97</f>
        <v>4.2906679951164399</v>
      </c>
      <c r="I97" s="167"/>
      <c r="J97" s="175">
        <f>H97/DAY(B2)</f>
        <v>0.1716267198046576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2834.4299999999348</v>
      </c>
      <c r="H98" s="99">
        <f>G98+'24'!H98</f>
        <v>71318.069999999949</v>
      </c>
      <c r="I98" s="168"/>
      <c r="J98" s="175">
        <f>H98/DAY(B2)</f>
        <v>2852.7227999999977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0.12930156725854441</v>
      </c>
      <c r="H99" s="99">
        <f>G99+'24'!H99</f>
        <v>3.1507691037229324</v>
      </c>
      <c r="I99" s="168"/>
      <c r="J99" s="175">
        <f>H99/DAY(B2)</f>
        <v>0.12603076414891728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2763.1199999999953</v>
      </c>
      <c r="H100" s="99">
        <f>G100+'24'!H100</f>
        <v>66137.100000000035</v>
      </c>
      <c r="I100" s="118"/>
      <c r="J100" s="175">
        <f>H100/DAY(B2)</f>
        <v>2645.4840000000013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0.12604853410507116</v>
      </c>
      <c r="H101" s="99">
        <f>G101+'24'!H101</f>
        <v>2.9174642765038494</v>
      </c>
      <c r="I101" s="168"/>
      <c r="J101" s="175">
        <f>H101/DAY(B2)</f>
        <v>0.11669857106015398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2394.8800000000629</v>
      </c>
      <c r="H102" s="99">
        <f>G102+'24'!H102</f>
        <v>64116.619999999995</v>
      </c>
      <c r="I102" s="168"/>
      <c r="J102" s="175">
        <f>H102/DAY(B2)</f>
        <v>2564.6648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0.10925009169256537</v>
      </c>
      <c r="H103" s="99">
        <f>G103+'24'!H103</f>
        <v>2.818319579200026</v>
      </c>
      <c r="I103" s="118"/>
      <c r="J103" s="175">
        <f>H103/DAY(B2)</f>
        <v>0.11273278316800103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1439.2400000000489</v>
      </c>
      <c r="H104" s="99">
        <f>G104+'24'!H104</f>
        <v>35938.150000000023</v>
      </c>
      <c r="I104" s="118"/>
      <c r="J104" s="175">
        <f>H104/DAY(B2)</f>
        <v>1437.526000000001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6.5655524271616542E-2</v>
      </c>
      <c r="H105" s="99">
        <f>G105+'24'!H105</f>
        <v>1.5865516130012509</v>
      </c>
      <c r="I105" s="187"/>
      <c r="J105" s="188">
        <f>H105/DAY(B2)</f>
        <v>6.3462064520050043E-2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'24'!F112</f>
        <v>20868.939999999999</v>
      </c>
      <c r="F112" s="237">
        <v>20930.93</v>
      </c>
      <c r="G112" s="112">
        <f t="shared" ref="G112:G123" si="9">F112-E112</f>
        <v>61.990000000001601</v>
      </c>
      <c r="H112" s="99">
        <f>G112+'24'!H112</f>
        <v>1533.9300000000003</v>
      </c>
      <c r="I112" s="165"/>
      <c r="J112" s="328">
        <f>H112/DAY(B2)</f>
        <v>61.357200000000013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'24'!F113</f>
        <v>45021.2</v>
      </c>
      <c r="F113" s="237">
        <v>45165.85</v>
      </c>
      <c r="G113" s="112">
        <f t="shared" si="9"/>
        <v>144.65000000000146</v>
      </c>
      <c r="H113" s="99">
        <f>G113+'24'!H113</f>
        <v>3645.9000000000015</v>
      </c>
      <c r="I113" s="165"/>
      <c r="J113" s="328">
        <f>H113/DAY(B2)</f>
        <v>145.83600000000007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'24'!F114</f>
        <v>66639.66</v>
      </c>
      <c r="F114" s="237">
        <v>66861.97</v>
      </c>
      <c r="G114" s="112">
        <f t="shared" si="9"/>
        <v>222.30999999999767</v>
      </c>
      <c r="H114" s="99">
        <f>G114+'24'!H114</f>
        <v>5643.9700000000012</v>
      </c>
      <c r="I114" s="165"/>
      <c r="J114" s="328">
        <f>H114/DAY(B2)</f>
        <v>225.75880000000004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'24'!F115</f>
        <v>42908.99</v>
      </c>
      <c r="F115" s="237">
        <v>43068.77</v>
      </c>
      <c r="G115" s="112">
        <f t="shared" si="9"/>
        <v>159.77999999999884</v>
      </c>
      <c r="H115" s="99">
        <f>G115+'24'!H115</f>
        <v>3609.7699999999968</v>
      </c>
      <c r="I115" s="165"/>
      <c r="J115" s="328">
        <f>H115/DAY(B2)</f>
        <v>144.39079999999987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'24'!F116</f>
        <v>158332.56</v>
      </c>
      <c r="F116" s="237">
        <v>158706.62</v>
      </c>
      <c r="G116" s="112">
        <f t="shared" si="9"/>
        <v>374.05999999999767</v>
      </c>
      <c r="H116" s="99">
        <f>G116+'24'!H116</f>
        <v>10776.619999999995</v>
      </c>
      <c r="I116" s="165"/>
      <c r="J116" s="328">
        <f>H116/DAY(B2)</f>
        <v>431.06479999999982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'24'!F117</f>
        <v>97991.59</v>
      </c>
      <c r="F117" s="237">
        <v>98268.03</v>
      </c>
      <c r="G117" s="112">
        <f t="shared" si="9"/>
        <v>276.44000000000233</v>
      </c>
      <c r="H117" s="99">
        <f>G117+'24'!H117</f>
        <v>6278.6309999999939</v>
      </c>
      <c r="I117" s="165"/>
      <c r="J117" s="328">
        <f>H117/DAY(B2)</f>
        <v>251.14523999999975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'24'!F118</f>
        <v>194472.43</v>
      </c>
      <c r="F118" s="237">
        <v>195121.69</v>
      </c>
      <c r="G118" s="112">
        <f t="shared" si="9"/>
        <v>649.26000000000931</v>
      </c>
      <c r="H118" s="99">
        <f>G118+'24'!H118</f>
        <v>17589.160000000003</v>
      </c>
      <c r="I118" s="165"/>
      <c r="J118" s="328">
        <f>H118/DAY(B2)</f>
        <v>703.56640000000016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'24'!F119</f>
        <v>46614.61</v>
      </c>
      <c r="F119" s="237">
        <v>46692.24</v>
      </c>
      <c r="G119" s="112">
        <f t="shared" si="9"/>
        <v>77.629999999997381</v>
      </c>
      <c r="H119" s="99">
        <f>G119+'24'!H119</f>
        <v>1499.239999999998</v>
      </c>
      <c r="I119" s="165"/>
      <c r="J119" s="328">
        <f>H119/DAY(B2)</f>
        <v>59.969599999999922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'24'!F120</f>
        <v>129819.67</v>
      </c>
      <c r="F120" s="237">
        <v>130221.16</v>
      </c>
      <c r="G120" s="112">
        <f t="shared" si="9"/>
        <v>401.49000000000524</v>
      </c>
      <c r="H120" s="99">
        <f>G120+'24'!H120</f>
        <v>9777.1600000000035</v>
      </c>
      <c r="I120" s="165"/>
      <c r="J120" s="328">
        <f>H120/DAY(B2)</f>
        <v>391.08640000000014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'24'!F121</f>
        <v>145072.25</v>
      </c>
      <c r="F121" s="237">
        <v>145499.63</v>
      </c>
      <c r="G121" s="112">
        <f t="shared" si="9"/>
        <v>427.38000000000466</v>
      </c>
      <c r="H121" s="99">
        <f>G121+'24'!H121</f>
        <v>10936.630000000005</v>
      </c>
      <c r="I121" s="165"/>
      <c r="J121" s="328">
        <f>H121/DAY(B2)</f>
        <v>437.46520000000021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'24'!F122</f>
        <v>98176.63</v>
      </c>
      <c r="F122" s="237">
        <v>98469.23</v>
      </c>
      <c r="G122" s="112">
        <f t="shared" si="9"/>
        <v>292.59999999999127</v>
      </c>
      <c r="H122" s="99">
        <f>G122+'24'!H122</f>
        <v>7592.2299999999959</v>
      </c>
      <c r="I122" s="165"/>
      <c r="J122" s="328">
        <f>H122/DAY(B2)</f>
        <v>303.68919999999986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'24'!F123</f>
        <v>94993.72</v>
      </c>
      <c r="F123" s="237">
        <v>95300.6</v>
      </c>
      <c r="G123" s="112">
        <f t="shared" si="9"/>
        <v>306.88000000000466</v>
      </c>
      <c r="H123" s="99">
        <f>G123+'24'!H123</f>
        <v>7721.6000000000058</v>
      </c>
      <c r="I123" s="165"/>
      <c r="J123" s="328">
        <f>H123/DAY(B2)</f>
        <v>308.86400000000026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3394.4700000000121</v>
      </c>
      <c r="H125" s="156"/>
      <c r="I125" s="327">
        <f>G125-(G39+G53)</f>
        <v>560.04000000007727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'24'!F128</f>
        <v>218760.93</v>
      </c>
      <c r="F128" s="155">
        <v>219170.65</v>
      </c>
      <c r="G128" s="112">
        <f t="shared" ref="G128:G134" si="10">F128-E128</f>
        <v>409.72000000000116</v>
      </c>
      <c r="H128" s="99">
        <f>G128+'24'!H128</f>
        <v>11881.649999999994</v>
      </c>
      <c r="I128" s="165"/>
      <c r="J128" s="328">
        <f>H128/DAY(B2)</f>
        <v>475.26599999999979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3449.25</v>
      </c>
      <c r="F129" s="155">
        <v>3584.71</v>
      </c>
      <c r="G129" s="112">
        <f t="shared" si="10"/>
        <v>135.46000000000004</v>
      </c>
      <c r="H129" s="99">
        <f>G129+'24'!H129</f>
        <v>2850.71</v>
      </c>
      <c r="I129" s="165"/>
      <c r="J129" s="328">
        <f>H129/DAY(B2)</f>
        <v>114.0284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303102.99</v>
      </c>
      <c r="F130" s="155">
        <v>303761.99</v>
      </c>
      <c r="G130" s="112">
        <f t="shared" si="10"/>
        <v>659</v>
      </c>
      <c r="H130" s="99">
        <f>G130+'24'!H130</f>
        <v>15039.989999999991</v>
      </c>
      <c r="I130" s="165"/>
      <c r="J130" s="328">
        <f>H130/DAY(B2)</f>
        <v>601.59959999999967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'24'!F131</f>
        <v>89510.22</v>
      </c>
      <c r="F131" s="155">
        <v>89661.45</v>
      </c>
      <c r="G131" s="112">
        <f t="shared" si="10"/>
        <v>151.22999999999593</v>
      </c>
      <c r="H131" s="99">
        <f>G131+'24'!H131</f>
        <v>4957.6199999999953</v>
      </c>
      <c r="I131" s="165"/>
      <c r="J131" s="328">
        <f>H131/DAY(B2)</f>
        <v>198.3047999999998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'24'!F132</f>
        <v>75046.5</v>
      </c>
      <c r="F132" s="155">
        <v>75363.64</v>
      </c>
      <c r="G132" s="112">
        <f t="shared" si="10"/>
        <v>317.13999999999942</v>
      </c>
      <c r="H132" s="99">
        <f>G132+'24'!H132</f>
        <v>7916.6399999999994</v>
      </c>
      <c r="I132" s="165"/>
      <c r="J132" s="328">
        <f>H132/DAY(B2)</f>
        <v>316.66559999999998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'24'!F133</f>
        <v>966176</v>
      </c>
      <c r="F133" s="155">
        <v>966878</v>
      </c>
      <c r="G133" s="112">
        <f t="shared" si="10"/>
        <v>702</v>
      </c>
      <c r="H133" s="99">
        <f>G133+'24'!H133</f>
        <v>11905</v>
      </c>
      <c r="I133" s="165"/>
      <c r="J133" s="328">
        <f>H133/DAY(B2)</f>
        <v>476.2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'24'!F134</f>
        <v>99397.55</v>
      </c>
      <c r="F134" s="157">
        <v>99645.759999999995</v>
      </c>
      <c r="G134" s="112">
        <f t="shared" si="10"/>
        <v>248.20999999999185</v>
      </c>
      <c r="H134" s="99">
        <f>G134+'24'!H134</f>
        <v>8964.0699999999924</v>
      </c>
      <c r="I134" s="165"/>
      <c r="J134" s="328">
        <f>H134/DAY(B2)</f>
        <v>358.5627999999997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2622.7599999999884</v>
      </c>
      <c r="H135" s="99">
        <f>G135+'23'!H135</f>
        <v>28857.539999999943</v>
      </c>
      <c r="I135" s="327">
        <f>G135-(G35+G49)</f>
        <v>-554.55999999996038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'24'!F138</f>
        <v>915961</v>
      </c>
      <c r="F138" s="147">
        <v>916023</v>
      </c>
      <c r="G138" s="112">
        <f t="shared" ref="G138:G152" si="11">F138-E138</f>
        <v>62</v>
      </c>
      <c r="H138" s="99">
        <f>G138+'24'!H138</f>
        <v>6622</v>
      </c>
      <c r="I138" s="118"/>
      <c r="J138" s="328">
        <f>H138/DAY(B2)</f>
        <v>264.88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'24'!F139</f>
        <v>940873</v>
      </c>
      <c r="F139" s="148">
        <v>941018</v>
      </c>
      <c r="G139" s="112">
        <f t="shared" si="11"/>
        <v>145</v>
      </c>
      <c r="H139" s="99">
        <f>G139+'24'!H139</f>
        <v>3760</v>
      </c>
      <c r="I139" s="118"/>
      <c r="J139" s="328">
        <f>H139/DAY(B2)</f>
        <v>150.4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'24'!F140</f>
        <v>5549.7</v>
      </c>
      <c r="F140" s="149">
        <v>5585</v>
      </c>
      <c r="G140" s="112">
        <f t="shared" si="11"/>
        <v>35.300000000000182</v>
      </c>
      <c r="H140" s="99">
        <f>G140+'24'!H140</f>
        <v>821</v>
      </c>
      <c r="I140" s="118"/>
      <c r="J140" s="328">
        <f>H140/DAY(B2)</f>
        <v>32.840000000000003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'24'!F141</f>
        <v>137475.72</v>
      </c>
      <c r="F141" s="149">
        <v>137723.75</v>
      </c>
      <c r="G141" s="112">
        <f t="shared" si="11"/>
        <v>248.02999999999884</v>
      </c>
      <c r="H141" s="99">
        <f>G141+'24'!H141</f>
        <v>6403.75</v>
      </c>
      <c r="I141" s="118"/>
      <c r="J141" s="328">
        <f>H141/DAY(B2)</f>
        <v>256.14999999999998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'24'!F142</f>
        <v>55409.33</v>
      </c>
      <c r="F142" s="148">
        <v>55494.47</v>
      </c>
      <c r="G142" s="112">
        <f t="shared" si="11"/>
        <v>85.139999999999418</v>
      </c>
      <c r="H142" s="99">
        <f>G142+'24'!H142</f>
        <v>2303.4700000000012</v>
      </c>
      <c r="I142" s="140"/>
      <c r="J142" s="328">
        <f>H142/DAY(B2)</f>
        <v>92.138800000000046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'24'!F143</f>
        <v>15093.41</v>
      </c>
      <c r="F143" s="149">
        <v>15123.99</v>
      </c>
      <c r="G143" s="112">
        <f t="shared" si="11"/>
        <v>30.579999999999927</v>
      </c>
      <c r="H143" s="99">
        <f>G143+'24'!H143</f>
        <v>811.98999999999978</v>
      </c>
      <c r="I143" s="140"/>
      <c r="J143" s="328">
        <f>H143/DAY(B2)</f>
        <v>32.479599999999991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'24'!F144</f>
        <v>969315</v>
      </c>
      <c r="F144" s="149">
        <v>969574</v>
      </c>
      <c r="G144" s="112">
        <f t="shared" si="11"/>
        <v>259</v>
      </c>
      <c r="H144" s="99">
        <f>G144+'24'!H144</f>
        <v>6348</v>
      </c>
      <c r="I144" s="140"/>
      <c r="J144" s="328">
        <f>H144/DAY(B2)</f>
        <v>253.92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'24'!F145</f>
        <v>755885</v>
      </c>
      <c r="F145" s="149">
        <v>756104</v>
      </c>
      <c r="G145" s="112">
        <f t="shared" si="11"/>
        <v>219</v>
      </c>
      <c r="H145" s="99">
        <f>G145+'24'!H145</f>
        <v>5371</v>
      </c>
      <c r="I145" s="140"/>
      <c r="J145" s="328">
        <f>H145/DAY(B2)</f>
        <v>214.84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'24'!F146</f>
        <v>789930</v>
      </c>
      <c r="F146" s="148">
        <v>789959</v>
      </c>
      <c r="G146" s="112">
        <f t="shared" si="11"/>
        <v>29</v>
      </c>
      <c r="H146" s="99">
        <f>G146+'24'!H146</f>
        <v>934</v>
      </c>
      <c r="I146" s="140"/>
      <c r="J146" s="328">
        <f>H146/DAY(B2)</f>
        <v>37.36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'24'!F147</f>
        <v>780991</v>
      </c>
      <c r="F147" s="148">
        <v>781366</v>
      </c>
      <c r="G147" s="112">
        <f t="shared" si="11"/>
        <v>375</v>
      </c>
      <c r="H147" s="99">
        <f>G147+'24'!H147</f>
        <v>9709.1199999999953</v>
      </c>
      <c r="I147" s="140"/>
      <c r="J147" s="328">
        <f>H147/DAY(B2)</f>
        <v>388.36479999999983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'24'!F148</f>
        <v>815795.84</v>
      </c>
      <c r="F148" s="164">
        <v>816184.31999999995</v>
      </c>
      <c r="G148" s="112">
        <f t="shared" si="11"/>
        <v>388.47999999998137</v>
      </c>
      <c r="H148" s="99">
        <f>G148+'24'!H148</f>
        <v>9364.0799999999581</v>
      </c>
      <c r="I148" s="124"/>
      <c r="J148" s="328">
        <f>H148/DAY(B2)</f>
        <v>374.56319999999835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'24'!F149</f>
        <v>228481.01</v>
      </c>
      <c r="F149" s="146">
        <v>229104</v>
      </c>
      <c r="G149" s="112">
        <f t="shared" si="11"/>
        <v>622.98999999999069</v>
      </c>
      <c r="H149" s="99">
        <f>G149+'24'!H149</f>
        <v>12208</v>
      </c>
      <c r="I149" s="119"/>
      <c r="J149" s="328">
        <f>H149/DAY(B2)</f>
        <v>488.32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'24'!F150</f>
        <v>97777.58</v>
      </c>
      <c r="F150" s="233">
        <v>97998.11</v>
      </c>
      <c r="G150" s="112">
        <f t="shared" si="11"/>
        <v>220.52999999999884</v>
      </c>
      <c r="H150" s="99">
        <f>G150+'24'!H150</f>
        <v>5887.3099999999977</v>
      </c>
      <c r="I150" s="119"/>
      <c r="J150" s="328">
        <f>H150/DAY(B2)</f>
        <v>235.49239999999992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'24'!F151</f>
        <v>184473</v>
      </c>
      <c r="F151" s="233">
        <v>184788</v>
      </c>
      <c r="G151" s="112">
        <f t="shared" si="11"/>
        <v>315</v>
      </c>
      <c r="H151" s="99">
        <f>G151+'24'!H151</f>
        <v>8613</v>
      </c>
      <c r="I151" s="119"/>
      <c r="J151" s="328">
        <f>H151/DAY(B2)</f>
        <v>344.52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'24'!F152</f>
        <v>49769.87</v>
      </c>
      <c r="F152" s="233">
        <v>49885.71</v>
      </c>
      <c r="G152" s="112">
        <f t="shared" si="11"/>
        <v>115.83999999999651</v>
      </c>
      <c r="H152" s="99">
        <f>G152+'24'!H152</f>
        <v>3253.7099999999991</v>
      </c>
      <c r="I152" s="119"/>
      <c r="J152" s="328">
        <f>H152/DAY(B2)</f>
        <v>130.14839999999995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3150.8899999999658</v>
      </c>
      <c r="H153" s="363"/>
      <c r="I153" s="119">
        <f>G153-(G38+G52)</f>
        <v>387.76999999997042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'24'!F155</f>
        <v>269568.45</v>
      </c>
      <c r="F155" s="374">
        <v>270111.23</v>
      </c>
      <c r="G155" s="112">
        <f t="shared" ref="G155:G158" si="12">F155-E155</f>
        <v>542.77999999996973</v>
      </c>
      <c r="H155" s="99">
        <f>G155+'24'!H155</f>
        <v>13759.229999999981</v>
      </c>
      <c r="I155" s="364"/>
      <c r="J155" s="328">
        <f>H155/DAY(B2)</f>
        <v>550.3691999999993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'24'!F156</f>
        <v>34846.26</v>
      </c>
      <c r="F156" s="155">
        <v>34943.35</v>
      </c>
      <c r="G156" s="112">
        <f t="shared" si="12"/>
        <v>97.089999999996508</v>
      </c>
      <c r="H156" s="99">
        <f>G156+'24'!H156</f>
        <v>2384.3499999999985</v>
      </c>
      <c r="I156" s="165"/>
      <c r="J156" s="328">
        <f>H156/DAY(B2)</f>
        <v>95.373999999999938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'24'!F157</f>
        <v>3922.86</v>
      </c>
      <c r="F157" s="155">
        <v>4010.27</v>
      </c>
      <c r="G157" s="112">
        <f t="shared" si="12"/>
        <v>87.409999999999854</v>
      </c>
      <c r="H157" s="99">
        <f>G157+'24'!H157</f>
        <v>769.27</v>
      </c>
      <c r="I157" s="165"/>
      <c r="J157" s="328"/>
    </row>
    <row r="158" spans="1:10" ht="25.5">
      <c r="A158" s="866" t="s">
        <v>360</v>
      </c>
      <c r="B158" s="867"/>
      <c r="C158" s="868"/>
      <c r="D158" s="117" t="s">
        <v>130</v>
      </c>
      <c r="E158" s="95">
        <f>'24'!F158</f>
        <v>1828.57</v>
      </c>
      <c r="F158" s="155">
        <v>1848.33</v>
      </c>
      <c r="G158" s="112">
        <f t="shared" si="12"/>
        <v>19.759999999999991</v>
      </c>
      <c r="H158" s="99">
        <f>G158+'24'!H158</f>
        <v>57.490000000000009</v>
      </c>
      <c r="I158" s="165"/>
      <c r="J158" s="328"/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516298.64</v>
      </c>
      <c r="F161" s="235">
        <v>516457.84</v>
      </c>
      <c r="G161" s="238">
        <f t="shared" ref="G161:G165" si="13">F161-E161</f>
        <v>159.20000000001164</v>
      </c>
      <c r="H161" s="99">
        <f>G161+'24'!H161</f>
        <v>4012.8400000000256</v>
      </c>
      <c r="I161" s="236"/>
      <c r="J161" s="239">
        <f>H161/DAY(B2)</f>
        <v>160.51360000000102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2793.8</v>
      </c>
      <c r="F162" s="235">
        <v>2821.8</v>
      </c>
      <c r="G162" s="238">
        <f t="shared" si="13"/>
        <v>28</v>
      </c>
      <c r="H162" s="99">
        <f>G162+'24'!H162</f>
        <v>1061.8000000000002</v>
      </c>
      <c r="I162" s="236"/>
      <c r="J162" s="239">
        <f>H162/DAY(B2)</f>
        <v>42.472000000000008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0</v>
      </c>
      <c r="F163" s="235">
        <v>0</v>
      </c>
      <c r="G163" s="238">
        <f t="shared" si="13"/>
        <v>0</v>
      </c>
      <c r="H163" s="99">
        <f>G163+'24'!H163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7400</v>
      </c>
      <c r="F164" s="235">
        <v>7400</v>
      </c>
      <c r="G164" s="238">
        <f t="shared" si="13"/>
        <v>0</v>
      </c>
      <c r="H164" s="99">
        <f>G164+'24'!H164</f>
        <v>63</v>
      </c>
      <c r="I164" s="236"/>
      <c r="J164" s="239">
        <f>H164/DAY(B2)</f>
        <v>2.52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33142.53</v>
      </c>
      <c r="F165" s="235">
        <v>33149</v>
      </c>
      <c r="G165" s="238">
        <f t="shared" si="13"/>
        <v>6.4700000000011642</v>
      </c>
      <c r="H165" s="99">
        <f>G165+'24'!H165</f>
        <v>174.4800000000032</v>
      </c>
      <c r="I165" s="236"/>
      <c r="J165" s="239">
        <f>H165/DAY(B2)</f>
        <v>6.9792000000001284</v>
      </c>
    </row>
    <row r="166" spans="1:10" ht="26.25">
      <c r="A166" s="872"/>
      <c r="B166" s="87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1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790" t="s">
        <v>209</v>
      </c>
      <c r="B173" s="791"/>
      <c r="C173" s="333"/>
      <c r="D173" s="228" t="s">
        <v>142</v>
      </c>
      <c r="E173" s="95">
        <f>'24'!F173</f>
        <v>8608</v>
      </c>
      <c r="F173" s="155">
        <v>8612</v>
      </c>
      <c r="G173" s="155">
        <f>F173-E173</f>
        <v>4</v>
      </c>
      <c r="H173" s="99">
        <f>G173+'24'!H173</f>
        <v>30</v>
      </c>
      <c r="I173" s="155"/>
      <c r="J173" s="178">
        <f>H173/DAY(B2)</f>
        <v>1.2</v>
      </c>
    </row>
    <row r="174" spans="1:10" ht="27.75" customHeight="1">
      <c r="A174" s="790" t="s">
        <v>75</v>
      </c>
      <c r="B174" s="791"/>
      <c r="C174" s="333"/>
      <c r="D174" s="228" t="s">
        <v>142</v>
      </c>
      <c r="E174" s="95">
        <f>'24'!F174</f>
        <v>43654</v>
      </c>
      <c r="F174" s="157">
        <v>43666</v>
      </c>
      <c r="G174" s="155">
        <f t="shared" ref="G174:G175" si="14">F174-E174</f>
        <v>12</v>
      </c>
      <c r="H174" s="99">
        <f>G174+'24'!H174</f>
        <v>252</v>
      </c>
      <c r="I174" s="155"/>
      <c r="J174" s="178">
        <f>H174/DAY(B2)</f>
        <v>10.08</v>
      </c>
    </row>
    <row r="175" spans="1:10" ht="21.75" customHeight="1">
      <c r="A175" s="790" t="s">
        <v>76</v>
      </c>
      <c r="B175" s="803"/>
      <c r="C175" s="791"/>
      <c r="D175" s="228" t="s">
        <v>142</v>
      </c>
      <c r="E175" s="95">
        <f>'24'!F175</f>
        <v>26612</v>
      </c>
      <c r="F175" s="155">
        <v>26625</v>
      </c>
      <c r="G175" s="155">
        <f t="shared" si="14"/>
        <v>13</v>
      </c>
      <c r="H175" s="99">
        <f>G175+'24'!H175</f>
        <v>338</v>
      </c>
      <c r="I175" s="155"/>
      <c r="J175" s="178">
        <f>H175/DAY(B2)</f>
        <v>13.52</v>
      </c>
    </row>
    <row r="176" spans="1:10" ht="23.2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G176+'24'!H176</f>
        <v>620</v>
      </c>
      <c r="I176" s="155"/>
      <c r="J176" s="178">
        <f>H176/DAY(B2)</f>
        <v>24.8</v>
      </c>
    </row>
    <row r="177" spans="1:10" ht="21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'24'!F178</f>
        <v>112780</v>
      </c>
      <c r="F178" s="155">
        <v>112780</v>
      </c>
      <c r="G178" s="155">
        <f>F178-E178</f>
        <v>0</v>
      </c>
      <c r="H178" s="99">
        <f>G178+'24'!H178</f>
        <v>2389</v>
      </c>
      <c r="I178" s="155"/>
      <c r="J178" s="178">
        <f>H178/DAY(B2)</f>
        <v>95.56</v>
      </c>
    </row>
    <row r="179" spans="1:10" ht="24" customHeight="1">
      <c r="A179" s="790" t="s">
        <v>211</v>
      </c>
      <c r="B179" s="791"/>
      <c r="C179" s="333"/>
      <c r="D179" s="228" t="s">
        <v>142</v>
      </c>
      <c r="E179" s="95">
        <f>'24'!F179</f>
        <v>37501</v>
      </c>
      <c r="F179" s="155">
        <v>37529</v>
      </c>
      <c r="G179" s="155">
        <f t="shared" ref="G179:G180" si="15">F179-E179</f>
        <v>28</v>
      </c>
      <c r="H179" s="99">
        <f>G179+'24'!H179</f>
        <v>28</v>
      </c>
      <c r="I179" s="155"/>
      <c r="J179" s="178">
        <f>H179/DAY(B2)</f>
        <v>1.1200000000000001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'24'!F180</f>
        <v>7803</v>
      </c>
      <c r="F180" s="155">
        <v>7816</v>
      </c>
      <c r="G180" s="155">
        <f t="shared" si="15"/>
        <v>13</v>
      </c>
      <c r="H180" s="99">
        <f>G180+'24'!H180</f>
        <v>115</v>
      </c>
      <c r="I180" s="155"/>
      <c r="J180" s="178">
        <f>H180/DAY(B2)</f>
        <v>4.5999999999999996</v>
      </c>
    </row>
    <row r="181" spans="1:10" ht="25.5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41</v>
      </c>
      <c r="H181" s="99">
        <f>G181+'24'!H181</f>
        <v>2532</v>
      </c>
      <c r="I181" s="155"/>
      <c r="J181" s="178">
        <f>H181/DAY(B2)</f>
        <v>101.28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'24'!F183</f>
        <v>18873</v>
      </c>
      <c r="F183" s="157">
        <v>18883</v>
      </c>
      <c r="G183" s="157">
        <f>F183-E183</f>
        <v>10</v>
      </c>
      <c r="H183" s="99">
        <f>G183+'24'!H183</f>
        <v>191</v>
      </c>
      <c r="I183" s="155"/>
      <c r="J183" s="178">
        <f>H183/DAY(B2)</f>
        <v>7.64</v>
      </c>
    </row>
    <row r="184" spans="1:10" ht="30.75" customHeight="1">
      <c r="A184" s="790" t="s">
        <v>215</v>
      </c>
      <c r="B184" s="791"/>
      <c r="C184" s="334"/>
      <c r="D184" s="228" t="s">
        <v>142</v>
      </c>
      <c r="E184" s="95">
        <f>'24'!F184</f>
        <v>13433</v>
      </c>
      <c r="F184" s="157">
        <v>13434</v>
      </c>
      <c r="G184" s="157">
        <f t="shared" ref="G184:G185" si="16">F184-E184</f>
        <v>1</v>
      </c>
      <c r="H184" s="99">
        <f>G184+'24'!H184</f>
        <v>188</v>
      </c>
      <c r="I184" s="155"/>
      <c r="J184" s="178">
        <f>H184/DAY(B2)</f>
        <v>7.52</v>
      </c>
    </row>
    <row r="185" spans="1:10" ht="23.25" customHeight="1">
      <c r="A185" s="790" t="s">
        <v>216</v>
      </c>
      <c r="B185" s="791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>
        <v>0</v>
      </c>
      <c r="G186" s="157">
        <f>SUM(G183:G185)</f>
        <v>11</v>
      </c>
      <c r="H186" s="99">
        <f>G186+'24'!H186</f>
        <v>379</v>
      </c>
      <c r="I186" s="157"/>
      <c r="J186" s="178">
        <f>H186/DAY(B2)</f>
        <v>15.16</v>
      </c>
    </row>
    <row r="187" spans="1:10" ht="25.5">
      <c r="A187" s="869" t="s">
        <v>217</v>
      </c>
      <c r="B187" s="870"/>
      <c r="C187" s="333"/>
      <c r="D187" s="228" t="s">
        <v>142</v>
      </c>
      <c r="E187" s="95">
        <f>'24'!F187</f>
        <v>0</v>
      </c>
      <c r="F187" s="159"/>
      <c r="G187" s="377">
        <f>G62+G19</f>
        <v>226</v>
      </c>
      <c r="H187" s="99">
        <f>G187+'24'!H187</f>
        <v>3477</v>
      </c>
      <c r="I187" s="158"/>
      <c r="J187" s="179">
        <f>H187/DAY(B2)</f>
        <v>139.08000000000001</v>
      </c>
    </row>
    <row r="188" spans="1:10" ht="25.5">
      <c r="A188" s="869" t="s">
        <v>218</v>
      </c>
      <c r="B188" s="870"/>
      <c r="C188" s="333"/>
      <c r="D188" s="230" t="s">
        <v>142</v>
      </c>
      <c r="E188" s="95">
        <f>'24'!F188</f>
        <v>0</v>
      </c>
      <c r="F188" s="159"/>
      <c r="G188" s="377">
        <f>G65+G66+G67+G69+G70</f>
        <v>219</v>
      </c>
      <c r="H188" s="99">
        <f>G188+'24'!H188</f>
        <v>2249</v>
      </c>
      <c r="I188" s="158"/>
      <c r="J188" s="179">
        <f>H188/DAY(B2)</f>
        <v>89.96</v>
      </c>
    </row>
    <row r="189" spans="1:10" ht="25.5">
      <c r="A189" s="869" t="s">
        <v>219</v>
      </c>
      <c r="B189" s="870"/>
      <c r="C189" s="333"/>
      <c r="D189" s="230" t="s">
        <v>142</v>
      </c>
      <c r="E189" s="95">
        <f>'24'!F189</f>
        <v>0</v>
      </c>
      <c r="F189" s="157"/>
      <c r="G189" s="376">
        <f>G181</f>
        <v>41</v>
      </c>
      <c r="H189" s="99">
        <f>G189+'24'!H189</f>
        <v>561</v>
      </c>
      <c r="I189" s="158"/>
      <c r="J189" s="179">
        <f>H189/DAY(B2)</f>
        <v>22.44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2" sqref="F1:F10485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354</v>
      </c>
      <c r="B2" s="262">
        <v>44983</v>
      </c>
      <c r="C2" s="348" t="s">
        <v>67</v>
      </c>
      <c r="D2" s="218">
        <v>0.37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0" t="s">
        <v>119</v>
      </c>
      <c r="F3" s="931"/>
      <c r="G3" s="428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190481.79</v>
      </c>
      <c r="F7" s="95">
        <v>212605.61</v>
      </c>
      <c r="G7" s="431">
        <f>F7-E7</f>
        <v>22123.819999999978</v>
      </c>
      <c r="H7" s="99">
        <f>G7+'25'!H7</f>
        <v>589238.61</v>
      </c>
      <c r="I7" s="113">
        <f>'1'!I7</f>
        <v>12000</v>
      </c>
      <c r="J7" s="175">
        <f>H7/DAY(B2)</f>
        <v>22663.023461538462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396501.59</v>
      </c>
      <c r="F8" s="114">
        <v>419253.79</v>
      </c>
      <c r="G8" s="432">
        <f>F8-E8</f>
        <v>22752.199999999953</v>
      </c>
      <c r="H8" s="99">
        <f>G8+'25'!H8</f>
        <v>603143.79</v>
      </c>
      <c r="I8" s="116"/>
      <c r="J8" s="175">
        <f>H8/DAY(B2)</f>
        <v>23197.838076923079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5149334.3</v>
      </c>
      <c r="F9" s="468">
        <v>5161463.0999999996</v>
      </c>
      <c r="G9" s="431">
        <f>F9-E9</f>
        <v>12128.799999999814</v>
      </c>
      <c r="H9" s="99">
        <f>G9+'25'!H9</f>
        <v>336364.09999999963</v>
      </c>
      <c r="I9" s="124">
        <f>I7-J7</f>
        <v>-10663.023461538462</v>
      </c>
      <c r="J9" s="175">
        <f>H9/DAY(B2)</f>
        <v>12937.080769230755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4519158.3</v>
      </c>
      <c r="F10" s="353">
        <v>4528548.7</v>
      </c>
      <c r="G10" s="431">
        <f t="shared" ref="G10:G12" si="0">F10-E10</f>
        <v>9390.4000000003725</v>
      </c>
      <c r="H10" s="99">
        <f>G10+'25'!H10</f>
        <v>238014.70000000019</v>
      </c>
      <c r="I10" s="282"/>
      <c r="J10" s="175">
        <f>H10/DAY(B2)</f>
        <v>9154.4115384615452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38700</v>
      </c>
      <c r="F11" s="95">
        <v>38700</v>
      </c>
      <c r="G11" s="431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40550</v>
      </c>
      <c r="F12" s="117">
        <v>40550</v>
      </c>
      <c r="G12" s="431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3">
        <f>G9+G10+G11+G12</f>
        <v>21519.200000000186</v>
      </c>
      <c r="H13" s="99">
        <f>G13+'25'!H13</f>
        <v>574378.79999999981</v>
      </c>
      <c r="I13" s="120">
        <f>G7-G13</f>
        <v>604.61999999979162</v>
      </c>
      <c r="J13" s="175">
        <f>H13/DAY(B2)</f>
        <v>22091.492307692301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'25'!F15</f>
        <v>2316233</v>
      </c>
      <c r="F15" s="468">
        <v>2317433</v>
      </c>
      <c r="G15" s="431">
        <f>(F15-E15)</f>
        <v>1200</v>
      </c>
      <c r="H15" s="99">
        <f>G15+'25'!H15</f>
        <v>28959.285000000149</v>
      </c>
      <c r="I15" s="113">
        <f>'1'!I15</f>
        <v>800</v>
      </c>
      <c r="J15" s="175">
        <f>H15/DAY(B2)</f>
        <v>1113.8186538461596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-313.81865384615958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'25'!F18</f>
        <v>32</v>
      </c>
      <c r="F18" s="164">
        <v>30</v>
      </c>
      <c r="G18" s="433">
        <f>F18*10</f>
        <v>300</v>
      </c>
      <c r="H18" s="99">
        <f>G18+'25'!H18</f>
        <v>5160</v>
      </c>
      <c r="I18" s="113">
        <f>'1'!I18</f>
        <v>65</v>
      </c>
      <c r="J18" s="175">
        <f>H18/DAY(B2)</f>
        <v>198.46153846153845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'25'!F19</f>
        <v>172632</v>
      </c>
      <c r="F19" s="122">
        <v>172670</v>
      </c>
      <c r="G19" s="431">
        <f t="shared" ref="G19" si="1">F19-E19</f>
        <v>38</v>
      </c>
      <c r="H19" s="99">
        <f>G19+'25'!H19</f>
        <v>1347</v>
      </c>
      <c r="I19" s="335"/>
      <c r="J19" s="175">
        <f>H19/DAY(B2)</f>
        <v>51.807692307692307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5">
        <f>G18+G19</f>
        <v>338</v>
      </c>
      <c r="H20" s="99">
        <f>G20+'25'!H20</f>
        <v>6507</v>
      </c>
      <c r="I20" s="336">
        <f>I18-J20</f>
        <v>-185.26923076923077</v>
      </c>
      <c r="J20" s="175">
        <f>H20/DAY(B2)</f>
        <v>250.26923076923077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3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1860</v>
      </c>
      <c r="F23" s="122">
        <v>1500</v>
      </c>
      <c r="G23" s="433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4830</v>
      </c>
      <c r="F24" s="128">
        <v>4470</v>
      </c>
      <c r="G24" s="433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22752.199999999953</v>
      </c>
      <c r="F27" s="136">
        <v>10</v>
      </c>
      <c r="G27" s="438">
        <f>E27*F27</f>
        <v>227521.99999999953</v>
      </c>
      <c r="H27" s="99">
        <f>G27+'25'!H27</f>
        <v>6031437.9000000004</v>
      </c>
      <c r="I27" s="138"/>
      <c r="J27" s="175">
        <f>H27/DAY(B2)</f>
        <v>231978.38076923077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1200</v>
      </c>
      <c r="F28" s="136">
        <v>63</v>
      </c>
      <c r="G28" s="438">
        <f>E28*F28</f>
        <v>75600</v>
      </c>
      <c r="H28" s="99">
        <f>G28+'25'!H28</f>
        <v>1843856.4100000104</v>
      </c>
      <c r="I28" s="140"/>
      <c r="J28" s="175">
        <f>H28/DAY(B2)</f>
        <v>70917.554230769631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G29+'25'!H29</f>
        <v>6900</v>
      </c>
      <c r="I29" s="140"/>
      <c r="J29" s="175">
        <f>H29/DAY(B2)</f>
        <v>265.38461538461536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38</v>
      </c>
      <c r="F30" s="136">
        <v>155</v>
      </c>
      <c r="G30" s="438">
        <f>E30*F30</f>
        <v>5890</v>
      </c>
      <c r="H30" s="99">
        <f>G30+'25'!H30</f>
        <v>207465</v>
      </c>
      <c r="I30" s="140"/>
      <c r="J30" s="175">
        <f>H30/DAY(B2)</f>
        <v>7979.4230769230771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88</v>
      </c>
      <c r="G31" s="438">
        <f>E31*F31</f>
        <v>26400</v>
      </c>
      <c r="H31" s="99">
        <f>G31+'25'!H31</f>
        <v>450420</v>
      </c>
      <c r="I31" s="140"/>
      <c r="J31" s="175">
        <f>H31/DAY(B2)</f>
        <v>17323.846153846152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9">
        <f>G27+G28+G29+G30+G31</f>
        <v>335411.99999999953</v>
      </c>
      <c r="H32" s="99">
        <f>G32+'25'!H32</f>
        <v>8540079.3100000098</v>
      </c>
      <c r="I32" s="144"/>
      <c r="J32" s="175">
        <f>H32/DAY(B2)</f>
        <v>328464.58884615422</v>
      </c>
      <c r="K32" s="63"/>
      <c r="L32" s="89"/>
      <c r="N32" s="87"/>
      <c r="O32" s="71"/>
    </row>
    <row r="33" spans="1:15" ht="25.5">
      <c r="A33" s="935" t="s">
        <v>331</v>
      </c>
      <c r="B33" s="936"/>
      <c r="C33" s="936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597053.55000000005</v>
      </c>
      <c r="F35" s="145">
        <v>599967.75</v>
      </c>
      <c r="G35" s="431">
        <f t="shared" ref="G35:G46" si="3">F35-E35</f>
        <v>2914.1999999999534</v>
      </c>
      <c r="H35" s="99">
        <f>G35+'25'!H35</f>
        <v>69911.75</v>
      </c>
      <c r="I35" s="95"/>
      <c r="J35" s="175">
        <f>H35/DAY(B2)</f>
        <v>2688.9134615384614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408618.39</v>
      </c>
      <c r="F36" s="145">
        <v>409521.87</v>
      </c>
      <c r="G36" s="431">
        <f t="shared" si="3"/>
        <v>903.47999999998137</v>
      </c>
      <c r="H36" s="99">
        <f>G36+'25'!H36</f>
        <v>27700.869999999995</v>
      </c>
      <c r="I36" s="95"/>
      <c r="J36" s="175">
        <f>H36/DAY(B2)</f>
        <v>1065.4180769230768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419556.71</v>
      </c>
      <c r="F37" s="145">
        <v>420957.71</v>
      </c>
      <c r="G37" s="431">
        <f t="shared" si="3"/>
        <v>1401</v>
      </c>
      <c r="H37" s="99">
        <f>G37+'25'!H37</f>
        <v>37338.710000000021</v>
      </c>
      <c r="I37" s="95"/>
      <c r="J37" s="175">
        <f>H37/DAY(B2)</f>
        <v>1436.1042307692317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943263.67</v>
      </c>
      <c r="F38" s="108">
        <v>945976.31</v>
      </c>
      <c r="G38" s="431">
        <f t="shared" si="3"/>
        <v>2712.640000000014</v>
      </c>
      <c r="H38" s="99">
        <f>G38+'25'!H38</f>
        <v>68849.310000000056</v>
      </c>
      <c r="I38" s="95"/>
      <c r="J38" s="175">
        <f>H38/DAY(B2)</f>
        <v>2648.050384615387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777454.07</v>
      </c>
      <c r="F39" s="145">
        <v>780245.11</v>
      </c>
      <c r="G39" s="431">
        <f t="shared" si="3"/>
        <v>2791.0400000000373</v>
      </c>
      <c r="H39" s="99">
        <f>G39+'25'!H39</f>
        <v>74109.109999999986</v>
      </c>
      <c r="I39" s="95"/>
      <c r="J39" s="175">
        <f>H39/DAY(B2)</f>
        <v>2850.350384615384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224598.43</v>
      </c>
      <c r="F40" s="145">
        <v>224811.79</v>
      </c>
      <c r="G40" s="431">
        <f t="shared" si="3"/>
        <v>213.36000000001513</v>
      </c>
      <c r="H40" s="99">
        <f>G40+'25'!H40</f>
        <v>7019.7900000000081</v>
      </c>
      <c r="I40" s="95"/>
      <c r="J40" s="175">
        <f>H40/DAY(B2)</f>
        <v>269.9919230769234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420212.51</v>
      </c>
      <c r="F41" s="145">
        <v>420212.51</v>
      </c>
      <c r="G41" s="431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995520.63</v>
      </c>
      <c r="F42" s="145">
        <v>995520.63</v>
      </c>
      <c r="G42" s="431">
        <f t="shared" si="3"/>
        <v>0</v>
      </c>
      <c r="H42" s="99">
        <f>G42+'25'!H42</f>
        <v>22458</v>
      </c>
      <c r="I42" s="95"/>
      <c r="J42" s="175">
        <f>H42/DAY(B2)</f>
        <v>863.76923076923072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422444</v>
      </c>
      <c r="F43" s="145">
        <v>422444</v>
      </c>
      <c r="G43" s="431">
        <f t="shared" si="3"/>
        <v>0</v>
      </c>
      <c r="H43" s="99">
        <f>G43+'25'!H43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1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1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1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10935.720000000001</v>
      </c>
      <c r="H47" s="99">
        <f>G47+'25'!H47</f>
        <v>307387.54000000004</v>
      </c>
      <c r="I47" s="95"/>
      <c r="J47" s="175">
        <f>H47/DAY(B2)</f>
        <v>11822.597692307694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836523.99</v>
      </c>
      <c r="F49" s="145">
        <v>837001.59</v>
      </c>
      <c r="G49" s="431">
        <f t="shared" ref="G49:G58" si="4">F49-E49</f>
        <v>477.59999999997672</v>
      </c>
      <c r="H49" s="99">
        <f>G49+'25'!H49</f>
        <v>14089.589999999967</v>
      </c>
      <c r="I49" s="95"/>
      <c r="J49" s="175">
        <f>H49/DAY(B2)</f>
        <v>541.9073076923064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579293.23</v>
      </c>
      <c r="F50" s="145">
        <v>580519.91</v>
      </c>
      <c r="G50" s="431">
        <f t="shared" si="4"/>
        <v>1226.6800000000512</v>
      </c>
      <c r="H50" s="99">
        <f>G50+'25'!H50</f>
        <v>38545.910000000033</v>
      </c>
      <c r="I50" s="95"/>
      <c r="J50" s="175">
        <f>H50/DAY(B2)</f>
        <v>1482.5350000000012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156958.44</v>
      </c>
      <c r="F51" s="145">
        <v>156958.44</v>
      </c>
      <c r="G51" s="431">
        <f t="shared" si="4"/>
        <v>0</v>
      </c>
      <c r="H51" s="99">
        <f>G51+'25'!H51</f>
        <v>0.44000000000232831</v>
      </c>
      <c r="I51" s="95"/>
      <c r="J51" s="175">
        <f>H51/DAY(B2)</f>
        <v>1.6923076923166473E-2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1457.43</v>
      </c>
      <c r="F52" s="145">
        <v>1457.43</v>
      </c>
      <c r="G52" s="431">
        <f t="shared" si="4"/>
        <v>0</v>
      </c>
      <c r="H52" s="99">
        <f>G52+'25'!H52</f>
        <v>0.43000000000006366</v>
      </c>
      <c r="I52" s="95"/>
      <c r="J52" s="175">
        <f>H52/DAY(B2)</f>
        <v>1.6538461538463986E-2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630355.03</v>
      </c>
      <c r="F53" s="145">
        <v>630355.03</v>
      </c>
      <c r="G53" s="431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131834.98000000001</v>
      </c>
      <c r="F54" s="422">
        <v>132196.71</v>
      </c>
      <c r="G54" s="431">
        <f t="shared" si="4"/>
        <v>361.72999999998137</v>
      </c>
      <c r="H54" s="99">
        <f>G54+'25'!H54</f>
        <v>8082.4999999999854</v>
      </c>
      <c r="I54" s="95"/>
      <c r="J54" s="175">
        <f>H54/DAY(B2)</f>
        <v>310.86538461538407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632292.91</v>
      </c>
      <c r="F55" s="145">
        <v>632292.91</v>
      </c>
      <c r="G55" s="431">
        <f t="shared" si="4"/>
        <v>0</v>
      </c>
      <c r="H55" s="99">
        <f>G55+'25'!H55</f>
        <v>37988.160000000033</v>
      </c>
      <c r="I55" s="95"/>
      <c r="J55" s="175">
        <f>H55/DAY(B2)</f>
        <v>1461.0830769230781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410503.63</v>
      </c>
      <c r="F56" s="145">
        <v>413913.59</v>
      </c>
      <c r="G56" s="431">
        <f t="shared" si="4"/>
        <v>3409.960000000021</v>
      </c>
      <c r="H56" s="99">
        <f>G56+'25'!H56</f>
        <v>40793.590000000026</v>
      </c>
      <c r="I56" s="95"/>
      <c r="J56" s="175">
        <f>H56/DAY(B2)</f>
        <v>1568.9842307692318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771851.99</v>
      </c>
      <c r="F57" s="145">
        <v>774146.87</v>
      </c>
      <c r="G57" s="431">
        <f t="shared" si="4"/>
        <v>2294.8800000000047</v>
      </c>
      <c r="H57" s="99">
        <f>G57+'25'!H57</f>
        <v>66448.87</v>
      </c>
      <c r="I57" s="95"/>
      <c r="J57" s="175">
        <f>H57/DAY(B2)</f>
        <v>2555.7257692307689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100787.23</v>
      </c>
      <c r="F58" s="145">
        <v>101085.48</v>
      </c>
      <c r="G58" s="431">
        <f t="shared" si="4"/>
        <v>298.25</v>
      </c>
      <c r="H58" s="99">
        <f>G58+'25'!H58</f>
        <v>6515.6599999999889</v>
      </c>
      <c r="I58" s="95"/>
      <c r="J58" s="175">
        <f>H58/DAY(B2)</f>
        <v>250.60230769230728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8069.1000000000349</v>
      </c>
      <c r="H59" s="99">
        <f>G59+'25'!H59</f>
        <v>212465.15000000002</v>
      </c>
      <c r="I59" s="95">
        <f>G7-G60</f>
        <v>3118.9999999999418</v>
      </c>
      <c r="J59" s="175">
        <f>H59/DAY(B2)</f>
        <v>8171.7365384615396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3">
        <f>G47+G59</f>
        <v>19004.820000000036</v>
      </c>
      <c r="H60" s="99">
        <f>G60+'25'!H60</f>
        <v>519852.69000000006</v>
      </c>
      <c r="I60" s="95">
        <f>G13-G60</f>
        <v>2514.3800000001502</v>
      </c>
      <c r="J60" s="175">
        <f>H60/DAY(B2)</f>
        <v>19994.334230769233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'25'!F62</f>
        <v>317845</v>
      </c>
      <c r="F62" s="122">
        <v>317950</v>
      </c>
      <c r="G62" s="431">
        <f t="shared" ref="G62:G63" si="5">F62-E62</f>
        <v>105</v>
      </c>
      <c r="H62" s="99">
        <f>G62+'25'!H62</f>
        <v>2273</v>
      </c>
      <c r="I62" s="118"/>
      <c r="J62" s="175">
        <f>H62/DAY(B2)</f>
        <v>87.42307692307692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'25'!F63</f>
        <v>254485</v>
      </c>
      <c r="F63" s="122">
        <v>254569</v>
      </c>
      <c r="G63" s="431">
        <f t="shared" si="5"/>
        <v>84</v>
      </c>
      <c r="H63" s="99">
        <f>G63+'25'!H63</f>
        <v>2245</v>
      </c>
      <c r="I63" s="118"/>
      <c r="J63" s="175">
        <f>H63/DAY(B2)</f>
        <v>86.34615384615384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'25'!F64</f>
        <v>0</v>
      </c>
      <c r="F64" s="122"/>
      <c r="G64" s="431">
        <f>G62+G63</f>
        <v>189</v>
      </c>
      <c r="H64" s="99">
        <f>G64+'25'!H64</f>
        <v>4518</v>
      </c>
      <c r="I64" s="118"/>
      <c r="J64" s="175">
        <f>H64/DAY(B2)</f>
        <v>173.76923076923077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'25'!F65</f>
        <v>479196</v>
      </c>
      <c r="F65" s="122">
        <v>479291</v>
      </c>
      <c r="G65" s="431">
        <f t="shared" ref="G65:G70" si="6">F65-E65</f>
        <v>95</v>
      </c>
      <c r="H65" s="99">
        <f>G65+'25'!H65</f>
        <v>3388</v>
      </c>
      <c r="I65" s="118"/>
      <c r="J65" s="175">
        <f>H65/DAY(B2)</f>
        <v>130.30769230769232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114831</v>
      </c>
      <c r="F66" s="122">
        <v>114842</v>
      </c>
      <c r="G66" s="431">
        <f t="shared" si="6"/>
        <v>11</v>
      </c>
      <c r="H66" s="99">
        <f>G66+'25'!H66</f>
        <v>376</v>
      </c>
      <c r="I66" s="118"/>
      <c r="J66" s="175">
        <f>H66/DAY(B2)</f>
        <v>14.461538461538462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117984</v>
      </c>
      <c r="F67" s="164">
        <v>118018</v>
      </c>
      <c r="G67" s="431">
        <f t="shared" si="6"/>
        <v>34</v>
      </c>
      <c r="H67" s="99">
        <f>G67+'25'!H67</f>
        <v>736</v>
      </c>
      <c r="I67" s="118"/>
      <c r="J67" s="175">
        <f>H67/DAY(B2)</f>
        <v>28.307692307692307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170462</v>
      </c>
      <c r="F68" s="122">
        <v>170472</v>
      </c>
      <c r="G68" s="431">
        <f>F68-E68</f>
        <v>10</v>
      </c>
      <c r="H68" s="99">
        <f>G68+'25'!H68</f>
        <v>522</v>
      </c>
      <c r="I68" s="118"/>
      <c r="J68" s="175">
        <f>H68/DAY(B2)</f>
        <v>20.076923076923077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13363</v>
      </c>
      <c r="F69" s="122">
        <v>13372.3</v>
      </c>
      <c r="G69" s="431">
        <f t="shared" si="6"/>
        <v>9.2999999999992724</v>
      </c>
      <c r="H69" s="99">
        <f>G69+'25'!H69</f>
        <v>160.29999999999927</v>
      </c>
      <c r="I69" s="118"/>
      <c r="J69" s="175">
        <f>H69/DAY(B2)</f>
        <v>6.1653846153845873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11447</v>
      </c>
      <c r="F70" s="122">
        <v>11448</v>
      </c>
      <c r="G70" s="431">
        <f t="shared" si="6"/>
        <v>1</v>
      </c>
      <c r="H70" s="99">
        <f>G70+'25'!H70</f>
        <v>190</v>
      </c>
      <c r="I70" s="118"/>
      <c r="J70" s="175">
        <f>H70/DAY(B2)</f>
        <v>7.3076923076923075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443">
        <f>SUM(G65:G70)</f>
        <v>160.29999999999927</v>
      </c>
      <c r="H71" s="99">
        <f>G71+'25'!H71</f>
        <v>5372.2999999999993</v>
      </c>
      <c r="I71" s="154"/>
      <c r="J71" s="175">
        <f>H71/DAY(B2)</f>
        <v>206.62692307692305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'25'!F74</f>
        <v>19923.099999999999</v>
      </c>
      <c r="F74" s="123">
        <v>20225.64</v>
      </c>
      <c r="G74" s="431">
        <f t="shared" ref="G74:G78" si="7">F74-E74</f>
        <v>302.54000000000087</v>
      </c>
      <c r="H74" s="99">
        <f>G74+'25'!H74</f>
        <v>4345.6399999999994</v>
      </c>
      <c r="I74" s="154"/>
      <c r="J74" s="175">
        <f>H74/DAY(B2)</f>
        <v>167.14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'25'!F75</f>
        <v>73586.8</v>
      </c>
      <c r="F75" s="123">
        <v>73586.8</v>
      </c>
      <c r="G75" s="431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'25'!F76</f>
        <v>213717.7</v>
      </c>
      <c r="F76" s="123">
        <v>213823.31</v>
      </c>
      <c r="G76" s="431">
        <f t="shared" si="7"/>
        <v>105.60999999998603</v>
      </c>
      <c r="H76" s="99">
        <f>G76+'25'!H76</f>
        <v>3163.3099999999977</v>
      </c>
      <c r="I76" s="154"/>
      <c r="J76" s="175">
        <f>H76/DAY(B2)</f>
        <v>121.66576923076914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'25'!F77</f>
        <v>61105</v>
      </c>
      <c r="F77" s="123">
        <v>61166</v>
      </c>
      <c r="G77" s="431">
        <f t="shared" si="7"/>
        <v>61</v>
      </c>
      <c r="H77" s="99">
        <f>G77+'25'!H77</f>
        <v>1405</v>
      </c>
      <c r="I77" s="154"/>
      <c r="J77" s="175">
        <f>H77/DAY(B2)</f>
        <v>54.03846153846154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'25'!F78</f>
        <v>9564</v>
      </c>
      <c r="F78" s="123">
        <v>9564</v>
      </c>
      <c r="G78" s="431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'25'!F79</f>
        <v>0</v>
      </c>
      <c r="F79" s="117"/>
      <c r="G79" s="431">
        <f>G15-SUM(G74:G78)</f>
        <v>730.8500000000131</v>
      </c>
      <c r="H79" s="99">
        <f>G79+'25'!H79</f>
        <v>16426.835000000152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431">
        <f>SUM(G74:G79)</f>
        <v>1200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445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1">
        <f t="shared" ref="G82:G92" si="8">F82-E82</f>
        <v>0</v>
      </c>
      <c r="H82" s="99">
        <f>G82+'25'!H82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1">
        <f t="shared" si="8"/>
        <v>0</v>
      </c>
      <c r="H83" s="99">
        <f>G83+'25'!H83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43546</v>
      </c>
      <c r="F84" s="164">
        <v>43546</v>
      </c>
      <c r="G84" s="431">
        <f t="shared" si="8"/>
        <v>0</v>
      </c>
      <c r="H84" s="99">
        <f>G84+'25'!H84</f>
        <v>-0.34999999999854481</v>
      </c>
      <c r="I84" s="543"/>
      <c r="J84" s="175">
        <f>H84/DAY(B2)</f>
        <v>-1.3461538461482493E-2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6320.56</v>
      </c>
      <c r="F85" s="164">
        <v>6320.56</v>
      </c>
      <c r="G85" s="431">
        <f t="shared" si="8"/>
        <v>0</v>
      </c>
      <c r="H85" s="99">
        <f>G85+'25'!H85</f>
        <v>107.5600000000004</v>
      </c>
      <c r="I85" s="543"/>
      <c r="J85" s="175">
        <f>H85/DAY(B2)</f>
        <v>4.1369230769230922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47231.55</v>
      </c>
      <c r="F86" s="164">
        <v>47231.55</v>
      </c>
      <c r="G86" s="431">
        <f t="shared" si="8"/>
        <v>0</v>
      </c>
      <c r="H86" s="99">
        <f>G86+'25'!H86</f>
        <v>260.55000000000291</v>
      </c>
      <c r="I86" s="543"/>
      <c r="J86" s="175">
        <f>H86/DAY(B2)</f>
        <v>10.021153846153958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37639.43</v>
      </c>
      <c r="F87" s="164">
        <v>37663.084999999999</v>
      </c>
      <c r="G87" s="431">
        <f t="shared" si="8"/>
        <v>23.654999999998836</v>
      </c>
      <c r="H87" s="99">
        <f>G87+'25'!H87</f>
        <v>299.08499999999913</v>
      </c>
      <c r="I87" s="543">
        <f>G84+G85+G86+G87</f>
        <v>23.654999999998836</v>
      </c>
      <c r="J87" s="175">
        <f>H87/DAY(B2)</f>
        <v>11.503269230769197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24919.26</v>
      </c>
      <c r="F88" s="164">
        <v>24924.41</v>
      </c>
      <c r="G88" s="431">
        <f t="shared" si="8"/>
        <v>5.1500000000014552</v>
      </c>
      <c r="H88" s="99">
        <f>G88+'25'!H88</f>
        <v>162.40999999999985</v>
      </c>
      <c r="I88" s="543"/>
      <c r="J88" s="175">
        <f>H88/DAY(B2)</f>
        <v>6.2465384615384556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29182.42</v>
      </c>
      <c r="F89" s="164">
        <v>29194.9</v>
      </c>
      <c r="G89" s="431">
        <f t="shared" si="8"/>
        <v>12.480000000003201</v>
      </c>
      <c r="H89" s="99">
        <f>G89+'25'!H89</f>
        <v>166.90000000000146</v>
      </c>
      <c r="I89" s="543">
        <f>G88+G89</f>
        <v>17.630000000004657</v>
      </c>
      <c r="J89" s="175">
        <f>H89/DAY(B2)</f>
        <v>6.4192307692308255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74640.2</v>
      </c>
      <c r="F90" s="164">
        <v>74646.38</v>
      </c>
      <c r="G90" s="431">
        <f t="shared" si="8"/>
        <v>6.180000000007567</v>
      </c>
      <c r="H90" s="99">
        <f>G90+'25'!H90</f>
        <v>198.38000000000466</v>
      </c>
      <c r="I90" s="543">
        <f>G90</f>
        <v>6.180000000007567</v>
      </c>
      <c r="J90" s="175">
        <f>H90/DAY(B2)</f>
        <v>7.6300000000001793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5875.58</v>
      </c>
      <c r="F91" s="122">
        <v>5887.26</v>
      </c>
      <c r="G91" s="431">
        <f t="shared" si="8"/>
        <v>11.680000000000291</v>
      </c>
      <c r="H91" s="99">
        <f>G91+'25'!H91</f>
        <v>269.05000000000018</v>
      </c>
      <c r="I91" s="544"/>
      <c r="J91" s="175">
        <f>H91/DAY(B2)</f>
        <v>10.348076923076929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7469.34</v>
      </c>
      <c r="F92" s="122">
        <v>7469.34</v>
      </c>
      <c r="G92" s="431">
        <f t="shared" si="8"/>
        <v>0</v>
      </c>
      <c r="H92" s="99">
        <f>G92+'25'!H92</f>
        <v>37.0600000000004</v>
      </c>
      <c r="I92" s="545">
        <f>G91+G92</f>
        <v>11.680000000000291</v>
      </c>
      <c r="J92" s="175">
        <f>H92/DAY(B2)</f>
        <v>1.4253846153846308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446">
        <f>G35+G43+G49+G57</f>
        <v>5686.6799999999348</v>
      </c>
      <c r="H94" s="99">
        <f>G94+'25'!H94</f>
        <v>150450.20999999996</v>
      </c>
      <c r="I94" s="118"/>
      <c r="J94" s="175">
        <f>H94/DAY(B2)</f>
        <v>5786.5465384615372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447">
        <f>G94/G7</f>
        <v>0.25703879348141234</v>
      </c>
      <c r="H95" s="99">
        <f>G95+'25'!H95</f>
        <v>6.6493673358157368</v>
      </c>
      <c r="I95" s="167"/>
      <c r="J95" s="175">
        <f>H95/DAY(B2)</f>
        <v>0.25574489753137447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446">
        <f>G41+G42+G55+G56</f>
        <v>3409.960000000021</v>
      </c>
      <c r="H96" s="99">
        <f>G96+'25'!H96</f>
        <v>101239.75000000006</v>
      </c>
      <c r="I96" s="118"/>
      <c r="J96" s="175">
        <f>H96/DAY(B2)</f>
        <v>3893.8365384615408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447">
        <f>G96/G7</f>
        <v>0.15413070618003691</v>
      </c>
      <c r="H97" s="99">
        <f>G97+'25'!H97</f>
        <v>4.4447987012964765</v>
      </c>
      <c r="I97" s="167"/>
      <c r="J97" s="175">
        <f>H97/DAY(B2)</f>
        <v>0.17095379620371062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446">
        <f>G39+G53</f>
        <v>2791.0400000000373</v>
      </c>
      <c r="H98" s="99">
        <f>G98+'25'!H98</f>
        <v>74109.109999999986</v>
      </c>
      <c r="I98" s="168"/>
      <c r="J98" s="175">
        <f>H98/DAY(B2)</f>
        <v>2850.350384615384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447">
        <f>G98/G7</f>
        <v>0.12615542885451247</v>
      </c>
      <c r="H99" s="99">
        <f>G99+'25'!H99</f>
        <v>3.276924532577445</v>
      </c>
      <c r="I99" s="168"/>
      <c r="J99" s="175">
        <f>H99/DAY(B2)</f>
        <v>0.12603555894528634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446">
        <f>G38+G52</f>
        <v>2712.640000000014</v>
      </c>
      <c r="H100" s="99">
        <f>G100+'25'!H100</f>
        <v>68849.740000000049</v>
      </c>
      <c r="I100" s="118"/>
      <c r="J100" s="175">
        <f>H100/DAY(B2)</f>
        <v>2648.0669230769249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447">
        <f>G100/G7</f>
        <v>0.12261173703275549</v>
      </c>
      <c r="H101" s="99">
        <f>G101+'25'!H101</f>
        <v>3.0400760135366047</v>
      </c>
      <c r="I101" s="168"/>
      <c r="J101" s="175">
        <f>H101/DAY(B2)</f>
        <v>0.11692600052063865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446">
        <f>G36+G50</f>
        <v>2130.1600000000326</v>
      </c>
      <c r="H102" s="99">
        <f>G102+'25'!H102</f>
        <v>66246.780000000028</v>
      </c>
      <c r="I102" s="168"/>
      <c r="J102" s="175">
        <f>H102/DAY(B2)</f>
        <v>2547.9530769230778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447">
        <f>G102/G7</f>
        <v>9.6283553201935046E-2</v>
      </c>
      <c r="H103" s="99">
        <f>G103+'25'!H103</f>
        <v>2.914603132401961</v>
      </c>
      <c r="I103" s="118"/>
      <c r="J103" s="175">
        <f>H103/DAY(B2)</f>
        <v>0.11210012047699849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446">
        <f>G37+G51</f>
        <v>1401</v>
      </c>
      <c r="H104" s="99">
        <f>G104+'25'!H104</f>
        <v>37339.150000000023</v>
      </c>
      <c r="I104" s="118"/>
      <c r="J104" s="175">
        <f>H104/DAY(B2)</f>
        <v>1436.1211538461548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448">
        <f>G104/G7</f>
        <v>6.3325411253572009E-2</v>
      </c>
      <c r="H105" s="99">
        <f>G105+'25'!H105</f>
        <v>1.6498770242548229</v>
      </c>
      <c r="I105" s="187"/>
      <c r="J105" s="188">
        <f>H105/DAY(B2)</f>
        <v>6.345680862518549E-2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451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'25'!F112</f>
        <v>20930.93</v>
      </c>
      <c r="F112" s="237">
        <v>20990.799999999999</v>
      </c>
      <c r="G112" s="431">
        <f t="shared" ref="G112:G123" si="9">F112-E112</f>
        <v>59.869999999998981</v>
      </c>
      <c r="H112" s="99">
        <f>G112+'25'!H112</f>
        <v>1593.7999999999993</v>
      </c>
      <c r="I112" s="165"/>
      <c r="J112" s="328">
        <f>H112/DAY(B2)</f>
        <v>61.299999999999969</v>
      </c>
    </row>
    <row r="113" spans="1:18" ht="25.5">
      <c r="A113" s="883" t="s">
        <v>253</v>
      </c>
      <c r="B113" s="884"/>
      <c r="C113" s="885"/>
      <c r="D113" s="146" t="s">
        <v>183</v>
      </c>
      <c r="E113" s="95">
        <f>'25'!F113</f>
        <v>45165.85</v>
      </c>
      <c r="F113" s="237">
        <v>45308.76</v>
      </c>
      <c r="G113" s="431">
        <f t="shared" si="9"/>
        <v>142.91000000000349</v>
      </c>
      <c r="H113" s="99">
        <f>G113+'25'!H113</f>
        <v>3788.8100000000049</v>
      </c>
      <c r="I113" s="165"/>
      <c r="J113" s="328">
        <f>H113/DAY(B2)</f>
        <v>145.72346153846172</v>
      </c>
    </row>
    <row r="114" spans="1:18" ht="25.5">
      <c r="A114" s="883" t="s">
        <v>254</v>
      </c>
      <c r="B114" s="884"/>
      <c r="C114" s="885"/>
      <c r="D114" s="146" t="s">
        <v>183</v>
      </c>
      <c r="E114" s="95">
        <f>'25'!F114</f>
        <v>66861.97</v>
      </c>
      <c r="F114" s="237">
        <v>67082.880000000005</v>
      </c>
      <c r="G114" s="431">
        <f t="shared" si="9"/>
        <v>220.91000000000349</v>
      </c>
      <c r="H114" s="99">
        <f>G114+'25'!H114</f>
        <v>5864.8800000000047</v>
      </c>
      <c r="I114" s="165"/>
      <c r="J114" s="328">
        <f>H114/DAY(B2)</f>
        <v>225.57230769230787</v>
      </c>
    </row>
    <row r="115" spans="1:18" ht="25.5">
      <c r="A115" s="883" t="s">
        <v>255</v>
      </c>
      <c r="B115" s="884"/>
      <c r="C115" s="885"/>
      <c r="D115" s="146" t="s">
        <v>183</v>
      </c>
      <c r="E115" s="95">
        <f>'25'!F115</f>
        <v>43068.77</v>
      </c>
      <c r="F115" s="237">
        <v>43217.65</v>
      </c>
      <c r="G115" s="431">
        <f t="shared" si="9"/>
        <v>148.88000000000466</v>
      </c>
      <c r="H115" s="99">
        <f>G115+'25'!H115</f>
        <v>3758.6500000000015</v>
      </c>
      <c r="I115" s="165"/>
      <c r="J115" s="328">
        <f>H115/DAY(B2)</f>
        <v>144.56346153846158</v>
      </c>
    </row>
    <row r="116" spans="1:18" ht="25.5">
      <c r="A116" s="890" t="s">
        <v>96</v>
      </c>
      <c r="B116" s="891"/>
      <c r="C116" s="892"/>
      <c r="D116" s="146" t="s">
        <v>183</v>
      </c>
      <c r="E116" s="95">
        <f>'25'!F116</f>
        <v>158706.62</v>
      </c>
      <c r="F116" s="237">
        <v>159048.74</v>
      </c>
      <c r="G116" s="431">
        <f t="shared" si="9"/>
        <v>342.11999999999534</v>
      </c>
      <c r="H116" s="99">
        <f>G116+'25'!H116</f>
        <v>11118.739999999991</v>
      </c>
      <c r="I116" s="165"/>
      <c r="J116" s="328">
        <f>H116/DAY(B2)</f>
        <v>427.6438461538458</v>
      </c>
      <c r="Q116" s="883" t="s">
        <v>311</v>
      </c>
      <c r="R116" s="885"/>
    </row>
    <row r="117" spans="1:18" ht="25.5">
      <c r="A117" s="890" t="s">
        <v>184</v>
      </c>
      <c r="B117" s="891"/>
      <c r="C117" s="892"/>
      <c r="D117" s="146" t="s">
        <v>183</v>
      </c>
      <c r="E117" s="405">
        <f>'25'!F117</f>
        <v>98268.03</v>
      </c>
      <c r="F117" s="416">
        <v>98557.77</v>
      </c>
      <c r="G117" s="519">
        <f t="shared" si="9"/>
        <v>289.74000000000524</v>
      </c>
      <c r="H117" s="99">
        <f>G117+'25'!H117</f>
        <v>6568.3709999999992</v>
      </c>
      <c r="I117" s="165"/>
      <c r="J117" s="328">
        <f>H117/DAY(B2)</f>
        <v>252.62965384615381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'25'!F118</f>
        <v>195121.69</v>
      </c>
      <c r="F118" s="237">
        <v>195750.31</v>
      </c>
      <c r="G118" s="431">
        <f t="shared" si="9"/>
        <v>628.61999999999534</v>
      </c>
      <c r="H118" s="99">
        <f>G118+'25'!H118</f>
        <v>18217.78</v>
      </c>
      <c r="I118" s="165"/>
      <c r="J118" s="328">
        <f>H118/DAY(B2)</f>
        <v>700.68384615384616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'25'!F119</f>
        <v>46692.24</v>
      </c>
      <c r="F119" s="237">
        <v>46773.99</v>
      </c>
      <c r="G119" s="431">
        <f t="shared" si="9"/>
        <v>81.75</v>
      </c>
      <c r="H119" s="99">
        <f>G119+'25'!H119</f>
        <v>1580.989999999998</v>
      </c>
      <c r="I119" s="165"/>
      <c r="J119" s="328">
        <f>H119/DAY(B2)</f>
        <v>60.807307692307617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'25'!F120</f>
        <v>130221.16</v>
      </c>
      <c r="F120" s="237">
        <v>130623.95</v>
      </c>
      <c r="G120" s="431">
        <f t="shared" si="9"/>
        <v>402.7899999999936</v>
      </c>
      <c r="H120" s="99">
        <f>G120+'25'!H120</f>
        <v>10179.949999999997</v>
      </c>
      <c r="I120" s="165"/>
      <c r="J120" s="328">
        <f>H120/DAY(B2)</f>
        <v>391.53653846153833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'25'!F121</f>
        <v>145499.63</v>
      </c>
      <c r="F121" s="237">
        <v>145927.18</v>
      </c>
      <c r="G121" s="431">
        <f t="shared" si="9"/>
        <v>427.54999999998836</v>
      </c>
      <c r="H121" s="99">
        <f>G121+'25'!H121</f>
        <v>11364.179999999993</v>
      </c>
      <c r="I121" s="165"/>
      <c r="J121" s="328">
        <f>H121/DAY(B2)</f>
        <v>437.08384615384591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'25'!F122</f>
        <v>98469.23</v>
      </c>
      <c r="F122" s="237">
        <v>98769.59</v>
      </c>
      <c r="G122" s="431">
        <f t="shared" si="9"/>
        <v>300.36000000000058</v>
      </c>
      <c r="H122" s="99">
        <f>G122+'25'!H122</f>
        <v>7892.5899999999965</v>
      </c>
      <c r="I122" s="165"/>
      <c r="J122" s="328">
        <f>H122/DAY(B2)</f>
        <v>303.56115384615373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'25'!F123</f>
        <v>95300.6</v>
      </c>
      <c r="F123" s="237">
        <v>95613.8</v>
      </c>
      <c r="G123" s="431">
        <f t="shared" si="9"/>
        <v>313.19999999999709</v>
      </c>
      <c r="H123" s="99">
        <f>G123+'25'!H123</f>
        <v>8034.8000000000029</v>
      </c>
      <c r="I123" s="165"/>
      <c r="J123" s="328">
        <f>H123/DAY(B2)</f>
        <v>309.03076923076935</v>
      </c>
    </row>
    <row r="124" spans="1:18" ht="25.5">
      <c r="A124" s="887"/>
      <c r="B124" s="888"/>
      <c r="C124" s="889"/>
      <c r="D124" s="165"/>
      <c r="E124" s="95">
        <f>'25'!F124</f>
        <v>0</v>
      </c>
      <c r="F124" s="165"/>
      <c r="G124" s="451"/>
      <c r="H124" s="156"/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452">
        <f>SUM(G112:G124)</f>
        <v>3358.6999999999862</v>
      </c>
      <c r="H125" s="156"/>
      <c r="I125" s="327">
        <f>G125-(G39+G53)</f>
        <v>567.65999999994892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452"/>
      <c r="H127" s="99">
        <f>G127+'25'!H127</f>
        <v>0</v>
      </c>
      <c r="I127" s="165"/>
      <c r="J127" s="328">
        <f>H127/DAY(B2)</f>
        <v>0</v>
      </c>
    </row>
    <row r="128" spans="1:18" ht="25.5">
      <c r="A128" s="883" t="s">
        <v>318</v>
      </c>
      <c r="B128" s="884"/>
      <c r="C128" s="885"/>
      <c r="D128" s="151" t="s">
        <v>183</v>
      </c>
      <c r="E128" s="95">
        <f>'25'!F128</f>
        <v>219170.65</v>
      </c>
      <c r="F128" s="165">
        <v>219604.07</v>
      </c>
      <c r="G128" s="431">
        <f t="shared" ref="G128:G134" si="10">F128-E128</f>
        <v>433.42000000001281</v>
      </c>
      <c r="H128" s="99">
        <f>G128+'25'!H128</f>
        <v>12315.070000000007</v>
      </c>
      <c r="I128" s="165"/>
      <c r="J128" s="328">
        <f>H128/DAY(B2)</f>
        <v>473.65653846153873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3584.71</v>
      </c>
      <c r="F129" s="165">
        <v>3679.16</v>
      </c>
      <c r="G129" s="431">
        <f t="shared" si="10"/>
        <v>94.449999999999818</v>
      </c>
      <c r="H129" s="99">
        <f>G129+'25'!H129</f>
        <v>2945.16</v>
      </c>
      <c r="I129" s="165"/>
      <c r="J129" s="328">
        <f>H129/DAY(B2)</f>
        <v>113.27538461538461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303761.99</v>
      </c>
      <c r="F130" s="165">
        <v>304609.63</v>
      </c>
      <c r="G130" s="431">
        <f t="shared" si="10"/>
        <v>847.64000000001397</v>
      </c>
      <c r="H130" s="99">
        <f>G130+'25'!H130</f>
        <v>15887.630000000005</v>
      </c>
      <c r="I130" s="165"/>
      <c r="J130" s="328">
        <f>H130/DAY(B2)</f>
        <v>611.06269230769249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'25'!F131</f>
        <v>89661.45</v>
      </c>
      <c r="F131" s="165">
        <v>89848.88</v>
      </c>
      <c r="G131" s="431">
        <f t="shared" si="10"/>
        <v>187.43000000000757</v>
      </c>
      <c r="H131" s="99">
        <f>G131+'25'!H131</f>
        <v>5145.0500000000029</v>
      </c>
      <c r="I131" s="165"/>
      <c r="J131" s="328">
        <f>H131/DAY(B2)</f>
        <v>197.88653846153858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'25'!F132</f>
        <v>75363.64</v>
      </c>
      <c r="F132" s="165">
        <v>75651.11</v>
      </c>
      <c r="G132" s="431">
        <f t="shared" si="10"/>
        <v>287.47000000000116</v>
      </c>
      <c r="H132" s="99">
        <f>G132+'25'!H132</f>
        <v>8204.11</v>
      </c>
      <c r="I132" s="165"/>
      <c r="J132" s="328">
        <f>H132/DAY(B2)</f>
        <v>315.54269230769233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'25'!F133</f>
        <v>966878</v>
      </c>
      <c r="F133" s="165">
        <v>967643</v>
      </c>
      <c r="G133" s="431">
        <f t="shared" si="10"/>
        <v>765</v>
      </c>
      <c r="H133" s="99">
        <f>G133+'25'!H133</f>
        <v>12670</v>
      </c>
      <c r="I133" s="165"/>
      <c r="J133" s="328">
        <f>H133/DAY(B2)</f>
        <v>487.30769230769232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'25'!F134</f>
        <v>99645.759999999995</v>
      </c>
      <c r="F134" s="165">
        <v>99897.11</v>
      </c>
      <c r="G134" s="431">
        <f t="shared" si="10"/>
        <v>251.35000000000582</v>
      </c>
      <c r="H134" s="99">
        <f>G134+'25'!H134</f>
        <v>9215.4199999999983</v>
      </c>
      <c r="I134" s="165"/>
      <c r="J134" s="328">
        <f>H134/DAY(B2)</f>
        <v>354.43923076923068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431">
        <f>SUM(G128:G134)</f>
        <v>2866.7600000000411</v>
      </c>
      <c r="H135" s="99">
        <f>G135+'23'!H135</f>
        <v>29101.539999999997</v>
      </c>
      <c r="I135" s="327">
        <f>G135-(G35+G49)</f>
        <v>-525.03999999988901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'25'!F138</f>
        <v>916023</v>
      </c>
      <c r="F138" s="147">
        <v>916283</v>
      </c>
      <c r="G138" s="431">
        <f t="shared" ref="G138:G152" si="11">F138-E138</f>
        <v>260</v>
      </c>
      <c r="H138" s="99">
        <f>G138+'25'!H138</f>
        <v>6882</v>
      </c>
      <c r="I138" s="118"/>
      <c r="J138" s="328">
        <f>H138/DAY(B2)</f>
        <v>264.69230769230768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'25'!F139</f>
        <v>941018</v>
      </c>
      <c r="F139" s="148">
        <v>941164</v>
      </c>
      <c r="G139" s="431">
        <f t="shared" si="11"/>
        <v>146</v>
      </c>
      <c r="H139" s="99">
        <f>G139+'25'!H139</f>
        <v>3906</v>
      </c>
      <c r="I139" s="118"/>
      <c r="J139" s="328">
        <f>H139/DAY(B2)</f>
        <v>150.23076923076923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'25'!F140</f>
        <v>5585</v>
      </c>
      <c r="F140" s="148">
        <v>5620.51</v>
      </c>
      <c r="G140" s="431">
        <f t="shared" si="11"/>
        <v>35.510000000000218</v>
      </c>
      <c r="H140" s="99">
        <f>G140+'25'!H140</f>
        <v>856.51000000000022</v>
      </c>
      <c r="I140" s="118"/>
      <c r="J140" s="328">
        <f>H140/DAY(B2)</f>
        <v>32.942692307692319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'25'!F141</f>
        <v>137723.75</v>
      </c>
      <c r="F141" s="148">
        <v>137980.49</v>
      </c>
      <c r="G141" s="431">
        <f t="shared" si="11"/>
        <v>256.73999999999069</v>
      </c>
      <c r="H141" s="99">
        <f>G141+'25'!H141</f>
        <v>6660.4899999999907</v>
      </c>
      <c r="I141" s="118"/>
      <c r="J141" s="328">
        <f>H141/DAY(B2)</f>
        <v>256.17269230769193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'25'!F142</f>
        <v>55494.47</v>
      </c>
      <c r="F142" s="148">
        <v>55577.42</v>
      </c>
      <c r="G142" s="431">
        <f t="shared" si="11"/>
        <v>82.94999999999709</v>
      </c>
      <c r="H142" s="99">
        <f>G142+'25'!H142</f>
        <v>2386.4199999999983</v>
      </c>
      <c r="I142" s="140"/>
      <c r="J142" s="328">
        <f>H142/DAY(B2)</f>
        <v>91.785384615384544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'25'!F143</f>
        <v>15123.99</v>
      </c>
      <c r="F143" s="148">
        <v>15157.2</v>
      </c>
      <c r="G143" s="431">
        <f t="shared" si="11"/>
        <v>33.210000000000946</v>
      </c>
      <c r="H143" s="99">
        <f>G143+'25'!H143</f>
        <v>845.20000000000073</v>
      </c>
      <c r="I143" s="140"/>
      <c r="J143" s="328">
        <f>H143/DAY(B2)</f>
        <v>32.507692307692338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'25'!F144</f>
        <v>969574</v>
      </c>
      <c r="F144" s="148">
        <v>969820</v>
      </c>
      <c r="G144" s="431">
        <f t="shared" si="11"/>
        <v>246</v>
      </c>
      <c r="H144" s="99">
        <f>G144+'25'!H144</f>
        <v>6594</v>
      </c>
      <c r="I144" s="140"/>
      <c r="J144" s="328">
        <f>H144/DAY(B2)</f>
        <v>253.61538461538461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'25'!F145</f>
        <v>756104</v>
      </c>
      <c r="F145" s="148">
        <v>756313</v>
      </c>
      <c r="G145" s="431">
        <f t="shared" si="11"/>
        <v>209</v>
      </c>
      <c r="H145" s="99">
        <f>G145+'25'!H145</f>
        <v>5580</v>
      </c>
      <c r="I145" s="140"/>
      <c r="J145" s="328">
        <f>H145/DAY(B2)</f>
        <v>214.61538461538461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'25'!F146</f>
        <v>789959</v>
      </c>
      <c r="F146" s="148">
        <v>789985</v>
      </c>
      <c r="G146" s="431">
        <f t="shared" si="11"/>
        <v>26</v>
      </c>
      <c r="H146" s="99">
        <f>G146+'25'!H146</f>
        <v>960</v>
      </c>
      <c r="I146" s="140"/>
      <c r="J146" s="328">
        <f>H146/DAY(B2)</f>
        <v>36.92307692307692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'25'!F147</f>
        <v>781366</v>
      </c>
      <c r="F147" s="148">
        <v>781747.12</v>
      </c>
      <c r="G147" s="431">
        <f t="shared" si="11"/>
        <v>381.11999999999534</v>
      </c>
      <c r="H147" s="99">
        <f>G147+'25'!H147</f>
        <v>10090.239999999991</v>
      </c>
      <c r="I147" s="140"/>
      <c r="J147" s="328">
        <f>H147/DAY(B2)</f>
        <v>388.08615384615348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'25'!F148</f>
        <v>816184.31999999995</v>
      </c>
      <c r="F148" s="164">
        <v>816488.08</v>
      </c>
      <c r="G148" s="431">
        <f t="shared" si="11"/>
        <v>303.76000000000931</v>
      </c>
      <c r="H148" s="99">
        <f>G148+'25'!H148</f>
        <v>9667.8399999999674</v>
      </c>
      <c r="I148" s="124"/>
      <c r="J148" s="328">
        <f>H148/DAY(B2)</f>
        <v>371.83999999999872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'25'!F149</f>
        <v>229104</v>
      </c>
      <c r="F149" s="415">
        <v>229657.45</v>
      </c>
      <c r="G149" s="431">
        <f t="shared" si="11"/>
        <v>553.45000000001164</v>
      </c>
      <c r="H149" s="99">
        <f>G149+'25'!H149</f>
        <v>12761.450000000012</v>
      </c>
      <c r="I149" s="119"/>
      <c r="J149" s="328">
        <f>H149/DAY(B2)</f>
        <v>490.82500000000044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'25'!F150</f>
        <v>97998.11</v>
      </c>
      <c r="F150" s="233">
        <v>98218.23</v>
      </c>
      <c r="G150" s="431">
        <f t="shared" si="11"/>
        <v>220.11999999999534</v>
      </c>
      <c r="H150" s="99">
        <f>G150+'25'!H150</f>
        <v>6107.429999999993</v>
      </c>
      <c r="I150" s="119"/>
      <c r="J150" s="328">
        <f>H150/DAY(B2)</f>
        <v>234.90115384615359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'25'!F151</f>
        <v>184788</v>
      </c>
      <c r="F151" s="233">
        <v>185105</v>
      </c>
      <c r="G151" s="431">
        <f t="shared" si="11"/>
        <v>317</v>
      </c>
      <c r="H151" s="99">
        <f>G151+'25'!H151</f>
        <v>8930</v>
      </c>
      <c r="I151" s="119"/>
      <c r="J151" s="328">
        <f>H151/DAY(B2)</f>
        <v>343.46153846153845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'25'!F152</f>
        <v>49885.71</v>
      </c>
      <c r="F152" s="233">
        <v>50014.94</v>
      </c>
      <c r="G152" s="431">
        <f t="shared" si="11"/>
        <v>129.2300000000032</v>
      </c>
      <c r="H152" s="99">
        <f>G152+'25'!H152</f>
        <v>3382.9400000000023</v>
      </c>
      <c r="I152" s="119"/>
      <c r="J152" s="328">
        <f>H152/DAY(B2)</f>
        <v>130.11307692307702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453">
        <f>SUM(G138:G152)</f>
        <v>3200.0900000000038</v>
      </c>
      <c r="H153" s="363"/>
      <c r="I153" s="119">
        <f>G153-(G38+G52)</f>
        <v>487.44999999998981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'25'!F155</f>
        <v>270111.23</v>
      </c>
      <c r="F155" s="157">
        <v>270635.75</v>
      </c>
      <c r="G155" s="431">
        <f t="shared" ref="G155:G158" si="12">F155-E155</f>
        <v>524.52000000001863</v>
      </c>
      <c r="H155" s="99">
        <f>G155+'25'!H155</f>
        <v>14283.75</v>
      </c>
      <c r="I155" s="364"/>
      <c r="J155" s="328">
        <f>H155/DAY(B2)</f>
        <v>549.375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'25'!F156</f>
        <v>34943.35</v>
      </c>
      <c r="F156" s="157">
        <v>35041.57</v>
      </c>
      <c r="G156" s="431">
        <f t="shared" si="12"/>
        <v>98.220000000001164</v>
      </c>
      <c r="H156" s="99">
        <f>G156+'25'!H156</f>
        <v>2482.5699999999997</v>
      </c>
      <c r="I156" s="165"/>
      <c r="J156" s="328">
        <f>H156/DAY(B2)</f>
        <v>95.483461538461526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'25'!F157</f>
        <v>4010.27</v>
      </c>
      <c r="F157" s="155">
        <v>4113.28</v>
      </c>
      <c r="G157" s="431">
        <f t="shared" si="12"/>
        <v>103.00999999999976</v>
      </c>
      <c r="H157" s="99">
        <f>G157+'25'!H157</f>
        <v>872.27999999999975</v>
      </c>
      <c r="I157" s="165"/>
      <c r="J157" s="328">
        <f>H157/DAY(B2)</f>
        <v>33.549230769230761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'25'!F158</f>
        <v>1848.33</v>
      </c>
      <c r="F158" s="155">
        <v>1853.12</v>
      </c>
      <c r="G158" s="431">
        <f t="shared" si="12"/>
        <v>4.7899999999999636</v>
      </c>
      <c r="H158" s="99">
        <f>G158+'25'!H158</f>
        <v>62.279999999999973</v>
      </c>
      <c r="I158" s="165"/>
      <c r="J158" s="328">
        <f>H158/DAY(B2)</f>
        <v>2.3953846153846143</v>
      </c>
    </row>
    <row r="159" spans="1:10" ht="25.5">
      <c r="A159" s="946"/>
      <c r="B159" s="947"/>
      <c r="C159" s="948"/>
      <c r="D159" s="117"/>
      <c r="E159" s="95"/>
      <c r="F159" s="165"/>
      <c r="G159" s="431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516457.84</v>
      </c>
      <c r="F161" s="235">
        <v>516526.29</v>
      </c>
      <c r="G161" s="454">
        <f t="shared" ref="G161:G165" si="13">F161-E161</f>
        <v>68.449999999953434</v>
      </c>
      <c r="H161" s="99">
        <f>G161+'25'!H161</f>
        <v>4081.289999999979</v>
      </c>
      <c r="I161" s="236"/>
      <c r="J161" s="239">
        <f>H161/DAY(B2)</f>
        <v>156.97269230769149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2821.8</v>
      </c>
      <c r="F162" s="235">
        <v>2834.5</v>
      </c>
      <c r="G162" s="454">
        <f t="shared" si="13"/>
        <v>12.699999999999818</v>
      </c>
      <c r="H162" s="99">
        <f>G162+'25'!H162</f>
        <v>1074.5</v>
      </c>
      <c r="I162" s="236"/>
      <c r="J162" s="239">
        <f>H162/DAY(B2)</f>
        <v>41.32692307692308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0</v>
      </c>
      <c r="F163" s="235">
        <v>0</v>
      </c>
      <c r="G163" s="454">
        <f t="shared" si="13"/>
        <v>0</v>
      </c>
      <c r="H163" s="99">
        <f>G163+'25'!H163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7400</v>
      </c>
      <c r="F164" s="235">
        <v>7401.3</v>
      </c>
      <c r="G164" s="454">
        <f t="shared" si="13"/>
        <v>1.3000000000001819</v>
      </c>
      <c r="H164" s="99">
        <f>G164+'25'!H164</f>
        <v>64.300000000000182</v>
      </c>
      <c r="I164" s="236"/>
      <c r="J164" s="239">
        <f>H164/DAY(B2)</f>
        <v>2.4730769230769303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33149</v>
      </c>
      <c r="F165" s="235">
        <v>33150</v>
      </c>
      <c r="G165" s="454">
        <f t="shared" si="13"/>
        <v>1</v>
      </c>
      <c r="H165" s="99">
        <f>G165+'25'!H165</f>
        <v>175.4800000000032</v>
      </c>
      <c r="I165" s="236"/>
      <c r="J165" s="239">
        <f>H165/DAY(B2)</f>
        <v>6.7492307692308922</v>
      </c>
    </row>
    <row r="166" spans="1:10" ht="26.25">
      <c r="A166" s="872"/>
      <c r="B166" s="872"/>
      <c r="C166" s="246"/>
      <c r="D166" s="244" t="s">
        <v>180</v>
      </c>
      <c r="E166" s="95">
        <f>'25'!F166</f>
        <v>0</v>
      </c>
      <c r="F166" s="165"/>
      <c r="G166" s="451"/>
      <c r="H166" s="99">
        <f>G166+'25'!H166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'25'!F167</f>
        <v>0</v>
      </c>
      <c r="F167" s="165"/>
      <c r="G167" s="451"/>
      <c r="H167" s="99">
        <f>G167+'25'!H167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'25'!F168</f>
        <v>0</v>
      </c>
      <c r="F168" s="165"/>
      <c r="G168" s="451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4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'25'!F173</f>
        <v>8612</v>
      </c>
      <c r="F173" s="155">
        <v>8614</v>
      </c>
      <c r="G173" s="455">
        <f>F173-E173</f>
        <v>2</v>
      </c>
      <c r="H173" s="99">
        <f>G173+'25'!H173</f>
        <v>32</v>
      </c>
      <c r="I173" s="155"/>
      <c r="J173" s="178">
        <f>H173/DAY(B2)</f>
        <v>1.2307692307692308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'25'!F174</f>
        <v>43666</v>
      </c>
      <c r="F174" s="157">
        <v>43679</v>
      </c>
      <c r="G174" s="455">
        <f t="shared" ref="G174:G175" si="14">F174-E174</f>
        <v>13</v>
      </c>
      <c r="H174" s="99">
        <f>G174+'25'!H174</f>
        <v>265</v>
      </c>
      <c r="I174" s="155"/>
      <c r="J174" s="178">
        <f>H174/DAY(B2)</f>
        <v>10.192307692307692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'25'!F175</f>
        <v>26625</v>
      </c>
      <c r="F175" s="155">
        <v>26641</v>
      </c>
      <c r="G175" s="455">
        <f t="shared" si="14"/>
        <v>16</v>
      </c>
      <c r="H175" s="99">
        <f>G175+'25'!H175</f>
        <v>354</v>
      </c>
      <c r="I175" s="155"/>
      <c r="J175" s="178">
        <f>H175/DAY(B2)</f>
        <v>13.615384615384615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455">
        <f>SUM(G173:G175)</f>
        <v>31</v>
      </c>
      <c r="H176" s="99">
        <f>G176+'25'!H176</f>
        <v>651</v>
      </c>
      <c r="I176" s="155"/>
      <c r="J176" s="178">
        <f>H176/DAY(B2)</f>
        <v>25.03846153846154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455"/>
      <c r="H177" s="99">
        <f>G177+'25'!H177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'25'!F178</f>
        <v>112780</v>
      </c>
      <c r="F178" s="155">
        <v>112852</v>
      </c>
      <c r="G178" s="455">
        <f>F178-E178</f>
        <v>72</v>
      </c>
      <c r="H178" s="99">
        <f>G178+'25'!H178</f>
        <v>2461</v>
      </c>
      <c r="I178" s="155"/>
      <c r="J178" s="178">
        <f>H178/DAY(B2)</f>
        <v>94.65384615384616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'25'!F179</f>
        <v>37529</v>
      </c>
      <c r="F179" s="155">
        <v>37532</v>
      </c>
      <c r="G179" s="455">
        <f t="shared" ref="G179:G180" si="15">F179-E179</f>
        <v>3</v>
      </c>
      <c r="H179" s="99">
        <f>G179+'25'!H179</f>
        <v>31</v>
      </c>
      <c r="I179" s="155"/>
      <c r="J179" s="178">
        <f>H179/DAY(B2)</f>
        <v>1.1923076923076923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'25'!F180</f>
        <v>7816</v>
      </c>
      <c r="F180" s="155">
        <v>7816</v>
      </c>
      <c r="G180" s="455">
        <f t="shared" si="15"/>
        <v>0</v>
      </c>
      <c r="H180" s="99">
        <f>G180+'25'!H180</f>
        <v>115</v>
      </c>
      <c r="I180" s="155"/>
      <c r="J180" s="178">
        <f>H180/DAY(B2)</f>
        <v>4.4230769230769234</v>
      </c>
    </row>
    <row r="181" spans="1:10" ht="25.5">
      <c r="A181" s="878" t="s">
        <v>108</v>
      </c>
      <c r="B181" s="879"/>
      <c r="C181" s="400"/>
      <c r="D181" s="228" t="s">
        <v>142</v>
      </c>
      <c r="E181" s="95"/>
      <c r="F181" s="155"/>
      <c r="G181" s="455">
        <f>SUM(G178:G180)</f>
        <v>75</v>
      </c>
      <c r="H181" s="99">
        <f>G181+'25'!H181</f>
        <v>2607</v>
      </c>
      <c r="I181" s="155"/>
      <c r="J181" s="178">
        <f>H181/DAY(B2)</f>
        <v>100.26923076923077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455"/>
      <c r="H182" s="99">
        <f>G182+'25'!H182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'25'!F183</f>
        <v>18883</v>
      </c>
      <c r="F183" s="157">
        <v>18896</v>
      </c>
      <c r="G183" s="456">
        <f>F183-E183</f>
        <v>13</v>
      </c>
      <c r="H183" s="99">
        <f>G183+'25'!H183</f>
        <v>204</v>
      </c>
      <c r="I183" s="155"/>
      <c r="J183" s="178">
        <f>H183/DAY(B2)</f>
        <v>7.8461538461538458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'25'!F184</f>
        <v>13434</v>
      </c>
      <c r="F184" s="157">
        <v>13440</v>
      </c>
      <c r="G184" s="456">
        <f t="shared" ref="G184:G185" si="16">F184-E184</f>
        <v>6</v>
      </c>
      <c r="H184" s="99">
        <f>G184+'25'!H184</f>
        <v>194</v>
      </c>
      <c r="I184" s="155"/>
      <c r="J184" s="178">
        <f>H184/DAY(B2)</f>
        <v>7.4615384615384617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'25'!F185</f>
        <v>0</v>
      </c>
      <c r="F185" s="157"/>
      <c r="G185" s="456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456">
        <f>SUM(G183:G185)</f>
        <v>19</v>
      </c>
      <c r="H186" s="99">
        <f>G186+'25'!H186</f>
        <v>398</v>
      </c>
      <c r="I186" s="157"/>
      <c r="J186" s="178">
        <f>H186/DAY(B2)</f>
        <v>15.307692307692308</v>
      </c>
    </row>
    <row r="187" spans="1:10" ht="25.5">
      <c r="A187" s="869" t="s">
        <v>217</v>
      </c>
      <c r="B187" s="870"/>
      <c r="C187" s="333"/>
      <c r="D187" s="228" t="s">
        <v>142</v>
      </c>
      <c r="E187" s="95">
        <f>'25'!F187</f>
        <v>0</v>
      </c>
      <c r="F187" s="159"/>
      <c r="G187" s="457">
        <f>G62+G19</f>
        <v>143</v>
      </c>
      <c r="H187" s="99">
        <f>G187+'25'!H187</f>
        <v>3620</v>
      </c>
      <c r="I187" s="158"/>
      <c r="J187" s="179">
        <f>H187/DAY(B2)</f>
        <v>139.23076923076923</v>
      </c>
    </row>
    <row r="188" spans="1:10" ht="25.5">
      <c r="A188" s="869" t="s">
        <v>218</v>
      </c>
      <c r="B188" s="870"/>
      <c r="C188" s="333"/>
      <c r="D188" s="228" t="s">
        <v>142</v>
      </c>
      <c r="E188" s="95">
        <f>'25'!F188</f>
        <v>0</v>
      </c>
      <c r="F188" s="159"/>
      <c r="G188" s="457">
        <f>G65+G66+G67+G69+G70</f>
        <v>150.29999999999927</v>
      </c>
      <c r="H188" s="99">
        <f>G188+'25'!H188</f>
        <v>2399.2999999999993</v>
      </c>
      <c r="I188" s="158"/>
      <c r="J188" s="179">
        <f>H188/DAY(B2)</f>
        <v>92.280769230769209</v>
      </c>
    </row>
    <row r="189" spans="1:10" ht="25.5">
      <c r="A189" s="869" t="s">
        <v>219</v>
      </c>
      <c r="B189" s="870"/>
      <c r="C189" s="333"/>
      <c r="D189" s="228" t="s">
        <v>142</v>
      </c>
      <c r="E189" s="95">
        <f>'25'!F189</f>
        <v>0</v>
      </c>
      <c r="F189" s="157"/>
      <c r="G189" s="457">
        <f>G181</f>
        <v>75</v>
      </c>
      <c r="H189" s="99">
        <f>G189+'25'!H189</f>
        <v>636</v>
      </c>
      <c r="I189" s="158"/>
      <c r="J189" s="179">
        <f>H189/DAY(B2)</f>
        <v>24.46153846153846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550"/>
      <c r="H190" s="396"/>
      <c r="I190" s="395"/>
      <c r="J190" s="397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27" sqref="G2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354</v>
      </c>
      <c r="B2" s="262">
        <v>44984</v>
      </c>
      <c r="C2" s="348" t="s">
        <v>67</v>
      </c>
      <c r="D2" s="218">
        <v>0.50990000000000002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212605.61</v>
      </c>
      <c r="F7" s="95">
        <v>234642.93</v>
      </c>
      <c r="G7" s="112">
        <f>F7-E7</f>
        <v>22037.320000000007</v>
      </c>
      <c r="H7" s="99">
        <f>G7+'26'!H7</f>
        <v>611275.92999999993</v>
      </c>
      <c r="I7" s="113">
        <f>'1'!I7</f>
        <v>12000</v>
      </c>
      <c r="J7" s="175">
        <f>H7/DAY(B2)</f>
        <v>22639.849259259256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419253.79</v>
      </c>
      <c r="F8" s="114">
        <v>441815.95</v>
      </c>
      <c r="G8" s="115">
        <f>F8-E8</f>
        <v>22562.160000000033</v>
      </c>
      <c r="H8" s="99">
        <f>G8+'26'!H8</f>
        <v>625705.95000000007</v>
      </c>
      <c r="I8" s="116"/>
      <c r="J8" s="175">
        <f>H8/DAY(B2)</f>
        <v>23174.294444444447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5161463.0999999996</v>
      </c>
      <c r="F9" s="468">
        <v>5176177.5</v>
      </c>
      <c r="G9" s="112">
        <f>F9-E9</f>
        <v>14714.400000000373</v>
      </c>
      <c r="H9" s="99">
        <f>G9+'26'!H9</f>
        <v>351078.5</v>
      </c>
      <c r="I9" s="124">
        <f>I7-J7</f>
        <v>-10639.849259259256</v>
      </c>
      <c r="J9" s="175">
        <f>H9/DAY(B2)</f>
        <v>13002.907407407407</v>
      </c>
      <c r="K9" s="79">
        <f>K8-100</f>
        <v>1715817</v>
      </c>
      <c r="L9" s="66"/>
      <c r="N9" s="87"/>
      <c r="O9" s="71">
        <f>G8-G7</f>
        <v>524.84000000002561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4528548.7</v>
      </c>
      <c r="F10" s="353">
        <v>4535251.9000000004</v>
      </c>
      <c r="G10" s="112">
        <f t="shared" ref="G10:G12" si="0">F10-E10</f>
        <v>6703.2000000001863</v>
      </c>
      <c r="H10" s="99">
        <f>G10+'26'!H10</f>
        <v>244717.90000000037</v>
      </c>
      <c r="I10" s="282"/>
      <c r="J10" s="175">
        <f>H10/DAY(B2)</f>
        <v>9063.6259259259405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38700</v>
      </c>
      <c r="F11" s="95">
        <v>38700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40550</v>
      </c>
      <c r="F12" s="117">
        <v>40550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21417.600000000559</v>
      </c>
      <c r="H13" s="99">
        <f>G13+'26'!H13</f>
        <v>595796.40000000037</v>
      </c>
      <c r="I13" s="120">
        <f>G7-G13</f>
        <v>619.71999999944819</v>
      </c>
      <c r="J13" s="175">
        <f>H13/DAY(B2)</f>
        <v>22066.533333333347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'26'!F15</f>
        <v>2317433</v>
      </c>
      <c r="F15" s="468">
        <v>2318603</v>
      </c>
      <c r="G15" s="112">
        <f>(F15-E15)</f>
        <v>1170</v>
      </c>
      <c r="H15" s="99">
        <f>G15+'26'!H15</f>
        <v>30129.285000000149</v>
      </c>
      <c r="I15" s="113">
        <f>'1'!I15</f>
        <v>800</v>
      </c>
      <c r="J15" s="175">
        <f>H15/DAY(B2)</f>
        <v>1115.89944444445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-315.89944444444995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'26'!F18</f>
        <v>30</v>
      </c>
      <c r="F18" s="122">
        <v>21</v>
      </c>
      <c r="G18" s="119">
        <f>F18*10</f>
        <v>210</v>
      </c>
      <c r="H18" s="99">
        <f>G18+'26'!H18</f>
        <v>5370</v>
      </c>
      <c r="I18" s="113">
        <f>'1'!I18</f>
        <v>65</v>
      </c>
      <c r="J18" s="175">
        <f>H18/DAY(B2)</f>
        <v>198.88888888888889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'26'!F19</f>
        <v>172670</v>
      </c>
      <c r="F19" s="122">
        <v>172722</v>
      </c>
      <c r="G19" s="112">
        <f t="shared" ref="G19" si="1">F19-E19</f>
        <v>52</v>
      </c>
      <c r="H19" s="99">
        <f>G19+'26'!H19</f>
        <v>1399</v>
      </c>
      <c r="I19" s="335"/>
      <c r="J19" s="175">
        <f>H19/DAY(B2)</f>
        <v>51.814814814814817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262</v>
      </c>
      <c r="H20" s="99">
        <f>G20+'26'!H20</f>
        <v>6769</v>
      </c>
      <c r="I20" s="336">
        <f>I18-J20</f>
        <v>-185.7037037037037</v>
      </c>
      <c r="J20" s="175">
        <f>H20/DAY(B2)</f>
        <v>250.7037037037037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22562.160000000033</v>
      </c>
      <c r="F27" s="136">
        <v>10</v>
      </c>
      <c r="G27" s="137">
        <f>E27*F27</f>
        <v>225621.60000000033</v>
      </c>
      <c r="H27" s="99">
        <f>G27+'26'!H27</f>
        <v>6257059.5000000009</v>
      </c>
      <c r="I27" s="138"/>
      <c r="J27" s="175">
        <f>H27/DAY(B2)</f>
        <v>231742.94444444447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1170</v>
      </c>
      <c r="F28" s="136">
        <v>63</v>
      </c>
      <c r="G28" s="137">
        <f>E28*F28</f>
        <v>73710</v>
      </c>
      <c r="H28" s="99">
        <f>G28+'26'!H28</f>
        <v>1917566.4100000104</v>
      </c>
      <c r="I28" s="140"/>
      <c r="J28" s="175">
        <f>H28/DAY(B2)</f>
        <v>71020.978148148526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6900</v>
      </c>
      <c r="I29" s="140"/>
      <c r="J29" s="175">
        <f>H29/DAY(B2)</f>
        <v>255.55555555555554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155</v>
      </c>
      <c r="G30" s="137">
        <f>E30*F30</f>
        <v>8060</v>
      </c>
      <c r="H30" s="99">
        <f>G30+'26'!H30</f>
        <v>215525</v>
      </c>
      <c r="I30" s="140"/>
      <c r="J30" s="175">
        <f>H30/DAY(B2)</f>
        <v>7982.4074074074078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88</v>
      </c>
      <c r="G31" s="137">
        <f>E31*F31</f>
        <v>18480</v>
      </c>
      <c r="H31" s="99">
        <f>G31+'26'!H31</f>
        <v>468900</v>
      </c>
      <c r="I31" s="140"/>
      <c r="J31" s="175">
        <f>H31/DAY(B2)</f>
        <v>17366.666666666668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325871.60000000033</v>
      </c>
      <c r="H32" s="99">
        <f>G32+'26'!H32</f>
        <v>8865950.9100000095</v>
      </c>
      <c r="I32" s="144"/>
      <c r="J32" s="175">
        <f>H32/DAY(B2)</f>
        <v>328368.55222222256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599967.75</v>
      </c>
      <c r="F35" s="145">
        <v>602676.55000000005</v>
      </c>
      <c r="G35" s="112">
        <f t="shared" ref="G35:G46" si="3">F35-E35</f>
        <v>2708.8000000000466</v>
      </c>
      <c r="H35" s="99">
        <f>G35+'26'!H35</f>
        <v>72620.550000000047</v>
      </c>
      <c r="I35" s="95"/>
      <c r="J35" s="175">
        <f>H35/DAY(B2)</f>
        <v>2689.6500000000019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409521.87</v>
      </c>
      <c r="F36" s="145">
        <v>410530.23</v>
      </c>
      <c r="G36" s="112">
        <f t="shared" si="3"/>
        <v>1008.359999999986</v>
      </c>
      <c r="H36" s="99">
        <f>G36+'26'!H36</f>
        <v>28709.229999999981</v>
      </c>
      <c r="I36" s="95"/>
      <c r="J36" s="175">
        <f>H36/DAY(B2)</f>
        <v>1063.3048148148141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420957.71</v>
      </c>
      <c r="F37" s="145">
        <v>422487.91</v>
      </c>
      <c r="G37" s="112">
        <f t="shared" si="3"/>
        <v>1530.1999999999534</v>
      </c>
      <c r="H37" s="99">
        <f>G37+'26'!H37</f>
        <v>38868.909999999974</v>
      </c>
      <c r="I37" s="95"/>
      <c r="J37" s="175">
        <f>H37/DAY(B2)</f>
        <v>1439.5892592592584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945976.31</v>
      </c>
      <c r="F38" s="108">
        <v>948647.59</v>
      </c>
      <c r="G38" s="112">
        <f t="shared" si="3"/>
        <v>2671.2799999999115</v>
      </c>
      <c r="H38" s="99">
        <f>G38+'26'!H38</f>
        <v>71520.589999999967</v>
      </c>
      <c r="I38" s="95"/>
      <c r="J38" s="175">
        <f>H38/DAY(B2)</f>
        <v>2648.9107407407396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780245.11</v>
      </c>
      <c r="F39" s="145">
        <v>783053.91</v>
      </c>
      <c r="G39" s="112">
        <f t="shared" si="3"/>
        <v>2808.8000000000466</v>
      </c>
      <c r="H39" s="99">
        <f>G39+'26'!H39</f>
        <v>76917.910000000033</v>
      </c>
      <c r="I39" s="95"/>
      <c r="J39" s="175">
        <f>H39/DAY(B2)</f>
        <v>2848.8114814814826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224811.79</v>
      </c>
      <c r="F40" s="145">
        <v>225274.39</v>
      </c>
      <c r="G40" s="112">
        <f t="shared" si="3"/>
        <v>462.60000000000582</v>
      </c>
      <c r="H40" s="99">
        <f>G40+'26'!H40</f>
        <v>7482.390000000014</v>
      </c>
      <c r="I40" s="95"/>
      <c r="J40" s="175">
        <f>H40/DAY(B2)</f>
        <v>277.12555555555605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420212.51</v>
      </c>
      <c r="F41" s="145">
        <v>420212.51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995520.63</v>
      </c>
      <c r="F42" s="145">
        <v>998254.47</v>
      </c>
      <c r="G42" s="112">
        <f t="shared" si="3"/>
        <v>2733.8399999999674</v>
      </c>
      <c r="H42" s="99">
        <f>G42+'26'!H42</f>
        <v>25191.839999999967</v>
      </c>
      <c r="I42" s="95"/>
      <c r="J42" s="175">
        <f>H42/DAY(B2)</f>
        <v>933.03111111110991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422444</v>
      </c>
      <c r="F43" s="145">
        <v>422444</v>
      </c>
      <c r="G43" s="112">
        <f t="shared" si="3"/>
        <v>0</v>
      </c>
      <c r="H43" s="99">
        <f>G43+'26'!H43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13923.879999999917</v>
      </c>
      <c r="H47" s="99">
        <f>G47+'26'!H47</f>
        <v>321311.41999999993</v>
      </c>
      <c r="I47" s="95"/>
      <c r="J47" s="175">
        <f>H47/DAY(B2)</f>
        <v>11900.422962962961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837001.59</v>
      </c>
      <c r="F49" s="145">
        <v>837466.95</v>
      </c>
      <c r="G49" s="112">
        <f t="shared" ref="G49:G58" si="4">F49-E49</f>
        <v>465.35999999998603</v>
      </c>
      <c r="H49" s="99">
        <f>G49+'26'!H49</f>
        <v>14554.949999999953</v>
      </c>
      <c r="I49" s="95"/>
      <c r="J49" s="175">
        <f>H49/DAY(B2)</f>
        <v>539.07222222222049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580519.91</v>
      </c>
      <c r="F50" s="145">
        <v>581939.15</v>
      </c>
      <c r="G50" s="112">
        <f t="shared" si="4"/>
        <v>1419.2399999999907</v>
      </c>
      <c r="H50" s="99">
        <f>G50+'26'!H50</f>
        <v>39965.150000000023</v>
      </c>
      <c r="I50" s="95"/>
      <c r="J50" s="175">
        <f>H50/DAY(B2)</f>
        <v>1480.1907407407416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156958.44</v>
      </c>
      <c r="F51" s="145">
        <v>156958.44</v>
      </c>
      <c r="G51" s="112">
        <f t="shared" si="4"/>
        <v>0</v>
      </c>
      <c r="H51" s="99">
        <f>G51+'26'!H51</f>
        <v>0.44000000000232831</v>
      </c>
      <c r="I51" s="95"/>
      <c r="J51" s="175">
        <f>H51/DAY(B2)</f>
        <v>1.6296296296382531E-2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1457.43</v>
      </c>
      <c r="F52" s="145">
        <v>1457.43</v>
      </c>
      <c r="G52" s="112">
        <f t="shared" si="4"/>
        <v>0</v>
      </c>
      <c r="H52" s="99">
        <f>G52+'26'!H52</f>
        <v>0.43000000000006366</v>
      </c>
      <c r="I52" s="95"/>
      <c r="J52" s="175">
        <f>H52/DAY(B2)</f>
        <v>1.5925925925928282E-2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630355.03</v>
      </c>
      <c r="F53" s="145">
        <v>630355.03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132196.71</v>
      </c>
      <c r="F54" s="145">
        <v>132590.56</v>
      </c>
      <c r="G54" s="112">
        <f t="shared" si="4"/>
        <v>393.85000000000582</v>
      </c>
      <c r="H54" s="99">
        <f>G54+'26'!H54</f>
        <v>8476.3499999999913</v>
      </c>
      <c r="I54" s="95"/>
      <c r="J54" s="175">
        <f>H54/DAY(B2)</f>
        <v>313.93888888888858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632292.91</v>
      </c>
      <c r="F55" s="145">
        <v>632292.91</v>
      </c>
      <c r="G55" s="112">
        <f t="shared" si="4"/>
        <v>0</v>
      </c>
      <c r="H55" s="99">
        <f>G55+'26'!H55</f>
        <v>37988.160000000033</v>
      </c>
      <c r="I55" s="95"/>
      <c r="J55" s="175">
        <f>H55/DAY(B2)</f>
        <v>1406.9688888888902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413913.59</v>
      </c>
      <c r="F56" s="145">
        <v>415420.11</v>
      </c>
      <c r="G56" s="112">
        <f t="shared" si="4"/>
        <v>1506.5199999999604</v>
      </c>
      <c r="H56" s="99">
        <f>G56+'26'!H56</f>
        <v>42300.109999999986</v>
      </c>
      <c r="I56" s="95"/>
      <c r="J56" s="175">
        <f>H56/DAY(B2)</f>
        <v>1566.6707407407403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774146.87</v>
      </c>
      <c r="F57" s="422">
        <v>776519.11</v>
      </c>
      <c r="G57" s="112">
        <f t="shared" si="4"/>
        <v>2372.2399999999907</v>
      </c>
      <c r="H57" s="99">
        <f>G57+'26'!H57</f>
        <v>68821.109999999986</v>
      </c>
      <c r="I57" s="95"/>
      <c r="J57" s="175">
        <f>H57/DAY(B2)</f>
        <v>2548.9299999999994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101085.48</v>
      </c>
      <c r="F58" s="145">
        <v>101340.54</v>
      </c>
      <c r="G58" s="112">
        <f t="shared" si="4"/>
        <v>255.05999999999767</v>
      </c>
      <c r="H58" s="99">
        <f>G58+'26'!H58</f>
        <v>6770.7199999999866</v>
      </c>
      <c r="I58" s="95"/>
      <c r="J58" s="175">
        <f>H58/DAY(B2)</f>
        <v>250.76740740740692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6412.2699999999313</v>
      </c>
      <c r="H59" s="99">
        <f>G59+'26'!H59</f>
        <v>218877.41999999995</v>
      </c>
      <c r="I59" s="95">
        <f>G7-G60</f>
        <v>1701.1700000001583</v>
      </c>
      <c r="J59" s="175">
        <f>H59/DAY(B2)</f>
        <v>8106.5711111111095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20336.149999999849</v>
      </c>
      <c r="H60" s="99">
        <f>G60+'26'!H60</f>
        <v>540188.83999999985</v>
      </c>
      <c r="I60" s="95">
        <f>G13-G60</f>
        <v>1081.4500000007101</v>
      </c>
      <c r="J60" s="175">
        <f>H60/DAY(B2)</f>
        <v>20006.994074074068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'26'!F62</f>
        <v>317950</v>
      </c>
      <c r="F62" s="122">
        <v>318070.2</v>
      </c>
      <c r="G62" s="112">
        <f t="shared" ref="G62:G63" si="5">F62-E62</f>
        <v>120.20000000001164</v>
      </c>
      <c r="H62" s="99">
        <f>G62+'26'!H62</f>
        <v>2393.2000000000116</v>
      </c>
      <c r="I62" s="118"/>
      <c r="J62" s="175">
        <f>H62/DAY(B2)</f>
        <v>88.637037037037473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'26'!F63</f>
        <v>254569</v>
      </c>
      <c r="F63" s="122">
        <v>254614</v>
      </c>
      <c r="G63" s="112">
        <f t="shared" si="5"/>
        <v>45</v>
      </c>
      <c r="H63" s="99">
        <f>G63+'26'!H63</f>
        <v>2290</v>
      </c>
      <c r="I63" s="118"/>
      <c r="J63" s="175">
        <f>H63/DAY(B2)</f>
        <v>84.81481481481481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'26'!F64</f>
        <v>0</v>
      </c>
      <c r="F64" s="122"/>
      <c r="G64" s="112">
        <f>G62+G63</f>
        <v>165.20000000001164</v>
      </c>
      <c r="H64" s="99">
        <f>G64+'26'!H64</f>
        <v>4683.2000000000116</v>
      </c>
      <c r="I64" s="118"/>
      <c r="J64" s="175">
        <f>H64/DAY(B2)</f>
        <v>173.4518518518523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'26'!F65</f>
        <v>479291</v>
      </c>
      <c r="F65" s="122">
        <v>479416</v>
      </c>
      <c r="G65" s="112">
        <f t="shared" ref="G65:G70" si="6">F65-E65</f>
        <v>125</v>
      </c>
      <c r="H65" s="99">
        <f>G65+'26'!H65</f>
        <v>3513</v>
      </c>
      <c r="I65" s="118"/>
      <c r="J65" s="175">
        <f>H65/DAY(B2)</f>
        <v>130.11111111111111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114842</v>
      </c>
      <c r="F66" s="122">
        <v>114859</v>
      </c>
      <c r="G66" s="112">
        <f t="shared" si="6"/>
        <v>17</v>
      </c>
      <c r="H66" s="99">
        <f>G66+'26'!H66</f>
        <v>393</v>
      </c>
      <c r="I66" s="118"/>
      <c r="J66" s="175">
        <f>H66/DAY(B2)</f>
        <v>14.555555555555555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118018</v>
      </c>
      <c r="F67" s="122">
        <v>118041</v>
      </c>
      <c r="G67" s="112">
        <f t="shared" si="6"/>
        <v>23</v>
      </c>
      <c r="H67" s="99">
        <f>G67+'26'!H67</f>
        <v>759</v>
      </c>
      <c r="I67" s="118"/>
      <c r="J67" s="175">
        <f>H67/DAY(B2)</f>
        <v>28.111111111111111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170472</v>
      </c>
      <c r="F68" s="122">
        <v>170501</v>
      </c>
      <c r="G68" s="112">
        <f t="shared" si="6"/>
        <v>29</v>
      </c>
      <c r="H68" s="99">
        <f>G68+'26'!H68</f>
        <v>551</v>
      </c>
      <c r="I68" s="118"/>
      <c r="J68" s="175">
        <f>H68/DAY(B2)</f>
        <v>20.407407407407408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13372.3</v>
      </c>
      <c r="F69" s="122">
        <v>13386</v>
      </c>
      <c r="G69" s="112">
        <f t="shared" si="6"/>
        <v>13.700000000000728</v>
      </c>
      <c r="H69" s="99">
        <f>G69+'26'!H69</f>
        <v>174</v>
      </c>
      <c r="I69" s="118"/>
      <c r="J69" s="175">
        <f>H69/DAY(B2)</f>
        <v>6.4444444444444446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11448</v>
      </c>
      <c r="F70" s="122">
        <v>11452</v>
      </c>
      <c r="G70" s="112">
        <f t="shared" si="6"/>
        <v>4</v>
      </c>
      <c r="H70" s="99">
        <f>G70+'26'!H70</f>
        <v>194</v>
      </c>
      <c r="I70" s="118"/>
      <c r="J70" s="175">
        <f>H70/DAY(B2)</f>
        <v>7.1851851851851851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211.70000000000073</v>
      </c>
      <c r="H71" s="99">
        <f>G71+'26'!H71</f>
        <v>5584</v>
      </c>
      <c r="I71" s="154"/>
      <c r="J71" s="175">
        <f>H71/DAY(B2)</f>
        <v>206.81481481481481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'26'!F74</f>
        <v>20225.64</v>
      </c>
      <c r="F74" s="117">
        <v>20457.73</v>
      </c>
      <c r="G74" s="112">
        <f t="shared" ref="G74:G78" si="7">F74-E74</f>
        <v>232.09000000000015</v>
      </c>
      <c r="H74" s="99">
        <f>G74+'26'!H74</f>
        <v>4577.7299999999996</v>
      </c>
      <c r="I74" s="154"/>
      <c r="J74" s="175">
        <f>H74/DAY(B2)</f>
        <v>169.54555555555555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'26'!F76</f>
        <v>213823.31</v>
      </c>
      <c r="F76" s="123">
        <v>213923.9</v>
      </c>
      <c r="G76" s="112">
        <f t="shared" si="7"/>
        <v>100.58999999999651</v>
      </c>
      <c r="H76" s="99">
        <f>G76+'26'!H76</f>
        <v>3263.8999999999942</v>
      </c>
      <c r="I76" s="154"/>
      <c r="J76" s="175">
        <f>H76/DAY(B2)</f>
        <v>120.88518518518497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'26'!F77</f>
        <v>61166</v>
      </c>
      <c r="F77" s="123">
        <v>61206.6</v>
      </c>
      <c r="G77" s="112">
        <f t="shared" si="7"/>
        <v>40.599999999998545</v>
      </c>
      <c r="H77" s="99">
        <f>G77+'26'!H77</f>
        <v>1445.5999999999985</v>
      </c>
      <c r="I77" s="154"/>
      <c r="J77" s="175">
        <f>H77/DAY(B2)</f>
        <v>53.540740740740688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'26'!F78</f>
        <v>9564</v>
      </c>
      <c r="F78" s="123">
        <v>9564</v>
      </c>
      <c r="G78" s="112">
        <f t="shared" si="7"/>
        <v>0</v>
      </c>
      <c r="H78" s="99">
        <f>G78+'26'!H78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'26'!F79</f>
        <v>0</v>
      </c>
      <c r="F79" s="123"/>
      <c r="G79" s="112">
        <f>G15-SUM(G74:G78)</f>
        <v>796.7200000000048</v>
      </c>
      <c r="H79" s="99">
        <f>G79+'26'!H79</f>
        <v>17223.555000000157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1170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43546</v>
      </c>
      <c r="F84" s="164">
        <v>43546</v>
      </c>
      <c r="G84" s="112">
        <f t="shared" si="8"/>
        <v>0</v>
      </c>
      <c r="H84" s="99">
        <f>G84+'26'!H84</f>
        <v>-0.34999999999854481</v>
      </c>
      <c r="I84" s="543"/>
      <c r="J84" s="175">
        <f>H84/DAY(B2)</f>
        <v>-1.2962962962909066E-2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6320.56</v>
      </c>
      <c r="F85" s="164">
        <v>6334.08</v>
      </c>
      <c r="G85" s="112">
        <f t="shared" si="8"/>
        <v>13.519999999999527</v>
      </c>
      <c r="H85" s="99">
        <f>G85+'26'!H85</f>
        <v>121.07999999999993</v>
      </c>
      <c r="I85" s="543"/>
      <c r="J85" s="175">
        <f>H85/DAY(B2)</f>
        <v>4.484444444444442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47231.55</v>
      </c>
      <c r="F86" s="164">
        <v>47231.55</v>
      </c>
      <c r="G86" s="112">
        <f t="shared" si="8"/>
        <v>0</v>
      </c>
      <c r="H86" s="99">
        <f>G86+'26'!H86</f>
        <v>260.55000000000291</v>
      </c>
      <c r="I86" s="543"/>
      <c r="J86" s="175">
        <f>H86/DAY(B2)</f>
        <v>9.6500000000001069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37663.084999999999</v>
      </c>
      <c r="F87" s="164">
        <v>37677.57</v>
      </c>
      <c r="G87" s="112">
        <f t="shared" si="8"/>
        <v>14.485000000000582</v>
      </c>
      <c r="H87" s="99">
        <f>G87+'26'!H87</f>
        <v>313.56999999999971</v>
      </c>
      <c r="I87" s="543">
        <f>G84+G85+G86+G87</f>
        <v>28.005000000000109</v>
      </c>
      <c r="J87" s="175">
        <f>H87/DAY(B2)</f>
        <v>11.613703703703694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24924.41</v>
      </c>
      <c r="F88" s="164">
        <v>24929.05</v>
      </c>
      <c r="G88" s="112">
        <f t="shared" si="8"/>
        <v>4.6399999999994179</v>
      </c>
      <c r="H88" s="99">
        <f>G88+'26'!H88</f>
        <v>167.04999999999927</v>
      </c>
      <c r="I88" s="543"/>
      <c r="J88" s="175">
        <f>H88/DAY(B2)</f>
        <v>6.18703703703701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29194.9</v>
      </c>
      <c r="F89" s="164">
        <v>29204.66</v>
      </c>
      <c r="G89" s="112">
        <f t="shared" si="8"/>
        <v>9.7599999999983993</v>
      </c>
      <c r="H89" s="99">
        <f>G89+'26'!H89</f>
        <v>176.65999999999985</v>
      </c>
      <c r="I89" s="543">
        <f>G88+G89</f>
        <v>14.399999999997817</v>
      </c>
      <c r="J89" s="175">
        <f>H89/DAY(B2)</f>
        <v>6.5429629629629575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74646.38</v>
      </c>
      <c r="F90" s="164">
        <v>74650.399999999994</v>
      </c>
      <c r="G90" s="112">
        <f t="shared" si="8"/>
        <v>4.0199999999895226</v>
      </c>
      <c r="H90" s="99">
        <v>23</v>
      </c>
      <c r="I90" s="543">
        <f>G90</f>
        <v>4.0199999999895226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5887.26</v>
      </c>
      <c r="F91" s="122">
        <v>5896.3</v>
      </c>
      <c r="G91" s="112">
        <f t="shared" si="8"/>
        <v>9.0399999999999636</v>
      </c>
      <c r="H91" s="99">
        <f>G91+'26'!H91</f>
        <v>278.09000000000015</v>
      </c>
      <c r="I91" s="544"/>
      <c r="J91" s="175">
        <f>H91/DAY(B2)</f>
        <v>10.299629629629635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7469.34</v>
      </c>
      <c r="F92" s="122">
        <v>7469.34</v>
      </c>
      <c r="G92" s="112">
        <f t="shared" si="8"/>
        <v>0</v>
      </c>
      <c r="H92" s="99">
        <f>G92+'26'!H92</f>
        <v>37.0600000000004</v>
      </c>
      <c r="I92" s="545">
        <f>G91+G92</f>
        <v>9.0399999999999636</v>
      </c>
      <c r="J92" s="175">
        <f>H92/DAY(B2)</f>
        <v>1.3725925925926075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5546.4000000000233</v>
      </c>
      <c r="H94" s="99">
        <f>G94+'26'!H94</f>
        <v>155996.60999999999</v>
      </c>
      <c r="I94" s="118"/>
      <c r="J94" s="175">
        <f>H94/DAY(B2)</f>
        <v>5777.652222222222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0.25168214646790177</v>
      </c>
      <c r="H95" s="99">
        <f>G95+'26'!H95</f>
        <v>6.9010494822836383</v>
      </c>
      <c r="I95" s="167"/>
      <c r="J95" s="175">
        <f>H95/DAY(B2)</f>
        <v>0.25559442526976439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4240.3599999999278</v>
      </c>
      <c r="H96" s="99">
        <f>G96+'26'!H96</f>
        <v>105480.10999999999</v>
      </c>
      <c r="I96" s="118"/>
      <c r="J96" s="175">
        <f>H96/DAY(B2)</f>
        <v>3906.6707407407403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0.19241722677711839</v>
      </c>
      <c r="H97" s="99">
        <f>G97+'26'!H97</f>
        <v>4.6372159280735952</v>
      </c>
      <c r="I97" s="167"/>
      <c r="J97" s="175">
        <f>H97/DAY(B2)</f>
        <v>0.17174873807679983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2808.8000000000466</v>
      </c>
      <c r="H98" s="99">
        <f>G98+'26'!H98</f>
        <v>76917.910000000033</v>
      </c>
      <c r="I98" s="168"/>
      <c r="J98" s="175">
        <f>H98/DAY(B2)</f>
        <v>2848.8114814814826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0.12745651467601532</v>
      </c>
      <c r="H99" s="99">
        <f>G99+'26'!H99</f>
        <v>3.4043810472534601</v>
      </c>
      <c r="I99" s="168"/>
      <c r="J99" s="175">
        <f>H99/DAY(B2)</f>
        <v>0.12608818693531335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2671.2799999999115</v>
      </c>
      <c r="H100" s="99">
        <f>G100+'26'!H100</f>
        <v>71521.01999999996</v>
      </c>
      <c r="I100" s="118"/>
      <c r="J100" s="175">
        <f>H100/DAY(B2)</f>
        <v>2648.9266666666654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0.12121619144251256</v>
      </c>
      <c r="H101" s="99">
        <f>G101+'26'!H101</f>
        <v>3.1612922049791172</v>
      </c>
      <c r="I101" s="168"/>
      <c r="J101" s="175">
        <f>H101/DAY(B2)</f>
        <v>0.11708489648070805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2427.5999999999767</v>
      </c>
      <c r="H102" s="99">
        <f>G102+'26'!H102</f>
        <v>68674.38</v>
      </c>
      <c r="I102" s="168"/>
      <c r="J102" s="175">
        <f>H102/DAY(B2)</f>
        <v>2543.4955555555557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0.11015858552673265</v>
      </c>
      <c r="H103" s="99">
        <f>G103+'26'!H103</f>
        <v>3.0247617179286936</v>
      </c>
      <c r="I103" s="118"/>
      <c r="J103" s="175">
        <f>H103/DAY(B2)</f>
        <v>0.1120282117751368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1530.1999999999534</v>
      </c>
      <c r="H104" s="99">
        <f>G104+'26'!H104</f>
        <v>38869.349999999977</v>
      </c>
      <c r="I104" s="118"/>
      <c r="J104" s="175">
        <f>H104/DAY(B2)</f>
        <v>1439.6055555555547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6.9436755467541106E-2</v>
      </c>
      <c r="H105" s="99">
        <f>G105+'26'!H105</f>
        <v>1.7193137797223639</v>
      </c>
      <c r="I105" s="187"/>
      <c r="J105" s="188">
        <f>H105/DAY(B2)</f>
        <v>6.367828813786533E-2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95">
        <f>'26'!F112</f>
        <v>20990.799999999999</v>
      </c>
      <c r="F112" s="237">
        <v>21051.11</v>
      </c>
      <c r="G112" s="112">
        <f t="shared" ref="G112:G123" si="9">F112-E112</f>
        <v>60.31000000000131</v>
      </c>
      <c r="H112" s="99">
        <f>G112+'26'!H112</f>
        <v>1654.1100000000006</v>
      </c>
      <c r="I112" s="165"/>
      <c r="J112" s="328">
        <f>H112/DAY(B2)</f>
        <v>61.263333333333357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95">
        <f>'26'!F113</f>
        <v>45308.76</v>
      </c>
      <c r="F113" s="237">
        <v>45457.89</v>
      </c>
      <c r="G113" s="112">
        <f t="shared" si="9"/>
        <v>149.12999999999738</v>
      </c>
      <c r="H113" s="99">
        <f>G113+'26'!H113</f>
        <v>3937.9400000000023</v>
      </c>
      <c r="I113" s="165"/>
      <c r="J113" s="328">
        <f>H113/DAY(B2)</f>
        <v>145.8496296296297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95">
        <f>'26'!F114</f>
        <v>67082.880000000005</v>
      </c>
      <c r="F114" s="237">
        <v>67305.5</v>
      </c>
      <c r="G114" s="112">
        <f t="shared" si="9"/>
        <v>222.61999999999534</v>
      </c>
      <c r="H114" s="99">
        <f>G114+'26'!H114</f>
        <v>6087.5</v>
      </c>
      <c r="I114" s="165"/>
      <c r="J114" s="328">
        <f>H114/DAY(B2)</f>
        <v>225.46296296296296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95">
        <f>'26'!F115</f>
        <v>43217.65</v>
      </c>
      <c r="F115" s="237">
        <v>43357.81</v>
      </c>
      <c r="G115" s="112">
        <f t="shared" si="9"/>
        <v>140.15999999999622</v>
      </c>
      <c r="H115" s="99">
        <f>G115+'26'!H115</f>
        <v>3898.8099999999977</v>
      </c>
      <c r="I115" s="165"/>
      <c r="J115" s="328">
        <f>H115/DAY(B2)</f>
        <v>144.4003703703703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95">
        <f>'26'!F116</f>
        <v>159048.74</v>
      </c>
      <c r="F116" s="237">
        <v>159410.46</v>
      </c>
      <c r="G116" s="112">
        <f t="shared" si="9"/>
        <v>361.72000000000116</v>
      </c>
      <c r="H116" s="99">
        <f>G116+'26'!H116</f>
        <v>11480.459999999992</v>
      </c>
      <c r="I116" s="165"/>
      <c r="J116" s="328">
        <f>H116/DAY(B2)</f>
        <v>425.20222222222191</v>
      </c>
      <c r="Q116" s="883" t="s">
        <v>311</v>
      </c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95">
        <f>'26'!F117</f>
        <v>98557.77</v>
      </c>
      <c r="F117" s="237">
        <v>98844.27</v>
      </c>
      <c r="G117" s="112">
        <f t="shared" si="9"/>
        <v>286.5</v>
      </c>
      <c r="H117" s="99">
        <f>G117+'26'!H117</f>
        <v>6854.8709999999992</v>
      </c>
      <c r="I117" s="165"/>
      <c r="J117" s="328">
        <f>H117/DAY(B2)</f>
        <v>253.88411111111108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95">
        <f>'26'!F118</f>
        <v>195750.31</v>
      </c>
      <c r="F118" s="237">
        <v>196391.27</v>
      </c>
      <c r="G118" s="112">
        <f t="shared" si="9"/>
        <v>640.95999999999185</v>
      </c>
      <c r="H118" s="99">
        <f>G118+'26'!H118</f>
        <v>18858.739999999991</v>
      </c>
      <c r="I118" s="165"/>
      <c r="J118" s="328">
        <f>H118/DAY(B2)</f>
        <v>698.47185185185151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95">
        <f>'26'!F119</f>
        <v>46773.99</v>
      </c>
      <c r="F119" s="237">
        <v>46862.43</v>
      </c>
      <c r="G119" s="112">
        <f t="shared" si="9"/>
        <v>88.440000000002328</v>
      </c>
      <c r="H119" s="99">
        <f>G119+'26'!H119</f>
        <v>1669.4300000000003</v>
      </c>
      <c r="I119" s="165"/>
      <c r="J119" s="328">
        <f>H119/DAY(B2)</f>
        <v>61.830740740740751</v>
      </c>
    </row>
    <row r="120" spans="1:18" ht="25.5">
      <c r="A120" s="882" t="s">
        <v>99</v>
      </c>
      <c r="B120" s="882"/>
      <c r="C120" s="882"/>
      <c r="D120" s="151" t="s">
        <v>183</v>
      </c>
      <c r="E120" s="95">
        <f>'26'!F120</f>
        <v>130623.95</v>
      </c>
      <c r="F120" s="237">
        <v>131004.79</v>
      </c>
      <c r="G120" s="112">
        <f t="shared" si="9"/>
        <v>380.83999999999651</v>
      </c>
      <c r="H120" s="99">
        <f>G120+'26'!H120</f>
        <v>10560.789999999994</v>
      </c>
      <c r="I120" s="165"/>
      <c r="J120" s="328">
        <f>H120/DAY(B2)</f>
        <v>391.14037037037014</v>
      </c>
    </row>
    <row r="121" spans="1:18" ht="25.5">
      <c r="A121" s="882" t="s">
        <v>100</v>
      </c>
      <c r="B121" s="882"/>
      <c r="C121" s="882"/>
      <c r="D121" s="151" t="s">
        <v>183</v>
      </c>
      <c r="E121" s="95">
        <f>'26'!F121</f>
        <v>145927.18</v>
      </c>
      <c r="F121" s="237">
        <v>146360.17000000001</v>
      </c>
      <c r="G121" s="112">
        <f t="shared" si="9"/>
        <v>432.99000000001979</v>
      </c>
      <c r="H121" s="99">
        <f>G121+'26'!H121</f>
        <v>11797.170000000013</v>
      </c>
      <c r="I121" s="165"/>
      <c r="J121" s="328">
        <f>H121/DAY(B2)</f>
        <v>436.93222222222272</v>
      </c>
    </row>
    <row r="122" spans="1:18" ht="25.5">
      <c r="A122" s="882" t="s">
        <v>101</v>
      </c>
      <c r="B122" s="882"/>
      <c r="C122" s="882"/>
      <c r="D122" s="151" t="s">
        <v>183</v>
      </c>
      <c r="E122" s="95">
        <f>'26'!F122</f>
        <v>98769.59</v>
      </c>
      <c r="F122" s="237">
        <v>99065.59</v>
      </c>
      <c r="G122" s="112">
        <f t="shared" si="9"/>
        <v>296</v>
      </c>
      <c r="H122" s="99">
        <f>G122+'26'!H122</f>
        <v>8188.5899999999965</v>
      </c>
      <c r="I122" s="165"/>
      <c r="J122" s="328">
        <f>H122/DAY(B2)</f>
        <v>303.28111111111099</v>
      </c>
    </row>
    <row r="123" spans="1:18" ht="25.5">
      <c r="A123" s="882" t="s">
        <v>102</v>
      </c>
      <c r="B123" s="882"/>
      <c r="C123" s="882"/>
      <c r="D123" s="151" t="s">
        <v>183</v>
      </c>
      <c r="E123" s="95">
        <f>'26'!F123</f>
        <v>95613.8</v>
      </c>
      <c r="F123" s="237">
        <v>95917.91</v>
      </c>
      <c r="G123" s="112">
        <f t="shared" si="9"/>
        <v>304.11000000000058</v>
      </c>
      <c r="H123" s="99">
        <f>G123+'26'!H123</f>
        <v>8338.9100000000035</v>
      </c>
      <c r="I123" s="165"/>
      <c r="J123" s="328">
        <f>H123/DAY(B2)</f>
        <v>308.84851851851863</v>
      </c>
    </row>
    <row r="124" spans="1:18" ht="29.25" customHeight="1">
      <c r="A124" s="887"/>
      <c r="B124" s="888"/>
      <c r="C124" s="88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3363.7800000000025</v>
      </c>
      <c r="H125" s="156"/>
      <c r="I125" s="327">
        <f>G125-(G39+G53)</f>
        <v>554.97999999995591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95">
        <f>'26'!F128</f>
        <v>219604.07</v>
      </c>
      <c r="F128" s="155">
        <v>220052.33</v>
      </c>
      <c r="G128" s="112">
        <f t="shared" ref="G128:G134" si="10">F128-E128</f>
        <v>448.25999999998021</v>
      </c>
      <c r="H128" s="99">
        <f>G128+'26'!H128</f>
        <v>12763.329999999987</v>
      </c>
      <c r="I128" s="165"/>
      <c r="J128" s="328">
        <f>H128/DAY(B2)</f>
        <v>472.71592592592543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3679.16</v>
      </c>
      <c r="F129" s="155">
        <v>3760.51</v>
      </c>
      <c r="G129" s="112">
        <f t="shared" si="10"/>
        <v>81.350000000000364</v>
      </c>
      <c r="H129" s="99">
        <f>G129+'26'!H129</f>
        <v>3026.51</v>
      </c>
      <c r="I129" s="165"/>
      <c r="J129" s="328">
        <f>H129/DAY(B2)</f>
        <v>112.09296296296297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304609.63</v>
      </c>
      <c r="F130" s="155">
        <v>305239.51</v>
      </c>
      <c r="G130" s="112">
        <f t="shared" si="10"/>
        <v>629.88000000000466</v>
      </c>
      <c r="H130" s="99">
        <f>G130+'26'!H130</f>
        <v>16517.510000000009</v>
      </c>
      <c r="I130" s="165"/>
      <c r="J130" s="328">
        <f>H130/DAY(B2)</f>
        <v>611.75962962963001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'26'!F131</f>
        <v>89848.88</v>
      </c>
      <c r="F131" s="155">
        <v>90041.83</v>
      </c>
      <c r="G131" s="112">
        <f t="shared" si="10"/>
        <v>192.94999999999709</v>
      </c>
      <c r="H131" s="99">
        <f>G131+'26'!H131</f>
        <v>5338</v>
      </c>
      <c r="I131" s="165"/>
      <c r="J131" s="328">
        <f>H131/DAY(B2)</f>
        <v>197.7037037037037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'26'!F132</f>
        <v>75651.11</v>
      </c>
      <c r="F132" s="155">
        <v>75929.210000000006</v>
      </c>
      <c r="G132" s="112">
        <f t="shared" si="10"/>
        <v>278.10000000000582</v>
      </c>
      <c r="H132" s="99">
        <f>G132+'26'!H132</f>
        <v>8482.2100000000064</v>
      </c>
      <c r="I132" s="165"/>
      <c r="J132" s="328">
        <f>H132/DAY(B2)</f>
        <v>314.15592592592617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'26'!F133</f>
        <v>967643</v>
      </c>
      <c r="F133" s="155">
        <v>968406</v>
      </c>
      <c r="G133" s="112">
        <f t="shared" si="10"/>
        <v>763</v>
      </c>
      <c r="H133" s="99">
        <f>G133+'26'!H133</f>
        <v>13433</v>
      </c>
      <c r="I133" s="165"/>
      <c r="J133" s="328">
        <f>H133/DAY(B2)</f>
        <v>497.51851851851853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'26'!F134</f>
        <v>99897.11</v>
      </c>
      <c r="F134" s="155">
        <v>100148.43</v>
      </c>
      <c r="G134" s="112">
        <f t="shared" si="10"/>
        <v>251.31999999999243</v>
      </c>
      <c r="H134" s="99">
        <f>G134+'26'!H134</f>
        <v>9466.7399999999907</v>
      </c>
      <c r="I134" s="165"/>
      <c r="J134" s="328">
        <f>H134/DAY(B2)</f>
        <v>350.61999999999966</v>
      </c>
    </row>
    <row r="135" spans="1:15" ht="25.5">
      <c r="A135" s="788" t="s">
        <v>196</v>
      </c>
      <c r="B135" s="789"/>
      <c r="C135" s="331"/>
      <c r="D135" s="151"/>
      <c r="E135" s="95"/>
      <c r="F135" s="165"/>
      <c r="G135" s="112">
        <f>SUM(G128:G134)</f>
        <v>2644.8599999999806</v>
      </c>
      <c r="H135" s="99">
        <f>G135+'23'!H135</f>
        <v>28879.639999999934</v>
      </c>
      <c r="I135" s="327">
        <f>G135-(G35+G49)</f>
        <v>-529.30000000005202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'26'!F138</f>
        <v>916283</v>
      </c>
      <c r="F138" s="147">
        <v>916431</v>
      </c>
      <c r="G138" s="112">
        <f t="shared" ref="G138:G152" si="11">F138-E138</f>
        <v>148</v>
      </c>
      <c r="H138" s="99">
        <f>G138+'26'!H138</f>
        <v>7030</v>
      </c>
      <c r="I138" s="118"/>
      <c r="J138" s="328">
        <f>H138/DAY(B2)</f>
        <v>260.37037037037038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'26'!F139</f>
        <v>941164</v>
      </c>
      <c r="F139" s="148">
        <v>941313</v>
      </c>
      <c r="G139" s="112">
        <f t="shared" si="11"/>
        <v>149</v>
      </c>
      <c r="H139" s="99">
        <f>G139+'26'!H139</f>
        <v>4055</v>
      </c>
      <c r="I139" s="118"/>
      <c r="J139" s="328">
        <f>H139/DAY(B2)</f>
        <v>150.18518518518519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'26'!F140</f>
        <v>5620.51</v>
      </c>
      <c r="F140" s="149">
        <v>5655.05</v>
      </c>
      <c r="G140" s="112">
        <f t="shared" si="11"/>
        <v>34.539999999999964</v>
      </c>
      <c r="H140" s="99">
        <f>G140+'26'!H140</f>
        <v>891.05000000000018</v>
      </c>
      <c r="I140" s="118"/>
      <c r="J140" s="328">
        <f>H140/DAY(B2)</f>
        <v>33.00185185185186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'26'!F141</f>
        <v>137980.49</v>
      </c>
      <c r="F141" s="149">
        <v>138253.72</v>
      </c>
      <c r="G141" s="112">
        <f t="shared" si="11"/>
        <v>273.23000000001048</v>
      </c>
      <c r="H141" s="99">
        <f>G141+'26'!H141</f>
        <v>6933.7200000000012</v>
      </c>
      <c r="I141" s="118"/>
      <c r="J141" s="328">
        <f>H141/DAY(B2)</f>
        <v>256.80444444444447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'26'!F142</f>
        <v>55577.42</v>
      </c>
      <c r="F142" s="148">
        <v>55666.47</v>
      </c>
      <c r="G142" s="112">
        <f t="shared" si="11"/>
        <v>89.05000000000291</v>
      </c>
      <c r="H142" s="99">
        <f>G142+'26'!H142</f>
        <v>2475.4700000000012</v>
      </c>
      <c r="I142" s="140"/>
      <c r="J142" s="328">
        <f>H142/DAY(B2)</f>
        <v>91.684074074074118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'26'!F143</f>
        <v>15157.2</v>
      </c>
      <c r="F143" s="149">
        <v>15184.95</v>
      </c>
      <c r="G143" s="112">
        <f t="shared" si="11"/>
        <v>27.75</v>
      </c>
      <c r="H143" s="99">
        <f>G143+'26'!H143</f>
        <v>872.95000000000073</v>
      </c>
      <c r="I143" s="140"/>
      <c r="J143" s="328">
        <f>H143/DAY(B2)</f>
        <v>32.331481481481511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'26'!F144</f>
        <v>969820</v>
      </c>
      <c r="F144" s="149">
        <v>970072</v>
      </c>
      <c r="G144" s="112">
        <f t="shared" si="11"/>
        <v>252</v>
      </c>
      <c r="H144" s="99">
        <f>G144+'26'!H144</f>
        <v>6846</v>
      </c>
      <c r="I144" s="140"/>
      <c r="J144" s="328">
        <f>H144/DAY(B2)</f>
        <v>253.55555555555554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'26'!F145</f>
        <v>756313</v>
      </c>
      <c r="F145" s="149">
        <v>756507</v>
      </c>
      <c r="G145" s="112">
        <f t="shared" si="11"/>
        <v>194</v>
      </c>
      <c r="H145" s="99">
        <f>G145+'26'!H145</f>
        <v>5774</v>
      </c>
      <c r="I145" s="140"/>
      <c r="J145" s="328">
        <f>H145/DAY(B2)</f>
        <v>213.85185185185185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'26'!F146</f>
        <v>789985</v>
      </c>
      <c r="F146" s="148">
        <v>790015</v>
      </c>
      <c r="G146" s="112">
        <f t="shared" si="11"/>
        <v>30</v>
      </c>
      <c r="H146" s="99">
        <f>G146+'26'!H146</f>
        <v>990</v>
      </c>
      <c r="I146" s="140"/>
      <c r="J146" s="328">
        <f>H146/DAY(B2)</f>
        <v>36.666666666666664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'26'!F147</f>
        <v>781747.12</v>
      </c>
      <c r="F147" s="148">
        <v>782094.64</v>
      </c>
      <c r="G147" s="112">
        <f t="shared" si="11"/>
        <v>347.52000000001863</v>
      </c>
      <c r="H147" s="99">
        <f>G147+'26'!H147</f>
        <v>10437.760000000009</v>
      </c>
      <c r="I147" s="140"/>
      <c r="J147" s="328">
        <f>H147/DAY(B2)</f>
        <v>386.58370370370403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'26'!F148</f>
        <v>816488.08</v>
      </c>
      <c r="F148" s="150">
        <v>816806.32</v>
      </c>
      <c r="G148" s="112">
        <f t="shared" si="11"/>
        <v>318.23999999999069</v>
      </c>
      <c r="H148" s="99">
        <f>G148+'26'!H148</f>
        <v>9986.0799999999581</v>
      </c>
      <c r="I148" s="124"/>
      <c r="J148" s="328">
        <f>H148/DAY(B2)</f>
        <v>369.85481481481327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'26'!F149</f>
        <v>229657.45</v>
      </c>
      <c r="F149" s="146">
        <v>230146.17</v>
      </c>
      <c r="G149" s="112">
        <f t="shared" si="11"/>
        <v>488.72000000000116</v>
      </c>
      <c r="H149" s="99">
        <f>G149+'26'!H149</f>
        <v>13250.170000000013</v>
      </c>
      <c r="I149" s="119"/>
      <c r="J149" s="328">
        <f>H149/DAY(B2)</f>
        <v>490.7470370370375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'26'!F150</f>
        <v>98218.23</v>
      </c>
      <c r="F150" s="233">
        <v>98427.6</v>
      </c>
      <c r="G150" s="112">
        <f t="shared" si="11"/>
        <v>209.3700000000099</v>
      </c>
      <c r="H150" s="99">
        <f>G150+'26'!H150</f>
        <v>6316.8000000000029</v>
      </c>
      <c r="I150" s="119"/>
      <c r="J150" s="328">
        <f>H150/DAY(B2)</f>
        <v>233.95555555555566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'26'!F151</f>
        <v>185105</v>
      </c>
      <c r="F151" s="233">
        <v>185449</v>
      </c>
      <c r="G151" s="112">
        <f t="shared" si="11"/>
        <v>344</v>
      </c>
      <c r="H151" s="99">
        <f>G151+'26'!H151</f>
        <v>9274</v>
      </c>
      <c r="I151" s="119"/>
      <c r="J151" s="328">
        <f>H151/DAY(B2)</f>
        <v>343.48148148148147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'26'!F152</f>
        <v>50014.94</v>
      </c>
      <c r="F152" s="233">
        <v>50145.03</v>
      </c>
      <c r="G152" s="112">
        <f t="shared" si="11"/>
        <v>130.08999999999651</v>
      </c>
      <c r="H152" s="99">
        <f>G152+'26'!H152</f>
        <v>3513.0299999999988</v>
      </c>
      <c r="I152" s="119"/>
      <c r="J152" s="328">
        <f>H152/DAY(B2)</f>
        <v>130.11222222222219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3035.5100000000302</v>
      </c>
      <c r="H153" s="363"/>
      <c r="I153" s="119">
        <f>G153-(G38+G52)</f>
        <v>364.23000000011871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'26'!F155</f>
        <v>270635.75</v>
      </c>
      <c r="F155" s="388">
        <v>271172.25</v>
      </c>
      <c r="G155" s="112">
        <f t="shared" ref="G155:G158" si="12">F155-E155</f>
        <v>536.5</v>
      </c>
      <c r="H155" s="99">
        <f>G155+'26'!H155</f>
        <v>14820.25</v>
      </c>
      <c r="I155" s="364"/>
      <c r="J155" s="328">
        <f>H155/DAY(B2)</f>
        <v>548.89814814814815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'26'!F156</f>
        <v>35041.57</v>
      </c>
      <c r="F156" s="155">
        <v>35136.589999999997</v>
      </c>
      <c r="G156" s="112">
        <f t="shared" si="12"/>
        <v>95.019999999996799</v>
      </c>
      <c r="H156" s="99">
        <f>G156+'26'!H156</f>
        <v>2577.5899999999965</v>
      </c>
      <c r="I156" s="165"/>
      <c r="J156" s="328">
        <f>H156/DAY(B2)</f>
        <v>95.466296296296164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'26'!F157</f>
        <v>4113.28</v>
      </c>
      <c r="F157" s="155">
        <v>4281.58</v>
      </c>
      <c r="G157" s="112">
        <f t="shared" si="12"/>
        <v>168.30000000000018</v>
      </c>
      <c r="H157" s="99">
        <f>G157+'26'!H157</f>
        <v>1040.58</v>
      </c>
      <c r="I157" s="165"/>
      <c r="J157" s="328">
        <f>H157/DAY(B2)</f>
        <v>38.54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'26'!F158</f>
        <v>1853.12</v>
      </c>
      <c r="F158" s="155">
        <v>1862.33</v>
      </c>
      <c r="G158" s="112">
        <f t="shared" si="12"/>
        <v>9.2100000000000364</v>
      </c>
      <c r="H158" s="99">
        <f>G158+'26'!H158</f>
        <v>71.490000000000009</v>
      </c>
      <c r="I158" s="165"/>
      <c r="J158" s="328">
        <f>H158/DAY(B2)</f>
        <v>2.6477777777777782</v>
      </c>
    </row>
    <row r="159" spans="1:10" ht="25.5">
      <c r="A159" s="946"/>
      <c r="B159" s="947"/>
      <c r="C159" s="948"/>
      <c r="D159" s="117"/>
      <c r="E159" s="95"/>
      <c r="F159" s="15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516526.29</v>
      </c>
      <c r="F161" s="235">
        <v>516736.92</v>
      </c>
      <c r="G161" s="238">
        <f t="shared" ref="G161:G165" si="13">F161-E161</f>
        <v>210.63000000000466</v>
      </c>
      <c r="H161" s="99">
        <f>G161+'26'!H161</f>
        <v>4291.9199999999837</v>
      </c>
      <c r="I161" s="236"/>
      <c r="J161" s="239">
        <f>H161/DAY(B2)</f>
        <v>158.95999999999938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2834.5</v>
      </c>
      <c r="F162" s="235">
        <v>2871.2</v>
      </c>
      <c r="G162" s="238">
        <f t="shared" si="13"/>
        <v>36.699999999999818</v>
      </c>
      <c r="H162" s="99">
        <f>G162+'26'!H162</f>
        <v>1111.1999999999998</v>
      </c>
      <c r="I162" s="236"/>
      <c r="J162" s="239">
        <f>H162/DAY(B2)</f>
        <v>41.155555555555551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0</v>
      </c>
      <c r="F163" s="235">
        <v>0</v>
      </c>
      <c r="G163" s="238">
        <f t="shared" si="13"/>
        <v>0</v>
      </c>
      <c r="H163" s="99">
        <f>G163+'26'!H163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7401.3</v>
      </c>
      <c r="F164" s="235">
        <v>7402.7</v>
      </c>
      <c r="G164" s="238">
        <f t="shared" si="13"/>
        <v>1.3999999999996362</v>
      </c>
      <c r="H164" s="99">
        <f>G164+'26'!H164</f>
        <v>65.699999999999818</v>
      </c>
      <c r="I164" s="236"/>
      <c r="J164" s="239">
        <f>H164/DAY(B2)</f>
        <v>2.4333333333333265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33150</v>
      </c>
      <c r="F165" s="235">
        <v>33158.65</v>
      </c>
      <c r="G165" s="238">
        <f t="shared" si="13"/>
        <v>8.6500000000014552</v>
      </c>
      <c r="H165" s="99">
        <f>G165+'26'!H165</f>
        <v>184.13000000000466</v>
      </c>
      <c r="I165" s="236"/>
      <c r="J165" s="239">
        <f>H165/DAY(B2)</f>
        <v>6.8196296296298025</v>
      </c>
    </row>
    <row r="166" spans="1:10" ht="26.25">
      <c r="A166" s="872"/>
      <c r="B166" s="87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'26'!F173</f>
        <v>8614</v>
      </c>
      <c r="F173" s="155">
        <v>8614</v>
      </c>
      <c r="G173" s="155">
        <f>F173-E173</f>
        <v>0</v>
      </c>
      <c r="H173" s="99">
        <f>G173+'26'!H173</f>
        <v>32</v>
      </c>
      <c r="I173" s="155"/>
      <c r="J173" s="178">
        <f>H173/DAY(B2)</f>
        <v>1.1851851851851851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'26'!F174</f>
        <v>43679</v>
      </c>
      <c r="F174" s="157">
        <v>43690</v>
      </c>
      <c r="G174" s="155">
        <f t="shared" ref="G174:G175" si="14">F174-E174</f>
        <v>11</v>
      </c>
      <c r="H174" s="99">
        <f>G174+'26'!H174</f>
        <v>276</v>
      </c>
      <c r="I174" s="155"/>
      <c r="J174" s="178">
        <f>H174/DAY(B2)</f>
        <v>10.222222222222221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'26'!F175</f>
        <v>26641</v>
      </c>
      <c r="F175" s="155">
        <v>26654</v>
      </c>
      <c r="G175" s="155">
        <f t="shared" si="14"/>
        <v>13</v>
      </c>
      <c r="H175" s="99">
        <f>G175+'26'!H175</f>
        <v>367</v>
      </c>
      <c r="I175" s="155"/>
      <c r="J175" s="178">
        <f>H175/DAY(B2)</f>
        <v>13.592592592592593</v>
      </c>
    </row>
    <row r="176" spans="1:10" ht="25.5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24</v>
      </c>
      <c r="H176" s="99">
        <f>G176+'26'!H176</f>
        <v>675</v>
      </c>
      <c r="I176" s="155"/>
      <c r="J176" s="178">
        <f>H176/DAY(B2)</f>
        <v>25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'26'!F178</f>
        <v>112852</v>
      </c>
      <c r="F178" s="155">
        <v>112926</v>
      </c>
      <c r="G178" s="155">
        <f>F178-E178</f>
        <v>74</v>
      </c>
      <c r="H178" s="99">
        <f>G178+'26'!H178</f>
        <v>2535</v>
      </c>
      <c r="I178" s="155"/>
      <c r="J178" s="178">
        <f>H178/DAY(B2)</f>
        <v>93.888888888888886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'26'!F179</f>
        <v>37532</v>
      </c>
      <c r="F179" s="155">
        <v>37552</v>
      </c>
      <c r="G179" s="155">
        <f t="shared" ref="G179:G180" si="15">F179-E179</f>
        <v>20</v>
      </c>
      <c r="H179" s="99">
        <f>G179+'26'!H179</f>
        <v>51</v>
      </c>
      <c r="I179" s="155"/>
      <c r="J179" s="178">
        <f>H179/DAY(B2)</f>
        <v>1.8888888888888888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'26'!F180</f>
        <v>7816</v>
      </c>
      <c r="F180" s="155">
        <v>7826</v>
      </c>
      <c r="G180" s="155">
        <f t="shared" si="15"/>
        <v>10</v>
      </c>
      <c r="H180" s="99">
        <f>G180+'26'!H180</f>
        <v>125</v>
      </c>
      <c r="I180" s="155"/>
      <c r="J180" s="178">
        <f>H180/DAY(B2)</f>
        <v>4.6296296296296298</v>
      </c>
    </row>
    <row r="181" spans="1:10" ht="25.5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104</v>
      </c>
      <c r="H181" s="99">
        <f>G181+'26'!H181</f>
        <v>2711</v>
      </c>
      <c r="I181" s="155"/>
      <c r="J181" s="178">
        <f>H181/DAY(B2)</f>
        <v>100.4074074074074</v>
      </c>
    </row>
    <row r="182" spans="1:10" ht="25.5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'26'!F183</f>
        <v>18896</v>
      </c>
      <c r="F183" s="157">
        <v>18912</v>
      </c>
      <c r="G183" s="157">
        <f>F183-E183</f>
        <v>16</v>
      </c>
      <c r="H183" s="99">
        <f>G183+'26'!H183</f>
        <v>220</v>
      </c>
      <c r="I183" s="155"/>
      <c r="J183" s="178">
        <f>H183/DAY(B2)</f>
        <v>8.1481481481481488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'26'!F184</f>
        <v>13440</v>
      </c>
      <c r="F184" s="157">
        <v>13444</v>
      </c>
      <c r="G184" s="157">
        <f t="shared" ref="G184:G185" si="16">F184-E184</f>
        <v>4</v>
      </c>
      <c r="H184" s="99">
        <f>G184+'26'!H184</f>
        <v>198</v>
      </c>
      <c r="I184" s="155"/>
      <c r="J184" s="178">
        <f>H184/DAY(B2)</f>
        <v>7.333333333333333</v>
      </c>
    </row>
    <row r="185" spans="1:10" ht="25.5" customHeight="1">
      <c r="A185" s="790" t="s">
        <v>216</v>
      </c>
      <c r="B185" s="791"/>
      <c r="C185" s="334"/>
      <c r="D185" s="228" t="s">
        <v>142</v>
      </c>
      <c r="E185" s="95">
        <f>'26'!F185</f>
        <v>0</v>
      </c>
      <c r="F185" s="157">
        <v>0</v>
      </c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20</v>
      </c>
      <c r="H186" s="99">
        <f>G186+'26'!H186</f>
        <v>418</v>
      </c>
      <c r="I186" s="157"/>
      <c r="J186" s="178">
        <f>H186/DAY(B2)</f>
        <v>15.481481481481481</v>
      </c>
    </row>
    <row r="187" spans="1:10" ht="25.5">
      <c r="A187" s="869" t="s">
        <v>217</v>
      </c>
      <c r="B187" s="870"/>
      <c r="C187" s="333"/>
      <c r="D187" s="228" t="s">
        <v>142</v>
      </c>
      <c r="E187" s="95">
        <f>'26'!F187</f>
        <v>0</v>
      </c>
      <c r="F187" s="159"/>
      <c r="G187" s="377">
        <f>G62+G19</f>
        <v>172.20000000001164</v>
      </c>
      <c r="H187" s="99">
        <f>G187+'26'!H187</f>
        <v>3792.2000000000116</v>
      </c>
      <c r="I187" s="158"/>
      <c r="J187" s="179">
        <f>H187/DAY(B2)</f>
        <v>140.4518518518523</v>
      </c>
    </row>
    <row r="188" spans="1:10" ht="25.5">
      <c r="A188" s="869" t="s">
        <v>218</v>
      </c>
      <c r="B188" s="870"/>
      <c r="C188" s="333"/>
      <c r="D188" s="228" t="s">
        <v>142</v>
      </c>
      <c r="E188" s="95">
        <f>'26'!F188</f>
        <v>0</v>
      </c>
      <c r="F188" s="159"/>
      <c r="G188" s="377">
        <f>G65+G66+G67+G69+G70</f>
        <v>182.70000000000073</v>
      </c>
      <c r="H188" s="99">
        <f>G188+'26'!H188</f>
        <v>2582</v>
      </c>
      <c r="I188" s="158"/>
      <c r="J188" s="179">
        <f>H188/DAY(B2)</f>
        <v>95.629629629629633</v>
      </c>
    </row>
    <row r="189" spans="1:10" ht="25.5">
      <c r="A189" s="869" t="s">
        <v>219</v>
      </c>
      <c r="B189" s="870"/>
      <c r="C189" s="333"/>
      <c r="D189" s="230" t="s">
        <v>142</v>
      </c>
      <c r="E189" s="95">
        <f>'26'!F189</f>
        <v>0</v>
      </c>
      <c r="F189" s="157"/>
      <c r="G189" s="376">
        <f>G181</f>
        <v>104</v>
      </c>
      <c r="H189" s="99">
        <f>G189+'26'!H189</f>
        <v>740</v>
      </c>
      <c r="I189" s="158"/>
      <c r="J189" s="179">
        <f>H189/DAY(B2)</f>
        <v>27.407407407407408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E32" sqref="E3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371</v>
      </c>
      <c r="B2" s="262">
        <v>44985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384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234642.93</v>
      </c>
      <c r="F7" s="95">
        <v>256809</v>
      </c>
      <c r="G7" s="112">
        <f t="shared" ref="G7:G12" si="0">F7-E7</f>
        <v>22166.070000000007</v>
      </c>
      <c r="H7" s="99">
        <f>G7+'27'!H7</f>
        <v>633442</v>
      </c>
      <c r="I7" s="113">
        <f>'1'!I7</f>
        <v>12000</v>
      </c>
      <c r="J7" s="175">
        <f>H7/DAY(B2)</f>
        <v>22622.928571428572</v>
      </c>
      <c r="K7" s="172">
        <v>1375467</v>
      </c>
      <c r="L7" s="66"/>
      <c r="N7" s="87">
        <f>F7-'1'!E7</f>
        <v>-365990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441815.95</v>
      </c>
      <c r="F8" s="114">
        <v>464495</v>
      </c>
      <c r="G8" s="115">
        <f t="shared" si="0"/>
        <v>22679.049999999988</v>
      </c>
      <c r="H8" s="99">
        <f>G8+'27'!H8</f>
        <v>648385</v>
      </c>
      <c r="I8" s="116"/>
      <c r="J8" s="175">
        <f>H8/DAY(B2)</f>
        <v>23156.607142857141</v>
      </c>
      <c r="K8" s="172">
        <v>1715917</v>
      </c>
      <c r="L8" s="76">
        <v>1728480</v>
      </c>
      <c r="M8" s="87">
        <f>L8-K8</f>
        <v>12563</v>
      </c>
      <c r="N8" s="87">
        <f>F8-'1'!E8</f>
        <v>-351615</v>
      </c>
      <c r="O8" s="71">
        <f>G8-200</f>
        <v>22479.049999999988</v>
      </c>
    </row>
    <row r="9" spans="1:15" ht="26.25">
      <c r="A9" s="199" t="s">
        <v>132</v>
      </c>
      <c r="B9" s="200"/>
      <c r="C9" s="200"/>
      <c r="D9" s="151" t="s">
        <v>130</v>
      </c>
      <c r="E9" s="468">
        <v>5176177.5</v>
      </c>
      <c r="F9" s="468">
        <v>5191629.9000000004</v>
      </c>
      <c r="G9" s="112">
        <f t="shared" si="0"/>
        <v>15452.400000000373</v>
      </c>
      <c r="H9" s="99">
        <f>G9+'27'!H9</f>
        <v>366530.90000000037</v>
      </c>
      <c r="I9" s="124">
        <f>I7-J7</f>
        <v>-10622.928571428572</v>
      </c>
      <c r="J9" s="175">
        <f>H9/DAY(B2)</f>
        <v>13090.389285714298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353">
        <v>4535251.9000000004</v>
      </c>
      <c r="F10" s="353">
        <v>4541121</v>
      </c>
      <c r="G10" s="112">
        <f t="shared" si="0"/>
        <v>5869.0999999996275</v>
      </c>
      <c r="H10" s="99">
        <f>G10+'27'!H10</f>
        <v>250587</v>
      </c>
      <c r="I10" s="282"/>
      <c r="J10" s="175">
        <f>H10/DAY(B2)</f>
        <v>8949.5357142857138</v>
      </c>
      <c r="K10" s="79"/>
      <c r="L10" s="66"/>
      <c r="N10" s="87"/>
      <c r="O10" s="71">
        <f>F7-O8</f>
        <v>234329.95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v>38700</v>
      </c>
      <c r="F11" s="95">
        <v>38700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117">
        <v>40550</v>
      </c>
      <c r="F12" s="117">
        <v>40550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-312.97999999998137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21321.5</v>
      </c>
      <c r="H13" s="99">
        <f>G13+'27'!H13</f>
        <v>617117.90000000037</v>
      </c>
      <c r="I13" s="120">
        <f>G7-G13</f>
        <v>844.57000000000698</v>
      </c>
      <c r="J13" s="175">
        <f>H13/DAY(B2)</f>
        <v>22039.925000000014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v>2318603</v>
      </c>
      <c r="F15" s="352">
        <v>2319789</v>
      </c>
      <c r="G15" s="112">
        <f>(F15-E15)</f>
        <v>1186</v>
      </c>
      <c r="H15" s="99">
        <f>G15+'27'!H15</f>
        <v>31315.285000000149</v>
      </c>
      <c r="I15" s="113">
        <f>'1'!I15</f>
        <v>800</v>
      </c>
      <c r="J15" s="175">
        <f>H15/DAY(B2)</f>
        <v>1118.403035714291</v>
      </c>
      <c r="K15" s="79"/>
      <c r="L15" s="66"/>
      <c r="N15" s="87">
        <f>F15-'1'!E15</f>
        <v>31315.285000000149</v>
      </c>
      <c r="O15" s="71">
        <f>G8-200</f>
        <v>22479.049999999988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-318.40303571429104</v>
      </c>
      <c r="J16" s="176"/>
      <c r="K16" s="79"/>
      <c r="L16" s="66"/>
      <c r="N16" s="87"/>
      <c r="O16" s="71"/>
    </row>
    <row r="17" spans="1:16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04" t="s">
        <v>141</v>
      </c>
      <c r="B18" s="905"/>
      <c r="C18" s="906"/>
      <c r="D18" s="151" t="s">
        <v>142</v>
      </c>
      <c r="E18" s="122">
        <v>21</v>
      </c>
      <c r="F18" s="122">
        <v>15</v>
      </c>
      <c r="G18" s="119">
        <f>F18*10</f>
        <v>150</v>
      </c>
      <c r="H18" s="99">
        <f>G18+'27'!H18</f>
        <v>5520</v>
      </c>
      <c r="I18" s="113">
        <f>'1'!I18</f>
        <v>65</v>
      </c>
      <c r="J18" s="175">
        <f>H18/DAY(B2)</f>
        <v>197.14285714285714</v>
      </c>
      <c r="K18" s="79"/>
      <c r="L18" s="66"/>
      <c r="N18" s="87"/>
      <c r="O18" s="71"/>
    </row>
    <row r="19" spans="1:16" ht="25.5">
      <c r="A19" s="904" t="s">
        <v>69</v>
      </c>
      <c r="B19" s="905"/>
      <c r="C19" s="906"/>
      <c r="D19" s="151" t="s">
        <v>142</v>
      </c>
      <c r="E19" s="122">
        <v>172722</v>
      </c>
      <c r="F19" s="122">
        <v>172774</v>
      </c>
      <c r="G19" s="112">
        <f>F19-E19</f>
        <v>52</v>
      </c>
      <c r="H19" s="99">
        <f>G19+'27'!H19</f>
        <v>1451</v>
      </c>
      <c r="I19" s="335"/>
      <c r="J19" s="175">
        <f>H19/DAY(B2)</f>
        <v>51.821428571428569</v>
      </c>
      <c r="K19" s="79"/>
      <c r="L19" s="66"/>
      <c r="N19" s="87">
        <f>F19-'1'!E19</f>
        <v>1451</v>
      </c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202</v>
      </c>
      <c r="H20" s="99">
        <f>G20+'27'!H20</f>
        <v>6971</v>
      </c>
      <c r="I20" s="336">
        <f>I18-J20</f>
        <v>-183.96428571428572</v>
      </c>
      <c r="J20" s="175">
        <f>H20/DAY(B2)</f>
        <v>248.96428571428572</v>
      </c>
      <c r="K20" s="79"/>
      <c r="L20" s="66"/>
      <c r="N20" s="87"/>
      <c r="O20" s="71"/>
    </row>
    <row r="21" spans="1:16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122">
        <v>1500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128">
        <v>4470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6.25" thickBot="1">
      <c r="A27" s="208" t="s">
        <v>5</v>
      </c>
      <c r="B27" s="209"/>
      <c r="C27" s="210"/>
      <c r="D27" s="226" t="s">
        <v>24</v>
      </c>
      <c r="E27" s="759">
        <f>G8-C27</f>
        <v>22679.049999999988</v>
      </c>
      <c r="F27" s="136">
        <v>10</v>
      </c>
      <c r="G27" s="137">
        <f>E27*F27</f>
        <v>226790.49999999988</v>
      </c>
      <c r="H27" s="99">
        <f>G27+'27'!H27</f>
        <v>6483850.0000000009</v>
      </c>
      <c r="I27" s="138"/>
      <c r="J27" s="175">
        <f>H27/DAY(B2)</f>
        <v>231566.07142857145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760">
        <v>1186</v>
      </c>
      <c r="F28" s="136">
        <v>63</v>
      </c>
      <c r="G28" s="137">
        <f>E28*F28</f>
        <v>74718</v>
      </c>
      <c r="H28" s="99">
        <f>G28+'27'!H28</f>
        <v>1992284.4100000104</v>
      </c>
      <c r="I28" s="140"/>
      <c r="J28" s="175">
        <f>H28/DAY(B2)</f>
        <v>71153.01464285751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760">
        <v>0</v>
      </c>
      <c r="F29" s="136">
        <v>69</v>
      </c>
      <c r="G29" s="137">
        <f>E29*F29</f>
        <v>0</v>
      </c>
      <c r="H29" s="99">
        <f>G29+'27'!H29</f>
        <v>6900</v>
      </c>
      <c r="I29" s="140"/>
      <c r="J29" s="175">
        <f>H29/DAY(B2)</f>
        <v>246.42857142857142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760">
        <v>52</v>
      </c>
      <c r="F30" s="136">
        <v>162.30000000000001</v>
      </c>
      <c r="G30" s="137">
        <f>E30*F30</f>
        <v>8439.6</v>
      </c>
      <c r="H30" s="99">
        <f>G30+'27'!H30</f>
        <v>223964.6</v>
      </c>
      <c r="I30" s="140"/>
      <c r="J30" s="175">
        <f>H30/DAY(B2)</f>
        <v>7998.7357142857145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760">
        <v>150</v>
      </c>
      <c r="F31" s="136">
        <v>88</v>
      </c>
      <c r="G31" s="137">
        <f>E31*F31</f>
        <v>13200</v>
      </c>
      <c r="H31" s="99">
        <f>G31+'27'!H31</f>
        <v>482100</v>
      </c>
      <c r="I31" s="140"/>
      <c r="J31" s="175">
        <f>H31/DAY(B2)</f>
        <v>17217.857142857141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323148.09999999986</v>
      </c>
      <c r="H32" s="99">
        <f>G32+'27'!H32</f>
        <v>9189099.0100000091</v>
      </c>
      <c r="I32" s="144"/>
      <c r="J32" s="175">
        <f>H32/DAY(B2)</f>
        <v>328182.10750000033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602676.55000000005</v>
      </c>
      <c r="F35" s="145">
        <v>605332.18999999994</v>
      </c>
      <c r="G35" s="112">
        <f t="shared" ref="G35:G46" si="1">F35-E35</f>
        <v>2655.6399999998976</v>
      </c>
      <c r="H35" s="99">
        <f>G35+'27'!H35</f>
        <v>75276.189999999944</v>
      </c>
      <c r="I35" s="95"/>
      <c r="J35" s="175">
        <f>H35/DAY(B2)</f>
        <v>2688.4353571428551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410530.23</v>
      </c>
      <c r="F36" s="145">
        <v>411222.19</v>
      </c>
      <c r="G36" s="112">
        <f t="shared" si="1"/>
        <v>691.96000000002095</v>
      </c>
      <c r="H36" s="99">
        <f>G36+'27'!H36</f>
        <v>29401.190000000002</v>
      </c>
      <c r="I36" s="95"/>
      <c r="J36" s="175">
        <f>H36/DAY(B2)</f>
        <v>1050.0425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422487.91</v>
      </c>
      <c r="F37" s="145">
        <v>423977</v>
      </c>
      <c r="G37" s="112">
        <f t="shared" si="1"/>
        <v>1489.0900000000256</v>
      </c>
      <c r="H37" s="99">
        <f>G37+'27'!H37</f>
        <v>40358</v>
      </c>
      <c r="I37" s="95"/>
      <c r="J37" s="175">
        <f>H37/DAY(B2)</f>
        <v>1441.3571428571429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948647.59</v>
      </c>
      <c r="F38" s="108">
        <v>951292</v>
      </c>
      <c r="G38" s="112">
        <f t="shared" si="1"/>
        <v>2644.4100000000326</v>
      </c>
      <c r="H38" s="99">
        <f>G38+'27'!H38</f>
        <v>74165</v>
      </c>
      <c r="I38" s="95"/>
      <c r="J38" s="175">
        <f>H38/DAY(B2)</f>
        <v>2648.75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783053.91</v>
      </c>
      <c r="F39" s="145">
        <v>785780.95</v>
      </c>
      <c r="G39" s="112">
        <f t="shared" si="1"/>
        <v>2727.0399999999208</v>
      </c>
      <c r="H39" s="99">
        <f>G39+'27'!H39</f>
        <v>79644.949999999953</v>
      </c>
      <c r="I39" s="95"/>
      <c r="J39" s="175">
        <f>H39/DAY(B2)</f>
        <v>2844.4624999999983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225274.39</v>
      </c>
      <c r="F40" s="145">
        <v>225934.01</v>
      </c>
      <c r="G40" s="112">
        <f t="shared" si="1"/>
        <v>659.61999999999534</v>
      </c>
      <c r="H40" s="99">
        <f>G40+'27'!H40</f>
        <v>8142.0100000000093</v>
      </c>
      <c r="I40" s="95"/>
      <c r="J40" s="175">
        <f>H40/DAY(B2)</f>
        <v>290.78607142857174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420212.51</v>
      </c>
      <c r="F41" s="145">
        <v>420212.5</v>
      </c>
      <c r="G41" s="112">
        <f t="shared" si="1"/>
        <v>-1.0000000009313226E-2</v>
      </c>
      <c r="H41" s="99">
        <f>G41+'27'!H41</f>
        <v>-1.0000000009313226E-2</v>
      </c>
      <c r="I41" s="95"/>
      <c r="J41" s="175">
        <f>H41/DAY(B2)</f>
        <v>-3.5714285747547237E-4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998254.47</v>
      </c>
      <c r="F42" s="145">
        <v>1002323.4</v>
      </c>
      <c r="G42" s="112">
        <f t="shared" si="1"/>
        <v>4068.9300000000512</v>
      </c>
      <c r="H42" s="99">
        <f>G42+'27'!H42</f>
        <v>29260.770000000019</v>
      </c>
      <c r="I42" s="95"/>
      <c r="J42" s="175">
        <f>H42/DAY(B2)</f>
        <v>1045.0275000000006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422444</v>
      </c>
      <c r="F43" s="145">
        <v>422444</v>
      </c>
      <c r="G43" s="112">
        <f t="shared" si="1"/>
        <v>0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1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1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1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14936.679999999935</v>
      </c>
      <c r="H47" s="99">
        <f>G47+'27'!H47</f>
        <v>336248.09999999986</v>
      </c>
      <c r="I47" s="95"/>
      <c r="J47" s="175">
        <f>H47/DAY(B2)</f>
        <v>12008.860714285709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837466.95</v>
      </c>
      <c r="F49" s="422">
        <v>837951</v>
      </c>
      <c r="G49" s="112">
        <f t="shared" ref="G49:G58" si="2">F49-E49</f>
        <v>484.05000000004657</v>
      </c>
      <c r="H49" s="99">
        <f>G49+'27'!H49</f>
        <v>15039</v>
      </c>
      <c r="I49" s="95"/>
      <c r="J49" s="175">
        <f>H49/DAY(B2)</f>
        <v>537.10714285714289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581939.15</v>
      </c>
      <c r="F50" s="145">
        <v>583799</v>
      </c>
      <c r="G50" s="112">
        <f t="shared" si="2"/>
        <v>1859.8499999999767</v>
      </c>
      <c r="H50" s="99">
        <f>G50+'27'!H50</f>
        <v>41825</v>
      </c>
      <c r="I50" s="95"/>
      <c r="J50" s="175">
        <f>H50/DAY(B2)</f>
        <v>1493.75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156958.44</v>
      </c>
      <c r="F51" s="145">
        <v>156958.44</v>
      </c>
      <c r="G51" s="112">
        <f t="shared" si="2"/>
        <v>0</v>
      </c>
      <c r="H51" s="99">
        <f>G51+'27'!H51</f>
        <v>0.44000000000232831</v>
      </c>
      <c r="I51" s="95"/>
      <c r="J51" s="175">
        <f>H51/DAY(B2)</f>
        <v>1.5714285714368868E-2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1457.43</v>
      </c>
      <c r="F52" s="145">
        <v>1457.43</v>
      </c>
      <c r="G52" s="112">
        <f t="shared" si="2"/>
        <v>0</v>
      </c>
      <c r="H52" s="99">
        <f>G52+'27'!H52</f>
        <v>0.43000000000006366</v>
      </c>
      <c r="I52" s="95"/>
      <c r="J52" s="175">
        <f>H52/DAY(B2)</f>
        <v>1.5357142857145132E-2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v>630355.03</v>
      </c>
      <c r="F53" s="145">
        <v>630355.03</v>
      </c>
      <c r="G53" s="112">
        <f t="shared" si="2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v>132590.56</v>
      </c>
      <c r="F54" s="145">
        <v>132951</v>
      </c>
      <c r="G54" s="112">
        <f t="shared" si="2"/>
        <v>360.44000000000233</v>
      </c>
      <c r="H54" s="99">
        <f>G54+'27'!H54</f>
        <v>8836.7899999999936</v>
      </c>
      <c r="I54" s="95"/>
      <c r="J54" s="175">
        <f>H54/DAY(B2)</f>
        <v>315.59964285714261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v>632292.91</v>
      </c>
      <c r="F55" s="145">
        <v>633023</v>
      </c>
      <c r="G55" s="112">
        <f t="shared" si="2"/>
        <v>730.0899999999674</v>
      </c>
      <c r="H55" s="99">
        <f>G55+'27'!H55</f>
        <v>38718.25</v>
      </c>
      <c r="I55" s="95"/>
      <c r="J55" s="175">
        <f>H55/DAY(B2)</f>
        <v>1382.7946428571429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v>415420.11</v>
      </c>
      <c r="F56" s="145">
        <v>415420</v>
      </c>
      <c r="G56" s="112">
        <f t="shared" si="2"/>
        <v>-0.10999999998603016</v>
      </c>
      <c r="H56" s="99">
        <f>G56+'27'!H56</f>
        <v>42300</v>
      </c>
      <c r="I56" s="95"/>
      <c r="J56" s="175">
        <f>H56/DAY(B2)</f>
        <v>1510.7142857142858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22">
        <v>776519.11</v>
      </c>
      <c r="F57" s="422">
        <v>778968</v>
      </c>
      <c r="G57" s="112">
        <f t="shared" si="2"/>
        <v>2448.890000000014</v>
      </c>
      <c r="H57" s="99">
        <f>G57+'27'!H57</f>
        <v>71270</v>
      </c>
      <c r="I57" s="95"/>
      <c r="J57" s="175">
        <f>H57/DAY(B2)</f>
        <v>2545.3571428571427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v>101340.54</v>
      </c>
      <c r="F58" s="145">
        <v>101598</v>
      </c>
      <c r="G58" s="112">
        <f t="shared" si="2"/>
        <v>257.4600000000064</v>
      </c>
      <c r="H58" s="99">
        <f>G58+'27'!H58</f>
        <v>7028.179999999993</v>
      </c>
      <c r="I58" s="95"/>
      <c r="J58" s="175">
        <f>H58/DAY(B2)</f>
        <v>251.00642857142833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6140.6700000000274</v>
      </c>
      <c r="H59" s="99">
        <f>G59+'27'!H59</f>
        <v>225018.08999999997</v>
      </c>
      <c r="I59" s="95">
        <f>G7-G60</f>
        <v>1088.7200000000448</v>
      </c>
      <c r="J59" s="175">
        <f>H59/DAY(B2)</f>
        <v>8036.3603571428557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21077.349999999962</v>
      </c>
      <c r="H60" s="99">
        <f>G60+'27'!H60</f>
        <v>561266.18999999983</v>
      </c>
      <c r="I60" s="95">
        <f>G13-G60</f>
        <v>244.15000000003783</v>
      </c>
      <c r="J60" s="175">
        <f>H60/DAY(B2)</f>
        <v>20045.221071428565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122">
        <v>318070.2</v>
      </c>
      <c r="F62" s="122">
        <v>318183</v>
      </c>
      <c r="G62" s="112">
        <f>F62-E62</f>
        <v>112.79999999998836</v>
      </c>
      <c r="H62" s="99">
        <f>G62+'27'!H62</f>
        <v>2506</v>
      </c>
      <c r="I62" s="118"/>
      <c r="J62" s="175">
        <f>H62/DAY(B2)</f>
        <v>89.5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122">
        <v>254614</v>
      </c>
      <c r="F63" s="122">
        <v>254698</v>
      </c>
      <c r="G63" s="112">
        <f>F63-E63</f>
        <v>84</v>
      </c>
      <c r="H63" s="99">
        <f>G63+'27'!H63</f>
        <v>2374</v>
      </c>
      <c r="I63" s="118"/>
      <c r="J63" s="175">
        <f>H63/DAY(B2)</f>
        <v>84.785714285714292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122"/>
      <c r="F64" s="122">
        <v>0</v>
      </c>
      <c r="G64" s="112">
        <f>G62+G63</f>
        <v>196.79999999998836</v>
      </c>
      <c r="H64" s="99">
        <f>G64+'27'!H64</f>
        <v>4880</v>
      </c>
      <c r="I64" s="118"/>
      <c r="J64" s="175">
        <f>H64/DAY(B2)</f>
        <v>174.28571428571428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122">
        <v>479416</v>
      </c>
      <c r="F65" s="122">
        <v>479514</v>
      </c>
      <c r="G65" s="112">
        <f t="shared" ref="G65:G70" si="3">F65-E65</f>
        <v>98</v>
      </c>
      <c r="H65" s="99">
        <f>G65+'27'!H65</f>
        <v>3611</v>
      </c>
      <c r="I65" s="118"/>
      <c r="J65" s="175">
        <f>H65/DAY(B2)</f>
        <v>128.96428571428572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22">
        <v>114859</v>
      </c>
      <c r="F66" s="122">
        <v>114865</v>
      </c>
      <c r="G66" s="112">
        <f t="shared" si="3"/>
        <v>6</v>
      </c>
      <c r="H66" s="99">
        <f>G66+'27'!H66</f>
        <v>399</v>
      </c>
      <c r="I66" s="118"/>
      <c r="J66" s="175">
        <f>H66/DAY(B2)</f>
        <v>14.25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22">
        <v>118041</v>
      </c>
      <c r="F67" s="122">
        <v>118065</v>
      </c>
      <c r="G67" s="112">
        <f t="shared" si="3"/>
        <v>24</v>
      </c>
      <c r="H67" s="99">
        <f>G67+'27'!H67</f>
        <v>783</v>
      </c>
      <c r="I67" s="118"/>
      <c r="J67" s="175">
        <f>H67/DAY(B2)</f>
        <v>27.964285714285715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22">
        <v>170501</v>
      </c>
      <c r="F68" s="122">
        <v>170517</v>
      </c>
      <c r="G68" s="112">
        <f t="shared" si="3"/>
        <v>16</v>
      </c>
      <c r="H68" s="99">
        <f>G68+'27'!H68</f>
        <v>567</v>
      </c>
      <c r="I68" s="118"/>
      <c r="J68" s="175">
        <f>H68/DAY(B2)</f>
        <v>20.25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22">
        <v>13386</v>
      </c>
      <c r="F69" s="122">
        <v>13390</v>
      </c>
      <c r="G69" s="112">
        <f t="shared" si="3"/>
        <v>4</v>
      </c>
      <c r="H69" s="99">
        <f>G69+'27'!H69</f>
        <v>178</v>
      </c>
      <c r="I69" s="118"/>
      <c r="J69" s="175">
        <f>H69/DAY(B2)</f>
        <v>6.3571428571428568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22">
        <v>11452</v>
      </c>
      <c r="F70" s="122">
        <v>11455</v>
      </c>
      <c r="G70" s="112">
        <f t="shared" si="3"/>
        <v>3</v>
      </c>
      <c r="H70" s="99">
        <f>G70+'27'!H70</f>
        <v>197</v>
      </c>
      <c r="I70" s="118"/>
      <c r="J70" s="175">
        <f>H70/DAY(B2)</f>
        <v>7.0357142857142856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151</v>
      </c>
      <c r="H71" s="99">
        <f>G71+'27'!H71</f>
        <v>5735</v>
      </c>
      <c r="I71" s="154"/>
      <c r="J71" s="175">
        <f>H71/DAY(B2)</f>
        <v>204.82142857142858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/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117">
        <v>20457.73</v>
      </c>
      <c r="F74" s="117">
        <v>20733.71</v>
      </c>
      <c r="G74" s="112">
        <f>F74-E74</f>
        <v>275.97999999999956</v>
      </c>
      <c r="H74" s="99">
        <f>G74+'27'!H74</f>
        <v>4853.7099999999991</v>
      </c>
      <c r="I74" s="154"/>
      <c r="J74" s="175">
        <f>H74/DAY(B2)</f>
        <v>173.34678571428569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123">
        <v>73586.8</v>
      </c>
      <c r="F75" s="123">
        <v>73586.8</v>
      </c>
      <c r="G75" s="112">
        <f>F75-E75</f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123">
        <v>213923.9</v>
      </c>
      <c r="F76" s="123">
        <v>214023</v>
      </c>
      <c r="G76" s="112">
        <f>F76-E76</f>
        <v>99.100000000005821</v>
      </c>
      <c r="H76" s="99">
        <f>G76+'27'!H76</f>
        <v>3363</v>
      </c>
      <c r="I76" s="154"/>
      <c r="J76" s="175">
        <f>H76/DAY(B2)</f>
        <v>120.10714285714286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123">
        <v>61206.6</v>
      </c>
      <c r="F77" s="123">
        <v>61261</v>
      </c>
      <c r="G77" s="112">
        <f>F77-E77</f>
        <v>54.400000000001455</v>
      </c>
      <c r="H77" s="99">
        <f>G77+'27'!H77</f>
        <v>1500</v>
      </c>
      <c r="I77" s="154"/>
      <c r="J77" s="175">
        <f>H77/DAY(B2)</f>
        <v>53.571428571428569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123">
        <v>9564</v>
      </c>
      <c r="F78" s="123">
        <v>9564</v>
      </c>
      <c r="G78" s="112">
        <f>F78-E78</f>
        <v>0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123"/>
      <c r="F79" s="123"/>
      <c r="G79" s="112">
        <f>G15-SUM(G74:G78)</f>
        <v>756.51999999999316</v>
      </c>
      <c r="H79" s="99">
        <f>G79+'27'!H79</f>
        <v>17980.07500000015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1186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4">F82-E82</f>
        <v>0</v>
      </c>
      <c r="H82" s="99">
        <f>G82+'27'!H82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4"/>
        <v>0</v>
      </c>
      <c r="H83" s="99">
        <f>G83+'27'!H83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43546</v>
      </c>
      <c r="F84" s="164">
        <v>43546</v>
      </c>
      <c r="G84" s="112">
        <f t="shared" si="4"/>
        <v>0</v>
      </c>
      <c r="H84" s="99">
        <f>G84+'27'!H84</f>
        <v>-0.34999999999854481</v>
      </c>
      <c r="I84" s="543"/>
      <c r="J84" s="175">
        <f>H84/DAY(B2)</f>
        <v>-1.2499999999948028E-2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64">
        <v>6334.08</v>
      </c>
      <c r="F85" s="164">
        <v>6357</v>
      </c>
      <c r="G85" s="236">
        <f t="shared" si="4"/>
        <v>22.920000000000073</v>
      </c>
      <c r="H85" s="99">
        <f>G85+'27'!H85</f>
        <v>144</v>
      </c>
      <c r="I85" s="543"/>
      <c r="J85" s="175">
        <f>H85/DAY(B2)</f>
        <v>5.1428571428571432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47231.55</v>
      </c>
      <c r="F86" s="164">
        <v>47238</v>
      </c>
      <c r="G86" s="112">
        <f t="shared" si="4"/>
        <v>6.4499999999970896</v>
      </c>
      <c r="H86" s="99">
        <f>G86+'27'!H86</f>
        <v>267</v>
      </c>
      <c r="I86" s="543"/>
      <c r="J86" s="175">
        <f>H86/DAY(B2)</f>
        <v>9.5357142857142865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37677.57</v>
      </c>
      <c r="F87" s="164">
        <v>37677.57</v>
      </c>
      <c r="G87" s="112">
        <f t="shared" si="4"/>
        <v>0</v>
      </c>
      <c r="H87" s="99">
        <f>G87+'27'!H87</f>
        <v>313.56999999999971</v>
      </c>
      <c r="I87" s="543">
        <f>G84+G85+G86+G87</f>
        <v>29.369999999997162</v>
      </c>
      <c r="J87" s="175">
        <f>H87/DAY(B2)</f>
        <v>11.198928571428562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24929.05</v>
      </c>
      <c r="F88" s="164">
        <v>24935.77</v>
      </c>
      <c r="G88" s="112">
        <f t="shared" si="4"/>
        <v>6.7200000000011642</v>
      </c>
      <c r="H88" s="99">
        <f>G88+'27'!H88</f>
        <v>173.77000000000044</v>
      </c>
      <c r="I88" s="543"/>
      <c r="J88" s="175">
        <f>H88/DAY(B2)</f>
        <v>6.2060714285714438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29204.66</v>
      </c>
      <c r="F89" s="164">
        <v>29214</v>
      </c>
      <c r="G89" s="112">
        <f t="shared" si="4"/>
        <v>9.3400000000001455</v>
      </c>
      <c r="H89" s="99">
        <f>G89+'27'!H89</f>
        <v>186</v>
      </c>
      <c r="I89" s="543">
        <f>G88+G89</f>
        <v>16.06000000000131</v>
      </c>
      <c r="J89" s="175">
        <f>H89/DAY(B2)</f>
        <v>6.6428571428571432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74650.399999999994</v>
      </c>
      <c r="F90" s="164">
        <v>74652</v>
      </c>
      <c r="G90" s="112">
        <f t="shared" si="4"/>
        <v>1.6000000000058208</v>
      </c>
      <c r="H90" s="99">
        <f>G90+'27'!H90</f>
        <v>24.600000000005821</v>
      </c>
      <c r="I90" s="543">
        <f>G90</f>
        <v>1.6000000000058208</v>
      </c>
      <c r="J90" s="175">
        <f>H90/DAY(B2)</f>
        <v>0.8785714285716365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5896.3</v>
      </c>
      <c r="F91" s="122">
        <v>5907.02</v>
      </c>
      <c r="G91" s="112">
        <f t="shared" si="4"/>
        <v>10.720000000000255</v>
      </c>
      <c r="H91" s="99">
        <f>G91+'27'!H91</f>
        <v>288.8100000000004</v>
      </c>
      <c r="I91" s="544"/>
      <c r="J91" s="175">
        <f>H91/DAY(B2)</f>
        <v>10.314642857142871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7469.34</v>
      </c>
      <c r="F92" s="122">
        <v>7469.34</v>
      </c>
      <c r="G92" s="112">
        <f t="shared" si="4"/>
        <v>0</v>
      </c>
      <c r="H92" s="99">
        <f>G92+'27'!H92</f>
        <v>37.0600000000004</v>
      </c>
      <c r="I92" s="545">
        <f>G91+G92</f>
        <v>10.720000000000255</v>
      </c>
      <c r="J92" s="175">
        <f>H92/DAY(B2)</f>
        <v>1.3235714285714428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5588.5799999999581</v>
      </c>
      <c r="H94" s="99">
        <f>G94+'27'!H94</f>
        <v>161585.18999999994</v>
      </c>
      <c r="I94" s="118"/>
      <c r="J94" s="175">
        <f>H94/DAY(B2)</f>
        <v>5770.8996428571409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0.25212317745093993</v>
      </c>
      <c r="H95" s="99">
        <f>G95+'27'!H95</f>
        <v>7.1531726597345786</v>
      </c>
      <c r="I95" s="167"/>
      <c r="J95" s="175">
        <f>H95/DAY(B2)</f>
        <v>0.25547045213337782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4798.9000000000233</v>
      </c>
      <c r="H96" s="99">
        <f>G96+'27'!H96</f>
        <v>110279.01000000001</v>
      </c>
      <c r="I96" s="118"/>
      <c r="J96" s="175">
        <f>H96/DAY(B2)</f>
        <v>3938.5360714285716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0.21649755685153127</v>
      </c>
      <c r="H97" s="99">
        <f>G97+'27'!H97</f>
        <v>4.8537134849251267</v>
      </c>
      <c r="I97" s="167"/>
      <c r="J97" s="175">
        <f>H97/DAY(B2)</f>
        <v>0.17334691017589737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2727.0399999999208</v>
      </c>
      <c r="H98" s="99">
        <f>G98+'27'!H98</f>
        <v>79644.949999999953</v>
      </c>
      <c r="I98" s="168"/>
      <c r="J98" s="175">
        <f>H98/DAY(B2)</f>
        <v>2844.4624999999983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0.1230276724741878</v>
      </c>
      <c r="H99" s="99" t="s">
        <v>365</v>
      </c>
      <c r="I99" s="168"/>
      <c r="J99" s="175" t="e">
        <f>H99/DAY(B2)</f>
        <v>#VALUE!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2644.4100000000326</v>
      </c>
      <c r="H100" s="99">
        <f>G100+'27'!H100</f>
        <v>74165.429999999993</v>
      </c>
      <c r="I100" s="118"/>
      <c r="J100" s="175">
        <f>H100/DAY(B2)</f>
        <v>2648.7653571428568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0.11929990295979538</v>
      </c>
      <c r="H101" s="99">
        <f>G101+'27'!H101</f>
        <v>3.2805921079389124</v>
      </c>
      <c r="I101" s="168"/>
      <c r="J101" s="175">
        <f>H101/DAY(B2)</f>
        <v>0.11716400385496116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2551.8099999999977</v>
      </c>
      <c r="H102" s="99">
        <f>G102+'27'!H102</f>
        <v>71226.19</v>
      </c>
      <c r="I102" s="168"/>
      <c r="J102" s="175">
        <f>H102/DAY(B2)</f>
        <v>2543.7925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0.11512234690226986</v>
      </c>
      <c r="H103" s="99">
        <f>G103+'27'!H103</f>
        <v>3.1398840648309636</v>
      </c>
      <c r="I103" s="118"/>
      <c r="J103" s="175">
        <f>H103/DAY(B2)</f>
        <v>0.11213871660110585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1489.0900000000256</v>
      </c>
      <c r="H104" s="99">
        <f>G104+'27'!H104</f>
        <v>40358.44</v>
      </c>
      <c r="I104" s="118"/>
      <c r="J104" s="175">
        <f>H104/DAY(B2)</f>
        <v>1441.3728571428571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6.7178800752683052E-2</v>
      </c>
      <c r="H105" s="99">
        <f>G105+'27'!H105</f>
        <v>1.7864925804750469</v>
      </c>
      <c r="I105" s="187"/>
      <c r="J105" s="188">
        <f>H105/DAY(B2)</f>
        <v>6.3803306445537389E-2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237">
        <v>21051.11</v>
      </c>
      <c r="F112" s="237">
        <v>21111.86</v>
      </c>
      <c r="G112" s="112">
        <f t="shared" ref="G112:G123" si="5">F112-E112</f>
        <v>60.75</v>
      </c>
      <c r="H112" s="99">
        <f>G112+'27'!H112</f>
        <v>1714.8600000000006</v>
      </c>
      <c r="I112" s="165"/>
      <c r="J112" s="328">
        <f>H112/DAY(B2)</f>
        <v>61.245000000000019</v>
      </c>
    </row>
    <row r="113" spans="1:18" ht="29.25" customHeight="1">
      <c r="A113" s="883" t="s">
        <v>253</v>
      </c>
      <c r="B113" s="884"/>
      <c r="C113" s="885"/>
      <c r="D113" s="146" t="s">
        <v>183</v>
      </c>
      <c r="E113" s="237">
        <v>45457.89</v>
      </c>
      <c r="F113" s="237">
        <v>45609</v>
      </c>
      <c r="G113" s="112">
        <f t="shared" si="5"/>
        <v>151.11000000000058</v>
      </c>
      <c r="H113" s="99">
        <f>G113+'27'!H113</f>
        <v>4089.0500000000029</v>
      </c>
      <c r="I113" s="165"/>
      <c r="J113" s="328">
        <f>H113/DAY(B2)</f>
        <v>146.03750000000011</v>
      </c>
    </row>
    <row r="114" spans="1:18" ht="29.25" customHeight="1">
      <c r="A114" s="883" t="s">
        <v>254</v>
      </c>
      <c r="B114" s="884"/>
      <c r="C114" s="885"/>
      <c r="D114" s="146" t="s">
        <v>183</v>
      </c>
      <c r="E114" s="237">
        <v>67305.5</v>
      </c>
      <c r="F114" s="237">
        <v>67525</v>
      </c>
      <c r="G114" s="112">
        <f t="shared" si="5"/>
        <v>219.5</v>
      </c>
      <c r="H114" s="99">
        <f>G114+'27'!H114</f>
        <v>6307</v>
      </c>
      <c r="I114" s="165"/>
      <c r="J114" s="328">
        <f>H114/DAY(B2)</f>
        <v>225.25</v>
      </c>
    </row>
    <row r="115" spans="1:18" ht="29.25" customHeight="1">
      <c r="A115" s="883" t="s">
        <v>255</v>
      </c>
      <c r="B115" s="884"/>
      <c r="C115" s="885"/>
      <c r="D115" s="146" t="s">
        <v>183</v>
      </c>
      <c r="E115" s="237">
        <v>43357.81</v>
      </c>
      <c r="F115" s="237">
        <v>43475</v>
      </c>
      <c r="G115" s="112">
        <f t="shared" si="5"/>
        <v>117.19000000000233</v>
      </c>
      <c r="H115" s="99">
        <f>G115+'27'!H115</f>
        <v>4016</v>
      </c>
      <c r="I115" s="165"/>
      <c r="J115" s="328">
        <f>H115/DAY(B2)</f>
        <v>143.42857142857142</v>
      </c>
    </row>
    <row r="116" spans="1:18" ht="29.25" customHeight="1">
      <c r="A116" s="890" t="s">
        <v>96</v>
      </c>
      <c r="B116" s="891"/>
      <c r="C116" s="892"/>
      <c r="D116" s="146" t="s">
        <v>183</v>
      </c>
      <c r="E116" s="237">
        <v>159410.46</v>
      </c>
      <c r="F116" s="237">
        <v>159757</v>
      </c>
      <c r="G116" s="112">
        <f t="shared" si="5"/>
        <v>346.54000000000815</v>
      </c>
      <c r="H116" s="99">
        <f>G116+'27'!H116</f>
        <v>11827</v>
      </c>
      <c r="I116" s="165"/>
      <c r="J116" s="328">
        <f>H116/DAY(B2)</f>
        <v>422.39285714285717</v>
      </c>
      <c r="Q116" s="883"/>
      <c r="R116" s="885"/>
    </row>
    <row r="117" spans="1:18" ht="29.25" customHeight="1">
      <c r="A117" s="890" t="s">
        <v>184</v>
      </c>
      <c r="B117" s="891"/>
      <c r="C117" s="892"/>
      <c r="D117" s="146" t="s">
        <v>183</v>
      </c>
      <c r="E117" s="237">
        <v>98844.27</v>
      </c>
      <c r="F117" s="237">
        <v>99102</v>
      </c>
      <c r="G117" s="112">
        <f t="shared" si="5"/>
        <v>257.72999999999593</v>
      </c>
      <c r="H117" s="99">
        <f>G117+'27'!H117</f>
        <v>7112.6009999999951</v>
      </c>
      <c r="I117" s="165"/>
      <c r="J117" s="328">
        <f>H117/DAY(B2)</f>
        <v>254.0214642857141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237">
        <v>196391.27</v>
      </c>
      <c r="F118" s="237">
        <v>197018</v>
      </c>
      <c r="G118" s="112">
        <f t="shared" si="5"/>
        <v>626.73000000001048</v>
      </c>
      <c r="H118" s="99">
        <f>G118+'27'!H118</f>
        <v>19485.47</v>
      </c>
      <c r="I118" s="165"/>
      <c r="J118" s="328">
        <f>H118/DAY(B2)</f>
        <v>695.9096428571429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237">
        <v>46862.43</v>
      </c>
      <c r="F119" s="237">
        <v>46960.99</v>
      </c>
      <c r="G119" s="112">
        <f t="shared" si="5"/>
        <v>98.559999999997672</v>
      </c>
      <c r="H119" s="99">
        <f>G119+'27'!H119</f>
        <v>1767.989999999998</v>
      </c>
      <c r="I119" s="165"/>
      <c r="J119" s="328">
        <f>H119/DAY(B2)</f>
        <v>63.142499999999927</v>
      </c>
    </row>
    <row r="120" spans="1:18" ht="25.5">
      <c r="A120" s="882" t="s">
        <v>99</v>
      </c>
      <c r="B120" s="882"/>
      <c r="C120" s="882"/>
      <c r="D120" s="151" t="s">
        <v>183</v>
      </c>
      <c r="E120" s="237">
        <v>131004.79</v>
      </c>
      <c r="F120" s="237">
        <v>131368</v>
      </c>
      <c r="G120" s="112">
        <f t="shared" si="5"/>
        <v>363.2100000000064</v>
      </c>
      <c r="H120" s="99">
        <f>G120+'27'!H120</f>
        <v>10924</v>
      </c>
      <c r="I120" s="165"/>
      <c r="J120" s="328">
        <f>H120/DAY(B2)</f>
        <v>390.14285714285717</v>
      </c>
    </row>
    <row r="121" spans="1:18" ht="25.5">
      <c r="A121" s="882" t="s">
        <v>100</v>
      </c>
      <c r="B121" s="882"/>
      <c r="C121" s="882"/>
      <c r="D121" s="151" t="s">
        <v>183</v>
      </c>
      <c r="E121" s="237">
        <v>146360.17000000001</v>
      </c>
      <c r="F121" s="237">
        <v>146776</v>
      </c>
      <c r="G121" s="112">
        <f t="shared" si="5"/>
        <v>415.82999999998719</v>
      </c>
      <c r="H121" s="99">
        <f>G121+'27'!H121</f>
        <v>12213</v>
      </c>
      <c r="I121" s="165"/>
      <c r="J121" s="328">
        <f>H121/DAY(B2)</f>
        <v>436.17857142857144</v>
      </c>
    </row>
    <row r="122" spans="1:18" ht="25.5">
      <c r="A122" s="882" t="s">
        <v>101</v>
      </c>
      <c r="B122" s="882"/>
      <c r="C122" s="882"/>
      <c r="D122" s="151" t="s">
        <v>183</v>
      </c>
      <c r="E122" s="237">
        <v>99065.59</v>
      </c>
      <c r="F122" s="237">
        <v>99355</v>
      </c>
      <c r="G122" s="112">
        <f t="shared" si="5"/>
        <v>289.41000000000349</v>
      </c>
      <c r="H122" s="99">
        <f>G122+'27'!H122</f>
        <v>8478</v>
      </c>
      <c r="I122" s="165"/>
      <c r="J122" s="328">
        <f>H122/DAY(B2)</f>
        <v>302.78571428571428</v>
      </c>
    </row>
    <row r="123" spans="1:18" ht="25.5">
      <c r="A123" s="882" t="s">
        <v>102</v>
      </c>
      <c r="B123" s="882"/>
      <c r="C123" s="882"/>
      <c r="D123" s="151" t="s">
        <v>183</v>
      </c>
      <c r="E123" s="237">
        <v>95917.91</v>
      </c>
      <c r="F123" s="237">
        <v>96215.54</v>
      </c>
      <c r="G123" s="112">
        <f t="shared" si="5"/>
        <v>297.6299999999901</v>
      </c>
      <c r="H123" s="99">
        <f>G123+'27'!H123</f>
        <v>8636.5399999999936</v>
      </c>
      <c r="I123" s="165"/>
      <c r="J123" s="328">
        <f>H123/DAY(B2)</f>
        <v>308.44785714285689</v>
      </c>
    </row>
    <row r="124" spans="1:18" ht="29.25" customHeight="1">
      <c r="A124" s="887"/>
      <c r="B124" s="888"/>
      <c r="C124" s="889"/>
      <c r="D124" s="165"/>
      <c r="E124" s="165"/>
      <c r="F124" s="165"/>
      <c r="G124" s="327"/>
      <c r="H124" s="99">
        <f>G124+'27'!H124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3244.1900000000023</v>
      </c>
      <c r="H125" s="156"/>
      <c r="I125" s="327">
        <f>G125-(G39+G53)</f>
        <v>517.15000000008149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83" t="s">
        <v>318</v>
      </c>
      <c r="B128" s="884"/>
      <c r="C128" s="885"/>
      <c r="D128" s="151" t="s">
        <v>183</v>
      </c>
      <c r="E128" s="155">
        <v>220052.33</v>
      </c>
      <c r="F128" s="165">
        <v>220479</v>
      </c>
      <c r="G128" s="112">
        <f t="shared" ref="G128:G134" si="6">F128-E128</f>
        <v>426.67000000001281</v>
      </c>
      <c r="H128" s="99">
        <f>G128+'27'!H128</f>
        <v>13190</v>
      </c>
      <c r="I128" s="165"/>
      <c r="J128" s="328">
        <f>H128/DAY(B2)</f>
        <v>471.07142857142856</v>
      </c>
    </row>
    <row r="129" spans="1:15" ht="25.5">
      <c r="A129" s="329" t="s">
        <v>319</v>
      </c>
      <c r="B129" s="330"/>
      <c r="C129" s="331"/>
      <c r="D129" s="151" t="s">
        <v>183</v>
      </c>
      <c r="E129" s="155">
        <v>3760.51</v>
      </c>
      <c r="F129" s="165">
        <v>3871.44</v>
      </c>
      <c r="G129" s="112">
        <f t="shared" si="6"/>
        <v>110.92999999999984</v>
      </c>
      <c r="H129" s="99">
        <f>G129+'27'!H129</f>
        <v>3137.44</v>
      </c>
      <c r="I129" s="165"/>
      <c r="J129" s="328">
        <f>H129/DAY(B2)</f>
        <v>112.05142857142857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55">
        <v>305239.51</v>
      </c>
      <c r="F130" s="165">
        <v>305838.31</v>
      </c>
      <c r="G130" s="112">
        <f t="shared" si="6"/>
        <v>598.79999999998836</v>
      </c>
      <c r="H130" s="99">
        <f>G130+'27'!H130</f>
        <v>17116.309999999998</v>
      </c>
      <c r="I130" s="165"/>
      <c r="J130" s="328">
        <f>H130/DAY(B2)</f>
        <v>611.29678571428565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155">
        <v>90041.83</v>
      </c>
      <c r="F131" s="165">
        <v>90205</v>
      </c>
      <c r="G131" s="112">
        <f t="shared" si="6"/>
        <v>163.16999999999825</v>
      </c>
      <c r="H131" s="99">
        <f>G131+'27'!H131</f>
        <v>5501.1699999999983</v>
      </c>
      <c r="I131" s="165"/>
      <c r="J131" s="328">
        <f>H131/DAY(B2)</f>
        <v>196.47035714285707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155">
        <v>75929.210000000006</v>
      </c>
      <c r="F132" s="165">
        <v>76200.600000000006</v>
      </c>
      <c r="G132" s="112">
        <f t="shared" si="6"/>
        <v>271.38999999999942</v>
      </c>
      <c r="H132" s="99">
        <f>G132+'27'!H132</f>
        <v>8753.6000000000058</v>
      </c>
      <c r="I132" s="165"/>
      <c r="J132" s="328">
        <f>H132/DAY(B2)</f>
        <v>312.62857142857166</v>
      </c>
    </row>
    <row r="133" spans="1:15" ht="25.5">
      <c r="A133" s="883" t="s">
        <v>358</v>
      </c>
      <c r="B133" s="884"/>
      <c r="C133" s="885"/>
      <c r="D133" s="151" t="s">
        <v>183</v>
      </c>
      <c r="E133" s="155">
        <v>968406</v>
      </c>
      <c r="F133" s="165">
        <v>969218</v>
      </c>
      <c r="G133" s="112">
        <f t="shared" si="6"/>
        <v>812</v>
      </c>
      <c r="H133" s="99">
        <f>G133+'27'!H133</f>
        <v>14245</v>
      </c>
      <c r="I133" s="165"/>
      <c r="J133" s="328">
        <f>H133/DAY(B2)</f>
        <v>508.75</v>
      </c>
    </row>
    <row r="134" spans="1:15" ht="25.5">
      <c r="A134" s="883" t="s">
        <v>340</v>
      </c>
      <c r="B134" s="884"/>
      <c r="C134" s="885"/>
      <c r="D134" s="151" t="s">
        <v>183</v>
      </c>
      <c r="E134" s="155">
        <v>100148.43</v>
      </c>
      <c r="F134" s="158">
        <v>100358.31</v>
      </c>
      <c r="G134" s="112">
        <f t="shared" si="6"/>
        <v>209.88000000000466</v>
      </c>
      <c r="H134" s="99">
        <f>G134+'27'!H134</f>
        <v>9676.6199999999953</v>
      </c>
      <c r="I134" s="165"/>
      <c r="J134" s="328">
        <f>H134/DAY(B2)</f>
        <v>345.59357142857124</v>
      </c>
    </row>
    <row r="135" spans="1:15" ht="25.5">
      <c r="A135" s="788" t="s">
        <v>196</v>
      </c>
      <c r="B135" s="789"/>
      <c r="C135" s="331"/>
      <c r="D135" s="151"/>
      <c r="E135" s="165"/>
      <c r="F135" s="165"/>
      <c r="G135" s="112">
        <f>SUM(G128:G134)</f>
        <v>2592.8400000000033</v>
      </c>
      <c r="H135" s="99">
        <f>G135+'23'!H135</f>
        <v>28827.619999999959</v>
      </c>
      <c r="I135" s="327">
        <f>G135-(G35+G49)</f>
        <v>-546.84999999994079</v>
      </c>
      <c r="J135" s="328">
        <f>H135/DAY(B2)</f>
        <v>1029.5578571428557</v>
      </c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147">
        <v>916431</v>
      </c>
      <c r="F138" s="147">
        <v>916589</v>
      </c>
      <c r="G138" s="112">
        <f t="shared" ref="G138:G152" si="7">F138-E138</f>
        <v>158</v>
      </c>
      <c r="H138" s="99">
        <f>G138+'27'!H138</f>
        <v>7188</v>
      </c>
      <c r="I138" s="118"/>
      <c r="J138" s="328">
        <f>H138/DAY(B2)</f>
        <v>256.71428571428572</v>
      </c>
    </row>
    <row r="139" spans="1:15" ht="25.5">
      <c r="A139" s="882" t="s">
        <v>186</v>
      </c>
      <c r="B139" s="882"/>
      <c r="C139" s="882"/>
      <c r="D139" s="151" t="s">
        <v>183</v>
      </c>
      <c r="E139" s="148">
        <v>941313</v>
      </c>
      <c r="F139" s="148">
        <v>941470</v>
      </c>
      <c r="G139" s="112">
        <f t="shared" si="7"/>
        <v>157</v>
      </c>
      <c r="H139" s="99">
        <f>G139+'27'!H139</f>
        <v>4212</v>
      </c>
      <c r="I139" s="118"/>
      <c r="J139" s="328">
        <f>H139/DAY(B2)</f>
        <v>150.42857142857142</v>
      </c>
    </row>
    <row r="140" spans="1:15" ht="25.5">
      <c r="A140" s="882" t="s">
        <v>187</v>
      </c>
      <c r="B140" s="882"/>
      <c r="C140" s="882"/>
      <c r="D140" s="151" t="s">
        <v>183</v>
      </c>
      <c r="E140" s="149">
        <v>5655.05</v>
      </c>
      <c r="F140" s="149">
        <v>5688</v>
      </c>
      <c r="G140" s="112">
        <f t="shared" si="7"/>
        <v>32.949999999999818</v>
      </c>
      <c r="H140" s="99">
        <f>G140+'27'!H140</f>
        <v>924</v>
      </c>
      <c r="I140" s="118"/>
      <c r="J140" s="328">
        <f>H140/DAY(B2)</f>
        <v>33</v>
      </c>
    </row>
    <row r="141" spans="1:15" ht="25.5">
      <c r="A141" s="865" t="s">
        <v>188</v>
      </c>
      <c r="B141" s="865"/>
      <c r="C141" s="865"/>
      <c r="D141" s="151" t="s">
        <v>183</v>
      </c>
      <c r="E141" s="149">
        <v>138253.72</v>
      </c>
      <c r="F141" s="149">
        <v>138518</v>
      </c>
      <c r="G141" s="112">
        <f t="shared" si="7"/>
        <v>264.27999999999884</v>
      </c>
      <c r="H141" s="99">
        <f>G141+'27'!H141</f>
        <v>7198</v>
      </c>
      <c r="I141" s="118"/>
      <c r="J141" s="328">
        <f>H141/DAY(B2)</f>
        <v>257.07142857142856</v>
      </c>
    </row>
    <row r="142" spans="1:15" ht="25.5">
      <c r="A142" s="865" t="s">
        <v>189</v>
      </c>
      <c r="B142" s="865"/>
      <c r="C142" s="865"/>
      <c r="D142" s="151" t="s">
        <v>183</v>
      </c>
      <c r="E142" s="148">
        <v>55666.47</v>
      </c>
      <c r="F142" s="148">
        <v>55754</v>
      </c>
      <c r="G142" s="112">
        <f t="shared" si="7"/>
        <v>87.529999999998836</v>
      </c>
      <c r="H142" s="99">
        <f>G142+'27'!H142</f>
        <v>2563</v>
      </c>
      <c r="I142" s="140"/>
      <c r="J142" s="328">
        <f>H142/DAY(B2)</f>
        <v>91.535714285714292</v>
      </c>
    </row>
    <row r="143" spans="1:15" ht="25.5">
      <c r="A143" s="882" t="s">
        <v>91</v>
      </c>
      <c r="B143" s="882"/>
      <c r="C143" s="882"/>
      <c r="D143" s="151" t="s">
        <v>183</v>
      </c>
      <c r="E143" s="149">
        <v>15184.95</v>
      </c>
      <c r="F143" s="149">
        <v>15214</v>
      </c>
      <c r="G143" s="112">
        <f t="shared" si="7"/>
        <v>29.049999999999272</v>
      </c>
      <c r="H143" s="99">
        <f>G143+'27'!H143</f>
        <v>902</v>
      </c>
      <c r="I143" s="140"/>
      <c r="J143" s="328">
        <f>H143/DAY(B2)</f>
        <v>32.214285714285715</v>
      </c>
    </row>
    <row r="144" spans="1:15" ht="25.5">
      <c r="A144" s="865" t="s">
        <v>90</v>
      </c>
      <c r="B144" s="865"/>
      <c r="C144" s="865"/>
      <c r="D144" s="151" t="s">
        <v>183</v>
      </c>
      <c r="E144" s="149">
        <v>970072</v>
      </c>
      <c r="F144" s="148">
        <v>970312</v>
      </c>
      <c r="G144" s="112">
        <f t="shared" si="7"/>
        <v>240</v>
      </c>
      <c r="H144" s="99">
        <f>G144+'27'!H144</f>
        <v>7086</v>
      </c>
      <c r="I144" s="140"/>
      <c r="J144" s="328">
        <f>H144/DAY(B2)</f>
        <v>253.07142857142858</v>
      </c>
    </row>
    <row r="145" spans="1:10" ht="25.5">
      <c r="A145" s="882" t="s">
        <v>190</v>
      </c>
      <c r="B145" s="882"/>
      <c r="C145" s="882"/>
      <c r="D145" s="152" t="s">
        <v>183</v>
      </c>
      <c r="E145" s="149">
        <v>756507</v>
      </c>
      <c r="F145" s="149">
        <v>756683</v>
      </c>
      <c r="G145" s="112">
        <f t="shared" si="7"/>
        <v>176</v>
      </c>
      <c r="H145" s="99">
        <f>G145+'27'!H145</f>
        <v>5950</v>
      </c>
      <c r="I145" s="140"/>
      <c r="J145" s="328">
        <f>H145/DAY(B2)</f>
        <v>212.5</v>
      </c>
    </row>
    <row r="146" spans="1:10" ht="25.5">
      <c r="A146" s="916" t="s">
        <v>191</v>
      </c>
      <c r="B146" s="902"/>
      <c r="C146" s="903"/>
      <c r="D146" s="152" t="s">
        <v>183</v>
      </c>
      <c r="E146" s="148">
        <v>790015</v>
      </c>
      <c r="F146" s="148">
        <v>790041</v>
      </c>
      <c r="G146" s="112">
        <f t="shared" si="7"/>
        <v>26</v>
      </c>
      <c r="H146" s="99">
        <f>G146+'27'!H146</f>
        <v>1016</v>
      </c>
      <c r="I146" s="140"/>
      <c r="J146" s="328">
        <f>H146/DAY(B2)</f>
        <v>36.285714285714285</v>
      </c>
    </row>
    <row r="147" spans="1:10" ht="25.5">
      <c r="A147" s="865" t="s">
        <v>192</v>
      </c>
      <c r="B147" s="865"/>
      <c r="C147" s="865"/>
      <c r="D147" s="152" t="s">
        <v>183</v>
      </c>
      <c r="E147" s="148">
        <v>782094.64</v>
      </c>
      <c r="F147" s="148">
        <v>782474.8</v>
      </c>
      <c r="G147" s="112">
        <f t="shared" si="7"/>
        <v>380.1600000000326</v>
      </c>
      <c r="H147" s="99">
        <f>G147+'27'!H147</f>
        <v>10817.920000000042</v>
      </c>
      <c r="I147" s="140"/>
      <c r="J147" s="328">
        <f>H147/DAY(B2)</f>
        <v>386.35428571428719</v>
      </c>
    </row>
    <row r="148" spans="1:10" ht="25.5">
      <c r="A148" s="866" t="s">
        <v>193</v>
      </c>
      <c r="B148" s="867"/>
      <c r="C148" s="868"/>
      <c r="D148" s="123" t="s">
        <v>130</v>
      </c>
      <c r="E148" s="150">
        <v>816806.32</v>
      </c>
      <c r="F148" s="150">
        <v>817049.04</v>
      </c>
      <c r="G148" s="112">
        <f t="shared" si="7"/>
        <v>242.72000000008848</v>
      </c>
      <c r="H148" s="99">
        <f>G148+'27'!H148</f>
        <v>10228.800000000047</v>
      </c>
      <c r="I148" s="124"/>
      <c r="J148" s="328">
        <f>H148/DAY(B2)</f>
        <v>365.31428571428739</v>
      </c>
    </row>
    <row r="149" spans="1:10" ht="25.5">
      <c r="A149" s="866" t="s">
        <v>336</v>
      </c>
      <c r="B149" s="867"/>
      <c r="C149" s="868"/>
      <c r="D149" s="227" t="s">
        <v>130</v>
      </c>
      <c r="E149" s="146">
        <v>230146.17</v>
      </c>
      <c r="F149" s="146">
        <v>230661.55</v>
      </c>
      <c r="G149" s="112">
        <f t="shared" si="7"/>
        <v>515.37999999997555</v>
      </c>
      <c r="H149" s="99">
        <f>G149+'27'!H149</f>
        <v>13765.549999999988</v>
      </c>
      <c r="I149" s="119"/>
      <c r="J149" s="328">
        <f>H149/DAY(B2)</f>
        <v>491.62678571428529</v>
      </c>
    </row>
    <row r="150" spans="1:10" ht="25.5">
      <c r="A150" s="866" t="s">
        <v>337</v>
      </c>
      <c r="B150" s="867"/>
      <c r="C150" s="868"/>
      <c r="D150" s="117" t="s">
        <v>130</v>
      </c>
      <c r="E150" s="233">
        <v>98427.6</v>
      </c>
      <c r="F150" s="233">
        <v>99047</v>
      </c>
      <c r="G150" s="112">
        <f t="shared" si="7"/>
        <v>619.39999999999418</v>
      </c>
      <c r="H150" s="99">
        <f>G150+'27'!H150</f>
        <v>6936.1999999999971</v>
      </c>
      <c r="I150" s="119"/>
      <c r="J150" s="328">
        <f>H150/DAY(B2)</f>
        <v>247.72142857142848</v>
      </c>
    </row>
    <row r="151" spans="1:10" ht="25.5">
      <c r="A151" s="866" t="s">
        <v>338</v>
      </c>
      <c r="B151" s="867"/>
      <c r="C151" s="868"/>
      <c r="D151" s="117" t="s">
        <v>130</v>
      </c>
      <c r="E151" s="233">
        <v>185449</v>
      </c>
      <c r="F151" s="233">
        <v>185792</v>
      </c>
      <c r="G151" s="112">
        <f t="shared" si="7"/>
        <v>343</v>
      </c>
      <c r="H151" s="99">
        <f>G151+'27'!H151</f>
        <v>9617</v>
      </c>
      <c r="I151" s="119"/>
      <c r="J151" s="328">
        <f>H151/DAY(B2)</f>
        <v>343.46428571428572</v>
      </c>
    </row>
    <row r="152" spans="1:10" ht="25.5">
      <c r="A152" s="866" t="s">
        <v>339</v>
      </c>
      <c r="B152" s="867"/>
      <c r="C152" s="868"/>
      <c r="D152" s="117" t="s">
        <v>130</v>
      </c>
      <c r="E152" s="233">
        <v>50145.03</v>
      </c>
      <c r="F152" s="233">
        <v>50272</v>
      </c>
      <c r="G152" s="112">
        <f t="shared" si="7"/>
        <v>126.97000000000116</v>
      </c>
      <c r="H152" s="99">
        <f>G152+'27'!H152</f>
        <v>3640</v>
      </c>
      <c r="I152" s="119"/>
      <c r="J152" s="328">
        <f>H152/DAY(B2)</f>
        <v>130</v>
      </c>
    </row>
    <row r="153" spans="1:10" ht="25.5">
      <c r="A153" s="788" t="s">
        <v>196</v>
      </c>
      <c r="B153" s="789"/>
      <c r="C153" s="365"/>
      <c r="D153" s="358"/>
      <c r="E153" s="361"/>
      <c r="F153" s="361"/>
      <c r="G153" s="362">
        <f>SUM(G138:G152)</f>
        <v>3398.4400000000887</v>
      </c>
      <c r="H153" s="363"/>
      <c r="I153" s="119">
        <f>G153-(G38+G52)</f>
        <v>754.03000000005613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388">
        <v>271172.25</v>
      </c>
      <c r="F155" s="524">
        <v>271724</v>
      </c>
      <c r="G155" s="112">
        <f>F155-E155</f>
        <v>551.75</v>
      </c>
      <c r="H155" s="99">
        <f>G155+'27'!H155</f>
        <v>15372</v>
      </c>
      <c r="I155" s="364"/>
      <c r="J155" s="328">
        <f>H155/DAY(B2)</f>
        <v>549</v>
      </c>
    </row>
    <row r="156" spans="1:10" ht="25.5">
      <c r="A156" s="865" t="s">
        <v>347</v>
      </c>
      <c r="B156" s="865"/>
      <c r="C156" s="865"/>
      <c r="D156" s="117" t="s">
        <v>130</v>
      </c>
      <c r="E156" s="155">
        <v>35136.589999999997</v>
      </c>
      <c r="F156" s="155">
        <v>35228</v>
      </c>
      <c r="G156" s="112">
        <f>F156-E156</f>
        <v>91.410000000003492</v>
      </c>
      <c r="H156" s="99">
        <f>G156+'27'!H156</f>
        <v>2669</v>
      </c>
      <c r="I156" s="165"/>
      <c r="J156" s="328">
        <f>H156/DAY(B2)</f>
        <v>95.321428571428569</v>
      </c>
    </row>
    <row r="157" spans="1:10" ht="25.5">
      <c r="A157" s="866" t="s">
        <v>359</v>
      </c>
      <c r="B157" s="867"/>
      <c r="C157" s="868"/>
      <c r="D157" s="117" t="s">
        <v>130</v>
      </c>
      <c r="E157" s="155">
        <v>4281.58</v>
      </c>
      <c r="F157" s="157">
        <v>37559</v>
      </c>
      <c r="G157" s="112">
        <f>F157-E157</f>
        <v>33277.42</v>
      </c>
      <c r="H157" s="99"/>
      <c r="I157" s="165"/>
      <c r="J157" s="328"/>
    </row>
    <row r="158" spans="1:10" ht="25.5">
      <c r="A158" s="866" t="s">
        <v>360</v>
      </c>
      <c r="B158" s="867"/>
      <c r="C158" s="868"/>
      <c r="D158" s="117" t="s">
        <v>130</v>
      </c>
      <c r="E158" s="155">
        <v>1862.33</v>
      </c>
      <c r="F158" s="155">
        <v>1862</v>
      </c>
      <c r="G158" s="112">
        <f>F158-E158</f>
        <v>-0.32999999999992724</v>
      </c>
      <c r="H158" s="99"/>
      <c r="I158" s="165"/>
      <c r="J158" s="328"/>
    </row>
    <row r="159" spans="1:10" ht="25.5">
      <c r="A159" s="946"/>
      <c r="B159" s="947"/>
      <c r="C159" s="948"/>
      <c r="D159" s="117"/>
      <c r="E159" s="15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235">
        <v>516736.92</v>
      </c>
      <c r="F161" s="235">
        <v>516954.04</v>
      </c>
      <c r="G161" s="238">
        <f>F161-E161</f>
        <v>217.11999999999534</v>
      </c>
      <c r="H161" s="99">
        <f>G161+'27'!H161</f>
        <v>4509.039999999979</v>
      </c>
      <c r="I161" s="236"/>
      <c r="J161" s="239">
        <f>H161/DAY(B2)</f>
        <v>161.0371428571421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2871.2</v>
      </c>
      <c r="F162" s="235">
        <v>2896</v>
      </c>
      <c r="G162" s="238">
        <f>F162-E162</f>
        <v>24.800000000000182</v>
      </c>
      <c r="H162" s="99">
        <f>G162+'27'!H162</f>
        <v>1136</v>
      </c>
      <c r="I162" s="236"/>
      <c r="J162" s="239">
        <f>H162/DAY(B2)</f>
        <v>40.571428571428569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0</v>
      </c>
      <c r="F163" s="235">
        <v>0</v>
      </c>
      <c r="G163" s="238">
        <f>F163-E163</f>
        <v>0</v>
      </c>
      <c r="H163" s="99">
        <f>G163+'27'!H163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7402.7</v>
      </c>
      <c r="F164" s="235">
        <v>7405</v>
      </c>
      <c r="G164" s="238">
        <f>F164-E164</f>
        <v>2.3000000000001819</v>
      </c>
      <c r="H164" s="99">
        <f>G164+'27'!H164</f>
        <v>68</v>
      </c>
      <c r="I164" s="236"/>
      <c r="J164" s="239">
        <f>H164/DAY(B2)</f>
        <v>2.4285714285714284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33158.65</v>
      </c>
      <c r="F165" s="235">
        <v>33166.534399999997</v>
      </c>
      <c r="G165" s="238">
        <f>F165-E165</f>
        <v>7.8843999999953667</v>
      </c>
      <c r="H165" s="99">
        <f>G165+'27'!H165</f>
        <v>192.01440000000002</v>
      </c>
      <c r="I165" s="236"/>
      <c r="J165" s="239">
        <f>H165/DAY(B2)</f>
        <v>6.8576571428571436</v>
      </c>
    </row>
    <row r="166" spans="1:10" ht="26.25">
      <c r="A166" s="872"/>
      <c r="B166" s="872"/>
      <c r="C166" s="246"/>
      <c r="D166" s="244" t="s">
        <v>180</v>
      </c>
      <c r="E166" s="165"/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165"/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165"/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155">
        <v>8614</v>
      </c>
      <c r="F173" s="155">
        <v>8614</v>
      </c>
      <c r="G173" s="155">
        <f>F173-E173</f>
        <v>0</v>
      </c>
      <c r="H173" s="99">
        <f>G173+'27'!H173</f>
        <v>32</v>
      </c>
      <c r="I173" s="155"/>
      <c r="J173" s="178">
        <f>H173/DAY(B2)</f>
        <v>1.1428571428571428</v>
      </c>
    </row>
    <row r="174" spans="1:10" ht="25.5">
      <c r="A174" s="790" t="s">
        <v>75</v>
      </c>
      <c r="B174" s="791"/>
      <c r="C174" s="333"/>
      <c r="D174" s="228" t="s">
        <v>142</v>
      </c>
      <c r="E174" s="157">
        <v>43690</v>
      </c>
      <c r="F174" s="157">
        <v>43701</v>
      </c>
      <c r="G174" s="155">
        <f>F174-E174</f>
        <v>11</v>
      </c>
      <c r="H174" s="99">
        <f>G174+'27'!H174</f>
        <v>287</v>
      </c>
      <c r="I174" s="155"/>
      <c r="J174" s="178">
        <f>H174/DAY(B2)</f>
        <v>10.25</v>
      </c>
    </row>
    <row r="175" spans="1:10" ht="25.5">
      <c r="A175" s="790" t="s">
        <v>76</v>
      </c>
      <c r="B175" s="803"/>
      <c r="C175" s="791"/>
      <c r="D175" s="228" t="s">
        <v>142</v>
      </c>
      <c r="E175" s="155">
        <v>26654</v>
      </c>
      <c r="F175" s="155">
        <v>26672</v>
      </c>
      <c r="G175" s="155">
        <f>F175-E175</f>
        <v>18</v>
      </c>
      <c r="H175" s="99">
        <f>G175+'27'!H175</f>
        <v>385</v>
      </c>
      <c r="I175" s="155"/>
      <c r="J175" s="178">
        <f>H175/DAY(B2)</f>
        <v>13.75</v>
      </c>
    </row>
    <row r="176" spans="1:10" ht="25.5">
      <c r="A176" s="788" t="s">
        <v>196</v>
      </c>
      <c r="B176" s="789"/>
      <c r="C176" s="400"/>
      <c r="D176" s="228" t="s">
        <v>142</v>
      </c>
      <c r="E176" s="155"/>
      <c r="F176" s="155"/>
      <c r="G176" s="155">
        <f>SUM(G173:G175)</f>
        <v>29</v>
      </c>
      <c r="H176" s="99">
        <f>G176+'27'!H176</f>
        <v>704</v>
      </c>
      <c r="I176" s="155"/>
      <c r="J176" s="178">
        <f>H176/DAY(B2)</f>
        <v>25.142857142857142</v>
      </c>
    </row>
    <row r="177" spans="1:10" ht="25.5">
      <c r="A177" s="790" t="s">
        <v>77</v>
      </c>
      <c r="B177" s="791"/>
      <c r="C177" s="333"/>
      <c r="D177" s="228" t="s">
        <v>142</v>
      </c>
      <c r="E177" s="15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155">
        <v>112926</v>
      </c>
      <c r="F178" s="155">
        <v>113005</v>
      </c>
      <c r="G178" s="155">
        <f>F178-E178</f>
        <v>79</v>
      </c>
      <c r="H178" s="99">
        <f>G178+'27'!H178</f>
        <v>2614</v>
      </c>
      <c r="I178" s="155"/>
      <c r="J178" s="178">
        <f>H178/DAY(B2)</f>
        <v>93.357142857142861</v>
      </c>
    </row>
    <row r="179" spans="1:10" ht="25.5">
      <c r="A179" s="790" t="s">
        <v>211</v>
      </c>
      <c r="B179" s="791"/>
      <c r="C179" s="333"/>
      <c r="D179" s="228" t="s">
        <v>142</v>
      </c>
      <c r="E179" s="155">
        <v>37552</v>
      </c>
      <c r="F179" s="155">
        <v>37568</v>
      </c>
      <c r="G179" s="155">
        <f>F179-E179</f>
        <v>16</v>
      </c>
      <c r="H179" s="99">
        <f>G179+'27'!H179</f>
        <v>67</v>
      </c>
      <c r="I179" s="155"/>
      <c r="J179" s="178">
        <f>H179/DAY(B2)</f>
        <v>2.3928571428571428</v>
      </c>
    </row>
    <row r="180" spans="1:10" ht="25.5">
      <c r="A180" s="790" t="s">
        <v>212</v>
      </c>
      <c r="B180" s="791"/>
      <c r="C180" s="333"/>
      <c r="D180" s="228" t="s">
        <v>142</v>
      </c>
      <c r="E180" s="155">
        <v>7826</v>
      </c>
      <c r="F180" s="155">
        <v>7829</v>
      </c>
      <c r="G180" s="155">
        <f>F180-E180</f>
        <v>3</v>
      </c>
      <c r="H180" s="99">
        <f>G180+'27'!H180</f>
        <v>128</v>
      </c>
      <c r="I180" s="155"/>
      <c r="J180" s="178">
        <f>H180/DAY(B2)</f>
        <v>4.5714285714285712</v>
      </c>
    </row>
    <row r="181" spans="1:10" ht="25.5">
      <c r="A181" s="878" t="s">
        <v>108</v>
      </c>
      <c r="B181" s="879"/>
      <c r="C181" s="400"/>
      <c r="D181" s="228" t="s">
        <v>142</v>
      </c>
      <c r="E181" s="155"/>
      <c r="F181" s="155"/>
      <c r="G181" s="155">
        <f>SUM(G178:G180)</f>
        <v>98</v>
      </c>
      <c r="H181" s="99">
        <f>G181+'27'!H181</f>
        <v>2809</v>
      </c>
      <c r="I181" s="155"/>
      <c r="J181" s="178">
        <f>H181/DAY(B2)</f>
        <v>100.32142857142857</v>
      </c>
    </row>
    <row r="182" spans="1:10" ht="25.5">
      <c r="A182" s="790" t="s">
        <v>213</v>
      </c>
      <c r="B182" s="791"/>
      <c r="C182" s="333"/>
      <c r="D182" s="228" t="s">
        <v>142</v>
      </c>
      <c r="E182" s="15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157">
        <v>18912</v>
      </c>
      <c r="F183" s="157">
        <v>18917</v>
      </c>
      <c r="G183" s="157">
        <f>F183-E183</f>
        <v>5</v>
      </c>
      <c r="H183" s="99">
        <f>G183+'27'!H183</f>
        <v>225</v>
      </c>
      <c r="I183" s="155"/>
      <c r="J183" s="178">
        <f>H183/DAY(B2)</f>
        <v>8.0357142857142865</v>
      </c>
    </row>
    <row r="184" spans="1:10" ht="25.5">
      <c r="A184" s="790" t="s">
        <v>215</v>
      </c>
      <c r="B184" s="791"/>
      <c r="C184" s="334"/>
      <c r="D184" s="228" t="s">
        <v>142</v>
      </c>
      <c r="E184" s="157">
        <v>13444</v>
      </c>
      <c r="F184" s="157">
        <v>13445</v>
      </c>
      <c r="G184" s="157">
        <f>F184-E184</f>
        <v>1</v>
      </c>
      <c r="H184" s="99">
        <f>G184+'27'!H184</f>
        <v>199</v>
      </c>
      <c r="I184" s="155"/>
      <c r="J184" s="178">
        <f>H184/DAY(B2)</f>
        <v>7.1071428571428568</v>
      </c>
    </row>
    <row r="185" spans="1:10" ht="25.5">
      <c r="A185" s="790" t="s">
        <v>216</v>
      </c>
      <c r="B185" s="791"/>
      <c r="C185" s="334"/>
      <c r="D185" s="228" t="s">
        <v>142</v>
      </c>
      <c r="E185" s="157">
        <v>0</v>
      </c>
      <c r="F185" s="157">
        <v>2532</v>
      </c>
      <c r="G185" s="157">
        <f>F185-E185</f>
        <v>2532</v>
      </c>
      <c r="H185" s="99">
        <f>G185+'27'!H185</f>
        <v>2532</v>
      </c>
      <c r="I185" s="155"/>
      <c r="J185" s="178">
        <f>H185/DAY(B2)</f>
        <v>90.428571428571431</v>
      </c>
    </row>
    <row r="186" spans="1:10" ht="25.5">
      <c r="A186" s="788" t="s">
        <v>196</v>
      </c>
      <c r="B186" s="789"/>
      <c r="C186" s="399"/>
      <c r="D186" s="228" t="s">
        <v>142</v>
      </c>
      <c r="E186" s="157"/>
      <c r="F186" s="157"/>
      <c r="G186" s="157">
        <f>SUM(G183:G185)</f>
        <v>2538</v>
      </c>
      <c r="H186" s="99">
        <f>G186+'27'!H186</f>
        <v>2956</v>
      </c>
      <c r="I186" s="157"/>
      <c r="J186" s="178">
        <f>H186/DAY(B2)</f>
        <v>105.57142857142857</v>
      </c>
    </row>
    <row r="187" spans="1:10" ht="25.5">
      <c r="A187" s="869" t="s">
        <v>217</v>
      </c>
      <c r="B187" s="870"/>
      <c r="C187" s="333"/>
      <c r="D187" s="230" t="s">
        <v>142</v>
      </c>
      <c r="E187" s="159"/>
      <c r="F187" s="159"/>
      <c r="G187" s="377">
        <f>G62+G19</f>
        <v>164.79999999998836</v>
      </c>
      <c r="H187" s="99">
        <f>G187+'27'!H187</f>
        <v>3957</v>
      </c>
      <c r="I187" s="158"/>
      <c r="J187" s="179">
        <f>H187/DAY(B2)</f>
        <v>141.32142857142858</v>
      </c>
    </row>
    <row r="188" spans="1:10" ht="25.5">
      <c r="A188" s="869" t="s">
        <v>218</v>
      </c>
      <c r="B188" s="870"/>
      <c r="C188" s="333"/>
      <c r="D188" s="230" t="s">
        <v>142</v>
      </c>
      <c r="E188" s="159"/>
      <c r="F188" s="159"/>
      <c r="G188" s="377">
        <f>G65+G66+G67+G69+G70</f>
        <v>135</v>
      </c>
      <c r="H188" s="99">
        <f>G188+'27'!H188</f>
        <v>2717</v>
      </c>
      <c r="I188" s="158"/>
      <c r="J188" s="179">
        <f>H188/DAY(B2)</f>
        <v>97.035714285714292</v>
      </c>
    </row>
    <row r="189" spans="1:10" ht="25.5">
      <c r="A189" s="869" t="s">
        <v>219</v>
      </c>
      <c r="B189" s="870"/>
      <c r="C189" s="333"/>
      <c r="D189" s="230" t="s">
        <v>142</v>
      </c>
      <c r="E189" s="157"/>
      <c r="F189" s="157"/>
      <c r="G189" s="376">
        <f>G181</f>
        <v>98</v>
      </c>
      <c r="H189" s="99">
        <f>G189+'27'!H189</f>
        <v>838</v>
      </c>
      <c r="I189" s="158"/>
      <c r="J189" s="179">
        <f>H189/DAY(B2)</f>
        <v>29.928571428571427</v>
      </c>
    </row>
    <row r="190" spans="1:10" ht="25.5">
      <c r="A190" s="876"/>
      <c r="B190" s="877"/>
      <c r="C190" s="398"/>
      <c r="D190" s="395"/>
      <c r="E190" s="395"/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G7" sqref="G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371</v>
      </c>
      <c r="B2" s="262">
        <v>44955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256809</v>
      </c>
      <c r="F7" s="95">
        <v>577428.9</v>
      </c>
      <c r="G7" s="112">
        <f>F7-E7</f>
        <v>320619.90000000002</v>
      </c>
      <c r="H7" s="99">
        <f>G7+'28'!H7</f>
        <v>954061.9</v>
      </c>
      <c r="I7" s="113">
        <f>'1'!I7</f>
        <v>12000</v>
      </c>
      <c r="J7" s="175">
        <f>H7/DAY(B2)</f>
        <v>32898.686206896549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464495</v>
      </c>
      <c r="F8" s="114">
        <v>769775.3</v>
      </c>
      <c r="G8" s="115">
        <f>F8-E8</f>
        <v>305280.30000000005</v>
      </c>
      <c r="H8" s="99">
        <f>G8+'28'!H8</f>
        <v>953665.3</v>
      </c>
      <c r="I8" s="116"/>
      <c r="J8" s="175">
        <f>H8/DAY(B2)</f>
        <v>32885.010344827591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5191629.9000000004</v>
      </c>
      <c r="F9" s="468">
        <v>4798621.5</v>
      </c>
      <c r="G9" s="112">
        <f>F9-E9</f>
        <v>-393008.40000000037</v>
      </c>
      <c r="H9" s="99">
        <f>G9+'28'!H9</f>
        <v>-26477.5</v>
      </c>
      <c r="I9" s="124">
        <f>I7-J7</f>
        <v>-20898.686206896549</v>
      </c>
      <c r="J9" s="175">
        <f>H9/DAY(B2)</f>
        <v>-913.01724137931035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4541121</v>
      </c>
      <c r="F10" s="353">
        <v>4273007.5</v>
      </c>
      <c r="G10" s="112">
        <f t="shared" ref="G10:G12" si="0">F10-E10</f>
        <v>-268113.5</v>
      </c>
      <c r="H10" s="99">
        <f>G10+'28'!H10</f>
        <v>-17526.5</v>
      </c>
      <c r="I10" s="282"/>
      <c r="J10" s="175">
        <f>H10/DAY(B2)</f>
        <v>-604.36206896551721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38700</v>
      </c>
      <c r="F11" s="95">
        <v>38700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40550</v>
      </c>
      <c r="F12" s="117">
        <v>40550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-661121.90000000037</v>
      </c>
      <c r="H13" s="99">
        <f>G13+'28'!H13</f>
        <v>-44004</v>
      </c>
      <c r="I13" s="120">
        <f>G7-G13</f>
        <v>981741.8000000004</v>
      </c>
      <c r="J13" s="175">
        <f>H13/DAY(B2)</f>
        <v>-1517.3793103448277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2319789</v>
      </c>
      <c r="F15" s="468">
        <v>2286258.1</v>
      </c>
      <c r="G15" s="112">
        <f>(F15-E15)</f>
        <v>-33530.899999999907</v>
      </c>
      <c r="H15" s="99">
        <f>G15+'28'!H15</f>
        <v>-2215.6149999997579</v>
      </c>
      <c r="I15" s="113">
        <f>'1'!I15</f>
        <v>800</v>
      </c>
      <c r="J15" s="175">
        <f>H15/DAY(B2)</f>
        <v>-76.400517241370963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876.40051724137095</v>
      </c>
      <c r="J16" s="176"/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95">
        <f>'28'!F18</f>
        <v>15</v>
      </c>
      <c r="F18" s="122">
        <v>25</v>
      </c>
      <c r="G18" s="119">
        <f>F18*10</f>
        <v>250</v>
      </c>
      <c r="H18" s="99">
        <f>G18+'28'!H18</f>
        <v>5770</v>
      </c>
      <c r="I18" s="113">
        <f>'1'!I18</f>
        <v>65</v>
      </c>
      <c r="J18" s="175">
        <f>H18/DAY(B2)</f>
        <v>198.9655172413793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95">
        <f>'28'!F19</f>
        <v>172774</v>
      </c>
      <c r="F19" s="122">
        <v>171218</v>
      </c>
      <c r="G19" s="112">
        <f t="shared" ref="G19" si="1">F19-E19</f>
        <v>-1556</v>
      </c>
      <c r="H19" s="99">
        <f>G19+'28'!H19</f>
        <v>-105</v>
      </c>
      <c r="I19" s="335"/>
      <c r="J19" s="175">
        <f>H19/DAY(B2)</f>
        <v>-3.6206896551724137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-1306</v>
      </c>
      <c r="H20" s="99">
        <f>G20+'28'!H20</f>
        <v>5665</v>
      </c>
      <c r="I20" s="336">
        <f>I18-J20</f>
        <v>-130.34482758620689</v>
      </c>
      <c r="J20" s="175">
        <f>H20/DAY(B2)</f>
        <v>195.34482758620689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305280.30000000005</v>
      </c>
      <c r="F27" s="136">
        <v>9</v>
      </c>
      <c r="G27" s="137">
        <f>E27*F27</f>
        <v>2747522.7</v>
      </c>
      <c r="H27" s="99">
        <f>G27+'28'!H27</f>
        <v>9231372.7000000011</v>
      </c>
      <c r="I27" s="138"/>
      <c r="J27" s="175">
        <f>H27/DAY(B2)</f>
        <v>318323.19655172416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-33530.899999999907</v>
      </c>
      <c r="F28" s="136">
        <v>70</v>
      </c>
      <c r="G28" s="137">
        <f>E28*F28</f>
        <v>-2347162.9999999935</v>
      </c>
      <c r="H28" s="99">
        <f>G28+'28'!H28</f>
        <v>-354878.58999998309</v>
      </c>
      <c r="I28" s="140"/>
      <c r="J28" s="175">
        <f>H28/DAY(B2)</f>
        <v>-12237.192758620107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6900</v>
      </c>
      <c r="I29" s="140"/>
      <c r="J29" s="175">
        <f>H29/DAY(B2)</f>
        <v>237.93103448275863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-1556</v>
      </c>
      <c r="F30" s="136">
        <v>151</v>
      </c>
      <c r="G30" s="137">
        <f>E30*F30</f>
        <v>-234956</v>
      </c>
      <c r="H30" s="99">
        <f>G30+'28'!H30</f>
        <v>-10991.399999999994</v>
      </c>
      <c r="I30" s="140"/>
      <c r="J30" s="175">
        <f>H30/DAY(B2)</f>
        <v>-379.01379310344805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G31+'28'!H31</f>
        <v>502100</v>
      </c>
      <c r="I31" s="140"/>
      <c r="J31" s="175">
        <f>H31/DAY(B2)</f>
        <v>17313.793103448275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185403.70000000671</v>
      </c>
      <c r="H32" s="99">
        <f>G32+'28'!H32</f>
        <v>9374502.7100000158</v>
      </c>
      <c r="I32" s="144"/>
      <c r="J32" s="175">
        <f>H32/DAY(B2)</f>
        <v>323258.71413793159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605332.18999999994</v>
      </c>
      <c r="F35" s="145">
        <v>524842.55000000005</v>
      </c>
      <c r="G35" s="112">
        <f t="shared" ref="G35:G46" si="3">F35-E35</f>
        <v>-80489.639999999898</v>
      </c>
      <c r="H35" s="99">
        <f>G35+'28'!H35</f>
        <v>-5213.4499999999534</v>
      </c>
      <c r="I35" s="95"/>
      <c r="J35" s="175">
        <f>H35/DAY(B2)</f>
        <v>-179.77413793103287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411222.19</v>
      </c>
      <c r="F36" s="145">
        <v>379732.59</v>
      </c>
      <c r="G36" s="112">
        <f t="shared" si="3"/>
        <v>-31489.599999999977</v>
      </c>
      <c r="H36" s="99">
        <f>G36+'28'!H36</f>
        <v>-2088.4099999999744</v>
      </c>
      <c r="I36" s="95"/>
      <c r="J36" s="175">
        <f>H36/DAY(B2)</f>
        <v>-72.014137931033602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423977</v>
      </c>
      <c r="F37" s="145">
        <v>380724.95</v>
      </c>
      <c r="G37" s="112">
        <f t="shared" si="3"/>
        <v>-43252.049999999988</v>
      </c>
      <c r="H37" s="99">
        <f>G37+'28'!H37</f>
        <v>-2894.0499999999884</v>
      </c>
      <c r="I37" s="95"/>
      <c r="J37" s="175">
        <f>H37/DAY(B2)</f>
        <v>-99.794827586206495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951292</v>
      </c>
      <c r="F38" s="108">
        <v>871703.03</v>
      </c>
      <c r="G38" s="112">
        <f t="shared" si="3"/>
        <v>-79588.969999999972</v>
      </c>
      <c r="H38" s="99">
        <f>G38+'28'!H38</f>
        <v>-5423.9699999999721</v>
      </c>
      <c r="I38" s="95"/>
      <c r="J38" s="175">
        <f>H38/DAY(B2)</f>
        <v>-187.0334482758611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785780.95</v>
      </c>
      <c r="F39" s="145">
        <v>700483.59</v>
      </c>
      <c r="G39" s="112">
        <f t="shared" si="3"/>
        <v>-85297.359999999986</v>
      </c>
      <c r="H39" s="99">
        <f>G39+'28'!H39</f>
        <v>-5652.4100000000326</v>
      </c>
      <c r="I39" s="95"/>
      <c r="J39" s="175">
        <f>H39/DAY(B2)</f>
        <v>-194.91068965517354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225934.01</v>
      </c>
      <c r="F40" s="145">
        <v>217341.73</v>
      </c>
      <c r="G40" s="112">
        <f t="shared" si="3"/>
        <v>-8592.2799999999988</v>
      </c>
      <c r="H40" s="99">
        <f>G40+'28'!H40</f>
        <v>-450.26999999998952</v>
      </c>
      <c r="I40" s="95"/>
      <c r="J40" s="175">
        <f>H40/DAY(B2)</f>
        <v>-15.526551724137569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420212.5</v>
      </c>
      <c r="F41" s="145">
        <v>420212.5</v>
      </c>
      <c r="G41" s="112">
        <f t="shared" si="3"/>
        <v>0</v>
      </c>
      <c r="H41" s="99">
        <f>G41+'28'!H41</f>
        <v>-1.0000000009313226E-2</v>
      </c>
      <c r="I41" s="95"/>
      <c r="J41" s="175">
        <f>H41/DAY(B2)</f>
        <v>-3.4482758652804225E-4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1002323.4</v>
      </c>
      <c r="F42" s="145">
        <v>970677.43</v>
      </c>
      <c r="G42" s="112">
        <f t="shared" si="3"/>
        <v>-31645.969999999972</v>
      </c>
      <c r="H42" s="99">
        <f>G42+'28'!H42</f>
        <v>-2385.1999999999534</v>
      </c>
      <c r="I42" s="95"/>
      <c r="J42" s="175">
        <f>H42/DAY(B2)</f>
        <v>-82.248275862067359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422444</v>
      </c>
      <c r="F43" s="145">
        <v>422444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-360355.86999999976</v>
      </c>
      <c r="H47" s="99">
        <f>G47+'28'!H47</f>
        <v>-24107.769999999902</v>
      </c>
      <c r="I47" s="95"/>
      <c r="J47" s="175">
        <f>H47/DAY(B2)</f>
        <v>-831.30241379310007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837951</v>
      </c>
      <c r="F49" s="145">
        <v>821817.91</v>
      </c>
      <c r="G49" s="112">
        <f t="shared" ref="G49:G58" si="4">F49-E49</f>
        <v>-16133.089999999967</v>
      </c>
      <c r="H49" s="99">
        <f>G49+'28'!H49</f>
        <v>-1094.0899999999674</v>
      </c>
      <c r="I49" s="95"/>
      <c r="J49" s="175">
        <f>H49/DAY(B2)</f>
        <v>-37.72724137930922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583799</v>
      </c>
      <c r="F50" s="145">
        <v>539313.59</v>
      </c>
      <c r="G50" s="112">
        <f t="shared" si="4"/>
        <v>-44485.410000000033</v>
      </c>
      <c r="H50" s="99">
        <f>G50+'28'!H50</f>
        <v>-2660.4100000000326</v>
      </c>
      <c r="I50" s="95"/>
      <c r="J50" s="175">
        <f>H50/DAY(B2)</f>
        <v>-91.738275862070083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156958.44</v>
      </c>
      <c r="F51" s="145">
        <v>156958.44</v>
      </c>
      <c r="G51" s="112">
        <f t="shared" si="4"/>
        <v>0</v>
      </c>
      <c r="H51" s="99">
        <f>G51+'28'!H51</f>
        <v>0.44000000000232831</v>
      </c>
      <c r="I51" s="95"/>
      <c r="J51" s="175">
        <f>H51/DAY(B2)</f>
        <v>1.5172413793183735E-2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1457.43</v>
      </c>
      <c r="F52" s="145">
        <v>1457</v>
      </c>
      <c r="G52" s="112">
        <f t="shared" si="4"/>
        <v>-0.43000000000006366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630355.03</v>
      </c>
      <c r="F53" s="145">
        <v>630355</v>
      </c>
      <c r="G53" s="112">
        <f t="shared" si="4"/>
        <v>-3.0000000027939677E-2</v>
      </c>
      <c r="H53" s="99">
        <f>G53+'28'!H53</f>
        <v>-3.0000000027939677E-2</v>
      </c>
      <c r="I53" s="95"/>
      <c r="J53" s="175">
        <f>H53/DAY(B2)</f>
        <v>-1.0344827595841267E-3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132951</v>
      </c>
      <c r="F54" s="145">
        <v>123528.57</v>
      </c>
      <c r="G54" s="112">
        <f t="shared" si="4"/>
        <v>-9422.429999999993</v>
      </c>
      <c r="H54" s="99">
        <f>G54+'28'!H54</f>
        <v>-585.63999999999942</v>
      </c>
      <c r="I54" s="95"/>
      <c r="J54" s="175">
        <f>H54/DAY(B2)</f>
        <v>-20.194482758620669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633023</v>
      </c>
      <c r="F55" s="145">
        <v>594304.75</v>
      </c>
      <c r="G55" s="112">
        <f t="shared" si="4"/>
        <v>-38718.25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415420</v>
      </c>
      <c r="F56" s="145">
        <v>367606.79</v>
      </c>
      <c r="G56" s="112">
        <f t="shared" si="4"/>
        <v>-47813.210000000021</v>
      </c>
      <c r="H56" s="99">
        <f>G56+'28'!H56</f>
        <v>-5513.210000000021</v>
      </c>
      <c r="I56" s="95"/>
      <c r="J56" s="175">
        <f>H56/DAY(B2)</f>
        <v>-190.11068965517313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778968</v>
      </c>
      <c r="F57" s="145">
        <v>702665.59</v>
      </c>
      <c r="G57" s="112">
        <f t="shared" si="4"/>
        <v>-76302.410000000033</v>
      </c>
      <c r="H57" s="99">
        <f>G57+'28'!H57</f>
        <v>-5032.4100000000326</v>
      </c>
      <c r="I57" s="95"/>
      <c r="J57" s="175">
        <f>H57/DAY(B2)</f>
        <v>-173.53137931034595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101598</v>
      </c>
      <c r="F58" s="145">
        <v>94024</v>
      </c>
      <c r="G58" s="112">
        <f t="shared" si="4"/>
        <v>-7574</v>
      </c>
      <c r="H58" s="99">
        <f>G58+'28'!H58</f>
        <v>-545.82000000000698</v>
      </c>
      <c r="I58" s="95"/>
      <c r="J58" s="175">
        <f>H58/DAY(B2)</f>
        <v>-18.821379310345069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-240449.26000000007</v>
      </c>
      <c r="H59" s="99">
        <f>G59+'28'!H59</f>
        <v>-15431.1700000001</v>
      </c>
      <c r="I59" s="95">
        <f>G7-G60</f>
        <v>921425.02999999991</v>
      </c>
      <c r="J59" s="175">
        <f>H59/DAY(B2)</f>
        <v>-532.10931034483099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-600805.12999999989</v>
      </c>
      <c r="H60" s="99">
        <f>G60+'28'!H60</f>
        <v>-39538.940000000061</v>
      </c>
      <c r="I60" s="95">
        <f>G13-G60</f>
        <v>-60316.770000000484</v>
      </c>
      <c r="J60" s="175">
        <f>H60/DAY(B2)</f>
        <v>-1363.4117241379331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95">
        <f>'28'!F62</f>
        <v>318183</v>
      </c>
      <c r="F62" s="122">
        <v>315403</v>
      </c>
      <c r="G62" s="112">
        <f t="shared" ref="G62:G63" si="5">F62-E62</f>
        <v>-2780</v>
      </c>
      <c r="H62" s="99">
        <f>G62+'28'!H62</f>
        <v>-274</v>
      </c>
      <c r="I62" s="118"/>
      <c r="J62" s="175">
        <f>H62/DAY(B2)</f>
        <v>-9.4482758620689662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95">
        <f>'28'!F63</f>
        <v>254698</v>
      </c>
      <c r="F63" s="122">
        <v>252094</v>
      </c>
      <c r="G63" s="112">
        <f t="shared" si="5"/>
        <v>-2604</v>
      </c>
      <c r="H63" s="99">
        <f>G63+'28'!H63</f>
        <v>-230</v>
      </c>
      <c r="I63" s="118"/>
      <c r="J63" s="175">
        <f>H63/DAY(B2)</f>
        <v>-7.931034482758621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95">
        <f>'28'!F64</f>
        <v>0</v>
      </c>
      <c r="F64" s="122"/>
      <c r="G64" s="112">
        <f>G62+G63</f>
        <v>-5384</v>
      </c>
      <c r="H64" s="99">
        <f>G64+'28'!H64</f>
        <v>-504</v>
      </c>
      <c r="I64" s="118"/>
      <c r="J64" s="175">
        <f>H64/DAY(B2)</f>
        <v>-17.379310344827587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95">
        <f>'28'!F65</f>
        <v>479514</v>
      </c>
      <c r="F65" s="122">
        <v>475657</v>
      </c>
      <c r="G65" s="112">
        <f t="shared" ref="G65:G70" si="6">F65-E65</f>
        <v>-3857</v>
      </c>
      <c r="H65" s="99">
        <f>G65+'28'!H65</f>
        <v>-246</v>
      </c>
      <c r="I65" s="118"/>
      <c r="J65" s="175">
        <f>H65/DAY(B2)</f>
        <v>-8.4827586206896548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114865</v>
      </c>
      <c r="F66" s="122">
        <v>114388</v>
      </c>
      <c r="G66" s="112">
        <f t="shared" si="6"/>
        <v>-477</v>
      </c>
      <c r="H66" s="99">
        <f>G66+'28'!H66</f>
        <v>-78</v>
      </c>
      <c r="I66" s="118"/>
      <c r="J66" s="175">
        <f>H66/DAY(B2)</f>
        <v>-2.6896551724137931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118065</v>
      </c>
      <c r="F67" s="122">
        <v>117232</v>
      </c>
      <c r="G67" s="112">
        <f t="shared" si="6"/>
        <v>-833</v>
      </c>
      <c r="H67" s="99">
        <f>G67+'28'!H67</f>
        <v>-50</v>
      </c>
      <c r="I67" s="118"/>
      <c r="J67" s="175">
        <f>H67/DAY(B2)</f>
        <v>-1.7241379310344827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170517</v>
      </c>
      <c r="F68" s="122">
        <v>169912</v>
      </c>
      <c r="G68" s="112">
        <f t="shared" si="6"/>
        <v>-605</v>
      </c>
      <c r="H68" s="99">
        <f>G68+'28'!H68</f>
        <v>-38</v>
      </c>
      <c r="I68" s="118"/>
      <c r="J68" s="175">
        <f>H68/DAY(B2)</f>
        <v>-1.3103448275862069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13390</v>
      </c>
      <c r="F69" s="122">
        <v>13229</v>
      </c>
      <c r="G69" s="112">
        <f t="shared" si="6"/>
        <v>-161</v>
      </c>
      <c r="H69" s="99">
        <f>G69+'28'!H69</f>
        <v>17</v>
      </c>
      <c r="I69" s="118"/>
      <c r="J69" s="175">
        <f>H69/DAY(B2)</f>
        <v>0.58620689655172409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11455</v>
      </c>
      <c r="F70" s="122">
        <v>11238</v>
      </c>
      <c r="G70" s="112">
        <f t="shared" si="6"/>
        <v>-217</v>
      </c>
      <c r="H70" s="99">
        <f>G70+'28'!H70</f>
        <v>-20</v>
      </c>
      <c r="I70" s="118"/>
      <c r="J70" s="175">
        <f>H70/DAY(B2)</f>
        <v>-0.68965517241379315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95">
        <f>'28'!F71</f>
        <v>0</v>
      </c>
      <c r="F71" s="152"/>
      <c r="G71" s="153">
        <f>SUM(G65:G70)</f>
        <v>-6150</v>
      </c>
      <c r="H71" s="99">
        <f>G71+'28'!H71</f>
        <v>-415</v>
      </c>
      <c r="I71" s="154"/>
      <c r="J71" s="175">
        <f>H71/DAY(B2)</f>
        <v>-14.310344827586206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95">
        <f>'28'!F74</f>
        <v>20733.71</v>
      </c>
      <c r="F74" s="117">
        <v>11662.9</v>
      </c>
      <c r="G74" s="112">
        <f t="shared" ref="G74:G78" si="7">F74-E74</f>
        <v>-9070.81</v>
      </c>
      <c r="H74" s="99">
        <f>G74+'28'!H74</f>
        <v>-4217.1000000000004</v>
      </c>
      <c r="I74" s="154"/>
      <c r="J74" s="175">
        <f>H74/DAY(B2)</f>
        <v>-145.41724137931035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95">
        <f>'28'!F76</f>
        <v>214023</v>
      </c>
      <c r="F76" s="123">
        <v>210450</v>
      </c>
      <c r="G76" s="112">
        <f t="shared" si="7"/>
        <v>-3573</v>
      </c>
      <c r="H76" s="99">
        <f>G76+'28'!H76</f>
        <v>-210</v>
      </c>
      <c r="I76" s="154"/>
      <c r="J76" s="175">
        <f>H76/DAY(B2)</f>
        <v>-7.2413793103448274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95">
        <f>'28'!F77</f>
        <v>61261</v>
      </c>
      <c r="F77" s="123">
        <v>59644.4</v>
      </c>
      <c r="G77" s="112">
        <f t="shared" si="7"/>
        <v>-1616.5999999999985</v>
      </c>
      <c r="H77" s="99">
        <f>G77+'28'!H77</f>
        <v>-116.59999999999854</v>
      </c>
      <c r="I77" s="154"/>
      <c r="J77" s="175">
        <f>H77/DAY(B2)</f>
        <v>-4.0206896551723634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95">
        <f>'28'!F78</f>
        <v>9564</v>
      </c>
      <c r="F78" s="123">
        <v>9564</v>
      </c>
      <c r="G78" s="112">
        <f t="shared" si="7"/>
        <v>0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95">
        <f>'28'!F79</f>
        <v>0</v>
      </c>
      <c r="F79" s="117">
        <v>0</v>
      </c>
      <c r="G79" s="112">
        <f>G15-SUM(G74:G78)</f>
        <v>-19270.489999999911</v>
      </c>
      <c r="H79" s="99">
        <f>G79+'28'!H79</f>
        <v>-1290.4149999997608</v>
      </c>
      <c r="I79" s="118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-33530.899999999907</v>
      </c>
      <c r="H80" s="99"/>
      <c r="I80" s="118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4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43546</v>
      </c>
      <c r="F84" s="164">
        <v>43546</v>
      </c>
      <c r="G84" s="112">
        <f t="shared" si="8"/>
        <v>0</v>
      </c>
      <c r="H84" s="99">
        <f>G84+'28'!H84</f>
        <v>-0.34999999999854481</v>
      </c>
      <c r="I84" s="543"/>
      <c r="J84" s="175">
        <f>H84/DAY(B2)</f>
        <v>-1.2068965517191201E-2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6357</v>
      </c>
      <c r="F85" s="164">
        <v>6203</v>
      </c>
      <c r="G85" s="112">
        <f t="shared" si="8"/>
        <v>-154</v>
      </c>
      <c r="H85" s="99">
        <f>G85+'28'!H85</f>
        <v>-10</v>
      </c>
      <c r="I85" s="543"/>
      <c r="J85" s="175">
        <f>H85/DAY(B2)</f>
        <v>-0.34482758620689657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47238</v>
      </c>
      <c r="F86" s="164">
        <v>46971</v>
      </c>
      <c r="G86" s="112">
        <f t="shared" si="8"/>
        <v>-267</v>
      </c>
      <c r="H86" s="99">
        <f>G86+'28'!H86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37677.57</v>
      </c>
      <c r="F87" s="164">
        <v>37322</v>
      </c>
      <c r="G87" s="112">
        <f t="shared" si="8"/>
        <v>-355.56999999999971</v>
      </c>
      <c r="H87" s="99">
        <f>G87+'28'!H87</f>
        <v>-42</v>
      </c>
      <c r="I87" s="543">
        <f>G84+G85+G86+G87</f>
        <v>-776.56999999999971</v>
      </c>
      <c r="J87" s="175">
        <f>H87/DAY(B2)</f>
        <v>-1.4482758620689655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24935.77</v>
      </c>
      <c r="F88" s="164">
        <v>24743</v>
      </c>
      <c r="G88" s="112">
        <f t="shared" si="8"/>
        <v>-192.77000000000044</v>
      </c>
      <c r="H88" s="99">
        <f>G88+'28'!H88</f>
        <v>-19</v>
      </c>
      <c r="I88" s="543"/>
      <c r="J88" s="175">
        <f>H88/DAY(B2)</f>
        <v>-0.65517241379310343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29214</v>
      </c>
      <c r="F89" s="164">
        <v>29018.54</v>
      </c>
      <c r="G89" s="112">
        <f t="shared" si="8"/>
        <v>-195.45999999999913</v>
      </c>
      <c r="H89" s="99">
        <f>G89+'28'!H89</f>
        <v>-9.4599999999991269</v>
      </c>
      <c r="I89" s="543">
        <f>G88+G89</f>
        <v>-388.22999999999956</v>
      </c>
      <c r="J89" s="175">
        <f>H89/DAY(B2)</f>
        <v>-0.32620689655169405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74652</v>
      </c>
      <c r="F90" s="164">
        <v>74434.570000000007</v>
      </c>
      <c r="G90" s="112">
        <f t="shared" si="8"/>
        <v>-217.42999999999302</v>
      </c>
      <c r="H90" s="99">
        <f>G90+'28'!H90</f>
        <v>-192.82999999998719</v>
      </c>
      <c r="I90" s="543">
        <f>G90</f>
        <v>-217.42999999999302</v>
      </c>
      <c r="J90" s="175">
        <f>H90/DAY(B2)</f>
        <v>-6.6493103448271444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5907.02</v>
      </c>
      <c r="F91" s="122">
        <v>5618</v>
      </c>
      <c r="G91" s="112">
        <f t="shared" si="8"/>
        <v>-289.02000000000044</v>
      </c>
      <c r="H91" s="99">
        <f>G91+'28'!H91</f>
        <v>-0.21000000000003638</v>
      </c>
      <c r="I91" s="544"/>
      <c r="J91" s="175">
        <f>H91/DAY(B2)</f>
        <v>-7.2413793103460822E-3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7469.34</v>
      </c>
      <c r="F92" s="122">
        <v>7410.51</v>
      </c>
      <c r="G92" s="112">
        <f t="shared" si="8"/>
        <v>-58.829999999999927</v>
      </c>
      <c r="H92" s="99">
        <f>G92+'28'!H92</f>
        <v>-21.769999999999527</v>
      </c>
      <c r="I92" s="545">
        <f>G91+G92</f>
        <v>-347.85000000000036</v>
      </c>
      <c r="J92" s="175">
        <f>H92/DAY(B2)</f>
        <v>-0.7506896551723975</v>
      </c>
      <c r="O92" s="71"/>
    </row>
    <row r="93" spans="1:15" ht="26.25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-172925.1399999999</v>
      </c>
      <c r="H94" s="99">
        <f>G94+'28'!H94</f>
        <v>-11339.949999999953</v>
      </c>
      <c r="I94" s="118"/>
      <c r="J94" s="175">
        <f>H94/DAY(B2)</f>
        <v>-391.03275862068807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-0.53934624769080108</v>
      </c>
      <c r="H95" s="99">
        <f>G95+'28'!H95</f>
        <v>6.6138264120437773</v>
      </c>
      <c r="I95" s="167"/>
      <c r="J95" s="175">
        <f>H95/DAY(B2)</f>
        <v>0.22806297972564749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-118177.43</v>
      </c>
      <c r="H96" s="99">
        <f>G96+'28'!H96</f>
        <v>-7898.4199999999837</v>
      </c>
      <c r="I96" s="118"/>
      <c r="J96" s="175">
        <f>H96/DAY(B2)</f>
        <v>-272.35931034482701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-0.36859043995709556</v>
      </c>
      <c r="H97" s="99">
        <f>G97+'28'!H97</f>
        <v>4.4851230449680308</v>
      </c>
      <c r="I97" s="167"/>
      <c r="J97" s="175">
        <f>H97/DAY(B2)</f>
        <v>0.15465941534372521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-85297.390000000014</v>
      </c>
      <c r="H98" s="99">
        <f>G98+'28'!H98</f>
        <v>-5652.4400000000605</v>
      </c>
      <c r="I98" s="168"/>
      <c r="J98" s="175">
        <f>H98/DAY(B2)</f>
        <v>-194.91172413793313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-0.26603897637046237</v>
      </c>
      <c r="H99" s="99" t="e">
        <f>G99+'28'!H99</f>
        <v>#VALUE!</v>
      </c>
      <c r="I99" s="168"/>
      <c r="J99" s="175" t="e">
        <f>H99/DAY(B2)</f>
        <v>#VALUE!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-79589.399999999965</v>
      </c>
      <c r="H100" s="99">
        <f>G100+'28'!H100</f>
        <v>-5423.9699999999721</v>
      </c>
      <c r="I100" s="118"/>
      <c r="J100" s="175">
        <f>H100/DAY(B2)</f>
        <v>-187.0334482758611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-0.24823599533279114</v>
      </c>
      <c r="H101" s="99">
        <f>G101+'28'!H101</f>
        <v>3.0323561126061214</v>
      </c>
      <c r="I101" s="168"/>
      <c r="J101" s="175">
        <f>H101/DAY(B2)</f>
        <v>0.1045640038829697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-75975.010000000009</v>
      </c>
      <c r="H102" s="99">
        <f>G102+'28'!H102</f>
        <v>-4748.820000000007</v>
      </c>
      <c r="I102" s="168"/>
      <c r="J102" s="175">
        <f>H102/DAY(B2)</f>
        <v>-163.7524137931037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-0.23696286475044126</v>
      </c>
      <c r="H103" s="99">
        <f>G103+'28'!H103</f>
        <v>2.9029212000805225</v>
      </c>
      <c r="I103" s="118"/>
      <c r="J103" s="175">
        <f>H103/DAY(B2)</f>
        <v>0.10010073103725939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-43252.049999999988</v>
      </c>
      <c r="H104" s="99">
        <f>G104+'28'!H104</f>
        <v>-2893.609999999986</v>
      </c>
      <c r="I104" s="118"/>
      <c r="J104" s="175">
        <f>H104/DAY(B2)</f>
        <v>-99.779655172413314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-0.13490132708543665</v>
      </c>
      <c r="H105" s="99">
        <f>G105+'28'!H105</f>
        <v>1.6515912533896102</v>
      </c>
      <c r="I105" s="187"/>
      <c r="J105" s="188">
        <f>H105/DAY(B2)</f>
        <v>5.6951422530676213E-2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25.5">
      <c r="A112" s="883" t="s">
        <v>252</v>
      </c>
      <c r="B112" s="884"/>
      <c r="C112" s="885"/>
      <c r="D112" s="146" t="s">
        <v>183</v>
      </c>
      <c r="E112" s="237">
        <f>'28'!F112</f>
        <v>21111.86</v>
      </c>
      <c r="F112" s="237">
        <v>19275.2</v>
      </c>
      <c r="G112" s="112">
        <f t="shared" ref="G112" si="9">F112-E112</f>
        <v>-1836.6599999999999</v>
      </c>
      <c r="H112" s="99">
        <f>G112+'28'!H112</f>
        <v>-121.79999999999927</v>
      </c>
      <c r="I112" s="165"/>
      <c r="J112" s="328">
        <f>H112/DAY(B2)</f>
        <v>-4.1999999999999753</v>
      </c>
    </row>
    <row r="113" spans="1:18" ht="25.5">
      <c r="A113" s="883" t="s">
        <v>253</v>
      </c>
      <c r="B113" s="884"/>
      <c r="C113" s="885"/>
      <c r="D113" s="146" t="s">
        <v>183</v>
      </c>
      <c r="E113" s="237">
        <f>'28'!F113</f>
        <v>45609</v>
      </c>
      <c r="F113" s="237">
        <v>41231</v>
      </c>
      <c r="G113" s="112">
        <f t="shared" ref="G113:G123" si="10">F113-E113</f>
        <v>-4378</v>
      </c>
      <c r="H113" s="99">
        <f>G113+'28'!H113</f>
        <v>-288.94999999999709</v>
      </c>
      <c r="I113" s="165"/>
      <c r="J113" s="328">
        <f>H113/DAY(B2)</f>
        <v>-9.9637931034481753</v>
      </c>
    </row>
    <row r="114" spans="1:18" ht="25.5">
      <c r="A114" s="883" t="s">
        <v>254</v>
      </c>
      <c r="B114" s="884"/>
      <c r="C114" s="885"/>
      <c r="D114" s="146" t="s">
        <v>183</v>
      </c>
      <c r="E114" s="237">
        <f>'28'!F114</f>
        <v>67525</v>
      </c>
      <c r="F114" s="237">
        <v>60776.79</v>
      </c>
      <c r="G114" s="112">
        <f t="shared" si="10"/>
        <v>-6748.2099999999991</v>
      </c>
      <c r="H114" s="99">
        <f>G114+'28'!H114</f>
        <v>-441.20999999999913</v>
      </c>
      <c r="I114" s="165"/>
      <c r="J114" s="328">
        <f>H114/DAY(B2)</f>
        <v>-15.214137931034452</v>
      </c>
    </row>
    <row r="115" spans="1:18" ht="25.5">
      <c r="A115" s="883" t="s">
        <v>255</v>
      </c>
      <c r="B115" s="884"/>
      <c r="C115" s="885"/>
      <c r="D115" s="146" t="s">
        <v>183</v>
      </c>
      <c r="E115" s="237">
        <f>'28'!F115</f>
        <v>43475</v>
      </c>
      <c r="F115" s="237">
        <v>39133.22</v>
      </c>
      <c r="G115" s="112">
        <f t="shared" si="10"/>
        <v>-4341.7799999999988</v>
      </c>
      <c r="H115" s="99">
        <f>G115+'28'!H115</f>
        <v>-325.77999999999884</v>
      </c>
      <c r="I115" s="165"/>
      <c r="J115" s="328">
        <f>H115/DAY(B2)</f>
        <v>-11.233793103448235</v>
      </c>
    </row>
    <row r="116" spans="1:18" ht="25.5">
      <c r="A116" s="890" t="s">
        <v>96</v>
      </c>
      <c r="B116" s="891"/>
      <c r="C116" s="892"/>
      <c r="D116" s="146" t="s">
        <v>183</v>
      </c>
      <c r="E116" s="237">
        <f>'28'!F116</f>
        <v>159757</v>
      </c>
      <c r="F116" s="237">
        <v>146950</v>
      </c>
      <c r="G116" s="112">
        <f t="shared" si="10"/>
        <v>-12807</v>
      </c>
      <c r="H116" s="99">
        <f>G116+'28'!H116</f>
        <v>-980</v>
      </c>
      <c r="I116" s="165"/>
      <c r="J116" s="328">
        <f>H116/DAY(B2)</f>
        <v>-33.793103448275865</v>
      </c>
      <c r="Q116" s="883" t="s">
        <v>311</v>
      </c>
      <c r="R116" s="885"/>
    </row>
    <row r="117" spans="1:18" ht="25.5">
      <c r="A117" s="890" t="s">
        <v>184</v>
      </c>
      <c r="B117" s="891"/>
      <c r="C117" s="892"/>
      <c r="D117" s="146" t="s">
        <v>183</v>
      </c>
      <c r="E117" s="237">
        <f>'28'!F117</f>
        <v>99102</v>
      </c>
      <c r="F117" s="237">
        <v>91440</v>
      </c>
      <c r="G117" s="112">
        <f t="shared" si="10"/>
        <v>-7662</v>
      </c>
      <c r="H117" s="99">
        <f>G117+'28'!H117</f>
        <v>-549.39900000000489</v>
      </c>
      <c r="I117" s="165"/>
      <c r="J117" s="328">
        <f>H117/DAY(B2)</f>
        <v>-18.944793103448443</v>
      </c>
      <c r="Q117" s="883" t="s">
        <v>312</v>
      </c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237">
        <f>'28'!F118</f>
        <v>197018</v>
      </c>
      <c r="F118" s="237">
        <v>176221.75</v>
      </c>
      <c r="G118" s="112">
        <f t="shared" si="10"/>
        <v>-20796.25</v>
      </c>
      <c r="H118" s="99">
        <f>G118+'28'!H118</f>
        <v>-1310.7799999999988</v>
      </c>
      <c r="I118" s="165"/>
      <c r="J118" s="328">
        <f>H118/DAY(B2)</f>
        <v>-45.199310344827545</v>
      </c>
      <c r="Q118" s="883" t="s">
        <v>311</v>
      </c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237">
        <f>'28'!F119</f>
        <v>46960.99</v>
      </c>
      <c r="F119" s="237">
        <v>45116</v>
      </c>
      <c r="G119" s="112">
        <f t="shared" si="10"/>
        <v>-1844.989999999998</v>
      </c>
      <c r="H119" s="99">
        <f>G119+'28'!H119</f>
        <v>-77</v>
      </c>
      <c r="I119" s="165"/>
      <c r="J119" s="328">
        <f>H119/DAY(B2)</f>
        <v>-2.6551724137931036</v>
      </c>
    </row>
    <row r="120" spans="1:18" ht="25.5">
      <c r="A120" s="882" t="s">
        <v>99</v>
      </c>
      <c r="B120" s="882"/>
      <c r="C120" s="882"/>
      <c r="D120" s="151" t="s">
        <v>183</v>
      </c>
      <c r="E120" s="237">
        <f>'28'!F120</f>
        <v>131368</v>
      </c>
      <c r="F120" s="237">
        <v>119713.84</v>
      </c>
      <c r="G120" s="112">
        <f t="shared" si="10"/>
        <v>-11654.160000000003</v>
      </c>
      <c r="H120" s="99">
        <f>G120+'28'!H120</f>
        <v>-730.16000000000349</v>
      </c>
      <c r="I120" s="165"/>
      <c r="J120" s="328">
        <f>H120/DAY(B2)</f>
        <v>-25.177931034482878</v>
      </c>
    </row>
    <row r="121" spans="1:18" ht="25.5">
      <c r="A121" s="882" t="s">
        <v>100</v>
      </c>
      <c r="B121" s="882"/>
      <c r="C121" s="882"/>
      <c r="D121" s="151" t="s">
        <v>183</v>
      </c>
      <c r="E121" s="237">
        <f>'28'!F121</f>
        <v>146776</v>
      </c>
      <c r="F121" s="237">
        <v>133666.68</v>
      </c>
      <c r="G121" s="112">
        <f t="shared" si="10"/>
        <v>-13109.320000000007</v>
      </c>
      <c r="H121" s="99">
        <f>G121+'28'!H121</f>
        <v>-896.32000000000698</v>
      </c>
      <c r="I121" s="165"/>
      <c r="J121" s="328">
        <f>H121/DAY(B2)</f>
        <v>-30.907586206896791</v>
      </c>
    </row>
    <row r="122" spans="1:18" ht="25.5">
      <c r="A122" s="882" t="s">
        <v>101</v>
      </c>
      <c r="B122" s="882"/>
      <c r="C122" s="882"/>
      <c r="D122" s="151" t="s">
        <v>183</v>
      </c>
      <c r="E122" s="237">
        <f>'28'!F122</f>
        <v>99355</v>
      </c>
      <c r="F122" s="237">
        <v>90242</v>
      </c>
      <c r="G122" s="112">
        <f t="shared" si="10"/>
        <v>-9113</v>
      </c>
      <c r="H122" s="99">
        <f>G122+'28'!H122</f>
        <v>-635</v>
      </c>
      <c r="I122" s="165"/>
      <c r="J122" s="328">
        <f>H122/DAY(B2)</f>
        <v>-21.896551724137932</v>
      </c>
    </row>
    <row r="123" spans="1:18" ht="25.5">
      <c r="A123" s="882" t="s">
        <v>102</v>
      </c>
      <c r="B123" s="882"/>
      <c r="C123" s="882"/>
      <c r="D123" s="151" t="s">
        <v>183</v>
      </c>
      <c r="E123" s="237">
        <f>'28'!F123</f>
        <v>96215.54</v>
      </c>
      <c r="F123" s="237">
        <v>86957.187000000005</v>
      </c>
      <c r="G123" s="112">
        <f t="shared" si="10"/>
        <v>-9258.3529999999882</v>
      </c>
      <c r="H123" s="99">
        <f>G123+'28'!H123</f>
        <v>-621.81299999999464</v>
      </c>
      <c r="I123" s="165"/>
      <c r="J123" s="328">
        <f>H123/DAY(B2)</f>
        <v>-21.441827586206713</v>
      </c>
    </row>
    <row r="124" spans="1:18" ht="25.5">
      <c r="A124" s="887"/>
      <c r="B124" s="888"/>
      <c r="C124" s="88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788" t="s">
        <v>196</v>
      </c>
      <c r="B125" s="789"/>
      <c r="C125" s="245"/>
      <c r="D125" s="307"/>
      <c r="E125" s="308"/>
      <c r="F125" s="308"/>
      <c r="G125" s="309">
        <f>SUM(G112:G124)</f>
        <v>-103549.72299999998</v>
      </c>
      <c r="H125" s="156"/>
      <c r="I125" s="327">
        <f>G125-(G39+G53)</f>
        <v>-18252.33299999997</v>
      </c>
      <c r="J125" s="327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83" t="s">
        <v>318</v>
      </c>
      <c r="B128" s="884"/>
      <c r="C128" s="885"/>
      <c r="D128" s="151" t="s">
        <v>183</v>
      </c>
      <c r="E128" s="95">
        <f>'28'!F128</f>
        <v>220479</v>
      </c>
      <c r="F128" s="165">
        <v>206318.97</v>
      </c>
      <c r="G128" s="112">
        <f t="shared" ref="G128:G134" si="11">F128-E128</f>
        <v>-14160.029999999999</v>
      </c>
      <c r="H128" s="99">
        <f>G128+'28'!H128</f>
        <v>-970.02999999999884</v>
      </c>
      <c r="I128" s="165"/>
      <c r="J128" s="328">
        <f>H128/DAY(B2)</f>
        <v>-33.449310344827545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3871.44</v>
      </c>
      <c r="F129" s="165">
        <v>488.05900000000003</v>
      </c>
      <c r="G129" s="112">
        <f t="shared" si="11"/>
        <v>-3383.3809999999999</v>
      </c>
      <c r="H129" s="99">
        <f>G129+'28'!H129</f>
        <v>-245.9409999999998</v>
      </c>
      <c r="I129" s="165"/>
      <c r="J129" s="328">
        <f>H129/DAY(B2)</f>
        <v>-8.480724137931027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305838.31</v>
      </c>
      <c r="F130" s="464">
        <v>285954.23</v>
      </c>
      <c r="G130" s="112">
        <f t="shared" si="11"/>
        <v>-19884.080000000016</v>
      </c>
      <c r="H130" s="99">
        <f>G130+'28'!H130</f>
        <v>-2767.7700000000186</v>
      </c>
      <c r="I130" s="165"/>
      <c r="J130" s="328">
        <f>H130/DAY(B2)</f>
        <v>-95.440344827586856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95">
        <f>'28'!F131</f>
        <v>90205</v>
      </c>
      <c r="F131" s="165">
        <v>84356</v>
      </c>
      <c r="G131" s="112">
        <f t="shared" si="11"/>
        <v>-5849</v>
      </c>
      <c r="H131" s="99">
        <f>G131+'28'!H131</f>
        <v>-347.83000000000175</v>
      </c>
      <c r="I131" s="165"/>
      <c r="J131" s="328">
        <f>H131/DAY(B2)</f>
        <v>-11.994137931034542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95">
        <f>'28'!F132</f>
        <v>76200.600000000006</v>
      </c>
      <c r="F132" s="165">
        <v>66842.535000000003</v>
      </c>
      <c r="G132" s="112">
        <f t="shared" si="11"/>
        <v>-9358.0650000000023</v>
      </c>
      <c r="H132" s="99">
        <f>G132+'28'!H132</f>
        <v>-604.46499999999651</v>
      </c>
      <c r="I132" s="165"/>
      <c r="J132" s="328">
        <f>H132/DAY(B2)</f>
        <v>-20.843620689655051</v>
      </c>
    </row>
    <row r="133" spans="1:15" ht="25.5">
      <c r="A133" s="883" t="s">
        <v>358</v>
      </c>
      <c r="B133" s="884"/>
      <c r="C133" s="885"/>
      <c r="D133" s="151" t="s">
        <v>183</v>
      </c>
      <c r="E133" s="95">
        <f>'28'!F133</f>
        <v>969218</v>
      </c>
      <c r="F133" s="165">
        <v>948838</v>
      </c>
      <c r="G133" s="112">
        <f t="shared" si="11"/>
        <v>-20380</v>
      </c>
      <c r="H133" s="99">
        <f>G133+'28'!H133</f>
        <v>-6135</v>
      </c>
      <c r="I133" s="165"/>
      <c r="J133" s="328">
        <f>H133/DAY(B2)</f>
        <v>-211.55172413793105</v>
      </c>
    </row>
    <row r="134" spans="1:15" ht="25.5">
      <c r="A134" s="883" t="s">
        <v>340</v>
      </c>
      <c r="B134" s="884"/>
      <c r="C134" s="885"/>
      <c r="D134" s="151" t="s">
        <v>183</v>
      </c>
      <c r="E134" s="95">
        <f>'28'!F134</f>
        <v>100358.31</v>
      </c>
      <c r="F134" s="165">
        <v>92715.846999999994</v>
      </c>
      <c r="G134" s="112">
        <f t="shared" si="11"/>
        <v>-7642.4630000000034</v>
      </c>
      <c r="H134" s="99">
        <f>G134+'28'!H134</f>
        <v>2034.156999999992</v>
      </c>
      <c r="I134" s="165"/>
      <c r="J134" s="328">
        <f>H134/DAY(B2)</f>
        <v>70.143344827585935</v>
      </c>
    </row>
    <row r="135" spans="1:15" ht="25.5">
      <c r="A135" s="788" t="s">
        <v>196</v>
      </c>
      <c r="B135" s="789"/>
      <c r="C135" s="331"/>
      <c r="D135" s="151"/>
      <c r="E135" s="95"/>
      <c r="F135" s="165" t="s">
        <v>365</v>
      </c>
      <c r="G135" s="112">
        <f>SUM(G127:G134)</f>
        <v>-80657.019000000015</v>
      </c>
      <c r="H135" s="99">
        <f>G135+'23'!H135</f>
        <v>-54422.23900000006</v>
      </c>
      <c r="I135" s="327">
        <f>G135-(G35+G49)</f>
        <v>15965.71099999985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2" t="s">
        <v>185</v>
      </c>
      <c r="B138" s="882"/>
      <c r="C138" s="882"/>
      <c r="D138" s="151" t="s">
        <v>183</v>
      </c>
      <c r="E138" s="95">
        <f>'28'!F138</f>
        <v>916589</v>
      </c>
      <c r="F138" s="147">
        <v>912677</v>
      </c>
      <c r="G138" s="112">
        <f t="shared" ref="G138:G151" si="12">F138-E138</f>
        <v>-3912</v>
      </c>
      <c r="H138" s="99">
        <f>G138+'28'!H138</f>
        <v>3276</v>
      </c>
      <c r="I138" s="118"/>
      <c r="J138" s="328">
        <f>H138/DAY(B2)</f>
        <v>112.96551724137932</v>
      </c>
    </row>
    <row r="139" spans="1:15" ht="25.5">
      <c r="A139" s="882" t="s">
        <v>186</v>
      </c>
      <c r="B139" s="882"/>
      <c r="C139" s="882"/>
      <c r="D139" s="151" t="s">
        <v>183</v>
      </c>
      <c r="E139" s="95">
        <f>'28'!F139</f>
        <v>941470</v>
      </c>
      <c r="F139" s="148">
        <v>936931</v>
      </c>
      <c r="G139" s="112">
        <f t="shared" si="12"/>
        <v>-4539</v>
      </c>
      <c r="H139" s="99">
        <f>G139+'28'!H139</f>
        <v>-327</v>
      </c>
      <c r="I139" s="118"/>
      <c r="J139" s="328">
        <f>H139/DAY(B2)</f>
        <v>-11.275862068965518</v>
      </c>
    </row>
    <row r="140" spans="1:15" ht="25.5">
      <c r="A140" s="882" t="s">
        <v>187</v>
      </c>
      <c r="B140" s="882"/>
      <c r="C140" s="882"/>
      <c r="D140" s="151" t="s">
        <v>183</v>
      </c>
      <c r="E140" s="95">
        <f>'28'!F140</f>
        <v>5688</v>
      </c>
      <c r="F140" s="149">
        <v>4000.55</v>
      </c>
      <c r="G140" s="112">
        <f t="shared" si="12"/>
        <v>-1687.4499999999998</v>
      </c>
      <c r="H140" s="99">
        <f>G140+'28'!H140</f>
        <v>-763.44999999999982</v>
      </c>
      <c r="I140" s="118"/>
      <c r="J140" s="328">
        <f>H140/DAY(B2)</f>
        <v>-26.32586206896551</v>
      </c>
    </row>
    <row r="141" spans="1:15" ht="25.5">
      <c r="A141" s="865" t="s">
        <v>188</v>
      </c>
      <c r="B141" s="865"/>
      <c r="C141" s="865"/>
      <c r="D141" s="151" t="s">
        <v>183</v>
      </c>
      <c r="E141" s="95">
        <f>'28'!F141</f>
        <v>138518</v>
      </c>
      <c r="F141" s="149">
        <v>130858.82</v>
      </c>
      <c r="G141" s="112">
        <f t="shared" si="12"/>
        <v>-7659.179999999993</v>
      </c>
      <c r="H141" s="99">
        <f>G141+'28'!H141</f>
        <v>-461.17999999999302</v>
      </c>
      <c r="I141" s="118"/>
      <c r="J141" s="328">
        <f>H141/DAY(B2)</f>
        <v>-15.902758620689415</v>
      </c>
    </row>
    <row r="142" spans="1:15" ht="25.5">
      <c r="A142" s="865" t="s">
        <v>189</v>
      </c>
      <c r="B142" s="865"/>
      <c r="C142" s="865"/>
      <c r="D142" s="151" t="s">
        <v>183</v>
      </c>
      <c r="E142" s="95">
        <f>'28'!F142</f>
        <v>55754</v>
      </c>
      <c r="F142" s="148">
        <v>53013</v>
      </c>
      <c r="G142" s="112">
        <f t="shared" si="12"/>
        <v>-2741</v>
      </c>
      <c r="H142" s="99">
        <f>G142+'28'!H142</f>
        <v>-178</v>
      </c>
      <c r="I142" s="140"/>
      <c r="J142" s="328">
        <f>H142/DAY(B2)</f>
        <v>-6.1379310344827589</v>
      </c>
    </row>
    <row r="143" spans="1:15" ht="25.5">
      <c r="A143" s="882" t="s">
        <v>91</v>
      </c>
      <c r="B143" s="882"/>
      <c r="C143" s="882"/>
      <c r="D143" s="151" t="s">
        <v>183</v>
      </c>
      <c r="E143" s="95">
        <f>'28'!F143</f>
        <v>15214</v>
      </c>
      <c r="F143" s="149">
        <v>14245.94</v>
      </c>
      <c r="G143" s="112">
        <f t="shared" si="12"/>
        <v>-968.05999999999949</v>
      </c>
      <c r="H143" s="99">
        <f>G143+'28'!H143</f>
        <v>-66.059999999999491</v>
      </c>
      <c r="I143" s="140"/>
      <c r="J143" s="328">
        <f>H143/DAY(B2)</f>
        <v>-2.2779310344827413</v>
      </c>
    </row>
    <row r="144" spans="1:15" ht="25.5">
      <c r="A144" s="865" t="s">
        <v>90</v>
      </c>
      <c r="B144" s="865"/>
      <c r="C144" s="865"/>
      <c r="D144" s="151" t="s">
        <v>183</v>
      </c>
      <c r="E144" s="95">
        <f>'28'!F144</f>
        <v>970312</v>
      </c>
      <c r="F144" s="149">
        <v>962671</v>
      </c>
      <c r="G144" s="112">
        <f t="shared" si="12"/>
        <v>-7641</v>
      </c>
      <c r="H144" s="99">
        <f>G144+'28'!H144</f>
        <v>-555</v>
      </c>
      <c r="I144" s="140"/>
      <c r="J144" s="328">
        <f>H144/DAY(B2)</f>
        <v>-19.137931034482758</v>
      </c>
    </row>
    <row r="145" spans="1:10" ht="25.5">
      <c r="A145" s="882" t="s">
        <v>190</v>
      </c>
      <c r="B145" s="882"/>
      <c r="C145" s="882"/>
      <c r="D145" s="152" t="s">
        <v>183</v>
      </c>
      <c r="E145" s="95">
        <f>'28'!F145</f>
        <v>756683</v>
      </c>
      <c r="F145" s="149">
        <v>750333</v>
      </c>
      <c r="G145" s="112">
        <f t="shared" si="12"/>
        <v>-6350</v>
      </c>
      <c r="H145" s="99">
        <f>G145+'28'!H145</f>
        <v>-400</v>
      </c>
      <c r="I145" s="140"/>
      <c r="J145" s="328">
        <f>H145/DAY(B2)</f>
        <v>-13.793103448275861</v>
      </c>
    </row>
    <row r="146" spans="1:10" ht="25.5">
      <c r="A146" s="916" t="s">
        <v>191</v>
      </c>
      <c r="B146" s="902"/>
      <c r="C146" s="903"/>
      <c r="D146" s="152" t="s">
        <v>183</v>
      </c>
      <c r="E146" s="95">
        <f>'28'!F146</f>
        <v>790041</v>
      </c>
      <c r="F146" s="148">
        <v>788924</v>
      </c>
      <c r="G146" s="112">
        <f t="shared" si="12"/>
        <v>-1117</v>
      </c>
      <c r="H146" s="99">
        <f>G146+'28'!H146</f>
        <v>-101</v>
      </c>
      <c r="I146" s="140"/>
      <c r="J146" s="328">
        <f>H146/DAY(B2)</f>
        <v>-3.4827586206896552</v>
      </c>
    </row>
    <row r="147" spans="1:10" ht="25.5">
      <c r="A147" s="865" t="s">
        <v>192</v>
      </c>
      <c r="B147" s="865"/>
      <c r="C147" s="865"/>
      <c r="D147" s="152" t="s">
        <v>183</v>
      </c>
      <c r="E147" s="95">
        <f>'28'!F147</f>
        <v>782474.8</v>
      </c>
      <c r="F147" s="148">
        <v>770893.04</v>
      </c>
      <c r="G147" s="112">
        <f t="shared" si="12"/>
        <v>-11581.760000000009</v>
      </c>
      <c r="H147" s="99">
        <f>G147+'28'!H147</f>
        <v>-763.8399999999674</v>
      </c>
      <c r="I147" s="140"/>
      <c r="J147" s="328">
        <f>H147/DAY(B2)</f>
        <v>-26.339310344826462</v>
      </c>
    </row>
    <row r="148" spans="1:10" ht="25.5">
      <c r="A148" s="866" t="s">
        <v>193</v>
      </c>
      <c r="B148" s="867"/>
      <c r="C148" s="868"/>
      <c r="D148" s="123" t="s">
        <v>130</v>
      </c>
      <c r="E148" s="95">
        <f>'28'!F148</f>
        <v>817049.04</v>
      </c>
      <c r="F148" s="150">
        <v>806079.44</v>
      </c>
      <c r="G148" s="112">
        <f t="shared" si="12"/>
        <v>-10969.600000000093</v>
      </c>
      <c r="H148" s="99">
        <f>G148+'28'!H148</f>
        <v>-740.80000000004657</v>
      </c>
      <c r="I148" s="124"/>
      <c r="J148" s="328">
        <f>H148/DAY(B2)</f>
        <v>-25.544827586208502</v>
      </c>
    </row>
    <row r="149" spans="1:10" ht="25.5">
      <c r="A149" s="866" t="s">
        <v>336</v>
      </c>
      <c r="B149" s="867"/>
      <c r="C149" s="868"/>
      <c r="D149" s="227" t="s">
        <v>130</v>
      </c>
      <c r="E149" s="95">
        <f>'28'!F149</f>
        <v>230661.55</v>
      </c>
      <c r="F149" s="146">
        <v>215690</v>
      </c>
      <c r="G149" s="112">
        <f t="shared" si="12"/>
        <v>-14971.549999999988</v>
      </c>
      <c r="H149" s="99">
        <f>G149+'28'!H149</f>
        <v>-1206</v>
      </c>
      <c r="I149" s="119"/>
      <c r="J149" s="328">
        <f>H149/DAY(B2)</f>
        <v>-41.586206896551722</v>
      </c>
    </row>
    <row r="150" spans="1:10" ht="25.5">
      <c r="A150" s="866" t="s">
        <v>337</v>
      </c>
      <c r="B150" s="867"/>
      <c r="C150" s="868"/>
      <c r="D150" s="117" t="s">
        <v>130</v>
      </c>
      <c r="E150" s="95">
        <f>'28'!F150</f>
        <v>99047</v>
      </c>
      <c r="F150" s="233">
        <v>91953</v>
      </c>
      <c r="G150" s="112">
        <f t="shared" si="12"/>
        <v>-7094</v>
      </c>
      <c r="H150" s="99">
        <f>G150+'28'!H150</f>
        <v>-157.80000000000291</v>
      </c>
      <c r="I150" s="119"/>
      <c r="J150" s="328">
        <f>H150/DAY(B2)</f>
        <v>-5.4413793103449279</v>
      </c>
    </row>
    <row r="151" spans="1:10" ht="25.5">
      <c r="A151" s="866" t="s">
        <v>338</v>
      </c>
      <c r="B151" s="867"/>
      <c r="C151" s="868"/>
      <c r="D151" s="117" t="s">
        <v>130</v>
      </c>
      <c r="E151" s="95">
        <f>'28'!F151</f>
        <v>185792</v>
      </c>
      <c r="F151" s="233">
        <v>175580</v>
      </c>
      <c r="G151" s="112">
        <f t="shared" si="12"/>
        <v>-10212</v>
      </c>
      <c r="H151" s="99">
        <f>G151+'28'!H151</f>
        <v>-595</v>
      </c>
      <c r="I151" s="119"/>
      <c r="J151" s="328">
        <f>H151/DAY(B2)</f>
        <v>-20.517241379310345</v>
      </c>
    </row>
    <row r="152" spans="1:10" ht="25.5">
      <c r="A152" s="866" t="s">
        <v>339</v>
      </c>
      <c r="B152" s="867"/>
      <c r="C152" s="868"/>
      <c r="D152" s="117" t="s">
        <v>130</v>
      </c>
      <c r="E152" s="95">
        <f>'28'!F152</f>
        <v>50272</v>
      </c>
      <c r="F152" s="233">
        <v>46367.77</v>
      </c>
      <c r="G152" s="112">
        <f>F152-E152</f>
        <v>-3904.2300000000032</v>
      </c>
      <c r="H152" s="99">
        <f>G152+'28'!H152</f>
        <v>-264.2300000000032</v>
      </c>
      <c r="I152" s="119"/>
      <c r="J152" s="328">
        <f>H152/DAY(B2)</f>
        <v>-9.1113793103449385</v>
      </c>
    </row>
    <row r="153" spans="1:10" ht="25.5">
      <c r="A153" s="788" t="s">
        <v>196</v>
      </c>
      <c r="B153" s="789"/>
      <c r="C153" s="365"/>
      <c r="D153" s="358"/>
      <c r="E153" s="360"/>
      <c r="F153" s="361"/>
      <c r="G153" s="362">
        <f>SUM(G138:G152)</f>
        <v>-95347.830000000104</v>
      </c>
      <c r="H153" s="363"/>
      <c r="I153" s="119">
        <f>G153-(G38+G52)</f>
        <v>-15758.430000000139</v>
      </c>
      <c r="J153" s="366"/>
    </row>
    <row r="154" spans="1:10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27.75">
      <c r="A155" s="865" t="s">
        <v>345</v>
      </c>
      <c r="B155" s="865"/>
      <c r="C155" s="865"/>
      <c r="D155" s="117" t="s">
        <v>130</v>
      </c>
      <c r="E155" s="95">
        <f>'28'!F155</f>
        <v>271724</v>
      </c>
      <c r="F155" s="388">
        <v>255261.55</v>
      </c>
      <c r="G155" s="112">
        <f t="shared" ref="G155:G158" si="13">F155-E155</f>
        <v>-16462.450000000012</v>
      </c>
      <c r="H155" s="99">
        <f>G155+'28'!H155</f>
        <v>-1090.4500000000116</v>
      </c>
      <c r="I155" s="364"/>
      <c r="J155" s="328">
        <f>H155/DAY(B2)</f>
        <v>-37.601724137931434</v>
      </c>
    </row>
    <row r="156" spans="1:10" ht="25.5">
      <c r="A156" s="865" t="s">
        <v>347</v>
      </c>
      <c r="B156" s="865"/>
      <c r="C156" s="865"/>
      <c r="D156" s="117" t="s">
        <v>130</v>
      </c>
      <c r="E156" s="95">
        <f>'28'!F156</f>
        <v>35228</v>
      </c>
      <c r="F156" s="155">
        <v>32362.187000000002</v>
      </c>
      <c r="G156" s="112">
        <f t="shared" si="13"/>
        <v>-2865.8129999999983</v>
      </c>
      <c r="H156" s="99">
        <f>G156+'28'!H156</f>
        <v>-196.81299999999828</v>
      </c>
      <c r="I156" s="165"/>
      <c r="J156" s="328">
        <f>H156/DAY(B2)</f>
        <v>-6.7866551724137336</v>
      </c>
    </row>
    <row r="157" spans="1:10" ht="25.5">
      <c r="A157" s="866" t="s">
        <v>359</v>
      </c>
      <c r="B157" s="867"/>
      <c r="C157" s="868"/>
      <c r="D157" s="117" t="s">
        <v>130</v>
      </c>
      <c r="E157" s="95">
        <f>'28'!F157</f>
        <v>37559</v>
      </c>
      <c r="F157" s="155">
        <v>37559</v>
      </c>
      <c r="G157" s="112">
        <f t="shared" si="13"/>
        <v>0</v>
      </c>
      <c r="H157" s="99">
        <f>G157+'28'!H157</f>
        <v>0</v>
      </c>
      <c r="I157" s="165"/>
      <c r="J157" s="328">
        <f>H157/DAY(B2)</f>
        <v>0</v>
      </c>
    </row>
    <row r="158" spans="1:10" ht="25.5">
      <c r="A158" s="866" t="s">
        <v>360</v>
      </c>
      <c r="B158" s="867"/>
      <c r="C158" s="868"/>
      <c r="D158" s="117" t="s">
        <v>130</v>
      </c>
      <c r="E158" s="95">
        <f>'28'!F158</f>
        <v>1862</v>
      </c>
      <c r="F158" s="155">
        <v>1782</v>
      </c>
      <c r="G158" s="112">
        <f t="shared" si="13"/>
        <v>-80</v>
      </c>
      <c r="H158" s="99">
        <f>G158+'28'!H158</f>
        <v>-80</v>
      </c>
      <c r="I158" s="165"/>
      <c r="J158" s="328">
        <f>H158/DAY(B2)</f>
        <v>-2.7586206896551726</v>
      </c>
    </row>
    <row r="159" spans="1:10" ht="25.5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516954.04</v>
      </c>
      <c r="F161" s="235">
        <v>512165.8</v>
      </c>
      <c r="G161" s="238">
        <f t="shared" ref="G161:G165" si="14">F161-E161</f>
        <v>-4788.2399999999907</v>
      </c>
      <c r="H161" s="99">
        <f>G161+'28'!H161</f>
        <v>-279.20000000001164</v>
      </c>
      <c r="I161" s="236"/>
      <c r="J161" s="239">
        <f>H161/DAY(B2)</f>
        <v>-9.6275862068969538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2896</v>
      </c>
      <c r="F162" s="235">
        <v>1714.1</v>
      </c>
      <c r="G162" s="238">
        <f t="shared" si="14"/>
        <v>-1181.9000000000001</v>
      </c>
      <c r="H162" s="99">
        <f>G162+'28'!H162</f>
        <v>-45.900000000000091</v>
      </c>
      <c r="I162" s="236"/>
      <c r="J162" s="239">
        <f>H162/DAY(B2)</f>
        <v>-1.5827586206896582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0</v>
      </c>
      <c r="F163" s="235">
        <v>0</v>
      </c>
      <c r="G163" s="238">
        <f t="shared" si="14"/>
        <v>0</v>
      </c>
      <c r="H163" s="99">
        <f>G163+'28'!H163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7405</v>
      </c>
      <c r="F164" s="235">
        <v>7333</v>
      </c>
      <c r="G164" s="238">
        <f t="shared" si="14"/>
        <v>-72</v>
      </c>
      <c r="H164" s="99">
        <f>G164+'28'!H164</f>
        <v>-4</v>
      </c>
      <c r="I164" s="236"/>
      <c r="J164" s="239">
        <f>H164/DAY(B2)</f>
        <v>-0.13793103448275862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33166.534399999997</v>
      </c>
      <c r="F165" s="235">
        <v>32958</v>
      </c>
      <c r="G165" s="238">
        <f t="shared" si="14"/>
        <v>-208.53439999999682</v>
      </c>
      <c r="H165" s="99">
        <f>G165+'28'!H165</f>
        <v>-16.519999999996799</v>
      </c>
      <c r="I165" s="236"/>
      <c r="J165" s="239">
        <f>H165/DAY(B2)</f>
        <v>-0.56965517241368269</v>
      </c>
    </row>
    <row r="166" spans="1:10" ht="26.25">
      <c r="A166" s="872"/>
      <c r="B166" s="87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95">
        <f>'28'!F173</f>
        <v>8614</v>
      </c>
      <c r="F173" s="155">
        <v>8612</v>
      </c>
      <c r="G173" s="155">
        <f>F173-E173</f>
        <v>-2</v>
      </c>
      <c r="H173" s="99">
        <f>G173+'28'!H173</f>
        <v>30</v>
      </c>
      <c r="I173" s="155"/>
      <c r="J173" s="178">
        <f>H173/DAY(B2)</f>
        <v>1.0344827586206897</v>
      </c>
    </row>
    <row r="174" spans="1:10" ht="25.5">
      <c r="A174" s="790" t="s">
        <v>75</v>
      </c>
      <c r="B174" s="791"/>
      <c r="C174" s="333"/>
      <c r="D174" s="228" t="s">
        <v>142</v>
      </c>
      <c r="E174" s="95">
        <f>'28'!F174</f>
        <v>43701</v>
      </c>
      <c r="F174" s="157">
        <v>43390</v>
      </c>
      <c r="G174" s="155">
        <f t="shared" ref="G174:G175" si="15">F174-E174</f>
        <v>-311</v>
      </c>
      <c r="H174" s="99">
        <f>G174+'28'!H174</f>
        <v>-24</v>
      </c>
      <c r="I174" s="155"/>
      <c r="J174" s="178">
        <f>H174/DAY(B2)</f>
        <v>-0.82758620689655171</v>
      </c>
    </row>
    <row r="175" spans="1:10" ht="25.5">
      <c r="A175" s="790" t="s">
        <v>76</v>
      </c>
      <c r="B175" s="803"/>
      <c r="C175" s="791"/>
      <c r="D175" s="228" t="s">
        <v>142</v>
      </c>
      <c r="E175" s="95">
        <f>'28'!F175</f>
        <v>26672</v>
      </c>
      <c r="F175" s="155">
        <v>26259</v>
      </c>
      <c r="G175" s="155">
        <f t="shared" si="15"/>
        <v>-413</v>
      </c>
      <c r="H175" s="99">
        <f>G175+'28'!H175</f>
        <v>-28</v>
      </c>
      <c r="I175" s="155"/>
      <c r="J175" s="178">
        <f>H175/DAY(B2)</f>
        <v>-0.96551724137931039</v>
      </c>
    </row>
    <row r="176" spans="1:10" ht="25.5">
      <c r="A176" s="788" t="s">
        <v>196</v>
      </c>
      <c r="B176" s="789"/>
      <c r="C176" s="400"/>
      <c r="D176" s="228"/>
      <c r="E176" s="95"/>
      <c r="F176" s="155"/>
      <c r="G176" s="155">
        <f>SUM(G173:G175)</f>
        <v>-726</v>
      </c>
      <c r="H176" s="99">
        <f>G176+'28'!H176</f>
        <v>-22</v>
      </c>
      <c r="I176" s="155"/>
      <c r="J176" s="178">
        <f>H176/DAY(B2)</f>
        <v>-0.75862068965517238</v>
      </c>
    </row>
    <row r="177" spans="1:10" ht="25.5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95">
        <f>'28'!F178</f>
        <v>113005</v>
      </c>
      <c r="F178" s="155">
        <v>110237</v>
      </c>
      <c r="G178" s="155">
        <f>F178-E178</f>
        <v>-2768</v>
      </c>
      <c r="H178" s="99">
        <f>G178+'28'!H178</f>
        <v>-154</v>
      </c>
      <c r="I178" s="155"/>
      <c r="J178" s="178">
        <f>H178/DAY(B2)</f>
        <v>-5.3103448275862073</v>
      </c>
    </row>
    <row r="179" spans="1:10" ht="25.5">
      <c r="A179" s="790" t="s">
        <v>211</v>
      </c>
      <c r="B179" s="791"/>
      <c r="C179" s="333"/>
      <c r="D179" s="228" t="s">
        <v>142</v>
      </c>
      <c r="E179" s="95">
        <f>'28'!F179</f>
        <v>37568</v>
      </c>
      <c r="F179" s="155">
        <v>37501</v>
      </c>
      <c r="G179" s="155">
        <f t="shared" ref="G179:G180" si="16">F179-E179</f>
        <v>-67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95">
        <f>'28'!F180</f>
        <v>7829</v>
      </c>
      <c r="F180" s="155">
        <v>7692</v>
      </c>
      <c r="G180" s="155">
        <f t="shared" si="16"/>
        <v>-137</v>
      </c>
      <c r="H180" s="99">
        <f>G180+'28'!H180</f>
        <v>-9</v>
      </c>
      <c r="I180" s="155"/>
      <c r="J180" s="178">
        <f>H180/DAY(B2)</f>
        <v>-0.31034482758620691</v>
      </c>
    </row>
    <row r="181" spans="1:10" ht="25.5">
      <c r="A181" s="878" t="s">
        <v>108</v>
      </c>
      <c r="B181" s="879"/>
      <c r="C181" s="400"/>
      <c r="D181" s="228"/>
      <c r="E181" s="95"/>
      <c r="F181" s="155"/>
      <c r="G181" s="155">
        <f>SUM(G178:G180)</f>
        <v>-2972</v>
      </c>
      <c r="H181" s="99">
        <f>G181+'28'!H181</f>
        <v>-163</v>
      </c>
      <c r="I181" s="155"/>
      <c r="J181" s="178">
        <f>H181/DAY(B2)</f>
        <v>-5.6206896551724137</v>
      </c>
    </row>
    <row r="182" spans="1:10" ht="25.5">
      <c r="A182" s="790" t="s">
        <v>213</v>
      </c>
      <c r="B182" s="791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95">
        <f>'28'!F183</f>
        <v>18917</v>
      </c>
      <c r="F183" s="157">
        <v>18662</v>
      </c>
      <c r="G183" s="157">
        <f>F183-E183</f>
        <v>-255</v>
      </c>
      <c r="H183" s="99">
        <f>G183+'28'!H183</f>
        <v>-30</v>
      </c>
      <c r="I183" s="155"/>
      <c r="J183" s="178">
        <f>H183/DAY(B2)</f>
        <v>-1.0344827586206897</v>
      </c>
    </row>
    <row r="184" spans="1:10" ht="25.5">
      <c r="A184" s="790" t="s">
        <v>215</v>
      </c>
      <c r="B184" s="791"/>
      <c r="C184" s="334"/>
      <c r="D184" s="228" t="s">
        <v>142</v>
      </c>
      <c r="E184" s="95">
        <f>'28'!F184</f>
        <v>13445</v>
      </c>
      <c r="F184" s="157">
        <v>13230</v>
      </c>
      <c r="G184" s="157">
        <f t="shared" ref="G184:G185" si="17">F184-E184</f>
        <v>-215</v>
      </c>
      <c r="H184" s="99">
        <f>G184+'28'!H184</f>
        <v>-16</v>
      </c>
      <c r="I184" s="155"/>
      <c r="J184" s="178">
        <f>H184/DAY(B2)</f>
        <v>-0.55172413793103448</v>
      </c>
    </row>
    <row r="185" spans="1:10" ht="25.5">
      <c r="A185" s="790" t="s">
        <v>216</v>
      </c>
      <c r="B185" s="791"/>
      <c r="C185" s="334"/>
      <c r="D185" s="228" t="s">
        <v>142</v>
      </c>
      <c r="E185" s="95">
        <f>'28'!F185</f>
        <v>2532</v>
      </c>
      <c r="F185" s="157">
        <v>2532</v>
      </c>
      <c r="G185" s="157">
        <f t="shared" si="17"/>
        <v>0</v>
      </c>
      <c r="H185" s="99">
        <f>G185+'28'!H185</f>
        <v>2532</v>
      </c>
      <c r="I185" s="155"/>
      <c r="J185" s="178">
        <f>H185/DAY(B2)</f>
        <v>87.310344827586206</v>
      </c>
    </row>
    <row r="186" spans="1:10" ht="25.5">
      <c r="A186" s="788" t="s">
        <v>196</v>
      </c>
      <c r="B186" s="789"/>
      <c r="C186" s="399"/>
      <c r="D186" s="229"/>
      <c r="E186" s="95"/>
      <c r="F186" s="157"/>
      <c r="G186" s="157">
        <f>SUM(G183:G185)</f>
        <v>-470</v>
      </c>
      <c r="H186" s="99">
        <f>G186+'28'!H186</f>
        <v>2486</v>
      </c>
      <c r="I186" s="157"/>
      <c r="J186" s="178">
        <f>H186/DAY(B2)</f>
        <v>85.724137931034477</v>
      </c>
    </row>
    <row r="187" spans="1:10" ht="25.5">
      <c r="A187" s="869" t="s">
        <v>217</v>
      </c>
      <c r="B187" s="870"/>
      <c r="C187" s="333"/>
      <c r="D187" s="230" t="s">
        <v>142</v>
      </c>
      <c r="E187" s="95">
        <f>'28'!F187</f>
        <v>0</v>
      </c>
      <c r="F187" s="159"/>
      <c r="G187" s="465">
        <f>G62+G19</f>
        <v>-4336</v>
      </c>
      <c r="H187" s="99">
        <f>G187+'28'!H187</f>
        <v>-379</v>
      </c>
      <c r="I187" s="158"/>
      <c r="J187" s="179">
        <f>H187/DAY(B2)</f>
        <v>-13.068965517241379</v>
      </c>
    </row>
    <row r="188" spans="1:10" ht="25.5">
      <c r="A188" s="869" t="s">
        <v>218</v>
      </c>
      <c r="B188" s="870"/>
      <c r="C188" s="333"/>
      <c r="D188" s="230" t="s">
        <v>142</v>
      </c>
      <c r="E188" s="95">
        <f>'28'!F188</f>
        <v>0</v>
      </c>
      <c r="F188" s="159"/>
      <c r="G188" s="465">
        <f>G65+G66+G67+G69+G70</f>
        <v>-5545</v>
      </c>
      <c r="H188" s="99">
        <f>G188+'28'!H188</f>
        <v>-2828</v>
      </c>
      <c r="I188" s="158"/>
      <c r="J188" s="179">
        <f>H188/DAY(B2)</f>
        <v>-97.517241379310349</v>
      </c>
    </row>
    <row r="189" spans="1:10" ht="25.5">
      <c r="A189" s="869" t="s">
        <v>219</v>
      </c>
      <c r="B189" s="870"/>
      <c r="C189" s="333"/>
      <c r="D189" s="230" t="s">
        <v>142</v>
      </c>
      <c r="E189" s="95">
        <f>'28'!F189</f>
        <v>0</v>
      </c>
      <c r="F189" s="157"/>
      <c r="G189" s="416">
        <f>G181</f>
        <v>-2972</v>
      </c>
      <c r="H189" s="99">
        <f>G189+'28'!H189</f>
        <v>-2134</v>
      </c>
      <c r="I189" s="158"/>
      <c r="J189" s="179">
        <f>H189/DAY(B2)</f>
        <v>-73.58620689655173</v>
      </c>
    </row>
    <row r="190" spans="1:10" ht="25.5">
      <c r="A190" s="876"/>
      <c r="B190" s="877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52" zoomScale="55" zoomScaleNormal="55" zoomScaleSheetLayoutView="55" workbookViewId="0">
      <selection activeCell="A143" sqref="A143:C14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30.75" customHeight="1">
      <c r="A2" s="191" t="s">
        <v>372</v>
      </c>
      <c r="B2" s="262">
        <v>44956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577428.9</v>
      </c>
      <c r="F7" s="95">
        <v>599225</v>
      </c>
      <c r="G7" s="112">
        <f>F7-E7</f>
        <v>21796.099999999977</v>
      </c>
      <c r="H7" s="99">
        <f>G7+'29'!H7</f>
        <v>975858</v>
      </c>
      <c r="I7" s="113">
        <f>'1'!I7</f>
        <v>12000</v>
      </c>
      <c r="J7" s="175">
        <f>H7/DAY(B2)</f>
        <v>32528.6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769775.3</v>
      </c>
      <c r="F8" s="114">
        <v>792104</v>
      </c>
      <c r="G8" s="112">
        <f>F8-E8</f>
        <v>22328.699999999953</v>
      </c>
      <c r="H8" s="99">
        <f>G8+'29'!H8</f>
        <v>975994</v>
      </c>
      <c r="I8" s="116"/>
      <c r="J8" s="175">
        <f>H8/DAY(B2)</f>
        <v>32533.133333333335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4798621.5</v>
      </c>
      <c r="F9" s="468">
        <v>4810415.9000000004</v>
      </c>
      <c r="G9" s="357">
        <f>F9-E9</f>
        <v>11794.400000000373</v>
      </c>
      <c r="H9" s="99">
        <f>G9+'29'!H9</f>
        <v>-14683.099999999627</v>
      </c>
      <c r="I9" s="124">
        <f>I7-J7</f>
        <v>-20528.599999999999</v>
      </c>
      <c r="J9" s="175">
        <f>H9/DAY(B2)</f>
        <v>-489.43666666665428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4273007.5</v>
      </c>
      <c r="F10" s="353">
        <v>4282264</v>
      </c>
      <c r="G10" s="112">
        <f t="shared" ref="G10:G12" si="0">F10-E10</f>
        <v>9256.5</v>
      </c>
      <c r="H10" s="99">
        <f>G10+'29'!H10</f>
        <v>-8270</v>
      </c>
      <c r="I10" s="282"/>
      <c r="J10" s="175">
        <f>H10/DAY(B2)</f>
        <v>-275.66666666666669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38700</v>
      </c>
      <c r="F11" s="95">
        <v>38700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40550</v>
      </c>
      <c r="F12" s="117">
        <v>40550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21050.900000000373</v>
      </c>
      <c r="H13" s="99">
        <f>G13+'29'!H13</f>
        <v>-22953.099999999627</v>
      </c>
      <c r="I13" s="120">
        <f>G7-G13</f>
        <v>745.19999999960419</v>
      </c>
      <c r="J13" s="175">
        <f>H13/DAY(B2)</f>
        <v>-765.10333333332096</v>
      </c>
      <c r="K13" s="79"/>
      <c r="L13" s="66"/>
      <c r="N13" s="87"/>
      <c r="O13" s="71" t="s">
        <v>370</v>
      </c>
    </row>
    <row r="14" spans="1:15" ht="30.75" customHeight="1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8">
        <v>2286258.1</v>
      </c>
      <c r="F15" s="468">
        <v>2287362.753</v>
      </c>
      <c r="G15" s="112">
        <f>(F15-E15)</f>
        <v>1104.6529999999329</v>
      </c>
      <c r="H15" s="99">
        <f>G15+'29'!H15</f>
        <v>-1110.9619999998249</v>
      </c>
      <c r="I15" s="113">
        <f>'1'!I15</f>
        <v>800</v>
      </c>
      <c r="J15" s="175">
        <f>H15/DAY(B2)</f>
        <v>-37.032066666660832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837.03206666666085</v>
      </c>
      <c r="J16" s="176"/>
      <c r="K16" s="79"/>
      <c r="L16" s="66"/>
      <c r="N16" s="87"/>
      <c r="O16" s="71"/>
    </row>
    <row r="17" spans="1:15" ht="30.75" customHeight="1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4" t="s">
        <v>141</v>
      </c>
      <c r="B18" s="905"/>
      <c r="C18" s="906"/>
      <c r="D18" s="151" t="s">
        <v>142</v>
      </c>
      <c r="E18" s="95">
        <f>'29'!F18</f>
        <v>25</v>
      </c>
      <c r="F18" s="122">
        <v>28</v>
      </c>
      <c r="G18" s="119">
        <f>F18*10</f>
        <v>280</v>
      </c>
      <c r="H18" s="99">
        <f>G18+'29'!H18</f>
        <v>6050</v>
      </c>
      <c r="I18" s="113">
        <f>'1'!I18</f>
        <v>65</v>
      </c>
      <c r="J18" s="175">
        <f>H18/DAY(B2)</f>
        <v>201.66666666666666</v>
      </c>
      <c r="K18" s="79"/>
      <c r="L18" s="66"/>
      <c r="N18" s="87"/>
      <c r="O18" s="71"/>
    </row>
    <row r="19" spans="1:15" ht="30.75" customHeight="1">
      <c r="A19" s="904" t="s">
        <v>69</v>
      </c>
      <c r="B19" s="905"/>
      <c r="C19" s="906"/>
      <c r="D19" s="151" t="s">
        <v>142</v>
      </c>
      <c r="E19" s="122">
        <v>171218</v>
      </c>
      <c r="F19" s="122">
        <v>171259</v>
      </c>
      <c r="G19" s="112">
        <f t="shared" ref="G19" si="1">F19-E19</f>
        <v>41</v>
      </c>
      <c r="H19" s="99">
        <f>G19+'29'!H19</f>
        <v>-64</v>
      </c>
      <c r="I19" s="335"/>
      <c r="J19" s="175">
        <f>H19/DAY(B2)</f>
        <v>-2.1333333333333333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G20+'29'!H20</f>
        <v>5986</v>
      </c>
      <c r="I20" s="336">
        <f>I18-J20</f>
        <v>-134.53333333333333</v>
      </c>
      <c r="J20" s="175">
        <f>H20/DAY(B2)</f>
        <v>199.53333333333333</v>
      </c>
      <c r="K20" s="79"/>
      <c r="L20" s="66"/>
      <c r="N20" s="87"/>
      <c r="O20" s="71"/>
    </row>
    <row r="21" spans="1:15" ht="30.75" customHeight="1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22328.699999999953</v>
      </c>
      <c r="F27" s="136">
        <v>9</v>
      </c>
      <c r="G27" s="137">
        <f>E27*F27</f>
        <v>200958.29999999958</v>
      </c>
      <c r="H27" s="99">
        <f>G27+'29'!H27</f>
        <v>9432331</v>
      </c>
      <c r="I27" s="138"/>
      <c r="J27" s="175">
        <f>H27/DAY(B2)</f>
        <v>314411.03333333333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1104.6529999999329</v>
      </c>
      <c r="F28" s="136">
        <v>70</v>
      </c>
      <c r="G28" s="137">
        <f>E28*F28</f>
        <v>77325.709999995306</v>
      </c>
      <c r="H28" s="99">
        <f>G28+'29'!H28</f>
        <v>-277552.87999998778</v>
      </c>
      <c r="I28" s="140"/>
      <c r="J28" s="175">
        <f>H28/DAY(B2)</f>
        <v>-9251.76266666626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6900</v>
      </c>
      <c r="I29" s="140"/>
      <c r="J29" s="175">
        <f>H29/DAY(B2)</f>
        <v>230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G30+'29'!H30</f>
        <v>-4800.3999999999942</v>
      </c>
      <c r="I30" s="140"/>
      <c r="J30" s="175">
        <f>H30/DAY(B2)</f>
        <v>-160.01333333333315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G31+'29'!H31</f>
        <v>524500</v>
      </c>
      <c r="I31" s="140"/>
      <c r="J31" s="175">
        <f>H31/DAY(B2)</f>
        <v>17483.333333333332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306875.00999999489</v>
      </c>
      <c r="H32" s="99">
        <f>G32+'29'!H32</f>
        <v>9681377.72000001</v>
      </c>
      <c r="I32" s="144"/>
      <c r="J32" s="175">
        <f>H32/DAY(B2)</f>
        <v>322712.59066666698</v>
      </c>
      <c r="K32" s="63"/>
      <c r="L32" s="89"/>
      <c r="N32" s="87"/>
      <c r="O32" s="71"/>
    </row>
    <row r="33" spans="1:15" ht="30.75" customHeight="1">
      <c r="A33" s="935" t="s">
        <v>331</v>
      </c>
      <c r="B33" s="936"/>
      <c r="C33" s="9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524842.55000000005</v>
      </c>
      <c r="F35" s="145">
        <v>527307</v>
      </c>
      <c r="G35" s="112">
        <f t="shared" ref="G35:G46" si="3">F35-E35</f>
        <v>2464.4499999999534</v>
      </c>
      <c r="H35" s="99">
        <f>G35+'29'!H35</f>
        <v>-2749</v>
      </c>
      <c r="I35" s="95"/>
      <c r="J35" s="175">
        <f>H35/DAY(B2)</f>
        <v>-91.63333333333334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145">
        <v>379732.59</v>
      </c>
      <c r="F36" s="145">
        <v>380620.89</v>
      </c>
      <c r="G36" s="112">
        <f t="shared" si="3"/>
        <v>888.29999999998836</v>
      </c>
      <c r="H36" s="99">
        <f>G36+'29'!H36</f>
        <v>-1200.109999999986</v>
      </c>
      <c r="I36" s="95"/>
      <c r="J36" s="175">
        <f>H36/DAY(B2)</f>
        <v>-40.003666666666199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380724.95</v>
      </c>
      <c r="F37" s="145">
        <v>382147.35</v>
      </c>
      <c r="G37" s="112">
        <f t="shared" si="3"/>
        <v>1422.3999999999651</v>
      </c>
      <c r="H37" s="99">
        <f>G37+'29'!H37</f>
        <v>-1471.6500000000233</v>
      </c>
      <c r="I37" s="95"/>
      <c r="J37" s="175">
        <f>H37/DAY(B2)</f>
        <v>-49.055000000000774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871703.03</v>
      </c>
      <c r="F38" s="108">
        <v>874436.48</v>
      </c>
      <c r="G38" s="112">
        <f t="shared" si="3"/>
        <v>2733.4499999999534</v>
      </c>
      <c r="H38" s="99">
        <f>G38+'29'!H38</f>
        <v>-2690.5200000000186</v>
      </c>
      <c r="I38" s="95"/>
      <c r="J38" s="175">
        <f>H38/DAY(B2)</f>
        <v>-89.684000000000623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700483.59</v>
      </c>
      <c r="F39" s="145">
        <v>703295.59</v>
      </c>
      <c r="G39" s="112">
        <f t="shared" si="3"/>
        <v>2812</v>
      </c>
      <c r="H39" s="99">
        <f>G39+'29'!H39</f>
        <v>-2840.4100000000326</v>
      </c>
      <c r="I39" s="95"/>
      <c r="J39" s="175">
        <f>H39/DAY(B2)</f>
        <v>-94.680333333334417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217341.73</v>
      </c>
      <c r="F40" s="145">
        <v>217537.89</v>
      </c>
      <c r="G40" s="112">
        <f t="shared" si="3"/>
        <v>196.16000000000349</v>
      </c>
      <c r="H40" s="99">
        <f>G40+'29'!H40</f>
        <v>-254.10999999998603</v>
      </c>
      <c r="I40" s="95"/>
      <c r="J40" s="175">
        <f>H40/DAY(B2)</f>
        <v>-8.4703333333328672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420212.5</v>
      </c>
      <c r="F41" s="145">
        <v>420212.5</v>
      </c>
      <c r="G41" s="112">
        <f t="shared" si="3"/>
        <v>0</v>
      </c>
      <c r="H41" s="99">
        <f>G41+'29'!H41</f>
        <v>-1.0000000009313226E-2</v>
      </c>
      <c r="I41" s="95"/>
      <c r="J41" s="175">
        <f>H41/DAY(B2)</f>
        <v>-3.3333333364377418E-4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970677.43</v>
      </c>
      <c r="F42" s="145">
        <v>970677.43</v>
      </c>
      <c r="G42" s="112">
        <f t="shared" si="3"/>
        <v>0</v>
      </c>
      <c r="H42" s="99">
        <f>G42+'29'!H42</f>
        <v>-2385.1999999999534</v>
      </c>
      <c r="I42" s="95"/>
      <c r="J42" s="175">
        <f>H42/DAY(B2)</f>
        <v>-79.506666666665112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422444</v>
      </c>
      <c r="F43" s="145">
        <v>422444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10516.759999999864</v>
      </c>
      <c r="H47" s="99">
        <f>G47+'29'!H47</f>
        <v>-13591.010000000038</v>
      </c>
      <c r="I47" s="95"/>
      <c r="J47" s="175">
        <f>H47/DAY(B2)</f>
        <v>-453.03366666666795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821817.91</v>
      </c>
      <c r="F49" s="145">
        <v>822337.11</v>
      </c>
      <c r="G49" s="112">
        <f t="shared" ref="G49:G58" si="4">F49-E49</f>
        <v>519.19999999995343</v>
      </c>
      <c r="H49" s="99">
        <f>G49+'29'!H49</f>
        <v>-574.89000000001397</v>
      </c>
      <c r="I49" s="95"/>
      <c r="J49" s="175">
        <f>H49/DAY(B2)</f>
        <v>-19.163000000000466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539313.59</v>
      </c>
      <c r="F50" s="145">
        <v>540459.82999999996</v>
      </c>
      <c r="G50" s="112">
        <f t="shared" si="4"/>
        <v>1146.2399999999907</v>
      </c>
      <c r="H50" s="99">
        <f>G50+'29'!H50</f>
        <v>-1514.1700000000419</v>
      </c>
      <c r="I50" s="95"/>
      <c r="J50" s="175">
        <f>H50/DAY(B2)</f>
        <v>-50.472333333334731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156958.44</v>
      </c>
      <c r="F51" s="145">
        <v>156958</v>
      </c>
      <c r="G51" s="112">
        <f t="shared" si="4"/>
        <v>-0.44000000000232831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1457</v>
      </c>
      <c r="F52" s="145">
        <v>1457.43</v>
      </c>
      <c r="G52" s="112">
        <f t="shared" si="4"/>
        <v>0.43000000000006366</v>
      </c>
      <c r="H52" s="99">
        <f>G52+'29'!H52</f>
        <v>0.43000000000006366</v>
      </c>
      <c r="I52" s="95"/>
      <c r="J52" s="175">
        <f>H52/DAY(B2)</f>
        <v>1.4333333333335455E-2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630355</v>
      </c>
      <c r="F53" s="418">
        <v>630355</v>
      </c>
      <c r="G53" s="112">
        <f t="shared" si="4"/>
        <v>0</v>
      </c>
      <c r="H53" s="99">
        <f>G53+'29'!H53</f>
        <v>-3.0000000027939677E-2</v>
      </c>
      <c r="I53" s="95"/>
      <c r="J53" s="175">
        <f>H53/DAY(B2)</f>
        <v>-1.0000000009313225E-3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123528.57</v>
      </c>
      <c r="F54" s="418">
        <v>123806.69</v>
      </c>
      <c r="G54" s="112">
        <f t="shared" si="4"/>
        <v>278.11999999999534</v>
      </c>
      <c r="H54" s="99">
        <f>G54+'29'!H54</f>
        <v>-307.52000000000407</v>
      </c>
      <c r="I54" s="95"/>
      <c r="J54" s="175">
        <f>H54/DAY(B2)</f>
        <v>-10.250666666666802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594304.75</v>
      </c>
      <c r="F55" s="418">
        <v>594304.75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367606.79</v>
      </c>
      <c r="F56" s="418">
        <v>370876.51</v>
      </c>
      <c r="G56" s="112">
        <f t="shared" si="4"/>
        <v>3269.7200000000303</v>
      </c>
      <c r="H56" s="99">
        <f>G56+'29'!H56</f>
        <v>-2243.4899999999907</v>
      </c>
      <c r="I56" s="95"/>
      <c r="J56" s="175">
        <f>H56/DAY(B2)</f>
        <v>-74.782999999999689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702665.59</v>
      </c>
      <c r="F57" s="418">
        <v>705108.31</v>
      </c>
      <c r="G57" s="112">
        <f t="shared" si="4"/>
        <v>2442.7200000000885</v>
      </c>
      <c r="H57" s="99">
        <f>G57+'29'!H57</f>
        <v>-2589.6899999999441</v>
      </c>
      <c r="I57" s="95"/>
      <c r="J57" s="175">
        <f>H57/DAY(B2)</f>
        <v>-86.322999999998132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94024</v>
      </c>
      <c r="F58" s="418">
        <v>94292</v>
      </c>
      <c r="G58" s="112">
        <f t="shared" si="4"/>
        <v>268</v>
      </c>
      <c r="H58" s="99">
        <f>G58+'29'!H58</f>
        <v>-277.82000000000698</v>
      </c>
      <c r="I58" s="95"/>
      <c r="J58" s="175">
        <f>H58/DAY(B2)</f>
        <v>-9.2606666666669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7923.9900000000562</v>
      </c>
      <c r="H59" s="99">
        <f>G59+'29'!H59</f>
        <v>-7507.1800000000439</v>
      </c>
      <c r="I59" s="95">
        <f>G7-G60</f>
        <v>3355.3500000000568</v>
      </c>
      <c r="J59" s="175">
        <f>H59/DAY(B2)</f>
        <v>-250.2393333333348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18440.74999999992</v>
      </c>
      <c r="H60" s="99">
        <f>G60+'29'!H60</f>
        <v>-21098.190000000141</v>
      </c>
      <c r="I60" s="95">
        <f>G13-G60</f>
        <v>2610.1500000004526</v>
      </c>
      <c r="J60" s="175">
        <f>H60/DAY(B2)</f>
        <v>-703.27300000000469</v>
      </c>
      <c r="K60" s="79"/>
      <c r="L60" s="66"/>
      <c r="N60" s="87"/>
      <c r="O60" s="71"/>
    </row>
    <row r="61" spans="1:15" s="68" customFormat="1" ht="30.75" customHeight="1">
      <c r="A61" s="937" t="s">
        <v>332</v>
      </c>
      <c r="B61" s="938"/>
      <c r="C61" s="939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904" t="s">
        <v>198</v>
      </c>
      <c r="B62" s="905"/>
      <c r="C62" s="906"/>
      <c r="D62" s="151" t="s">
        <v>142</v>
      </c>
      <c r="E62" s="95">
        <f>'29'!F62</f>
        <v>315403</v>
      </c>
      <c r="F62" s="150">
        <v>315512</v>
      </c>
      <c r="G62" s="112">
        <f t="shared" ref="G62:G63" si="5">F62-E62</f>
        <v>109</v>
      </c>
      <c r="H62" s="99">
        <f>G62+'29'!H62</f>
        <v>-165</v>
      </c>
      <c r="I62" s="118"/>
      <c r="J62" s="175">
        <f>H62/DAY(B2)</f>
        <v>-5.5</v>
      </c>
      <c r="K62" s="80"/>
      <c r="L62" s="66"/>
      <c r="N62" s="87"/>
      <c r="O62" s="71"/>
    </row>
    <row r="63" spans="1:15" ht="30.75" customHeight="1">
      <c r="A63" s="904" t="s">
        <v>199</v>
      </c>
      <c r="B63" s="905"/>
      <c r="C63" s="906"/>
      <c r="D63" s="151" t="s">
        <v>142</v>
      </c>
      <c r="E63" s="95">
        <f>'29'!F63</f>
        <v>252094</v>
      </c>
      <c r="F63" s="150">
        <v>252234</v>
      </c>
      <c r="G63" s="112">
        <f t="shared" si="5"/>
        <v>140</v>
      </c>
      <c r="H63" s="99">
        <f>G63+'29'!H63</f>
        <v>-90</v>
      </c>
      <c r="I63" s="118"/>
      <c r="J63" s="175">
        <f>H63/DAY(B2)</f>
        <v>-3</v>
      </c>
      <c r="K63" s="69"/>
      <c r="L63" s="66"/>
      <c r="N63" s="87"/>
      <c r="O63" s="71"/>
    </row>
    <row r="64" spans="1:15" ht="30.75" customHeight="1">
      <c r="A64" s="913" t="s">
        <v>200</v>
      </c>
      <c r="B64" s="914"/>
      <c r="C64" s="915"/>
      <c r="D64" s="151"/>
      <c r="E64" s="95">
        <f>'29'!F64</f>
        <v>0</v>
      </c>
      <c r="F64" s="150"/>
      <c r="G64" s="112">
        <f>G62+G63</f>
        <v>249</v>
      </c>
      <c r="H64" s="99">
        <f>G64+'29'!H64</f>
        <v>-255</v>
      </c>
      <c r="I64" s="118"/>
      <c r="J64" s="175">
        <f>H64/DAY(B2)</f>
        <v>-8.5</v>
      </c>
      <c r="K64" s="69"/>
      <c r="L64" s="66"/>
      <c r="N64" s="87"/>
      <c r="O64" s="71"/>
    </row>
    <row r="65" spans="1:15" ht="30.75" customHeight="1">
      <c r="A65" s="904" t="s">
        <v>201</v>
      </c>
      <c r="B65" s="905"/>
      <c r="C65" s="906"/>
      <c r="D65" s="151" t="s">
        <v>142</v>
      </c>
      <c r="E65" s="95">
        <f>'29'!F65</f>
        <v>475657</v>
      </c>
      <c r="F65" s="150">
        <v>475766</v>
      </c>
      <c r="G65" s="112">
        <f t="shared" ref="G65:G70" si="6">F65-E65</f>
        <v>109</v>
      </c>
      <c r="H65" s="99">
        <f>G65+'29'!H65</f>
        <v>-137</v>
      </c>
      <c r="I65" s="118"/>
      <c r="J65" s="175">
        <f>H65/DAY(B2)</f>
        <v>-4.5666666666666664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114388</v>
      </c>
      <c r="F66" s="150">
        <v>114426</v>
      </c>
      <c r="G66" s="112">
        <f t="shared" si="6"/>
        <v>38</v>
      </c>
      <c r="H66" s="99">
        <f>G66+'29'!H66</f>
        <v>-40</v>
      </c>
      <c r="I66" s="118"/>
      <c r="J66" s="175">
        <f>H66/DAY(B2)</f>
        <v>-1.3333333333333333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117232</v>
      </c>
      <c r="F67" s="150">
        <v>117260</v>
      </c>
      <c r="G67" s="112">
        <f t="shared" si="6"/>
        <v>28</v>
      </c>
      <c r="H67" s="99">
        <f>G67+'29'!H67</f>
        <v>-22</v>
      </c>
      <c r="I67" s="118"/>
      <c r="J67" s="175">
        <f>H67/DAY(B2)</f>
        <v>-0.73333333333333328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169912</v>
      </c>
      <c r="F68" s="150">
        <v>169923</v>
      </c>
      <c r="G68" s="112">
        <f t="shared" si="6"/>
        <v>11</v>
      </c>
      <c r="H68" s="99">
        <f>G68+'29'!H68</f>
        <v>-27</v>
      </c>
      <c r="I68" s="118"/>
      <c r="J68" s="175">
        <f>H68/DAY(B2)</f>
        <v>-0.9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13229</v>
      </c>
      <c r="F69" s="150">
        <v>13239</v>
      </c>
      <c r="G69" s="112">
        <f t="shared" si="6"/>
        <v>10</v>
      </c>
      <c r="H69" s="99">
        <f>G69+'29'!H69</f>
        <v>27</v>
      </c>
      <c r="I69" s="118"/>
      <c r="J69" s="175">
        <f>H69/DAY(B2)</f>
        <v>0.9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11238</v>
      </c>
      <c r="F70" s="150">
        <v>11249</v>
      </c>
      <c r="G70" s="112">
        <f t="shared" si="6"/>
        <v>11</v>
      </c>
      <c r="H70" s="99">
        <f>G70+'29'!H70</f>
        <v>-9</v>
      </c>
      <c r="I70" s="118"/>
      <c r="J70" s="175">
        <f>H70/DAY(B2)</f>
        <v>-0.3</v>
      </c>
      <c r="K70" s="69"/>
      <c r="L70" s="66"/>
      <c r="N70" s="87"/>
      <c r="O70" s="71"/>
    </row>
    <row r="71" spans="1:15" ht="30.75" customHeight="1">
      <c r="A71" s="913" t="s">
        <v>208</v>
      </c>
      <c r="B71" s="914"/>
      <c r="C71" s="915"/>
      <c r="D71" s="152"/>
      <c r="E71" s="152"/>
      <c r="F71" s="152"/>
      <c r="G71" s="153">
        <f>SUM(G65:G70)</f>
        <v>207</v>
      </c>
      <c r="H71" s="99">
        <f>G71+'29'!H71</f>
        <v>-208</v>
      </c>
      <c r="I71" s="154"/>
      <c r="J71" s="175">
        <f>H71/DAY(B2)</f>
        <v>-6.9333333333333336</v>
      </c>
      <c r="K71" s="69"/>
      <c r="L71" s="66"/>
      <c r="N71" s="87"/>
      <c r="O71" s="71"/>
    </row>
    <row r="72" spans="1:15" s="88" customFormat="1" ht="30.75" customHeight="1">
      <c r="A72" s="900"/>
      <c r="B72" s="88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4" t="s">
        <v>220</v>
      </c>
      <c r="B74" s="905"/>
      <c r="C74" s="906"/>
      <c r="D74" s="151" t="s">
        <v>139</v>
      </c>
      <c r="E74" s="95">
        <f>'29'!F74</f>
        <v>11662.9</v>
      </c>
      <c r="F74" s="123">
        <v>11928</v>
      </c>
      <c r="G74" s="112">
        <f t="shared" ref="G74:G78" si="7">F74-E74</f>
        <v>265.10000000000036</v>
      </c>
      <c r="H74" s="99">
        <f>G74+'29'!H74</f>
        <v>-3952</v>
      </c>
      <c r="I74" s="154"/>
      <c r="J74" s="175">
        <f>H74/DAY(B2)</f>
        <v>-131.73333333333332</v>
      </c>
      <c r="K74" s="69"/>
      <c r="L74" s="66"/>
      <c r="N74" s="87"/>
      <c r="O74" s="71"/>
    </row>
    <row r="75" spans="1:15" ht="30.75" customHeight="1">
      <c r="A75" s="904" t="s">
        <v>221</v>
      </c>
      <c r="B75" s="905"/>
      <c r="C75" s="90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1" t="s">
        <v>222</v>
      </c>
      <c r="B76" s="902"/>
      <c r="C76" s="903"/>
      <c r="D76" s="151" t="s">
        <v>139</v>
      </c>
      <c r="E76" s="95">
        <f>'29'!F76</f>
        <v>210450</v>
      </c>
      <c r="F76" s="123">
        <v>210560</v>
      </c>
      <c r="G76" s="112">
        <f t="shared" si="7"/>
        <v>110</v>
      </c>
      <c r="H76" s="99">
        <f>G76+'29'!H76</f>
        <v>-100</v>
      </c>
      <c r="I76" s="154"/>
      <c r="J76" s="175">
        <f>H76/DAY(B2)</f>
        <v>-3.3333333333333335</v>
      </c>
      <c r="K76" s="69"/>
      <c r="L76" s="66"/>
      <c r="N76" s="87"/>
      <c r="O76" s="71"/>
    </row>
    <row r="77" spans="1:15" ht="30.75" customHeight="1">
      <c r="A77" s="901" t="s">
        <v>223</v>
      </c>
      <c r="B77" s="902"/>
      <c r="C77" s="903"/>
      <c r="D77" s="151" t="s">
        <v>139</v>
      </c>
      <c r="E77" s="95">
        <f>'29'!F77</f>
        <v>59644.4</v>
      </c>
      <c r="F77" s="123">
        <v>59702</v>
      </c>
      <c r="G77" s="112">
        <f t="shared" si="7"/>
        <v>57.599999999998545</v>
      </c>
      <c r="H77" s="99">
        <f>G77+'29'!H77</f>
        <v>-59</v>
      </c>
      <c r="I77" s="154"/>
      <c r="J77" s="175">
        <f>H77/DAY(B2)</f>
        <v>-1.9666666666666666</v>
      </c>
      <c r="K77" s="69"/>
      <c r="L77" s="66"/>
      <c r="N77" s="87"/>
      <c r="O77" s="71"/>
    </row>
    <row r="78" spans="1:15" ht="30.75" customHeight="1">
      <c r="A78" s="901" t="s">
        <v>224</v>
      </c>
      <c r="B78" s="902"/>
      <c r="C78" s="903"/>
      <c r="D78" s="151" t="s">
        <v>139</v>
      </c>
      <c r="E78" s="95">
        <f>'29'!F78</f>
        <v>9564</v>
      </c>
      <c r="F78" s="123">
        <v>9564</v>
      </c>
      <c r="G78" s="112">
        <f t="shared" si="7"/>
        <v>0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01" t="s">
        <v>225</v>
      </c>
      <c r="B79" s="902"/>
      <c r="C79" s="903"/>
      <c r="D79" s="151"/>
      <c r="E79" s="95">
        <f>'29'!F79</f>
        <v>0</v>
      </c>
      <c r="F79" s="117"/>
      <c r="G79" s="112">
        <f>G15-SUM(G74:G78)</f>
        <v>671.95299999993404</v>
      </c>
      <c r="H79" s="99">
        <f>G79+'29'!H79</f>
        <v>-618.46199999982673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3" t="s">
        <v>329</v>
      </c>
      <c r="B80" s="914"/>
      <c r="C80" s="915"/>
      <c r="D80" s="151"/>
      <c r="E80" s="117"/>
      <c r="F80" s="117"/>
      <c r="G80" s="112">
        <f>SUM(G74:G79)</f>
        <v>1104.6529999999329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4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4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43546</v>
      </c>
      <c r="F84" s="164">
        <v>43546</v>
      </c>
      <c r="G84" s="112">
        <f t="shared" si="8"/>
        <v>0</v>
      </c>
      <c r="H84" s="99">
        <f>G84+'29'!H84</f>
        <v>-0.34999999999854481</v>
      </c>
      <c r="I84" s="543"/>
      <c r="J84" s="175">
        <f>H84/DAY(B2)</f>
        <v>-1.1666666666618161E-2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6203</v>
      </c>
      <c r="F85" s="150">
        <v>6203</v>
      </c>
      <c r="G85" s="112">
        <f t="shared" si="8"/>
        <v>0</v>
      </c>
      <c r="H85" s="99">
        <f>G85+'29'!H85</f>
        <v>-10</v>
      </c>
      <c r="I85" s="543"/>
      <c r="J85" s="175">
        <f>H85/DAY(B2)</f>
        <v>-0.33333333333333331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46971</v>
      </c>
      <c r="F86" s="164">
        <v>46971</v>
      </c>
      <c r="G86" s="112">
        <f t="shared" si="8"/>
        <v>0</v>
      </c>
      <c r="H86" s="99">
        <f>G86+'29'!H86</f>
        <v>0</v>
      </c>
      <c r="I86" s="543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37322</v>
      </c>
      <c r="F87" s="164">
        <v>37346</v>
      </c>
      <c r="G87" s="112">
        <f t="shared" si="8"/>
        <v>24</v>
      </c>
      <c r="H87" s="99">
        <f>G87+'29'!H87</f>
        <v>-18</v>
      </c>
      <c r="I87" s="542">
        <f>G84+G85+G86+G87</f>
        <v>24</v>
      </c>
      <c r="J87" s="175">
        <f>H87/DAY(B2)</f>
        <v>-0.6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24743</v>
      </c>
      <c r="F88" s="164">
        <v>24753</v>
      </c>
      <c r="G88" s="112">
        <f t="shared" si="8"/>
        <v>10</v>
      </c>
      <c r="H88" s="99">
        <f>G88+'29'!H88</f>
        <v>-9</v>
      </c>
      <c r="I88" s="542"/>
      <c r="J88" s="175">
        <f>H88/DAY(B2)</f>
        <v>-0.3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29018.54</v>
      </c>
      <c r="F89" s="164">
        <v>29023</v>
      </c>
      <c r="G89" s="112">
        <f t="shared" si="8"/>
        <v>4.4599999999991269</v>
      </c>
      <c r="H89" s="99">
        <f>G89+'29'!H89</f>
        <v>-5</v>
      </c>
      <c r="I89" s="542">
        <f>G88+G89</f>
        <v>14.459999999999127</v>
      </c>
      <c r="J89" s="175">
        <f>H89/DAY(B2)</f>
        <v>-0.16666666666666666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74434.570000000007</v>
      </c>
      <c r="F90" s="164">
        <v>74442</v>
      </c>
      <c r="G90" s="112">
        <f t="shared" si="8"/>
        <v>7.4299999999930151</v>
      </c>
      <c r="H90" s="99">
        <f>G90+'29'!H90</f>
        <v>-185.39999999999418</v>
      </c>
      <c r="I90" s="542">
        <f>G90</f>
        <v>7.4299999999930151</v>
      </c>
      <c r="J90" s="175">
        <f>H90/DAY(B2)</f>
        <v>-6.1799999999998061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5618</v>
      </c>
      <c r="F91" s="122">
        <v>5618</v>
      </c>
      <c r="G91" s="112">
        <f t="shared" si="8"/>
        <v>0</v>
      </c>
      <c r="H91" s="99">
        <f>G91+'29'!H91</f>
        <v>-0.21000000000003638</v>
      </c>
      <c r="I91" s="551"/>
      <c r="J91" s="175">
        <f>H91/DAY(B2)</f>
        <v>-7.0000000000012127E-3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7410.51</v>
      </c>
      <c r="F92" s="122">
        <v>7420</v>
      </c>
      <c r="G92" s="112">
        <f t="shared" si="8"/>
        <v>9.4899999999997817</v>
      </c>
      <c r="H92" s="99">
        <f>G92+'29'!H92</f>
        <v>-12.279999999999745</v>
      </c>
      <c r="I92" s="552">
        <f>G91+G92</f>
        <v>9.4899999999997817</v>
      </c>
      <c r="J92" s="175">
        <f>H92/DAY(B2)</f>
        <v>-0.40933333333332483</v>
      </c>
      <c r="O92" s="71"/>
    </row>
    <row r="93" spans="1:15" ht="30.75" customHeight="1">
      <c r="A93" s="907" t="s">
        <v>239</v>
      </c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5426.3699999999953</v>
      </c>
      <c r="H94" s="99">
        <f>G94+'29'!H94</f>
        <v>-5913.5799999999581</v>
      </c>
      <c r="I94" s="118"/>
      <c r="J94" s="175">
        <f>H94/DAY(B2)</f>
        <v>-197.11933333333192</v>
      </c>
      <c r="K94" s="69"/>
      <c r="L94" s="66"/>
      <c r="O94" s="71"/>
    </row>
    <row r="95" spans="1:15" ht="30.75" customHeight="1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0.24896059386771033</v>
      </c>
      <c r="H95" s="99">
        <f>G95+'29'!H95</f>
        <v>6.8627870059114873</v>
      </c>
      <c r="I95" s="167"/>
      <c r="J95" s="175">
        <f>H95/DAY(B2)</f>
        <v>0.22875956686371623</v>
      </c>
      <c r="K95" s="69"/>
      <c r="L95" s="66"/>
      <c r="O95" s="71"/>
    </row>
    <row r="96" spans="1:15" ht="30.75" customHeight="1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3269.7200000000303</v>
      </c>
      <c r="H96" s="99">
        <f>G96+'29'!H96</f>
        <v>-4628.6999999999534</v>
      </c>
      <c r="I96" s="118"/>
      <c r="J96" s="175">
        <f>H96/DAY(B2)</f>
        <v>-154.28999999999846</v>
      </c>
      <c r="K96" s="69"/>
      <c r="L96" s="66"/>
      <c r="O96" s="71"/>
    </row>
    <row r="97" spans="1:15" ht="30.75" customHeight="1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0.15001399332908336</v>
      </c>
      <c r="H97" s="99">
        <f>G97+'29'!H97</f>
        <v>4.6351370382971142</v>
      </c>
      <c r="I97" s="167"/>
      <c r="J97" s="175">
        <f>H97/DAY(B2)</f>
        <v>0.15450456794323714</v>
      </c>
      <c r="K97" s="69"/>
      <c r="L97" s="66"/>
      <c r="O97" s="71"/>
    </row>
    <row r="98" spans="1:15" ht="30.75" customHeight="1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2812</v>
      </c>
      <c r="H98" s="99">
        <f>G98+'29'!H98</f>
        <v>-2840.4400000000605</v>
      </c>
      <c r="I98" s="168"/>
      <c r="J98" s="175">
        <f>H98/DAY(B2)</f>
        <v>-94.681333333335346</v>
      </c>
      <c r="K98" s="69"/>
      <c r="L98" s="66"/>
      <c r="O98" s="71"/>
    </row>
    <row r="99" spans="1:15" ht="30.75" customHeight="1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0.12901390615752373</v>
      </c>
      <c r="H99" s="99" t="e">
        <f>G99+'29'!H99</f>
        <v>#VALUE!</v>
      </c>
      <c r="I99" s="168"/>
      <c r="J99" s="175" t="e">
        <f>H99/DAY(B2)</f>
        <v>#VALUE!</v>
      </c>
      <c r="O99" s="71"/>
    </row>
    <row r="100" spans="1:15" ht="30.75" customHeight="1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2733.8799999999537</v>
      </c>
      <c r="H100" s="99">
        <f>G100+'29'!H100</f>
        <v>-2690.0900000000183</v>
      </c>
      <c r="I100" s="118"/>
      <c r="J100" s="175">
        <f>H100/DAY(B2)</f>
        <v>-89.669666666667283</v>
      </c>
      <c r="K100" s="70"/>
      <c r="O100" s="71"/>
    </row>
    <row r="101" spans="1:15" ht="30.75" customHeight="1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0.12542977872187944</v>
      </c>
      <c r="H101" s="99">
        <f>G101+'29'!H101</f>
        <v>3.1577858913280008</v>
      </c>
      <c r="I101" s="168"/>
      <c r="J101" s="175">
        <f>H101/DAY(B2)</f>
        <v>0.10525952971093336</v>
      </c>
      <c r="O101" s="71"/>
    </row>
    <row r="102" spans="1:15" ht="30.75" customHeight="1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2034.539999999979</v>
      </c>
      <c r="H102" s="99">
        <f>G102+'29'!H102</f>
        <v>-2714.2800000000279</v>
      </c>
      <c r="I102" s="168"/>
      <c r="J102" s="175">
        <f>H102/DAY(B2)</f>
        <v>-90.476000000000937</v>
      </c>
      <c r="O102" s="71"/>
    </row>
    <row r="103" spans="1:15" ht="30.75" customHeight="1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9.3344222131481372E-2</v>
      </c>
      <c r="H103" s="99">
        <f>G103+'29'!H103</f>
        <v>2.9962654222120038</v>
      </c>
      <c r="I103" s="118"/>
      <c r="J103" s="175">
        <f>H103/DAY(B2)</f>
        <v>9.9875514073733462E-2</v>
      </c>
      <c r="O103" s="71"/>
    </row>
    <row r="104" spans="1:15" ht="30.75" customHeight="1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1421.9599999999627</v>
      </c>
      <c r="H104" s="99">
        <f>G104+'29'!H104</f>
        <v>-1471.6500000000233</v>
      </c>
      <c r="I104" s="118"/>
      <c r="J104" s="175">
        <f>H104/DAY(B2)</f>
        <v>-49.055000000000774</v>
      </c>
      <c r="O104" s="71"/>
    </row>
    <row r="105" spans="1:15" ht="30.75" customHeight="1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6.5239194167762318E-2</v>
      </c>
      <c r="H105" s="99">
        <f>G105+'29'!H105</f>
        <v>1.7168304475573726</v>
      </c>
      <c r="I105" s="187"/>
      <c r="J105" s="188">
        <f>H105/DAY(B2)</f>
        <v>5.722768158524575E-2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30.75" customHeight="1">
      <c r="A109" s="920"/>
      <c r="B109" s="920"/>
    </row>
    <row r="110" spans="1:15" ht="30.75" customHeight="1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30.75" customHeight="1">
      <c r="A111" s="887"/>
      <c r="B111" s="888"/>
      <c r="C111" s="88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3" t="s">
        <v>252</v>
      </c>
      <c r="B112" s="884"/>
      <c r="C112" s="885"/>
      <c r="D112" s="146" t="s">
        <v>183</v>
      </c>
      <c r="E112" s="95">
        <f>'29'!F112</f>
        <v>19275.2</v>
      </c>
      <c r="F112" s="237">
        <v>19336.726999999999</v>
      </c>
      <c r="G112" s="112">
        <f t="shared" ref="G112:G123" si="9">F112-E112</f>
        <v>61.526999999998225</v>
      </c>
      <c r="H112" s="99">
        <f>G112+'29'!H112</f>
        <v>-60.273000000001048</v>
      </c>
      <c r="I112" s="165"/>
      <c r="J112" s="328">
        <f>H112/DAY(B2)</f>
        <v>-2.0091000000000347</v>
      </c>
    </row>
    <row r="113" spans="1:18" ht="30.75" customHeight="1">
      <c r="A113" s="883" t="s">
        <v>253</v>
      </c>
      <c r="B113" s="884"/>
      <c r="C113" s="885"/>
      <c r="D113" s="146" t="s">
        <v>183</v>
      </c>
      <c r="E113" s="95">
        <f>'29'!F113</f>
        <v>41231</v>
      </c>
      <c r="F113" s="237">
        <v>41375.730000000003</v>
      </c>
      <c r="G113" s="112">
        <f t="shared" si="9"/>
        <v>144.7300000000032</v>
      </c>
      <c r="H113" s="99">
        <f>G113+'29'!H113</f>
        <v>-144.21999999999389</v>
      </c>
      <c r="I113" s="165"/>
      <c r="J113" s="328">
        <f>H113/DAY(B2)</f>
        <v>-4.8073333333331298</v>
      </c>
    </row>
    <row r="114" spans="1:18" ht="30.75" customHeight="1">
      <c r="A114" s="883" t="s">
        <v>254</v>
      </c>
      <c r="B114" s="884"/>
      <c r="C114" s="885"/>
      <c r="D114" s="146" t="s">
        <v>183</v>
      </c>
      <c r="E114" s="95">
        <f>'29'!F114</f>
        <v>60776.79</v>
      </c>
      <c r="F114" s="237">
        <v>61000.87</v>
      </c>
      <c r="G114" s="112">
        <f t="shared" si="9"/>
        <v>224.08000000000175</v>
      </c>
      <c r="H114" s="99">
        <f>G114+'29'!H114</f>
        <v>-217.12999999999738</v>
      </c>
      <c r="I114" s="165"/>
      <c r="J114" s="328">
        <f>H114/DAY(B2)</f>
        <v>-7.2376666666665797</v>
      </c>
    </row>
    <row r="115" spans="1:18" ht="30.75" customHeight="1">
      <c r="A115" s="883" t="s">
        <v>255</v>
      </c>
      <c r="B115" s="884"/>
      <c r="C115" s="885"/>
      <c r="D115" s="146" t="s">
        <v>183</v>
      </c>
      <c r="E115" s="95">
        <f>'29'!F115</f>
        <v>39133.22</v>
      </c>
      <c r="F115" s="237">
        <v>39293</v>
      </c>
      <c r="G115" s="112">
        <f t="shared" si="9"/>
        <v>159.77999999999884</v>
      </c>
      <c r="H115" s="99">
        <f>G115+'29'!H115</f>
        <v>-166</v>
      </c>
      <c r="I115" s="165"/>
      <c r="J115" s="328">
        <f>H115/DAY(B2)</f>
        <v>-5.5333333333333332</v>
      </c>
    </row>
    <row r="116" spans="1:18" ht="30.75" customHeight="1">
      <c r="A116" s="890" t="s">
        <v>96</v>
      </c>
      <c r="B116" s="891"/>
      <c r="C116" s="892"/>
      <c r="D116" s="146" t="s">
        <v>183</v>
      </c>
      <c r="E116" s="95">
        <f>'29'!F116</f>
        <v>146950</v>
      </c>
      <c r="F116" s="237">
        <v>147459</v>
      </c>
      <c r="G116" s="112">
        <f t="shared" si="9"/>
        <v>509</v>
      </c>
      <c r="H116" s="99">
        <f>G116+'29'!H116</f>
        <v>-471</v>
      </c>
      <c r="I116" s="165"/>
      <c r="J116" s="328">
        <f>H116/DAY(B2)</f>
        <v>-15.7</v>
      </c>
      <c r="Q116" s="883" t="s">
        <v>311</v>
      </c>
      <c r="R116" s="885"/>
    </row>
    <row r="117" spans="1:18" ht="30.75" customHeight="1">
      <c r="A117" s="890" t="s">
        <v>184</v>
      </c>
      <c r="B117" s="891"/>
      <c r="C117" s="892"/>
      <c r="D117" s="146" t="s">
        <v>183</v>
      </c>
      <c r="E117" s="95">
        <f>'29'!F117</f>
        <v>91440</v>
      </c>
      <c r="F117" s="237">
        <v>91697</v>
      </c>
      <c r="G117" s="112">
        <f t="shared" si="9"/>
        <v>257</v>
      </c>
      <c r="H117" s="99">
        <f>G117+'29'!H117</f>
        <v>-292.39900000000489</v>
      </c>
      <c r="I117" s="165"/>
      <c r="J117" s="328">
        <f>H117/DAY(B2)</f>
        <v>-9.7466333333334969</v>
      </c>
      <c r="Q117" s="883" t="s">
        <v>312</v>
      </c>
      <c r="R117" s="885"/>
    </row>
    <row r="118" spans="1:18" ht="30.75" customHeight="1">
      <c r="A118" s="882" t="s">
        <v>97</v>
      </c>
      <c r="B118" s="882"/>
      <c r="C118" s="882"/>
      <c r="D118" s="151" t="s">
        <v>183</v>
      </c>
      <c r="E118" s="95">
        <f>'29'!F118</f>
        <v>176221.75</v>
      </c>
      <c r="F118" s="237">
        <v>176849</v>
      </c>
      <c r="G118" s="112">
        <f t="shared" si="9"/>
        <v>627.25</v>
      </c>
      <c r="H118" s="99">
        <f>G118+'29'!H118</f>
        <v>-683.52999999999884</v>
      </c>
      <c r="I118" s="165"/>
      <c r="J118" s="328">
        <f>H118/DAY(B2)</f>
        <v>-22.784333333333294</v>
      </c>
      <c r="Q118" s="883" t="s">
        <v>311</v>
      </c>
      <c r="R118" s="885"/>
    </row>
    <row r="119" spans="1:18" ht="30.75" customHeight="1">
      <c r="A119" s="882" t="s">
        <v>98</v>
      </c>
      <c r="B119" s="882"/>
      <c r="C119" s="882"/>
      <c r="D119" s="151" t="s">
        <v>183</v>
      </c>
      <c r="E119" s="95">
        <f>'29'!F119</f>
        <v>45116</v>
      </c>
      <c r="F119" s="237">
        <v>45156.91</v>
      </c>
      <c r="G119" s="112">
        <f t="shared" si="9"/>
        <v>40.910000000003492</v>
      </c>
      <c r="H119" s="99">
        <f>G119+'29'!H119</f>
        <v>-36.089999999996508</v>
      </c>
      <c r="I119" s="165"/>
      <c r="J119" s="328">
        <f>H119/DAY(B2)</f>
        <v>-1.2029999999998835</v>
      </c>
    </row>
    <row r="120" spans="1:18" ht="30.75" customHeight="1">
      <c r="A120" s="882" t="s">
        <v>99</v>
      </c>
      <c r="B120" s="882"/>
      <c r="C120" s="882"/>
      <c r="D120" s="151" t="s">
        <v>183</v>
      </c>
      <c r="E120" s="95">
        <f>'29'!F120</f>
        <v>119713.84</v>
      </c>
      <c r="F120" s="237">
        <v>120082.48</v>
      </c>
      <c r="G120" s="112">
        <f t="shared" si="9"/>
        <v>368.63999999999942</v>
      </c>
      <c r="H120" s="99">
        <f>G120+'29'!H120</f>
        <v>-361.52000000000407</v>
      </c>
      <c r="I120" s="165"/>
      <c r="J120" s="328">
        <f>H120/DAY(B2)</f>
        <v>-12.050666666666803</v>
      </c>
    </row>
    <row r="121" spans="1:18" ht="30.75" customHeight="1">
      <c r="A121" s="882" t="s">
        <v>100</v>
      </c>
      <c r="B121" s="882"/>
      <c r="C121" s="882"/>
      <c r="D121" s="151" t="s">
        <v>183</v>
      </c>
      <c r="E121" s="95">
        <f>'29'!F121</f>
        <v>133666.68</v>
      </c>
      <c r="F121" s="237">
        <v>134121.72</v>
      </c>
      <c r="G121" s="112">
        <f t="shared" si="9"/>
        <v>455.04000000000815</v>
      </c>
      <c r="H121" s="99">
        <f>G121+'29'!H121</f>
        <v>-441.27999999999884</v>
      </c>
      <c r="I121" s="165"/>
      <c r="J121" s="328">
        <f>H121/DAY(B2)</f>
        <v>-14.709333333333294</v>
      </c>
    </row>
    <row r="122" spans="1:18" ht="30.75" customHeight="1">
      <c r="A122" s="882" t="s">
        <v>101</v>
      </c>
      <c r="B122" s="882"/>
      <c r="C122" s="882"/>
      <c r="D122" s="151" t="s">
        <v>183</v>
      </c>
      <c r="E122" s="95">
        <f>'29'!F122</f>
        <v>90242</v>
      </c>
      <c r="F122" s="237">
        <v>90583</v>
      </c>
      <c r="G122" s="112">
        <f t="shared" si="9"/>
        <v>341</v>
      </c>
      <c r="H122" s="99">
        <f>G122+'29'!H122</f>
        <v>-294</v>
      </c>
      <c r="I122" s="165"/>
      <c r="J122" s="328">
        <f>H122/DAY(B2)</f>
        <v>-9.8000000000000007</v>
      </c>
    </row>
    <row r="123" spans="1:18" ht="30.75" customHeight="1">
      <c r="A123" s="882" t="s">
        <v>102</v>
      </c>
      <c r="B123" s="882"/>
      <c r="C123" s="882"/>
      <c r="D123" s="151" t="s">
        <v>183</v>
      </c>
      <c r="E123" s="95">
        <f>'29'!F123</f>
        <v>86957.187000000005</v>
      </c>
      <c r="F123" s="237">
        <v>87269</v>
      </c>
      <c r="G123" s="112">
        <f t="shared" si="9"/>
        <v>311.81299999999464</v>
      </c>
      <c r="H123" s="99">
        <f>G123+'29'!H123</f>
        <v>-310</v>
      </c>
      <c r="I123" s="165"/>
      <c r="J123" s="328">
        <f>H123/DAY(B2)</f>
        <v>-10.333333333333334</v>
      </c>
    </row>
    <row r="124" spans="1:18" ht="30.75" customHeight="1">
      <c r="A124" s="887"/>
      <c r="B124" s="888"/>
      <c r="C124" s="88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788" t="s">
        <v>196</v>
      </c>
      <c r="B125" s="789"/>
      <c r="C125" s="245"/>
      <c r="D125" s="307"/>
      <c r="E125" s="308"/>
      <c r="F125" s="308"/>
      <c r="G125" s="309">
        <f>SUM(G112:G124)</f>
        <v>3500.7700000000077</v>
      </c>
      <c r="H125" s="156"/>
      <c r="I125" s="327">
        <f>G125-(G39+G53)</f>
        <v>688.77000000000771</v>
      </c>
      <c r="J125" s="327"/>
    </row>
    <row r="126" spans="1:18" ht="30.75" customHeight="1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30.75" customHeight="1">
      <c r="A127" s="872"/>
      <c r="B127" s="87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83" t="s">
        <v>318</v>
      </c>
      <c r="B128" s="884"/>
      <c r="C128" s="885"/>
      <c r="D128" s="151" t="s">
        <v>183</v>
      </c>
      <c r="E128" s="95">
        <f>'29'!F128</f>
        <v>206318.97</v>
      </c>
      <c r="F128" s="165">
        <v>206823.03</v>
      </c>
      <c r="G128" s="112">
        <f t="shared" ref="G128:G134" si="10">F128-E128</f>
        <v>504.05999999999767</v>
      </c>
      <c r="H128" s="99">
        <f>G128+'29'!H128</f>
        <v>-465.97000000000116</v>
      </c>
      <c r="I128" s="165"/>
      <c r="J128" s="328">
        <f>H128/DAY(B2)</f>
        <v>-15.532333333333373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488.05900000000003</v>
      </c>
      <c r="F129" s="165">
        <v>617.55999999999995</v>
      </c>
      <c r="G129" s="112">
        <f t="shared" si="10"/>
        <v>129.50099999999992</v>
      </c>
      <c r="H129" s="99">
        <f>G129+'29'!H129</f>
        <v>-116.43999999999988</v>
      </c>
      <c r="I129" s="165"/>
      <c r="J129" s="328">
        <f>H129/DAY(B2)</f>
        <v>-3.8813333333333295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285954.23</v>
      </c>
      <c r="F130" s="165">
        <v>288548.27</v>
      </c>
      <c r="G130" s="112">
        <f t="shared" si="10"/>
        <v>2594.0400000000373</v>
      </c>
      <c r="H130" s="99">
        <f>G130+'29'!H130</f>
        <v>-173.72999999998137</v>
      </c>
      <c r="I130" s="165"/>
      <c r="J130" s="328">
        <f>H130/DAY(B2)</f>
        <v>-5.7909999999993795</v>
      </c>
      <c r="N130" s="240"/>
      <c r="O130" s="241"/>
    </row>
    <row r="131" spans="1:15" ht="30.75" customHeight="1">
      <c r="A131" s="883" t="s">
        <v>321</v>
      </c>
      <c r="B131" s="884"/>
      <c r="C131" s="885"/>
      <c r="D131" s="151" t="s">
        <v>183</v>
      </c>
      <c r="E131" s="95">
        <f>'29'!F131</f>
        <v>84356</v>
      </c>
      <c r="F131" s="165">
        <v>84506.27</v>
      </c>
      <c r="G131" s="112">
        <f t="shared" si="10"/>
        <v>150.27000000000407</v>
      </c>
      <c r="H131" s="99">
        <f>G131+'29'!H131</f>
        <v>-197.55999999999767</v>
      </c>
      <c r="I131" s="165"/>
      <c r="J131" s="328">
        <f>H131/DAY(B2)</f>
        <v>-6.5853333333332555</v>
      </c>
      <c r="N131" s="240"/>
      <c r="O131" s="241"/>
    </row>
    <row r="132" spans="1:15" ht="30.75" customHeight="1">
      <c r="A132" s="883" t="s">
        <v>322</v>
      </c>
      <c r="B132" s="884"/>
      <c r="C132" s="885"/>
      <c r="D132" s="151" t="s">
        <v>183</v>
      </c>
      <c r="E132" s="120">
        <f>'29'!F132</f>
        <v>66842.535000000003</v>
      </c>
      <c r="F132" s="464">
        <v>67129</v>
      </c>
      <c r="G132" s="112">
        <f t="shared" si="10"/>
        <v>286.46499999999651</v>
      </c>
      <c r="H132" s="99">
        <f>G132+'29'!H132</f>
        <v>-318</v>
      </c>
      <c r="I132" s="165"/>
      <c r="J132" s="328">
        <f>H132/DAY(B2)</f>
        <v>-10.6</v>
      </c>
    </row>
    <row r="133" spans="1:15" ht="30.75" customHeight="1">
      <c r="A133" s="883" t="s">
        <v>358</v>
      </c>
      <c r="B133" s="884"/>
      <c r="C133" s="885"/>
      <c r="D133" s="151" t="s">
        <v>183</v>
      </c>
      <c r="E133" s="95">
        <f>'29'!F133</f>
        <v>948838</v>
      </c>
      <c r="F133" s="165">
        <v>949454</v>
      </c>
      <c r="G133" s="112">
        <f t="shared" si="10"/>
        <v>616</v>
      </c>
      <c r="H133" s="99">
        <f>G133+'29'!H133</f>
        <v>-5519</v>
      </c>
      <c r="I133" s="165"/>
      <c r="J133" s="328">
        <f>H133/DAY(B2)</f>
        <v>-183.96666666666667</v>
      </c>
    </row>
    <row r="134" spans="1:15" ht="30.75" customHeight="1">
      <c r="A134" s="883" t="s">
        <v>340</v>
      </c>
      <c r="B134" s="884"/>
      <c r="C134" s="885"/>
      <c r="D134" s="151" t="s">
        <v>183</v>
      </c>
      <c r="E134" s="95">
        <f>'29'!F134</f>
        <v>92715.846999999994</v>
      </c>
      <c r="F134" s="466">
        <v>92974.79</v>
      </c>
      <c r="G134" s="112">
        <f t="shared" si="10"/>
        <v>258.9429999999993</v>
      </c>
      <c r="H134" s="99">
        <f>G134+'29'!H134</f>
        <v>2293.0999999999913</v>
      </c>
      <c r="I134" s="165"/>
      <c r="J134" s="328">
        <f>H134/DAY(B2)</f>
        <v>76.436666666666369</v>
      </c>
    </row>
    <row r="135" spans="1:15" ht="30.75" customHeight="1">
      <c r="A135" s="788" t="s">
        <v>196</v>
      </c>
      <c r="B135" s="789"/>
      <c r="C135" s="331"/>
      <c r="D135" s="151"/>
      <c r="E135" s="95"/>
      <c r="F135" s="165"/>
      <c r="G135" s="112">
        <f>SUM(G128:G134)</f>
        <v>4539.279000000035</v>
      </c>
      <c r="H135" s="99">
        <f>G135+'23'!H135</f>
        <v>30774.05899999999</v>
      </c>
      <c r="I135" s="327">
        <f>G135-(G35+G49)</f>
        <v>1555.6290000001281</v>
      </c>
      <c r="J135" s="328">
        <f>H135/DAY(B2)</f>
        <v>1025.8019666666664</v>
      </c>
    </row>
    <row r="136" spans="1:15" ht="30.75" customHeight="1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2" t="s">
        <v>185</v>
      </c>
      <c r="B138" s="882"/>
      <c r="C138" s="882"/>
      <c r="D138" s="151" t="s">
        <v>183</v>
      </c>
      <c r="E138" s="95">
        <f>'29'!F138</f>
        <v>912677</v>
      </c>
      <c r="F138" s="147">
        <v>912798</v>
      </c>
      <c r="G138" s="112">
        <f t="shared" ref="G138:G152" si="11">F138-E138</f>
        <v>121</v>
      </c>
      <c r="H138" s="99">
        <f>G138+'29'!H138</f>
        <v>3397</v>
      </c>
      <c r="I138" s="118"/>
      <c r="J138" s="328">
        <f>H138/DAY(B2)</f>
        <v>113.23333333333333</v>
      </c>
    </row>
    <row r="139" spans="1:15" ht="30.75" customHeight="1">
      <c r="A139" s="882" t="s">
        <v>186</v>
      </c>
      <c r="B139" s="882"/>
      <c r="C139" s="882"/>
      <c r="D139" s="151" t="s">
        <v>183</v>
      </c>
      <c r="E139" s="95">
        <f>'29'!F139</f>
        <v>936931</v>
      </c>
      <c r="F139" s="148">
        <v>937087</v>
      </c>
      <c r="G139" s="112">
        <f t="shared" si="11"/>
        <v>156</v>
      </c>
      <c r="H139" s="99">
        <f>G139+'29'!H139</f>
        <v>-171</v>
      </c>
      <c r="I139" s="118"/>
      <c r="J139" s="328">
        <f>H139/DAY(B2)</f>
        <v>-5.7</v>
      </c>
    </row>
    <row r="140" spans="1:15" ht="30.75" customHeight="1">
      <c r="A140" s="882" t="s">
        <v>187</v>
      </c>
      <c r="B140" s="882"/>
      <c r="C140" s="882"/>
      <c r="D140" s="151" t="s">
        <v>183</v>
      </c>
      <c r="E140" s="95">
        <f>'29'!F140</f>
        <v>4000.55</v>
      </c>
      <c r="F140" s="149">
        <v>4016.51</v>
      </c>
      <c r="G140" s="112">
        <f t="shared" si="11"/>
        <v>15.960000000000036</v>
      </c>
      <c r="H140" s="99">
        <f>G140+'29'!H140</f>
        <v>-747.48999999999978</v>
      </c>
      <c r="I140" s="118"/>
      <c r="J140" s="328">
        <f>H140/DAY(B2)</f>
        <v>-24.916333333333327</v>
      </c>
    </row>
    <row r="141" spans="1:15" ht="30.75" customHeight="1">
      <c r="A141" s="865" t="s">
        <v>188</v>
      </c>
      <c r="B141" s="865"/>
      <c r="C141" s="865"/>
      <c r="D141" s="151" t="s">
        <v>183</v>
      </c>
      <c r="E141" s="95">
        <f>'29'!F141</f>
        <v>130858.82</v>
      </c>
      <c r="F141" s="149">
        <v>131042</v>
      </c>
      <c r="G141" s="112">
        <f t="shared" si="11"/>
        <v>183.17999999999302</v>
      </c>
      <c r="H141" s="99">
        <f>G141+'29'!H141</f>
        <v>-278</v>
      </c>
      <c r="I141" s="118"/>
      <c r="J141" s="328">
        <f>H141/DAY(B2)</f>
        <v>-9.2666666666666675</v>
      </c>
    </row>
    <row r="142" spans="1:15" ht="30.75" customHeight="1">
      <c r="A142" s="865" t="s">
        <v>189</v>
      </c>
      <c r="B142" s="865"/>
      <c r="C142" s="865"/>
      <c r="D142" s="151" t="s">
        <v>183</v>
      </c>
      <c r="E142" s="95">
        <f>'29'!F142</f>
        <v>53013</v>
      </c>
      <c r="F142" s="148">
        <v>53100.135000000002</v>
      </c>
      <c r="G142" s="112">
        <f t="shared" si="11"/>
        <v>87.135000000002037</v>
      </c>
      <c r="H142" s="99">
        <f>G142+'29'!H142</f>
        <v>-90.864999999997963</v>
      </c>
      <c r="I142" s="140"/>
      <c r="J142" s="328">
        <f>H142/DAY(B2)</f>
        <v>-3.0288333333332655</v>
      </c>
    </row>
    <row r="143" spans="1:15" ht="30.75" customHeight="1">
      <c r="A143" s="882" t="s">
        <v>91</v>
      </c>
      <c r="B143" s="882"/>
      <c r="C143" s="882"/>
      <c r="D143" s="151" t="s">
        <v>183</v>
      </c>
      <c r="E143" s="95">
        <f>'29'!F143</f>
        <v>14245.94</v>
      </c>
      <c r="F143" s="149">
        <v>14279.6</v>
      </c>
      <c r="G143" s="112">
        <f t="shared" si="11"/>
        <v>33.659999999999854</v>
      </c>
      <c r="H143" s="99">
        <f>G143+'29'!H143</f>
        <v>-32.399999999999636</v>
      </c>
      <c r="I143" s="140"/>
      <c r="J143" s="328">
        <f>H143/DAY(B2)</f>
        <v>-1.0799999999999879</v>
      </c>
    </row>
    <row r="144" spans="1:15" ht="30.75" customHeight="1">
      <c r="A144" s="865" t="s">
        <v>90</v>
      </c>
      <c r="B144" s="865"/>
      <c r="C144" s="865"/>
      <c r="D144" s="151" t="s">
        <v>183</v>
      </c>
      <c r="E144" s="95">
        <f>'29'!F144</f>
        <v>962671</v>
      </c>
      <c r="F144" s="149">
        <v>962958</v>
      </c>
      <c r="G144" s="112">
        <f t="shared" si="11"/>
        <v>287</v>
      </c>
      <c r="H144" s="99">
        <f>G144+'29'!H144</f>
        <v>-268</v>
      </c>
      <c r="I144" s="140"/>
      <c r="J144" s="328">
        <f>H144/DAY(B2)</f>
        <v>-8.9333333333333336</v>
      </c>
    </row>
    <row r="145" spans="1:10" ht="30.75" customHeight="1">
      <c r="A145" s="882" t="s">
        <v>190</v>
      </c>
      <c r="B145" s="882"/>
      <c r="C145" s="882"/>
      <c r="D145" s="152" t="s">
        <v>183</v>
      </c>
      <c r="E145" s="149">
        <v>750333</v>
      </c>
      <c r="F145" s="149">
        <v>750539</v>
      </c>
      <c r="G145" s="112">
        <f t="shared" si="11"/>
        <v>206</v>
      </c>
      <c r="H145" s="99">
        <f>G145+'29'!H145</f>
        <v>-194</v>
      </c>
      <c r="I145" s="140"/>
      <c r="J145" s="328">
        <f>H145/DAY(B2)</f>
        <v>-6.4666666666666668</v>
      </c>
    </row>
    <row r="146" spans="1:10" ht="30.75" customHeight="1">
      <c r="A146" s="916" t="s">
        <v>191</v>
      </c>
      <c r="B146" s="902"/>
      <c r="C146" s="903"/>
      <c r="D146" s="152" t="s">
        <v>183</v>
      </c>
      <c r="E146" s="95">
        <f>'29'!F146</f>
        <v>788924</v>
      </c>
      <c r="F146" s="148">
        <v>788980</v>
      </c>
      <c r="G146" s="112">
        <f t="shared" si="11"/>
        <v>56</v>
      </c>
      <c r="H146" s="99">
        <f>G146+'29'!H146</f>
        <v>-45</v>
      </c>
      <c r="I146" s="140"/>
      <c r="J146" s="328">
        <f>H146/DAY(B2)</f>
        <v>-1.5</v>
      </c>
    </row>
    <row r="147" spans="1:10" ht="30.75" customHeight="1">
      <c r="A147" s="865" t="s">
        <v>192</v>
      </c>
      <c r="B147" s="865"/>
      <c r="C147" s="865"/>
      <c r="D147" s="152" t="s">
        <v>183</v>
      </c>
      <c r="E147" s="95">
        <f>'29'!F147</f>
        <v>770893.04</v>
      </c>
      <c r="F147" s="148">
        <v>771288.24</v>
      </c>
      <c r="G147" s="112">
        <f t="shared" si="11"/>
        <v>395.19999999995343</v>
      </c>
      <c r="H147" s="99">
        <f>G147+'29'!H147</f>
        <v>-368.64000000001397</v>
      </c>
      <c r="I147" s="140"/>
      <c r="J147" s="328">
        <f>H147/DAY(B2)</f>
        <v>-12.288000000000466</v>
      </c>
    </row>
    <row r="148" spans="1:10" ht="30.75" customHeight="1">
      <c r="A148" s="866" t="s">
        <v>193</v>
      </c>
      <c r="B148" s="867"/>
      <c r="C148" s="868"/>
      <c r="D148" s="123" t="s">
        <v>130</v>
      </c>
      <c r="E148" s="95">
        <f>'29'!F148</f>
        <v>806079.44</v>
      </c>
      <c r="F148" s="150">
        <v>806391.2</v>
      </c>
      <c r="G148" s="112">
        <f t="shared" si="11"/>
        <v>311.76000000000931</v>
      </c>
      <c r="H148" s="99">
        <f>G148+'29'!H148</f>
        <v>-429.04000000003725</v>
      </c>
      <c r="I148" s="124"/>
      <c r="J148" s="328">
        <f>H148/DAY(B2)</f>
        <v>-14.301333333334576</v>
      </c>
    </row>
    <row r="149" spans="1:10" ht="30.75" customHeight="1">
      <c r="A149" s="866" t="s">
        <v>336</v>
      </c>
      <c r="B149" s="867"/>
      <c r="C149" s="868"/>
      <c r="D149" s="227" t="s">
        <v>130</v>
      </c>
      <c r="E149" s="146">
        <v>215690</v>
      </c>
      <c r="F149" s="146">
        <v>216310</v>
      </c>
      <c r="G149" s="112">
        <f t="shared" si="11"/>
        <v>620</v>
      </c>
      <c r="H149" s="99">
        <f>G149+'29'!H149</f>
        <v>-586</v>
      </c>
      <c r="I149" s="119"/>
      <c r="J149" s="328">
        <f>H149/DAY(B2)</f>
        <v>-19.533333333333335</v>
      </c>
    </row>
    <row r="150" spans="1:10" ht="30.75" customHeight="1">
      <c r="A150" s="866" t="s">
        <v>337</v>
      </c>
      <c r="B150" s="867"/>
      <c r="C150" s="868"/>
      <c r="D150" s="117" t="s">
        <v>130</v>
      </c>
      <c r="E150" s="95">
        <f>'29'!F150</f>
        <v>91953</v>
      </c>
      <c r="F150" s="233">
        <v>94875</v>
      </c>
      <c r="G150" s="112">
        <f t="shared" si="11"/>
        <v>2922</v>
      </c>
      <c r="H150" s="99">
        <f>G150+'29'!H150</f>
        <v>2764.1999999999971</v>
      </c>
      <c r="I150" s="119"/>
      <c r="J150" s="328">
        <f>H150/DAY(B2)</f>
        <v>92.139999999999901</v>
      </c>
    </row>
    <row r="151" spans="1:10" ht="30.75" customHeight="1">
      <c r="A151" s="866" t="s">
        <v>338</v>
      </c>
      <c r="B151" s="867"/>
      <c r="C151" s="868"/>
      <c r="D151" s="117" t="s">
        <v>130</v>
      </c>
      <c r="E151" s="95">
        <f>'29'!F151</f>
        <v>175580</v>
      </c>
      <c r="F151" s="233">
        <v>175892</v>
      </c>
      <c r="G151" s="112">
        <f t="shared" si="11"/>
        <v>312</v>
      </c>
      <c r="H151" s="99">
        <f>G151+'29'!H151</f>
        <v>-283</v>
      </c>
      <c r="I151" s="119"/>
      <c r="J151" s="328">
        <f>H151/DAY(B2)</f>
        <v>-9.4333333333333336</v>
      </c>
    </row>
    <row r="152" spans="1:10" ht="30.75" customHeight="1">
      <c r="A152" s="866" t="s">
        <v>339</v>
      </c>
      <c r="B152" s="867"/>
      <c r="C152" s="868"/>
      <c r="D152" s="117" t="s">
        <v>130</v>
      </c>
      <c r="E152" s="95">
        <f>'29'!F152</f>
        <v>46367.77</v>
      </c>
      <c r="F152" s="233">
        <v>46501</v>
      </c>
      <c r="G152" s="112">
        <f t="shared" si="11"/>
        <v>133.2300000000032</v>
      </c>
      <c r="H152" s="99">
        <f>G152+'29'!H152</f>
        <v>-131</v>
      </c>
      <c r="I152" s="119"/>
      <c r="J152" s="328">
        <f>H152/DAY(B2)</f>
        <v>-4.3666666666666663</v>
      </c>
    </row>
    <row r="153" spans="1:10" ht="30.75" customHeight="1">
      <c r="A153" s="788" t="s">
        <v>196</v>
      </c>
      <c r="B153" s="789"/>
      <c r="C153" s="365"/>
      <c r="D153" s="358"/>
      <c r="E153" s="360"/>
      <c r="F153" s="361"/>
      <c r="G153" s="362">
        <f>SUM(G138:G152)</f>
        <v>5840.1249999999609</v>
      </c>
      <c r="H153" s="363"/>
      <c r="I153" s="119">
        <f>G153-(G38+G52)</f>
        <v>3106.2450000000072</v>
      </c>
      <c r="J153" s="366"/>
    </row>
    <row r="154" spans="1:10" ht="30.75" customHeight="1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0" ht="30.75" customHeight="1">
      <c r="A155" s="865" t="s">
        <v>345</v>
      </c>
      <c r="B155" s="865"/>
      <c r="C155" s="865"/>
      <c r="D155" s="117" t="s">
        <v>130</v>
      </c>
      <c r="E155" s="95">
        <f>'29'!F155</f>
        <v>255261.55</v>
      </c>
      <c r="F155" s="374">
        <v>255803.83</v>
      </c>
      <c r="G155" s="112">
        <f t="shared" ref="G155:G158" si="12">F155-E155</f>
        <v>542.27999999999884</v>
      </c>
      <c r="H155" s="99">
        <f>G155+'29'!H155</f>
        <v>-548.17000000001281</v>
      </c>
      <c r="I155" s="364"/>
      <c r="J155" s="328">
        <f>H155/DAY(B2)</f>
        <v>-18.272333333333759</v>
      </c>
    </row>
    <row r="156" spans="1:10" ht="30.75" customHeight="1">
      <c r="A156" s="865" t="s">
        <v>347</v>
      </c>
      <c r="B156" s="865"/>
      <c r="C156" s="865"/>
      <c r="D156" s="117" t="s">
        <v>130</v>
      </c>
      <c r="E156" s="95">
        <f>'29'!F156</f>
        <v>32362.187000000002</v>
      </c>
      <c r="F156" s="155">
        <v>32459</v>
      </c>
      <c r="G156" s="112">
        <f t="shared" si="12"/>
        <v>96.812999999998283</v>
      </c>
      <c r="H156" s="99">
        <f>G156+'29'!H156</f>
        <v>-100</v>
      </c>
      <c r="I156" s="165"/>
      <c r="J156" s="328">
        <f>H156/DAY(B2)</f>
        <v>-3.3333333333333335</v>
      </c>
    </row>
    <row r="157" spans="1:10" ht="30.75" customHeight="1">
      <c r="A157" s="866" t="s">
        <v>359</v>
      </c>
      <c r="B157" s="867"/>
      <c r="C157" s="868"/>
      <c r="D157" s="117" t="s">
        <v>130</v>
      </c>
      <c r="E157" s="95">
        <f>'29'!F157</f>
        <v>37559</v>
      </c>
      <c r="F157" s="155">
        <v>37559</v>
      </c>
      <c r="G157" s="112">
        <f t="shared" si="12"/>
        <v>0</v>
      </c>
      <c r="H157" s="99">
        <f>G157+'29'!H157</f>
        <v>0</v>
      </c>
      <c r="I157" s="165"/>
      <c r="J157" s="328">
        <f>H157/DAY(B2)</f>
        <v>0</v>
      </c>
    </row>
    <row r="158" spans="1:10" ht="30.75" customHeight="1">
      <c r="A158" s="866" t="s">
        <v>360</v>
      </c>
      <c r="B158" s="867"/>
      <c r="C158" s="868"/>
      <c r="D158" s="117" t="s">
        <v>130</v>
      </c>
      <c r="E158" s="95">
        <f>'29'!F158</f>
        <v>1782</v>
      </c>
      <c r="F158" s="155">
        <v>1783</v>
      </c>
      <c r="G158" s="112">
        <f t="shared" si="12"/>
        <v>1</v>
      </c>
      <c r="H158" s="99">
        <f>G158+'29'!H158</f>
        <v>-79</v>
      </c>
      <c r="I158" s="165"/>
      <c r="J158" s="328">
        <f>H158/DAY(B2)</f>
        <v>-2.6333333333333333</v>
      </c>
    </row>
    <row r="159" spans="1:10" ht="30.75" customHeight="1">
      <c r="A159" s="946"/>
      <c r="B159" s="947"/>
      <c r="C159" s="948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71"/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512165.8</v>
      </c>
      <c r="F161" s="235">
        <v>512296.36</v>
      </c>
      <c r="G161" s="238">
        <f t="shared" ref="G161:G165" si="13">F161-E161</f>
        <v>130.55999999999767</v>
      </c>
      <c r="H161" s="99">
        <f>G161+'29'!H161</f>
        <v>-148.64000000001397</v>
      </c>
      <c r="I161" s="236"/>
      <c r="J161" s="239">
        <f>H161/DAY(B2)</f>
        <v>-4.9546666666671326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1714.1</v>
      </c>
      <c r="F162" s="235">
        <v>1748.7</v>
      </c>
      <c r="G162" s="238">
        <f t="shared" si="13"/>
        <v>34.600000000000136</v>
      </c>
      <c r="H162" s="99">
        <f>G162+'29'!H162</f>
        <v>-11.299999999999955</v>
      </c>
      <c r="I162" s="236"/>
      <c r="J162" s="239">
        <f>H162/DAY(B2)</f>
        <v>-0.37666666666666515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0</v>
      </c>
      <c r="F163" s="235">
        <v>0</v>
      </c>
      <c r="G163" s="238">
        <f t="shared" si="13"/>
        <v>0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7333</v>
      </c>
      <c r="F164" s="235">
        <v>7334</v>
      </c>
      <c r="G164" s="238">
        <f t="shared" si="13"/>
        <v>1</v>
      </c>
      <c r="H164" s="99">
        <f>G164+'29'!H164</f>
        <v>-3</v>
      </c>
      <c r="I164" s="236"/>
      <c r="J164" s="239">
        <f>H164/DAY(B2)</f>
        <v>-0.1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32958</v>
      </c>
      <c r="F165" s="235">
        <v>32966.300000000003</v>
      </c>
      <c r="G165" s="238">
        <f t="shared" si="13"/>
        <v>8.3000000000029104</v>
      </c>
      <c r="H165" s="99">
        <f>G165+'29'!H165</f>
        <v>-8.2199999999938882</v>
      </c>
      <c r="I165" s="236"/>
      <c r="J165" s="239">
        <f>H165/DAY(B2)</f>
        <v>-0.2739999999997963</v>
      </c>
    </row>
    <row r="166" spans="1:10" ht="30.75" customHeight="1">
      <c r="A166" s="872"/>
      <c r="B166" s="87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72"/>
      <c r="B167" s="87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72"/>
      <c r="B168" s="87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30.75" customHeight="1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90" t="s">
        <v>209</v>
      </c>
      <c r="B173" s="791"/>
      <c r="C173" s="333"/>
      <c r="D173" s="228" t="s">
        <v>142</v>
      </c>
      <c r="E173" s="95">
        <f>'29'!F173</f>
        <v>8612</v>
      </c>
      <c r="F173" s="155">
        <v>8612</v>
      </c>
      <c r="G173" s="155">
        <f>F173-E173</f>
        <v>0</v>
      </c>
      <c r="H173" s="99">
        <f>G173+'29'!H173</f>
        <v>30</v>
      </c>
      <c r="I173" s="155"/>
      <c r="J173" s="178">
        <f>H173/DAY(B2)</f>
        <v>1</v>
      </c>
    </row>
    <row r="174" spans="1:10" ht="30.75" customHeight="1">
      <c r="A174" s="790" t="s">
        <v>75</v>
      </c>
      <c r="B174" s="791"/>
      <c r="C174" s="333"/>
      <c r="D174" s="228" t="s">
        <v>142</v>
      </c>
      <c r="E174" s="95">
        <f>'29'!F174</f>
        <v>43390</v>
      </c>
      <c r="F174" s="157">
        <v>43403</v>
      </c>
      <c r="G174" s="155">
        <f t="shared" ref="G174:G175" si="14">F174-E174</f>
        <v>13</v>
      </c>
      <c r="H174" s="99">
        <f>G174+'29'!H174</f>
        <v>-11</v>
      </c>
      <c r="I174" s="155"/>
      <c r="J174" s="178">
        <f>H174/DAY(B2)</f>
        <v>-0.36666666666666664</v>
      </c>
    </row>
    <row r="175" spans="1:10" ht="30.75" customHeight="1">
      <c r="A175" s="790" t="s">
        <v>76</v>
      </c>
      <c r="B175" s="803"/>
      <c r="C175" s="791"/>
      <c r="D175" s="228" t="s">
        <v>142</v>
      </c>
      <c r="E175" s="95">
        <f>'29'!F175</f>
        <v>26259</v>
      </c>
      <c r="F175" s="155">
        <v>26273</v>
      </c>
      <c r="G175" s="155">
        <f t="shared" si="14"/>
        <v>14</v>
      </c>
      <c r="H175" s="99">
        <f>G175+'29'!H175</f>
        <v>-14</v>
      </c>
      <c r="I175" s="155"/>
      <c r="J175" s="178">
        <f>H175/DAY(B2)</f>
        <v>-0.46666666666666667</v>
      </c>
    </row>
    <row r="176" spans="1:10" ht="30.75" customHeight="1">
      <c r="A176" s="788" t="s">
        <v>196</v>
      </c>
      <c r="B176" s="789"/>
      <c r="C176" s="400"/>
      <c r="D176" s="228" t="s">
        <v>142</v>
      </c>
      <c r="E176" s="95"/>
      <c r="F176" s="155"/>
      <c r="G176" s="155">
        <f>SUM(G173:G175)</f>
        <v>27</v>
      </c>
      <c r="H176" s="99">
        <f>G176+'29'!H176</f>
        <v>5</v>
      </c>
      <c r="I176" s="155"/>
      <c r="J176" s="178">
        <f>H176/DAY(B2)</f>
        <v>0.16666666666666666</v>
      </c>
    </row>
    <row r="177" spans="1:10" ht="30.75" customHeight="1">
      <c r="A177" s="790" t="s">
        <v>77</v>
      </c>
      <c r="B177" s="791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790" t="s">
        <v>210</v>
      </c>
      <c r="B178" s="791"/>
      <c r="C178" s="333"/>
      <c r="D178" s="228" t="s">
        <v>142</v>
      </c>
      <c r="E178" s="95">
        <f>'29'!F178</f>
        <v>110237</v>
      </c>
      <c r="F178" s="155">
        <v>110309</v>
      </c>
      <c r="G178" s="155">
        <f>F178-E178</f>
        <v>72</v>
      </c>
      <c r="H178" s="99">
        <f>G178+'29'!H178</f>
        <v>-82</v>
      </c>
      <c r="I178" s="155"/>
      <c r="J178" s="178">
        <f>H178/DAY(B2)</f>
        <v>-2.7333333333333334</v>
      </c>
    </row>
    <row r="179" spans="1:10" ht="30.75" customHeight="1">
      <c r="A179" s="790" t="s">
        <v>211</v>
      </c>
      <c r="B179" s="791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790" t="s">
        <v>212</v>
      </c>
      <c r="B180" s="791"/>
      <c r="C180" s="333"/>
      <c r="D180" s="228" t="s">
        <v>142</v>
      </c>
      <c r="E180" s="95">
        <f>'29'!F180</f>
        <v>7692</v>
      </c>
      <c r="F180" s="155">
        <v>7696</v>
      </c>
      <c r="G180" s="155">
        <f t="shared" si="15"/>
        <v>4</v>
      </c>
      <c r="H180" s="99">
        <f>G180+'29'!H180</f>
        <v>-5</v>
      </c>
      <c r="I180" s="155"/>
      <c r="J180" s="178">
        <f>H180/DAY(B2)</f>
        <v>-0.16666666666666666</v>
      </c>
    </row>
    <row r="181" spans="1:10" ht="30.75" customHeight="1">
      <c r="A181" s="878" t="s">
        <v>108</v>
      </c>
      <c r="B181" s="879"/>
      <c r="C181" s="400"/>
      <c r="D181" s="228" t="s">
        <v>142</v>
      </c>
      <c r="E181" s="95"/>
      <c r="F181" s="155"/>
      <c r="G181" s="155">
        <f>SUM(G178:G180)</f>
        <v>76</v>
      </c>
      <c r="H181" s="99">
        <f>G181+'29'!H181</f>
        <v>-87</v>
      </c>
      <c r="I181" s="155"/>
      <c r="J181" s="178">
        <f>H181/DAY(B2)</f>
        <v>-2.9</v>
      </c>
    </row>
    <row r="182" spans="1:10" ht="30.75" customHeight="1">
      <c r="A182" s="790" t="s">
        <v>213</v>
      </c>
      <c r="B182" s="791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790" t="s">
        <v>214</v>
      </c>
      <c r="B183" s="791"/>
      <c r="C183" s="334"/>
      <c r="D183" s="228" t="s">
        <v>142</v>
      </c>
      <c r="E183" s="95">
        <f>'29'!F183</f>
        <v>18662</v>
      </c>
      <c r="F183" s="157">
        <v>18688</v>
      </c>
      <c r="G183" s="157">
        <f>F183-E183</f>
        <v>26</v>
      </c>
      <c r="H183" s="99">
        <f>G183+'29'!H183</f>
        <v>-4</v>
      </c>
      <c r="I183" s="155"/>
      <c r="J183" s="178">
        <f>H183/DAY(B2)</f>
        <v>-0.13333333333333333</v>
      </c>
    </row>
    <row r="184" spans="1:10" ht="30.75" customHeight="1">
      <c r="A184" s="790" t="s">
        <v>215</v>
      </c>
      <c r="B184" s="791"/>
      <c r="C184" s="334"/>
      <c r="D184" s="228" t="s">
        <v>142</v>
      </c>
      <c r="E184" s="95">
        <f>'29'!F184</f>
        <v>13230</v>
      </c>
      <c r="F184" s="157">
        <v>13239</v>
      </c>
      <c r="G184" s="157">
        <f t="shared" ref="G184:G185" si="16">F184-E184</f>
        <v>9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>
      <c r="A185" s="790" t="s">
        <v>216</v>
      </c>
      <c r="B185" s="791"/>
      <c r="C185" s="334"/>
      <c r="D185" s="228" t="s">
        <v>142</v>
      </c>
      <c r="E185" s="95">
        <f>'29'!F185</f>
        <v>2532</v>
      </c>
      <c r="F185" s="157"/>
      <c r="G185" s="157">
        <f t="shared" si="16"/>
        <v>-2532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788" t="s">
        <v>196</v>
      </c>
      <c r="B186" s="789"/>
      <c r="C186" s="399"/>
      <c r="D186" s="228" t="s">
        <v>142</v>
      </c>
      <c r="E186" s="95"/>
      <c r="F186" s="157"/>
      <c r="G186" s="157">
        <f>SUM(G183:G185)</f>
        <v>-2497</v>
      </c>
      <c r="H186" s="99">
        <f>G186+'29'!H186</f>
        <v>-11</v>
      </c>
      <c r="I186" s="157"/>
      <c r="J186" s="178">
        <f>H186/DAY(B2)</f>
        <v>-0.36666666666666664</v>
      </c>
    </row>
    <row r="187" spans="1:10" ht="30.75" customHeight="1">
      <c r="A187" s="869" t="s">
        <v>217</v>
      </c>
      <c r="B187" s="870"/>
      <c r="C187" s="333"/>
      <c r="D187" s="228" t="s">
        <v>142</v>
      </c>
      <c r="E187" s="95"/>
      <c r="F187" s="159"/>
      <c r="G187" s="159">
        <f>G62+G19</f>
        <v>150</v>
      </c>
      <c r="H187" s="99">
        <f>G187+'29'!H187</f>
        <v>-229</v>
      </c>
      <c r="I187" s="158"/>
      <c r="J187" s="179">
        <f>H187/DAY(B2)</f>
        <v>-7.6333333333333337</v>
      </c>
    </row>
    <row r="188" spans="1:10" ht="30.75" customHeight="1">
      <c r="A188" s="869" t="s">
        <v>218</v>
      </c>
      <c r="B188" s="870"/>
      <c r="C188" s="333"/>
      <c r="D188" s="230" t="s">
        <v>142</v>
      </c>
      <c r="E188" s="95"/>
      <c r="F188" s="159"/>
      <c r="G188" s="159">
        <f>G65+G66+G67+G69+G70</f>
        <v>196</v>
      </c>
      <c r="H188" s="99">
        <f>G188+'29'!H188</f>
        <v>-2632</v>
      </c>
      <c r="I188" s="158"/>
      <c r="J188" s="179">
        <f>H188/DAY(B2)</f>
        <v>-87.733333333333334</v>
      </c>
    </row>
    <row r="189" spans="1:10" ht="30.75" customHeight="1">
      <c r="A189" s="869" t="s">
        <v>219</v>
      </c>
      <c r="B189" s="870"/>
      <c r="C189" s="333"/>
      <c r="D189" s="230" t="s">
        <v>142</v>
      </c>
      <c r="E189" s="95"/>
      <c r="F189" s="157"/>
      <c r="G189" s="157">
        <f>G181</f>
        <v>76</v>
      </c>
      <c r="H189" s="99">
        <f>G189+'29'!H189</f>
        <v>-2058</v>
      </c>
      <c r="I189" s="158"/>
      <c r="J189" s="179">
        <f>H189/DAY(B2)</f>
        <v>-68.599999999999994</v>
      </c>
    </row>
    <row r="190" spans="1:10" ht="30.75" customHeight="1">
      <c r="A190" s="876"/>
      <c r="B190" s="877"/>
      <c r="C190" s="398"/>
      <c r="D190" s="395"/>
      <c r="E190" s="395"/>
      <c r="F190" s="395"/>
      <c r="G190" s="395"/>
      <c r="H190" s="396"/>
      <c r="I190" s="395"/>
      <c r="J190" s="397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154" zoomScale="53" zoomScaleNormal="75" zoomScaleSheetLayoutView="53" workbookViewId="0">
      <selection activeCell="I194" sqref="I19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5.77734375" style="160" customWidth="1"/>
    <col min="6" max="6" width="30" style="413" customWidth="1"/>
    <col min="7" max="7" width="28.88671875" style="413" customWidth="1"/>
    <col min="8" max="8" width="29.109375" style="161" customWidth="1"/>
    <col min="9" max="9" width="23.5546875" style="413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5" s="57" customFormat="1" ht="23.25">
      <c r="A2" s="191" t="s">
        <v>377</v>
      </c>
      <c r="B2" s="262">
        <v>44957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110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84" t="s">
        <v>129</v>
      </c>
      <c r="B7" s="985"/>
      <c r="C7" s="986"/>
      <c r="D7" s="151" t="s">
        <v>130</v>
      </c>
      <c r="E7" s="95">
        <v>599225</v>
      </c>
      <c r="F7" s="95">
        <v>622799</v>
      </c>
      <c r="G7" s="112">
        <f>F7-E7</f>
        <v>23574</v>
      </c>
      <c r="H7" s="99">
        <f>G7+'30'!H7</f>
        <v>999432</v>
      </c>
      <c r="I7" s="113">
        <f>'1'!I7</f>
        <v>12000</v>
      </c>
      <c r="J7" s="175">
        <f>H7/DAY(B2)</f>
        <v>32239.741935483871</v>
      </c>
      <c r="K7" s="172">
        <v>1375467</v>
      </c>
      <c r="L7" s="66"/>
      <c r="N7" s="87">
        <f>F7-'1'!E7</f>
        <v>0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792104</v>
      </c>
      <c r="F8" s="114">
        <v>816110</v>
      </c>
      <c r="G8" s="115">
        <f>F8-E8</f>
        <v>24006</v>
      </c>
      <c r="H8" s="99">
        <f>G8+'30'!H8</f>
        <v>1000000</v>
      </c>
      <c r="I8" s="116"/>
      <c r="J8" s="175">
        <f>H8/DAY(B2)</f>
        <v>32258.064516129034</v>
      </c>
      <c r="K8" s="172">
        <v>1715917</v>
      </c>
      <c r="L8" s="76">
        <v>1728480</v>
      </c>
      <c r="M8" s="87">
        <f>L8-K8</f>
        <v>12563</v>
      </c>
      <c r="N8" s="87">
        <f>F8-'1'!E8</f>
        <v>0</v>
      </c>
      <c r="O8" s="71"/>
    </row>
    <row r="9" spans="1:15" ht="25.5">
      <c r="A9" s="987" t="s">
        <v>132</v>
      </c>
      <c r="B9" s="988"/>
      <c r="C9" s="989"/>
      <c r="D9" s="151" t="s">
        <v>130</v>
      </c>
      <c r="E9" s="468">
        <v>4810415.9000000004</v>
      </c>
      <c r="F9" s="468">
        <v>4825099</v>
      </c>
      <c r="G9" s="112">
        <f>F9-E9</f>
        <v>14683.099999999627</v>
      </c>
      <c r="H9" s="99">
        <f>G9+'30'!H9</f>
        <v>0</v>
      </c>
      <c r="I9" s="124">
        <f>I7-J7</f>
        <v>-20239.741935483871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984" t="s">
        <v>133</v>
      </c>
      <c r="B10" s="985"/>
      <c r="C10" s="986"/>
      <c r="D10" s="151" t="s">
        <v>130</v>
      </c>
      <c r="E10" s="353">
        <v>4282264</v>
      </c>
      <c r="F10" s="353">
        <v>4290534</v>
      </c>
      <c r="G10" s="112">
        <f t="shared" ref="G10:G12" si="0">F10-E10</f>
        <v>8270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984" t="s">
        <v>134</v>
      </c>
      <c r="B11" s="985"/>
      <c r="C11" s="986"/>
      <c r="D11" s="151" t="s">
        <v>130</v>
      </c>
      <c r="E11" s="95">
        <v>38700</v>
      </c>
      <c r="F11" s="95">
        <v>38700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84" t="s">
        <v>135</v>
      </c>
      <c r="B12" s="985"/>
      <c r="C12" s="986"/>
      <c r="D12" s="151" t="s">
        <v>130</v>
      </c>
      <c r="E12" s="117">
        <v>40550</v>
      </c>
      <c r="F12" s="117">
        <v>40550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22953.099999999627</v>
      </c>
      <c r="H13" s="99">
        <f>G13+'30'!H13</f>
        <v>0</v>
      </c>
      <c r="I13" s="120">
        <f>G7-G13</f>
        <v>620.90000000037253</v>
      </c>
      <c r="J13" s="175">
        <f>H13/DAY(B2)</f>
        <v>0</v>
      </c>
      <c r="K13" s="79"/>
      <c r="L13" s="66"/>
      <c r="N13" s="87"/>
      <c r="O13" s="71"/>
    </row>
    <row r="14" spans="1:15" ht="26.25">
      <c r="A14" s="927" t="s">
        <v>137</v>
      </c>
      <c r="B14" s="928"/>
      <c r="C14" s="9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04" t="s">
        <v>138</v>
      </c>
      <c r="B15" s="905"/>
      <c r="C15" s="906"/>
      <c r="D15" s="151" t="s">
        <v>139</v>
      </c>
      <c r="E15" s="468">
        <v>2287362.753</v>
      </c>
      <c r="F15" s="468">
        <v>2288473.7149999999</v>
      </c>
      <c r="G15" s="112">
        <f>(F15-E15)</f>
        <v>1110.9619999998249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>
        <f>F15-'1'!E15</f>
        <v>0</v>
      </c>
      <c r="O15" s="71"/>
    </row>
    <row r="16" spans="1:15" ht="21.95" customHeight="1">
      <c r="A16" s="981"/>
      <c r="B16" s="982"/>
      <c r="C16" s="983"/>
      <c r="D16" s="152"/>
      <c r="E16" s="123"/>
      <c r="F16" s="123"/>
      <c r="G16" s="112"/>
      <c r="H16" s="124"/>
      <c r="I16" s="113">
        <f>'1'!I16</f>
        <v>-361.28500000014901</v>
      </c>
      <c r="J16" s="556">
        <f>H16/DAY(B2)</f>
        <v>0</v>
      </c>
      <c r="K16" s="79"/>
      <c r="L16" s="66"/>
      <c r="N16" s="87"/>
      <c r="O16" s="71"/>
    </row>
    <row r="17" spans="1:15" ht="26.25">
      <c r="A17" s="927" t="s">
        <v>140</v>
      </c>
      <c r="B17" s="928"/>
      <c r="C17" s="9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4" t="s">
        <v>141</v>
      </c>
      <c r="B18" s="905"/>
      <c r="C18" s="906"/>
      <c r="D18" s="151" t="s">
        <v>142</v>
      </c>
      <c r="E18" s="122">
        <v>28</v>
      </c>
      <c r="F18" s="164">
        <v>13</v>
      </c>
      <c r="G18" s="119">
        <f>F18*10</f>
        <v>130</v>
      </c>
      <c r="H18" s="99">
        <f>G18+'30'!H18</f>
        <v>6180</v>
      </c>
      <c r="I18" s="113">
        <f>'1'!I18</f>
        <v>65</v>
      </c>
      <c r="J18" s="175">
        <f>H18/DAY(B2)</f>
        <v>199.35483870967741</v>
      </c>
      <c r="K18" s="79"/>
      <c r="L18" s="66"/>
      <c r="N18" s="87"/>
      <c r="O18" s="71"/>
    </row>
    <row r="19" spans="1:15" ht="25.5">
      <c r="A19" s="904" t="s">
        <v>69</v>
      </c>
      <c r="B19" s="905"/>
      <c r="C19" s="906"/>
      <c r="D19" s="151" t="s">
        <v>142</v>
      </c>
      <c r="E19" s="122">
        <v>171259</v>
      </c>
      <c r="F19" s="122">
        <v>171323</v>
      </c>
      <c r="G19" s="112">
        <f t="shared" ref="G19" si="1">F19-E19</f>
        <v>64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194</v>
      </c>
      <c r="H20" s="99">
        <f>G20+'30'!H20</f>
        <v>6180</v>
      </c>
      <c r="I20" s="336">
        <f>I18-J20</f>
        <v>-134.35483870967741</v>
      </c>
      <c r="J20" s="175">
        <f>H20/DAY(B2)</f>
        <v>199.35483870967741</v>
      </c>
      <c r="K20" s="79"/>
      <c r="L20" s="66"/>
      <c r="N20" s="87"/>
      <c r="O20" s="71"/>
    </row>
    <row r="21" spans="1:15" ht="26.25">
      <c r="A21" s="927" t="s">
        <v>144</v>
      </c>
      <c r="B21" s="928"/>
      <c r="C21" s="9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2" t="s">
        <v>149</v>
      </c>
      <c r="B25" s="933"/>
      <c r="C25" s="9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6">
        <v>23574</v>
      </c>
      <c r="F27" s="136">
        <v>9</v>
      </c>
      <c r="G27" s="137">
        <f>E27*F27</f>
        <v>212166</v>
      </c>
      <c r="H27" s="99">
        <f>G27+'30'!H27</f>
        <v>9644497</v>
      </c>
      <c r="I27" s="138"/>
      <c r="J27" s="175">
        <f>H27/DAY(B2)</f>
        <v>311112.80645161291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6">
        <v>1111</v>
      </c>
      <c r="F28" s="136">
        <v>70</v>
      </c>
      <c r="G28" s="137">
        <f>E28*F28</f>
        <v>77770</v>
      </c>
      <c r="H28" s="99">
        <f>G28+'30'!H28</f>
        <v>-199782.87999998778</v>
      </c>
      <c r="I28" s="526"/>
      <c r="J28" s="175">
        <f>H28/DAY(B2)</f>
        <v>-6444.6090322576702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36">
        <v>0</v>
      </c>
      <c r="F29" s="136">
        <v>69</v>
      </c>
      <c r="G29" s="137">
        <f>E29*F29</f>
        <v>0</v>
      </c>
      <c r="H29" s="99">
        <f>G29+'30'!H29</f>
        <v>6900</v>
      </c>
      <c r="I29" s="526"/>
      <c r="J29" s="175">
        <f>H29/DAY(B2)</f>
        <v>222.58064516129033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36">
        <v>64</v>
      </c>
      <c r="F30" s="136">
        <v>151</v>
      </c>
      <c r="G30" s="137">
        <f>E30*F30</f>
        <v>9664</v>
      </c>
      <c r="H30" s="99">
        <f>G30+'30'!H30</f>
        <v>4863.6000000000058</v>
      </c>
      <c r="I30" s="526"/>
      <c r="J30" s="175">
        <f>H30/DAY(B2)</f>
        <v>156.89032258064535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36">
        <v>130</v>
      </c>
      <c r="F31" s="136">
        <v>80</v>
      </c>
      <c r="G31" s="137">
        <f>E31*F31</f>
        <v>10400</v>
      </c>
      <c r="H31" s="99">
        <f>G31+'30'!H31</f>
        <v>534900</v>
      </c>
      <c r="I31" s="526"/>
      <c r="J31" s="175">
        <f>H31/DAY(B2)</f>
        <v>17254.83870967742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310000</v>
      </c>
      <c r="H32" s="99">
        <f>G32+'30'!H32</f>
        <v>9991377.72000001</v>
      </c>
      <c r="I32" s="144"/>
      <c r="J32" s="175">
        <f>H32/DAY(B2)</f>
        <v>322302.50709677453</v>
      </c>
      <c r="K32" s="63"/>
      <c r="L32" s="89"/>
      <c r="N32" s="87"/>
      <c r="O32" s="71"/>
    </row>
    <row r="33" spans="1:15" ht="25.5" customHeight="1">
      <c r="A33" s="935" t="s">
        <v>331</v>
      </c>
      <c r="B33" s="936"/>
      <c r="C33" s="936"/>
      <c r="D33" s="337"/>
      <c r="E33" s="337"/>
      <c r="F33" s="527"/>
      <c r="G33" s="527"/>
      <c r="H33" s="527"/>
      <c r="I33" s="527"/>
      <c r="J33" s="52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527307</v>
      </c>
      <c r="F35" s="145">
        <v>530056</v>
      </c>
      <c r="G35" s="112">
        <f t="shared" ref="G35:G46" si="3">F35-E35</f>
        <v>2749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380620.89</v>
      </c>
      <c r="F36" s="145">
        <v>381821</v>
      </c>
      <c r="G36" s="112">
        <f t="shared" si="3"/>
        <v>1200.109999999986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382147.35</v>
      </c>
      <c r="F37" s="145">
        <v>383619</v>
      </c>
      <c r="G37" s="112">
        <f t="shared" si="3"/>
        <v>1471.6500000000233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874436.48</v>
      </c>
      <c r="F38" s="108">
        <v>877127</v>
      </c>
      <c r="G38" s="112">
        <f t="shared" si="3"/>
        <v>2690.5200000000186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703295.59</v>
      </c>
      <c r="F39" s="145">
        <v>706136</v>
      </c>
      <c r="G39" s="112">
        <f t="shared" si="3"/>
        <v>2840.4100000000326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217537.89</v>
      </c>
      <c r="F40" s="145">
        <v>217792</v>
      </c>
      <c r="G40" s="112">
        <f t="shared" si="3"/>
        <v>254.10999999998603</v>
      </c>
      <c r="H40" s="99">
        <f>G40+'30'!H40</f>
        <v>0</v>
      </c>
      <c r="I40" s="95"/>
      <c r="J40" s="175">
        <f>H40/DAY(B2)</f>
        <v>0</v>
      </c>
      <c r="K40" s="80"/>
      <c r="L40" s="66"/>
      <c r="N40" s="87" t="s">
        <v>368</v>
      </c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420212.5</v>
      </c>
      <c r="F41" s="145">
        <v>420212.51</v>
      </c>
      <c r="G41" s="112">
        <f t="shared" si="3"/>
        <v>1.0000000009313226E-2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970677.43</v>
      </c>
      <c r="F42" s="145">
        <v>973062.63</v>
      </c>
      <c r="G42" s="112">
        <f t="shared" si="3"/>
        <v>2385.1999999999534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422444</v>
      </c>
      <c r="F43" s="145">
        <v>422444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13591.010000000009</v>
      </c>
      <c r="H47" s="99">
        <f>G47+'30'!H47</f>
        <v>-2.9103830456733704E-11</v>
      </c>
      <c r="I47" s="95"/>
      <c r="J47" s="175">
        <f>H47/DAY(B2)</f>
        <v>-9.3883324053979686E-13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822337.11</v>
      </c>
      <c r="F49" s="145">
        <v>822912</v>
      </c>
      <c r="G49" s="112">
        <f t="shared" ref="G49:G58" si="4">F49-E49</f>
        <v>574.89000000001397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540459.82999999996</v>
      </c>
      <c r="F50" s="145">
        <v>541974</v>
      </c>
      <c r="G50" s="112">
        <f t="shared" si="4"/>
        <v>1514.1700000000419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156958</v>
      </c>
      <c r="F51" s="145">
        <v>156958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1457.43</v>
      </c>
      <c r="F52" s="145">
        <v>1457</v>
      </c>
      <c r="G52" s="112">
        <f t="shared" si="4"/>
        <v>-0.43000000000006366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630355</v>
      </c>
      <c r="F53" s="145">
        <v>630355.03</v>
      </c>
      <c r="G53" s="112">
        <f t="shared" si="4"/>
        <v>3.0000000027939677E-2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123806.69</v>
      </c>
      <c r="F54" s="145">
        <v>124114.21</v>
      </c>
      <c r="G54" s="112">
        <f t="shared" si="4"/>
        <v>307.52000000000407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594304.75</v>
      </c>
      <c r="F55" s="145">
        <v>594304.75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370876.51</v>
      </c>
      <c r="F56" s="145">
        <v>373120</v>
      </c>
      <c r="G56" s="112">
        <f t="shared" si="4"/>
        <v>2243.4899999999907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705108.31</v>
      </c>
      <c r="F57" s="145">
        <v>707698</v>
      </c>
      <c r="G57" s="112">
        <f t="shared" si="4"/>
        <v>2589.6899999999441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94292</v>
      </c>
      <c r="F58" s="145">
        <v>94569.82</v>
      </c>
      <c r="G58" s="112">
        <f t="shared" si="4"/>
        <v>277.82000000000698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7507.1800000000294</v>
      </c>
      <c r="H59" s="99">
        <f>G59+'30'!H59</f>
        <v>-1.4551915228366852E-11</v>
      </c>
      <c r="I59" s="95">
        <f>G7-G60</f>
        <v>2475.8099999999613</v>
      </c>
      <c r="J59" s="175">
        <f>H59/DAY(B2)</f>
        <v>-4.6941662026989843E-13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21098.190000000039</v>
      </c>
      <c r="H60" s="99">
        <f>G60+'30'!H60</f>
        <v>-1.0186340659856796E-10</v>
      </c>
      <c r="I60" s="95">
        <f>G13-G60</f>
        <v>1854.9099999995888</v>
      </c>
      <c r="J60" s="175">
        <f>H60/DAY(B2)</f>
        <v>-3.285916341889289E-12</v>
      </c>
      <c r="K60" s="79"/>
      <c r="L60" s="66"/>
      <c r="N60" s="87"/>
      <c r="O60" s="71"/>
    </row>
    <row r="61" spans="1:15" s="68" customFormat="1" ht="26.25">
      <c r="A61" s="937" t="s">
        <v>332</v>
      </c>
      <c r="B61" s="938"/>
      <c r="C61" s="939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4" t="s">
        <v>198</v>
      </c>
      <c r="B62" s="905"/>
      <c r="C62" s="906"/>
      <c r="D62" s="151" t="s">
        <v>142</v>
      </c>
      <c r="E62" s="150">
        <v>315512</v>
      </c>
      <c r="F62" s="122">
        <v>315677</v>
      </c>
      <c r="G62" s="112">
        <f t="shared" ref="G62:G63" si="5">F62-E62</f>
        <v>165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904" t="s">
        <v>199</v>
      </c>
      <c r="B63" s="905"/>
      <c r="C63" s="906"/>
      <c r="D63" s="151" t="s">
        <v>142</v>
      </c>
      <c r="E63" s="150">
        <v>252234</v>
      </c>
      <c r="F63" s="164">
        <v>252324</v>
      </c>
      <c r="G63" s="112">
        <f t="shared" si="5"/>
        <v>90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913" t="s">
        <v>200</v>
      </c>
      <c r="B64" s="914"/>
      <c r="C64" s="915"/>
      <c r="D64" s="151"/>
      <c r="E64" s="150"/>
      <c r="F64" s="122"/>
      <c r="G64" s="112">
        <f>G62+G63</f>
        <v>255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904" t="s">
        <v>201</v>
      </c>
      <c r="B65" s="905"/>
      <c r="C65" s="906"/>
      <c r="D65" s="151" t="s">
        <v>142</v>
      </c>
      <c r="E65" s="150">
        <v>475766</v>
      </c>
      <c r="F65" s="122">
        <v>475903</v>
      </c>
      <c r="G65" s="112">
        <f t="shared" ref="G65:G70" si="6">F65-E65</f>
        <v>137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114426</v>
      </c>
      <c r="F66" s="122">
        <v>114466</v>
      </c>
      <c r="G66" s="112">
        <f t="shared" si="6"/>
        <v>40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117260</v>
      </c>
      <c r="F67" s="122">
        <v>117282</v>
      </c>
      <c r="G67" s="112">
        <f t="shared" si="6"/>
        <v>22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169923</v>
      </c>
      <c r="F68" s="122">
        <v>169950</v>
      </c>
      <c r="G68" s="112">
        <f t="shared" si="6"/>
        <v>27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13239</v>
      </c>
      <c r="F69" s="122">
        <v>13246</v>
      </c>
      <c r="G69" s="112">
        <f t="shared" si="6"/>
        <v>7</v>
      </c>
      <c r="H69" s="99">
        <f>G69+'30'!H69</f>
        <v>34</v>
      </c>
      <c r="I69" s="95"/>
      <c r="J69" s="175">
        <f>H69/DAY(B2)</f>
        <v>1.096774193548387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11249</v>
      </c>
      <c r="F70" s="122">
        <v>11266</v>
      </c>
      <c r="G70" s="112">
        <f t="shared" si="6"/>
        <v>17</v>
      </c>
      <c r="H70" s="99">
        <f>G70+'30'!H70</f>
        <v>8</v>
      </c>
      <c r="I70" s="95"/>
      <c r="J70" s="175">
        <f>H70/DAY(B2)</f>
        <v>0.25806451612903225</v>
      </c>
      <c r="K70" s="69"/>
      <c r="L70" s="66"/>
      <c r="N70" s="87"/>
      <c r="O70" s="71"/>
    </row>
    <row r="71" spans="1:15" ht="26.25">
      <c r="A71" s="913" t="s">
        <v>208</v>
      </c>
      <c r="B71" s="914"/>
      <c r="C71" s="915"/>
      <c r="D71" s="152"/>
      <c r="E71" s="152"/>
      <c r="F71" s="152"/>
      <c r="G71" s="153">
        <f>SUM(G65:G70)</f>
        <v>250</v>
      </c>
      <c r="H71" s="99">
        <f>G71+'30'!H71</f>
        <v>42</v>
      </c>
      <c r="I71" s="529"/>
      <c r="J71" s="175">
        <f>H71/DAY(B2)</f>
        <v>1.3548387096774193</v>
      </c>
      <c r="K71" s="69"/>
      <c r="L71" s="66"/>
      <c r="N71" s="87"/>
      <c r="O71" s="71"/>
    </row>
    <row r="72" spans="1:15" s="88" customFormat="1" ht="25.5">
      <c r="A72" s="900"/>
      <c r="B72" s="885"/>
      <c r="C72" s="347"/>
      <c r="D72" s="180"/>
      <c r="E72" s="180"/>
      <c r="F72" s="411"/>
      <c r="G72" s="411"/>
      <c r="H72" s="181"/>
      <c r="I72" s="411"/>
      <c r="J72" s="530"/>
      <c r="N72" s="87"/>
      <c r="O72" s="71"/>
    </row>
    <row r="73" spans="1:15" ht="26.25">
      <c r="A73" s="910" t="s">
        <v>333</v>
      </c>
      <c r="B73" s="911"/>
      <c r="C73" s="91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4" t="s">
        <v>220</v>
      </c>
      <c r="B74" s="905"/>
      <c r="C74" s="906"/>
      <c r="D74" s="151" t="s">
        <v>139</v>
      </c>
      <c r="E74" s="123">
        <v>11928</v>
      </c>
      <c r="F74" s="123">
        <v>12262</v>
      </c>
      <c r="G74" s="112">
        <f t="shared" ref="G74:G78" si="7">F74-E74</f>
        <v>334</v>
      </c>
      <c r="H74" s="99">
        <f>G74+'30'!H74</f>
        <v>-3618</v>
      </c>
      <c r="I74" s="529"/>
      <c r="J74" s="175">
        <f>H74/DAY(B2)</f>
        <v>-116.70967741935483</v>
      </c>
      <c r="K74" s="69"/>
      <c r="L74" s="66"/>
      <c r="N74" s="87"/>
      <c r="O74" s="71"/>
    </row>
    <row r="75" spans="1:15" ht="25.5">
      <c r="A75" s="904" t="s">
        <v>221</v>
      </c>
      <c r="B75" s="905"/>
      <c r="C75" s="906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29"/>
      <c r="J75" s="175">
        <f>H75/DAY(B2)</f>
        <v>0</v>
      </c>
      <c r="K75" s="69"/>
      <c r="L75" s="66"/>
      <c r="N75" s="87"/>
      <c r="O75" s="71"/>
    </row>
    <row r="76" spans="1:15" ht="25.5">
      <c r="A76" s="901" t="s">
        <v>222</v>
      </c>
      <c r="B76" s="902"/>
      <c r="C76" s="903"/>
      <c r="D76" s="151" t="s">
        <v>139</v>
      </c>
      <c r="E76" s="123">
        <v>210560</v>
      </c>
      <c r="F76" s="123">
        <v>210660</v>
      </c>
      <c r="G76" s="112">
        <f t="shared" si="7"/>
        <v>100</v>
      </c>
      <c r="H76" s="99">
        <f>G76+'30'!H76</f>
        <v>0</v>
      </c>
      <c r="I76" s="529"/>
      <c r="J76" s="175">
        <f>H76/DAY(B2)</f>
        <v>0</v>
      </c>
      <c r="K76" s="69"/>
      <c r="L76" s="66"/>
      <c r="N76" s="87"/>
      <c r="O76" s="71"/>
    </row>
    <row r="77" spans="1:15" ht="25.5">
      <c r="A77" s="901" t="s">
        <v>223</v>
      </c>
      <c r="B77" s="902"/>
      <c r="C77" s="903"/>
      <c r="D77" s="151" t="s">
        <v>139</v>
      </c>
      <c r="E77" s="123">
        <v>59702</v>
      </c>
      <c r="F77" s="409">
        <v>59761</v>
      </c>
      <c r="G77" s="112">
        <f t="shared" si="7"/>
        <v>59</v>
      </c>
      <c r="H77" s="99">
        <f>G77+'30'!H77</f>
        <v>0</v>
      </c>
      <c r="I77" s="529"/>
      <c r="J77" s="175">
        <f>H77/DAY(B2)</f>
        <v>0</v>
      </c>
      <c r="K77" s="69"/>
      <c r="L77" s="66"/>
      <c r="N77" s="87"/>
      <c r="O77" s="71"/>
    </row>
    <row r="78" spans="1:15" ht="25.5">
      <c r="A78" s="901" t="s">
        <v>224</v>
      </c>
      <c r="B78" s="902"/>
      <c r="C78" s="903"/>
      <c r="D78" s="151" t="s">
        <v>139</v>
      </c>
      <c r="E78" s="123">
        <v>9564</v>
      </c>
      <c r="F78" s="409">
        <v>9564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1" t="s">
        <v>225</v>
      </c>
      <c r="B79" s="902"/>
      <c r="C79" s="903"/>
      <c r="D79" s="151"/>
      <c r="E79" s="117"/>
      <c r="F79" s="123"/>
      <c r="G79" s="112">
        <f>G15-SUM(G74:G78)</f>
        <v>617.96199999982491</v>
      </c>
      <c r="H79" s="99">
        <f>G79+'30'!H79</f>
        <v>-0.50000000000181899</v>
      </c>
      <c r="I79" s="95"/>
      <c r="J79" s="175"/>
      <c r="K79" s="59"/>
      <c r="L79" s="58"/>
      <c r="N79" s="87"/>
      <c r="O79" s="71"/>
    </row>
    <row r="80" spans="1:15" s="57" customFormat="1" ht="26.25">
      <c r="A80" s="913" t="s">
        <v>329</v>
      </c>
      <c r="B80" s="914"/>
      <c r="C80" s="915"/>
      <c r="D80" s="151"/>
      <c r="E80" s="117"/>
      <c r="F80" s="117"/>
      <c r="G80" s="112">
        <f>SUM(G74:G79)</f>
        <v>1110.9619999998249</v>
      </c>
      <c r="H80" s="99"/>
      <c r="I80" s="95"/>
      <c r="J80" s="175"/>
      <c r="K80" s="59"/>
      <c r="L80" s="58"/>
      <c r="N80" s="87"/>
      <c r="O80" s="71"/>
    </row>
    <row r="81" spans="1:15" ht="25.5">
      <c r="A81" s="917" t="s">
        <v>226</v>
      </c>
      <c r="B81" s="918"/>
      <c r="C81" s="91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-197.55999999999767</v>
      </c>
      <c r="I82" s="543"/>
      <c r="J82" s="175">
        <f>H82/DAY(B2)</f>
        <v>-6.3729032258063762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4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43546</v>
      </c>
      <c r="F84" s="164">
        <v>43546</v>
      </c>
      <c r="G84" s="112">
        <f t="shared" si="8"/>
        <v>0</v>
      </c>
      <c r="H84" s="99">
        <f>G84+'30'!H84</f>
        <v>-0.34999999999854481</v>
      </c>
      <c r="I84" s="543"/>
      <c r="J84" s="175">
        <f>H84/DAY(B2)</f>
        <v>-1.1290322580598219E-2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6203</v>
      </c>
      <c r="F85" s="164">
        <v>6213</v>
      </c>
      <c r="G85" s="112">
        <f t="shared" si="8"/>
        <v>10</v>
      </c>
      <c r="H85" s="99">
        <f>G85+'30'!H85</f>
        <v>0</v>
      </c>
      <c r="I85" s="543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46971</v>
      </c>
      <c r="F86" s="164">
        <v>46971</v>
      </c>
      <c r="G86" s="112">
        <f t="shared" si="8"/>
        <v>0</v>
      </c>
      <c r="H86" s="99">
        <f>G86+'30'!H86</f>
        <v>0</v>
      </c>
      <c r="I86" s="543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37346</v>
      </c>
      <c r="F87" s="164">
        <v>37364</v>
      </c>
      <c r="G87" s="112">
        <f t="shared" si="8"/>
        <v>18</v>
      </c>
      <c r="H87" s="99">
        <f>G87+'30'!H87</f>
        <v>0</v>
      </c>
      <c r="I87" s="543">
        <f>G84+G85+G86+G87</f>
        <v>28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24753</v>
      </c>
      <c r="F88" s="164">
        <v>24762</v>
      </c>
      <c r="G88" s="112">
        <f t="shared" si="8"/>
        <v>9</v>
      </c>
      <c r="H88" s="99">
        <f>G88+'30'!H88</f>
        <v>0</v>
      </c>
      <c r="I88" s="54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29023</v>
      </c>
      <c r="F89" s="164">
        <v>29028</v>
      </c>
      <c r="G89" s="112">
        <f t="shared" si="8"/>
        <v>5</v>
      </c>
      <c r="H89" s="99">
        <f>G89+'30'!H89</f>
        <v>0</v>
      </c>
      <c r="I89" s="543">
        <f>G88+G89</f>
        <v>14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74442</v>
      </c>
      <c r="F90" s="164">
        <v>74448</v>
      </c>
      <c r="G90" s="112">
        <f>F90-E90</f>
        <v>6</v>
      </c>
      <c r="H90" s="99">
        <f>G90+'30'!H90</f>
        <v>-179.39999999999418</v>
      </c>
      <c r="I90" s="543">
        <f>G90</f>
        <v>6</v>
      </c>
      <c r="J90" s="175">
        <f>H90/DAY(B2)</f>
        <v>-5.787096774193361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5618</v>
      </c>
      <c r="F91" s="122">
        <v>5618.21</v>
      </c>
      <c r="G91" s="112">
        <f t="shared" si="8"/>
        <v>0.21000000000003638</v>
      </c>
      <c r="H91" s="99">
        <f>G91+'30'!H91</f>
        <v>0</v>
      </c>
      <c r="I91" s="544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7420</v>
      </c>
      <c r="F92" s="122">
        <v>7432.28</v>
      </c>
      <c r="G92" s="112">
        <f t="shared" si="8"/>
        <v>12.279999999999745</v>
      </c>
      <c r="H92" s="99">
        <f>G92+'30'!H92</f>
        <v>0</v>
      </c>
      <c r="I92" s="545">
        <f>G91+G92</f>
        <v>12.489999999999782</v>
      </c>
      <c r="J92" s="175">
        <f>H92/DAY(B2)</f>
        <v>0</v>
      </c>
      <c r="O92" s="71"/>
    </row>
    <row r="93" spans="1:15" ht="26.25">
      <c r="A93" s="907"/>
      <c r="B93" s="908"/>
      <c r="C93" s="90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4" t="s">
        <v>240</v>
      </c>
      <c r="B94" s="905"/>
      <c r="C94" s="906"/>
      <c r="D94" s="151" t="s">
        <v>130</v>
      </c>
      <c r="E94" s="151"/>
      <c r="F94" s="151"/>
      <c r="G94" s="99">
        <f>G35+G43+G49+G57</f>
        <v>5913.5799999999581</v>
      </c>
      <c r="H94" s="99">
        <f>G94+'30'!H94</f>
        <v>0</v>
      </c>
      <c r="I94" s="95"/>
      <c r="J94" s="175">
        <f>H94/DAY(B2)</f>
        <v>0</v>
      </c>
      <c r="K94" s="69"/>
      <c r="L94" s="66"/>
      <c r="O94" s="71"/>
    </row>
    <row r="95" spans="1:15" ht="25.5">
      <c r="A95" s="904" t="s">
        <v>241</v>
      </c>
      <c r="B95" s="905"/>
      <c r="C95" s="906"/>
      <c r="D95" s="151" t="s">
        <v>23</v>
      </c>
      <c r="E95" s="146"/>
      <c r="F95" s="146"/>
      <c r="G95" s="166">
        <f>G94/G7</f>
        <v>0.25085178586578255</v>
      </c>
      <c r="H95" s="99">
        <f>G95+'30'!H95</f>
        <v>7.1136387917772694</v>
      </c>
      <c r="I95" s="531"/>
      <c r="J95" s="175">
        <f>H95/DAY(B2)</f>
        <v>0.22947221908958934</v>
      </c>
      <c r="K95" s="69"/>
      <c r="L95" s="66"/>
      <c r="O95" s="71"/>
    </row>
    <row r="96" spans="1:15" ht="25.5">
      <c r="A96" s="904" t="s">
        <v>242</v>
      </c>
      <c r="B96" s="905"/>
      <c r="C96" s="906"/>
      <c r="D96" s="151" t="s">
        <v>130</v>
      </c>
      <c r="E96" s="95"/>
      <c r="F96" s="95"/>
      <c r="G96" s="99">
        <f>G41+G42+G55+G56</f>
        <v>4628.6999999999534</v>
      </c>
      <c r="H96" s="99">
        <f>G96+'30'!H96</f>
        <v>0</v>
      </c>
      <c r="I96" s="95"/>
      <c r="J96" s="175">
        <f>H96/DAY(B2)</f>
        <v>0</v>
      </c>
      <c r="K96" s="69"/>
      <c r="L96" s="66"/>
      <c r="O96" s="71"/>
    </row>
    <row r="97" spans="1:15" ht="25.5">
      <c r="A97" s="904" t="s">
        <v>243</v>
      </c>
      <c r="B97" s="905"/>
      <c r="C97" s="906"/>
      <c r="D97" s="151" t="s">
        <v>23</v>
      </c>
      <c r="E97" s="95"/>
      <c r="F97" s="95"/>
      <c r="G97" s="166">
        <f>G96/G7</f>
        <v>0.19634767116314386</v>
      </c>
      <c r="H97" s="99">
        <f>G97+'30'!H97</f>
        <v>4.8314847094602582</v>
      </c>
      <c r="I97" s="531"/>
      <c r="J97" s="175">
        <f>H97/DAY(B2)</f>
        <v>0.15585434546645993</v>
      </c>
      <c r="K97" s="69"/>
      <c r="L97" s="66"/>
      <c r="O97" s="71"/>
    </row>
    <row r="98" spans="1:15" ht="25.5">
      <c r="A98" s="904" t="s">
        <v>244</v>
      </c>
      <c r="B98" s="905"/>
      <c r="C98" s="906"/>
      <c r="D98" s="151" t="s">
        <v>130</v>
      </c>
      <c r="E98" s="95"/>
      <c r="F98" s="95"/>
      <c r="G98" s="99">
        <f>G39+G53</f>
        <v>2840.4400000000605</v>
      </c>
      <c r="H98" s="99">
        <f>G98+'30'!H98</f>
        <v>0</v>
      </c>
      <c r="I98" s="512"/>
      <c r="J98" s="175">
        <f>H98/DAY(B2)</f>
        <v>0</v>
      </c>
      <c r="K98" s="69"/>
      <c r="L98" s="66"/>
      <c r="O98" s="71"/>
    </row>
    <row r="99" spans="1:15" ht="25.5">
      <c r="A99" s="904" t="s">
        <v>245</v>
      </c>
      <c r="B99" s="905"/>
      <c r="C99" s="906"/>
      <c r="D99" s="151" t="s">
        <v>23</v>
      </c>
      <c r="E99" s="95"/>
      <c r="F99" s="95"/>
      <c r="G99" s="166">
        <f>G98/G7</f>
        <v>0.12049037074743618</v>
      </c>
      <c r="H99" s="99" t="e">
        <f>G99+'30'!H99</f>
        <v>#VALUE!</v>
      </c>
      <c r="I99" s="512"/>
      <c r="J99" s="175" t="e">
        <f>H99/DAY(B2)</f>
        <v>#VALUE!</v>
      </c>
      <c r="O99" s="71"/>
    </row>
    <row r="100" spans="1:15" ht="26.25">
      <c r="A100" s="904" t="s">
        <v>246</v>
      </c>
      <c r="B100" s="905"/>
      <c r="C100" s="906"/>
      <c r="D100" s="151" t="s">
        <v>180</v>
      </c>
      <c r="E100" s="95"/>
      <c r="F100" s="95"/>
      <c r="G100" s="99">
        <f>G38+G52</f>
        <v>2690.0900000000183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904" t="s">
        <v>247</v>
      </c>
      <c r="B101" s="905"/>
      <c r="C101" s="906"/>
      <c r="D101" s="151" t="s">
        <v>23</v>
      </c>
      <c r="E101" s="95"/>
      <c r="F101" s="95"/>
      <c r="G101" s="166">
        <f>G100/G7</f>
        <v>0.11411258165775932</v>
      </c>
      <c r="H101" s="99">
        <f>G101+'30'!H101</f>
        <v>3.2718984729857601</v>
      </c>
      <c r="I101" s="512"/>
      <c r="J101" s="175">
        <f>H101/DAY(B2)</f>
        <v>0.10554511203179871</v>
      </c>
      <c r="O101" s="71"/>
    </row>
    <row r="102" spans="1:15" ht="25.5">
      <c r="A102" s="904" t="s">
        <v>248</v>
      </c>
      <c r="B102" s="905"/>
      <c r="C102" s="906"/>
      <c r="D102" s="151" t="s">
        <v>180</v>
      </c>
      <c r="E102" s="95"/>
      <c r="F102" s="95"/>
      <c r="G102" s="99">
        <f>G36+G50</f>
        <v>2714.2800000000279</v>
      </c>
      <c r="H102" s="99">
        <f>G102+'30'!H102</f>
        <v>0</v>
      </c>
      <c r="I102" s="512"/>
      <c r="J102" s="175">
        <f>H102/DAY(B2)</f>
        <v>0</v>
      </c>
      <c r="O102" s="71"/>
    </row>
    <row r="103" spans="1:15" ht="25.5">
      <c r="A103" s="904" t="s">
        <v>249</v>
      </c>
      <c r="B103" s="905"/>
      <c r="C103" s="906"/>
      <c r="D103" s="151" t="s">
        <v>23</v>
      </c>
      <c r="E103" s="95"/>
      <c r="F103" s="95"/>
      <c r="G103" s="166">
        <f>G102/G7</f>
        <v>0.11513871214049495</v>
      </c>
      <c r="H103" s="99">
        <f>G103+'30'!H103</f>
        <v>3.1114041343524987</v>
      </c>
      <c r="I103" s="95"/>
      <c r="J103" s="175">
        <f>H103/DAY(B2)</f>
        <v>0.10036787530169351</v>
      </c>
      <c r="O103" s="71"/>
    </row>
    <row r="104" spans="1:15" ht="25.5">
      <c r="A104" s="904" t="s">
        <v>250</v>
      </c>
      <c r="B104" s="905"/>
      <c r="C104" s="906"/>
      <c r="D104" s="151" t="s">
        <v>180</v>
      </c>
      <c r="E104" s="95"/>
      <c r="F104" s="95"/>
      <c r="G104" s="99">
        <f>G37+G51</f>
        <v>1471.6500000000233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897" t="s">
        <v>251</v>
      </c>
      <c r="B105" s="898"/>
      <c r="C105" s="899"/>
      <c r="D105" s="231" t="s">
        <v>23</v>
      </c>
      <c r="E105" s="185"/>
      <c r="F105" s="185"/>
      <c r="G105" s="186">
        <f>G104/G7</f>
        <v>6.2426826164419413E-2</v>
      </c>
      <c r="H105" s="99">
        <f>G105+'30'!H105</f>
        <v>1.779257273721792</v>
      </c>
      <c r="I105" s="185"/>
      <c r="J105" s="188">
        <f>H105/DAY(B2)</f>
        <v>5.739539592650942E-2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412"/>
      <c r="H106" s="170"/>
      <c r="I106" s="412"/>
      <c r="J106" s="170"/>
      <c r="O106" s="71"/>
    </row>
    <row r="107" spans="1:15" ht="26.25"/>
    <row r="108" spans="1:15" ht="27.75">
      <c r="A108" s="893" t="s">
        <v>324</v>
      </c>
      <c r="B108" s="893"/>
      <c r="C108" s="893"/>
      <c r="D108" s="893"/>
      <c r="E108" s="893"/>
      <c r="F108" s="893"/>
      <c r="G108" s="893"/>
      <c r="H108" s="893"/>
      <c r="I108" s="893"/>
      <c r="J108" s="893"/>
    </row>
    <row r="109" spans="1:15" ht="26.25">
      <c r="A109" s="920"/>
      <c r="B109" s="920"/>
    </row>
    <row r="110" spans="1:15" ht="26.25">
      <c r="A110" s="894" t="s">
        <v>165</v>
      </c>
      <c r="B110" s="895"/>
      <c r="C110" s="895"/>
      <c r="D110" s="895"/>
      <c r="E110" s="895"/>
      <c r="F110" s="895"/>
      <c r="G110" s="895"/>
      <c r="H110" s="895"/>
      <c r="I110" s="895"/>
      <c r="J110" s="896"/>
    </row>
    <row r="111" spans="1:15" ht="25.5">
      <c r="A111" s="887"/>
      <c r="B111" s="888"/>
      <c r="C111" s="889"/>
      <c r="D111" s="165"/>
      <c r="E111" s="165"/>
      <c r="F111" s="155"/>
      <c r="G111" s="155"/>
      <c r="H111" s="156"/>
      <c r="I111" s="155"/>
      <c r="J111" s="156"/>
    </row>
    <row r="112" spans="1:15" ht="25.5">
      <c r="A112" s="883" t="s">
        <v>252</v>
      </c>
      <c r="B112" s="884"/>
      <c r="C112" s="885"/>
      <c r="D112" s="146" t="s">
        <v>183</v>
      </c>
      <c r="E112" s="237">
        <v>19336.726999999999</v>
      </c>
      <c r="F112" s="237">
        <v>19397</v>
      </c>
      <c r="G112" s="112">
        <f t="shared" ref="G112:G123" si="9">F112-E112</f>
        <v>60.273000000001048</v>
      </c>
      <c r="H112" s="99">
        <f>G112+'30'!H112</f>
        <v>0</v>
      </c>
      <c r="I112" s="155"/>
      <c r="J112" s="328">
        <f>H112/DAY(B2)</f>
        <v>0</v>
      </c>
    </row>
    <row r="113" spans="1:18" ht="25.5">
      <c r="A113" s="883" t="s">
        <v>253</v>
      </c>
      <c r="B113" s="884"/>
      <c r="C113" s="885"/>
      <c r="D113" s="146" t="s">
        <v>183</v>
      </c>
      <c r="E113" s="237">
        <v>41375.730000000003</v>
      </c>
      <c r="F113" s="237">
        <v>41519.949999999997</v>
      </c>
      <c r="G113" s="112">
        <f t="shared" si="9"/>
        <v>144.21999999999389</v>
      </c>
      <c r="H113" s="99">
        <f>G113+'30'!H113</f>
        <v>0</v>
      </c>
      <c r="I113" s="155"/>
      <c r="J113" s="328">
        <f>H113/DAY(B2)</f>
        <v>0</v>
      </c>
    </row>
    <row r="114" spans="1:18" ht="25.5">
      <c r="A114" s="883" t="s">
        <v>254</v>
      </c>
      <c r="B114" s="884"/>
      <c r="C114" s="885"/>
      <c r="D114" s="146" t="s">
        <v>183</v>
      </c>
      <c r="E114" s="237">
        <v>61000.87</v>
      </c>
      <c r="F114" s="237">
        <v>61218</v>
      </c>
      <c r="G114" s="112">
        <f t="shared" si="9"/>
        <v>217.12999999999738</v>
      </c>
      <c r="H114" s="99">
        <f>G114+'30'!H114</f>
        <v>0</v>
      </c>
      <c r="I114" s="155"/>
      <c r="J114" s="328">
        <f>H114/DAY(B2)</f>
        <v>0</v>
      </c>
    </row>
    <row r="115" spans="1:18" ht="25.5">
      <c r="A115" s="883" t="s">
        <v>255</v>
      </c>
      <c r="B115" s="884"/>
      <c r="C115" s="885"/>
      <c r="D115" s="146" t="s">
        <v>183</v>
      </c>
      <c r="E115" s="237">
        <v>39293</v>
      </c>
      <c r="F115" s="237">
        <v>39459</v>
      </c>
      <c r="G115" s="112">
        <f t="shared" si="9"/>
        <v>166</v>
      </c>
      <c r="H115" s="99">
        <f>G115+'30'!H115</f>
        <v>0</v>
      </c>
      <c r="I115" s="155"/>
      <c r="J115" s="328">
        <f>H115/DAY(B2)</f>
        <v>0</v>
      </c>
    </row>
    <row r="116" spans="1:18" ht="25.5">
      <c r="A116" s="890" t="s">
        <v>96</v>
      </c>
      <c r="B116" s="891"/>
      <c r="C116" s="892"/>
      <c r="D116" s="146" t="s">
        <v>183</v>
      </c>
      <c r="E116" s="237">
        <v>147459</v>
      </c>
      <c r="F116" s="237">
        <v>147930</v>
      </c>
      <c r="G116" s="112">
        <f t="shared" si="9"/>
        <v>471</v>
      </c>
      <c r="H116" s="99">
        <f>G116+'30'!H116</f>
        <v>0</v>
      </c>
      <c r="I116" s="155"/>
      <c r="J116" s="328">
        <f>H116/DAY(B2)</f>
        <v>0</v>
      </c>
      <c r="Q116" s="883"/>
      <c r="R116" s="885"/>
    </row>
    <row r="117" spans="1:18" ht="25.5">
      <c r="A117" s="890" t="s">
        <v>184</v>
      </c>
      <c r="B117" s="891"/>
      <c r="C117" s="892"/>
      <c r="D117" s="146" t="s">
        <v>183</v>
      </c>
      <c r="E117" s="237">
        <v>91697</v>
      </c>
      <c r="F117" s="237">
        <v>91989.399000000005</v>
      </c>
      <c r="G117" s="112">
        <f t="shared" si="9"/>
        <v>292.39900000000489</v>
      </c>
      <c r="H117" s="99">
        <f>G117+'30'!H117</f>
        <v>0</v>
      </c>
      <c r="I117" s="155"/>
      <c r="J117" s="328">
        <f>H117/DAY(B2)</f>
        <v>0</v>
      </c>
      <c r="Q117" s="883"/>
      <c r="R117" s="885"/>
    </row>
    <row r="118" spans="1:18" ht="25.5">
      <c r="A118" s="882" t="s">
        <v>97</v>
      </c>
      <c r="B118" s="882"/>
      <c r="C118" s="882"/>
      <c r="D118" s="151" t="s">
        <v>183</v>
      </c>
      <c r="E118" s="237">
        <v>176849</v>
      </c>
      <c r="F118" s="237">
        <v>177532.53</v>
      </c>
      <c r="G118" s="112">
        <f t="shared" si="9"/>
        <v>683.52999999999884</v>
      </c>
      <c r="H118" s="99">
        <f>G118+'30'!H118</f>
        <v>0</v>
      </c>
      <c r="I118" s="155"/>
      <c r="J118" s="328">
        <f>H118/DAY(B2)</f>
        <v>0</v>
      </c>
      <c r="Q118" s="883"/>
      <c r="R118" s="885"/>
    </row>
    <row r="119" spans="1:18" ht="25.5">
      <c r="A119" s="882" t="s">
        <v>98</v>
      </c>
      <c r="B119" s="882"/>
      <c r="C119" s="882"/>
      <c r="D119" s="151" t="s">
        <v>183</v>
      </c>
      <c r="E119" s="237">
        <v>45156.91</v>
      </c>
      <c r="F119" s="237">
        <v>45193</v>
      </c>
      <c r="G119" s="112">
        <f t="shared" si="9"/>
        <v>36.089999999996508</v>
      </c>
      <c r="H119" s="99">
        <f>G119+'30'!H119</f>
        <v>0</v>
      </c>
      <c r="I119" s="155"/>
      <c r="J119" s="328">
        <f>H119/DAY(B2)</f>
        <v>0</v>
      </c>
    </row>
    <row r="120" spans="1:18" ht="25.5">
      <c r="A120" s="882" t="s">
        <v>99</v>
      </c>
      <c r="B120" s="882"/>
      <c r="C120" s="882"/>
      <c r="D120" s="151" t="s">
        <v>183</v>
      </c>
      <c r="E120" s="237">
        <v>120082.48</v>
      </c>
      <c r="F120" s="237">
        <v>120444</v>
      </c>
      <c r="G120" s="112">
        <f t="shared" si="9"/>
        <v>361.52000000000407</v>
      </c>
      <c r="H120" s="99">
        <f>G120+'30'!H120</f>
        <v>0</v>
      </c>
      <c r="I120" s="155"/>
      <c r="J120" s="328">
        <f>H120/DAY(B2)</f>
        <v>0</v>
      </c>
    </row>
    <row r="121" spans="1:18" ht="25.5">
      <c r="A121" s="882" t="s">
        <v>100</v>
      </c>
      <c r="B121" s="882"/>
      <c r="C121" s="882"/>
      <c r="D121" s="151" t="s">
        <v>183</v>
      </c>
      <c r="E121" s="237">
        <v>134121.72</v>
      </c>
      <c r="F121" s="237">
        <v>134563</v>
      </c>
      <c r="G121" s="112">
        <f t="shared" si="9"/>
        <v>441.27999999999884</v>
      </c>
      <c r="H121" s="99">
        <f>G121+'30'!H121</f>
        <v>0</v>
      </c>
      <c r="I121" s="155"/>
      <c r="J121" s="328">
        <f>H121/DAY(B2)</f>
        <v>0</v>
      </c>
    </row>
    <row r="122" spans="1:18" ht="25.5">
      <c r="A122" s="882" t="s">
        <v>101</v>
      </c>
      <c r="B122" s="882"/>
      <c r="C122" s="882"/>
      <c r="D122" s="151" t="s">
        <v>183</v>
      </c>
      <c r="E122" s="237">
        <v>90583</v>
      </c>
      <c r="F122" s="237">
        <v>90877</v>
      </c>
      <c r="G122" s="112">
        <f t="shared" si="9"/>
        <v>294</v>
      </c>
      <c r="H122" s="99">
        <f>G122+'30'!H122</f>
        <v>0</v>
      </c>
      <c r="I122" s="155"/>
      <c r="J122" s="328">
        <f>H122/DAY(B2)</f>
        <v>0</v>
      </c>
    </row>
    <row r="123" spans="1:18" ht="25.5">
      <c r="A123" s="882" t="s">
        <v>348</v>
      </c>
      <c r="B123" s="882"/>
      <c r="C123" s="882"/>
      <c r="D123" s="151" t="s">
        <v>183</v>
      </c>
      <c r="E123" s="237">
        <v>87269</v>
      </c>
      <c r="F123" s="237">
        <v>87579</v>
      </c>
      <c r="G123" s="112">
        <f t="shared" si="9"/>
        <v>310</v>
      </c>
      <c r="H123" s="99">
        <f>G123+'30'!H123</f>
        <v>0</v>
      </c>
      <c r="I123" s="155"/>
      <c r="J123" s="328">
        <f>H123/DAY(B2)</f>
        <v>0</v>
      </c>
    </row>
    <row r="124" spans="1:18" ht="25.5">
      <c r="A124" s="887"/>
      <c r="B124" s="888"/>
      <c r="C124" s="889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788" t="s">
        <v>196</v>
      </c>
      <c r="B125" s="980"/>
      <c r="C125" s="789"/>
      <c r="D125" s="307"/>
      <c r="E125" s="308"/>
      <c r="F125" s="308"/>
      <c r="G125" s="309">
        <f>SUM(G112:G124)</f>
        <v>3477.4419999999955</v>
      </c>
      <c r="H125" s="156"/>
      <c r="I125" s="156">
        <f>G125-(G39+G53)</f>
        <v>637.00199999993492</v>
      </c>
      <c r="J125" s="156"/>
    </row>
    <row r="126" spans="1:18" ht="25.5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5.5">
      <c r="A127" s="872"/>
      <c r="B127" s="872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83" t="s">
        <v>318</v>
      </c>
      <c r="B128" s="884"/>
      <c r="C128" s="885"/>
      <c r="D128" s="151" t="s">
        <v>183</v>
      </c>
      <c r="E128" s="165">
        <v>206823.03</v>
      </c>
      <c r="F128" s="155">
        <v>207289</v>
      </c>
      <c r="G128" s="112">
        <f t="shared" ref="G128:G134" si="10">F128-E128</f>
        <v>465.97000000000116</v>
      </c>
      <c r="H128" s="99">
        <f>G128+'30'!H128</f>
        <v>0</v>
      </c>
      <c r="I128" s="155"/>
      <c r="J128" s="328">
        <f>H128/DAY(B2)</f>
        <v>0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617.55999999999995</v>
      </c>
      <c r="F129" s="155">
        <v>734</v>
      </c>
      <c r="G129" s="112">
        <f t="shared" si="10"/>
        <v>116.44000000000005</v>
      </c>
      <c r="H129" s="99">
        <f>G129+'30'!H129</f>
        <v>1.7053025658242404E-13</v>
      </c>
      <c r="I129" s="155"/>
      <c r="J129" s="328">
        <f>H129/DAY(B2)</f>
        <v>5.5009760187878723E-15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288548.27</v>
      </c>
      <c r="F130" s="424">
        <v>288722</v>
      </c>
      <c r="G130" s="549">
        <f t="shared" si="10"/>
        <v>173.72999999998137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5.5">
      <c r="A131" s="883" t="s">
        <v>321</v>
      </c>
      <c r="B131" s="884"/>
      <c r="C131" s="885"/>
      <c r="D131" s="151" t="s">
        <v>183</v>
      </c>
      <c r="E131" s="165">
        <v>84506.27</v>
      </c>
      <c r="F131" s="156">
        <v>84703.83</v>
      </c>
      <c r="G131" s="112">
        <f t="shared" si="10"/>
        <v>197.55999999999767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5.5">
      <c r="A132" s="883" t="s">
        <v>322</v>
      </c>
      <c r="B132" s="884"/>
      <c r="C132" s="885"/>
      <c r="D132" s="151" t="s">
        <v>183</v>
      </c>
      <c r="E132" s="464">
        <v>67129</v>
      </c>
      <c r="F132" s="155">
        <v>67447</v>
      </c>
      <c r="G132" s="112">
        <f t="shared" si="10"/>
        <v>318</v>
      </c>
      <c r="H132" s="99">
        <f>G132+'30'!H132</f>
        <v>0</v>
      </c>
      <c r="I132" s="155"/>
      <c r="J132" s="328">
        <f>H132/DAY(B2)</f>
        <v>0</v>
      </c>
    </row>
    <row r="133" spans="1:15" ht="25.5">
      <c r="A133" s="883" t="s">
        <v>358</v>
      </c>
      <c r="B133" s="884"/>
      <c r="C133" s="885"/>
      <c r="D133" s="151" t="s">
        <v>183</v>
      </c>
      <c r="E133" s="165">
        <v>949454</v>
      </c>
      <c r="F133" s="155">
        <v>950147</v>
      </c>
      <c r="G133" s="112">
        <f t="shared" si="10"/>
        <v>693</v>
      </c>
      <c r="H133" s="99">
        <f>G133+'30'!H133</f>
        <v>-4826</v>
      </c>
      <c r="I133" s="155"/>
      <c r="J133" s="328">
        <f>H133/DAY(B2)</f>
        <v>-155.67741935483872</v>
      </c>
    </row>
    <row r="134" spans="1:15" ht="25.5">
      <c r="A134" s="883" t="s">
        <v>340</v>
      </c>
      <c r="B134" s="884"/>
      <c r="C134" s="885"/>
      <c r="D134" s="151" t="s">
        <v>183</v>
      </c>
      <c r="E134" s="466">
        <v>92974.79</v>
      </c>
      <c r="F134" s="155">
        <v>93233.5</v>
      </c>
      <c r="G134" s="112">
        <f t="shared" si="10"/>
        <v>258.7100000000064</v>
      </c>
      <c r="H134" s="99">
        <f>G134+'30'!H134</f>
        <v>2551.8099999999977</v>
      </c>
      <c r="I134" s="155"/>
      <c r="J134" s="328">
        <f>H134/DAY(B2)</f>
        <v>82.316451612903151</v>
      </c>
    </row>
    <row r="135" spans="1:15" ht="25.5">
      <c r="A135" s="788" t="s">
        <v>196</v>
      </c>
      <c r="B135" s="980"/>
      <c r="C135" s="789"/>
      <c r="D135" s="151"/>
      <c r="E135" s="165"/>
      <c r="F135" s="155"/>
      <c r="G135" s="112">
        <f>SUM(G128:G134)</f>
        <v>2223.4099999999867</v>
      </c>
      <c r="H135" s="99">
        <f>G135+'23'!H135</f>
        <v>28458.18999999994</v>
      </c>
      <c r="I135" s="156">
        <f>G135-(G35+G49)</f>
        <v>-1100.4800000000273</v>
      </c>
      <c r="J135" s="328"/>
    </row>
    <row r="136" spans="1:15" ht="27.75">
      <c r="A136" s="871" t="s">
        <v>325</v>
      </c>
      <c r="B136" s="871"/>
      <c r="C136" s="871"/>
      <c r="D136" s="871"/>
      <c r="E136" s="871"/>
      <c r="F136" s="871"/>
      <c r="G136" s="871"/>
      <c r="H136" s="871"/>
      <c r="I136" s="871"/>
      <c r="J136" s="871"/>
    </row>
    <row r="137" spans="1:15" ht="26.25">
      <c r="A137" s="245"/>
      <c r="B137" s="246"/>
      <c r="C137" s="246"/>
      <c r="D137" s="165"/>
      <c r="E137" s="165"/>
      <c r="F137" s="155"/>
      <c r="G137" s="155"/>
      <c r="H137" s="156"/>
      <c r="I137" s="155"/>
      <c r="J137" s="156"/>
    </row>
    <row r="138" spans="1:15" ht="25.5">
      <c r="A138" s="882" t="s">
        <v>185</v>
      </c>
      <c r="B138" s="882"/>
      <c r="C138" s="882"/>
      <c r="D138" s="151" t="s">
        <v>183</v>
      </c>
      <c r="E138" s="147">
        <v>912798</v>
      </c>
      <c r="F138" s="147">
        <v>912911</v>
      </c>
      <c r="G138" s="112">
        <f t="shared" ref="G138:G152" si="11">F138-E138</f>
        <v>113</v>
      </c>
      <c r="H138" s="99">
        <f>G138+'30'!H138</f>
        <v>3510</v>
      </c>
      <c r="I138" s="95"/>
      <c r="J138" s="328">
        <f>H138/DAY(B2)</f>
        <v>113.2258064516129</v>
      </c>
    </row>
    <row r="139" spans="1:15" ht="25.5">
      <c r="A139" s="882" t="s">
        <v>186</v>
      </c>
      <c r="B139" s="882"/>
      <c r="C139" s="882"/>
      <c r="D139" s="151" t="s">
        <v>183</v>
      </c>
      <c r="E139" s="148">
        <v>937087</v>
      </c>
      <c r="F139" s="148">
        <v>937258</v>
      </c>
      <c r="G139" s="112">
        <f t="shared" si="11"/>
        <v>171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882" t="s">
        <v>187</v>
      </c>
      <c r="B140" s="882"/>
      <c r="C140" s="882"/>
      <c r="D140" s="151" t="s">
        <v>183</v>
      </c>
      <c r="E140" s="149">
        <v>4016.51</v>
      </c>
      <c r="F140" s="149">
        <v>4764</v>
      </c>
      <c r="G140" s="112">
        <f t="shared" si="11"/>
        <v>747.48999999999978</v>
      </c>
      <c r="H140" s="99">
        <f>G140+'30'!H140</f>
        <v>0</v>
      </c>
      <c r="I140" s="95"/>
      <c r="J140" s="328">
        <f>H140/DAY(B2)</f>
        <v>0</v>
      </c>
    </row>
    <row r="141" spans="1:15" ht="25.5">
      <c r="A141" s="865" t="s">
        <v>188</v>
      </c>
      <c r="B141" s="865"/>
      <c r="C141" s="865"/>
      <c r="D141" s="151" t="s">
        <v>183</v>
      </c>
      <c r="E141" s="149">
        <v>131042</v>
      </c>
      <c r="F141" s="149">
        <v>131320</v>
      </c>
      <c r="G141" s="112">
        <f t="shared" si="11"/>
        <v>278</v>
      </c>
      <c r="H141" s="99">
        <f>G141+'30'!H141</f>
        <v>0</v>
      </c>
      <c r="I141" s="95"/>
      <c r="J141" s="328">
        <f>H141/DAY(B2)</f>
        <v>0</v>
      </c>
    </row>
    <row r="142" spans="1:15" ht="25.5">
      <c r="A142" s="865" t="s">
        <v>189</v>
      </c>
      <c r="B142" s="865"/>
      <c r="C142" s="865"/>
      <c r="D142" s="151" t="s">
        <v>183</v>
      </c>
      <c r="E142" s="148">
        <v>53100.135000000002</v>
      </c>
      <c r="F142" s="148">
        <v>53191</v>
      </c>
      <c r="G142" s="112">
        <f t="shared" si="11"/>
        <v>90.864999999997963</v>
      </c>
      <c r="H142" s="99">
        <f>G142+'30'!H142</f>
        <v>0</v>
      </c>
      <c r="I142" s="526"/>
      <c r="J142" s="328">
        <f>H142/DAY(B2)</f>
        <v>0</v>
      </c>
    </row>
    <row r="143" spans="1:15" ht="25.5">
      <c r="A143" s="882" t="s">
        <v>91</v>
      </c>
      <c r="B143" s="882"/>
      <c r="C143" s="882"/>
      <c r="D143" s="151" t="s">
        <v>183</v>
      </c>
      <c r="E143" s="149">
        <v>14279.6</v>
      </c>
      <c r="F143" s="149">
        <v>14312</v>
      </c>
      <c r="G143" s="112">
        <f t="shared" si="11"/>
        <v>32.399999999999636</v>
      </c>
      <c r="H143" s="99">
        <f>G143+'30'!H143</f>
        <v>0</v>
      </c>
      <c r="I143" s="526"/>
      <c r="J143" s="328">
        <f>H143/DAY(B2)</f>
        <v>0</v>
      </c>
    </row>
    <row r="144" spans="1:15" ht="25.5">
      <c r="A144" s="865" t="s">
        <v>90</v>
      </c>
      <c r="B144" s="865"/>
      <c r="C144" s="865"/>
      <c r="D144" s="151" t="s">
        <v>183</v>
      </c>
      <c r="E144" s="149">
        <v>962958</v>
      </c>
      <c r="F144" s="149">
        <v>963226</v>
      </c>
      <c r="G144" s="112">
        <f t="shared" si="11"/>
        <v>268</v>
      </c>
      <c r="H144" s="99">
        <f>G144+'30'!H144</f>
        <v>0</v>
      </c>
      <c r="I144" s="526"/>
      <c r="J144" s="328">
        <f>H144/DAY(B2)</f>
        <v>0</v>
      </c>
    </row>
    <row r="145" spans="1:11" ht="25.5">
      <c r="A145" s="882" t="s">
        <v>190</v>
      </c>
      <c r="B145" s="882"/>
      <c r="C145" s="882"/>
      <c r="D145" s="152" t="s">
        <v>183</v>
      </c>
      <c r="E145" s="149">
        <v>750539</v>
      </c>
      <c r="F145" s="149">
        <v>750733</v>
      </c>
      <c r="G145" s="112">
        <f t="shared" si="11"/>
        <v>194</v>
      </c>
      <c r="H145" s="99">
        <f>G145+'30'!H145</f>
        <v>0</v>
      </c>
      <c r="I145" s="526"/>
      <c r="J145" s="328">
        <f>H145/DAY(B2)</f>
        <v>0</v>
      </c>
    </row>
    <row r="146" spans="1:11" ht="25.5">
      <c r="A146" s="916" t="s">
        <v>191</v>
      </c>
      <c r="B146" s="902"/>
      <c r="C146" s="903"/>
      <c r="D146" s="152" t="s">
        <v>183</v>
      </c>
      <c r="E146" s="148">
        <v>788980</v>
      </c>
      <c r="F146" s="148">
        <v>789025</v>
      </c>
      <c r="G146" s="112">
        <f t="shared" si="11"/>
        <v>45</v>
      </c>
      <c r="H146" s="99">
        <f>G146+'30'!H146</f>
        <v>0</v>
      </c>
      <c r="I146" s="526"/>
      <c r="J146" s="328">
        <f>H146/DAY(B2)</f>
        <v>0</v>
      </c>
    </row>
    <row r="147" spans="1:11" ht="25.5">
      <c r="A147" s="865" t="s">
        <v>192</v>
      </c>
      <c r="B147" s="865"/>
      <c r="C147" s="865"/>
      <c r="D147" s="152" t="s">
        <v>183</v>
      </c>
      <c r="E147" s="148">
        <v>771288.24</v>
      </c>
      <c r="F147" s="148">
        <v>771656.88</v>
      </c>
      <c r="G147" s="112">
        <f t="shared" si="11"/>
        <v>368.64000000001397</v>
      </c>
      <c r="H147" s="99">
        <f>G147+'30'!H147</f>
        <v>0</v>
      </c>
      <c r="I147" s="526"/>
      <c r="J147" s="328">
        <f>H147/DAY(B2)</f>
        <v>0</v>
      </c>
    </row>
    <row r="148" spans="1:11" ht="25.5">
      <c r="A148" s="866" t="s">
        <v>193</v>
      </c>
      <c r="B148" s="867"/>
      <c r="C148" s="868"/>
      <c r="D148" s="123" t="s">
        <v>130</v>
      </c>
      <c r="E148" s="150">
        <v>806391.2</v>
      </c>
      <c r="F148" s="150">
        <v>806820.24</v>
      </c>
      <c r="G148" s="112">
        <f t="shared" si="11"/>
        <v>429.04000000003725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866" t="s">
        <v>336</v>
      </c>
      <c r="B149" s="867"/>
      <c r="C149" s="868"/>
      <c r="D149" s="227" t="s">
        <v>130</v>
      </c>
      <c r="E149" s="146">
        <v>216310</v>
      </c>
      <c r="F149" s="146">
        <v>216896</v>
      </c>
      <c r="G149" s="112">
        <f t="shared" si="11"/>
        <v>586</v>
      </c>
      <c r="H149" s="99">
        <f>G149+'30'!H149</f>
        <v>0</v>
      </c>
      <c r="I149" s="119"/>
      <c r="J149" s="328">
        <f>H149/DAY(B2)</f>
        <v>0</v>
      </c>
    </row>
    <row r="150" spans="1:11" ht="25.5">
      <c r="A150" s="866" t="s">
        <v>337</v>
      </c>
      <c r="B150" s="867"/>
      <c r="C150" s="868"/>
      <c r="D150" s="117" t="s">
        <v>130</v>
      </c>
      <c r="E150" s="233">
        <v>94875</v>
      </c>
      <c r="F150" s="233">
        <v>94978</v>
      </c>
      <c r="G150" s="112">
        <f t="shared" si="11"/>
        <v>103</v>
      </c>
      <c r="H150" s="99">
        <f>G150+'30'!H150</f>
        <v>2867.1999999999971</v>
      </c>
      <c r="I150" s="119"/>
      <c r="J150" s="328">
        <f>H150/DAY(B2)</f>
        <v>92.490322580645071</v>
      </c>
    </row>
    <row r="151" spans="1:11" ht="25.5">
      <c r="A151" s="866" t="s">
        <v>338</v>
      </c>
      <c r="B151" s="867"/>
      <c r="C151" s="868"/>
      <c r="D151" s="117" t="s">
        <v>130</v>
      </c>
      <c r="E151" s="233">
        <v>175892</v>
      </c>
      <c r="F151" s="233">
        <v>176175</v>
      </c>
      <c r="G151" s="112">
        <f t="shared" si="11"/>
        <v>283</v>
      </c>
      <c r="H151" s="99">
        <f>G151+'30'!H151</f>
        <v>0</v>
      </c>
      <c r="I151" s="119"/>
      <c r="J151" s="328">
        <f>H151/DAY(B2)</f>
        <v>0</v>
      </c>
    </row>
    <row r="152" spans="1:11" ht="25.5">
      <c r="A152" s="866" t="s">
        <v>339</v>
      </c>
      <c r="B152" s="867"/>
      <c r="C152" s="868"/>
      <c r="D152" s="117" t="s">
        <v>130</v>
      </c>
      <c r="E152" s="233">
        <v>46501</v>
      </c>
      <c r="F152" s="233">
        <v>46632</v>
      </c>
      <c r="G152" s="112">
        <f t="shared" si="11"/>
        <v>131</v>
      </c>
      <c r="H152" s="99">
        <f>G152+'30'!H152</f>
        <v>0</v>
      </c>
      <c r="I152" s="119"/>
      <c r="J152" s="328">
        <f>H152/DAY(B2)</f>
        <v>0</v>
      </c>
    </row>
    <row r="153" spans="1:11" ht="25.5">
      <c r="A153" s="788" t="s">
        <v>196</v>
      </c>
      <c r="B153" s="980"/>
      <c r="C153" s="789"/>
      <c r="D153" s="358"/>
      <c r="E153" s="361"/>
      <c r="F153" s="361"/>
      <c r="G153" s="362">
        <f>SUM(G138:G152)</f>
        <v>3840.4350000000486</v>
      </c>
      <c r="H153" s="363"/>
      <c r="I153" s="119">
        <f>G153-(G38+G52)</f>
        <v>1150.3450000000303</v>
      </c>
      <c r="J153" s="366"/>
    </row>
    <row r="154" spans="1:11" ht="27.75">
      <c r="A154" s="871" t="s">
        <v>344</v>
      </c>
      <c r="B154" s="871"/>
      <c r="C154" s="871"/>
      <c r="D154" s="871"/>
      <c r="E154" s="871"/>
      <c r="F154" s="871"/>
      <c r="G154" s="871"/>
      <c r="H154" s="871"/>
      <c r="I154" s="871"/>
      <c r="J154" s="871"/>
    </row>
    <row r="155" spans="1:11" ht="27.75">
      <c r="A155" s="865" t="s">
        <v>345</v>
      </c>
      <c r="B155" s="865"/>
      <c r="C155" s="865"/>
      <c r="D155" s="117" t="s">
        <v>130</v>
      </c>
      <c r="E155" s="374">
        <v>255803.83</v>
      </c>
      <c r="F155" s="388">
        <v>256352</v>
      </c>
      <c r="G155" s="112">
        <f t="shared" ref="G155:G158" si="12">F155-E155</f>
        <v>548.17000000001281</v>
      </c>
      <c r="H155" s="99">
        <f>G155+'30'!H155</f>
        <v>0</v>
      </c>
      <c r="I155" s="364"/>
      <c r="J155" s="328">
        <f>H155/DAY(B2)</f>
        <v>0</v>
      </c>
    </row>
    <row r="156" spans="1:11" ht="25.5">
      <c r="A156" s="865" t="s">
        <v>347</v>
      </c>
      <c r="B156" s="865"/>
      <c r="C156" s="865"/>
      <c r="D156" s="117" t="s">
        <v>130</v>
      </c>
      <c r="E156" s="155">
        <v>32459</v>
      </c>
      <c r="F156" s="155">
        <v>32559</v>
      </c>
      <c r="G156" s="112">
        <f t="shared" si="12"/>
        <v>100</v>
      </c>
      <c r="H156" s="99">
        <f>G156+'30'!H156</f>
        <v>0</v>
      </c>
      <c r="I156" s="155"/>
      <c r="J156" s="328">
        <f>H156/DAY(B2)</f>
        <v>0</v>
      </c>
    </row>
    <row r="157" spans="1:11" ht="25.5">
      <c r="A157" s="866" t="s">
        <v>359</v>
      </c>
      <c r="B157" s="867"/>
      <c r="C157" s="868"/>
      <c r="D157" s="117" t="s">
        <v>130</v>
      </c>
      <c r="E157" s="155">
        <v>37559</v>
      </c>
      <c r="F157" s="95">
        <v>37559</v>
      </c>
      <c r="G157" s="112">
        <f t="shared" si="12"/>
        <v>0</v>
      </c>
      <c r="H157" s="99">
        <f>G157+'30'!H157</f>
        <v>0</v>
      </c>
      <c r="I157" s="99"/>
      <c r="J157" s="155"/>
      <c r="K157" s="328"/>
    </row>
    <row r="158" spans="1:11" ht="25.5">
      <c r="A158" s="866" t="s">
        <v>360</v>
      </c>
      <c r="B158" s="867"/>
      <c r="C158" s="868"/>
      <c r="D158" s="117" t="s">
        <v>130</v>
      </c>
      <c r="E158" s="155">
        <v>1783</v>
      </c>
      <c r="F158" s="155">
        <v>1783</v>
      </c>
      <c r="G158" s="112">
        <f t="shared" si="12"/>
        <v>0</v>
      </c>
      <c r="H158" s="99">
        <f>G158+'30'!H158</f>
        <v>-79</v>
      </c>
      <c r="I158" s="155"/>
      <c r="J158" s="328"/>
    </row>
    <row r="159" spans="1:11" ht="25.5">
      <c r="A159" s="946"/>
      <c r="B159" s="947"/>
      <c r="C159" s="948"/>
      <c r="D159" s="117"/>
      <c r="E159" s="165"/>
      <c r="F159" s="155"/>
      <c r="G159" s="112"/>
      <c r="H159" s="99"/>
      <c r="I159" s="155"/>
      <c r="J159" s="328"/>
    </row>
    <row r="160" spans="1:11" ht="27.75">
      <c r="A160" s="871" t="s">
        <v>326</v>
      </c>
      <c r="B160" s="871"/>
      <c r="C160" s="871"/>
      <c r="D160" s="871"/>
      <c r="E160" s="871"/>
      <c r="F160" s="871"/>
      <c r="G160" s="871"/>
      <c r="H160" s="871"/>
      <c r="I160" s="871"/>
      <c r="J160" s="871"/>
    </row>
    <row r="161" spans="1:10" ht="26.25">
      <c r="A161" s="242" t="s">
        <v>92</v>
      </c>
      <c r="B161" s="243"/>
      <c r="C161" s="243"/>
      <c r="D161" s="244" t="s">
        <v>180</v>
      </c>
      <c r="E161" s="235">
        <v>512296.36</v>
      </c>
      <c r="F161" s="235">
        <v>512445</v>
      </c>
      <c r="G161" s="238">
        <f t="shared" ref="G161:G165" si="13">F161-E161</f>
        <v>148.64000000001397</v>
      </c>
      <c r="H161" s="99">
        <f>G161+'30'!H161</f>
        <v>0</v>
      </c>
      <c r="I161" s="236"/>
      <c r="J161" s="239">
        <f>H161/DAY(B2)</f>
        <v>0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1748.7</v>
      </c>
      <c r="F162" s="235">
        <v>1787</v>
      </c>
      <c r="G162" s="238">
        <f t="shared" si="13"/>
        <v>38.299999999999955</v>
      </c>
      <c r="H162" s="99">
        <f>G162+'30'!H162</f>
        <v>27</v>
      </c>
      <c r="I162" s="236"/>
      <c r="J162" s="239">
        <f>H162/DAY(B2)</f>
        <v>0.87096774193548387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0</v>
      </c>
      <c r="F163" s="235">
        <v>0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7334</v>
      </c>
      <c r="F164" s="235">
        <v>7337</v>
      </c>
      <c r="G164" s="238">
        <f t="shared" si="13"/>
        <v>3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32966.300000000003</v>
      </c>
      <c r="F165" s="235">
        <v>32974.519999999997</v>
      </c>
      <c r="G165" s="238">
        <f t="shared" si="13"/>
        <v>8.2199999999938882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872"/>
      <c r="B166" s="872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72"/>
      <c r="B167" s="872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72"/>
      <c r="B168" s="872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73" t="s">
        <v>330</v>
      </c>
      <c r="B171" s="874"/>
      <c r="C171" s="874"/>
      <c r="D171" s="874"/>
      <c r="E171" s="874"/>
      <c r="F171" s="874"/>
      <c r="G171" s="874"/>
      <c r="H171" s="874"/>
      <c r="I171" s="874"/>
      <c r="J171" s="875"/>
    </row>
    <row r="172" spans="1:10" ht="25.5">
      <c r="A172" s="880"/>
      <c r="B172" s="88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90" t="s">
        <v>209</v>
      </c>
      <c r="B173" s="791"/>
      <c r="C173" s="333"/>
      <c r="D173" s="228" t="s">
        <v>142</v>
      </c>
      <c r="E173" s="155">
        <v>8612</v>
      </c>
      <c r="F173" s="424">
        <v>8612</v>
      </c>
      <c r="G173" s="155">
        <f>F173-E173</f>
        <v>0</v>
      </c>
      <c r="H173" s="99">
        <f>G173+'30'!H173</f>
        <v>30</v>
      </c>
      <c r="I173" s="155"/>
      <c r="J173" s="178">
        <f>H173/DAY(B2)</f>
        <v>0.967741935483871</v>
      </c>
    </row>
    <row r="174" spans="1:10" ht="25.5">
      <c r="A174" s="790" t="s">
        <v>75</v>
      </c>
      <c r="B174" s="791"/>
      <c r="C174" s="333"/>
      <c r="D174" s="228" t="s">
        <v>142</v>
      </c>
      <c r="E174" s="157">
        <v>43403</v>
      </c>
      <c r="F174" s="157">
        <v>43414</v>
      </c>
      <c r="G174" s="155">
        <f t="shared" ref="G174:G175" si="14">F174-E174</f>
        <v>11</v>
      </c>
      <c r="H174" s="99">
        <f>G174+'30'!H174</f>
        <v>0</v>
      </c>
      <c r="I174" s="155"/>
      <c r="J174" s="178">
        <f>H174/DAY(B2)</f>
        <v>0</v>
      </c>
    </row>
    <row r="175" spans="1:10" ht="25.5">
      <c r="A175" s="790" t="s">
        <v>76</v>
      </c>
      <c r="B175" s="803"/>
      <c r="C175" s="791"/>
      <c r="D175" s="228" t="s">
        <v>142</v>
      </c>
      <c r="E175" s="155">
        <v>26273</v>
      </c>
      <c r="F175" s="155">
        <v>26287</v>
      </c>
      <c r="G175" s="155">
        <f t="shared" si="14"/>
        <v>14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788" t="s">
        <v>196</v>
      </c>
      <c r="B176" s="980"/>
      <c r="C176" s="789"/>
      <c r="D176" s="228" t="s">
        <v>142</v>
      </c>
      <c r="E176" s="155"/>
      <c r="F176" s="155"/>
      <c r="G176" s="155">
        <f>SUM(G173:G175)</f>
        <v>25</v>
      </c>
      <c r="H176" s="99">
        <f>G176+'30'!H176</f>
        <v>30</v>
      </c>
      <c r="I176" s="155"/>
      <c r="J176" s="178">
        <f>H176/DAY(B2)</f>
        <v>0.967741935483871</v>
      </c>
    </row>
    <row r="177" spans="1:10" ht="25.5">
      <c r="A177" s="790" t="s">
        <v>77</v>
      </c>
      <c r="B177" s="791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790" t="s">
        <v>210</v>
      </c>
      <c r="B178" s="791"/>
      <c r="C178" s="333"/>
      <c r="D178" s="228" t="s">
        <v>142</v>
      </c>
      <c r="E178" s="155">
        <v>110309</v>
      </c>
      <c r="F178" s="155">
        <v>110391</v>
      </c>
      <c r="G178" s="155">
        <f>F178-E178</f>
        <v>82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790" t="s">
        <v>211</v>
      </c>
      <c r="B179" s="791"/>
      <c r="C179" s="333"/>
      <c r="D179" s="228" t="s">
        <v>142</v>
      </c>
      <c r="E179" s="155">
        <v>37501</v>
      </c>
      <c r="F179" s="157">
        <v>37501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790" t="s">
        <v>212</v>
      </c>
      <c r="B180" s="791"/>
      <c r="C180" s="333"/>
      <c r="D180" s="228" t="s">
        <v>142</v>
      </c>
      <c r="E180" s="155">
        <v>7696</v>
      </c>
      <c r="F180" s="157">
        <v>7701</v>
      </c>
      <c r="G180" s="155">
        <f t="shared" si="15"/>
        <v>5</v>
      </c>
      <c r="H180" s="99">
        <f>G180+'30'!H180</f>
        <v>0</v>
      </c>
      <c r="I180" s="155"/>
      <c r="J180" s="178">
        <f>H180/DAY(B2)</f>
        <v>0</v>
      </c>
    </row>
    <row r="181" spans="1:10" ht="25.5">
      <c r="A181" s="878" t="s">
        <v>108</v>
      </c>
      <c r="B181" s="879"/>
      <c r="C181" s="400"/>
      <c r="D181" s="228" t="s">
        <v>142</v>
      </c>
      <c r="E181" s="155"/>
      <c r="F181" s="157"/>
      <c r="G181" s="155">
        <f>SUM(G178:G180)</f>
        <v>87</v>
      </c>
      <c r="H181" s="99">
        <f>G181+'30'!H181</f>
        <v>0</v>
      </c>
      <c r="I181" s="155"/>
      <c r="J181" s="178">
        <f>H181/DAY(B2)</f>
        <v>0</v>
      </c>
    </row>
    <row r="182" spans="1:10" ht="25.5">
      <c r="A182" s="790" t="s">
        <v>213</v>
      </c>
      <c r="B182" s="791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790" t="s">
        <v>214</v>
      </c>
      <c r="B183" s="791"/>
      <c r="C183" s="334"/>
      <c r="D183" s="228" t="s">
        <v>142</v>
      </c>
      <c r="E183" s="157">
        <v>18688</v>
      </c>
      <c r="F183" s="157">
        <v>18692</v>
      </c>
      <c r="G183" s="157">
        <f>F183-E183</f>
        <v>4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790" t="s">
        <v>215</v>
      </c>
      <c r="B184" s="791"/>
      <c r="C184" s="334"/>
      <c r="D184" s="228" t="s">
        <v>142</v>
      </c>
      <c r="E184" s="157">
        <v>13239</v>
      </c>
      <c r="F184" s="157">
        <v>13246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790" t="s">
        <v>216</v>
      </c>
      <c r="B185" s="791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788" t="s">
        <v>196</v>
      </c>
      <c r="B186" s="789"/>
      <c r="C186" s="399"/>
      <c r="D186" s="228" t="s">
        <v>142</v>
      </c>
      <c r="E186" s="157"/>
      <c r="F186" s="157"/>
      <c r="G186" s="157">
        <f>SUM(G183:G185)</f>
        <v>11</v>
      </c>
      <c r="H186" s="99">
        <f>G186+'30'!H186</f>
        <v>0</v>
      </c>
      <c r="I186" s="157"/>
      <c r="J186" s="178">
        <f>H186/DAY(B2)</f>
        <v>0</v>
      </c>
    </row>
    <row r="187" spans="1:10" ht="25.5">
      <c r="A187" s="869" t="s">
        <v>217</v>
      </c>
      <c r="B187" s="870"/>
      <c r="C187" s="333"/>
      <c r="D187" s="230" t="s">
        <v>142</v>
      </c>
      <c r="E187" s="159"/>
      <c r="F187" s="159"/>
      <c r="G187" s="377">
        <f>G62+G19</f>
        <v>229</v>
      </c>
      <c r="H187" s="99">
        <f>G187+'30'!H187</f>
        <v>0</v>
      </c>
      <c r="I187" s="157"/>
      <c r="J187" s="179">
        <f>H187/DAY(B2)</f>
        <v>0</v>
      </c>
    </row>
    <row r="188" spans="1:10" ht="25.5">
      <c r="A188" s="869" t="s">
        <v>218</v>
      </c>
      <c r="B188" s="870"/>
      <c r="C188" s="333"/>
      <c r="D188" s="230" t="s">
        <v>142</v>
      </c>
      <c r="E188" s="159"/>
      <c r="F188" s="159"/>
      <c r="G188" s="377">
        <f>G65+G66+G67+G69+G70</f>
        <v>223</v>
      </c>
      <c r="H188" s="99">
        <f>G188+'30'!H188</f>
        <v>-2409</v>
      </c>
      <c r="I188" s="157"/>
      <c r="J188" s="179">
        <f>H188/DAY(B2)</f>
        <v>-77.709677419354833</v>
      </c>
    </row>
    <row r="189" spans="1:10" ht="25.5">
      <c r="A189" s="869" t="s">
        <v>219</v>
      </c>
      <c r="B189" s="870"/>
      <c r="C189" s="333"/>
      <c r="D189" s="230" t="s">
        <v>142</v>
      </c>
      <c r="E189" s="157"/>
      <c r="F189" s="157"/>
      <c r="G189" s="525">
        <f>G181</f>
        <v>87</v>
      </c>
      <c r="H189" s="99">
        <f>G189+'30'!H189</f>
        <v>-1971</v>
      </c>
      <c r="I189" s="157"/>
      <c r="J189" s="179">
        <f>H189/DAY(B2)</f>
        <v>-63.58064516129032</v>
      </c>
    </row>
    <row r="190" spans="1:10" ht="25.5">
      <c r="A190" s="876"/>
      <c r="B190" s="877"/>
      <c r="C190" s="398"/>
      <c r="D190" s="395"/>
      <c r="E190" s="395"/>
      <c r="F190" s="414"/>
      <c r="G190" s="414"/>
      <c r="H190" s="396"/>
      <c r="I190" s="414"/>
      <c r="J190" s="53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3" t="s">
        <v>6</v>
      </c>
      <c r="F2" s="763"/>
      <c r="G2" s="763"/>
      <c r="H2" s="769" t="s">
        <v>14</v>
      </c>
      <c r="I2" s="769"/>
      <c r="J2" s="769"/>
      <c r="K2" s="264" t="s">
        <v>15</v>
      </c>
      <c r="L2" s="769" t="s">
        <v>16</v>
      </c>
      <c r="M2" s="769"/>
      <c r="N2" s="769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838476</v>
      </c>
      <c r="E4" s="19">
        <f>'1'!G97</f>
        <v>0.23895757795503925</v>
      </c>
      <c r="F4" s="19">
        <f>'1'!F142</f>
        <v>53300</v>
      </c>
      <c r="G4" s="21">
        <f>E4*F4</f>
        <v>12736.438905003592</v>
      </c>
      <c r="H4" s="19">
        <f>'1'!G68</f>
        <v>15</v>
      </c>
      <c r="I4" s="19">
        <f>'1'!G69</f>
        <v>5</v>
      </c>
      <c r="J4" s="19">
        <f>'1'!G70</f>
        <v>8</v>
      </c>
      <c r="K4" s="23">
        <f>H4+I4</f>
        <v>20</v>
      </c>
      <c r="L4" s="19">
        <f>'1'!G71</f>
        <v>193</v>
      </c>
      <c r="M4" s="19">
        <f>'1'!G72</f>
        <v>0</v>
      </c>
      <c r="N4" s="19">
        <v>0</v>
      </c>
      <c r="O4" s="23">
        <f>L4+M4+N4</f>
        <v>193</v>
      </c>
    </row>
    <row r="5" spans="1:15">
      <c r="A5" s="16">
        <v>2</v>
      </c>
      <c r="B5" s="26">
        <v>2</v>
      </c>
      <c r="C5" s="26"/>
      <c r="D5" s="19">
        <f>'2'!F8</f>
        <v>860934</v>
      </c>
      <c r="E5" s="19">
        <f>'2'!G96</f>
        <v>4638.1900000000023</v>
      </c>
      <c r="F5" s="19">
        <f>'2'!F123</f>
        <v>88192</v>
      </c>
      <c r="G5" s="21">
        <f t="shared" ref="G5:G18" si="0">E5*F5</f>
        <v>409051252.4800002</v>
      </c>
      <c r="H5" s="19">
        <f>'2'!G68</f>
        <v>15</v>
      </c>
      <c r="I5" s="19">
        <f>'2'!G69</f>
        <v>6</v>
      </c>
      <c r="J5" s="19">
        <f>'2'!G70</f>
        <v>7</v>
      </c>
      <c r="K5" s="23">
        <f t="shared" ref="K5:K18" si="1">H5+I5</f>
        <v>21</v>
      </c>
      <c r="L5" s="19">
        <f>'2'!G71</f>
        <v>201</v>
      </c>
      <c r="M5" s="19">
        <f>'2'!G72</f>
        <v>0</v>
      </c>
      <c r="N5" s="19">
        <v>0</v>
      </c>
      <c r="O5" s="23">
        <f t="shared" ref="O5:O18" si="2">L5+M5+N5</f>
        <v>201</v>
      </c>
    </row>
    <row r="6" spans="1:15">
      <c r="A6" s="16">
        <v>3</v>
      </c>
      <c r="B6" s="26">
        <v>3</v>
      </c>
      <c r="C6" s="26"/>
      <c r="D6" s="19">
        <f>'4'!F8</f>
        <v>906849</v>
      </c>
      <c r="E6" s="19">
        <f>'3'!G96</f>
        <v>3320.9999999999418</v>
      </c>
      <c r="F6" s="19">
        <f>'3'!F123</f>
        <v>88503.142999999996</v>
      </c>
      <c r="G6" s="21">
        <f t="shared" si="0"/>
        <v>293918937.90299481</v>
      </c>
      <c r="H6" s="19">
        <f>'4'!G68</f>
        <v>32</v>
      </c>
      <c r="I6" s="19">
        <f>'4'!G69</f>
        <v>3</v>
      </c>
      <c r="J6" s="19">
        <f>'4'!G70</f>
        <v>5</v>
      </c>
      <c r="K6" s="23">
        <f t="shared" si="1"/>
        <v>35</v>
      </c>
      <c r="L6" s="19">
        <f>'4'!G71</f>
        <v>233</v>
      </c>
      <c r="M6" s="19">
        <f>'4'!G72</f>
        <v>0</v>
      </c>
      <c r="N6" s="19">
        <v>0</v>
      </c>
      <c r="O6" s="23">
        <f t="shared" si="2"/>
        <v>233</v>
      </c>
    </row>
    <row r="7" spans="1:15">
      <c r="A7" s="16">
        <v>4</v>
      </c>
      <c r="B7" s="27">
        <v>4</v>
      </c>
      <c r="C7" s="27"/>
      <c r="D7" s="19">
        <f>'3'!F8</f>
        <v>884483.31</v>
      </c>
      <c r="E7" s="19">
        <f>'4'!G96</f>
        <v>3150.570000000007</v>
      </c>
      <c r="F7" s="19">
        <f>'1'!F142</f>
        <v>53300</v>
      </c>
      <c r="G7" s="21">
        <f t="shared" si="0"/>
        <v>167925381.00000036</v>
      </c>
      <c r="H7" s="19">
        <f>'3'!G68</f>
        <v>20</v>
      </c>
      <c r="I7" s="19">
        <f>'3'!G69</f>
        <v>4</v>
      </c>
      <c r="J7" s="19">
        <f>'3'!G70</f>
        <v>9</v>
      </c>
      <c r="K7" s="23">
        <f t="shared" si="1"/>
        <v>24</v>
      </c>
      <c r="L7" s="19">
        <f>'3'!G71</f>
        <v>220</v>
      </c>
      <c r="M7" s="19">
        <f>'3'!G72</f>
        <v>0</v>
      </c>
      <c r="N7" s="19">
        <v>0</v>
      </c>
      <c r="O7" s="23">
        <f t="shared" si="2"/>
        <v>220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53300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953597</v>
      </c>
      <c r="E9" s="19">
        <f>'6'!G96</f>
        <v>3625.4899999999907</v>
      </c>
      <c r="F9" s="19">
        <f>'1'!F142</f>
        <v>53300</v>
      </c>
      <c r="G9" s="21">
        <f t="shared" si="0"/>
        <v>193238616.99999949</v>
      </c>
      <c r="H9" s="19">
        <f>'6'!G68</f>
        <v>30</v>
      </c>
      <c r="I9" s="19">
        <f>'6'!G69</f>
        <v>4</v>
      </c>
      <c r="J9" s="19">
        <f>'6'!G70</f>
        <v>4</v>
      </c>
      <c r="K9" s="23">
        <f t="shared" si="1"/>
        <v>34</v>
      </c>
      <c r="L9" s="19">
        <f>'6'!G71</f>
        <v>219</v>
      </c>
      <c r="M9" s="19">
        <f>'6'!G72</f>
        <v>0</v>
      </c>
      <c r="N9" s="19">
        <v>0</v>
      </c>
      <c r="O9" s="23">
        <f t="shared" si="2"/>
        <v>219</v>
      </c>
    </row>
    <row r="10" spans="1:15">
      <c r="A10" s="16">
        <v>7</v>
      </c>
      <c r="B10" s="26">
        <v>7</v>
      </c>
      <c r="C10" s="27"/>
      <c r="D10" s="19">
        <f>'7'!F8</f>
        <v>977350</v>
      </c>
      <c r="E10" s="19">
        <f>'7'!G96</f>
        <v>3472</v>
      </c>
      <c r="F10" s="19">
        <f>'1'!F142</f>
        <v>53300</v>
      </c>
      <c r="G10" s="21">
        <f t="shared" si="0"/>
        <v>185057600</v>
      </c>
      <c r="H10" s="19">
        <f>'7'!G68</f>
        <v>21</v>
      </c>
      <c r="I10" s="19">
        <f>'7'!G69</f>
        <v>2</v>
      </c>
      <c r="J10" s="19">
        <f>'7'!G70</f>
        <v>8</v>
      </c>
      <c r="K10" s="23">
        <f t="shared" si="1"/>
        <v>23</v>
      </c>
      <c r="L10" s="19">
        <f>'7'!G71</f>
        <v>213</v>
      </c>
      <c r="M10" s="19">
        <f>'7'!G72</f>
        <v>0</v>
      </c>
      <c r="N10" s="19">
        <v>0</v>
      </c>
      <c r="O10" s="23">
        <f t="shared" si="2"/>
        <v>213</v>
      </c>
    </row>
    <row r="11" spans="1:15">
      <c r="A11" s="16">
        <v>8</v>
      </c>
      <c r="B11" s="26">
        <v>8</v>
      </c>
      <c r="C11" s="18"/>
      <c r="D11" s="19">
        <f>'8'!F8</f>
        <v>1000622</v>
      </c>
      <c r="E11" s="19">
        <f>'8'!G96</f>
        <v>3412</v>
      </c>
      <c r="F11" s="19">
        <f>'1'!F142</f>
        <v>53300</v>
      </c>
      <c r="G11" s="21">
        <f t="shared" si="0"/>
        <v>181859600</v>
      </c>
      <c r="H11" s="19">
        <f>'8'!G68</f>
        <v>24</v>
      </c>
      <c r="I11" s="19">
        <f>'8'!G69</f>
        <v>9</v>
      </c>
      <c r="J11" s="19">
        <f>'8'!G70</f>
        <v>9</v>
      </c>
      <c r="K11" s="23">
        <f t="shared" si="1"/>
        <v>33</v>
      </c>
      <c r="L11" s="19">
        <f>'8'!G71</f>
        <v>213</v>
      </c>
      <c r="M11" s="19">
        <f>'8'!G72</f>
        <v>0</v>
      </c>
      <c r="N11" s="19">
        <v>0</v>
      </c>
      <c r="O11" s="23">
        <f t="shared" si="2"/>
        <v>213</v>
      </c>
    </row>
    <row r="12" spans="1:15">
      <c r="A12" s="16">
        <v>9</v>
      </c>
      <c r="B12" s="27">
        <v>9</v>
      </c>
      <c r="C12" s="26"/>
      <c r="D12" s="19">
        <f>'9'!F8</f>
        <v>1022861.42</v>
      </c>
      <c r="E12" s="19">
        <f>'9'!G96</f>
        <v>3380.1699999999837</v>
      </c>
      <c r="F12" s="19">
        <f>'1'!F142</f>
        <v>53300</v>
      </c>
      <c r="G12" s="21">
        <f t="shared" si="0"/>
        <v>180163060.99999914</v>
      </c>
      <c r="H12" s="19">
        <f>'9'!G68</f>
        <v>10</v>
      </c>
      <c r="I12" s="19">
        <f>'9'!G69</f>
        <v>3</v>
      </c>
      <c r="J12" s="19">
        <f>'9'!G70</f>
        <v>7</v>
      </c>
      <c r="K12" s="23">
        <f t="shared" si="1"/>
        <v>13</v>
      </c>
      <c r="L12" s="19">
        <f>'9'!G71</f>
        <v>179</v>
      </c>
      <c r="M12" s="19">
        <f>'9'!G72</f>
        <v>0</v>
      </c>
      <c r="N12" s="19">
        <v>0</v>
      </c>
      <c r="O12" s="23">
        <f t="shared" si="2"/>
        <v>179</v>
      </c>
    </row>
    <row r="13" spans="1:15">
      <c r="A13" s="16">
        <v>10</v>
      </c>
      <c r="B13" s="27">
        <v>10</v>
      </c>
      <c r="C13" s="26"/>
      <c r="D13" s="19">
        <f>'10'!F8</f>
        <v>45495.51</v>
      </c>
      <c r="E13" s="19">
        <f>'10'!G96</f>
        <v>3491.0400000000373</v>
      </c>
      <c r="F13" s="19">
        <f>'1'!F142</f>
        <v>53300</v>
      </c>
      <c r="G13" s="21">
        <f t="shared" si="0"/>
        <v>186072432.000002</v>
      </c>
      <c r="H13" s="19">
        <f>'10'!G68</f>
        <v>10</v>
      </c>
      <c r="I13" s="19">
        <f>'10'!G69</f>
        <v>6</v>
      </c>
      <c r="J13" s="19">
        <f>'10'!G70</f>
        <v>6</v>
      </c>
      <c r="K13" s="23">
        <f t="shared" si="1"/>
        <v>16</v>
      </c>
      <c r="L13" s="19">
        <f>'10'!G71</f>
        <v>167</v>
      </c>
      <c r="M13" s="19">
        <f>'10'!G72</f>
        <v>0</v>
      </c>
      <c r="N13" s="19">
        <v>0</v>
      </c>
      <c r="O13" s="23">
        <f t="shared" si="2"/>
        <v>167</v>
      </c>
    </row>
    <row r="14" spans="1:15">
      <c r="A14" s="16">
        <v>11</v>
      </c>
      <c r="B14" s="17">
        <v>11</v>
      </c>
      <c r="C14" s="27"/>
      <c r="D14" s="19">
        <f>'11'!F8</f>
        <v>66979.539999999994</v>
      </c>
      <c r="E14" s="19">
        <f>'11'!G96</f>
        <v>2718.2099999999627</v>
      </c>
      <c r="F14" s="19">
        <f>'1'!F142</f>
        <v>53300</v>
      </c>
      <c r="G14" s="21">
        <f t="shared" si="0"/>
        <v>144880592.999998</v>
      </c>
      <c r="H14" s="19">
        <f>'11'!G68</f>
        <v>8</v>
      </c>
      <c r="I14" s="19">
        <f>'11'!G69</f>
        <v>3</v>
      </c>
      <c r="J14" s="19">
        <f>'11'!G70</f>
        <v>6</v>
      </c>
      <c r="K14" s="23">
        <f t="shared" si="1"/>
        <v>11</v>
      </c>
      <c r="L14" s="19">
        <f>'11'!G71</f>
        <v>169</v>
      </c>
      <c r="M14" s="19">
        <f>'11'!G72</f>
        <v>0</v>
      </c>
      <c r="N14" s="19">
        <v>0</v>
      </c>
      <c r="O14" s="23">
        <f t="shared" si="2"/>
        <v>169</v>
      </c>
    </row>
    <row r="15" spans="1:15">
      <c r="A15" s="16">
        <v>12</v>
      </c>
      <c r="B15" s="26">
        <v>12</v>
      </c>
      <c r="C15" s="27"/>
      <c r="D15" s="19">
        <f>'12'!F8</f>
        <v>87538.92</v>
      </c>
      <c r="E15" s="19">
        <f>'12'!G96</f>
        <v>2806.0400000000373</v>
      </c>
      <c r="F15" s="19">
        <f>'1'!F142</f>
        <v>53300</v>
      </c>
      <c r="G15" s="20">
        <f t="shared" si="0"/>
        <v>149561932.000002</v>
      </c>
      <c r="H15" s="19">
        <f>'12'!G68</f>
        <v>13</v>
      </c>
      <c r="I15" s="19">
        <f>'12'!G69</f>
        <v>4</v>
      </c>
      <c r="J15" s="19">
        <f>'12'!G70</f>
        <v>6</v>
      </c>
      <c r="K15" s="23">
        <f t="shared" si="1"/>
        <v>17</v>
      </c>
      <c r="L15" s="19">
        <f>'12'!G71</f>
        <v>168</v>
      </c>
      <c r="M15" s="19">
        <f>'12'!G72</f>
        <v>0</v>
      </c>
      <c r="N15" s="19">
        <v>0</v>
      </c>
      <c r="O15" s="23">
        <f t="shared" si="2"/>
        <v>168</v>
      </c>
    </row>
    <row r="16" spans="1:15">
      <c r="A16" s="16">
        <v>13</v>
      </c>
      <c r="B16" s="26">
        <v>13</v>
      </c>
      <c r="C16" s="26"/>
      <c r="D16" s="19">
        <f>'13'!F8</f>
        <v>108947.69</v>
      </c>
      <c r="E16" s="19">
        <f>'13'!G96</f>
        <v>3416.8399999999674</v>
      </c>
      <c r="F16" s="19">
        <f>'1'!F142</f>
        <v>53300</v>
      </c>
      <c r="G16" s="20">
        <f t="shared" si="0"/>
        <v>182117571.99999827</v>
      </c>
      <c r="H16" s="19">
        <f>'13'!G68</f>
        <v>9</v>
      </c>
      <c r="I16" s="19">
        <f>'13'!G69</f>
        <v>7</v>
      </c>
      <c r="J16" s="19">
        <f>'13'!G70</f>
        <v>11</v>
      </c>
      <c r="K16" s="23">
        <f t="shared" si="1"/>
        <v>16</v>
      </c>
      <c r="L16" s="19">
        <f>'13'!G71</f>
        <v>151</v>
      </c>
      <c r="M16" s="19">
        <f>'13'!G72</f>
        <v>0</v>
      </c>
      <c r="N16" s="19">
        <v>0</v>
      </c>
      <c r="O16" s="23">
        <f t="shared" si="2"/>
        <v>151</v>
      </c>
    </row>
    <row r="17" spans="1:15">
      <c r="A17" s="16">
        <v>14</v>
      </c>
      <c r="B17" s="17">
        <v>14</v>
      </c>
      <c r="C17" s="27"/>
      <c r="D17" s="19">
        <f>'14'!F8</f>
        <v>131059.3</v>
      </c>
      <c r="E17" s="19">
        <f>'14'!G96</f>
        <v>3541.0100000000093</v>
      </c>
      <c r="F17" s="19">
        <f>'1'!F142</f>
        <v>53300</v>
      </c>
      <c r="G17" s="20">
        <f t="shared" si="0"/>
        <v>188735833.00000051</v>
      </c>
      <c r="H17" s="19">
        <f>'14'!G68</f>
        <v>11</v>
      </c>
      <c r="I17" s="19">
        <f>'14'!G69</f>
        <v>4</v>
      </c>
      <c r="J17" s="19">
        <f>'14'!G71</f>
        <v>172</v>
      </c>
      <c r="K17" s="23">
        <f t="shared" si="1"/>
        <v>15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154134.14000000001</v>
      </c>
      <c r="E18" s="19">
        <f>'15'!G96</f>
        <v>3568.9700000000885</v>
      </c>
      <c r="F18" s="19">
        <f>'1'!F142</f>
        <v>53300</v>
      </c>
      <c r="G18" s="20">
        <f t="shared" si="0"/>
        <v>190226101.00000471</v>
      </c>
      <c r="H18" s="19">
        <f>'15'!G68</f>
        <v>17</v>
      </c>
      <c r="I18" s="19">
        <f>'15'!G69</f>
        <v>9</v>
      </c>
      <c r="J18" s="19">
        <f>'15'!G71</f>
        <v>203</v>
      </c>
      <c r="K18" s="23">
        <f t="shared" si="1"/>
        <v>26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21" t="s">
        <v>115</v>
      </c>
      <c r="B1" s="922"/>
      <c r="C1" s="922"/>
      <c r="D1" s="922"/>
      <c r="E1" s="922"/>
      <c r="F1" s="922"/>
      <c r="G1" s="922"/>
      <c r="H1" s="922"/>
      <c r="I1" s="922"/>
      <c r="J1" s="923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30" t="s">
        <v>119</v>
      </c>
      <c r="F3" s="931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24" t="s">
        <v>128</v>
      </c>
      <c r="B6" s="925"/>
      <c r="C6" s="926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975858</v>
      </c>
      <c r="I7" s="113">
        <f>'1'!I7</f>
        <v>12000</v>
      </c>
      <c r="J7" s="175">
        <f>H7/DAY(B2)</f>
        <v>31479.290322580644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975994</v>
      </c>
      <c r="I8" s="116"/>
      <c r="J8" s="175">
        <f>H8/DAY(B2)</f>
        <v>31483.677419354837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2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-14683.099999999627</v>
      </c>
      <c r="I9" s="124"/>
      <c r="J9" s="175">
        <f>H9/DAY(B2)</f>
        <v>-473.64838709676218</v>
      </c>
      <c r="K9" s="79">
        <f>K8-100</f>
        <v>1715817</v>
      </c>
      <c r="L9" s="66"/>
      <c r="N9" s="87"/>
      <c r="O9" s="71"/>
      <c r="Q9" s="523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-8270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1"/>
      <c r="C14" s="521"/>
      <c r="D14" s="151"/>
      <c r="E14" s="95"/>
      <c r="F14" s="95"/>
      <c r="G14" s="119">
        <f>G9+G10+G11+G12</f>
        <v>0</v>
      </c>
      <c r="H14" s="99">
        <f>G14+'30'!H13</f>
        <v>-22953.099999999627</v>
      </c>
      <c r="I14" s="120">
        <f>G7-G14</f>
        <v>0</v>
      </c>
      <c r="J14" s="175">
        <f>H14/DAY(B2)</f>
        <v>-740.42258064514931</v>
      </c>
      <c r="K14" s="79"/>
      <c r="L14" s="66"/>
      <c r="N14" s="87"/>
      <c r="O14" s="71"/>
    </row>
    <row r="15" spans="1:17" ht="33" customHeight="1">
      <c r="A15" s="927" t="s">
        <v>137</v>
      </c>
      <c r="B15" s="928"/>
      <c r="C15" s="929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-361.96199999982491</v>
      </c>
      <c r="I16" s="113">
        <f>'1'!I15</f>
        <v>800</v>
      </c>
      <c r="J16" s="175">
        <f>H16/DAY(B2)</f>
        <v>-11.676193548381448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811.67619354838143</v>
      </c>
      <c r="J17" s="176"/>
      <c r="K17" s="79"/>
      <c r="L17" s="66"/>
      <c r="N17" s="87"/>
      <c r="O17" s="71"/>
    </row>
    <row r="18" spans="1:15" ht="33" customHeight="1">
      <c r="A18" s="927" t="s">
        <v>140</v>
      </c>
      <c r="B18" s="928"/>
      <c r="C18" s="929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04" t="s">
        <v>141</v>
      </c>
      <c r="B19" s="905"/>
      <c r="C19" s="906"/>
      <c r="D19" s="151" t="s">
        <v>142</v>
      </c>
      <c r="E19" s="95">
        <f>'30'!F18</f>
        <v>28</v>
      </c>
      <c r="F19" s="122">
        <v>14</v>
      </c>
      <c r="G19" s="119">
        <f>F19*10</f>
        <v>140</v>
      </c>
      <c r="H19" s="99">
        <f>G19+'30'!H18</f>
        <v>6190</v>
      </c>
      <c r="I19" s="113">
        <f>'1'!I18</f>
        <v>65</v>
      </c>
      <c r="J19" s="175">
        <f>H19/DAY(B2)</f>
        <v>199.67741935483872</v>
      </c>
      <c r="K19" s="79"/>
      <c r="L19" s="66"/>
      <c r="N19" s="87"/>
      <c r="O19" s="71"/>
    </row>
    <row r="20" spans="1:15" ht="33" customHeight="1">
      <c r="A20" s="904" t="s">
        <v>69</v>
      </c>
      <c r="B20" s="905"/>
      <c r="C20" s="906"/>
      <c r="D20" s="151" t="s">
        <v>142</v>
      </c>
      <c r="E20" s="95">
        <f>'30'!F19</f>
        <v>171259</v>
      </c>
      <c r="F20" s="122">
        <v>145338</v>
      </c>
      <c r="G20" s="112">
        <f t="shared" ref="G20" si="0">F20-E20</f>
        <v>-25921</v>
      </c>
      <c r="H20" s="99">
        <f>G20+'30'!H19</f>
        <v>-25985</v>
      </c>
      <c r="I20" s="335"/>
      <c r="J20" s="175">
        <f>H20/DAY(B2)</f>
        <v>-838.22580645161293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-25781</v>
      </c>
      <c r="H21" s="99">
        <f>G21+'30'!H20</f>
        <v>-19795</v>
      </c>
      <c r="I21" s="336">
        <f>I19-J21</f>
        <v>703.54838709677415</v>
      </c>
      <c r="J21" s="175">
        <f>H21/DAY(B2)</f>
        <v>-638.54838709677415</v>
      </c>
      <c r="K21" s="79"/>
      <c r="L21" s="66"/>
      <c r="N21" s="87"/>
      <c r="O21" s="71"/>
    </row>
    <row r="22" spans="1:15" ht="33" customHeight="1">
      <c r="A22" s="927" t="s">
        <v>144</v>
      </c>
      <c r="B22" s="928"/>
      <c r="C22" s="929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32" t="s">
        <v>149</v>
      </c>
      <c r="B26" s="933"/>
      <c r="C26" s="934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9432331</v>
      </c>
      <c r="I28" s="138"/>
      <c r="J28" s="175">
        <f>H28/DAY(B2)</f>
        <v>304268.74193548388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-238604.87999998778</v>
      </c>
      <c r="I29" s="140"/>
      <c r="J29" s="175">
        <f>H29/DAY(B2)</f>
        <v>-7696.9316129028321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6900</v>
      </c>
      <c r="I30" s="140"/>
      <c r="J30" s="175">
        <f>H30/DAY(B2)</f>
        <v>222.58064516129033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-25921</v>
      </c>
      <c r="F31" s="136">
        <v>146</v>
      </c>
      <c r="G31" s="137">
        <f>E31*F31</f>
        <v>-3784466</v>
      </c>
      <c r="H31" s="99">
        <f>G31+'30'!H30</f>
        <v>-3789266.4</v>
      </c>
      <c r="I31" s="140"/>
      <c r="J31" s="175">
        <f>H31/DAY(B2)</f>
        <v>-122234.4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535700</v>
      </c>
      <c r="I32" s="140"/>
      <c r="J32" s="175">
        <f>H32/DAY(B2)</f>
        <v>17280.645161290322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-3734318</v>
      </c>
      <c r="H33" s="99">
        <f>G33+'30'!H32</f>
        <v>5947059.72000001</v>
      </c>
      <c r="I33" s="144"/>
      <c r="J33" s="175">
        <f>H33/DAY(B2)</f>
        <v>191840.63612903259</v>
      </c>
      <c r="K33" s="63"/>
      <c r="L33" s="89"/>
      <c r="N33" s="87"/>
      <c r="O33" s="71"/>
    </row>
    <row r="34" spans="1:15" ht="33" customHeight="1">
      <c r="A34" s="935" t="s">
        <v>331</v>
      </c>
      <c r="B34" s="936"/>
      <c r="C34" s="936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-2749</v>
      </c>
      <c r="I36" s="95"/>
      <c r="J36" s="175">
        <f>H36/DAY(B2)</f>
        <v>-88.677419354838705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-532.10999999998603</v>
      </c>
      <c r="I37" s="95"/>
      <c r="J37" s="175">
        <f>H37/DAY(B2)</f>
        <v>-17.164838709676967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-308.65000000002328</v>
      </c>
      <c r="I38" s="95"/>
      <c r="J38" s="175">
        <f>H38/DAY(B2)</f>
        <v>-9.9564516129039777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-1022.5200000000186</v>
      </c>
      <c r="I39" s="95"/>
      <c r="J39" s="175">
        <f>H39/DAY(B2)</f>
        <v>-32.984516129032862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1045.5899999999674</v>
      </c>
      <c r="I40" s="95"/>
      <c r="J40" s="175">
        <f>H40/DAY(B2)</f>
        <v>33.728709677418301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123.89000000001397</v>
      </c>
      <c r="I41" s="95"/>
      <c r="J41" s="175">
        <f>H41/DAY(B2)</f>
        <v>3.9964516129036762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-1.0000000009313226E-2</v>
      </c>
      <c r="I42" s="95"/>
      <c r="J42" s="175">
        <f>H42/DAY(B2)</f>
        <v>-3.2258064546171694E-4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2219.8000000000466</v>
      </c>
      <c r="I43" s="95"/>
      <c r="J43" s="175">
        <f>H43/DAY(B2)</f>
        <v>71.606451612904735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1271.9899999999616</v>
      </c>
      <c r="I48" s="95"/>
      <c r="J48" s="175">
        <f>H48/DAY(B2)</f>
        <v>41.031935483869731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822337.11</v>
      </c>
      <c r="F50" s="145">
        <v>419822</v>
      </c>
      <c r="G50" s="112">
        <f t="shared" ref="G50:G59" si="3">F50-E50</f>
        <v>-402515.11</v>
      </c>
      <c r="H50" s="99">
        <f>G50+'30'!H49</f>
        <v>-403090</v>
      </c>
      <c r="I50" s="95"/>
      <c r="J50" s="175">
        <f>H50/DAY(B2)</f>
        <v>-13002.903225806451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540459.82999999996</v>
      </c>
      <c r="F51" s="145">
        <v>607298</v>
      </c>
      <c r="G51" s="112">
        <f t="shared" si="3"/>
        <v>66838.170000000042</v>
      </c>
      <c r="H51" s="99">
        <f>G51+'30'!H50</f>
        <v>65324</v>
      </c>
      <c r="I51" s="95"/>
      <c r="J51" s="175">
        <f>H51/DAY(B2)</f>
        <v>2107.2258064516127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156958</v>
      </c>
      <c r="F52" s="145">
        <v>144640</v>
      </c>
      <c r="G52" s="112">
        <f t="shared" si="3"/>
        <v>-12318</v>
      </c>
      <c r="H52" s="99">
        <f>G52+'30'!H51</f>
        <v>-12318</v>
      </c>
      <c r="I52" s="95"/>
      <c r="J52" s="175">
        <f>H52/DAY(B2)</f>
        <v>-397.35483870967744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1457.43</v>
      </c>
      <c r="F53" s="145">
        <v>539606</v>
      </c>
      <c r="G53" s="112">
        <f t="shared" si="3"/>
        <v>538148.56999999995</v>
      </c>
      <c r="H53" s="99">
        <f>G53+'30'!H52</f>
        <v>538149</v>
      </c>
      <c r="I53" s="95"/>
      <c r="J53" s="175">
        <f>H53/DAY(B2)</f>
        <v>17359.645161290322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630355</v>
      </c>
      <c r="F54" s="145">
        <v>434232</v>
      </c>
      <c r="G54" s="112">
        <f t="shared" si="3"/>
        <v>-196123</v>
      </c>
      <c r="H54" s="99">
        <f>G54+'30'!H53</f>
        <v>-196123.03000000003</v>
      </c>
      <c r="I54" s="95"/>
      <c r="J54" s="175">
        <f>H54/DAY(B2)</f>
        <v>-6326.5493548387103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123806.69</v>
      </c>
      <c r="F55" s="145">
        <v>14967</v>
      </c>
      <c r="G55" s="112">
        <f t="shared" si="3"/>
        <v>-108839.69</v>
      </c>
      <c r="H55" s="99">
        <f>G55+'30'!H54</f>
        <v>-109147.21</v>
      </c>
      <c r="I55" s="95"/>
      <c r="J55" s="175">
        <f>H55/DAY(B2)</f>
        <v>-3520.8777419354842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594304.75</v>
      </c>
      <c r="F56" s="145">
        <v>306268.99</v>
      </c>
      <c r="G56" s="112">
        <f t="shared" si="3"/>
        <v>-288035.76</v>
      </c>
      <c r="H56" s="99">
        <f>G56+'30'!H55</f>
        <v>-288035.76</v>
      </c>
      <c r="I56" s="95"/>
      <c r="J56" s="175">
        <f>H56/DAY(B2)</f>
        <v>-9291.4761290322585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370876.51</v>
      </c>
      <c r="F57" s="145">
        <v>661019</v>
      </c>
      <c r="G57" s="112">
        <f t="shared" si="3"/>
        <v>290142.49</v>
      </c>
      <c r="H57" s="99">
        <f>G57+'30'!H56</f>
        <v>287899</v>
      </c>
      <c r="I57" s="95"/>
      <c r="J57" s="175">
        <f>H57/DAY(B2)</f>
        <v>9287.0645161290322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705108.31</v>
      </c>
      <c r="F58" s="145">
        <v>7711</v>
      </c>
      <c r="G58" s="112">
        <f t="shared" si="3"/>
        <v>-697397.31</v>
      </c>
      <c r="H58" s="99">
        <f>G58+'30'!H57</f>
        <v>-699987</v>
      </c>
      <c r="I58" s="95"/>
      <c r="J58" s="175">
        <f>H58/DAY(B2)</f>
        <v>-22580.225806451614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94292</v>
      </c>
      <c r="F59" s="145">
        <v>66014</v>
      </c>
      <c r="G59" s="112">
        <f t="shared" si="3"/>
        <v>-28278</v>
      </c>
      <c r="H59" s="99">
        <f>G59+'30'!H58</f>
        <v>-28555.820000000007</v>
      </c>
      <c r="I59" s="95"/>
      <c r="J59" s="175">
        <f>H59/DAY(B2)</f>
        <v>-921.15548387096794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-838377.64000000013</v>
      </c>
      <c r="H60" s="99">
        <f>G60+'30'!H59</f>
        <v>-845884.82000000018</v>
      </c>
      <c r="I60" s="95">
        <f>G7-G61</f>
        <v>823514.64000000013</v>
      </c>
      <c r="J60" s="175">
        <f>H60/DAY(B2)</f>
        <v>-27286.607096774198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-823514.64000000013</v>
      </c>
      <c r="H61" s="99">
        <f>G61+'30'!H60</f>
        <v>-844612.83000000031</v>
      </c>
      <c r="I61" s="95">
        <f>G14-G61</f>
        <v>823514.64000000013</v>
      </c>
      <c r="J61" s="175">
        <f>H61/DAY(B2)</f>
        <v>-27245.575161290333</v>
      </c>
      <c r="K61" s="79"/>
      <c r="L61" s="66"/>
      <c r="N61" s="87"/>
      <c r="O61" s="71"/>
    </row>
    <row r="62" spans="1:15" s="68" customFormat="1" ht="33" customHeight="1">
      <c r="A62" s="937" t="s">
        <v>332</v>
      </c>
      <c r="B62" s="938"/>
      <c r="C62" s="939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904" t="s">
        <v>198</v>
      </c>
      <c r="B63" s="905"/>
      <c r="C63" s="90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04" t="s">
        <v>199</v>
      </c>
      <c r="B64" s="905"/>
      <c r="C64" s="90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191745.42000000004</v>
      </c>
      <c r="I64" s="118"/>
      <c r="J64" s="175">
        <f>H64/DAY(B2)</f>
        <v>6185.3361290322591</v>
      </c>
      <c r="K64" s="69"/>
      <c r="L64" s="66"/>
      <c r="N64" s="87"/>
      <c r="O64" s="71"/>
    </row>
    <row r="65" spans="1:15" ht="33" customHeight="1">
      <c r="A65" s="913" t="s">
        <v>200</v>
      </c>
      <c r="B65" s="914"/>
      <c r="C65" s="915"/>
      <c r="D65" s="151"/>
      <c r="E65" s="122"/>
      <c r="F65" s="122"/>
      <c r="G65" s="112">
        <f>G63+G64</f>
        <v>451111</v>
      </c>
      <c r="H65" s="99">
        <f>G65+'30'!H95</f>
        <v>451117.8627870059</v>
      </c>
      <c r="I65" s="118"/>
      <c r="J65" s="175">
        <f>H65/DAY(B2)</f>
        <v>14552.189122161481</v>
      </c>
      <c r="K65" s="69"/>
      <c r="L65" s="66"/>
      <c r="N65" s="87"/>
      <c r="O65" s="71"/>
    </row>
    <row r="66" spans="1:15" ht="33" customHeight="1">
      <c r="A66" s="904" t="s">
        <v>201</v>
      </c>
      <c r="B66" s="905"/>
      <c r="C66" s="90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416390.30000000005</v>
      </c>
      <c r="I66" s="118"/>
      <c r="J66" s="175">
        <f>H66/DAY(B2)</f>
        <v>13431.945161290325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104640.63513703829</v>
      </c>
      <c r="I67" s="118"/>
      <c r="J67" s="175">
        <f>H67/DAY(B2)</f>
        <v>3375.5043592592997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97529.559999999939</v>
      </c>
      <c r="I68" s="118"/>
      <c r="J68" s="175">
        <f>H68/DAY(B2)</f>
        <v>3146.1148387096755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 t="e">
        <f>G69+'30'!H99</f>
        <v>#VALUE!</v>
      </c>
      <c r="I69" s="118"/>
      <c r="J69" s="175" t="e">
        <f>H69/DAY(B2)</f>
        <v>#VALUE!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5954.9099999999817</v>
      </c>
      <c r="I70" s="118"/>
      <c r="J70" s="175">
        <f>H70/DAY(B2)</f>
        <v>192.09387096774134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6376.1577858913279</v>
      </c>
      <c r="I71" s="118"/>
      <c r="J71" s="175">
        <f>H71/DAY(B2)</f>
        <v>205.68250922230089</v>
      </c>
      <c r="K71" s="69"/>
      <c r="L71" s="66"/>
      <c r="N71" s="87"/>
      <c r="O71" s="71"/>
    </row>
    <row r="72" spans="1:15" ht="33" customHeight="1">
      <c r="A72" s="913" t="s">
        <v>208</v>
      </c>
      <c r="B72" s="914"/>
      <c r="C72" s="915"/>
      <c r="D72" s="152"/>
      <c r="E72" s="152"/>
      <c r="F72" s="152"/>
      <c r="G72" s="153">
        <f>SUM(G66:G71)</f>
        <v>793178</v>
      </c>
      <c r="H72" s="99">
        <f>G72+'30'!H102</f>
        <v>790463.72</v>
      </c>
      <c r="I72" s="154"/>
      <c r="J72" s="175">
        <f>H72/DAY(B2)</f>
        <v>25498.829677419355</v>
      </c>
      <c r="K72" s="69"/>
      <c r="L72" s="66"/>
      <c r="N72" s="87"/>
      <c r="O72" s="71"/>
    </row>
    <row r="73" spans="1:15" s="88" customFormat="1" ht="33" customHeight="1">
      <c r="A73" s="900"/>
      <c r="B73" s="88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0" t="s">
        <v>333</v>
      </c>
      <c r="B74" s="911"/>
      <c r="C74" s="91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904" t="s">
        <v>220</v>
      </c>
      <c r="B75" s="905"/>
      <c r="C75" s="90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04" t="s">
        <v>221</v>
      </c>
      <c r="B76" s="905"/>
      <c r="C76" s="90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01" t="s">
        <v>222</v>
      </c>
      <c r="B77" s="902"/>
      <c r="C77" s="90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01" t="s">
        <v>223</v>
      </c>
      <c r="B78" s="902"/>
      <c r="C78" s="90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01" t="s">
        <v>224</v>
      </c>
      <c r="B79" s="902"/>
      <c r="C79" s="903"/>
      <c r="D79" s="151" t="s">
        <v>139</v>
      </c>
      <c r="E79" s="95">
        <f>'30'!F128</f>
        <v>206823.03</v>
      </c>
      <c r="F79" s="232">
        <v>9180</v>
      </c>
      <c r="G79" s="112">
        <f t="shared" si="6"/>
        <v>-197643.03</v>
      </c>
      <c r="H79" s="99">
        <f>G79+'30'!H128</f>
        <v>-198109</v>
      </c>
      <c r="I79" s="118"/>
      <c r="J79" s="175">
        <f>H79/DAY(B2)</f>
        <v>-6390.6129032258068</v>
      </c>
      <c r="K79" s="69"/>
      <c r="L79" s="66"/>
      <c r="N79" s="87"/>
      <c r="O79" s="71"/>
    </row>
    <row r="80" spans="1:15" s="57" customFormat="1" ht="33" customHeight="1">
      <c r="A80" s="901" t="s">
        <v>225</v>
      </c>
      <c r="B80" s="902"/>
      <c r="C80" s="903"/>
      <c r="D80" s="151"/>
      <c r="E80" s="117"/>
      <c r="F80" s="117"/>
      <c r="G80" s="112">
        <f>G16-SUM(G75:G79)</f>
        <v>-920249.36999999988</v>
      </c>
      <c r="H80" s="99">
        <f>G80+'30'!H129</f>
        <v>-920365.80999999982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13" t="s">
        <v>329</v>
      </c>
      <c r="B81" s="914"/>
      <c r="C81" s="91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17" t="s">
        <v>226</v>
      </c>
      <c r="B82" s="918"/>
      <c r="C82" s="919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84506.27</v>
      </c>
      <c r="F83" s="122"/>
      <c r="G83" s="112">
        <f t="shared" ref="G83:G93" si="7">F83-E83</f>
        <v>-84506.27</v>
      </c>
      <c r="H83" s="99">
        <f>G83+'30'!H131</f>
        <v>-84703.83</v>
      </c>
      <c r="I83" s="118"/>
      <c r="J83" s="175">
        <f>H83/DAY(B2)</f>
        <v>-2732.3816129032257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67129</v>
      </c>
      <c r="F84" s="122"/>
      <c r="G84" s="112">
        <f t="shared" si="7"/>
        <v>-67129</v>
      </c>
      <c r="H84" s="99">
        <f>G84+'30'!H132</f>
        <v>-67447</v>
      </c>
      <c r="I84" s="118"/>
      <c r="J84" s="175">
        <f>H84/DAY(B2)</f>
        <v>-2175.7096774193546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949454</v>
      </c>
      <c r="F85" s="164">
        <v>40922</v>
      </c>
      <c r="G85" s="112">
        <f t="shared" si="7"/>
        <v>-908532</v>
      </c>
      <c r="H85" s="99">
        <f>G85+'30'!H133</f>
        <v>-914051</v>
      </c>
      <c r="I85" s="118"/>
      <c r="J85" s="175">
        <f>H85/DAY(B2)</f>
        <v>-29485.516129032258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92974.79</v>
      </c>
      <c r="F86" s="164">
        <v>856</v>
      </c>
      <c r="G86" s="112">
        <f t="shared" si="7"/>
        <v>-92118.79</v>
      </c>
      <c r="H86" s="99">
        <f>G86+'30'!H134</f>
        <v>-89825.69</v>
      </c>
      <c r="I86" s="118">
        <f>G83+G84+G85+G86</f>
        <v>-1152286.06</v>
      </c>
      <c r="J86" s="175">
        <f>H86/DAY(B2)</f>
        <v>-2897.6029032258066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73596.058999999994</v>
      </c>
      <c r="I87" s="118"/>
      <c r="J87" s="175">
        <f>H87/DAY(B2)</f>
        <v>2374.0664193548387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912798</v>
      </c>
      <c r="F90" s="164">
        <v>25132.959999999999</v>
      </c>
      <c r="G90" s="112">
        <f t="shared" si="7"/>
        <v>-887665.04</v>
      </c>
      <c r="H90" s="99">
        <f>G90+'30'!H138</f>
        <v>-884268.04</v>
      </c>
      <c r="I90" s="118"/>
      <c r="J90" s="175">
        <f>H90/DAY(B2)</f>
        <v>-28524.77548387097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937087</v>
      </c>
      <c r="F91" s="164">
        <v>70524.55</v>
      </c>
      <c r="G91" s="112">
        <f t="shared" si="7"/>
        <v>-866562.45</v>
      </c>
      <c r="H91" s="99">
        <f>G91+'30'!H139</f>
        <v>-866733.45</v>
      </c>
      <c r="I91" s="118">
        <f>G90+G91</f>
        <v>-1754227.49</v>
      </c>
      <c r="J91" s="175">
        <f>H91/DAY(B2)</f>
        <v>-27959.143548387096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4016.51</v>
      </c>
      <c r="F92" s="122">
        <v>2627.98</v>
      </c>
      <c r="G92" s="112">
        <f t="shared" si="7"/>
        <v>-1388.5300000000002</v>
      </c>
      <c r="H92" s="99">
        <f>G92+'30'!H140</f>
        <v>-2136.02</v>
      </c>
      <c r="I92" s="165"/>
      <c r="J92" s="175">
        <f>H92/DAY(B2)</f>
        <v>-68.903870967741938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131042</v>
      </c>
      <c r="F93" s="122">
        <v>4754</v>
      </c>
      <c r="G93" s="112">
        <f t="shared" si="7"/>
        <v>-126288</v>
      </c>
      <c r="H93" s="99">
        <f>G93+'30'!H141</f>
        <v>-126566</v>
      </c>
      <c r="I93" s="165"/>
      <c r="J93" s="175">
        <f>H93/DAY(B2)</f>
        <v>-4082.7741935483873</v>
      </c>
      <c r="O93" s="71"/>
    </row>
    <row r="94" spans="1:15" ht="33" customHeight="1">
      <c r="A94" s="907" t="s">
        <v>239</v>
      </c>
      <c r="B94" s="908"/>
      <c r="C94" s="90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04" t="s">
        <v>240</v>
      </c>
      <c r="B95" s="905"/>
      <c r="C95" s="906"/>
      <c r="D95" s="151" t="s">
        <v>130</v>
      </c>
      <c r="E95" s="151"/>
      <c r="F95" s="151"/>
      <c r="G95" s="99">
        <f>G36+G44+G50+G58</f>
        <v>-1097417.42</v>
      </c>
      <c r="H95" s="99">
        <f>G95+'30'!H143</f>
        <v>-1097449.8199999998</v>
      </c>
      <c r="I95" s="118"/>
      <c r="J95" s="175">
        <f>H95/DAY(B2)</f>
        <v>-35401.607096774191</v>
      </c>
      <c r="K95" s="69"/>
      <c r="L95" s="66"/>
      <c r="O95" s="71"/>
    </row>
    <row r="96" spans="1:15" ht="33" customHeight="1">
      <c r="A96" s="904" t="s">
        <v>241</v>
      </c>
      <c r="B96" s="905"/>
      <c r="C96" s="90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04" t="s">
        <v>242</v>
      </c>
      <c r="B97" s="905"/>
      <c r="C97" s="906"/>
      <c r="D97" s="151" t="s">
        <v>130</v>
      </c>
      <c r="E97" s="95"/>
      <c r="F97" s="95"/>
      <c r="G97" s="99">
        <f>G42+G43+G56+G57</f>
        <v>6711.7299999999814</v>
      </c>
      <c r="H97" s="99">
        <f>G97+'30'!H145</f>
        <v>6517.7299999999814</v>
      </c>
      <c r="I97" s="118"/>
      <c r="J97" s="175">
        <f>H97/DAY(B2)</f>
        <v>210.24935483870908</v>
      </c>
      <c r="K97" s="69"/>
      <c r="L97" s="66"/>
      <c r="O97" s="71"/>
    </row>
    <row r="98" spans="1:15" ht="33" customHeight="1">
      <c r="A98" s="904" t="s">
        <v>243</v>
      </c>
      <c r="B98" s="905"/>
      <c r="C98" s="90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04" t="s">
        <v>244</v>
      </c>
      <c r="B99" s="905"/>
      <c r="C99" s="906"/>
      <c r="D99" s="151" t="s">
        <v>130</v>
      </c>
      <c r="E99" s="95"/>
      <c r="F99" s="95"/>
      <c r="G99" s="99">
        <f>G40+G54</f>
        <v>-192237</v>
      </c>
      <c r="H99" s="99">
        <f>G99+'30'!H147</f>
        <v>-192605.64</v>
      </c>
      <c r="I99" s="168"/>
      <c r="J99" s="175">
        <f>H99/DAY(B2)</f>
        <v>-6213.0851612903234</v>
      </c>
      <c r="K99" s="69"/>
      <c r="L99" s="66"/>
      <c r="O99" s="71"/>
    </row>
    <row r="100" spans="1:15" ht="33" customHeight="1">
      <c r="A100" s="904" t="s">
        <v>245</v>
      </c>
      <c r="B100" s="905"/>
      <c r="C100" s="90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04" t="s">
        <v>246</v>
      </c>
      <c r="B101" s="905"/>
      <c r="C101" s="906"/>
      <c r="D101" s="151" t="s">
        <v>180</v>
      </c>
      <c r="E101" s="95"/>
      <c r="F101" s="95"/>
      <c r="G101" s="99">
        <f>G39+G53</f>
        <v>539816.56999999995</v>
      </c>
      <c r="H101" s="99">
        <f>G101+'30'!H149</f>
        <v>539230.56999999995</v>
      </c>
      <c r="I101" s="118"/>
      <c r="J101" s="175">
        <f>H101/DAY(B2)</f>
        <v>17394.534516129032</v>
      </c>
      <c r="K101" s="70"/>
      <c r="O101" s="71"/>
    </row>
    <row r="102" spans="1:15" ht="33" customHeight="1">
      <c r="A102" s="904" t="s">
        <v>247</v>
      </c>
      <c r="B102" s="905"/>
      <c r="C102" s="90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04" t="s">
        <v>248</v>
      </c>
      <c r="B103" s="905"/>
      <c r="C103" s="906"/>
      <c r="D103" s="151" t="s">
        <v>180</v>
      </c>
      <c r="E103" s="95"/>
      <c r="F103" s="95"/>
      <c r="G103" s="99">
        <f>G37+G51</f>
        <v>67506.170000000042</v>
      </c>
      <c r="H103" s="99">
        <f>G103+'30'!H156</f>
        <v>67406.170000000042</v>
      </c>
      <c r="I103" s="168"/>
      <c r="J103" s="175">
        <f>H103/DAY(B2)</f>
        <v>2174.3925806451625</v>
      </c>
      <c r="O103" s="71"/>
    </row>
    <row r="104" spans="1:15" ht="33" customHeight="1">
      <c r="A104" s="904" t="s">
        <v>249</v>
      </c>
      <c r="B104" s="905"/>
      <c r="C104" s="90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04" t="s">
        <v>250</v>
      </c>
      <c r="B105" s="905"/>
      <c r="C105" s="906"/>
      <c r="D105" s="151" t="s">
        <v>180</v>
      </c>
      <c r="E105" s="95"/>
      <c r="F105" s="95"/>
      <c r="G105" s="99">
        <f>G38+G52</f>
        <v>-11155</v>
      </c>
      <c r="H105" s="99">
        <f>G105+'30'!H161</f>
        <v>-11303.640000000014</v>
      </c>
      <c r="I105" s="118"/>
      <c r="J105" s="175">
        <f>H105/DAY(B2)</f>
        <v>-364.63354838709722</v>
      </c>
      <c r="O105" s="71"/>
    </row>
    <row r="106" spans="1:15" ht="33" customHeight="1" thickBot="1">
      <c r="A106" s="897" t="s">
        <v>251</v>
      </c>
      <c r="B106" s="898"/>
      <c r="C106" s="89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93" t="s">
        <v>324</v>
      </c>
      <c r="B109" s="893"/>
      <c r="C109" s="893"/>
      <c r="D109" s="893"/>
      <c r="E109" s="893"/>
      <c r="F109" s="893"/>
      <c r="G109" s="893"/>
      <c r="H109" s="893"/>
      <c r="I109" s="893"/>
      <c r="J109" s="893"/>
    </row>
    <row r="110" spans="1:15" ht="33" customHeight="1">
      <c r="A110" s="920"/>
      <c r="B110" s="920"/>
    </row>
    <row r="111" spans="1:15" ht="33" customHeight="1">
      <c r="A111" s="894" t="s">
        <v>165</v>
      </c>
      <c r="B111" s="895"/>
      <c r="C111" s="895"/>
      <c r="D111" s="895"/>
      <c r="E111" s="895"/>
      <c r="F111" s="895"/>
      <c r="G111" s="895"/>
      <c r="H111" s="895"/>
      <c r="I111" s="895"/>
      <c r="J111" s="896"/>
    </row>
    <row r="112" spans="1:15" ht="33" customHeight="1">
      <c r="A112" s="887"/>
      <c r="B112" s="888"/>
      <c r="C112" s="889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83" t="s">
        <v>252</v>
      </c>
      <c r="B113" s="884"/>
      <c r="C113" s="88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83" t="s">
        <v>253</v>
      </c>
      <c r="B114" s="884"/>
      <c r="C114" s="88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83" t="s">
        <v>254</v>
      </c>
      <c r="B115" s="884"/>
      <c r="C115" s="88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83" t="s">
        <v>255</v>
      </c>
      <c r="B116" s="884"/>
      <c r="C116" s="88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90" t="s">
        <v>96</v>
      </c>
      <c r="B117" s="891"/>
      <c r="C117" s="89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44963</v>
      </c>
      <c r="I117" s="165"/>
      <c r="J117" s="328" t="e">
        <f t="shared" si="9"/>
        <v>#DIV/0!</v>
      </c>
      <c r="Q117" s="883"/>
      <c r="R117" s="885"/>
    </row>
    <row r="118" spans="1:18" ht="33" customHeight="1">
      <c r="A118" s="890" t="s">
        <v>184</v>
      </c>
      <c r="B118" s="891"/>
      <c r="C118" s="89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44922</v>
      </c>
      <c r="I118" s="165"/>
      <c r="J118" s="328" t="e">
        <f t="shared" si="9"/>
        <v>#DIV/0!</v>
      </c>
      <c r="Q118" s="883"/>
      <c r="R118" s="885"/>
    </row>
    <row r="119" spans="1:18" ht="33" customHeight="1">
      <c r="A119" s="882" t="s">
        <v>97</v>
      </c>
      <c r="B119" s="882"/>
      <c r="C119" s="88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44919</v>
      </c>
      <c r="I119" s="165"/>
      <c r="J119" s="328" t="e">
        <f t="shared" si="9"/>
        <v>#DIV/0!</v>
      </c>
      <c r="Q119" s="883"/>
      <c r="R119" s="885"/>
    </row>
    <row r="120" spans="1:18" ht="33" customHeight="1">
      <c r="A120" s="882" t="s">
        <v>98</v>
      </c>
      <c r="B120" s="882"/>
      <c r="C120" s="88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44938</v>
      </c>
      <c r="I120" s="165"/>
      <c r="J120" s="328" t="e">
        <f t="shared" si="9"/>
        <v>#DIV/0!</v>
      </c>
    </row>
    <row r="121" spans="1:18" ht="33" customHeight="1">
      <c r="A121" s="882" t="s">
        <v>99</v>
      </c>
      <c r="B121" s="882"/>
      <c r="C121" s="88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82" t="s">
        <v>100</v>
      </c>
      <c r="B122" s="882"/>
      <c r="C122" s="88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44851</v>
      </c>
      <c r="I122" s="165"/>
      <c r="J122" s="328" t="e">
        <f t="shared" si="9"/>
        <v>#DIV/0!</v>
      </c>
    </row>
    <row r="123" spans="1:18" ht="33" customHeight="1">
      <c r="A123" s="882" t="s">
        <v>101</v>
      </c>
      <c r="B123" s="882"/>
      <c r="C123" s="88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82" t="s">
        <v>102</v>
      </c>
      <c r="B124" s="882"/>
      <c r="C124" s="88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44928</v>
      </c>
      <c r="I124" s="165"/>
      <c r="J124" s="328" t="e">
        <f t="shared" si="9"/>
        <v>#DIV/0!</v>
      </c>
    </row>
    <row r="125" spans="1:18" ht="33" customHeight="1">
      <c r="A125" s="887"/>
      <c r="B125" s="888"/>
      <c r="C125" s="889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72"/>
      <c r="B126" s="87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86" t="s">
        <v>317</v>
      </c>
      <c r="B127" s="886"/>
      <c r="C127" s="886"/>
      <c r="D127" s="886"/>
      <c r="E127" s="886"/>
      <c r="F127" s="886"/>
      <c r="G127" s="886"/>
      <c r="H127" s="886"/>
      <c r="I127" s="886"/>
      <c r="J127" s="886"/>
    </row>
    <row r="128" spans="1:18" ht="33" customHeight="1">
      <c r="A128" s="872"/>
      <c r="B128" s="872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>
      <c r="A129" s="883" t="s">
        <v>318</v>
      </c>
      <c r="B129" s="884"/>
      <c r="C129" s="88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-11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-229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83" t="s">
        <v>321</v>
      </c>
      <c r="B132" s="884"/>
      <c r="C132" s="88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-2632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83" t="s">
        <v>322</v>
      </c>
      <c r="B133" s="884"/>
      <c r="C133" s="88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-2058</v>
      </c>
      <c r="I133" s="165"/>
      <c r="J133" s="328" t="e">
        <f t="shared" si="10"/>
        <v>#DIV/0!</v>
      </c>
    </row>
    <row r="134" spans="1:15" ht="33" customHeight="1">
      <c r="A134" s="883" t="s">
        <v>323</v>
      </c>
      <c r="B134" s="884"/>
      <c r="C134" s="885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887"/>
      <c r="B135" s="888"/>
      <c r="C135" s="88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87"/>
      <c r="B136" s="888"/>
      <c r="C136" s="88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71" t="s">
        <v>325</v>
      </c>
      <c r="B137" s="871"/>
      <c r="C137" s="871"/>
      <c r="D137" s="871"/>
      <c r="E137" s="871"/>
      <c r="F137" s="871"/>
      <c r="G137" s="871"/>
      <c r="H137" s="871"/>
      <c r="I137" s="871"/>
      <c r="J137" s="87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82" t="s">
        <v>185</v>
      </c>
      <c r="B139" s="882"/>
      <c r="C139" s="88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82" t="s">
        <v>186</v>
      </c>
      <c r="B140" s="882"/>
      <c r="C140" s="88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82" t="s">
        <v>187</v>
      </c>
      <c r="B141" s="882"/>
      <c r="C141" s="88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65" t="s">
        <v>188</v>
      </c>
      <c r="B142" s="865"/>
      <c r="C142" s="865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65" t="s">
        <v>189</v>
      </c>
      <c r="B143" s="865"/>
      <c r="C143" s="865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82" t="s">
        <v>190</v>
      </c>
      <c r="B144" s="882"/>
      <c r="C144" s="88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16" t="s">
        <v>191</v>
      </c>
      <c r="B145" s="902"/>
      <c r="C145" s="90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65" t="s">
        <v>90</v>
      </c>
      <c r="B146" s="865"/>
      <c r="C146" s="865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65" t="s">
        <v>192</v>
      </c>
      <c r="B147" s="865"/>
      <c r="C147" s="865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65" t="s">
        <v>193</v>
      </c>
      <c r="B148" s="865"/>
      <c r="C148" s="865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65" t="s">
        <v>91</v>
      </c>
      <c r="B149" s="865"/>
      <c r="C149" s="865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65" t="s">
        <v>194</v>
      </c>
      <c r="B150" s="865"/>
      <c r="C150" s="865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71" t="s">
        <v>326</v>
      </c>
      <c r="B153" s="871"/>
      <c r="C153" s="871"/>
      <c r="D153" s="871"/>
      <c r="E153" s="871"/>
      <c r="F153" s="871"/>
      <c r="G153" s="871"/>
      <c r="H153" s="871"/>
      <c r="I153" s="871"/>
      <c r="J153" s="87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72" t="s">
        <v>328</v>
      </c>
      <c r="B159" s="87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72" t="s">
        <v>327</v>
      </c>
      <c r="B160" s="87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72" t="s">
        <v>328</v>
      </c>
      <c r="B161" s="87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73" t="s">
        <v>330</v>
      </c>
      <c r="B164" s="874"/>
      <c r="C164" s="874"/>
      <c r="D164" s="874"/>
      <c r="E164" s="874"/>
      <c r="F164" s="874"/>
      <c r="G164" s="874"/>
      <c r="H164" s="874"/>
      <c r="I164" s="874"/>
      <c r="J164" s="875"/>
    </row>
    <row r="165" spans="1:10" ht="33" customHeight="1">
      <c r="A165" s="880"/>
      <c r="B165" s="88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790" t="s">
        <v>209</v>
      </c>
      <c r="B166" s="791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790" t="s">
        <v>75</v>
      </c>
      <c r="B167" s="791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790" t="s">
        <v>76</v>
      </c>
      <c r="B168" s="803"/>
      <c r="C168" s="791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790" t="s">
        <v>196</v>
      </c>
      <c r="B169" s="791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790" t="s">
        <v>77</v>
      </c>
      <c r="B170" s="791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790" t="s">
        <v>210</v>
      </c>
      <c r="B171" s="791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790" t="s">
        <v>211</v>
      </c>
      <c r="B172" s="791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790" t="s">
        <v>212</v>
      </c>
      <c r="B173" s="791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69" t="s">
        <v>108</v>
      </c>
      <c r="B174" s="87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790" t="s">
        <v>213</v>
      </c>
      <c r="B175" s="791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790" t="s">
        <v>214</v>
      </c>
      <c r="B176" s="791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790" t="s">
        <v>215</v>
      </c>
      <c r="B177" s="791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790" t="s">
        <v>216</v>
      </c>
      <c r="B178" s="791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790" t="s">
        <v>196</v>
      </c>
      <c r="B179" s="791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69" t="s">
        <v>217</v>
      </c>
      <c r="B180" s="87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69" t="s">
        <v>218</v>
      </c>
      <c r="B181" s="87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69" t="s">
        <v>219</v>
      </c>
      <c r="B182" s="87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69"/>
      <c r="B183" s="87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3:D21"/>
  <sheetViews>
    <sheetView topLeftCell="A5" workbookViewId="0">
      <selection activeCell="B2" sqref="B2:E23"/>
    </sheetView>
  </sheetViews>
  <sheetFormatPr defaultRowHeight="15.75"/>
  <cols>
    <col min="4" max="4" width="10.5546875" customWidth="1"/>
  </cols>
  <sheetData>
    <row r="3" spans="3:4">
      <c r="C3" s="752" t="s">
        <v>0</v>
      </c>
      <c r="D3" s="752" t="s">
        <v>305</v>
      </c>
    </row>
    <row r="4" spans="3:4">
      <c r="C4" s="753">
        <v>44927</v>
      </c>
      <c r="D4" s="752">
        <v>21364</v>
      </c>
    </row>
    <row r="5" spans="3:4">
      <c r="C5" s="753">
        <v>44928</v>
      </c>
      <c r="D5" s="754">
        <v>20873</v>
      </c>
    </row>
    <row r="6" spans="3:4">
      <c r="C6" s="753">
        <v>44929</v>
      </c>
      <c r="D6" s="754">
        <v>21837</v>
      </c>
    </row>
    <row r="7" spans="3:4">
      <c r="C7" s="753">
        <v>44930</v>
      </c>
      <c r="D7" s="754">
        <v>21196</v>
      </c>
    </row>
    <row r="8" spans="3:4">
      <c r="C8" s="753">
        <v>44931</v>
      </c>
      <c r="D8" s="754">
        <v>21078</v>
      </c>
    </row>
    <row r="9" spans="3:4">
      <c r="C9" s="753">
        <v>44932</v>
      </c>
      <c r="D9" s="754">
        <v>20586</v>
      </c>
    </row>
    <row r="10" spans="3:4">
      <c r="C10" s="753">
        <v>44933</v>
      </c>
      <c r="D10" s="754">
        <v>21581</v>
      </c>
    </row>
    <row r="11" spans="3:4">
      <c r="C11" s="753">
        <v>44934</v>
      </c>
      <c r="D11" s="754">
        <v>21598</v>
      </c>
    </row>
    <row r="12" spans="3:4">
      <c r="C12" s="753">
        <v>44935</v>
      </c>
      <c r="D12" s="754">
        <v>20473</v>
      </c>
    </row>
    <row r="13" spans="3:4">
      <c r="C13" s="753">
        <v>44936</v>
      </c>
      <c r="D13" s="754">
        <v>21756</v>
      </c>
    </row>
    <row r="14" spans="3:4">
      <c r="C14" s="753">
        <v>44937</v>
      </c>
      <c r="D14" s="754">
        <v>21784</v>
      </c>
    </row>
    <row r="15" spans="3:4">
      <c r="C15" s="753">
        <v>44938</v>
      </c>
      <c r="D15" s="754">
        <v>21436</v>
      </c>
    </row>
    <row r="16" spans="3:4">
      <c r="C16" s="753">
        <v>44939</v>
      </c>
      <c r="D16" s="754">
        <v>22115</v>
      </c>
    </row>
    <row r="17" spans="3:4">
      <c r="C17" s="753">
        <v>44940</v>
      </c>
      <c r="D17" s="754">
        <v>20896</v>
      </c>
    </row>
    <row r="18" spans="3:4">
      <c r="C18" s="753">
        <v>44941</v>
      </c>
      <c r="D18" s="754">
        <v>20628.799999999988</v>
      </c>
    </row>
    <row r="19" spans="3:4">
      <c r="C19" s="753">
        <v>44942</v>
      </c>
      <c r="D19" s="754">
        <v>21502.200000000012</v>
      </c>
    </row>
    <row r="20" spans="3:4">
      <c r="C20" s="753">
        <v>44943</v>
      </c>
      <c r="D20" s="754">
        <v>20053</v>
      </c>
    </row>
    <row r="21" spans="3:4">
      <c r="C21" s="753">
        <v>44944</v>
      </c>
      <c r="D21" s="754">
        <v>20452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2023-01-19T03:12:10Z</cp:lastPrinted>
  <dcterms:created xsi:type="dcterms:W3CDTF">2013-11-14T06:06:34Z</dcterms:created>
  <dcterms:modified xsi:type="dcterms:W3CDTF">2023-03-04T03:00:49Z</dcterms:modified>
</cp:coreProperties>
</file>