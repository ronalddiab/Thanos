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6" i="7"/>
  <c r="BJ7" i="7"/>
  <c r="BJ8" i="7"/>
  <c r="BJ9" i="7"/>
  <c r="BJ10" i="7"/>
  <c r="BJ11" i="7"/>
  <c r="BJ29" i="7"/>
  <c r="BJ30" i="7"/>
  <c r="BJ31" i="7"/>
  <c r="BJ32" i="7"/>
  <c r="BJ33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<sst xmlns="http://schemas.openxmlformats.org/spreadsheetml/2006/main" count="315" uniqueCount="148">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</sst>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 t="e">
        <f>Submetering!E25+Submetering!F25+Submetering!G25+Submetering!H25+Submetering!J25-Submetering!AV25</f>
        <v>#VALUE!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 t="e">
        <f>'FS Desroches Daily'!CM27</f>
        <v>#VALUE!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 t="str">
        <f>IF(LPG!F31-LPG!F30&lt;0,"0",(LPG!F31-LPG!F30)*1.8315)</f>
        <v>0</v>
      </c>
      <c r="AY24" s="31" t="str">
        <f>IF(LPG!H31-LPG!H30&lt;0,"0",(LPG!H31-LPG!H30)*1.8315)</f>
        <v>0</v>
      </c>
      <c r="AZ24" s="31" t="str">
        <f>IF(LPG!J31-LPG!J30&lt;0,"0",(LPG!J31-LPG!J30)*1.8315)</f>
        <v>0</v>
      </c>
      <c r="BA24" s="31" t="str">
        <f>IF(LPG!M31-LPG!M30&lt;0,"0",(LPG!M31-LPG!M30)*1.8315)</f>
        <v>0</v>
      </c>
      <c r="BB24" s="31" t="str">
        <f>IF(LPG!Q31-LPG!Q30&lt;0,"0",(LPG!Q31-LPG!Q30)*1.8315)</f>
        <v>0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e">
        <f>'FS Desroches Daily'!T27</f>
        <v>#VALUE!</v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71499.999999999927</v>
      </c>
      <c r="F33" s="17">
        <f t="shared" ref="F33:BC33" si="0">SUM(F2:F32)</f>
        <v>76200.000000000073</v>
      </c>
      <c r="G33" s="17">
        <f t="shared" si="0"/>
        <v>90700.000000000044</v>
      </c>
      <c r="H33" s="17">
        <f t="shared" si="0"/>
        <v>38100.000000000036</v>
      </c>
      <c r="I33" s="17">
        <f t="shared" si="0"/>
        <v>58600.000000000226</v>
      </c>
      <c r="J33" s="17">
        <f t="shared" si="0"/>
        <v>38699.999999999978</v>
      </c>
      <c r="K33" s="17">
        <f t="shared" si="0"/>
        <v>657</v>
      </c>
      <c r="L33" s="17">
        <f t="shared" si="0"/>
        <v>105</v>
      </c>
      <c r="M33" s="17" t="e">
        <f t="shared" si="0"/>
        <v>#VALUE!</v>
      </c>
      <c r="N33" s="17">
        <f t="shared" si="0"/>
        <v>11333.899999999907</v>
      </c>
      <c r="O33" s="17">
        <f t="shared" si="0"/>
        <v>7830.0000000000409</v>
      </c>
      <c r="P33" s="17">
        <f t="shared" si="0"/>
        <v>68299.999999999825</v>
      </c>
      <c r="Q33" s="17">
        <f t="shared" si="0"/>
        <v>7600.0000000000227</v>
      </c>
      <c r="R33" s="17">
        <f t="shared" si="0"/>
        <v>8830.00000000004</v>
      </c>
      <c r="S33" s="17">
        <f t="shared" si="0"/>
        <v>19669.999999999956</v>
      </c>
      <c r="T33" s="17">
        <f t="shared" si="0"/>
        <v>1040</v>
      </c>
      <c r="U33" s="35">
        <f t="shared" si="0"/>
        <v>19500.000000000076</v>
      </c>
      <c r="V33" s="35">
        <f t="shared" si="0"/>
        <v>5350.0000000000255</v>
      </c>
      <c r="W33" s="35">
        <f t="shared" si="0"/>
        <v>3639.9999999999864</v>
      </c>
      <c r="X33" s="35">
        <f t="shared" si="0"/>
        <v>5580.0000000000418</v>
      </c>
      <c r="Y33" s="35">
        <f t="shared" si="0"/>
        <v>4719.99999999997</v>
      </c>
      <c r="Z33" s="35">
        <f t="shared" si="0"/>
        <v>6585.5199999999895</v>
      </c>
      <c r="AA33" s="35">
        <f t="shared" si="0"/>
        <v>6585.5199999999895</v>
      </c>
      <c r="AB33" s="35">
        <f t="shared" si="0"/>
        <v>4079.9999999999841</v>
      </c>
      <c r="AC33" s="35">
        <f t="shared" si="0"/>
        <v>3989.9999999999523</v>
      </c>
      <c r="AD33" s="35">
        <f t="shared" si="0"/>
        <v>3860.0000000000136</v>
      </c>
      <c r="AE33" s="35">
        <f t="shared" si="0"/>
        <v>2970.0000000000273</v>
      </c>
      <c r="AF33" s="17">
        <f t="shared" si="0"/>
        <v>1096</v>
      </c>
      <c r="AG33" s="32">
        <f t="shared" si="0"/>
        <v>930.00000000000682</v>
      </c>
      <c r="AH33" s="32">
        <f t="shared" si="0"/>
        <v>959.99999999997954</v>
      </c>
      <c r="AI33" s="32">
        <f t="shared" si="0"/>
        <v>1459.9999999999795</v>
      </c>
      <c r="AJ33" s="32">
        <f t="shared" si="0"/>
        <v>989.99999999998067</v>
      </c>
      <c r="AK33" s="32">
        <f t="shared" si="0"/>
        <v>839.99999999997499</v>
      </c>
      <c r="AL33" s="32">
        <f t="shared" si="0"/>
        <v>1023</v>
      </c>
      <c r="AM33" s="32">
        <f t="shared" si="0"/>
        <v>1030.0000000000011</v>
      </c>
      <c r="AN33" s="32">
        <f t="shared" si="0"/>
        <v>987</v>
      </c>
      <c r="AO33" s="32">
        <f t="shared" si="0"/>
        <v>969.99999999999886</v>
      </c>
      <c r="AP33" s="32">
        <f t="shared" si="0"/>
        <v>1206</v>
      </c>
      <c r="AQ33" s="17">
        <f t="shared" si="0"/>
        <v>1897.4000000000015</v>
      </c>
      <c r="AR33" s="17">
        <f t="shared" si="0"/>
        <v>335.60000000000218</v>
      </c>
      <c r="AS33" s="17">
        <f t="shared" si="0"/>
        <v>69.299999999999272</v>
      </c>
      <c r="AT33" s="17">
        <f t="shared" si="0"/>
        <v>1316.9000000000087</v>
      </c>
      <c r="AU33" s="17">
        <f t="shared" si="0"/>
        <v>7387</v>
      </c>
      <c r="AV33" s="17">
        <f t="shared" si="0"/>
        <v>24299.999999999953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115.38449999999999</v>
      </c>
      <c r="BC33" s="17">
        <f t="shared" si="0"/>
        <v>710</v>
      </c>
    </row>
    <row r="35" spans="5:55" x14ac:dyDescent="0.25">
      <c r="E35" s="38">
        <f>E33/E37</f>
        <v>0.23340232031285671</v>
      </c>
      <c r="G35" s="29" t="e">
        <f>G33-M36</f>
        <v>#VALUE!</v>
      </c>
      <c r="AE35" s="35">
        <f>SUM(U33:AE33)</f>
        <v>66861.040000000052</v>
      </c>
      <c r="AG35" s="32">
        <f>SUM(AG33:AP33)</f>
        <v>10395.999999999922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306338.00000000012</v>
      </c>
      <c r="G37" s="37" t="e">
        <f>M36/E37</f>
        <v>#VALUE!</v>
      </c>
      <c r="M37" s="35">
        <f>AE35</f>
        <v>66861.040000000052</v>
      </c>
    </row>
    <row r="38" spans="5:55" x14ac:dyDescent="0.25">
      <c r="L38" s="27">
        <f>M38/E37</f>
        <v>3.3936370936677521E-2</v>
      </c>
      <c r="M38" s="29">
        <f>AG35</f>
        <v>10395.999999999922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J1" zoomScale="82" zoomScaleNormal="82" workbookViewId="0">
      <pane ySplit="1" topLeftCell="A14" activePane="bottomLeft" state="frozen"/>
      <selection pane="bottomLeft" activeCell="CD38" sqref="CD3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8"/>
        <v>0</v>
      </c>
      <c r="M27" s="58"/>
      <c r="N27" s="64" t="str">
        <f t="shared" si="49"/>
        <v/>
      </c>
      <c r="O27" s="58"/>
      <c r="P27" s="67" t="str">
        <f t="shared" si="6"/>
        <v/>
      </c>
      <c r="Q27" s="58"/>
      <c r="R27" s="67" t="str">
        <f t="shared" si="7"/>
        <v/>
      </c>
      <c r="S27" s="58"/>
      <c r="T27" s="67" t="e">
        <f t="shared" si="8"/>
        <v>#VALUE!</v>
      </c>
      <c r="U27" s="58"/>
      <c r="V27" s="67" t="str">
        <f t="shared" si="9"/>
        <v/>
      </c>
      <c r="W27" s="58"/>
      <c r="X27" s="65" t="str">
        <f t="shared" si="10"/>
        <v/>
      </c>
      <c r="Y27" s="58"/>
      <c r="Z27" s="65" t="str">
        <f t="shared" si="11"/>
        <v/>
      </c>
      <c r="AA27" s="58"/>
      <c r="AB27" s="65" t="str">
        <f t="shared" si="12"/>
        <v/>
      </c>
      <c r="AC27" s="58"/>
      <c r="AD27" s="65" t="str">
        <f t="shared" si="13"/>
        <v/>
      </c>
      <c r="AE27" s="58"/>
      <c r="AF27" s="65" t="str">
        <f t="shared" si="14"/>
        <v/>
      </c>
      <c r="AG27" s="58"/>
      <c r="AH27" s="67" t="str">
        <f t="shared" si="15"/>
        <v/>
      </c>
      <c r="AI27" s="58"/>
      <c r="AJ27" s="65" t="str">
        <f t="shared" si="16"/>
        <v/>
      </c>
      <c r="AK27" s="58"/>
      <c r="AL27" s="65" t="str">
        <f t="shared" si="17"/>
        <v/>
      </c>
      <c r="AM27" s="58"/>
      <c r="AN27" s="65" t="str">
        <f t="shared" si="18"/>
        <v/>
      </c>
      <c r="AO27" s="58"/>
      <c r="AP27" s="65" t="str">
        <f t="shared" si="19"/>
        <v/>
      </c>
      <c r="AQ27" s="58"/>
      <c r="AR27" s="65" t="str">
        <f t="shared" si="20"/>
        <v/>
      </c>
      <c r="AS27" s="58"/>
      <c r="AT27" s="65" t="str">
        <f t="shared" si="21"/>
        <v/>
      </c>
      <c r="AU27" s="58"/>
      <c r="AV27" s="65" t="str">
        <f t="shared" si="22"/>
        <v/>
      </c>
      <c r="AW27" s="58"/>
      <c r="AX27" s="65" t="str">
        <f t="shared" si="23"/>
        <v/>
      </c>
      <c r="AY27" s="58"/>
      <c r="AZ27" s="65" t="str">
        <f t="shared" si="24"/>
        <v/>
      </c>
      <c r="BA27" s="58"/>
      <c r="BB27" s="65" t="str">
        <f t="shared" si="25"/>
        <v/>
      </c>
      <c r="BC27" s="58"/>
      <c r="BD27" s="65" t="str">
        <f t="shared" si="26"/>
        <v/>
      </c>
      <c r="BE27" s="59"/>
      <c r="BF27" s="67" t="str">
        <f t="shared" si="27"/>
        <v/>
      </c>
      <c r="BG27" s="60"/>
      <c r="BH27" s="65" t="str">
        <f t="shared" si="28"/>
        <v/>
      </c>
      <c r="BI27" s="60"/>
      <c r="BJ27" s="65" t="str">
        <f t="shared" si="29"/>
        <v/>
      </c>
      <c r="BK27" s="60"/>
      <c r="BL27" s="65" t="str">
        <f t="shared" si="30"/>
        <v/>
      </c>
      <c r="BM27" s="60"/>
      <c r="BN27" s="65" t="str">
        <f t="shared" si="31"/>
        <v/>
      </c>
      <c r="BO27" s="60"/>
      <c r="BP27" s="65" t="str">
        <f t="shared" si="32"/>
        <v/>
      </c>
      <c r="BQ27" s="60"/>
      <c r="BR27" s="65" t="str">
        <f t="shared" si="33"/>
        <v/>
      </c>
      <c r="BS27" s="60"/>
      <c r="BT27" s="65" t="str">
        <f t="shared" si="34"/>
        <v/>
      </c>
      <c r="BU27" s="60"/>
      <c r="BV27" s="65" t="str">
        <f t="shared" si="35"/>
        <v/>
      </c>
      <c r="BW27" s="60"/>
      <c r="BX27" s="65" t="str">
        <f t="shared" si="36"/>
        <v/>
      </c>
      <c r="BY27" s="60"/>
      <c r="BZ27" s="67" t="str">
        <f t="shared" si="37"/>
        <v/>
      </c>
      <c r="CA27" s="60"/>
      <c r="CB27" s="67" t="str">
        <f t="shared" si="38"/>
        <v/>
      </c>
      <c r="CC27" s="60"/>
      <c r="CD27" s="67" t="str">
        <f t="shared" si="39"/>
        <v/>
      </c>
      <c r="CE27" s="60"/>
      <c r="CF27" s="67" t="str">
        <f t="shared" si="40"/>
        <v/>
      </c>
      <c r="CG27" s="60"/>
      <c r="CH27" s="67" t="str">
        <f t="shared" si="41"/>
        <v/>
      </c>
      <c r="CI27" s="60"/>
      <c r="CJ27" s="67" t="str">
        <f t="shared" si="42"/>
        <v/>
      </c>
      <c r="CK27" s="60"/>
      <c r="CL27" s="64" t="str">
        <f t="shared" si="43"/>
        <v/>
      </c>
      <c r="CM27" s="65" t="e">
        <f t="shared" si="50"/>
        <v>#VALUE!</v>
      </c>
      <c r="CN27" s="62"/>
      <c r="CO27" s="62"/>
      <c r="CP27" s="68"/>
      <c r="CQ27" s="67" t="str">
        <f t="shared" si="51"/>
        <v/>
      </c>
      <c r="CR27" s="68"/>
      <c r="CS27" s="67" t="str">
        <f t="shared" si="44"/>
        <v/>
      </c>
      <c r="CT27" s="75"/>
      <c r="CU27" s="67" t="str">
        <f t="shared" si="45"/>
        <v/>
      </c>
      <c r="CV27" s="68"/>
      <c r="CW27" s="67" t="str">
        <f t="shared" si="46"/>
        <v/>
      </c>
      <c r="CX27" s="58"/>
      <c r="CY27" s="67" t="str">
        <f t="shared" si="47"/>
        <v/>
      </c>
    </row>
    <row r="28" spans="1:103" ht="25.5" customHeight="1" thickBot="1" x14ac:dyDescent="0.45">
      <c r="A28" s="63">
        <v>44951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8"/>
        <v>0</v>
      </c>
      <c r="M28" s="58"/>
      <c r="N28" s="64">
        <f t="shared" si="49"/>
        <v>0</v>
      </c>
      <c r="O28" s="58"/>
      <c r="P28" s="67">
        <f t="shared" si="6"/>
        <v>0</v>
      </c>
      <c r="Q28" s="58"/>
      <c r="R28" s="67">
        <f t="shared" si="7"/>
        <v>0</v>
      </c>
      <c r="S28" s="58"/>
      <c r="T28" s="67">
        <f t="shared" si="8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50"/>
        <v>0</v>
      </c>
      <c r="CN28" s="62"/>
      <c r="CO28" s="62"/>
      <c r="CP28" s="68"/>
      <c r="CQ28" s="67">
        <f t="shared" si="51"/>
        <v>0</v>
      </c>
      <c r="CR28" s="68"/>
      <c r="CS28" s="67">
        <f t="shared" si="44"/>
        <v>0</v>
      </c>
      <c r="CT28" s="75"/>
      <c r="CU28" s="67">
        <f t="shared" si="45"/>
        <v>0</v>
      </c>
      <c r="CV28" s="68"/>
      <c r="CW28" s="67">
        <f t="shared" si="46"/>
        <v>0</v>
      </c>
      <c r="CX28" s="58"/>
      <c r="CY28" s="67">
        <f t="shared" si="47"/>
        <v>0</v>
      </c>
    </row>
    <row r="29" spans="1:103" ht="25.5" customHeight="1" thickBot="1" x14ac:dyDescent="0.45">
      <c r="A29" s="63">
        <v>44952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8"/>
        <v>0</v>
      </c>
      <c r="M29" s="58"/>
      <c r="N29" s="64">
        <f t="shared" si="49"/>
        <v>0</v>
      </c>
      <c r="O29" s="58"/>
      <c r="P29" s="67">
        <f t="shared" si="6"/>
        <v>0</v>
      </c>
      <c r="Q29" s="58"/>
      <c r="R29" s="67">
        <f t="shared" si="7"/>
        <v>0</v>
      </c>
      <c r="S29" s="58"/>
      <c r="T29" s="67">
        <f t="shared" si="8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50"/>
        <v>0</v>
      </c>
      <c r="CN29" s="62"/>
      <c r="CO29" s="62"/>
      <c r="CP29" s="68"/>
      <c r="CQ29" s="67">
        <f t="shared" si="51"/>
        <v>0</v>
      </c>
      <c r="CR29" s="68"/>
      <c r="CS29" s="67">
        <f t="shared" si="44"/>
        <v>0</v>
      </c>
      <c r="CT29" s="75"/>
      <c r="CU29" s="67">
        <f t="shared" si="45"/>
        <v>0</v>
      </c>
      <c r="CV29" s="68"/>
      <c r="CW29" s="67">
        <f t="shared" si="46"/>
        <v>0</v>
      </c>
      <c r="CX29" s="58"/>
      <c r="CY29" s="67">
        <f t="shared" si="47"/>
        <v>0</v>
      </c>
    </row>
    <row r="30" spans="1:103" ht="25.5" customHeight="1" thickBot="1" x14ac:dyDescent="0.45">
      <c r="A30" s="63">
        <v>44953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8"/>
        <v>0</v>
      </c>
      <c r="M30" s="58"/>
      <c r="N30" s="64">
        <f t="shared" si="49"/>
        <v>0</v>
      </c>
      <c r="O30" s="58"/>
      <c r="P30" s="67">
        <f t="shared" si="6"/>
        <v>0</v>
      </c>
      <c r="Q30" s="58"/>
      <c r="R30" s="67">
        <f t="shared" si="7"/>
        <v>0</v>
      </c>
      <c r="S30" s="58"/>
      <c r="T30" s="67">
        <f t="shared" si="8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50"/>
        <v>0</v>
      </c>
      <c r="CN30" s="62"/>
      <c r="CO30" s="62">
        <v>6</v>
      </c>
      <c r="CP30" s="68"/>
      <c r="CQ30" s="67">
        <f t="shared" si="51"/>
        <v>0</v>
      </c>
      <c r="CR30" s="68"/>
      <c r="CS30" s="67">
        <f t="shared" si="44"/>
        <v>0</v>
      </c>
      <c r="CT30" s="75"/>
      <c r="CU30" s="67">
        <f t="shared" si="45"/>
        <v>0</v>
      </c>
      <c r="CV30" s="68"/>
      <c r="CW30" s="67">
        <f t="shared" si="46"/>
        <v>0</v>
      </c>
      <c r="CX30" s="58"/>
      <c r="CY30" s="67">
        <f t="shared" si="47"/>
        <v>0</v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B30" sqref="B30:Q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-233</v>
      </c>
    </row>
    <row r="32" spans="1:20" x14ac:dyDescent="0.25">
      <c r="A32" s="73">
        <v>44951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44952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2023-01-24T18:30:39Z</dcterms:modified>
</cp:coreProperties>
</file>