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L5" i="3" l="1"/>
  <c r="BL6" i="3"/>
  <c r="BL7" i="3"/>
  <c r="BL8" i="3"/>
  <c r="BL9" i="3"/>
  <c r="BL10" i="3"/>
  <c r="BL11" i="3"/>
  <c r="BL12" i="3"/>
  <c r="BL13" i="3"/>
  <c r="BL14" i="3"/>
  <c r="BL4" i="3"/>
  <c r="B32" i="1" l="1"/>
  <c r="K32" i="1"/>
  <c r="AK32" i="4" s="1"/>
  <c r="N32" i="1"/>
  <c r="O32" i="1" s="1"/>
  <c r="B32" i="4"/>
  <c r="B31" i="1"/>
  <c r="W20" i="3" l="1"/>
  <c r="W21" i="3"/>
  <c r="W22" i="3"/>
  <c r="W23" i="3"/>
  <c r="W24" i="3"/>
  <c r="C13" i="3"/>
  <c r="E13" i="3"/>
  <c r="M13" i="3"/>
  <c r="O13" i="3"/>
  <c r="Q13" i="3"/>
  <c r="U13" i="3"/>
  <c r="W13" i="3"/>
  <c r="Y13" i="3"/>
  <c r="AA13" i="3"/>
  <c r="AE13" i="3"/>
  <c r="AG13" i="3"/>
  <c r="AI13" i="3"/>
  <c r="AK13" i="3"/>
  <c r="AM13" i="3"/>
  <c r="AO13" i="3"/>
  <c r="AQ13" i="3"/>
  <c r="AS13" i="3"/>
  <c r="AU13" i="3"/>
  <c r="AW13" i="3"/>
  <c r="AY13" i="3"/>
  <c r="BA13" i="3"/>
  <c r="BC13" i="3"/>
  <c r="BG13" i="3"/>
  <c r="BI13" i="3"/>
  <c r="BP13" i="3"/>
  <c r="BQ13" i="3" s="1"/>
  <c r="BS13" i="3"/>
  <c r="BU13" i="3"/>
  <c r="BW13" i="3"/>
  <c r="CB13" i="3"/>
  <c r="CC13" i="3" s="1"/>
  <c r="CE13" i="3"/>
  <c r="CF13" i="3" s="1"/>
  <c r="CH13" i="3"/>
  <c r="CI13" i="3" s="1"/>
  <c r="CK13" i="3"/>
  <c r="CL13" i="3" s="1"/>
  <c r="CN13" i="3"/>
  <c r="CO13" i="3" s="1"/>
  <c r="CQ13" i="3"/>
  <c r="CR13" i="3" s="1"/>
  <c r="CT13" i="3"/>
  <c r="CU13" i="3" s="1"/>
  <c r="CW13" i="3"/>
  <c r="CX13" i="3" s="1"/>
  <c r="CZ13" i="3"/>
  <c r="DA13" i="3" s="1"/>
  <c r="DC13" i="3"/>
  <c r="DD13" i="3" s="1"/>
  <c r="DF13" i="3"/>
  <c r="DG13" i="3" s="1"/>
  <c r="DI13" i="3"/>
  <c r="DJ13" i="3" s="1"/>
  <c r="DL13" i="3"/>
  <c r="DN13" i="3"/>
  <c r="DP13" i="3"/>
  <c r="DR13" i="3"/>
  <c r="BJ13" i="3" l="1"/>
  <c r="F13" i="3"/>
  <c r="BX13" i="3"/>
  <c r="BD13" i="3"/>
  <c r="BE13" i="3" s="1"/>
  <c r="BN6" i="3" l="1"/>
  <c r="BN10" i="3"/>
  <c r="BN13" i="3"/>
  <c r="BN19" i="3"/>
  <c r="BN31" i="3"/>
  <c r="U34" i="3"/>
  <c r="W34" i="3"/>
  <c r="Y34" i="3"/>
  <c r="AA34" i="3"/>
  <c r="M32" i="4" s="1"/>
  <c r="AE34" i="3"/>
  <c r="N32" i="4" s="1"/>
  <c r="AG34" i="3"/>
  <c r="O32" i="4" s="1"/>
  <c r="AI34" i="3"/>
  <c r="P32" i="4" s="1"/>
  <c r="AK34" i="3"/>
  <c r="Q32" i="4" s="1"/>
  <c r="AM34" i="3"/>
  <c r="R32" i="4" s="1"/>
  <c r="AO34" i="3"/>
  <c r="S32" i="4" s="1"/>
  <c r="AQ34" i="3"/>
  <c r="T32" i="4" s="1"/>
  <c r="AS34" i="3"/>
  <c r="U32" i="4" s="1"/>
  <c r="AU34" i="3"/>
  <c r="V32" i="4" s="1"/>
  <c r="AW34" i="3"/>
  <c r="AY34" i="3"/>
  <c r="BA34" i="3"/>
  <c r="BC34" i="3"/>
  <c r="BG34" i="3"/>
  <c r="W32" i="4" s="1"/>
  <c r="BI34" i="3"/>
  <c r="BP34" i="3"/>
  <c r="BQ34" i="3" s="1"/>
  <c r="BS34" i="3"/>
  <c r="BU34" i="3"/>
  <c r="BW34" i="3"/>
  <c r="CB34" i="3"/>
  <c r="CC34" i="3" s="1"/>
  <c r="Y32" i="4" s="1"/>
  <c r="CE34" i="3"/>
  <c r="CF34" i="3" s="1"/>
  <c r="CH34" i="3"/>
  <c r="CI34" i="3" s="1"/>
  <c r="AA32" i="4" s="1"/>
  <c r="CK34" i="3"/>
  <c r="CL34" i="3" s="1"/>
  <c r="AB32" i="4" s="1"/>
  <c r="CN34" i="3"/>
  <c r="CO34" i="3" s="1"/>
  <c r="AC32" i="4" s="1"/>
  <c r="CQ34" i="3"/>
  <c r="CR34" i="3" s="1"/>
  <c r="AD32" i="4" s="1"/>
  <c r="CT34" i="3"/>
  <c r="CU34" i="3" s="1"/>
  <c r="AE32" i="4" s="1"/>
  <c r="CW34" i="3"/>
  <c r="CX34" i="3" s="1"/>
  <c r="AF32" i="4" s="1"/>
  <c r="CZ34" i="3"/>
  <c r="DA34" i="3" s="1"/>
  <c r="AG32" i="4" s="1"/>
  <c r="DC34" i="3"/>
  <c r="DD34" i="3" s="1"/>
  <c r="AH32" i="4" s="1"/>
  <c r="DF34" i="3"/>
  <c r="DG34" i="3" s="1"/>
  <c r="AI32" i="4" s="1"/>
  <c r="DI34" i="3"/>
  <c r="DJ34" i="3" s="1"/>
  <c r="AJ32" i="4" s="1"/>
  <c r="DL34" i="3"/>
  <c r="H32" i="4" s="1"/>
  <c r="DN34" i="3"/>
  <c r="I32" i="4" s="1"/>
  <c r="DP34" i="3"/>
  <c r="J32" i="4" s="1"/>
  <c r="DR34" i="3"/>
  <c r="K32" i="4" s="1"/>
  <c r="Q34" i="3"/>
  <c r="O34" i="3"/>
  <c r="G32" i="4" s="1"/>
  <c r="M34" i="3"/>
  <c r="F32" i="4" s="1"/>
  <c r="K34" i="3"/>
  <c r="I34" i="3"/>
  <c r="E34" i="3"/>
  <c r="E32" i="1" s="1"/>
  <c r="E32" i="4" s="1"/>
  <c r="C34" i="3"/>
  <c r="I32" i="1" l="1"/>
  <c r="P32" i="1" s="1"/>
  <c r="J32" i="1" s="1"/>
  <c r="BN23" i="3"/>
  <c r="BN22" i="3"/>
  <c r="BN18" i="3"/>
  <c r="BN9" i="3"/>
  <c r="BN33" i="3"/>
  <c r="BN29" i="3"/>
  <c r="BN25" i="3"/>
  <c r="BN21" i="3"/>
  <c r="BN17" i="3"/>
  <c r="BN12" i="3"/>
  <c r="BN8" i="3"/>
  <c r="BN5" i="3"/>
  <c r="BN4" i="3"/>
  <c r="BN24" i="3"/>
  <c r="BN20" i="3"/>
  <c r="BN16" i="3"/>
  <c r="BN11" i="3"/>
  <c r="BN7" i="3"/>
  <c r="BN15" i="3"/>
  <c r="BN14" i="3"/>
  <c r="BJ34" i="3"/>
  <c r="X32" i="4" s="1"/>
  <c r="L32" i="4" s="1"/>
  <c r="BX34" i="3"/>
  <c r="BN27" i="3"/>
  <c r="BN26" i="3"/>
  <c r="BN32" i="3"/>
  <c r="BN28" i="3"/>
  <c r="BN34" i="3"/>
  <c r="BN30" i="3"/>
  <c r="BD34" i="3"/>
  <c r="BE34" i="3" s="1"/>
  <c r="F34" i="3"/>
  <c r="AA17" i="3"/>
  <c r="M15" i="4" s="1"/>
  <c r="AA18" i="3"/>
  <c r="M16" i="4" s="1"/>
  <c r="AA19" i="3"/>
  <c r="M17" i="4" s="1"/>
  <c r="AA20" i="3"/>
  <c r="M18" i="4" s="1"/>
  <c r="AA21" i="3"/>
  <c r="M19" i="4" s="1"/>
  <c r="AA22" i="3"/>
  <c r="M20" i="4" s="1"/>
  <c r="AA23" i="3"/>
  <c r="M21" i="4" s="1"/>
  <c r="AA24" i="3"/>
  <c r="M22" i="4" s="1"/>
  <c r="AA25" i="3"/>
  <c r="M23" i="4" s="1"/>
  <c r="AA26" i="3"/>
  <c r="M24" i="4" s="1"/>
  <c r="AA27" i="3"/>
  <c r="M25" i="4" s="1"/>
  <c r="AA28" i="3"/>
  <c r="M26" i="4" s="1"/>
  <c r="AA29" i="3"/>
  <c r="M27" i="4" s="1"/>
  <c r="AA30" i="3"/>
  <c r="M28" i="4" s="1"/>
  <c r="AA31" i="3"/>
  <c r="M29" i="4" s="1"/>
  <c r="AA32" i="3"/>
  <c r="M30" i="4" s="1"/>
  <c r="AA33" i="3"/>
  <c r="M31" i="4" s="1"/>
  <c r="AA4" i="3"/>
  <c r="M2" i="4" s="1"/>
  <c r="AA5" i="3"/>
  <c r="M3" i="4" s="1"/>
  <c r="AA6" i="3"/>
  <c r="M4" i="4" s="1"/>
  <c r="AA7" i="3"/>
  <c r="M5" i="4" s="1"/>
  <c r="AA8" i="3"/>
  <c r="M6" i="4" s="1"/>
  <c r="AA9" i="3"/>
  <c r="M7" i="4" s="1"/>
  <c r="AA10" i="3"/>
  <c r="M8" i="4" s="1"/>
  <c r="AA11" i="3"/>
  <c r="M9" i="4" s="1"/>
  <c r="AA12" i="3"/>
  <c r="M11" i="4"/>
  <c r="AA14" i="3"/>
  <c r="M12" i="4" s="1"/>
  <c r="AA15" i="3"/>
  <c r="M13" i="4" s="1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E2" i="1" s="1"/>
  <c r="E2" i="4" s="1"/>
  <c r="M4" i="3"/>
  <c r="F2" i="4" s="1"/>
  <c r="O4" i="3"/>
  <c r="G2" i="4" s="1"/>
  <c r="Q4" i="3"/>
  <c r="U4" i="3"/>
  <c r="W4" i="3"/>
  <c r="Y4" i="3"/>
  <c r="AE4" i="3"/>
  <c r="N2" i="4" s="1"/>
  <c r="AG4" i="3"/>
  <c r="O2" i="4" s="1"/>
  <c r="AI4" i="3"/>
  <c r="P2" i="4" s="1"/>
  <c r="AK4" i="3"/>
  <c r="Q2" i="4" s="1"/>
  <c r="AM4" i="3"/>
  <c r="R2" i="4" s="1"/>
  <c r="AO4" i="3"/>
  <c r="S2" i="4" s="1"/>
  <c r="AQ4" i="3"/>
  <c r="T2" i="4" s="1"/>
  <c r="AS4" i="3"/>
  <c r="U2" i="4" s="1"/>
  <c r="AU4" i="3"/>
  <c r="V2" i="4" s="1"/>
  <c r="AW4" i="3"/>
  <c r="AY4" i="3"/>
  <c r="BA4" i="3"/>
  <c r="BC4" i="3"/>
  <c r="BG4" i="3"/>
  <c r="W2" i="4" s="1"/>
  <c r="BI4" i="3"/>
  <c r="BP4" i="3"/>
  <c r="BS4" i="3"/>
  <c r="BU4" i="3"/>
  <c r="BW4" i="3"/>
  <c r="CB4" i="3"/>
  <c r="CC4" i="3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AI2" i="4" s="1"/>
  <c r="DI4" i="3"/>
  <c r="DJ4" i="3" s="1"/>
  <c r="AJ2" i="4" s="1"/>
  <c r="DL4" i="3"/>
  <c r="H2" i="4" s="1"/>
  <c r="DN4" i="3"/>
  <c r="I2" i="4" s="1"/>
  <c r="DP4" i="3"/>
  <c r="J2" i="4" s="1"/>
  <c r="DR4" i="3"/>
  <c r="K2" i="4" s="1"/>
  <c r="C5" i="3"/>
  <c r="E5" i="3"/>
  <c r="E3" i="1" s="1"/>
  <c r="E3" i="4" s="1"/>
  <c r="M5" i="3"/>
  <c r="F3" i="4" s="1"/>
  <c r="O5" i="3"/>
  <c r="G3" i="4" s="1"/>
  <c r="Q5" i="3"/>
  <c r="U5" i="3"/>
  <c r="W5" i="3"/>
  <c r="Y5" i="3"/>
  <c r="AE5" i="3"/>
  <c r="N3" i="4" s="1"/>
  <c r="AG5" i="3"/>
  <c r="O3" i="4" s="1"/>
  <c r="AI5" i="3"/>
  <c r="P3" i="4" s="1"/>
  <c r="AK5" i="3"/>
  <c r="AM5" i="3"/>
  <c r="R3" i="4" s="1"/>
  <c r="AO5" i="3"/>
  <c r="S3" i="4" s="1"/>
  <c r="AQ5" i="3"/>
  <c r="T3" i="4" s="1"/>
  <c r="AS5" i="3"/>
  <c r="U3" i="4" s="1"/>
  <c r="AU5" i="3"/>
  <c r="V3" i="4" s="1"/>
  <c r="AW5" i="3"/>
  <c r="AY5" i="3"/>
  <c r="BA5" i="3"/>
  <c r="BC5" i="3"/>
  <c r="BG5" i="3"/>
  <c r="W3" i="4" s="1"/>
  <c r="BI5" i="3"/>
  <c r="BP5" i="3"/>
  <c r="BS5" i="3"/>
  <c r="BU5" i="3"/>
  <c r="BW5" i="3"/>
  <c r="CB5" i="3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I3" i="4" s="1"/>
  <c r="DP5" i="3"/>
  <c r="J3" i="4" s="1"/>
  <c r="DR5" i="3"/>
  <c r="K3" i="4" s="1"/>
  <c r="C6" i="3"/>
  <c r="E6" i="3"/>
  <c r="E4" i="1" s="1"/>
  <c r="E4" i="4" s="1"/>
  <c r="M6" i="3"/>
  <c r="F4" i="4" s="1"/>
  <c r="O6" i="3"/>
  <c r="G4" i="4" s="1"/>
  <c r="Q6" i="3"/>
  <c r="U6" i="3"/>
  <c r="I4" i="1" s="1"/>
  <c r="W6" i="3"/>
  <c r="Y6" i="3"/>
  <c r="AE6" i="3"/>
  <c r="AG6" i="3"/>
  <c r="O4" i="4" s="1"/>
  <c r="AI6" i="3"/>
  <c r="P4" i="4" s="1"/>
  <c r="AK6" i="3"/>
  <c r="Q4" i="4" s="1"/>
  <c r="AM6" i="3"/>
  <c r="R4" i="4" s="1"/>
  <c r="AO6" i="3"/>
  <c r="S4" i="4" s="1"/>
  <c r="AQ6" i="3"/>
  <c r="T4" i="4" s="1"/>
  <c r="AS6" i="3"/>
  <c r="U4" i="4" s="1"/>
  <c r="AU6" i="3"/>
  <c r="AW6" i="3"/>
  <c r="AY6" i="3"/>
  <c r="BA6" i="3"/>
  <c r="BC6" i="3"/>
  <c r="BG6" i="3"/>
  <c r="W4" i="4" s="1"/>
  <c r="BI6" i="3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 s="1"/>
  <c r="AH4" i="4" s="1"/>
  <c r="DF6" i="3"/>
  <c r="DG6" i="3" s="1"/>
  <c r="AI4" i="4" s="1"/>
  <c r="DI6" i="3"/>
  <c r="DJ6" i="3" s="1"/>
  <c r="AJ4" i="4" s="1"/>
  <c r="DL6" i="3"/>
  <c r="H4" i="4" s="1"/>
  <c r="DN6" i="3"/>
  <c r="I4" i="4" s="1"/>
  <c r="DP6" i="3"/>
  <c r="J4" i="4" s="1"/>
  <c r="DR6" i="3"/>
  <c r="K4" i="4" s="1"/>
  <c r="C7" i="3"/>
  <c r="E7" i="3"/>
  <c r="E5" i="1" s="1"/>
  <c r="E5" i="4" s="1"/>
  <c r="M7" i="3"/>
  <c r="F5" i="4" s="1"/>
  <c r="O7" i="3"/>
  <c r="Q7" i="3"/>
  <c r="U7" i="3"/>
  <c r="W7" i="3"/>
  <c r="Y7" i="3"/>
  <c r="AE7" i="3"/>
  <c r="N5" i="4" s="1"/>
  <c r="AG7" i="3"/>
  <c r="O5" i="4" s="1"/>
  <c r="AI7" i="3"/>
  <c r="P5" i="4" s="1"/>
  <c r="AK7" i="3"/>
  <c r="AM7" i="3"/>
  <c r="R5" i="4" s="1"/>
  <c r="AO7" i="3"/>
  <c r="S5" i="4" s="1"/>
  <c r="AQ7" i="3"/>
  <c r="T5" i="4" s="1"/>
  <c r="AS7" i="3"/>
  <c r="AU7" i="3"/>
  <c r="V5" i="4" s="1"/>
  <c r="AW7" i="3"/>
  <c r="AY7" i="3"/>
  <c r="BA7" i="3"/>
  <c r="BC7" i="3"/>
  <c r="BG7" i="3"/>
  <c r="W5" i="4" s="1"/>
  <c r="BI7" i="3"/>
  <c r="BP7" i="3"/>
  <c r="BQ7" i="3" s="1"/>
  <c r="BS7" i="3"/>
  <c r="BU7" i="3"/>
  <c r="BW7" i="3"/>
  <c r="CB7" i="3"/>
  <c r="CC7" i="3" s="1"/>
  <c r="Y5" i="4" s="1"/>
  <c r="CE7" i="3"/>
  <c r="CF7" i="3" s="1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 s="1"/>
  <c r="AG5" i="4" s="1"/>
  <c r="DC7" i="3"/>
  <c r="DD7" i="3" s="1"/>
  <c r="AH5" i="4" s="1"/>
  <c r="DF7" i="3"/>
  <c r="DG7" i="3" s="1"/>
  <c r="AI5" i="4" s="1"/>
  <c r="DI7" i="3"/>
  <c r="DJ7" i="3" s="1"/>
  <c r="AJ5" i="4" s="1"/>
  <c r="DL7" i="3"/>
  <c r="H5" i="4" s="1"/>
  <c r="DN7" i="3"/>
  <c r="I5" i="4" s="1"/>
  <c r="DP7" i="3"/>
  <c r="J5" i="4" s="1"/>
  <c r="DR7" i="3"/>
  <c r="K5" i="4" s="1"/>
  <c r="C8" i="3"/>
  <c r="E8" i="3"/>
  <c r="M8" i="3"/>
  <c r="F6" i="4" s="1"/>
  <c r="O8" i="3"/>
  <c r="G6" i="4" s="1"/>
  <c r="Q8" i="3"/>
  <c r="U8" i="3"/>
  <c r="W8" i="3"/>
  <c r="Y8" i="3"/>
  <c r="AE8" i="3"/>
  <c r="N6" i="4" s="1"/>
  <c r="AG8" i="3"/>
  <c r="O6" i="4" s="1"/>
  <c r="AI8" i="3"/>
  <c r="P6" i="4" s="1"/>
  <c r="AK8" i="3"/>
  <c r="Q6" i="4" s="1"/>
  <c r="AM8" i="3"/>
  <c r="R6" i="4" s="1"/>
  <c r="AO8" i="3"/>
  <c r="S6" i="4" s="1"/>
  <c r="AQ8" i="3"/>
  <c r="T6" i="4" s="1"/>
  <c r="AS8" i="3"/>
  <c r="U6" i="4" s="1"/>
  <c r="AU8" i="3"/>
  <c r="V6" i="4" s="1"/>
  <c r="AW8" i="3"/>
  <c r="AY8" i="3"/>
  <c r="BA8" i="3"/>
  <c r="BC8" i="3"/>
  <c r="BG8" i="3"/>
  <c r="W6" i="4" s="1"/>
  <c r="BI8" i="3"/>
  <c r="BP8" i="3"/>
  <c r="BQ8" i="3" s="1"/>
  <c r="BS8" i="3"/>
  <c r="BU8" i="3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 s="1"/>
  <c r="AF6" i="4" s="1"/>
  <c r="CZ8" i="3"/>
  <c r="DA8" i="3" s="1"/>
  <c r="AG6" i="4" s="1"/>
  <c r="DC8" i="3"/>
  <c r="DD8" i="3" s="1"/>
  <c r="AH6" i="4" s="1"/>
  <c r="DF8" i="3"/>
  <c r="DG8" i="3" s="1"/>
  <c r="AI6" i="4" s="1"/>
  <c r="DI8" i="3"/>
  <c r="DJ8" i="3" s="1"/>
  <c r="AJ6" i="4" s="1"/>
  <c r="DL8" i="3"/>
  <c r="H6" i="4" s="1"/>
  <c r="DN8" i="3"/>
  <c r="I6" i="4" s="1"/>
  <c r="DP8" i="3"/>
  <c r="J6" i="4" s="1"/>
  <c r="DR8" i="3"/>
  <c r="K6" i="4" s="1"/>
  <c r="C9" i="3"/>
  <c r="E9" i="3"/>
  <c r="M9" i="3"/>
  <c r="F7" i="4" s="1"/>
  <c r="O9" i="3"/>
  <c r="G7" i="4" s="1"/>
  <c r="Q9" i="3"/>
  <c r="U9" i="3"/>
  <c r="W9" i="3"/>
  <c r="Y9" i="3"/>
  <c r="AE9" i="3"/>
  <c r="N7" i="4" s="1"/>
  <c r="AG9" i="3"/>
  <c r="O7" i="4" s="1"/>
  <c r="AI9" i="3"/>
  <c r="P7" i="4" s="1"/>
  <c r="AK9" i="3"/>
  <c r="AM9" i="3"/>
  <c r="R7" i="4" s="1"/>
  <c r="AO9" i="3"/>
  <c r="S7" i="4" s="1"/>
  <c r="AQ9" i="3"/>
  <c r="T7" i="4" s="1"/>
  <c r="AS9" i="3"/>
  <c r="U7" i="4" s="1"/>
  <c r="AU9" i="3"/>
  <c r="AW9" i="3"/>
  <c r="AY9" i="3"/>
  <c r="BA9" i="3"/>
  <c r="BC9" i="3"/>
  <c r="BG9" i="3"/>
  <c r="W7" i="4" s="1"/>
  <c r="BI9" i="3"/>
  <c r="BP9" i="3"/>
  <c r="BQ9" i="3" s="1"/>
  <c r="BS9" i="3"/>
  <c r="BU9" i="3"/>
  <c r="BW9" i="3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 s="1"/>
  <c r="CZ9" i="3"/>
  <c r="DA9" i="3" s="1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H7" i="4" s="1"/>
  <c r="DN9" i="3"/>
  <c r="I7" i="4" s="1"/>
  <c r="DP9" i="3"/>
  <c r="J7" i="4"/>
  <c r="DR9" i="3"/>
  <c r="K7" i="4" s="1"/>
  <c r="C10" i="3"/>
  <c r="E10" i="3"/>
  <c r="M10" i="3"/>
  <c r="F8" i="4" s="1"/>
  <c r="O10" i="3"/>
  <c r="G8" i="4" s="1"/>
  <c r="Q10" i="3"/>
  <c r="U10" i="3"/>
  <c r="W10" i="3"/>
  <c r="Y10" i="3"/>
  <c r="AE10" i="3"/>
  <c r="N8" i="4" s="1"/>
  <c r="AG10" i="3"/>
  <c r="O8" i="4" s="1"/>
  <c r="AI10" i="3"/>
  <c r="AK10" i="3"/>
  <c r="Q8" i="4" s="1"/>
  <c r="AM10" i="3"/>
  <c r="R8" i="4" s="1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W8" i="4" s="1"/>
  <c r="BI10" i="3"/>
  <c r="BP10" i="3"/>
  <c r="BQ10" i="3" s="1"/>
  <c r="BS10" i="3"/>
  <c r="BU10" i="3"/>
  <c r="BW10" i="3"/>
  <c r="CB10" i="3"/>
  <c r="CC10" i="3" s="1"/>
  <c r="Y8" i="4" s="1"/>
  <c r="CE10" i="3"/>
  <c r="CF10" i="3" s="1"/>
  <c r="Z9" i="4" s="1"/>
  <c r="CH10" i="3"/>
  <c r="CI10" i="3" s="1"/>
  <c r="AA8" i="4" s="1"/>
  <c r="CK10" i="3"/>
  <c r="CL10" i="3" s="1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H8" i="4" s="1"/>
  <c r="DN10" i="3"/>
  <c r="DP10" i="3"/>
  <c r="J8" i="4" s="1"/>
  <c r="DR10" i="3"/>
  <c r="K8" i="4" s="1"/>
  <c r="C11" i="3"/>
  <c r="E11" i="3"/>
  <c r="M11" i="3"/>
  <c r="F9" i="4" s="1"/>
  <c r="O11" i="3"/>
  <c r="G9" i="4" s="1"/>
  <c r="Q11" i="3"/>
  <c r="U11" i="3"/>
  <c r="W11" i="3"/>
  <c r="Y11" i="3"/>
  <c r="AE11" i="3"/>
  <c r="N9" i="4" s="1"/>
  <c r="AG11" i="3"/>
  <c r="AI11" i="3"/>
  <c r="P9" i="4" s="1"/>
  <c r="AK11" i="3"/>
  <c r="Q9" i="4" s="1"/>
  <c r="AM11" i="3"/>
  <c r="R9" i="4" s="1"/>
  <c r="AO11" i="3"/>
  <c r="S9" i="4" s="1"/>
  <c r="AQ11" i="3"/>
  <c r="T9" i="4" s="1"/>
  <c r="AS11" i="3"/>
  <c r="U9" i="4" s="1"/>
  <c r="AU11" i="3"/>
  <c r="V9" i="4" s="1"/>
  <c r="AW11" i="3"/>
  <c r="AY11" i="3"/>
  <c r="BA11" i="3"/>
  <c r="BC11" i="3"/>
  <c r="BG11" i="3"/>
  <c r="W9" i="4" s="1"/>
  <c r="BI11" i="3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 s="1"/>
  <c r="AC9" i="4" s="1"/>
  <c r="CQ11" i="3"/>
  <c r="CR11" i="3" s="1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H9" i="4" s="1"/>
  <c r="DN11" i="3"/>
  <c r="I9" i="4" s="1"/>
  <c r="DP11" i="3"/>
  <c r="DR11" i="3"/>
  <c r="K9" i="4" s="1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O10" i="4" s="1"/>
  <c r="AI12" i="3"/>
  <c r="P10" i="4" s="1"/>
  <c r="AK12" i="3"/>
  <c r="Q10" i="4" s="1"/>
  <c r="AM12" i="3"/>
  <c r="R10" i="4" s="1"/>
  <c r="AO12" i="3"/>
  <c r="S10" i="4" s="1"/>
  <c r="AQ12" i="3"/>
  <c r="T10" i="4" s="1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 s="1"/>
  <c r="AA10" i="4" s="1"/>
  <c r="CK12" i="3"/>
  <c r="CL12" i="3" s="1"/>
  <c r="AB10" i="4" s="1"/>
  <c r="CN12" i="3"/>
  <c r="CO12" i="3" s="1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I10" i="4" s="1"/>
  <c r="DP12" i="3"/>
  <c r="J10" i="4" s="1"/>
  <c r="DR12" i="3"/>
  <c r="K10" i="4" s="1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C14" i="3"/>
  <c r="E14" i="3"/>
  <c r="E12" i="1" s="1"/>
  <c r="E12" i="4" s="1"/>
  <c r="I14" i="3"/>
  <c r="K14" i="3"/>
  <c r="M14" i="3"/>
  <c r="F12" i="4" s="1"/>
  <c r="O14" i="3"/>
  <c r="G12" i="4" s="1"/>
  <c r="Q14" i="3"/>
  <c r="U14" i="3"/>
  <c r="W14" i="3"/>
  <c r="Y14" i="3"/>
  <c r="AE14" i="3"/>
  <c r="N12" i="4" s="1"/>
  <c r="AG14" i="3"/>
  <c r="O12" i="4" s="1"/>
  <c r="AI14" i="3"/>
  <c r="P12" i="4" s="1"/>
  <c r="AK14" i="3"/>
  <c r="Q12" i="4" s="1"/>
  <c r="AM14" i="3"/>
  <c r="R12" i="4" s="1"/>
  <c r="AO14" i="3"/>
  <c r="S12" i="4" s="1"/>
  <c r="AQ14" i="3"/>
  <c r="T12" i="4" s="1"/>
  <c r="AS14" i="3"/>
  <c r="U12" i="4" s="1"/>
  <c r="AU14" i="3"/>
  <c r="V12" i="4" s="1"/>
  <c r="AW14" i="3"/>
  <c r="AY14" i="3"/>
  <c r="BA14" i="3"/>
  <c r="BC14" i="3"/>
  <c r="BG14" i="3"/>
  <c r="W12" i="4" s="1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 s="1"/>
  <c r="AJ12" i="4" s="1"/>
  <c r="DL14" i="3"/>
  <c r="H12" i="4" s="1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F13" i="4" s="1"/>
  <c r="O15" i="3"/>
  <c r="G13" i="4" s="1"/>
  <c r="Q15" i="3"/>
  <c r="U15" i="3"/>
  <c r="W15" i="3"/>
  <c r="Y15" i="3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V13" i="4" s="1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 s="1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 s="1"/>
  <c r="AJ13" i="4" s="1"/>
  <c r="DL15" i="3"/>
  <c r="H13" i="4" s="1"/>
  <c r="DN15" i="3"/>
  <c r="I13" i="4" s="1"/>
  <c r="DP15" i="3"/>
  <c r="DR15" i="3"/>
  <c r="K13" i="4" s="1"/>
  <c r="C16" i="3"/>
  <c r="E16" i="3"/>
  <c r="E14" i="1" s="1"/>
  <c r="E14" i="4" s="1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Q14" i="4" s="1"/>
  <c r="AM16" i="3"/>
  <c r="AO16" i="3"/>
  <c r="S14" i="4" s="1"/>
  <c r="AQ16" i="3"/>
  <c r="T14" i="4" s="1"/>
  <c r="AS16" i="3"/>
  <c r="U14" i="4" s="1"/>
  <c r="AU16" i="3"/>
  <c r="V14" i="4" s="1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H14" i="4" s="1"/>
  <c r="DN16" i="3"/>
  <c r="I14" i="4" s="1"/>
  <c r="DP16" i="3"/>
  <c r="J14" i="4" s="1"/>
  <c r="DR16" i="3"/>
  <c r="K14" i="4" s="1"/>
  <c r="C17" i="3"/>
  <c r="E17" i="3"/>
  <c r="E15" i="1" s="1"/>
  <c r="E15" i="4" s="1"/>
  <c r="I17" i="3"/>
  <c r="K17" i="3"/>
  <c r="M17" i="3"/>
  <c r="F15" i="4" s="1"/>
  <c r="O17" i="3"/>
  <c r="G15" i="4" s="1"/>
  <c r="Q17" i="3"/>
  <c r="U17" i="3"/>
  <c r="I15" i="1" s="1"/>
  <c r="W17" i="3"/>
  <c r="Y17" i="3"/>
  <c r="AE17" i="3"/>
  <c r="N15" i="4" s="1"/>
  <c r="AG17" i="3"/>
  <c r="AI17" i="3"/>
  <c r="P15" i="4" s="1"/>
  <c r="AK17" i="3"/>
  <c r="Q15" i="4" s="1"/>
  <c r="AM17" i="3"/>
  <c r="R15" i="4" s="1"/>
  <c r="AO17" i="3"/>
  <c r="S15" i="4" s="1"/>
  <c r="AQ17" i="3"/>
  <c r="T15" i="4" s="1"/>
  <c r="AS17" i="3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 s="1"/>
  <c r="AJ15" i="4" s="1"/>
  <c r="DL17" i="3"/>
  <c r="H15" i="4" s="1"/>
  <c r="DN17" i="3"/>
  <c r="I15" i="4" s="1"/>
  <c r="DP17" i="3"/>
  <c r="J15" i="4" s="1"/>
  <c r="DR17" i="3"/>
  <c r="K15" i="4" s="1"/>
  <c r="C18" i="3"/>
  <c r="E18" i="3"/>
  <c r="E16" i="1" s="1"/>
  <c r="E16" i="4" s="1"/>
  <c r="I18" i="3"/>
  <c r="K18" i="3"/>
  <c r="M18" i="3"/>
  <c r="F16" i="4" s="1"/>
  <c r="O18" i="3"/>
  <c r="Q18" i="3"/>
  <c r="U18" i="3"/>
  <c r="W18" i="3"/>
  <c r="Y18" i="3"/>
  <c r="AE18" i="3"/>
  <c r="N16" i="4" s="1"/>
  <c r="AG18" i="3"/>
  <c r="O16" i="4" s="1"/>
  <c r="AI18" i="3"/>
  <c r="P16" i="4" s="1"/>
  <c r="AK18" i="3"/>
  <c r="Q16" i="4" s="1"/>
  <c r="AM18" i="3"/>
  <c r="R16" i="4" s="1"/>
  <c r="AO18" i="3"/>
  <c r="AQ18" i="3"/>
  <c r="T16" i="4" s="1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N17" i="4" s="1"/>
  <c r="AG19" i="3"/>
  <c r="O17" i="4" s="1"/>
  <c r="AI19" i="3"/>
  <c r="P17" i="4" s="1"/>
  <c r="AK19" i="3"/>
  <c r="Q17" i="4" s="1"/>
  <c r="AM19" i="3"/>
  <c r="AO19" i="3"/>
  <c r="S17" i="4" s="1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J17" i="4" s="1"/>
  <c r="DR19" i="3"/>
  <c r="K17" i="4" s="1"/>
  <c r="C20" i="3"/>
  <c r="E20" i="3"/>
  <c r="F20" i="3" s="1"/>
  <c r="I20" i="3"/>
  <c r="K20" i="3"/>
  <c r="M20" i="3"/>
  <c r="O20" i="3"/>
  <c r="G18" i="4" s="1"/>
  <c r="Q20" i="3"/>
  <c r="U20" i="3"/>
  <c r="Y20" i="3"/>
  <c r="AE20" i="3"/>
  <c r="AG20" i="3"/>
  <c r="O18" i="4" s="1"/>
  <c r="AI20" i="3"/>
  <c r="P18" i="4" s="1"/>
  <c r="AK20" i="3"/>
  <c r="AM20" i="3"/>
  <c r="R18" i="4" s="1"/>
  <c r="AO20" i="3"/>
  <c r="S18" i="4" s="1"/>
  <c r="AQ20" i="3"/>
  <c r="T18" i="4" s="1"/>
  <c r="AS20" i="3"/>
  <c r="U18" i="4" s="1"/>
  <c r="AU20" i="3"/>
  <c r="V18" i="4" s="1"/>
  <c r="AW20" i="3"/>
  <c r="AY20" i="3"/>
  <c r="BA20" i="3"/>
  <c r="BC20" i="3"/>
  <c r="BG20" i="3"/>
  <c r="W18" i="4" s="1"/>
  <c r="BI20" i="3"/>
  <c r="BP20" i="3"/>
  <c r="BQ20" i="3" s="1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 s="1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J18" i="4" s="1"/>
  <c r="DR20" i="3"/>
  <c r="K18" i="4" s="1"/>
  <c r="C21" i="3"/>
  <c r="E21" i="3"/>
  <c r="E19" i="1" s="1"/>
  <c r="E19" i="4" s="1"/>
  <c r="K21" i="3"/>
  <c r="M21" i="3"/>
  <c r="F19" i="4" s="1"/>
  <c r="O21" i="3"/>
  <c r="G19" i="4" s="1"/>
  <c r="Q21" i="3"/>
  <c r="U21" i="3"/>
  <c r="AE21" i="3"/>
  <c r="AG21" i="3"/>
  <c r="O19" i="4" s="1"/>
  <c r="AI21" i="3"/>
  <c r="P19" i="4" s="1"/>
  <c r="AK21" i="3"/>
  <c r="Q19" i="4" s="1"/>
  <c r="AM21" i="3"/>
  <c r="R19" i="4" s="1"/>
  <c r="AO21" i="3"/>
  <c r="S19" i="4" s="1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 s="1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K19" i="4" s="1"/>
  <c r="C22" i="3"/>
  <c r="E22" i="3"/>
  <c r="I22" i="3"/>
  <c r="K22" i="3"/>
  <c r="M22" i="3"/>
  <c r="F20" i="4" s="1"/>
  <c r="O22" i="3"/>
  <c r="G20" i="4" s="1"/>
  <c r="Q22" i="3"/>
  <c r="U22" i="3"/>
  <c r="AE22" i="3"/>
  <c r="AG22" i="3"/>
  <c r="O20" i="4" s="1"/>
  <c r="AI22" i="3"/>
  <c r="AK22" i="3"/>
  <c r="AM22" i="3"/>
  <c r="R20" i="4" s="1"/>
  <c r="AO22" i="3"/>
  <c r="S20" i="4" s="1"/>
  <c r="AQ22" i="3"/>
  <c r="T20" i="4" s="1"/>
  <c r="AS22" i="3"/>
  <c r="U20" i="4" s="1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H20" i="4" s="1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U23" i="3"/>
  <c r="AE23" i="3"/>
  <c r="N21" i="4" s="1"/>
  <c r="AG23" i="3"/>
  <c r="O21" i="4" s="1"/>
  <c r="AI23" i="3"/>
  <c r="P21" i="4" s="1"/>
  <c r="AK23" i="3"/>
  <c r="Q21" i="4" s="1"/>
  <c r="AM23" i="3"/>
  <c r="R21" i="4" s="1"/>
  <c r="AO23" i="3"/>
  <c r="S21" i="4"/>
  <c r="AQ23" i="3"/>
  <c r="AS23" i="3"/>
  <c r="U21" i="4" s="1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H21" i="4" s="1"/>
  <c r="DN23" i="3"/>
  <c r="I21" i="4" s="1"/>
  <c r="DP23" i="3"/>
  <c r="J21" i="4" s="1"/>
  <c r="DR23" i="3"/>
  <c r="K21" i="4" s="1"/>
  <c r="C24" i="3"/>
  <c r="E24" i="3"/>
  <c r="E22" i="1" s="1"/>
  <c r="E22" i="4" s="1"/>
  <c r="I24" i="3"/>
  <c r="K24" i="3"/>
  <c r="M24" i="3"/>
  <c r="F22" i="4" s="1"/>
  <c r="O24" i="3"/>
  <c r="G22" i="4" s="1"/>
  <c r="Q24" i="3"/>
  <c r="U24" i="3"/>
  <c r="Y24" i="3"/>
  <c r="AE24" i="3"/>
  <c r="N22" i="4" s="1"/>
  <c r="AG24" i="3"/>
  <c r="O22" i="4" s="1"/>
  <c r="AI24" i="3"/>
  <c r="P22" i="4" s="1"/>
  <c r="AK24" i="3"/>
  <c r="Q22" i="4" s="1"/>
  <c r="AM24" i="3"/>
  <c r="R22" i="4" s="1"/>
  <c r="AO24" i="3"/>
  <c r="S22" i="4" s="1"/>
  <c r="AQ24" i="3"/>
  <c r="T22" i="4" s="1"/>
  <c r="AS24" i="3"/>
  <c r="AU24" i="3"/>
  <c r="V22" i="4" s="1"/>
  <c r="AW24" i="3"/>
  <c r="AY24" i="3"/>
  <c r="BA24" i="3"/>
  <c r="BC24" i="3"/>
  <c r="BG24" i="3"/>
  <c r="W22" i="4" s="1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H22" i="4" s="1"/>
  <c r="DN24" i="3"/>
  <c r="I22" i="4" s="1"/>
  <c r="DP24" i="3"/>
  <c r="J22" i="4" s="1"/>
  <c r="DR24" i="3"/>
  <c r="K22" i="4" s="1"/>
  <c r="C25" i="3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U23" i="4" s="1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G24" i="4" s="1"/>
  <c r="Q26" i="3"/>
  <c r="U26" i="3"/>
  <c r="W26" i="3"/>
  <c r="Y26" i="3"/>
  <c r="AE26" i="3"/>
  <c r="AG26" i="3"/>
  <c r="O24" i="4" s="1"/>
  <c r="AI26" i="3"/>
  <c r="P24" i="4" s="1"/>
  <c r="AK26" i="3"/>
  <c r="Q24" i="4" s="1"/>
  <c r="AM26" i="3"/>
  <c r="AO26" i="3"/>
  <c r="S24" i="4" s="1"/>
  <c r="AQ26" i="3"/>
  <c r="T24" i="4" s="1"/>
  <c r="AS26" i="3"/>
  <c r="AU26" i="3"/>
  <c r="V24" i="4" s="1"/>
  <c r="AW26" i="3"/>
  <c r="AY26" i="3"/>
  <c r="BA26" i="3"/>
  <c r="BC26" i="3"/>
  <c r="BG26" i="3"/>
  <c r="W24" i="4" s="1"/>
  <c r="BI26" i="3"/>
  <c r="BJ26" i="3" s="1"/>
  <c r="X24" i="4" s="1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AC24" i="4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J24" i="4" s="1"/>
  <c r="DR26" i="3"/>
  <c r="K24" i="4" s="1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P25" i="4" s="1"/>
  <c r="AK27" i="3"/>
  <c r="Q25" i="4" s="1"/>
  <c r="AM27" i="3"/>
  <c r="AO27" i="3"/>
  <c r="S25" i="4" s="1"/>
  <c r="AQ27" i="3"/>
  <c r="T25" i="4" s="1"/>
  <c r="AS27" i="3"/>
  <c r="U25" i="4" s="1"/>
  <c r="AU27" i="3"/>
  <c r="V25" i="4" s="1"/>
  <c r="AW27" i="3"/>
  <c r="AY27" i="3"/>
  <c r="BA27" i="3"/>
  <c r="BC27" i="3"/>
  <c r="BG27" i="3"/>
  <c r="W25" i="4" s="1"/>
  <c r="BI27" i="3"/>
  <c r="BP27" i="3"/>
  <c r="BQ27" i="3" s="1"/>
  <c r="BS27" i="3"/>
  <c r="BU27" i="3"/>
  <c r="BX27" i="3" s="1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J25" i="4" s="1"/>
  <c r="DR27" i="3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N26" i="4" s="1"/>
  <c r="AG28" i="3"/>
  <c r="O26" i="4" s="1"/>
  <c r="AI28" i="3"/>
  <c r="AK28" i="3"/>
  <c r="AM28" i="3"/>
  <c r="R26" i="4" s="1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 s="1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I26" i="4" s="1"/>
  <c r="DP28" i="3"/>
  <c r="DR28" i="3"/>
  <c r="K26" i="4" s="1"/>
  <c r="C29" i="3"/>
  <c r="E29" i="3"/>
  <c r="E27" i="1" s="1"/>
  <c r="E27" i="4" s="1"/>
  <c r="I29" i="3"/>
  <c r="K29" i="3"/>
  <c r="M29" i="3"/>
  <c r="O29" i="3"/>
  <c r="G27" i="4" s="1"/>
  <c r="Q29" i="3"/>
  <c r="U29" i="3"/>
  <c r="W29" i="3"/>
  <c r="Y29" i="3"/>
  <c r="AE29" i="3"/>
  <c r="N27" i="4" s="1"/>
  <c r="AG29" i="3"/>
  <c r="O27" i="4" s="1"/>
  <c r="AI29" i="3"/>
  <c r="P27" i="4" s="1"/>
  <c r="AK29" i="3"/>
  <c r="Q27" i="4" s="1"/>
  <c r="AM29" i="3"/>
  <c r="R27" i="4" s="1"/>
  <c r="AO29" i="3"/>
  <c r="AQ29" i="3"/>
  <c r="T27" i="4" s="1"/>
  <c r="AS29" i="3"/>
  <c r="U27" i="4" s="1"/>
  <c r="AU29" i="3"/>
  <c r="V27" i="4" s="1"/>
  <c r="AW29" i="3"/>
  <c r="AY29" i="3"/>
  <c r="BA29" i="3"/>
  <c r="BC29" i="3"/>
  <c r="BG29" i="3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 s="1"/>
  <c r="AI27" i="4" s="1"/>
  <c r="DI29" i="3"/>
  <c r="DJ29" i="3" s="1"/>
  <c r="AJ27" i="4" s="1"/>
  <c r="DL29" i="3"/>
  <c r="H27" i="4" s="1"/>
  <c r="DN29" i="3"/>
  <c r="DP29" i="3"/>
  <c r="J27" i="4" s="1"/>
  <c r="DR29" i="3"/>
  <c r="K27" i="4" s="1"/>
  <c r="C30" i="3"/>
  <c r="E30" i="3"/>
  <c r="E28" i="1" s="1"/>
  <c r="E28" i="4" s="1"/>
  <c r="I30" i="3"/>
  <c r="K30" i="3"/>
  <c r="M30" i="3"/>
  <c r="F28" i="4" s="1"/>
  <c r="O30" i="3"/>
  <c r="G28" i="4" s="1"/>
  <c r="Q30" i="3"/>
  <c r="U30" i="3"/>
  <c r="W30" i="3"/>
  <c r="Y30" i="3"/>
  <c r="AE30" i="3"/>
  <c r="N28" i="4" s="1"/>
  <c r="AG30" i="3"/>
  <c r="O28" i="4" s="1"/>
  <c r="AI30" i="3"/>
  <c r="P28" i="4" s="1"/>
  <c r="AK30" i="3"/>
  <c r="Q28" i="4" s="1"/>
  <c r="AM30" i="3"/>
  <c r="R28" i="4" s="1"/>
  <c r="AO30" i="3"/>
  <c r="S28" i="4" s="1"/>
  <c r="AQ30" i="3"/>
  <c r="T28" i="4" s="1"/>
  <c r="AS30" i="3"/>
  <c r="U28" i="4" s="1"/>
  <c r="AU30" i="3"/>
  <c r="AW30" i="3"/>
  <c r="AY30" i="3"/>
  <c r="BA30" i="3"/>
  <c r="BC30" i="3"/>
  <c r="BG30" i="3"/>
  <c r="W28" i="4" s="1"/>
  <c r="BI30" i="3"/>
  <c r="BP30" i="3"/>
  <c r="BQ30" i="3" s="1"/>
  <c r="BS30" i="3"/>
  <c r="BU30" i="3"/>
  <c r="BW30" i="3"/>
  <c r="CB30" i="3"/>
  <c r="CC30" i="3" s="1"/>
  <c r="Y28" i="4" s="1"/>
  <c r="CE30" i="3"/>
  <c r="CF30" i="3" s="1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J28" i="4" s="1"/>
  <c r="DR30" i="3"/>
  <c r="K28" i="4" s="1"/>
  <c r="C31" i="3"/>
  <c r="E31" i="3"/>
  <c r="I31" i="3"/>
  <c r="K31" i="3"/>
  <c r="M31" i="3"/>
  <c r="F29" i="4" s="1"/>
  <c r="O31" i="3"/>
  <c r="G29" i="4" s="1"/>
  <c r="Q31" i="3"/>
  <c r="U31" i="3"/>
  <c r="I29" i="1" s="1"/>
  <c r="W31" i="3"/>
  <c r="Y31" i="3"/>
  <c r="AE31" i="3"/>
  <c r="AG31" i="3"/>
  <c r="O29" i="4" s="1"/>
  <c r="AI31" i="3"/>
  <c r="P29" i="4" s="1"/>
  <c r="AK31" i="3"/>
  <c r="Q29" i="4" s="1"/>
  <c r="AM31" i="3"/>
  <c r="R29" i="4" s="1"/>
  <c r="AO31" i="3"/>
  <c r="S29" i="4" s="1"/>
  <c r="AQ31" i="3"/>
  <c r="T29" i="4" s="1"/>
  <c r="AS31" i="3"/>
  <c r="U29" i="4" s="1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 s="1"/>
  <c r="Z30" i="4" s="1"/>
  <c r="CH31" i="3"/>
  <c r="CI31" i="3" s="1"/>
  <c r="AA29" i="4" s="1"/>
  <c r="CK31" i="3"/>
  <c r="CL31" i="3" s="1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H29" i="4" s="1"/>
  <c r="DN31" i="3"/>
  <c r="I29" i="4" s="1"/>
  <c r="DP31" i="3"/>
  <c r="J29" i="4" s="1"/>
  <c r="DR31" i="3"/>
  <c r="K29" i="4" s="1"/>
  <c r="C32" i="3"/>
  <c r="E32" i="3"/>
  <c r="E30" i="1" s="1"/>
  <c r="E30" i="4" s="1"/>
  <c r="I32" i="3"/>
  <c r="K32" i="3"/>
  <c r="M32" i="3"/>
  <c r="F30" i="4" s="1"/>
  <c r="O32" i="3"/>
  <c r="G30" i="4" s="1"/>
  <c r="Q32" i="3"/>
  <c r="U32" i="3"/>
  <c r="W32" i="3"/>
  <c r="Y32" i="3"/>
  <c r="AE32" i="3"/>
  <c r="AG32" i="3"/>
  <c r="O30" i="4" s="1"/>
  <c r="AI32" i="3"/>
  <c r="P30" i="4" s="1"/>
  <c r="AK32" i="3"/>
  <c r="Q30" i="4" s="1"/>
  <c r="AM32" i="3"/>
  <c r="R30" i="4" s="1"/>
  <c r="AO32" i="3"/>
  <c r="S30" i="4" s="1"/>
  <c r="AQ32" i="3"/>
  <c r="T30" i="4" s="1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 s="1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E33" i="3"/>
  <c r="E31" i="1" s="1"/>
  <c r="E31" i="4" s="1"/>
  <c r="I33" i="3"/>
  <c r="K33" i="3"/>
  <c r="M33" i="3"/>
  <c r="F31" i="4" s="1"/>
  <c r="O33" i="3"/>
  <c r="Q33" i="3"/>
  <c r="U33" i="3"/>
  <c r="W33" i="3"/>
  <c r="Y33" i="3"/>
  <c r="AE33" i="3"/>
  <c r="N31" i="4" s="1"/>
  <c r="AG33" i="3"/>
  <c r="O31" i="4" s="1"/>
  <c r="AI33" i="3"/>
  <c r="AK33" i="3"/>
  <c r="Q31" i="4" s="1"/>
  <c r="AM33" i="3"/>
  <c r="R31" i="4" s="1"/>
  <c r="AO33" i="3"/>
  <c r="S31" i="4" s="1"/>
  <c r="AQ33" i="3"/>
  <c r="T31" i="4" s="1"/>
  <c r="AS33" i="3"/>
  <c r="U31" i="4" s="1"/>
  <c r="AU33" i="3"/>
  <c r="V31" i="4" s="1"/>
  <c r="AW33" i="3"/>
  <c r="AY33" i="3"/>
  <c r="BC33" i="3"/>
  <c r="BG33" i="3"/>
  <c r="BI33" i="3"/>
  <c r="BP33" i="3"/>
  <c r="BQ33" i="3" s="1"/>
  <c r="BS33" i="3"/>
  <c r="BU33" i="3"/>
  <c r="BW33" i="3"/>
  <c r="CB33" i="3"/>
  <c r="CC33" i="3" s="1"/>
  <c r="Y31" i="4" s="1"/>
  <c r="CE33" i="3"/>
  <c r="CF33" i="3" s="1"/>
  <c r="Z32" i="4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H31" i="4" s="1"/>
  <c r="DN33" i="3"/>
  <c r="I31" i="4" s="1"/>
  <c r="DP33" i="3"/>
  <c r="J31" i="4" s="1"/>
  <c r="DR33" i="3"/>
  <c r="K31" i="4" s="1"/>
  <c r="R35" i="3"/>
  <c r="S35" i="3"/>
  <c r="BC35" i="3"/>
  <c r="BZ35" i="3"/>
  <c r="DS35" i="3"/>
  <c r="DT35" i="3"/>
  <c r="B3" i="4"/>
  <c r="Q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N4" i="4"/>
  <c r="V4" i="4"/>
  <c r="G5" i="4"/>
  <c r="Q5" i="4"/>
  <c r="U5" i="4"/>
  <c r="Q7" i="4"/>
  <c r="V7" i="4"/>
  <c r="I8" i="4"/>
  <c r="P8" i="4"/>
  <c r="J9" i="4"/>
  <c r="O9" i="4"/>
  <c r="M10" i="4"/>
  <c r="N10" i="4"/>
  <c r="N11" i="4"/>
  <c r="Q11" i="4"/>
  <c r="J13" i="4"/>
  <c r="P14" i="4"/>
  <c r="W14" i="4"/>
  <c r="G16" i="4"/>
  <c r="S16" i="4"/>
  <c r="F18" i="4"/>
  <c r="H18" i="4"/>
  <c r="Q18" i="4"/>
  <c r="H19" i="4"/>
  <c r="N19" i="4"/>
  <c r="T19" i="4"/>
  <c r="P20" i="4"/>
  <c r="Q20" i="4"/>
  <c r="I23" i="4"/>
  <c r="O23" i="4"/>
  <c r="P23" i="4"/>
  <c r="T23" i="4"/>
  <c r="R24" i="4"/>
  <c r="F25" i="4"/>
  <c r="H25" i="4"/>
  <c r="K25" i="4"/>
  <c r="R25" i="4"/>
  <c r="J26" i="4"/>
  <c r="P26" i="4"/>
  <c r="Q26" i="4"/>
  <c r="W26" i="4"/>
  <c r="F27" i="4"/>
  <c r="I27" i="4"/>
  <c r="S27" i="4"/>
  <c r="W27" i="4"/>
  <c r="V28" i="4"/>
  <c r="N29" i="4"/>
  <c r="J30" i="4"/>
  <c r="W30" i="4"/>
  <c r="G31" i="4"/>
  <c r="W31" i="4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K12" i="1"/>
  <c r="AK12" i="4" s="1"/>
  <c r="N12" i="1"/>
  <c r="O12" i="1" s="1"/>
  <c r="K13" i="1"/>
  <c r="AK13" i="4" s="1"/>
  <c r="N13" i="1"/>
  <c r="O13" i="1" s="1"/>
  <c r="K14" i="1"/>
  <c r="AK14" i="4" s="1"/>
  <c r="N14" i="1"/>
  <c r="O14" i="1" s="1"/>
  <c r="K15" i="1"/>
  <c r="AK15" i="4" s="1"/>
  <c r="N15" i="1"/>
  <c r="O15" i="1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K22" i="1"/>
  <c r="AK22" i="4" s="1"/>
  <c r="N22" i="1"/>
  <c r="O22" i="1" s="1"/>
  <c r="E23" i="1"/>
  <c r="E23" i="4" s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K27" i="1"/>
  <c r="AK27" i="4" s="1"/>
  <c r="N27" i="1"/>
  <c r="O27" i="1" s="1"/>
  <c r="K28" i="1"/>
  <c r="AK28" i="4" s="1"/>
  <c r="N28" i="1"/>
  <c r="O28" i="1" s="1"/>
  <c r="E29" i="1"/>
  <c r="E29" i="4" s="1"/>
  <c r="K29" i="1"/>
  <c r="AK29" i="4" s="1"/>
  <c r="N29" i="1"/>
  <c r="O29" i="1" s="1"/>
  <c r="K30" i="1"/>
  <c r="AK30" i="4" s="1"/>
  <c r="N30" i="1"/>
  <c r="O30" i="1" s="1"/>
  <c r="K31" i="1"/>
  <c r="AK31" i="4" s="1"/>
  <c r="N31" i="1"/>
  <c r="Y20" i="4"/>
  <c r="BJ27" i="3"/>
  <c r="X25" i="4" s="1"/>
  <c r="X11" i="4"/>
  <c r="Z2" i="4"/>
  <c r="U13" i="4"/>
  <c r="Q13" i="4"/>
  <c r="U24" i="4"/>
  <c r="N24" i="4"/>
  <c r="BQ5" i="3"/>
  <c r="P31" i="4"/>
  <c r="F19" i="3"/>
  <c r="I9" i="1"/>
  <c r="I3" i="1" l="1"/>
  <c r="F33" i="3"/>
  <c r="F4" i="3"/>
  <c r="I23" i="1"/>
  <c r="P23" i="1" s="1"/>
  <c r="J23" i="1" s="1"/>
  <c r="U32" i="1"/>
  <c r="BD15" i="3"/>
  <c r="BD23" i="3"/>
  <c r="BE23" i="3" s="1"/>
  <c r="R13" i="4"/>
  <c r="BJ18" i="3"/>
  <c r="X16" i="4" s="1"/>
  <c r="BX9" i="3"/>
  <c r="BQ4" i="3"/>
  <c r="BQ35" i="3" s="1"/>
  <c r="BP35" i="3"/>
  <c r="BJ12" i="3"/>
  <c r="X10" i="4" s="1"/>
  <c r="W35" i="3"/>
  <c r="I10" i="1"/>
  <c r="P10" i="1" s="1"/>
  <c r="J10" i="1" s="1"/>
  <c r="I12" i="1"/>
  <c r="P12" i="1" s="1"/>
  <c r="U12" i="1" s="1"/>
  <c r="F12" i="3"/>
  <c r="BX5" i="3"/>
  <c r="CC5" i="3"/>
  <c r="Y3" i="4" s="1"/>
  <c r="Y2" i="4"/>
  <c r="BX32" i="3"/>
  <c r="BX22" i="3"/>
  <c r="BX10" i="3"/>
  <c r="BX8" i="3"/>
  <c r="BJ20" i="3"/>
  <c r="X18" i="4" s="1"/>
  <c r="BD12" i="3"/>
  <c r="BE12" i="3" s="1"/>
  <c r="T21" i="4"/>
  <c r="BD7" i="3"/>
  <c r="BD17" i="3"/>
  <c r="BJ17" i="3"/>
  <c r="X15" i="4" s="1"/>
  <c r="BJ33" i="3"/>
  <c r="X31" i="4" s="1"/>
  <c r="L31" i="4" s="1"/>
  <c r="BJ30" i="3"/>
  <c r="X28" i="4" s="1"/>
  <c r="L28" i="4" s="1"/>
  <c r="BJ28" i="3"/>
  <c r="X26" i="4" s="1"/>
  <c r="L26" i="4" s="1"/>
  <c r="BJ21" i="3"/>
  <c r="X19" i="4" s="1"/>
  <c r="L19" i="4" s="1"/>
  <c r="BJ11" i="3"/>
  <c r="X9" i="4" s="1"/>
  <c r="L9" i="4" s="1"/>
  <c r="BJ5" i="3"/>
  <c r="X3" i="4" s="1"/>
  <c r="L3" i="4" s="1"/>
  <c r="BE17" i="3"/>
  <c r="BJ6" i="3"/>
  <c r="X4" i="4" s="1"/>
  <c r="BJ4" i="3"/>
  <c r="X2" i="4" s="1"/>
  <c r="L2" i="4" s="1"/>
  <c r="I21" i="1"/>
  <c r="P21" i="1" s="1"/>
  <c r="I7" i="1"/>
  <c r="P7" i="1" s="1"/>
  <c r="J7" i="1" s="1"/>
  <c r="I5" i="1"/>
  <c r="P5" i="1" s="1"/>
  <c r="J5" i="1" s="1"/>
  <c r="I20" i="1"/>
  <c r="P20" i="1" s="1"/>
  <c r="I16" i="1"/>
  <c r="P16" i="1" s="1"/>
  <c r="I6" i="1"/>
  <c r="I8" i="1"/>
  <c r="P8" i="1" s="1"/>
  <c r="J8" i="1" s="1"/>
  <c r="F25" i="3"/>
  <c r="F10" i="3"/>
  <c r="BJ14" i="3"/>
  <c r="X12" i="4" s="1"/>
  <c r="L12" i="4" s="1"/>
  <c r="BJ29" i="3"/>
  <c r="X27" i="4" s="1"/>
  <c r="L27" i="4" s="1"/>
  <c r="I27" i="1"/>
  <c r="P27" i="1" s="1"/>
  <c r="J27" i="1" s="1"/>
  <c r="F29" i="3"/>
  <c r="BX17" i="3"/>
  <c r="BX18" i="3"/>
  <c r="BX16" i="3"/>
  <c r="BX21" i="3"/>
  <c r="N18" i="4"/>
  <c r="L18" i="4" s="1"/>
  <c r="BJ24" i="3"/>
  <c r="X22" i="4" s="1"/>
  <c r="L22" i="4" s="1"/>
  <c r="I19" i="1"/>
  <c r="P19" i="1" s="1"/>
  <c r="J19" i="1" s="1"/>
  <c r="I13" i="1"/>
  <c r="P13" i="1" s="1"/>
  <c r="J13" i="1" s="1"/>
  <c r="BX6" i="3"/>
  <c r="BJ9" i="3"/>
  <c r="X7" i="4" s="1"/>
  <c r="L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X29" i="3"/>
  <c r="BJ19" i="3"/>
  <c r="X17" i="4" s="1"/>
  <c r="L17" i="4" s="1"/>
  <c r="BJ15" i="3"/>
  <c r="X13" i="4" s="1"/>
  <c r="BJ16" i="3"/>
  <c r="X14" i="4" s="1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I26" i="1"/>
  <c r="P26" i="1" s="1"/>
  <c r="J26" i="1" s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X28" i="3"/>
  <c r="R17" i="4"/>
  <c r="L25" i="4"/>
  <c r="I17" i="1"/>
  <c r="P17" i="1" s="1"/>
  <c r="J17" i="1" s="1"/>
  <c r="E35" i="3"/>
  <c r="E9" i="1"/>
  <c r="E9" i="4" s="1"/>
  <c r="F32" i="3"/>
  <c r="BD24" i="3"/>
  <c r="BE24" i="3" s="1"/>
  <c r="BD22" i="3"/>
  <c r="BE22" i="3" s="1"/>
  <c r="AW35" i="3"/>
  <c r="BX20" i="3"/>
  <c r="F18" i="3"/>
  <c r="CU35" i="3"/>
  <c r="L11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X4" i="3"/>
  <c r="BY4" i="3" s="1"/>
  <c r="I14" i="1"/>
  <c r="P14" i="1" s="1"/>
  <c r="P4" i="1"/>
  <c r="J4" i="1" s="1"/>
  <c r="BJ32" i="3"/>
  <c r="X30" i="4" s="1"/>
  <c r="BI35" i="3"/>
  <c r="BJ31" i="3"/>
  <c r="X29" i="4" s="1"/>
  <c r="L29" i="4" s="1"/>
  <c r="BJ25" i="3"/>
  <c r="X23" i="4" s="1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Y14" i="4"/>
  <c r="Z10" i="4"/>
  <c r="CF35" i="3"/>
  <c r="BX24" i="3"/>
  <c r="BJ23" i="3"/>
  <c r="X21" i="4" s="1"/>
  <c r="L21" i="4" s="1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AM35" i="3"/>
  <c r="R14" i="4"/>
  <c r="AK35" i="3"/>
  <c r="AI35" i="3"/>
  <c r="O15" i="4"/>
  <c r="N23" i="4"/>
  <c r="L16" i="4"/>
  <c r="N14" i="4"/>
  <c r="N20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Y13" i="3" s="1"/>
  <c r="BX11" i="3"/>
  <c r="P9" i="1"/>
  <c r="J9" i="1" s="1"/>
  <c r="O31" i="1"/>
  <c r="P6" i="1"/>
  <c r="J6" i="1" s="1"/>
  <c r="P11" i="1"/>
  <c r="J11" i="1" s="1"/>
  <c r="O3" i="1"/>
  <c r="P3" i="1"/>
  <c r="O21" i="1"/>
  <c r="P29" i="1"/>
  <c r="J29" i="1" s="1"/>
  <c r="O20" i="1"/>
  <c r="O16" i="1"/>
  <c r="O10" i="1"/>
  <c r="BY9" i="3" l="1"/>
  <c r="G7" i="1" s="1"/>
  <c r="T7" i="1" s="1"/>
  <c r="L13" i="4"/>
  <c r="CC35" i="3"/>
  <c r="BY10" i="3"/>
  <c r="G8" i="1" s="1"/>
  <c r="T8" i="1" s="1"/>
  <c r="BY32" i="3"/>
  <c r="G30" i="1" s="1"/>
  <c r="T30" i="1" s="1"/>
  <c r="BY11" i="3"/>
  <c r="G9" i="1" s="1"/>
  <c r="T9" i="1" s="1"/>
  <c r="BY6" i="3"/>
  <c r="G4" i="1" s="1"/>
  <c r="T4" i="1" s="1"/>
  <c r="G2" i="1"/>
  <c r="T2" i="1" s="1"/>
  <c r="BY22" i="3"/>
  <c r="G20" i="1" s="1"/>
  <c r="T20" i="1" s="1"/>
  <c r="BY21" i="3"/>
  <c r="G19" i="1" s="1"/>
  <c r="T19" i="1" s="1"/>
  <c r="BY8" i="3"/>
  <c r="G6" i="1" s="1"/>
  <c r="T6" i="1" s="1"/>
  <c r="BY17" i="3"/>
  <c r="G15" i="1" s="1"/>
  <c r="T15" i="1" s="1"/>
  <c r="BY18" i="3"/>
  <c r="G16" i="1" s="1"/>
  <c r="T16" i="1" s="1"/>
  <c r="L14" i="4"/>
  <c r="BY31" i="3"/>
  <c r="G29" i="1" s="1"/>
  <c r="T29" i="1" s="1"/>
  <c r="BY33" i="3"/>
  <c r="G31" i="1" s="1"/>
  <c r="T31" i="1" s="1"/>
  <c r="BY34" i="3"/>
  <c r="G32" i="1" s="1"/>
  <c r="T32" i="1" s="1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G11" i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<sst xmlns="http://schemas.openxmlformats.org/spreadsheetml/2006/main" count="258" uniqueCount="119">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</sst>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2" fontId="0" fillId="5" borderId="15" xfId="0" applyNumberFormat="1" applyFill="1" applyBorder="1" applyAlignment="1">
      <alignment horizontal="center"/>
    </xf>
  </cellXfs>
  <cellStyles count="3">
    <cellStyle name="Normal" xfId="0" builtinId="0"/>
    <cellStyle name="Normal 11" xfId="1"/>
    <cellStyle name="Normal 2" xfId="2"/>
  </cellStyles>
  <dxfs count="5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70" zoomScaleNormal="70" workbookViewId="0">
      <pane xSplit="4" ySplit="13" topLeftCell="DJ14" activePane="bottomRight" state="frozen"/>
      <selection pane="topRight" activeCell="E1" sqref="E1"/>
      <selection pane="bottomLeft" activeCell="A14" sqref="A14"/>
      <selection pane="bottomRight" activeCell="O2" sqref="O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</v>
      </c>
      <c r="D2" s="7">
        <v>2020</v>
      </c>
      <c r="E2" s="8">
        <f>HOTEL!E4</f>
        <v>27980</v>
      </c>
      <c r="F2" s="58">
        <v>6.21</v>
      </c>
      <c r="G2" s="8">
        <f>HOTEL!BY4</f>
        <v>1077.5</v>
      </c>
      <c r="H2" s="58">
        <v>50.05</v>
      </c>
      <c r="I2" s="8">
        <f>HOTEL!Q4+HOTEL!U4</f>
        <v>311</v>
      </c>
      <c r="J2" s="58">
        <f>P2</f>
        <v>60.418006430868168</v>
      </c>
      <c r="K2" s="7">
        <f>HOTEL!DS4</f>
        <v>87</v>
      </c>
      <c r="L2" s="60"/>
      <c r="N2" s="7">
        <f>HOTEL!S4</f>
        <v>5</v>
      </c>
      <c r="O2" s="7">
        <f t="shared" ref="O2:O19" si="0">N2*2500</f>
        <v>12500</v>
      </c>
      <c r="P2" s="8">
        <f>(((HOTEL!Q4*34))+(N2*2500))/I2</f>
        <v>60.418006430868168</v>
      </c>
      <c r="Q2" s="7">
        <v>5.83</v>
      </c>
      <c r="R2" s="58">
        <v>50.05</v>
      </c>
      <c r="S2" s="7">
        <v>33.880000000000003</v>
      </c>
      <c r="T2" s="8">
        <f>G2*H2</f>
        <v>53928.875</v>
      </c>
      <c r="U2" s="8">
        <f>I2*P2</f>
        <v>18790</v>
      </c>
    </row>
    <row r="3" spans="1:21" x14ac:dyDescent="0.2">
      <c r="A3" s="2" t="s">
        <v>77</v>
      </c>
      <c r="B3" s="7">
        <f>B2+1</f>
        <v>2</v>
      </c>
      <c r="C3" s="7">
        <v>1</v>
      </c>
      <c r="D3" s="7">
        <v>2020</v>
      </c>
      <c r="E3" s="8">
        <f>HOTEL!E5</f>
        <v>28575</v>
      </c>
      <c r="F3" s="58">
        <v>6.21</v>
      </c>
      <c r="G3" s="8">
        <f>HOTEL!BY5</f>
        <v>969.75</v>
      </c>
      <c r="H3" s="58">
        <v>50.05</v>
      </c>
      <c r="I3" s="8">
        <f>HOTEL!Q5+HOTEL!U5</f>
        <v>212</v>
      </c>
      <c r="J3" s="58">
        <f t="shared" ref="J3:J31" si="1">P3</f>
        <v>60.716981132075475</v>
      </c>
      <c r="K3" s="7">
        <f>HOTEL!DS5</f>
        <v>74</v>
      </c>
      <c r="L3" s="60"/>
      <c r="N3" s="7">
        <f>HOTEL!S5</f>
        <v>3</v>
      </c>
      <c r="O3" s="7">
        <f t="shared" si="0"/>
        <v>7500</v>
      </c>
      <c r="P3" s="8">
        <f>(((HOTEL!Q5*34))+(N3*2500))/I3</f>
        <v>60.716981132075475</v>
      </c>
      <c r="Q3" s="7">
        <v>5.83</v>
      </c>
      <c r="R3" s="58">
        <v>50.05</v>
      </c>
      <c r="S3" s="7">
        <v>33.880000000000003</v>
      </c>
      <c r="T3" s="8">
        <f t="shared" ref="T3:T19" si="2">G3*H3</f>
        <v>48535.987499999996</v>
      </c>
      <c r="U3" s="8">
        <f t="shared" ref="U3:U31" si="3">I3*P3</f>
        <v>12872</v>
      </c>
    </row>
    <row r="4" spans="1:21" x14ac:dyDescent="0.2">
      <c r="A4" s="2" t="s">
        <v>77</v>
      </c>
      <c r="B4" s="7">
        <f t="shared" ref="B4:B30" si="4">B3+1</f>
        <v>3</v>
      </c>
      <c r="C4" s="7">
        <v>1</v>
      </c>
      <c r="D4" s="7">
        <v>2020</v>
      </c>
      <c r="E4" s="8">
        <f>HOTEL!E6</f>
        <v>29882</v>
      </c>
      <c r="F4" s="58">
        <v>6.21</v>
      </c>
      <c r="G4" s="8">
        <f>HOTEL!BY6</f>
        <v>538.75</v>
      </c>
      <c r="H4" s="58">
        <v>50.05</v>
      </c>
      <c r="I4" s="8">
        <f>HOTEL!Q6+HOTEL!U6</f>
        <v>134</v>
      </c>
      <c r="J4" s="58">
        <f t="shared" si="1"/>
        <v>27.910447761194028</v>
      </c>
      <c r="K4" s="7">
        <f>HOTEL!DS6</f>
        <v>79</v>
      </c>
      <c r="L4" s="60"/>
      <c r="N4" s="7">
        <f>HOTEL!S6</f>
        <v>0</v>
      </c>
      <c r="O4" s="7">
        <f t="shared" si="0"/>
        <v>0</v>
      </c>
      <c r="P4" s="8">
        <f>(((HOTEL!Q6*34))+(N4*2500))/I4</f>
        <v>27.910447761194028</v>
      </c>
      <c r="Q4" s="7">
        <v>5.83</v>
      </c>
      <c r="R4" s="58">
        <v>50.05</v>
      </c>
      <c r="S4" s="7">
        <v>33.880000000000003</v>
      </c>
      <c r="T4" s="8">
        <f t="shared" si="2"/>
        <v>26964.4375</v>
      </c>
      <c r="U4" s="8">
        <f t="shared" si="3"/>
        <v>3740</v>
      </c>
    </row>
    <row r="5" spans="1:21" x14ac:dyDescent="0.2">
      <c r="A5" s="2" t="s">
        <v>77</v>
      </c>
      <c r="B5" s="7">
        <f t="shared" si="4"/>
        <v>4</v>
      </c>
      <c r="C5" s="7">
        <v>1</v>
      </c>
      <c r="D5" s="7">
        <v>2020</v>
      </c>
      <c r="E5" s="8">
        <f>HOTEL!E7</f>
        <v>28520</v>
      </c>
      <c r="F5" s="58">
        <v>6.21</v>
      </c>
      <c r="G5" s="8">
        <f>HOTEL!BY7</f>
        <v>1077.5</v>
      </c>
      <c r="H5" s="58">
        <v>50.05</v>
      </c>
      <c r="I5" s="8">
        <f>HOTEL!Q7+HOTEL!U7</f>
        <v>338</v>
      </c>
      <c r="J5" s="58">
        <f t="shared" si="1"/>
        <v>70.23668639053254</v>
      </c>
      <c r="K5" s="7">
        <f>HOTEL!DS7</f>
        <v>85</v>
      </c>
      <c r="L5" s="60"/>
      <c r="N5" s="7">
        <f>HOTEL!S7</f>
        <v>8</v>
      </c>
      <c r="O5" s="7">
        <f t="shared" si="0"/>
        <v>20000</v>
      </c>
      <c r="P5" s="8">
        <f>(((HOTEL!Q7*34))+(N5*2500))/I5</f>
        <v>70.23668639053254</v>
      </c>
      <c r="Q5" s="7">
        <v>5.83</v>
      </c>
      <c r="R5" s="58">
        <v>50.05</v>
      </c>
      <c r="S5" s="7">
        <v>33.880000000000003</v>
      </c>
      <c r="T5" s="8">
        <f t="shared" si="2"/>
        <v>53928.875</v>
      </c>
      <c r="U5" s="8">
        <f t="shared" si="3"/>
        <v>23740</v>
      </c>
    </row>
    <row r="6" spans="1:21" x14ac:dyDescent="0.2">
      <c r="A6" s="2" t="s">
        <v>77</v>
      </c>
      <c r="B6" s="7">
        <f t="shared" si="4"/>
        <v>5</v>
      </c>
      <c r="C6" s="7">
        <v>1</v>
      </c>
      <c r="D6" s="7">
        <v>2020</v>
      </c>
      <c r="E6" s="8">
        <f>HOTEL!E8</f>
        <v>27431</v>
      </c>
      <c r="F6" s="58">
        <v>6.21</v>
      </c>
      <c r="G6" s="8">
        <f>HOTEL!BY8</f>
        <v>1077.5</v>
      </c>
      <c r="H6" s="58">
        <v>50.05</v>
      </c>
      <c r="I6" s="8">
        <f>HOTEL!Q8+HOTEL!U8</f>
        <v>289</v>
      </c>
      <c r="J6" s="58">
        <f t="shared" si="1"/>
        <v>66.844290657439444</v>
      </c>
      <c r="K6" s="7">
        <f>HOTEL!DS8</f>
        <v>77</v>
      </c>
      <c r="L6" s="60"/>
      <c r="N6" s="7">
        <f>HOTEL!S8</f>
        <v>6</v>
      </c>
      <c r="O6" s="7">
        <f t="shared" si="0"/>
        <v>15000</v>
      </c>
      <c r="P6" s="8">
        <f>(((HOTEL!Q8*34))+(N6*2500))/I6</f>
        <v>66.844290657439444</v>
      </c>
      <c r="Q6" s="7">
        <v>5.83</v>
      </c>
      <c r="R6" s="58">
        <v>50.05</v>
      </c>
      <c r="S6" s="7">
        <v>33.880000000000003</v>
      </c>
      <c r="T6" s="8">
        <f t="shared" si="2"/>
        <v>53928.875</v>
      </c>
      <c r="U6" s="8">
        <f t="shared" si="3"/>
        <v>19318</v>
      </c>
    </row>
    <row r="7" spans="1:21" x14ac:dyDescent="0.2">
      <c r="A7" s="2" t="s">
        <v>77</v>
      </c>
      <c r="B7" s="7">
        <f t="shared" si="4"/>
        <v>6</v>
      </c>
      <c r="C7" s="7">
        <v>1</v>
      </c>
      <c r="D7" s="7">
        <v>2020</v>
      </c>
      <c r="E7" s="8">
        <f>HOTEL!E9</f>
        <v>27753</v>
      </c>
      <c r="F7" s="58">
        <v>6.21</v>
      </c>
      <c r="G7" s="8">
        <f>HOTEL!BY9</f>
        <v>538.75</v>
      </c>
      <c r="H7" s="58">
        <v>50.05</v>
      </c>
      <c r="I7" s="8">
        <f>HOTEL!Q9+HOTEL!U9</f>
        <v>374</v>
      </c>
      <c r="J7" s="58">
        <f t="shared" si="1"/>
        <v>74.572192513368989</v>
      </c>
      <c r="K7" s="7">
        <f>HOTEL!DS9</f>
        <v>74</v>
      </c>
      <c r="L7" s="60"/>
      <c r="N7" s="7">
        <f>HOTEL!S9</f>
        <v>10</v>
      </c>
      <c r="O7" s="7">
        <f t="shared" si="0"/>
        <v>25000</v>
      </c>
      <c r="P7" s="8">
        <f>(((HOTEL!Q9*34))+(N7*2500))/I7</f>
        <v>74.572192513368989</v>
      </c>
      <c r="Q7" s="7">
        <v>5.83</v>
      </c>
      <c r="R7" s="58">
        <v>50.05</v>
      </c>
      <c r="S7" s="7">
        <v>33.880000000000003</v>
      </c>
      <c r="T7" s="8">
        <f t="shared" si="2"/>
        <v>26964.4375</v>
      </c>
      <c r="U7" s="8">
        <f t="shared" si="3"/>
        <v>27890.000000000004</v>
      </c>
    </row>
    <row r="8" spans="1:21" x14ac:dyDescent="0.2">
      <c r="A8" s="2" t="s">
        <v>77</v>
      </c>
      <c r="B8" s="7">
        <f t="shared" si="4"/>
        <v>7</v>
      </c>
      <c r="C8" s="7">
        <v>1</v>
      </c>
      <c r="D8" s="7">
        <v>2020</v>
      </c>
      <c r="E8" s="8">
        <f>HOTEL!E10</f>
        <v>26949</v>
      </c>
      <c r="F8" s="58">
        <v>6.21</v>
      </c>
      <c r="G8" s="8">
        <f>HOTEL!BY10</f>
        <v>1120</v>
      </c>
      <c r="H8" s="58">
        <v>50.05</v>
      </c>
      <c r="I8" s="8">
        <f>HOTEL!Q10+HOTEL!U10</f>
        <v>106</v>
      </c>
      <c r="J8" s="58">
        <f t="shared" si="1"/>
        <v>34</v>
      </c>
      <c r="K8" s="7">
        <f>HOTEL!DS10</f>
        <v>74</v>
      </c>
      <c r="L8" s="60"/>
      <c r="N8" s="7">
        <f>HOTEL!S10</f>
        <v>0</v>
      </c>
      <c r="O8" s="7">
        <f t="shared" si="0"/>
        <v>0</v>
      </c>
      <c r="P8" s="8">
        <f>(((HOTEL!Q10*34))+(N8*2500))/I8</f>
        <v>34</v>
      </c>
      <c r="Q8" s="7">
        <v>5.83</v>
      </c>
      <c r="R8" s="58">
        <v>50.05</v>
      </c>
      <c r="S8" s="7">
        <v>33.880000000000003</v>
      </c>
      <c r="T8" s="8">
        <f t="shared" si="2"/>
        <v>56056</v>
      </c>
      <c r="U8" s="8">
        <f t="shared" si="3"/>
        <v>3604</v>
      </c>
    </row>
    <row r="9" spans="1:21" x14ac:dyDescent="0.2">
      <c r="A9" s="2" t="s">
        <v>77</v>
      </c>
      <c r="B9" s="7">
        <f t="shared" si="4"/>
        <v>8</v>
      </c>
      <c r="C9" s="7">
        <v>1</v>
      </c>
      <c r="D9" s="7">
        <v>2020</v>
      </c>
      <c r="E9" s="8">
        <f>HOTEL!E11</f>
        <v>27034</v>
      </c>
      <c r="F9" s="58">
        <v>6.21</v>
      </c>
      <c r="G9" s="8">
        <f>HOTEL!BY11</f>
        <v>969.75</v>
      </c>
      <c r="H9" s="58">
        <v>50.05</v>
      </c>
      <c r="I9" s="8">
        <f>HOTEL!Q11+HOTEL!U11</f>
        <v>311</v>
      </c>
      <c r="J9" s="58">
        <f t="shared" si="1"/>
        <v>58.9967845659164</v>
      </c>
      <c r="K9" s="7">
        <f>HOTEL!DS11</f>
        <v>69</v>
      </c>
      <c r="L9" s="60"/>
      <c r="N9" s="7">
        <f>HOTEL!S11</f>
        <v>5</v>
      </c>
      <c r="O9" s="7">
        <f>N9*2500</f>
        <v>12500</v>
      </c>
      <c r="P9" s="8">
        <f>(((HOTEL!Q11*34))+(N9*2500))/I9</f>
        <v>58.9967845659164</v>
      </c>
      <c r="Q9" s="7">
        <v>5.83</v>
      </c>
      <c r="R9" s="58">
        <v>50.05</v>
      </c>
      <c r="S9" s="7">
        <v>33.880000000000003</v>
      </c>
      <c r="T9" s="8">
        <f>G9*H9</f>
        <v>48535.987499999996</v>
      </c>
      <c r="U9" s="8">
        <f t="shared" si="3"/>
        <v>18348</v>
      </c>
    </row>
    <row r="10" spans="1:21" x14ac:dyDescent="0.2">
      <c r="A10" s="2" t="s">
        <v>77</v>
      </c>
      <c r="B10" s="7">
        <f t="shared" si="4"/>
        <v>9</v>
      </c>
      <c r="C10" s="7">
        <v>1</v>
      </c>
      <c r="D10" s="7">
        <v>2020</v>
      </c>
      <c r="E10" s="8">
        <f>HOTEL!E12</f>
        <v>24570</v>
      </c>
      <c r="F10" s="58">
        <v>6.21</v>
      </c>
      <c r="G10" s="8">
        <f>HOTEL!BY12</f>
        <v>646.5</v>
      </c>
      <c r="H10" s="58">
        <v>50.05</v>
      </c>
      <c r="I10" s="8">
        <f>HOTEL!Q12+HOTEL!U12</f>
        <v>312</v>
      </c>
      <c r="J10" s="58">
        <f t="shared" si="1"/>
        <v>58.589743589743591</v>
      </c>
      <c r="K10" s="7">
        <f>HOTEL!DS12</f>
        <v>68</v>
      </c>
      <c r="L10" s="60"/>
      <c r="N10" s="7">
        <f>HOTEL!S12</f>
        <v>5</v>
      </c>
      <c r="O10" s="7">
        <f t="shared" si="0"/>
        <v>12500</v>
      </c>
      <c r="P10" s="8">
        <f>(((HOTEL!Q12*34))+(N10*2500))/I10</f>
        <v>58.589743589743591</v>
      </c>
      <c r="Q10" s="7">
        <v>5.83</v>
      </c>
      <c r="R10" s="58">
        <v>50.05</v>
      </c>
      <c r="S10" s="7">
        <v>33.93</v>
      </c>
      <c r="T10" s="8">
        <f t="shared" si="2"/>
        <v>32357.324999999997</v>
      </c>
      <c r="U10" s="8">
        <f t="shared" si="3"/>
        <v>18280</v>
      </c>
    </row>
    <row r="11" spans="1:21" x14ac:dyDescent="0.2">
      <c r="A11" s="2" t="s">
        <v>77</v>
      </c>
      <c r="B11" s="7">
        <f t="shared" si="4"/>
        <v>10</v>
      </c>
      <c r="C11" s="7">
        <v>1</v>
      </c>
      <c r="D11" s="7">
        <v>2020</v>
      </c>
      <c r="E11" s="8">
        <f>HOTEL!E13</f>
        <v>25702</v>
      </c>
      <c r="F11" s="58">
        <v>6.21</v>
      </c>
      <c r="G11" s="8">
        <f>HOTEL!BY13</f>
        <v>538.75</v>
      </c>
      <c r="H11" s="58">
        <v>62.95</v>
      </c>
      <c r="I11" s="8">
        <f>HOTEL!Q13+HOTEL!U13</f>
        <v>399</v>
      </c>
      <c r="J11" s="58">
        <f t="shared" si="1"/>
        <v>72.285714285714292</v>
      </c>
      <c r="K11" s="7">
        <f>HOTEL!DS13</f>
        <v>62</v>
      </c>
      <c r="L11" s="60"/>
      <c r="N11" s="7">
        <f>HOTEL!S13</f>
        <v>10</v>
      </c>
      <c r="O11" s="7">
        <f>N11*2500</f>
        <v>25000</v>
      </c>
      <c r="P11" s="8">
        <f>(((HOTEL!Q13*34))+(N11*2500))/I11</f>
        <v>72.285714285714292</v>
      </c>
      <c r="Q11" s="7">
        <v>5.83</v>
      </c>
      <c r="R11" s="58">
        <v>62.95</v>
      </c>
      <c r="S11" s="7">
        <v>33.93</v>
      </c>
      <c r="T11" s="8">
        <f>G11*H11</f>
        <v>33914.3125</v>
      </c>
      <c r="U11" s="8">
        <f t="shared" si="3"/>
        <v>28842.000000000004</v>
      </c>
    </row>
    <row r="12" spans="1:21" x14ac:dyDescent="0.2">
      <c r="A12" s="2" t="s">
        <v>77</v>
      </c>
      <c r="B12" s="7">
        <f t="shared" si="4"/>
        <v>11</v>
      </c>
      <c r="C12" s="7">
        <v>1</v>
      </c>
      <c r="D12" s="7">
        <v>2020</v>
      </c>
      <c r="E12" s="8">
        <f>HOTEL!E14</f>
        <v>25512</v>
      </c>
      <c r="F12" s="58">
        <v>6.21</v>
      </c>
      <c r="G12" s="8">
        <f>HOTEL!BY14</f>
        <v>538.75</v>
      </c>
      <c r="H12" s="58">
        <v>62.95</v>
      </c>
      <c r="I12" s="8">
        <f>HOTEL!Q14+HOTEL!U14</f>
        <v>251</v>
      </c>
      <c r="J12" s="58">
        <f t="shared" si="1"/>
        <v>65.784860557768923</v>
      </c>
      <c r="K12" s="7">
        <f>HOTEL!DS14</f>
        <v>63</v>
      </c>
      <c r="L12" s="60"/>
      <c r="N12" s="7">
        <f>HOTEL!S14</f>
        <v>5</v>
      </c>
      <c r="O12" s="7">
        <f>N12*2500</f>
        <v>12500</v>
      </c>
      <c r="P12" s="8">
        <f>(((HOTEL!Q14*34))+(N12*2500))/I12</f>
        <v>65.784860557768923</v>
      </c>
      <c r="Q12" s="7">
        <v>5.83</v>
      </c>
      <c r="R12" s="58">
        <v>62.95</v>
      </c>
      <c r="S12" s="7">
        <v>33.93</v>
      </c>
      <c r="T12" s="8">
        <f>G12*H12</f>
        <v>33914.3125</v>
      </c>
      <c r="U12" s="8">
        <f t="shared" si="3"/>
        <v>16512</v>
      </c>
    </row>
    <row r="13" spans="1:21" x14ac:dyDescent="0.2">
      <c r="A13" s="2" t="s">
        <v>77</v>
      </c>
      <c r="B13" s="7">
        <f t="shared" si="4"/>
        <v>12</v>
      </c>
      <c r="C13" s="7">
        <v>1</v>
      </c>
      <c r="D13" s="7">
        <v>2020</v>
      </c>
      <c r="E13" s="8" t="str">
        <f>HOTEL!E15</f>
        <v>0</v>
      </c>
      <c r="F13" s="58">
        <v>6.21</v>
      </c>
      <c r="G13" s="8" t="str">
        <f>HOTEL!BY15</f>
        <v>0</v>
      </c>
      <c r="H13" s="58">
        <v>62.95</v>
      </c>
      <c r="I13" s="8">
        <f>HOTEL!Q15+HOTEL!U15</f>
        <v>0</v>
      </c>
      <c r="J13" s="58" t="e">
        <f t="shared" si="1"/>
        <v>#DIV/0!</v>
      </c>
      <c r="K13" s="7">
        <f>HOTEL!DS15</f>
        <v>66</v>
      </c>
      <c r="L13" s="60"/>
      <c r="N13" s="7">
        <f>HOTEL!S15</f>
        <v>0</v>
      </c>
      <c r="O13" s="7">
        <f t="shared" si="0"/>
        <v>0</v>
      </c>
      <c r="P13" s="8" t="e">
        <f>(((HOTEL!Q15*34))+(N13*2500))/I13</f>
        <v>#DIV/0!</v>
      </c>
      <c r="Q13" s="7">
        <v>5.83</v>
      </c>
      <c r="R13" s="58">
        <v>62.95</v>
      </c>
      <c r="S13" s="7">
        <v>33.93</v>
      </c>
      <c r="T13" s="8">
        <f t="shared" si="2"/>
        <v>0</v>
      </c>
      <c r="U13" s="8" t="e">
        <f t="shared" si="3"/>
        <v>#DIV/0!</v>
      </c>
    </row>
    <row r="14" spans="1:21" x14ac:dyDescent="0.2">
      <c r="A14" s="2" t="s">
        <v>77</v>
      </c>
      <c r="B14" s="7">
        <f t="shared" si="4"/>
        <v>13</v>
      </c>
      <c r="C14" s="7">
        <v>1</v>
      </c>
      <c r="D14" s="7">
        <v>2020</v>
      </c>
      <c r="E14" s="8">
        <f>HOTEL!E16</f>
        <v>0</v>
      </c>
      <c r="F14" s="58">
        <v>6.21</v>
      </c>
      <c r="G14" s="8" t="str">
        <f>HOTEL!BY16</f>
        <v>0</v>
      </c>
      <c r="H14" s="58">
        <v>62.95</v>
      </c>
      <c r="I14" s="8">
        <f>HOTEL!Q16+HOTEL!U16</f>
        <v>0</v>
      </c>
      <c r="J14" s="58" t="e">
        <f t="shared" si="1"/>
        <v>#DIV/0!</v>
      </c>
      <c r="K14" s="7">
        <f>HOTEL!DS16</f>
        <v>0</v>
      </c>
      <c r="L14" s="60"/>
      <c r="N14" s="7">
        <f>HOTEL!S16</f>
        <v>0</v>
      </c>
      <c r="O14" s="7">
        <f t="shared" si="0"/>
        <v>0</v>
      </c>
      <c r="P14" s="8" t="e">
        <f>(((HOTEL!Q16*34))+(N14*2500))/I14</f>
        <v>#DIV/0!</v>
      </c>
      <c r="Q14" s="7">
        <v>5.83</v>
      </c>
      <c r="R14" s="58">
        <v>62.95</v>
      </c>
      <c r="S14" s="7">
        <v>33.93</v>
      </c>
      <c r="T14" s="8">
        <f t="shared" si="2"/>
        <v>0</v>
      </c>
      <c r="U14" s="8" t="e">
        <f t="shared" si="3"/>
        <v>#DIV/0!</v>
      </c>
    </row>
    <row r="15" spans="1:21" x14ac:dyDescent="0.2">
      <c r="A15" s="2" t="s">
        <v>77</v>
      </c>
      <c r="B15" s="7">
        <f t="shared" si="4"/>
        <v>14</v>
      </c>
      <c r="C15" s="7">
        <v>1</v>
      </c>
      <c r="D15" s="7">
        <v>2020</v>
      </c>
      <c r="E15" s="8">
        <f>HOTEL!E17</f>
        <v>0</v>
      </c>
      <c r="F15" s="58">
        <v>6.21</v>
      </c>
      <c r="G15" s="8" t="str">
        <f>HOTEL!BY17</f>
        <v>0</v>
      </c>
      <c r="H15" s="58">
        <v>62.95</v>
      </c>
      <c r="I15" s="8">
        <f>HOTEL!Q17+HOTEL!U17</f>
        <v>0</v>
      </c>
      <c r="J15" s="58" t="e">
        <f t="shared" si="1"/>
        <v>#DIV/0!</v>
      </c>
      <c r="K15" s="7">
        <f>HOTEL!DS17</f>
        <v>0</v>
      </c>
      <c r="L15" s="60"/>
      <c r="N15" s="7">
        <f>HOTEL!S17</f>
        <v>0</v>
      </c>
      <c r="O15" s="7">
        <f t="shared" si="0"/>
        <v>0</v>
      </c>
      <c r="P15" s="8" t="e">
        <f>(((HOTEL!Q17*34))+(N15*2500))/I15</f>
        <v>#DIV/0!</v>
      </c>
      <c r="Q15" s="7">
        <v>5.83</v>
      </c>
      <c r="R15" s="58">
        <v>62.95</v>
      </c>
      <c r="S15" s="7">
        <v>33.93</v>
      </c>
      <c r="T15" s="8">
        <f t="shared" si="2"/>
        <v>0</v>
      </c>
      <c r="U15" s="8" t="e">
        <f t="shared" si="3"/>
        <v>#DIV/0!</v>
      </c>
    </row>
    <row r="16" spans="1:21" x14ac:dyDescent="0.2">
      <c r="A16" s="2" t="s">
        <v>77</v>
      </c>
      <c r="B16" s="7">
        <f t="shared" si="4"/>
        <v>15</v>
      </c>
      <c r="C16" s="7">
        <v>1</v>
      </c>
      <c r="D16" s="7">
        <v>2020</v>
      </c>
      <c r="E16" s="8">
        <f>HOTEL!E18</f>
        <v>0</v>
      </c>
      <c r="F16" s="58">
        <v>6.21</v>
      </c>
      <c r="G16" s="8" t="str">
        <f>HOTEL!BY18</f>
        <v>0</v>
      </c>
      <c r="H16" s="58">
        <v>62.95</v>
      </c>
      <c r="I16" s="8">
        <f>HOTEL!Q18+HOTEL!U18</f>
        <v>0</v>
      </c>
      <c r="J16" s="58" t="e">
        <f t="shared" si="1"/>
        <v>#DIV/0!</v>
      </c>
      <c r="K16" s="7">
        <f>HOTEL!DS18</f>
        <v>0</v>
      </c>
      <c r="L16" s="60"/>
      <c r="N16" s="7">
        <f>HOTEL!S18</f>
        <v>0</v>
      </c>
      <c r="O16" s="7">
        <f t="shared" si="0"/>
        <v>0</v>
      </c>
      <c r="P16" s="8" t="e">
        <f>(((HOTEL!Q18*34))+(N16*2500))/I16</f>
        <v>#DIV/0!</v>
      </c>
      <c r="Q16" s="7">
        <v>5.83</v>
      </c>
      <c r="R16" s="58">
        <v>62.95</v>
      </c>
      <c r="S16" s="7">
        <v>33.93</v>
      </c>
      <c r="T16" s="8">
        <f t="shared" si="2"/>
        <v>0</v>
      </c>
      <c r="U16" s="8" t="e">
        <f t="shared" si="3"/>
        <v>#DIV/0!</v>
      </c>
    </row>
    <row r="17" spans="1:21" x14ac:dyDescent="0.2">
      <c r="A17" s="2" t="s">
        <v>77</v>
      </c>
      <c r="B17" s="7">
        <f t="shared" si="4"/>
        <v>16</v>
      </c>
      <c r="C17" s="7">
        <v>1</v>
      </c>
      <c r="D17" s="7">
        <v>2020</v>
      </c>
      <c r="E17" s="8">
        <f>HOTEL!E19</f>
        <v>0</v>
      </c>
      <c r="F17" s="58">
        <v>6.21</v>
      </c>
      <c r="G17" s="8" t="str">
        <f>HOTEL!BY19</f>
        <v>0</v>
      </c>
      <c r="H17" s="58">
        <v>62.95</v>
      </c>
      <c r="I17" s="8">
        <f>HOTEL!Q19+HOTEL!U19</f>
        <v>0</v>
      </c>
      <c r="J17" s="58" t="e">
        <f t="shared" si="1"/>
        <v>#DIV/0!</v>
      </c>
      <c r="K17" s="7">
        <f>HOTEL!DS19</f>
        <v>0</v>
      </c>
      <c r="L17" s="60"/>
      <c r="N17" s="7">
        <f>HOTEL!S19</f>
        <v>0</v>
      </c>
      <c r="O17" s="7">
        <f t="shared" si="0"/>
        <v>0</v>
      </c>
      <c r="P17" s="8" t="e">
        <f>(((HOTEL!Q19*34))+(N17*2500))/I17</f>
        <v>#DIV/0!</v>
      </c>
      <c r="Q17" s="7">
        <v>5.83</v>
      </c>
      <c r="R17" s="58">
        <v>62.95</v>
      </c>
      <c r="S17" s="7">
        <v>33.93</v>
      </c>
      <c r="T17" s="8">
        <f t="shared" si="2"/>
        <v>0</v>
      </c>
      <c r="U17" s="8" t="e">
        <f t="shared" si="3"/>
        <v>#DIV/0!</v>
      </c>
    </row>
    <row r="18" spans="1:21" x14ac:dyDescent="0.2">
      <c r="A18" s="2" t="s">
        <v>77</v>
      </c>
      <c r="B18" s="7">
        <f t="shared" si="4"/>
        <v>17</v>
      </c>
      <c r="C18" s="7">
        <v>1</v>
      </c>
      <c r="D18" s="7">
        <v>2020</v>
      </c>
      <c r="E18" s="8">
        <f>HOTEL!E20</f>
        <v>0</v>
      </c>
      <c r="F18" s="58">
        <v>6.21</v>
      </c>
      <c r="G18" s="8" t="str">
        <f>HOTEL!BY20</f>
        <v>0</v>
      </c>
      <c r="H18" s="58">
        <v>62.95</v>
      </c>
      <c r="I18" s="8">
        <f>HOTEL!Q20+HOTEL!U20</f>
        <v>0</v>
      </c>
      <c r="J18" s="58" t="e">
        <f t="shared" si="1"/>
        <v>#DIV/0!</v>
      </c>
      <c r="K18" s="7">
        <f>HOTEL!DS20</f>
        <v>0</v>
      </c>
      <c r="L18" s="60"/>
      <c r="N18" s="7">
        <f>HOTEL!S20</f>
        <v>0</v>
      </c>
      <c r="O18" s="7">
        <f t="shared" si="0"/>
        <v>0</v>
      </c>
      <c r="P18" s="8" t="e">
        <f>(((HOTEL!Q20*34))+(N18*2500))/I18</f>
        <v>#DIV/0!</v>
      </c>
      <c r="Q18" s="7">
        <v>5.83</v>
      </c>
      <c r="R18" s="58">
        <v>62.95</v>
      </c>
      <c r="S18" s="7">
        <v>33.93</v>
      </c>
      <c r="T18" s="8">
        <f t="shared" si="2"/>
        <v>0</v>
      </c>
      <c r="U18" s="8" t="e">
        <f t="shared" si="3"/>
        <v>#DIV/0!</v>
      </c>
    </row>
    <row r="19" spans="1:21" x14ac:dyDescent="0.2">
      <c r="A19" s="2" t="s">
        <v>77</v>
      </c>
      <c r="B19" s="7">
        <f t="shared" si="4"/>
        <v>18</v>
      </c>
      <c r="C19" s="7">
        <v>1</v>
      </c>
      <c r="D19" s="7">
        <v>2020</v>
      </c>
      <c r="E19" s="8">
        <f>HOTEL!E21</f>
        <v>0</v>
      </c>
      <c r="F19" s="58">
        <v>6.21</v>
      </c>
      <c r="G19" s="8" t="str">
        <f>HOTEL!BY21</f>
        <v>0</v>
      </c>
      <c r="H19" s="58">
        <v>62.95</v>
      </c>
      <c r="I19" s="8">
        <f>HOTEL!Q21+HOTEL!U21</f>
        <v>0</v>
      </c>
      <c r="J19" s="58" t="e">
        <f t="shared" si="1"/>
        <v>#DIV/0!</v>
      </c>
      <c r="K19" s="7">
        <f>HOTEL!DS21</f>
        <v>0</v>
      </c>
      <c r="L19" s="60"/>
      <c r="N19" s="7">
        <f>HOTEL!S21</f>
        <v>0</v>
      </c>
      <c r="O19" s="7">
        <f t="shared" si="0"/>
        <v>0</v>
      </c>
      <c r="P19" s="8" t="e">
        <f>(((HOTEL!Q21*34))+(N19*2500))/I19</f>
        <v>#DIV/0!</v>
      </c>
      <c r="Q19" s="7">
        <v>5.83</v>
      </c>
      <c r="R19" s="58">
        <v>62.95</v>
      </c>
      <c r="S19" s="7">
        <v>33.93</v>
      </c>
      <c r="T19" s="8">
        <f t="shared" si="2"/>
        <v>0</v>
      </c>
      <c r="U19" s="8" t="e">
        <f t="shared" si="3"/>
        <v>#DIV/0!</v>
      </c>
    </row>
    <row r="20" spans="1:21" x14ac:dyDescent="0.2">
      <c r="A20" s="2" t="s">
        <v>77</v>
      </c>
      <c r="B20" s="7">
        <f t="shared" si="4"/>
        <v>19</v>
      </c>
      <c r="C20" s="7">
        <v>1</v>
      </c>
      <c r="D20" s="7">
        <v>2020</v>
      </c>
      <c r="E20" s="8">
        <f>HOTEL!E22</f>
        <v>0</v>
      </c>
      <c r="F20" s="58">
        <v>6.21</v>
      </c>
      <c r="G20" s="8" t="str">
        <f>HOTEL!BY22</f>
        <v>0</v>
      </c>
      <c r="H20" s="58">
        <v>62.95</v>
      </c>
      <c r="I20" s="8">
        <f>HOTEL!Q22+HOTEL!U22</f>
        <v>0</v>
      </c>
      <c r="J20" s="58" t="e">
        <f t="shared" si="1"/>
        <v>#DIV/0!</v>
      </c>
      <c r="K20" s="7">
        <f>HOTEL!DS22</f>
        <v>0</v>
      </c>
      <c r="L20" s="60"/>
      <c r="N20" s="7">
        <f>HOTEL!S22</f>
        <v>0</v>
      </c>
      <c r="O20" s="7">
        <f>N20*2500</f>
        <v>0</v>
      </c>
      <c r="P20" s="8" t="e">
        <f>(((HOTEL!Q22*34))+(N20*2500))/I20</f>
        <v>#DIV/0!</v>
      </c>
      <c r="Q20" s="7">
        <v>5.83</v>
      </c>
      <c r="R20" s="58">
        <v>62.95</v>
      </c>
      <c r="S20" s="7">
        <v>33.93</v>
      </c>
      <c r="T20" s="8">
        <f>G20*H20</f>
        <v>0</v>
      </c>
      <c r="U20" s="8" t="e">
        <f t="shared" si="3"/>
        <v>#DIV/0!</v>
      </c>
    </row>
    <row r="21" spans="1:21" x14ac:dyDescent="0.2">
      <c r="A21" s="2" t="s">
        <v>77</v>
      </c>
      <c r="B21" s="7">
        <f t="shared" si="4"/>
        <v>20</v>
      </c>
      <c r="C21" s="7">
        <v>1</v>
      </c>
      <c r="D21" s="7">
        <v>2020</v>
      </c>
      <c r="E21" s="8">
        <f>HOTEL!E23</f>
        <v>0</v>
      </c>
      <c r="F21" s="58">
        <v>6.21</v>
      </c>
      <c r="G21" s="8" t="str">
        <f>HOTEL!BY23</f>
        <v>0</v>
      </c>
      <c r="H21" s="58">
        <v>62.95</v>
      </c>
      <c r="I21" s="8">
        <f>HOTEL!Q23+HOTEL!U23</f>
        <v>0</v>
      </c>
      <c r="J21" s="58" t="e">
        <f t="shared" si="1"/>
        <v>#DIV/0!</v>
      </c>
      <c r="K21" s="7">
        <f>HOTEL!DS23</f>
        <v>0</v>
      </c>
      <c r="L21" s="60"/>
      <c r="N21" s="7">
        <f>HOTEL!S23</f>
        <v>0</v>
      </c>
      <c r="O21" s="7">
        <f>N21*2500</f>
        <v>0</v>
      </c>
      <c r="P21" s="8" t="e">
        <f>(((HOTEL!Q23*34))+(N21*2500))/I21</f>
        <v>#DIV/0!</v>
      </c>
      <c r="Q21" s="7">
        <v>5.83</v>
      </c>
      <c r="R21" s="58">
        <v>62.95</v>
      </c>
      <c r="S21" s="7">
        <v>33.93</v>
      </c>
      <c r="T21" s="8">
        <f>G21*H21</f>
        <v>0</v>
      </c>
      <c r="U21" s="8" t="e">
        <f t="shared" si="3"/>
        <v>#DIV/0!</v>
      </c>
    </row>
    <row r="22" spans="1:21" x14ac:dyDescent="0.2">
      <c r="A22" s="2" t="s">
        <v>77</v>
      </c>
      <c r="B22" s="7">
        <f t="shared" si="4"/>
        <v>21</v>
      </c>
      <c r="C22" s="7">
        <v>1</v>
      </c>
      <c r="D22" s="7">
        <v>2020</v>
      </c>
      <c r="E22" s="8">
        <f>HOTEL!E24</f>
        <v>0</v>
      </c>
      <c r="F22" s="58">
        <v>6.21</v>
      </c>
      <c r="G22" s="8" t="str">
        <f>HOTEL!BY24</f>
        <v>0</v>
      </c>
      <c r="H22" s="58">
        <v>62.95</v>
      </c>
      <c r="I22" s="8">
        <f>HOTEL!Q24+HOTEL!U24</f>
        <v>0</v>
      </c>
      <c r="J22" s="58" t="e">
        <f t="shared" si="1"/>
        <v>#DIV/0!</v>
      </c>
      <c r="K22" s="7">
        <f>HOTEL!DS24</f>
        <v>0</v>
      </c>
      <c r="L22" s="60"/>
      <c r="N22" s="7">
        <f>HOTEL!S24</f>
        <v>0</v>
      </c>
      <c r="O22" s="7">
        <f t="shared" ref="O22:O31" si="5">N22*2500</f>
        <v>0</v>
      </c>
      <c r="P22" s="8" t="e">
        <f>(((HOTEL!Q24*34))+(N22*2500))/I22</f>
        <v>#DIV/0!</v>
      </c>
      <c r="Q22" s="7">
        <v>5.83</v>
      </c>
      <c r="R22" s="58">
        <v>62.95</v>
      </c>
      <c r="S22" s="7">
        <v>33.93</v>
      </c>
      <c r="T22" s="8">
        <f t="shared" ref="T22:T31" si="6">G22*H22</f>
        <v>0</v>
      </c>
      <c r="U22" s="8" t="e">
        <f t="shared" si="3"/>
        <v>#DIV/0!</v>
      </c>
    </row>
    <row r="23" spans="1:21" x14ac:dyDescent="0.2">
      <c r="A23" s="2" t="s">
        <v>77</v>
      </c>
      <c r="B23" s="7">
        <f t="shared" si="4"/>
        <v>22</v>
      </c>
      <c r="C23" s="7">
        <v>1</v>
      </c>
      <c r="D23" s="7">
        <v>2020</v>
      </c>
      <c r="E23" s="8">
        <f>HOTEL!E25</f>
        <v>0</v>
      </c>
      <c r="F23" s="58">
        <v>6.21</v>
      </c>
      <c r="G23" s="8" t="str">
        <f>HOTEL!BY25</f>
        <v>0</v>
      </c>
      <c r="H23" s="58">
        <v>62.95</v>
      </c>
      <c r="I23" s="8">
        <f>HOTEL!Q25+HOTEL!U25</f>
        <v>0</v>
      </c>
      <c r="J23" s="58" t="e">
        <f t="shared" si="1"/>
        <v>#DIV/0!</v>
      </c>
      <c r="K23" s="7">
        <f>HOTEL!DS25</f>
        <v>0</v>
      </c>
      <c r="L23" s="60"/>
      <c r="N23" s="7">
        <f>HOTEL!S25</f>
        <v>0</v>
      </c>
      <c r="O23" s="7">
        <f t="shared" si="5"/>
        <v>0</v>
      </c>
      <c r="P23" s="8" t="e">
        <f>(((HOTEL!Q25*34))+(N23*2500))/I23</f>
        <v>#DIV/0!</v>
      </c>
      <c r="Q23" s="7">
        <v>5.83</v>
      </c>
      <c r="R23" s="58">
        <v>62.95</v>
      </c>
      <c r="S23" s="7">
        <v>33.93</v>
      </c>
      <c r="T23" s="8">
        <f t="shared" si="6"/>
        <v>0</v>
      </c>
      <c r="U23" s="8" t="e">
        <f t="shared" si="3"/>
        <v>#DIV/0!</v>
      </c>
    </row>
    <row r="24" spans="1:21" x14ac:dyDescent="0.2">
      <c r="A24" s="2" t="s">
        <v>77</v>
      </c>
      <c r="B24" s="7">
        <f t="shared" si="4"/>
        <v>23</v>
      </c>
      <c r="C24" s="7">
        <v>1</v>
      </c>
      <c r="D24" s="7">
        <v>2020</v>
      </c>
      <c r="E24" s="8">
        <f>HOTEL!E26</f>
        <v>0</v>
      </c>
      <c r="F24" s="58">
        <v>6.21</v>
      </c>
      <c r="G24" s="8" t="str">
        <f>HOTEL!BY26</f>
        <v>0</v>
      </c>
      <c r="H24" s="58">
        <v>62.95</v>
      </c>
      <c r="I24" s="8">
        <f>HOTEL!Q26+HOTEL!U26</f>
        <v>0</v>
      </c>
      <c r="J24" s="58" t="e">
        <f t="shared" si="1"/>
        <v>#DIV/0!</v>
      </c>
      <c r="K24" s="7">
        <f>HOTEL!DS26</f>
        <v>0</v>
      </c>
      <c r="L24" s="60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8">
        <v>62.95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1</v>
      </c>
      <c r="D25" s="7">
        <v>2020</v>
      </c>
      <c r="E25" s="8">
        <f>HOTEL!E27</f>
        <v>0</v>
      </c>
      <c r="F25" s="58">
        <v>6.21</v>
      </c>
      <c r="G25" s="8" t="str">
        <f>HOTEL!BY27</f>
        <v>0</v>
      </c>
      <c r="H25" s="58">
        <v>62.95</v>
      </c>
      <c r="I25" s="8">
        <f>HOTEL!Q27+HOTEL!U27</f>
        <v>0</v>
      </c>
      <c r="J25" s="58" t="e">
        <f t="shared" si="1"/>
        <v>#DIV/0!</v>
      </c>
      <c r="K25" s="7">
        <f>HOTEL!DS27</f>
        <v>0</v>
      </c>
      <c r="L25" s="60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8">
        <v>62.95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8">
        <f>HOTEL!E28</f>
        <v>0</v>
      </c>
      <c r="F26" s="58">
        <v>6.21</v>
      </c>
      <c r="G26" s="8" t="str">
        <f>HOTEL!BY28</f>
        <v>0</v>
      </c>
      <c r="H26" s="58">
        <v>62.95</v>
      </c>
      <c r="I26" s="8">
        <f>HOTEL!Q28+HOTEL!U28</f>
        <v>0</v>
      </c>
      <c r="J26" s="58" t="e">
        <f t="shared" si="1"/>
        <v>#DIV/0!</v>
      </c>
      <c r="K26" s="7">
        <f>HOTEL!DS28</f>
        <v>0</v>
      </c>
      <c r="L26" s="60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8">
        <v>62.95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1</v>
      </c>
      <c r="D27" s="7">
        <v>2020</v>
      </c>
      <c r="E27" s="8">
        <f>HOTEL!E29</f>
        <v>0</v>
      </c>
      <c r="F27" s="58">
        <v>6.21</v>
      </c>
      <c r="G27" s="8" t="str">
        <f>HOTEL!BY29</f>
        <v>0</v>
      </c>
      <c r="H27" s="58">
        <v>62.95</v>
      </c>
      <c r="I27" s="8">
        <f>HOTEL!Q29+HOTEL!U29</f>
        <v>0</v>
      </c>
      <c r="J27" s="58" t="e">
        <f t="shared" si="1"/>
        <v>#DIV/0!</v>
      </c>
      <c r="K27" s="7">
        <f>HOTEL!DS29</f>
        <v>0</v>
      </c>
      <c r="L27" s="60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8">
        <v>62.95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1</v>
      </c>
      <c r="D28" s="7">
        <v>2020</v>
      </c>
      <c r="E28" s="8">
        <f>HOTEL!E30</f>
        <v>0</v>
      </c>
      <c r="F28" s="58">
        <v>6.21</v>
      </c>
      <c r="G28" s="8" t="str">
        <f>HOTEL!BY30</f>
        <v>0</v>
      </c>
      <c r="H28" s="58">
        <v>62.95</v>
      </c>
      <c r="I28" s="8">
        <f>HOTEL!Q30+HOTEL!U30</f>
        <v>0</v>
      </c>
      <c r="J28" s="58" t="e">
        <f t="shared" si="1"/>
        <v>#DIV/0!</v>
      </c>
      <c r="K28" s="7">
        <f>HOTEL!DS30</f>
        <v>0</v>
      </c>
      <c r="L28" s="60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8">
        <v>62.95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1</v>
      </c>
      <c r="D29" s="7">
        <v>2020</v>
      </c>
      <c r="E29" s="8">
        <f>HOTEL!E31</f>
        <v>0</v>
      </c>
      <c r="F29" s="58">
        <v>6.21</v>
      </c>
      <c r="G29" s="8" t="str">
        <f>HOTEL!BY31</f>
        <v>0</v>
      </c>
      <c r="H29" s="58">
        <v>62.95</v>
      </c>
      <c r="I29" s="8">
        <f>HOTEL!Q31+HOTEL!U31</f>
        <v>0</v>
      </c>
      <c r="J29" s="58" t="e">
        <f t="shared" si="1"/>
        <v>#DIV/0!</v>
      </c>
      <c r="K29" s="7">
        <f>HOTEL!DS31</f>
        <v>0</v>
      </c>
      <c r="L29" s="60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8">
        <v>62.95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1</v>
      </c>
      <c r="D30" s="7">
        <v>2020</v>
      </c>
      <c r="E30" s="8">
        <f>HOTEL!E32</f>
        <v>0</v>
      </c>
      <c r="F30" s="58">
        <v>6.21</v>
      </c>
      <c r="G30" s="8" t="str">
        <f>HOTEL!BY32</f>
        <v>0</v>
      </c>
      <c r="H30" s="58">
        <v>62.95</v>
      </c>
      <c r="I30" s="8">
        <f>HOTEL!Q32+HOTEL!U32</f>
        <v>0</v>
      </c>
      <c r="J30" s="58" t="e">
        <f t="shared" si="1"/>
        <v>#DIV/0!</v>
      </c>
      <c r="K30" s="7">
        <f>HOTEL!DS32</f>
        <v>0</v>
      </c>
      <c r="L30" s="60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8">
        <v>62.95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>B30+1</f>
        <v>30</v>
      </c>
      <c r="C31" s="7">
        <v>1</v>
      </c>
      <c r="D31" s="7">
        <v>2020</v>
      </c>
      <c r="E31" s="8">
        <f>HOTEL!E33</f>
        <v>0</v>
      </c>
      <c r="F31" s="58">
        <v>6.21</v>
      </c>
      <c r="G31" s="8" t="str">
        <f>HOTEL!BY33</f>
        <v>0</v>
      </c>
      <c r="H31" s="58">
        <v>62.95</v>
      </c>
      <c r="I31" s="8">
        <f>HOTEL!Q33+HOTEL!U33</f>
        <v>0</v>
      </c>
      <c r="J31" s="58" t="e">
        <f t="shared" si="1"/>
        <v>#DIV/0!</v>
      </c>
      <c r="K31" s="7">
        <f>HOTEL!DS33</f>
        <v>0</v>
      </c>
      <c r="L31" s="60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8">
        <v>62.95</v>
      </c>
      <c r="T31" s="8">
        <f t="shared" si="6"/>
        <v>0</v>
      </c>
      <c r="U31" s="8" t="e">
        <f t="shared" si="3"/>
        <v>#DIV/0!</v>
      </c>
    </row>
    <row r="32" spans="1:21" x14ac:dyDescent="0.2">
      <c r="A32" s="2" t="s">
        <v>77</v>
      </c>
      <c r="B32" s="7">
        <f>B31+1</f>
        <v>31</v>
      </c>
      <c r="C32" s="7">
        <v>1</v>
      </c>
      <c r="D32" s="7">
        <v>2020</v>
      </c>
      <c r="E32" s="8">
        <f>HOTEL!E34</f>
        <v>0</v>
      </c>
      <c r="F32" s="58">
        <v>7.21</v>
      </c>
      <c r="G32" s="8" t="str">
        <f>HOTEL!BY34</f>
        <v>0</v>
      </c>
      <c r="H32" s="58">
        <v>62.95</v>
      </c>
      <c r="I32" s="8">
        <f>HOTEL!Q34+HOTEL!U34</f>
        <v>0</v>
      </c>
      <c r="J32" s="58" t="e">
        <f t="shared" ref="J32" si="7">P32</f>
        <v>#DIV/0!</v>
      </c>
      <c r="K32" s="7">
        <f>HOTEL!DS34</f>
        <v>0</v>
      </c>
      <c r="L32" s="60"/>
      <c r="N32" s="7">
        <f>HOTEL!S34</f>
        <v>8</v>
      </c>
      <c r="O32" s="7">
        <f t="shared" ref="O32" si="8">N32*2500</f>
        <v>20000</v>
      </c>
      <c r="P32" s="8" t="e">
        <f>(((HOTEL!Q34*34))+(N32*2500))/I32</f>
        <v>#DIV/0!</v>
      </c>
      <c r="Q32" s="7">
        <v>5.83</v>
      </c>
      <c r="R32" s="58">
        <v>62.95</v>
      </c>
      <c r="T32" s="8">
        <f t="shared" ref="T32" si="9">G32*H32</f>
        <v>0</v>
      </c>
      <c r="U32" s="8" t="e">
        <f t="shared" ref="U32" si="10">I32*P32</f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workbookViewId="0">
      <selection activeCell="D2" sqref="D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</v>
      </c>
      <c r="D2" s="7">
        <v>2020</v>
      </c>
      <c r="E2" s="7">
        <f>TOTAL!E2</f>
        <v>27980</v>
      </c>
      <c r="F2" s="7">
        <f>HOTEL!M4</f>
        <v>704</v>
      </c>
      <c r="G2" s="7">
        <f>HOTEL!O4</f>
        <v>612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270</v>
      </c>
      <c r="M2" s="7">
        <f>HOTEL!AA4</f>
        <v>11</v>
      </c>
      <c r="N2" s="7">
        <f>HOTEL!AE4</f>
        <v>130</v>
      </c>
      <c r="O2" s="7">
        <f>HOTEL!AG4</f>
        <v>14</v>
      </c>
      <c r="P2" s="7">
        <f>HOTEL!AI4</f>
        <v>2</v>
      </c>
      <c r="Q2" s="7">
        <f>HOTEL!AK4</f>
        <v>2</v>
      </c>
      <c r="R2" s="7">
        <f>HOTEL!AM4</f>
        <v>7</v>
      </c>
      <c r="S2" s="7">
        <f>HOTEL!AO4</f>
        <v>8</v>
      </c>
      <c r="T2" s="7">
        <f>HOTEL!AQ4</f>
        <v>2</v>
      </c>
      <c r="U2" s="7">
        <f>HOTEL!AS4</f>
        <v>4</v>
      </c>
      <c r="V2" s="7">
        <f>HOTEL!AU4</f>
        <v>4</v>
      </c>
      <c r="W2" s="7">
        <f>HOTEL!BG4</f>
        <v>110</v>
      </c>
      <c r="X2" s="7">
        <f>HOTEL!BJ4</f>
        <v>30</v>
      </c>
      <c r="Y2" s="7">
        <f>HOTEL!CC4</f>
        <v>343.75</v>
      </c>
      <c r="Z2" s="7">
        <f>HOTEL!CF3</f>
        <v>0</v>
      </c>
      <c r="AA2" s="7">
        <f>HOTEL!CI4</f>
        <v>106.25</v>
      </c>
      <c r="AB2" s="8">
        <f>HOTEL!CL4</f>
        <v>31.25</v>
      </c>
      <c r="AC2" s="7">
        <f>HOTEL!CO4</f>
        <v>31.25</v>
      </c>
      <c r="AD2" s="8">
        <f>HOTEL!CR4</f>
        <v>68.75</v>
      </c>
      <c r="AE2" s="7">
        <f>HOTEL!CU4</f>
        <v>31.25</v>
      </c>
      <c r="AF2" s="7">
        <f>HOTEL!CX4</f>
        <v>6.25</v>
      </c>
      <c r="AG2" s="7">
        <f>HOTEL!DA4</f>
        <v>37.5</v>
      </c>
      <c r="AH2" s="7">
        <f>HOTEL!DD4</f>
        <v>25</v>
      </c>
      <c r="AI2" s="7">
        <f>HOTEL!DG4</f>
        <v>43.75</v>
      </c>
      <c r="AJ2" s="7">
        <f>HOTEL!DJ4</f>
        <v>43.75</v>
      </c>
      <c r="AK2" s="7">
        <f>TOTAL!K2</f>
        <v>87</v>
      </c>
    </row>
    <row r="3" spans="1:38" x14ac:dyDescent="0.2">
      <c r="A3" s="2" t="s">
        <v>77</v>
      </c>
      <c r="B3" s="7">
        <f>B2+1</f>
        <v>2</v>
      </c>
      <c r="C3" s="7">
        <v>1</v>
      </c>
      <c r="D3" s="7">
        <v>2020</v>
      </c>
      <c r="E3" s="7">
        <f>TOTAL!E3</f>
        <v>28575</v>
      </c>
      <c r="F3" s="7">
        <f>HOTEL!M5</f>
        <v>816</v>
      </c>
      <c r="G3" s="7">
        <f>HOTEL!O5</f>
        <v>617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290</v>
      </c>
      <c r="M3" s="7">
        <f>HOTEL!AA5</f>
        <v>0</v>
      </c>
      <c r="N3" s="7">
        <f>HOTEL!AE5</f>
        <v>140</v>
      </c>
      <c r="O3" s="7">
        <f>HOTEL!AG5</f>
        <v>15</v>
      </c>
      <c r="P3" s="7">
        <f>HOTEL!AI5</f>
        <v>2</v>
      </c>
      <c r="Q3" s="7">
        <f>HOTEL!AK5</f>
        <v>3</v>
      </c>
      <c r="R3" s="7">
        <f>HOTEL!AM5</f>
        <v>4</v>
      </c>
      <c r="S3" s="7">
        <f>HOTEL!AO5</f>
        <v>5</v>
      </c>
      <c r="T3" s="7">
        <f>HOTEL!AQ5</f>
        <v>2</v>
      </c>
      <c r="U3" s="7">
        <f>HOTEL!AS5</f>
        <v>3</v>
      </c>
      <c r="V3" s="7">
        <f>HOTEL!AU5</f>
        <v>3</v>
      </c>
      <c r="W3" s="7">
        <f>HOTEL!BG5</f>
        <v>120</v>
      </c>
      <c r="X3" s="7">
        <f>HOTEL!BJ5</f>
        <v>30</v>
      </c>
      <c r="Y3" s="7">
        <f>HOTEL!CC5</f>
        <v>356.25</v>
      </c>
      <c r="Z3" s="7">
        <f>HOTEL!CF4</f>
        <v>106.25</v>
      </c>
      <c r="AA3" s="7">
        <f>HOTEL!CI5</f>
        <v>62.5</v>
      </c>
      <c r="AB3" s="8">
        <f>HOTEL!CL5</f>
        <v>25</v>
      </c>
      <c r="AC3" s="7">
        <f>HOTEL!CO5</f>
        <v>31.25</v>
      </c>
      <c r="AD3" s="8">
        <f>HOTEL!CR5</f>
        <v>50</v>
      </c>
      <c r="AE3" s="7">
        <f>HOTEL!CU5</f>
        <v>31.25</v>
      </c>
      <c r="AF3" s="7">
        <f>HOTEL!CX5</f>
        <v>6.25</v>
      </c>
      <c r="AG3" s="7">
        <f>HOTEL!DA5</f>
        <v>43.75</v>
      </c>
      <c r="AH3" s="7">
        <f>HOTEL!DD5</f>
        <v>31.25</v>
      </c>
      <c r="AI3" s="7">
        <f>HOTEL!DG5</f>
        <v>43.75</v>
      </c>
      <c r="AJ3" s="7">
        <f>HOTEL!DJ5</f>
        <v>50</v>
      </c>
      <c r="AK3" s="7">
        <f>TOTAL!K3</f>
        <v>74</v>
      </c>
    </row>
    <row r="4" spans="1:38" x14ac:dyDescent="0.2">
      <c r="A4" s="2" t="s">
        <v>77</v>
      </c>
      <c r="B4" s="7">
        <f t="shared" ref="B4:B32" si="1">B3+1</f>
        <v>3</v>
      </c>
      <c r="C4" s="7">
        <v>1</v>
      </c>
      <c r="D4" s="7">
        <v>2020</v>
      </c>
      <c r="E4" s="7">
        <f>TOTAL!E4</f>
        <v>29882</v>
      </c>
      <c r="F4" s="7">
        <f>HOTEL!M6</f>
        <v>2059</v>
      </c>
      <c r="G4" s="7">
        <f>HOTEL!O6</f>
        <v>661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270</v>
      </c>
      <c r="M4" s="7">
        <f>HOTEL!AA6</f>
        <v>43</v>
      </c>
      <c r="N4" s="7">
        <f>HOTEL!AE6</f>
        <v>130</v>
      </c>
      <c r="O4" s="7">
        <f>HOTEL!AG6</f>
        <v>19</v>
      </c>
      <c r="P4" s="7">
        <f>HOTEL!AI6</f>
        <v>3</v>
      </c>
      <c r="Q4" s="7">
        <f>HOTEL!AK6</f>
        <v>3</v>
      </c>
      <c r="R4" s="7">
        <f>HOTEL!AM6</f>
        <v>1</v>
      </c>
      <c r="S4" s="7">
        <f>HOTEL!AO6</f>
        <v>5</v>
      </c>
      <c r="T4" s="7">
        <f>HOTEL!AQ6</f>
        <v>2</v>
      </c>
      <c r="U4" s="7">
        <f>HOTEL!AS6</f>
        <v>3</v>
      </c>
      <c r="V4" s="7">
        <f>HOTEL!AU6</f>
        <v>2</v>
      </c>
      <c r="W4" s="7">
        <f>HOTEL!BG6</f>
        <v>110</v>
      </c>
      <c r="X4" s="7">
        <f>HOTEL!BJ6</f>
        <v>30</v>
      </c>
      <c r="Y4" s="7">
        <f>HOTEL!CC6</f>
        <v>343.75</v>
      </c>
      <c r="Z4" s="7">
        <f>HOTEL!CF5</f>
        <v>50</v>
      </c>
      <c r="AA4" s="7">
        <f>HOTEL!CI6</f>
        <v>93.75</v>
      </c>
      <c r="AB4" s="8">
        <f>HOTEL!CL6</f>
        <v>25</v>
      </c>
      <c r="AC4" s="7">
        <f>HOTEL!CO6</f>
        <v>37.5</v>
      </c>
      <c r="AD4" s="8">
        <f>HOTEL!CR6</f>
        <v>56.25</v>
      </c>
      <c r="AE4" s="7">
        <f>HOTEL!CU6</f>
        <v>31.25</v>
      </c>
      <c r="AF4" s="7">
        <f>HOTEL!CX6</f>
        <v>4.9999999999997158</v>
      </c>
      <c r="AG4" s="7">
        <f>HOTEL!DA6</f>
        <v>43.75</v>
      </c>
      <c r="AH4" s="7">
        <f>HOTEL!DD6</f>
        <v>31.25</v>
      </c>
      <c r="AI4" s="7">
        <f>HOTEL!DG6</f>
        <v>50</v>
      </c>
      <c r="AJ4" s="7">
        <f>HOTEL!DJ6</f>
        <v>43.75</v>
      </c>
      <c r="AK4" s="7">
        <f>TOTAL!K4</f>
        <v>79</v>
      </c>
    </row>
    <row r="5" spans="1:38" x14ac:dyDescent="0.2">
      <c r="A5" s="2" t="s">
        <v>77</v>
      </c>
      <c r="B5" s="7">
        <f t="shared" si="1"/>
        <v>4</v>
      </c>
      <c r="C5" s="7">
        <v>1</v>
      </c>
      <c r="D5" s="7">
        <v>2020</v>
      </c>
      <c r="E5" s="7">
        <f>TOTAL!E5</f>
        <v>28520</v>
      </c>
      <c r="F5" s="7">
        <f>HOTEL!M7</f>
        <v>1922</v>
      </c>
      <c r="G5" s="7">
        <f>HOTEL!O7</f>
        <v>606</v>
      </c>
      <c r="H5" s="8">
        <f>HOTEL!DL7</f>
        <v>0</v>
      </c>
      <c r="I5" s="8">
        <f>HOTEL!DN7</f>
        <v>0</v>
      </c>
      <c r="J5" s="8">
        <f>HOTEL!DP7</f>
        <v>6</v>
      </c>
      <c r="K5" s="8">
        <f>HOTEL!DR7</f>
        <v>0</v>
      </c>
      <c r="L5" s="7">
        <f t="shared" si="0"/>
        <v>300</v>
      </c>
      <c r="M5" s="7">
        <f>HOTEL!AA7</f>
        <v>0</v>
      </c>
      <c r="N5" s="7">
        <f>HOTEL!AE7</f>
        <v>160</v>
      </c>
      <c r="O5" s="7">
        <f>HOTEL!AG7</f>
        <v>16</v>
      </c>
      <c r="P5" s="7">
        <f>HOTEL!AI7</f>
        <v>2</v>
      </c>
      <c r="Q5" s="7">
        <f>HOTEL!AK7</f>
        <v>4</v>
      </c>
      <c r="R5" s="7">
        <f>HOTEL!AM7</f>
        <v>3</v>
      </c>
      <c r="S5" s="7">
        <f>HOTEL!AO7</f>
        <v>7</v>
      </c>
      <c r="T5" s="7">
        <f>HOTEL!AQ7</f>
        <v>3</v>
      </c>
      <c r="U5" s="7">
        <f>HOTEL!AS7</f>
        <v>2</v>
      </c>
      <c r="V5" s="7">
        <f>HOTEL!AU7</f>
        <v>1</v>
      </c>
      <c r="W5" s="7">
        <f>HOTEL!BG7</f>
        <v>120</v>
      </c>
      <c r="X5" s="7">
        <f>HOTEL!BJ7</f>
        <v>20</v>
      </c>
      <c r="Y5" s="7">
        <f>HOTEL!CC7</f>
        <v>256.25</v>
      </c>
      <c r="Z5" s="7">
        <f>HOTEL!CF6</f>
        <v>0</v>
      </c>
      <c r="AA5" s="7">
        <f>HOTEL!CI7</f>
        <v>75</v>
      </c>
      <c r="AB5" s="8">
        <f>HOTEL!CL7</f>
        <v>25</v>
      </c>
      <c r="AC5" s="7">
        <f>HOTEL!CO7</f>
        <v>37.5</v>
      </c>
      <c r="AD5" s="8">
        <f>HOTEL!CR7</f>
        <v>56.25</v>
      </c>
      <c r="AE5" s="7">
        <f>HOTEL!CU7</f>
        <v>37.5</v>
      </c>
      <c r="AF5" s="7">
        <f>HOTEL!CX7</f>
        <v>6.25</v>
      </c>
      <c r="AG5" s="7">
        <f>HOTEL!DA7</f>
        <v>43.75</v>
      </c>
      <c r="AH5" s="7">
        <f>HOTEL!DD7</f>
        <v>25</v>
      </c>
      <c r="AI5" s="7">
        <f>HOTEL!DG7</f>
        <v>43.75</v>
      </c>
      <c r="AJ5" s="7">
        <f>HOTEL!DJ7</f>
        <v>37.5</v>
      </c>
      <c r="AK5" s="7">
        <f>TOTAL!K5</f>
        <v>85</v>
      </c>
    </row>
    <row r="6" spans="1:38" x14ac:dyDescent="0.2">
      <c r="A6" s="2" t="s">
        <v>77</v>
      </c>
      <c r="B6" s="7">
        <f t="shared" si="1"/>
        <v>5</v>
      </c>
      <c r="C6" s="7">
        <v>1</v>
      </c>
      <c r="D6" s="7">
        <v>2020</v>
      </c>
      <c r="E6" s="7">
        <f>TOTAL!E6</f>
        <v>27431</v>
      </c>
      <c r="F6" s="7">
        <f>HOTEL!M8</f>
        <v>2009</v>
      </c>
      <c r="G6" s="7">
        <f>HOTEL!O8</f>
        <v>583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171.89999999999782</v>
      </c>
      <c r="L6" s="7">
        <f t="shared" si="0"/>
        <v>350</v>
      </c>
      <c r="M6" s="7">
        <f>HOTEL!AA8</f>
        <v>0</v>
      </c>
      <c r="N6" s="7">
        <f>HOTEL!AE8</f>
        <v>180</v>
      </c>
      <c r="O6" s="7">
        <f>HOTEL!AG8</f>
        <v>19</v>
      </c>
      <c r="P6" s="7">
        <f>HOTEL!AI8</f>
        <v>2</v>
      </c>
      <c r="Q6" s="7">
        <f>HOTEL!AK8</f>
        <v>5</v>
      </c>
      <c r="R6" s="7">
        <f>HOTEL!AM8</f>
        <v>5</v>
      </c>
      <c r="S6" s="7">
        <f>HOTEL!AO8</f>
        <v>6</v>
      </c>
      <c r="T6" s="7">
        <f>HOTEL!AQ8</f>
        <v>4</v>
      </c>
      <c r="U6" s="7">
        <f>HOTEL!AS8</f>
        <v>3</v>
      </c>
      <c r="V6" s="7">
        <f>HOTEL!AU8</f>
        <v>1</v>
      </c>
      <c r="W6" s="7">
        <f>HOTEL!BG8</f>
        <v>120</v>
      </c>
      <c r="X6" s="7">
        <f>HOTEL!BJ8</f>
        <v>50</v>
      </c>
      <c r="Y6" s="7">
        <f>HOTEL!CC8</f>
        <v>356.25</v>
      </c>
      <c r="Z6" s="7">
        <f>HOTEL!CF7</f>
        <v>50</v>
      </c>
      <c r="AA6" s="7">
        <f>HOTEL!CI8</f>
        <v>62.5</v>
      </c>
      <c r="AB6" s="8">
        <f>HOTEL!CL8</f>
        <v>25</v>
      </c>
      <c r="AC6" s="7">
        <f>HOTEL!CO8</f>
        <v>37.5</v>
      </c>
      <c r="AD6" s="8">
        <f>HOTEL!CR8</f>
        <v>50</v>
      </c>
      <c r="AE6" s="7">
        <f>HOTEL!CU8</f>
        <v>31.25</v>
      </c>
      <c r="AF6" s="7">
        <f>HOTEL!CX8</f>
        <v>5.6250000000005684</v>
      </c>
      <c r="AG6" s="7">
        <f>HOTEL!DA8</f>
        <v>43.75</v>
      </c>
      <c r="AH6" s="7">
        <f>HOTEL!DD8</f>
        <v>37.5</v>
      </c>
      <c r="AI6" s="7">
        <f>HOTEL!DG8</f>
        <v>43.75</v>
      </c>
      <c r="AJ6" s="7">
        <f>HOTEL!DJ8</f>
        <v>43.75</v>
      </c>
      <c r="AK6" s="7">
        <f>TOTAL!K6</f>
        <v>77</v>
      </c>
    </row>
    <row r="7" spans="1:38" x14ac:dyDescent="0.2">
      <c r="A7" s="2" t="s">
        <v>77</v>
      </c>
      <c r="B7" s="7">
        <f t="shared" si="1"/>
        <v>6</v>
      </c>
      <c r="C7" s="7">
        <v>1</v>
      </c>
      <c r="D7" s="7">
        <v>2020</v>
      </c>
      <c r="E7" s="7">
        <f>TOTAL!E7</f>
        <v>27753</v>
      </c>
      <c r="F7" s="7">
        <f>HOTEL!M9</f>
        <v>587</v>
      </c>
      <c r="G7" s="7">
        <f>HOTEL!O9</f>
        <v>758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310</v>
      </c>
      <c r="M7" s="7">
        <f>HOTEL!AA9</f>
        <v>0</v>
      </c>
      <c r="N7" s="7">
        <f>HOTEL!AE9</f>
        <v>160</v>
      </c>
      <c r="O7" s="7">
        <f>HOTEL!AG9</f>
        <v>15</v>
      </c>
      <c r="P7" s="7">
        <f>HOTEL!AI9</f>
        <v>2</v>
      </c>
      <c r="Q7" s="7">
        <f>HOTEL!AK9</f>
        <v>3</v>
      </c>
      <c r="R7" s="7">
        <f>HOTEL!AM9</f>
        <v>5</v>
      </c>
      <c r="S7" s="7">
        <f>HOTEL!AO9</f>
        <v>8</v>
      </c>
      <c r="T7" s="7">
        <f>HOTEL!AQ9</f>
        <v>3</v>
      </c>
      <c r="U7" s="7">
        <f>HOTEL!AS9</f>
        <v>2</v>
      </c>
      <c r="V7" s="7">
        <f>HOTEL!AU9</f>
        <v>0</v>
      </c>
      <c r="W7" s="7">
        <f>HOTEL!BG9</f>
        <v>110</v>
      </c>
      <c r="X7" s="7">
        <f>HOTEL!BJ9</f>
        <v>40</v>
      </c>
      <c r="Y7" s="7">
        <f>HOTEL!CC9</f>
        <v>325</v>
      </c>
      <c r="Z7" s="7">
        <f>HOTEL!CF8</f>
        <v>50</v>
      </c>
      <c r="AA7" s="7">
        <f>HOTEL!CI9</f>
        <v>125</v>
      </c>
      <c r="AB7" s="8">
        <f>HOTEL!CL9</f>
        <v>25</v>
      </c>
      <c r="AC7" s="7">
        <f>HOTEL!CO9</f>
        <v>43.75</v>
      </c>
      <c r="AD7" s="8">
        <f>HOTEL!CR9</f>
        <v>56.25</v>
      </c>
      <c r="AE7" s="7">
        <f>HOTEL!CU9</f>
        <v>37.5</v>
      </c>
      <c r="AF7" s="7">
        <f>HOTEL!CX9</f>
        <v>6.25</v>
      </c>
      <c r="AG7" s="7">
        <f>HOTEL!DA9</f>
        <v>43.75</v>
      </c>
      <c r="AH7" s="7">
        <f>HOTEL!DD9</f>
        <v>31.25</v>
      </c>
      <c r="AI7" s="7">
        <f>HOTEL!DG9</f>
        <v>43.75</v>
      </c>
      <c r="AJ7" s="7">
        <f>HOTEL!DJ9</f>
        <v>37.5</v>
      </c>
      <c r="AK7" s="7">
        <f>TOTAL!K7</f>
        <v>74</v>
      </c>
    </row>
    <row r="8" spans="1:38" x14ac:dyDescent="0.2">
      <c r="A8" s="2" t="s">
        <v>77</v>
      </c>
      <c r="B8" s="7">
        <f t="shared" si="1"/>
        <v>7</v>
      </c>
      <c r="C8" s="7">
        <v>1</v>
      </c>
      <c r="D8" s="7">
        <v>2020</v>
      </c>
      <c r="E8" s="7">
        <f>TOTAL!E8</f>
        <v>26949</v>
      </c>
      <c r="F8" s="7">
        <f>HOTEL!M10</f>
        <v>611</v>
      </c>
      <c r="G8" s="7">
        <f>HOTEL!O10</f>
        <v>631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290</v>
      </c>
      <c r="M8" s="7">
        <f>HOTEL!AA10</f>
        <v>0</v>
      </c>
      <c r="N8" s="7">
        <f>HOTEL!AE10</f>
        <v>140</v>
      </c>
      <c r="O8" s="7">
        <f>HOTEL!AG10</f>
        <v>15</v>
      </c>
      <c r="P8" s="7">
        <f>HOTEL!AI10</f>
        <v>3</v>
      </c>
      <c r="Q8" s="7">
        <f>HOTEL!AK10</f>
        <v>4</v>
      </c>
      <c r="R8" s="7">
        <f>HOTEL!AM10</f>
        <v>5</v>
      </c>
      <c r="S8" s="7">
        <f>HOTEL!AO10</f>
        <v>6</v>
      </c>
      <c r="T8" s="7">
        <f>HOTEL!AQ10</f>
        <v>2</v>
      </c>
      <c r="U8" s="7">
        <f>HOTEL!AS10</f>
        <v>2</v>
      </c>
      <c r="V8" s="7">
        <f>HOTEL!AU10</f>
        <v>1</v>
      </c>
      <c r="W8" s="7">
        <f>HOTEL!BG10</f>
        <v>120</v>
      </c>
      <c r="X8" s="7">
        <f>HOTEL!BJ10</f>
        <v>30</v>
      </c>
      <c r="Y8" s="7">
        <f>HOTEL!CC10</f>
        <v>325</v>
      </c>
      <c r="Z8" s="7">
        <f>HOTEL!CF9</f>
        <v>50</v>
      </c>
      <c r="AA8" s="7">
        <f>HOTEL!CI10</f>
        <v>112.5</v>
      </c>
      <c r="AB8" s="8">
        <f>HOTEL!CL10</f>
        <v>31.25</v>
      </c>
      <c r="AC8" s="7">
        <f>HOTEL!CO10</f>
        <v>31.25</v>
      </c>
      <c r="AD8" s="8">
        <f>HOTEL!CR10</f>
        <v>56.25</v>
      </c>
      <c r="AE8" s="7">
        <f>HOTEL!CU10</f>
        <v>31.25</v>
      </c>
      <c r="AF8" s="7">
        <f>HOTEL!CX10</f>
        <v>7.4999999999988631</v>
      </c>
      <c r="AG8" s="7">
        <f>HOTEL!DA10</f>
        <v>43.75</v>
      </c>
      <c r="AH8" s="7">
        <f>HOTEL!DD10</f>
        <v>31.25</v>
      </c>
      <c r="AI8" s="7">
        <f>HOTEL!DG10</f>
        <v>37.5</v>
      </c>
      <c r="AJ8" s="7">
        <f>HOTEL!DJ10</f>
        <v>37.5</v>
      </c>
      <c r="AK8" s="7">
        <f>TOTAL!K8</f>
        <v>74</v>
      </c>
    </row>
    <row r="9" spans="1:38" x14ac:dyDescent="0.2">
      <c r="A9" s="2" t="s">
        <v>77</v>
      </c>
      <c r="B9" s="7">
        <f t="shared" si="1"/>
        <v>8</v>
      </c>
      <c r="C9" s="7">
        <v>1</v>
      </c>
      <c r="D9" s="7">
        <v>2020</v>
      </c>
      <c r="E9" s="7">
        <f>TOTAL!E9</f>
        <v>27034</v>
      </c>
      <c r="F9" s="7">
        <f>HOTEL!M11</f>
        <v>635</v>
      </c>
      <c r="G9" s="7">
        <f>HOTEL!O11</f>
        <v>690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320</v>
      </c>
      <c r="M9" s="7">
        <f>HOTEL!AA11</f>
        <v>65</v>
      </c>
      <c r="N9" s="7">
        <f>HOTEL!AE11</f>
        <v>120</v>
      </c>
      <c r="O9" s="7">
        <f>HOTEL!AG11</f>
        <v>15</v>
      </c>
      <c r="P9" s="7">
        <f>HOTEL!AI11</f>
        <v>2</v>
      </c>
      <c r="Q9" s="7">
        <f>HOTEL!AK11</f>
        <v>4</v>
      </c>
      <c r="R9" s="7">
        <f>HOTEL!AM11</f>
        <v>1</v>
      </c>
      <c r="S9" s="7">
        <f>HOTEL!AO11</f>
        <v>8</v>
      </c>
      <c r="T9" s="7">
        <f>HOTEL!AQ11</f>
        <v>3</v>
      </c>
      <c r="U9" s="7">
        <f>HOTEL!AS11</f>
        <v>1</v>
      </c>
      <c r="V9" s="7">
        <f>HOTEL!AU11</f>
        <v>1</v>
      </c>
      <c r="W9" s="7">
        <f>HOTEL!BG11</f>
        <v>170</v>
      </c>
      <c r="X9" s="7">
        <f>HOTEL!BJ11</f>
        <v>30</v>
      </c>
      <c r="Y9" s="7">
        <f>HOTEL!CC11</f>
        <v>362.5</v>
      </c>
      <c r="Z9" s="7">
        <f>HOTEL!CF10</f>
        <v>43.75</v>
      </c>
      <c r="AA9" s="7">
        <f>HOTEL!CI11</f>
        <v>106.25</v>
      </c>
      <c r="AB9" s="8">
        <f>HOTEL!CL11</f>
        <v>25</v>
      </c>
      <c r="AC9" s="7">
        <f>HOTEL!CO11</f>
        <v>37.5</v>
      </c>
      <c r="AD9" s="8">
        <f>HOTEL!CR11</f>
        <v>56.25</v>
      </c>
      <c r="AE9" s="7">
        <f>HOTEL!CU11</f>
        <v>31.25</v>
      </c>
      <c r="AF9" s="7">
        <f>HOTEL!CX11</f>
        <v>5.0000000000011369</v>
      </c>
      <c r="AG9" s="7">
        <f>HOTEL!DA11</f>
        <v>31.25</v>
      </c>
      <c r="AH9" s="7">
        <f>HOTEL!DD11</f>
        <v>31.25</v>
      </c>
      <c r="AI9" s="7">
        <f>HOTEL!DG11</f>
        <v>31.25</v>
      </c>
      <c r="AJ9" s="7">
        <f>HOTEL!DJ11</f>
        <v>37.5</v>
      </c>
      <c r="AK9" s="7">
        <f>TOTAL!K9</f>
        <v>69</v>
      </c>
    </row>
    <row r="10" spans="1:38" x14ac:dyDescent="0.2">
      <c r="A10" s="2" t="s">
        <v>77</v>
      </c>
      <c r="B10" s="7">
        <f t="shared" si="1"/>
        <v>9</v>
      </c>
      <c r="C10" s="7">
        <v>1</v>
      </c>
      <c r="D10" s="7">
        <v>2020</v>
      </c>
      <c r="E10" s="7">
        <f>TOTAL!E10</f>
        <v>24570</v>
      </c>
      <c r="F10" s="7">
        <f>HOTEL!M12</f>
        <v>611</v>
      </c>
      <c r="G10" s="7">
        <f>HOTEL!O12</f>
        <v>568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300</v>
      </c>
      <c r="M10" s="7">
        <f>HOTEL!AA12</f>
        <v>19</v>
      </c>
      <c r="N10" s="7">
        <f>HOTEL!AE12</f>
        <v>150</v>
      </c>
      <c r="O10" s="7">
        <f>HOTEL!AG12</f>
        <v>14</v>
      </c>
      <c r="P10" s="7">
        <f>HOTEL!AI12</f>
        <v>2</v>
      </c>
      <c r="Q10" s="7">
        <f>HOTEL!AK12</f>
        <v>3</v>
      </c>
      <c r="R10" s="7">
        <f>HOTEL!AM12</f>
        <v>5</v>
      </c>
      <c r="S10" s="7">
        <f>HOTEL!AO12</f>
        <v>7</v>
      </c>
      <c r="T10" s="7">
        <f>HOTEL!AQ12</f>
        <v>3</v>
      </c>
      <c r="U10" s="7">
        <f>HOTEL!AS12</f>
        <v>1</v>
      </c>
      <c r="V10" s="7">
        <f>HOTEL!AU12</f>
        <v>1</v>
      </c>
      <c r="W10" s="7">
        <f>HOTEL!BG12</f>
        <v>120</v>
      </c>
      <c r="X10" s="7">
        <f>HOTEL!BJ12</f>
        <v>30</v>
      </c>
      <c r="Y10" s="7">
        <f>HOTEL!CC12</f>
        <v>231.25</v>
      </c>
      <c r="Z10" s="7">
        <f>HOTEL!CF11</f>
        <v>0</v>
      </c>
      <c r="AA10" s="7">
        <f>HOTEL!CI12</f>
        <v>106.25</v>
      </c>
      <c r="AB10" s="8">
        <f>HOTEL!CL12</f>
        <v>31.25</v>
      </c>
      <c r="AC10" s="7">
        <f>HOTEL!CO12</f>
        <v>31.25</v>
      </c>
      <c r="AD10" s="8">
        <f>HOTEL!CR12</f>
        <v>56.25</v>
      </c>
      <c r="AE10" s="7">
        <f>HOTEL!CU12</f>
        <v>25</v>
      </c>
      <c r="AF10" s="7">
        <f>HOTEL!CX12</f>
        <v>4.3749999999988631</v>
      </c>
      <c r="AG10" s="7">
        <f>HOTEL!DA12</f>
        <v>31.25</v>
      </c>
      <c r="AH10" s="7">
        <f>HOTEL!DD12</f>
        <v>31.25</v>
      </c>
      <c r="AI10" s="7">
        <f>HOTEL!DG12</f>
        <v>31.25</v>
      </c>
      <c r="AJ10" s="7">
        <f>HOTEL!DJ12</f>
        <v>31.25</v>
      </c>
      <c r="AK10" s="7">
        <f>TOTAL!K10</f>
        <v>68</v>
      </c>
    </row>
    <row r="11" spans="1:38" x14ac:dyDescent="0.2">
      <c r="A11" s="2" t="s">
        <v>77</v>
      </c>
      <c r="B11" s="7">
        <f t="shared" si="1"/>
        <v>10</v>
      </c>
      <c r="C11" s="7">
        <v>1</v>
      </c>
      <c r="D11" s="7">
        <v>2020</v>
      </c>
      <c r="E11" s="7">
        <f>TOTAL!E11</f>
        <v>25702</v>
      </c>
      <c r="F11" s="7">
        <f>HOTEL!M13</f>
        <v>508</v>
      </c>
      <c r="G11" s="7">
        <f>HOTEL!O13</f>
        <v>712</v>
      </c>
      <c r="H11" s="8">
        <f>HOTEL!DL13</f>
        <v>80</v>
      </c>
      <c r="I11" s="8">
        <f>HOTEL!DN13</f>
        <v>2531</v>
      </c>
      <c r="J11" s="8">
        <f>HOTEL!DP13</f>
        <v>0</v>
      </c>
      <c r="K11" s="8">
        <f>HOTEL!DR13</f>
        <v>0</v>
      </c>
      <c r="L11" s="7">
        <f t="shared" ref="L11:L31" si="2">N11+W11+X11</f>
        <v>270</v>
      </c>
      <c r="M11" s="7">
        <f>HOTEL!AA13</f>
        <v>11</v>
      </c>
      <c r="N11" s="7">
        <f>HOTEL!AE13</f>
        <v>150</v>
      </c>
      <c r="O11" s="7">
        <f>HOTEL!AG13</f>
        <v>15</v>
      </c>
      <c r="P11" s="7">
        <f>HOTEL!AI13</f>
        <v>2</v>
      </c>
      <c r="Q11" s="7">
        <f>HOTEL!AK13</f>
        <v>2</v>
      </c>
      <c r="R11" s="7">
        <f>HOTEL!AM13</f>
        <v>3</v>
      </c>
      <c r="S11" s="7">
        <f>HOTEL!AO13</f>
        <v>6</v>
      </c>
      <c r="T11" s="7">
        <f>HOTEL!AQ13</f>
        <v>2</v>
      </c>
      <c r="U11" s="7">
        <f>HOTEL!AS13</f>
        <v>0</v>
      </c>
      <c r="V11" s="7">
        <f>HOTEL!AU13</f>
        <v>0</v>
      </c>
      <c r="W11" s="7">
        <f>HOTEL!BG13</f>
        <v>110</v>
      </c>
      <c r="X11" s="7">
        <f>HOTEL!BJ13</f>
        <v>10</v>
      </c>
      <c r="Y11" s="7">
        <f>HOTEL!CC13</f>
        <v>350</v>
      </c>
      <c r="Z11" s="7">
        <f>HOTEL!CF12</f>
        <v>50</v>
      </c>
      <c r="AA11" s="7">
        <f>HOTEL!CI13</f>
        <v>75</v>
      </c>
      <c r="AB11" s="8">
        <f>HOTEL!CL13</f>
        <v>25</v>
      </c>
      <c r="AC11" s="7">
        <f>HOTEL!CO13</f>
        <v>31.25</v>
      </c>
      <c r="AD11" s="8">
        <f>HOTEL!CR13</f>
        <v>50</v>
      </c>
      <c r="AE11" s="7">
        <f>HOTEL!CU13</f>
        <v>31.25</v>
      </c>
      <c r="AF11" s="7">
        <f>HOTEL!CX13</f>
        <v>7.5000000000002842</v>
      </c>
      <c r="AG11" s="7">
        <f>HOTEL!DA13</f>
        <v>25</v>
      </c>
      <c r="AH11" s="7">
        <f>HOTEL!DD13</f>
        <v>31.25</v>
      </c>
      <c r="AI11" s="7">
        <f>HOTEL!DG13</f>
        <v>25</v>
      </c>
      <c r="AJ11" s="7">
        <f>HOTEL!DJ13</f>
        <v>31.25</v>
      </c>
      <c r="AK11" s="7">
        <f>TOTAL!K11</f>
        <v>62</v>
      </c>
    </row>
    <row r="12" spans="1:38" x14ac:dyDescent="0.2">
      <c r="A12" s="2" t="s">
        <v>77</v>
      </c>
      <c r="B12" s="7">
        <f t="shared" si="1"/>
        <v>11</v>
      </c>
      <c r="C12" s="7">
        <v>1</v>
      </c>
      <c r="D12" s="7">
        <v>2020</v>
      </c>
      <c r="E12" s="7">
        <f>TOTAL!E12</f>
        <v>25512</v>
      </c>
      <c r="F12" s="7">
        <f>HOTEL!M14</f>
        <v>722</v>
      </c>
      <c r="G12" s="7">
        <f>HOTEL!O14</f>
        <v>597</v>
      </c>
      <c r="H12" s="8">
        <f>HOTEL!DL14</f>
        <v>0</v>
      </c>
      <c r="I12" s="8">
        <f>HOTEL!DN14</f>
        <v>0</v>
      </c>
      <c r="J12" s="8">
        <f>HOTEL!DP14</f>
        <v>0</v>
      </c>
      <c r="K12" s="8">
        <f>HOTEL!DR14</f>
        <v>0</v>
      </c>
      <c r="L12" s="7">
        <f t="shared" si="2"/>
        <v>300</v>
      </c>
      <c r="M12" s="7">
        <f>HOTEL!AA14</f>
        <v>11</v>
      </c>
      <c r="N12" s="7">
        <f>HOTEL!AE14</f>
        <v>150</v>
      </c>
      <c r="O12" s="7">
        <f>HOTEL!AG14</f>
        <v>16</v>
      </c>
      <c r="P12" s="7">
        <f>HOTEL!AI14</f>
        <v>2</v>
      </c>
      <c r="Q12" s="7">
        <f>HOTEL!AK14</f>
        <v>5</v>
      </c>
      <c r="R12" s="7">
        <f>HOTEL!AM14</f>
        <v>2</v>
      </c>
      <c r="S12" s="7">
        <f>HOTEL!AO14</f>
        <v>7</v>
      </c>
      <c r="T12" s="7">
        <f>HOTEL!AQ14</f>
        <v>2</v>
      </c>
      <c r="U12" s="7">
        <f>HOTEL!AS14</f>
        <v>1</v>
      </c>
      <c r="V12" s="7">
        <f>HOTEL!AU14</f>
        <v>1</v>
      </c>
      <c r="W12" s="7">
        <f>HOTEL!BG14</f>
        <v>120</v>
      </c>
      <c r="X12" s="7">
        <f>HOTEL!BJ14</f>
        <v>30</v>
      </c>
      <c r="Y12" s="7">
        <f>HOTEL!CC14</f>
        <v>350</v>
      </c>
      <c r="Z12" s="7">
        <f>HOTEL!CF13</f>
        <v>43.75</v>
      </c>
      <c r="AA12" s="7">
        <f>HOTEL!CI14</f>
        <v>131.25</v>
      </c>
      <c r="AB12" s="8">
        <f>HOTEL!CL14</f>
        <v>25</v>
      </c>
      <c r="AC12" s="7">
        <f>HOTEL!CO14</f>
        <v>37.5</v>
      </c>
      <c r="AD12" s="8">
        <f>HOTEL!CR14</f>
        <v>56.25</v>
      </c>
      <c r="AE12" s="7">
        <f>HOTEL!CU14</f>
        <v>25</v>
      </c>
      <c r="AF12" s="7">
        <f>HOTEL!CX14</f>
        <v>4.3750000000002842</v>
      </c>
      <c r="AG12" s="7">
        <f>HOTEL!DA14</f>
        <v>56.25</v>
      </c>
      <c r="AH12" s="7">
        <f>HOTEL!DD14</f>
        <v>25</v>
      </c>
      <c r="AI12" s="7">
        <f>HOTEL!DG14</f>
        <v>0</v>
      </c>
      <c r="AJ12" s="7">
        <f>HOTEL!DJ14</f>
        <v>37.5</v>
      </c>
      <c r="AK12" s="7">
        <f>TOTAL!K12</f>
        <v>63</v>
      </c>
    </row>
    <row r="13" spans="1:38" x14ac:dyDescent="0.2">
      <c r="A13" s="2" t="s">
        <v>77</v>
      </c>
      <c r="B13" s="7">
        <f t="shared" si="1"/>
        <v>12</v>
      </c>
      <c r="C13" s="7">
        <v>1</v>
      </c>
      <c r="D13" s="7">
        <v>2020</v>
      </c>
      <c r="E13" s="7" t="str">
        <f>TOTAL!E13</f>
        <v>0</v>
      </c>
      <c r="F13" s="7" t="str">
        <f>HOTEL!M15</f>
        <v>0</v>
      </c>
      <c r="G13" s="7" t="str">
        <f>HOTEL!O15</f>
        <v>0</v>
      </c>
      <c r="H13" s="8" t="str">
        <f>HOTEL!DL15</f>
        <v>0</v>
      </c>
      <c r="I13" s="8" t="str">
        <f>HOTEL!DN15</f>
        <v>0</v>
      </c>
      <c r="J13" s="8" t="str">
        <f>HOTEL!DP15</f>
        <v>0</v>
      </c>
      <c r="K13" s="8" t="str">
        <f>HOTEL!DR15</f>
        <v>0</v>
      </c>
      <c r="L13" s="7">
        <f t="shared" si="2"/>
        <v>0</v>
      </c>
      <c r="M13" s="7" t="str">
        <f>HOTEL!AA15</f>
        <v>0</v>
      </c>
      <c r="N13" s="7" t="str">
        <f>HOTEL!AE15</f>
        <v>0</v>
      </c>
      <c r="O13" s="7" t="str">
        <f>HOTEL!AG15</f>
        <v>0</v>
      </c>
      <c r="P13" s="7" t="str">
        <f>HOTEL!AI15</f>
        <v>0</v>
      </c>
      <c r="Q13" s="7" t="str">
        <f>HOTEL!AK15</f>
        <v>0</v>
      </c>
      <c r="R13" s="7" t="str">
        <f>HOTEL!AM15</f>
        <v>0</v>
      </c>
      <c r="S13" s="7" t="str">
        <f>HOTEL!AO15</f>
        <v>0</v>
      </c>
      <c r="T13" s="7" t="str">
        <f>HOTEL!AQ15</f>
        <v>0</v>
      </c>
      <c r="U13" s="7" t="str">
        <f>HOTEL!AS15</f>
        <v>0</v>
      </c>
      <c r="V13" s="7" t="str">
        <f>HOTEL!AU15</f>
        <v>0</v>
      </c>
      <c r="W13" s="7" t="str">
        <f>HOTEL!BG15</f>
        <v>0</v>
      </c>
      <c r="X13" s="7">
        <f>HOTEL!BJ15</f>
        <v>0</v>
      </c>
      <c r="Y13" s="7">
        <f>HOTEL!CC15</f>
        <v>0</v>
      </c>
      <c r="Z13" s="7">
        <f>HOTEL!CF14</f>
        <v>6.25</v>
      </c>
      <c r="AA13" s="7">
        <f>HOTEL!CI15</f>
        <v>0</v>
      </c>
      <c r="AB13" s="8">
        <f>HOTEL!CL15</f>
        <v>0</v>
      </c>
      <c r="AC13" s="7">
        <f>HOTEL!CO15</f>
        <v>0</v>
      </c>
      <c r="AD13" s="8">
        <f>HOTEL!CR15</f>
        <v>0</v>
      </c>
      <c r="AE13" s="7">
        <f>HOTEL!CU15</f>
        <v>0</v>
      </c>
      <c r="AF13" s="7">
        <f>HOTEL!CX15</f>
        <v>0</v>
      </c>
      <c r="AG13" s="7">
        <f>HOTEL!DA15</f>
        <v>0</v>
      </c>
      <c r="AH13" s="7">
        <f>HOTEL!DD15</f>
        <v>0</v>
      </c>
      <c r="AI13" s="7">
        <f>HOTEL!DG15</f>
        <v>0</v>
      </c>
      <c r="AJ13" s="7">
        <f>HOTEL!DJ15</f>
        <v>0</v>
      </c>
      <c r="AK13" s="7">
        <f>TOTAL!K13</f>
        <v>66</v>
      </c>
    </row>
    <row r="14" spans="1:38" x14ac:dyDescent="0.2">
      <c r="A14" s="2" t="s">
        <v>77</v>
      </c>
      <c r="B14" s="7">
        <f t="shared" si="1"/>
        <v>13</v>
      </c>
      <c r="C14" s="7">
        <v>1</v>
      </c>
      <c r="D14" s="7">
        <v>2020</v>
      </c>
      <c r="E14" s="7">
        <f>TOTAL!E14</f>
        <v>0</v>
      </c>
      <c r="F14" s="7">
        <f>HOTEL!M16</f>
        <v>0</v>
      </c>
      <c r="G14" s="7">
        <f>HOTEL!O16</f>
        <v>0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0</v>
      </c>
      <c r="M14" s="7">
        <f>HOTEL!AA16</f>
        <v>0</v>
      </c>
      <c r="N14" s="7">
        <f>HOTEL!AE16</f>
        <v>0</v>
      </c>
      <c r="O14" s="7">
        <f>HOTEL!AG16</f>
        <v>0</v>
      </c>
      <c r="P14" s="7">
        <f>HOTEL!AI16</f>
        <v>0</v>
      </c>
      <c r="Q14" s="7">
        <f>HOTEL!AK16</f>
        <v>0</v>
      </c>
      <c r="R14" s="7">
        <f>HOTEL!AM16</f>
        <v>0</v>
      </c>
      <c r="S14" s="7">
        <f>HOTEL!AO16</f>
        <v>0</v>
      </c>
      <c r="T14" s="7">
        <f>HOTEL!AQ16</f>
        <v>0</v>
      </c>
      <c r="U14" s="7">
        <f>HOTEL!AS16</f>
        <v>0</v>
      </c>
      <c r="V14" s="7">
        <f>HOTEL!AU16</f>
        <v>0</v>
      </c>
      <c r="W14" s="7">
        <f>HOTEL!BG16</f>
        <v>0</v>
      </c>
      <c r="X14" s="7">
        <f>HOTEL!BJ16</f>
        <v>0</v>
      </c>
      <c r="Y14" s="7">
        <f>HOTEL!CC16</f>
        <v>0</v>
      </c>
      <c r="Z14" s="7">
        <f>HOTEL!CF15</f>
        <v>0</v>
      </c>
      <c r="AA14" s="7">
        <f>HOTEL!CI16</f>
        <v>0</v>
      </c>
      <c r="AB14" s="8">
        <f>HOTEL!CL16</f>
        <v>0</v>
      </c>
      <c r="AC14" s="7">
        <f>HOTEL!CO16</f>
        <v>0</v>
      </c>
      <c r="AD14" s="8">
        <f>HOTEL!CR16</f>
        <v>0</v>
      </c>
      <c r="AE14" s="7">
        <f>HOTEL!CU16</f>
        <v>0</v>
      </c>
      <c r="AF14" s="7">
        <f>HOTEL!CX16</f>
        <v>0</v>
      </c>
      <c r="AG14" s="7">
        <f>HOTEL!DA16</f>
        <v>0</v>
      </c>
      <c r="AH14" s="7">
        <f>HOTEL!DD16</f>
        <v>0</v>
      </c>
      <c r="AI14" s="7">
        <f>HOTEL!DG16</f>
        <v>0</v>
      </c>
      <c r="AJ14" s="7">
        <f>HOTEL!DJ16</f>
        <v>0</v>
      </c>
      <c r="AK14" s="7">
        <f>TOTAL!K14</f>
        <v>0</v>
      </c>
    </row>
    <row r="15" spans="1:38" x14ac:dyDescent="0.2">
      <c r="A15" s="2" t="s">
        <v>77</v>
      </c>
      <c r="B15" s="7">
        <f t="shared" si="1"/>
        <v>14</v>
      </c>
      <c r="C15" s="7">
        <v>1</v>
      </c>
      <c r="D15" s="7">
        <v>2020</v>
      </c>
      <c r="E15" s="8">
        <f>TOTAL!E15</f>
        <v>0</v>
      </c>
      <c r="F15" s="7">
        <f>HOTEL!M17</f>
        <v>0</v>
      </c>
      <c r="G15" s="7">
        <f>HOTEL!O17</f>
        <v>0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0</v>
      </c>
      <c r="M15" s="7">
        <f>HOTEL!AA17</f>
        <v>0</v>
      </c>
      <c r="N15" s="7">
        <f>HOTEL!AE17</f>
        <v>0</v>
      </c>
      <c r="O15" s="7">
        <f>HOTEL!AG17</f>
        <v>0</v>
      </c>
      <c r="P15" s="7">
        <f>HOTEL!AI17</f>
        <v>0</v>
      </c>
      <c r="Q15" s="7">
        <f>HOTEL!AK17</f>
        <v>0</v>
      </c>
      <c r="R15" s="7">
        <f>HOTEL!AM17</f>
        <v>0</v>
      </c>
      <c r="S15" s="7">
        <f>HOTEL!AO17</f>
        <v>0</v>
      </c>
      <c r="T15" s="7">
        <f>HOTEL!AQ17</f>
        <v>0</v>
      </c>
      <c r="U15" s="7">
        <f>HOTEL!AS17</f>
        <v>0</v>
      </c>
      <c r="V15" s="7">
        <f>HOTEL!AU17</f>
        <v>0</v>
      </c>
      <c r="W15" s="7">
        <f>HOTEL!BG17</f>
        <v>0</v>
      </c>
      <c r="X15" s="7">
        <f>HOTEL!BJ17</f>
        <v>0</v>
      </c>
      <c r="Y15" s="7">
        <f>HOTEL!CC17</f>
        <v>0</v>
      </c>
      <c r="Z15" s="7">
        <f>HOTEL!CF16</f>
        <v>0</v>
      </c>
      <c r="AA15" s="7">
        <f>HOTEL!CI17</f>
        <v>0</v>
      </c>
      <c r="AB15" s="8">
        <f>HOTEL!CL17</f>
        <v>0</v>
      </c>
      <c r="AC15" s="7">
        <f>HOTEL!CO17</f>
        <v>0</v>
      </c>
      <c r="AD15" s="8">
        <f>HOTEL!CR17</f>
        <v>0</v>
      </c>
      <c r="AE15" s="7">
        <f>HOTEL!CU17</f>
        <v>0</v>
      </c>
      <c r="AF15" s="7">
        <f>HOTEL!CX17</f>
        <v>0</v>
      </c>
      <c r="AG15" s="7">
        <f>HOTEL!DA17</f>
        <v>0</v>
      </c>
      <c r="AH15" s="7">
        <f>HOTEL!DD17</f>
        <v>0</v>
      </c>
      <c r="AI15" s="7">
        <f>HOTEL!DG17</f>
        <v>0</v>
      </c>
      <c r="AJ15" s="7">
        <f>HOTEL!DJ17</f>
        <v>0</v>
      </c>
      <c r="AK15" s="7">
        <f>TOTAL!K15</f>
        <v>0</v>
      </c>
    </row>
    <row r="16" spans="1:38" x14ac:dyDescent="0.2">
      <c r="A16" s="2" t="s">
        <v>77</v>
      </c>
      <c r="B16" s="7">
        <f t="shared" si="1"/>
        <v>15</v>
      </c>
      <c r="C16" s="7">
        <v>1</v>
      </c>
      <c r="D16" s="7">
        <v>2020</v>
      </c>
      <c r="E16" s="7">
        <f>TOTAL!E16</f>
        <v>0</v>
      </c>
      <c r="F16" s="7">
        <f>HOTEL!M18</f>
        <v>0</v>
      </c>
      <c r="G16" s="7">
        <f>HOTEL!O18</f>
        <v>0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0</v>
      </c>
      <c r="M16" s="7">
        <f>HOTEL!AA18</f>
        <v>0</v>
      </c>
      <c r="N16" s="7">
        <f>HOTEL!AE18</f>
        <v>0</v>
      </c>
      <c r="O16" s="7">
        <f>HOTEL!AG18</f>
        <v>0</v>
      </c>
      <c r="P16" s="7">
        <f>HOTEL!AI18</f>
        <v>0</v>
      </c>
      <c r="Q16" s="7">
        <f>HOTEL!AK18</f>
        <v>0</v>
      </c>
      <c r="R16" s="7">
        <f>HOTEL!AM18</f>
        <v>0</v>
      </c>
      <c r="S16" s="7">
        <f>HOTEL!AO18</f>
        <v>0</v>
      </c>
      <c r="T16" s="7">
        <f>HOTEL!AQ18</f>
        <v>0</v>
      </c>
      <c r="U16" s="7">
        <f>HOTEL!AS18</f>
        <v>0</v>
      </c>
      <c r="V16" s="7">
        <f>HOTEL!AU18</f>
        <v>0</v>
      </c>
      <c r="W16" s="7">
        <f>HOTEL!BG18</f>
        <v>0</v>
      </c>
      <c r="X16" s="7">
        <f>HOTEL!BJ18</f>
        <v>0</v>
      </c>
      <c r="Y16" s="7">
        <f>HOTEL!CC18</f>
        <v>0</v>
      </c>
      <c r="Z16" s="7">
        <f>HOTEL!CF17</f>
        <v>0</v>
      </c>
      <c r="AA16" s="7">
        <f>HOTEL!CI18</f>
        <v>0</v>
      </c>
      <c r="AB16" s="8">
        <f>HOTEL!CL18</f>
        <v>0</v>
      </c>
      <c r="AC16" s="7">
        <f>HOTEL!CO18</f>
        <v>0</v>
      </c>
      <c r="AD16" s="8">
        <f>HOTEL!CR18</f>
        <v>0</v>
      </c>
      <c r="AE16" s="7">
        <f>HOTEL!CU18</f>
        <v>0</v>
      </c>
      <c r="AF16" s="7">
        <f>HOTEL!CX18</f>
        <v>0</v>
      </c>
      <c r="AG16" s="7">
        <f>HOTEL!DA18</f>
        <v>0</v>
      </c>
      <c r="AH16" s="7">
        <f>HOTEL!DD18</f>
        <v>0</v>
      </c>
      <c r="AI16" s="7">
        <f>HOTEL!DG18</f>
        <v>0</v>
      </c>
      <c r="AJ16" s="7">
        <f>HOTEL!DJ18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1</v>
      </c>
      <c r="D17" s="7">
        <v>2020</v>
      </c>
      <c r="E17" s="7">
        <f>TOTAL!E17</f>
        <v>0</v>
      </c>
      <c r="F17" s="7">
        <f>HOTEL!M19</f>
        <v>0</v>
      </c>
      <c r="G17" s="7">
        <f>HOTEL!O19</f>
        <v>0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0</v>
      </c>
      <c r="M17" s="7">
        <f>HOTEL!AA19</f>
        <v>0</v>
      </c>
      <c r="N17" s="7">
        <f>HOTEL!AE19</f>
        <v>0</v>
      </c>
      <c r="O17" s="7">
        <f>HOTEL!AG19</f>
        <v>0</v>
      </c>
      <c r="P17" s="7">
        <f>HOTEL!AI19</f>
        <v>0</v>
      </c>
      <c r="Q17" s="7">
        <f>HOTEL!AK19</f>
        <v>0</v>
      </c>
      <c r="R17" s="7">
        <f>HOTEL!AM19</f>
        <v>0</v>
      </c>
      <c r="S17" s="7">
        <f>HOTEL!AO19</f>
        <v>0</v>
      </c>
      <c r="T17" s="7">
        <f>HOTEL!AQ19</f>
        <v>0</v>
      </c>
      <c r="U17" s="7">
        <f>HOTEL!AS19</f>
        <v>0</v>
      </c>
      <c r="V17" s="7">
        <f>HOTEL!AU19</f>
        <v>0</v>
      </c>
      <c r="W17" s="7">
        <f>HOTEL!BG19</f>
        <v>0</v>
      </c>
      <c r="X17" s="7">
        <f>HOTEL!BJ19</f>
        <v>0</v>
      </c>
      <c r="Y17" s="7">
        <f>HOTEL!CC19</f>
        <v>0</v>
      </c>
      <c r="Z17" s="7">
        <f>HOTEL!CF18</f>
        <v>0</v>
      </c>
      <c r="AA17" s="7">
        <f>HOTEL!CI19</f>
        <v>0</v>
      </c>
      <c r="AB17" s="8">
        <f>HOTEL!CL19</f>
        <v>0</v>
      </c>
      <c r="AC17" s="7">
        <f>HOTEL!CO19</f>
        <v>0</v>
      </c>
      <c r="AD17" s="8">
        <f>HOTEL!CR19</f>
        <v>0</v>
      </c>
      <c r="AE17" s="7">
        <f>HOTEL!CU19</f>
        <v>0</v>
      </c>
      <c r="AF17" s="7">
        <f>HOTEL!CX19</f>
        <v>0</v>
      </c>
      <c r="AG17" s="7">
        <f>HOTEL!DA19</f>
        <v>0</v>
      </c>
      <c r="AH17" s="7">
        <f>HOTEL!DD19</f>
        <v>0</v>
      </c>
      <c r="AI17" s="7">
        <f>HOTEL!DG19</f>
        <v>0</v>
      </c>
      <c r="AJ17" s="7">
        <f>HOTEL!DJ19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1</v>
      </c>
      <c r="D18" s="7">
        <v>2020</v>
      </c>
      <c r="E18" s="7">
        <f>TOTAL!E18</f>
        <v>0</v>
      </c>
      <c r="F18" s="7">
        <f>HOTEL!M20</f>
        <v>0</v>
      </c>
      <c r="G18" s="7">
        <f>HOTEL!O20</f>
        <v>0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0</v>
      </c>
      <c r="M18" s="7">
        <f>HOTEL!AA20</f>
        <v>0</v>
      </c>
      <c r="N18" s="7">
        <f>HOTEL!AE20</f>
        <v>0</v>
      </c>
      <c r="O18" s="7">
        <f>HOTEL!AG20</f>
        <v>0</v>
      </c>
      <c r="P18" s="7">
        <f>HOTEL!AI20</f>
        <v>0</v>
      </c>
      <c r="Q18" s="7">
        <f>HOTEL!AK20</f>
        <v>0</v>
      </c>
      <c r="R18" s="7">
        <f>HOTEL!AM20</f>
        <v>0</v>
      </c>
      <c r="S18" s="7">
        <f>HOTEL!AO20</f>
        <v>0</v>
      </c>
      <c r="T18" s="7">
        <f>HOTEL!AQ20</f>
        <v>0</v>
      </c>
      <c r="U18" s="7">
        <f>HOTEL!AS20</f>
        <v>0</v>
      </c>
      <c r="V18" s="7">
        <f>HOTEL!AU20</f>
        <v>0</v>
      </c>
      <c r="W18" s="7">
        <f>HOTEL!BG20</f>
        <v>0</v>
      </c>
      <c r="X18" s="7">
        <f>HOTEL!BJ20</f>
        <v>0</v>
      </c>
      <c r="Y18" s="7">
        <f>HOTEL!CC20</f>
        <v>0</v>
      </c>
      <c r="Z18" s="7">
        <f>HOTEL!CF19</f>
        <v>0</v>
      </c>
      <c r="AA18" s="7">
        <f>HOTEL!CI20</f>
        <v>0</v>
      </c>
      <c r="AB18" s="8">
        <f>HOTEL!CL20</f>
        <v>0</v>
      </c>
      <c r="AC18" s="7">
        <f>HOTEL!CO20</f>
        <v>0</v>
      </c>
      <c r="AD18" s="8">
        <f>HOTEL!CR20</f>
        <v>0</v>
      </c>
      <c r="AE18" s="7">
        <f>HOTEL!CU20</f>
        <v>0</v>
      </c>
      <c r="AF18" s="7">
        <f>HOTEL!CX20</f>
        <v>0</v>
      </c>
      <c r="AG18" s="7">
        <f>HOTEL!DA20</f>
        <v>0</v>
      </c>
      <c r="AH18" s="7">
        <f>HOTEL!DD20</f>
        <v>0</v>
      </c>
      <c r="AI18" s="7">
        <f>HOTEL!DG20</f>
        <v>0</v>
      </c>
      <c r="AJ18" s="7">
        <f>HOTEL!DJ20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1</v>
      </c>
      <c r="D19" s="7">
        <v>2020</v>
      </c>
      <c r="E19" s="7">
        <f>TOTAL!E19</f>
        <v>0</v>
      </c>
      <c r="F19" s="7">
        <f>HOTEL!M21</f>
        <v>0</v>
      </c>
      <c r="G19" s="7">
        <f>HOTEL!O21</f>
        <v>0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0</v>
      </c>
      <c r="M19" s="7">
        <f>HOTEL!AA21</f>
        <v>0</v>
      </c>
      <c r="N19" s="7">
        <f>HOTEL!AE21</f>
        <v>0</v>
      </c>
      <c r="O19" s="7">
        <f>HOTEL!AG21</f>
        <v>0</v>
      </c>
      <c r="P19" s="7">
        <f>HOTEL!AI21</f>
        <v>0</v>
      </c>
      <c r="Q19" s="7">
        <f>HOTEL!AK21</f>
        <v>0</v>
      </c>
      <c r="R19" s="7">
        <f>HOTEL!AM21</f>
        <v>0</v>
      </c>
      <c r="S19" s="7">
        <f>HOTEL!AO21</f>
        <v>0</v>
      </c>
      <c r="T19" s="7">
        <f>HOTEL!AQ21</f>
        <v>0</v>
      </c>
      <c r="U19" s="7">
        <f>HOTEL!AS21</f>
        <v>0</v>
      </c>
      <c r="V19" s="7">
        <f>HOTEL!AU21</f>
        <v>0</v>
      </c>
      <c r="W19" s="7">
        <f>HOTEL!BG21</f>
        <v>0</v>
      </c>
      <c r="X19" s="7">
        <f>HOTEL!BJ21</f>
        <v>0</v>
      </c>
      <c r="Y19" s="7">
        <f>HOTEL!CC21</f>
        <v>0</v>
      </c>
      <c r="Z19" s="7">
        <f>HOTEL!CF20</f>
        <v>0</v>
      </c>
      <c r="AA19" s="7">
        <f>HOTEL!CI21</f>
        <v>0</v>
      </c>
      <c r="AB19" s="8">
        <f>HOTEL!CL21</f>
        <v>0</v>
      </c>
      <c r="AC19" s="7">
        <f>HOTEL!CO21</f>
        <v>0</v>
      </c>
      <c r="AD19" s="8">
        <f>HOTEL!CR21</f>
        <v>0</v>
      </c>
      <c r="AE19" s="7">
        <f>HOTEL!CU21</f>
        <v>0</v>
      </c>
      <c r="AF19" s="7">
        <f>HOTEL!CX21</f>
        <v>0</v>
      </c>
      <c r="AG19" s="7">
        <f>HOTEL!DA21</f>
        <v>0</v>
      </c>
      <c r="AH19" s="7">
        <f>HOTEL!DD21</f>
        <v>0</v>
      </c>
      <c r="AI19" s="7">
        <f>HOTEL!DG21</f>
        <v>0</v>
      </c>
      <c r="AJ19" s="7">
        <f>HOTEL!DJ21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1</v>
      </c>
      <c r="D20" s="7">
        <v>2020</v>
      </c>
      <c r="E20" s="7">
        <f>TOTAL!E20</f>
        <v>0</v>
      </c>
      <c r="F20" s="7">
        <f>HOTEL!M22</f>
        <v>0</v>
      </c>
      <c r="G20" s="7">
        <f>HOTEL!O22</f>
        <v>0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0</v>
      </c>
      <c r="M20" s="7">
        <f>HOTEL!AA22</f>
        <v>0</v>
      </c>
      <c r="N20" s="7">
        <f>HOTEL!AE22</f>
        <v>0</v>
      </c>
      <c r="O20" s="7">
        <f>HOTEL!AG22</f>
        <v>0</v>
      </c>
      <c r="P20" s="7">
        <f>HOTEL!AI22</f>
        <v>0</v>
      </c>
      <c r="Q20" s="7">
        <f>HOTEL!AK22</f>
        <v>0</v>
      </c>
      <c r="R20" s="7">
        <f>HOTEL!AM22</f>
        <v>0</v>
      </c>
      <c r="S20" s="7">
        <f>HOTEL!AO22</f>
        <v>0</v>
      </c>
      <c r="T20" s="7">
        <f>HOTEL!AQ22</f>
        <v>0</v>
      </c>
      <c r="U20" s="7">
        <f>HOTEL!AS22</f>
        <v>0</v>
      </c>
      <c r="V20" s="7">
        <f>HOTEL!AU22</f>
        <v>0</v>
      </c>
      <c r="W20" s="7">
        <f>HOTEL!BG22</f>
        <v>0</v>
      </c>
      <c r="X20" s="7">
        <f>HOTEL!BJ22</f>
        <v>0</v>
      </c>
      <c r="Y20" s="7">
        <f>HOTEL!CC22</f>
        <v>0</v>
      </c>
      <c r="Z20" s="7">
        <f>HOTEL!CF21</f>
        <v>0</v>
      </c>
      <c r="AA20" s="7">
        <f>HOTEL!CI22</f>
        <v>0</v>
      </c>
      <c r="AB20" s="8">
        <f>HOTEL!CL22</f>
        <v>0</v>
      </c>
      <c r="AC20" s="7">
        <f>HOTEL!CO22</f>
        <v>0</v>
      </c>
      <c r="AD20" s="8">
        <f>HOTEL!CR22</f>
        <v>0</v>
      </c>
      <c r="AE20" s="7">
        <f>HOTEL!CU22</f>
        <v>0</v>
      </c>
      <c r="AF20" s="7">
        <f>HOTEL!CX22</f>
        <v>0</v>
      </c>
      <c r="AG20" s="7">
        <f>HOTEL!DA22</f>
        <v>0</v>
      </c>
      <c r="AH20" s="7">
        <f>HOTEL!DD22</f>
        <v>0</v>
      </c>
      <c r="AI20" s="7">
        <f>HOTEL!DG22</f>
        <v>0</v>
      </c>
      <c r="AJ20" s="7">
        <f>HOTEL!DJ22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1</v>
      </c>
      <c r="D21" s="7">
        <v>2020</v>
      </c>
      <c r="E21" s="7">
        <f>TOTAL!E21</f>
        <v>0</v>
      </c>
      <c r="F21" s="7">
        <f>HOTEL!M23</f>
        <v>0</v>
      </c>
      <c r="G21" s="7">
        <f>HOTEL!O23</f>
        <v>0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0</v>
      </c>
      <c r="M21" s="7">
        <f>HOTEL!AA23</f>
        <v>0</v>
      </c>
      <c r="N21" s="7">
        <f>HOTEL!AE23</f>
        <v>0</v>
      </c>
      <c r="O21" s="7">
        <f>HOTEL!AG23</f>
        <v>0</v>
      </c>
      <c r="P21" s="7">
        <f>HOTEL!AI23</f>
        <v>0</v>
      </c>
      <c r="Q21" s="7">
        <f>HOTEL!AK23</f>
        <v>0</v>
      </c>
      <c r="R21" s="7">
        <f>HOTEL!AM23</f>
        <v>0</v>
      </c>
      <c r="S21" s="7">
        <f>HOTEL!AO23</f>
        <v>0</v>
      </c>
      <c r="T21" s="7">
        <f>HOTEL!AQ23</f>
        <v>0</v>
      </c>
      <c r="U21" s="7">
        <f>HOTEL!AS23</f>
        <v>0</v>
      </c>
      <c r="V21" s="7">
        <f>HOTEL!AU23</f>
        <v>0</v>
      </c>
      <c r="W21" s="7">
        <f>HOTEL!BG23</f>
        <v>0</v>
      </c>
      <c r="X21" s="7">
        <f>HOTEL!BJ23</f>
        <v>0</v>
      </c>
      <c r="Y21" s="7">
        <f>HOTEL!CC23</f>
        <v>0</v>
      </c>
      <c r="Z21" s="7">
        <f>HOTEL!CF22</f>
        <v>0</v>
      </c>
      <c r="AA21" s="7">
        <f>HOTEL!CI23</f>
        <v>0</v>
      </c>
      <c r="AB21" s="8">
        <f>HOTEL!CL23</f>
        <v>0</v>
      </c>
      <c r="AC21" s="7">
        <f>HOTEL!CO23</f>
        <v>0</v>
      </c>
      <c r="AD21" s="8">
        <f>HOTEL!CR23</f>
        <v>0</v>
      </c>
      <c r="AE21" s="7">
        <f>HOTEL!CU23</f>
        <v>0</v>
      </c>
      <c r="AF21" s="7">
        <f>HOTEL!CX23</f>
        <v>0</v>
      </c>
      <c r="AG21" s="7">
        <f>HOTEL!DA23</f>
        <v>0</v>
      </c>
      <c r="AH21" s="7">
        <f>HOTEL!DD23</f>
        <v>0</v>
      </c>
      <c r="AI21" s="7">
        <f>HOTEL!DG23</f>
        <v>0</v>
      </c>
      <c r="AJ21" s="7">
        <f>HOTEL!DJ23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1</v>
      </c>
      <c r="D22" s="7">
        <v>2020</v>
      </c>
      <c r="E22" s="7">
        <f>TOTAL!E22</f>
        <v>0</v>
      </c>
      <c r="F22" s="7">
        <f>HOTEL!M24</f>
        <v>0</v>
      </c>
      <c r="G22" s="7">
        <f>HOTEL!O24</f>
        <v>0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0</v>
      </c>
      <c r="M22" s="7">
        <f>HOTEL!AA24</f>
        <v>0</v>
      </c>
      <c r="N22" s="7">
        <f>HOTEL!AE24</f>
        <v>0</v>
      </c>
      <c r="O22" s="7">
        <f>HOTEL!AG24</f>
        <v>0</v>
      </c>
      <c r="P22" s="7">
        <f>HOTEL!AI24</f>
        <v>0</v>
      </c>
      <c r="Q22" s="7">
        <f>HOTEL!AK24</f>
        <v>0</v>
      </c>
      <c r="R22" s="7">
        <f>HOTEL!AM24</f>
        <v>0</v>
      </c>
      <c r="S22" s="7">
        <f>HOTEL!AO24</f>
        <v>0</v>
      </c>
      <c r="T22" s="7">
        <f>HOTEL!AQ24</f>
        <v>0</v>
      </c>
      <c r="U22" s="7">
        <f>HOTEL!AS24</f>
        <v>0</v>
      </c>
      <c r="V22" s="7">
        <f>HOTEL!AU24</f>
        <v>0</v>
      </c>
      <c r="W22" s="7">
        <f>HOTEL!BG24</f>
        <v>0</v>
      </c>
      <c r="X22" s="7">
        <f>HOTEL!BJ24</f>
        <v>0</v>
      </c>
      <c r="Y22" s="7">
        <f>HOTEL!CC24</f>
        <v>0</v>
      </c>
      <c r="Z22" s="7">
        <f>HOTEL!CF23</f>
        <v>0</v>
      </c>
      <c r="AA22" s="7">
        <f>HOTEL!CI24</f>
        <v>0</v>
      </c>
      <c r="AB22" s="8">
        <f>HOTEL!CL24</f>
        <v>0</v>
      </c>
      <c r="AC22" s="7">
        <f>HOTEL!CO24</f>
        <v>0</v>
      </c>
      <c r="AD22" s="8">
        <f>HOTEL!CR24</f>
        <v>0</v>
      </c>
      <c r="AE22" s="7">
        <f>HOTEL!CU24</f>
        <v>0</v>
      </c>
      <c r="AF22" s="7">
        <f>HOTEL!CX24</f>
        <v>0</v>
      </c>
      <c r="AG22" s="7">
        <f>HOTEL!DA24</f>
        <v>0</v>
      </c>
      <c r="AH22" s="7">
        <f>HOTEL!DD24</f>
        <v>0</v>
      </c>
      <c r="AI22" s="7">
        <f>HOTEL!DG24</f>
        <v>0</v>
      </c>
      <c r="AJ22" s="7">
        <f>HOTEL!DJ24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1</v>
      </c>
      <c r="D23" s="7">
        <v>2020</v>
      </c>
      <c r="E23" s="7">
        <f>TOTAL!E23</f>
        <v>0</v>
      </c>
      <c r="F23" s="7">
        <f>HOTEL!M25</f>
        <v>0</v>
      </c>
      <c r="G23" s="7">
        <f>HOTEL!O25</f>
        <v>0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0</v>
      </c>
      <c r="M23" s="7">
        <f>HOTEL!AA25</f>
        <v>0</v>
      </c>
      <c r="N23" s="7">
        <f>HOTEL!AE25</f>
        <v>0</v>
      </c>
      <c r="O23" s="7">
        <f>HOTEL!AG25</f>
        <v>0</v>
      </c>
      <c r="P23" s="7">
        <f>HOTEL!AI25</f>
        <v>0</v>
      </c>
      <c r="Q23" s="7">
        <f>HOTEL!AK25</f>
        <v>0</v>
      </c>
      <c r="R23" s="7">
        <f>HOTEL!AM25</f>
        <v>0</v>
      </c>
      <c r="S23" s="7">
        <f>HOTEL!AO25</f>
        <v>0</v>
      </c>
      <c r="T23" s="7">
        <f>HOTEL!AQ25</f>
        <v>0</v>
      </c>
      <c r="U23" s="7">
        <f>HOTEL!AS25</f>
        <v>0</v>
      </c>
      <c r="V23" s="7">
        <f>HOTEL!AU25</f>
        <v>0</v>
      </c>
      <c r="W23" s="7">
        <f>HOTEL!BG25</f>
        <v>0</v>
      </c>
      <c r="X23" s="7">
        <f>HOTEL!BJ25</f>
        <v>0</v>
      </c>
      <c r="Y23" s="7">
        <f>HOTEL!CC25</f>
        <v>0</v>
      </c>
      <c r="Z23" s="7">
        <f>HOTEL!CF24</f>
        <v>0</v>
      </c>
      <c r="AA23" s="7">
        <f>HOTEL!CI25</f>
        <v>0</v>
      </c>
      <c r="AB23" s="8">
        <f>HOTEL!CL25</f>
        <v>0</v>
      </c>
      <c r="AC23" s="7">
        <f>HOTEL!CO25</f>
        <v>0</v>
      </c>
      <c r="AD23" s="8">
        <f>HOTEL!CR25</f>
        <v>0</v>
      </c>
      <c r="AE23" s="7">
        <f>HOTEL!CU25</f>
        <v>0</v>
      </c>
      <c r="AF23" s="7">
        <f>HOTEL!CX25</f>
        <v>0</v>
      </c>
      <c r="AG23" s="7">
        <f>HOTEL!DA25</f>
        <v>0</v>
      </c>
      <c r="AH23" s="7">
        <f>HOTEL!DD25</f>
        <v>0</v>
      </c>
      <c r="AI23" s="7">
        <f>HOTEL!DG25</f>
        <v>0</v>
      </c>
      <c r="AJ23" s="7">
        <f>HOTEL!DJ25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1</v>
      </c>
      <c r="D24" s="7">
        <v>2020</v>
      </c>
      <c r="E24" s="7">
        <f>TOTAL!E24</f>
        <v>0</v>
      </c>
      <c r="F24" s="7">
        <f>HOTEL!M26</f>
        <v>0</v>
      </c>
      <c r="G24" s="7">
        <f>HOTEL!O26</f>
        <v>0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0</v>
      </c>
      <c r="M24" s="7">
        <f>HOTEL!AA26</f>
        <v>0</v>
      </c>
      <c r="N24" s="7">
        <f>HOTEL!AE26</f>
        <v>0</v>
      </c>
      <c r="O24" s="7">
        <f>HOTEL!AG26</f>
        <v>0</v>
      </c>
      <c r="P24" s="7">
        <f>HOTEL!AI26</f>
        <v>0</v>
      </c>
      <c r="Q24" s="7">
        <f>HOTEL!AK26</f>
        <v>0</v>
      </c>
      <c r="R24" s="7">
        <f>HOTEL!AM26</f>
        <v>0</v>
      </c>
      <c r="S24" s="7">
        <f>HOTEL!AO26</f>
        <v>0</v>
      </c>
      <c r="T24" s="7">
        <f>HOTEL!AQ26</f>
        <v>0</v>
      </c>
      <c r="U24" s="7">
        <f>HOTEL!AS26</f>
        <v>0</v>
      </c>
      <c r="V24" s="7">
        <f>HOTEL!AU26</f>
        <v>0</v>
      </c>
      <c r="W24" s="7">
        <f>HOTEL!BG26</f>
        <v>0</v>
      </c>
      <c r="X24" s="7">
        <f>HOTEL!BJ26</f>
        <v>0</v>
      </c>
      <c r="Y24" s="7">
        <f>HOTEL!CC26</f>
        <v>0</v>
      </c>
      <c r="Z24" s="7">
        <f>HOTEL!CF25</f>
        <v>0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</v>
      </c>
      <c r="D25" s="7">
        <v>2020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</v>
      </c>
      <c r="D27" s="7">
        <v>2020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</v>
      </c>
      <c r="D28" s="7">
        <v>2020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</v>
      </c>
      <c r="D29" s="7">
        <v>2020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</v>
      </c>
      <c r="D30" s="7">
        <v>2020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</v>
      </c>
      <c r="D31" s="7">
        <v>2020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1</v>
      </c>
      <c r="D32" s="7">
        <v>2020</v>
      </c>
      <c r="E32" s="7">
        <f>TOTAL!E32</f>
        <v>0</v>
      </c>
      <c r="F32" s="7">
        <f>HOTEL!M34</f>
        <v>0</v>
      </c>
      <c r="G32" s="7">
        <f>HOTEL!O34</f>
        <v>0</v>
      </c>
      <c r="H32" s="8">
        <f>HOTEL!DL34</f>
        <v>0</v>
      </c>
      <c r="I32" s="8">
        <f>HOTEL!DN34</f>
        <v>0</v>
      </c>
      <c r="J32" s="8">
        <f>HOTEL!DP34</f>
        <v>0</v>
      </c>
      <c r="K32" s="8">
        <f>HOTEL!DR34</f>
        <v>0</v>
      </c>
      <c r="L32" s="7">
        <f t="shared" ref="L32" si="3">N32+W32+X32</f>
        <v>0</v>
      </c>
      <c r="M32" s="7">
        <f>HOTEL!AA34</f>
        <v>0</v>
      </c>
      <c r="N32" s="7">
        <f>HOTEL!AE34</f>
        <v>0</v>
      </c>
      <c r="O32" s="7">
        <f>HOTEL!AG34</f>
        <v>0</v>
      </c>
      <c r="P32" s="7">
        <f>HOTEL!AI34</f>
        <v>0</v>
      </c>
      <c r="Q32" s="7">
        <f>HOTEL!AK34</f>
        <v>0</v>
      </c>
      <c r="R32" s="7">
        <f>HOTEL!AM34</f>
        <v>0</v>
      </c>
      <c r="S32" s="7">
        <f>HOTEL!AO34</f>
        <v>0</v>
      </c>
      <c r="T32" s="7">
        <f>HOTEL!AQ34</f>
        <v>0</v>
      </c>
      <c r="U32" s="7">
        <f>HOTEL!AS34</f>
        <v>0</v>
      </c>
      <c r="V32" s="7">
        <f>HOTEL!AU34</f>
        <v>0</v>
      </c>
      <c r="W32" s="7">
        <f>HOTEL!BG34</f>
        <v>0</v>
      </c>
      <c r="X32" s="7">
        <f>HOTEL!BJ34</f>
        <v>0</v>
      </c>
      <c r="Y32" s="7">
        <f>HOTEL!CC34</f>
        <v>0</v>
      </c>
      <c r="Z32" s="7">
        <f>HOTEL!CF33</f>
        <v>0</v>
      </c>
      <c r="AA32" s="7">
        <f>HOTEL!CI34</f>
        <v>0</v>
      </c>
      <c r="AB32" s="8">
        <f>HOTEL!CL34</f>
        <v>0</v>
      </c>
      <c r="AC32" s="7">
        <f>HOTEL!CO34</f>
        <v>0</v>
      </c>
      <c r="AD32" s="8">
        <f>HOTEL!CR34</f>
        <v>0</v>
      </c>
      <c r="AE32" s="7">
        <f>HOTEL!CU34</f>
        <v>0</v>
      </c>
      <c r="AF32" s="7">
        <f>HOTEL!CX34</f>
        <v>0</v>
      </c>
      <c r="AG32" s="7">
        <f>HOTEL!DA34</f>
        <v>0</v>
      </c>
      <c r="AH32" s="7">
        <f>HOTEL!DD34</f>
        <v>0</v>
      </c>
      <c r="AI32" s="7">
        <f>HOTEL!DG34</f>
        <v>0</v>
      </c>
      <c r="AJ32" s="7">
        <f>HOTEL!DJ34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W26" sqref="DW26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1" t="s">
        <v>78</v>
      </c>
      <c r="C1" s="120"/>
      <c r="D1" s="120"/>
      <c r="E1" s="120"/>
      <c r="F1" s="120"/>
      <c r="G1" s="112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1" t="s">
        <v>11</v>
      </c>
      <c r="Q1" s="112"/>
      <c r="R1" s="9" t="s">
        <v>14</v>
      </c>
      <c r="S1" s="84" t="s">
        <v>15</v>
      </c>
      <c r="T1" s="9"/>
      <c r="U1" s="53"/>
      <c r="V1" s="113" t="s">
        <v>117</v>
      </c>
      <c r="W1" s="113"/>
      <c r="X1" s="113" t="s">
        <v>96</v>
      </c>
      <c r="Y1" s="113"/>
      <c r="Z1" s="15" t="s">
        <v>16</v>
      </c>
      <c r="AA1" s="55"/>
      <c r="AB1" s="9" t="s">
        <v>81</v>
      </c>
      <c r="AC1" s="15" t="s">
        <v>13</v>
      </c>
      <c r="AD1" s="114" t="s">
        <v>17</v>
      </c>
      <c r="AE1" s="115"/>
      <c r="AF1" s="111" t="s">
        <v>18</v>
      </c>
      <c r="AG1" s="112"/>
      <c r="AH1" s="111" t="s">
        <v>19</v>
      </c>
      <c r="AI1" s="112"/>
      <c r="AJ1" s="111" t="s">
        <v>20</v>
      </c>
      <c r="AK1" s="112"/>
      <c r="AL1" s="111" t="s">
        <v>21</v>
      </c>
      <c r="AM1" s="112"/>
      <c r="AN1" s="111" t="s">
        <v>22</v>
      </c>
      <c r="AO1" s="112"/>
      <c r="AP1" s="111" t="s">
        <v>23</v>
      </c>
      <c r="AQ1" s="112"/>
      <c r="AR1" s="111" t="s">
        <v>24</v>
      </c>
      <c r="AS1" s="112"/>
      <c r="AT1" s="111" t="s">
        <v>25</v>
      </c>
      <c r="AU1" s="112"/>
      <c r="AV1" s="13"/>
      <c r="AW1" s="56"/>
      <c r="AX1" s="13"/>
      <c r="AY1" s="56"/>
      <c r="AZ1" s="13"/>
      <c r="BA1" s="56"/>
      <c r="BC1" s="55"/>
      <c r="BE1" s="17"/>
      <c r="BF1" s="114" t="s">
        <v>26</v>
      </c>
      <c r="BG1" s="115"/>
      <c r="BH1" s="121" t="s">
        <v>27</v>
      </c>
      <c r="BI1" s="122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6" t="s">
        <v>103</v>
      </c>
      <c r="CK1" s="117"/>
      <c r="CL1" s="118"/>
      <c r="CM1" s="111" t="s">
        <v>18</v>
      </c>
      <c r="CN1" s="120"/>
      <c r="CO1" s="112"/>
      <c r="CP1" s="116" t="s">
        <v>19</v>
      </c>
      <c r="CQ1" s="117"/>
      <c r="CR1" s="118"/>
      <c r="CS1" s="116" t="s">
        <v>20</v>
      </c>
      <c r="CT1" s="117"/>
      <c r="CU1" s="118"/>
      <c r="CV1" s="116" t="s">
        <v>21</v>
      </c>
      <c r="CW1" s="117"/>
      <c r="CX1" s="118"/>
      <c r="CY1" s="116" t="s">
        <v>22</v>
      </c>
      <c r="CZ1" s="117"/>
      <c r="DA1" s="118"/>
      <c r="DB1" s="116" t="s">
        <v>23</v>
      </c>
      <c r="DC1" s="117"/>
      <c r="DD1" s="118"/>
      <c r="DE1" s="116" t="s">
        <v>24</v>
      </c>
      <c r="DF1" s="117"/>
      <c r="DG1" s="118"/>
      <c r="DH1" s="116" t="s">
        <v>25</v>
      </c>
      <c r="DI1" s="117"/>
      <c r="DJ1" s="118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44227</v>
      </c>
      <c r="B3" s="96">
        <v>3309872</v>
      </c>
      <c r="C3" s="25">
        <v>29144</v>
      </c>
      <c r="D3" s="96">
        <v>2781572</v>
      </c>
      <c r="E3" s="25">
        <v>28273</v>
      </c>
      <c r="F3" s="61">
        <v>0.97011391710129014</v>
      </c>
      <c r="G3" s="95">
        <v>1668</v>
      </c>
      <c r="H3" s="97">
        <v>749</v>
      </c>
      <c r="I3" s="25">
        <v>0</v>
      </c>
      <c r="J3" s="97">
        <v>965</v>
      </c>
      <c r="K3" s="25">
        <v>0</v>
      </c>
      <c r="L3" s="96">
        <v>2492958</v>
      </c>
      <c r="M3" s="25">
        <v>1136</v>
      </c>
      <c r="N3" s="99">
        <v>2155954</v>
      </c>
      <c r="O3" s="25">
        <v>662</v>
      </c>
      <c r="P3" s="96">
        <v>78197</v>
      </c>
      <c r="Q3" s="25">
        <v>166</v>
      </c>
      <c r="R3" s="96">
        <v>88</v>
      </c>
      <c r="S3" s="96">
        <v>8</v>
      </c>
      <c r="T3" s="96">
        <v>146127</v>
      </c>
      <c r="U3" s="25">
        <v>145</v>
      </c>
      <c r="V3" s="96">
        <v>32402</v>
      </c>
      <c r="W3" s="25">
        <v>90</v>
      </c>
      <c r="X3" s="96">
        <v>1018</v>
      </c>
      <c r="Y3" s="25">
        <v>1</v>
      </c>
      <c r="Z3" s="100">
        <v>3134</v>
      </c>
      <c r="AA3" s="68">
        <v>11</v>
      </c>
      <c r="AB3" s="61"/>
      <c r="AC3" s="61"/>
      <c r="AD3" s="100">
        <v>560540</v>
      </c>
      <c r="AE3" s="25">
        <v>120</v>
      </c>
      <c r="AF3" s="100">
        <v>51282</v>
      </c>
      <c r="AG3" s="25">
        <v>19</v>
      </c>
      <c r="AH3" s="100">
        <v>8721</v>
      </c>
      <c r="AI3" s="25">
        <v>3</v>
      </c>
      <c r="AJ3" s="100">
        <v>10330</v>
      </c>
      <c r="AK3" s="25">
        <v>2</v>
      </c>
      <c r="AL3" s="100">
        <v>14334</v>
      </c>
      <c r="AM3" s="25">
        <v>6</v>
      </c>
      <c r="AN3" s="100">
        <v>19110</v>
      </c>
      <c r="AO3" s="25">
        <v>7</v>
      </c>
      <c r="AP3" s="100">
        <v>19441</v>
      </c>
      <c r="AQ3" s="25">
        <v>9.9999999999909051E-2</v>
      </c>
      <c r="AR3" s="96">
        <v>13754</v>
      </c>
      <c r="AS3" s="25">
        <v>3</v>
      </c>
      <c r="AT3" s="96">
        <v>6107</v>
      </c>
      <c r="AU3" s="25">
        <v>3</v>
      </c>
      <c r="AV3" s="96">
        <v>25855</v>
      </c>
      <c r="AW3" s="25">
        <v>10</v>
      </c>
      <c r="AX3" s="96">
        <v>807</v>
      </c>
      <c r="AY3" s="25">
        <v>7</v>
      </c>
      <c r="AZ3" s="96">
        <v>3964</v>
      </c>
      <c r="BA3" s="25">
        <v>1</v>
      </c>
      <c r="BB3" s="96">
        <v>3636</v>
      </c>
      <c r="BC3" s="25">
        <v>0</v>
      </c>
      <c r="BD3" s="86">
        <v>9.0999999999999091</v>
      </c>
      <c r="BE3" s="86">
        <v>110.90000000000009</v>
      </c>
      <c r="BF3" s="96">
        <v>585440</v>
      </c>
      <c r="BG3" s="25">
        <v>120</v>
      </c>
      <c r="BH3" s="100">
        <v>756080</v>
      </c>
      <c r="BI3" s="25">
        <v>150</v>
      </c>
      <c r="BJ3" s="25">
        <v>30</v>
      </c>
      <c r="BK3" s="100">
        <v>144</v>
      </c>
      <c r="BL3" s="100">
        <v>18518.16827812406</v>
      </c>
      <c r="BM3" s="66"/>
      <c r="BN3" s="25">
        <v>0</v>
      </c>
      <c r="BO3" s="103">
        <v>198791</v>
      </c>
      <c r="BP3" s="25">
        <v>139</v>
      </c>
      <c r="BQ3" s="61">
        <v>868.75</v>
      </c>
      <c r="BR3" s="103">
        <v>74</v>
      </c>
      <c r="BS3" s="69">
        <v>7973.5</v>
      </c>
      <c r="BT3" s="103">
        <v>75</v>
      </c>
      <c r="BU3" s="69">
        <v>8081.25</v>
      </c>
      <c r="BV3" s="103">
        <v>75</v>
      </c>
      <c r="BW3" s="69">
        <v>8081.25</v>
      </c>
      <c r="BX3" s="69">
        <v>24136</v>
      </c>
      <c r="BY3" s="25">
        <v>-6572.75</v>
      </c>
      <c r="BZ3" s="100"/>
      <c r="CA3" s="96">
        <v>31672</v>
      </c>
      <c r="CB3" s="25">
        <v>52</v>
      </c>
      <c r="CC3" s="61">
        <v>325</v>
      </c>
      <c r="CD3" s="96">
        <v>34012</v>
      </c>
      <c r="CE3" s="25" t="s">
        <v>118</v>
      </c>
      <c r="CF3" s="61">
        <v>0</v>
      </c>
      <c r="CG3" s="96">
        <v>9487</v>
      </c>
      <c r="CH3" s="25">
        <v>11</v>
      </c>
      <c r="CI3" s="61">
        <v>68.75</v>
      </c>
      <c r="CJ3" s="100">
        <v>83028</v>
      </c>
      <c r="CK3" s="25">
        <v>5</v>
      </c>
      <c r="CL3" s="61">
        <v>31.25</v>
      </c>
      <c r="CM3" s="96">
        <v>5416</v>
      </c>
      <c r="CN3" s="25">
        <v>7</v>
      </c>
      <c r="CO3" s="61">
        <v>43.75</v>
      </c>
      <c r="CP3" s="96">
        <v>6488</v>
      </c>
      <c r="CQ3" s="25">
        <v>9</v>
      </c>
      <c r="CR3" s="61">
        <v>56.25</v>
      </c>
      <c r="CS3" s="96">
        <v>3182</v>
      </c>
      <c r="CT3" s="25">
        <v>5</v>
      </c>
      <c r="CU3" s="61">
        <v>31.25</v>
      </c>
      <c r="CV3" s="96">
        <v>1811.7</v>
      </c>
      <c r="CW3" s="25">
        <v>1</v>
      </c>
      <c r="CX3" s="61">
        <v>6.25</v>
      </c>
      <c r="CY3" s="96">
        <v>4674</v>
      </c>
      <c r="CZ3" s="25">
        <v>8</v>
      </c>
      <c r="DA3" s="61">
        <v>50</v>
      </c>
      <c r="DB3" s="96">
        <v>4219</v>
      </c>
      <c r="DC3" s="25">
        <v>5</v>
      </c>
      <c r="DD3" s="61">
        <v>31.25</v>
      </c>
      <c r="DE3" s="96">
        <v>4844</v>
      </c>
      <c r="DF3" s="25">
        <v>7</v>
      </c>
      <c r="DG3" s="61">
        <v>43.75</v>
      </c>
      <c r="DH3" s="96">
        <v>4106</v>
      </c>
      <c r="DI3" s="25">
        <v>7</v>
      </c>
      <c r="DJ3" s="61">
        <v>43.75</v>
      </c>
      <c r="DK3" s="104">
        <v>12382</v>
      </c>
      <c r="DL3" s="25">
        <v>0</v>
      </c>
      <c r="DM3" s="104">
        <v>52386</v>
      </c>
      <c r="DN3" s="25">
        <v>0</v>
      </c>
      <c r="DO3" s="105">
        <v>15518</v>
      </c>
      <c r="DP3" s="25">
        <v>0</v>
      </c>
      <c r="DQ3" s="105">
        <v>23468.400000000001</v>
      </c>
      <c r="DR3" s="25">
        <v>0</v>
      </c>
      <c r="DS3" s="105">
        <v>74</v>
      </c>
      <c r="DT3" s="109">
        <v>195</v>
      </c>
      <c r="DU3" s="110">
        <v>0.65</v>
      </c>
    </row>
    <row r="4" spans="1:125" s="65" customFormat="1" ht="15.75" thickBot="1" x14ac:dyDescent="0.25">
      <c r="A4" s="67">
        <v>44228</v>
      </c>
      <c r="B4" s="98">
        <v>3338798</v>
      </c>
      <c r="C4" s="25">
        <f t="shared" ref="C4:E34" si="0">IF((B4-B3)&lt;0,"0",(B4-B3))</f>
        <v>28926</v>
      </c>
      <c r="D4" s="96">
        <v>2809552</v>
      </c>
      <c r="E4" s="25">
        <f t="shared" si="0"/>
        <v>27980</v>
      </c>
      <c r="F4" s="61">
        <f>E4/C4</f>
        <v>0.9672958583972896</v>
      </c>
      <c r="G4" s="98">
        <v>1664</v>
      </c>
      <c r="H4" s="97">
        <v>749</v>
      </c>
      <c r="I4" s="25">
        <v>0</v>
      </c>
      <c r="J4" s="96">
        <v>965</v>
      </c>
      <c r="K4" s="25">
        <v>0</v>
      </c>
      <c r="L4" s="98">
        <v>2493662</v>
      </c>
      <c r="M4" s="25">
        <f t="shared" ref="M4:M34" si="1">IF((L4-L3)&lt;0,"0",(L4-L3))</f>
        <v>704</v>
      </c>
      <c r="N4" s="98">
        <v>2156566</v>
      </c>
      <c r="O4" s="25">
        <f t="shared" ref="O4:O34" si="2">IF((N4-N3)&lt;0,"0",(N4-N3))</f>
        <v>612</v>
      </c>
      <c r="P4" s="95">
        <v>78382</v>
      </c>
      <c r="Q4" s="25">
        <f t="shared" ref="Q4:Q31" si="3">IF((P4-P3)&lt;0,"0",(P4-P3))</f>
        <v>185</v>
      </c>
      <c r="R4" s="95">
        <v>88</v>
      </c>
      <c r="S4" s="100">
        <v>5</v>
      </c>
      <c r="T4" s="95">
        <v>146253</v>
      </c>
      <c r="U4" s="25">
        <f t="shared" ref="U4:U31" si="4">IF((T4-T3)&lt;0,"0",(T4-T3))</f>
        <v>126</v>
      </c>
      <c r="V4" s="102">
        <v>32489</v>
      </c>
      <c r="W4" s="25">
        <f t="shared" ref="W4:W24" si="5">IF((V4-V3)&lt;0,"0",(V4-V3))</f>
        <v>87</v>
      </c>
      <c r="X4" s="95">
        <v>1018</v>
      </c>
      <c r="Y4" s="25">
        <f t="shared" ref="Y4:Y31" si="6">IF((X4-X3)&lt;0,"0",(X4-X3))</f>
        <v>0</v>
      </c>
      <c r="Z4" s="95">
        <v>3145</v>
      </c>
      <c r="AA4" s="68">
        <f t="shared" ref="AA4:AA33" si="7">IF((Z4-Z3)&lt;0,"0",(Z4-Z3))</f>
        <v>11</v>
      </c>
      <c r="AB4" s="61"/>
      <c r="AC4" s="61"/>
      <c r="AD4" s="95">
        <v>560670</v>
      </c>
      <c r="AE4" s="25">
        <f t="shared" ref="AE4:AG32" si="8">IF((AD4-AD3)&lt;0,"0",(AD4-AD3))</f>
        <v>130</v>
      </c>
      <c r="AF4" s="95">
        <v>51296</v>
      </c>
      <c r="AG4" s="25">
        <f t="shared" si="8"/>
        <v>14</v>
      </c>
      <c r="AH4" s="95">
        <v>8723</v>
      </c>
      <c r="AI4" s="25">
        <f t="shared" ref="AI4:AI33" si="9">IF((AH4-AH3)&lt;0,"0",(AH4-AH3))</f>
        <v>2</v>
      </c>
      <c r="AJ4" s="95">
        <v>10332</v>
      </c>
      <c r="AK4" s="25">
        <f t="shared" ref="AK4:AK33" si="10">IF((AJ4-AJ3)&lt;0,"0",(AJ4-AJ3))</f>
        <v>2</v>
      </c>
      <c r="AL4" s="95">
        <v>14341</v>
      </c>
      <c r="AM4" s="25">
        <f t="shared" ref="AM4:AM33" si="11">IF((AL4-AL3)&lt;0,"0",(AL4-AL3))</f>
        <v>7</v>
      </c>
      <c r="AN4" s="95">
        <v>19118</v>
      </c>
      <c r="AO4" s="25">
        <f t="shared" ref="AO4:AO33" si="12">IF((AN4-AN3)&lt;0,"0",(AN4-AN3))</f>
        <v>8</v>
      </c>
      <c r="AP4" s="95">
        <v>19443</v>
      </c>
      <c r="AQ4" s="25">
        <f t="shared" ref="AQ4:AQ33" si="13">IF((AP4-AP3)&lt;0,"0",(AP4-AP3))</f>
        <v>2</v>
      </c>
      <c r="AR4" s="95">
        <v>13758</v>
      </c>
      <c r="AS4" s="25">
        <f t="shared" ref="AS4:AS33" si="14">IF((AR4-AR3)&lt;0,"0",(AR4-AR3))</f>
        <v>4</v>
      </c>
      <c r="AT4" s="95">
        <v>6111</v>
      </c>
      <c r="AU4" s="25">
        <f t="shared" ref="AU4:AU33" si="15">IF((AT4-AT3)&lt;0,"0",(AT4-AT3))</f>
        <v>4</v>
      </c>
      <c r="AV4" s="95">
        <v>25865</v>
      </c>
      <c r="AW4" s="25">
        <f t="shared" ref="AW4:AW33" si="16">IF((AV4-AV3)&lt;0,"0",(AV4-AV3))</f>
        <v>10</v>
      </c>
      <c r="AX4" s="95">
        <v>812.9</v>
      </c>
      <c r="AY4" s="25">
        <f t="shared" ref="AY4:AY33" si="17">IF((AX4-AX3)&lt;0,"0",(AX4-AX3))</f>
        <v>5.8999999999999773</v>
      </c>
      <c r="AZ4" s="95">
        <v>3976</v>
      </c>
      <c r="BA4" s="25">
        <f t="shared" ref="BA4:BA33" si="18">IF((AZ4-AZ3)&lt;0,"0",(AZ4-AZ3))</f>
        <v>12</v>
      </c>
      <c r="BB4" s="96">
        <v>3636</v>
      </c>
      <c r="BC4" s="25">
        <f t="shared" ref="BC4:BC35" si="19">IF((BB4-BB3)&lt;0,"0",(BB4-BB3))</f>
        <v>0</v>
      </c>
      <c r="BD4" s="86">
        <f>AS4+AQ4+AM4</f>
        <v>13</v>
      </c>
      <c r="BE4" s="86">
        <f t="shared" ref="BE4:BE33" si="20">AE4-BD4</f>
        <v>117</v>
      </c>
      <c r="BF4" s="95">
        <v>585550</v>
      </c>
      <c r="BG4" s="25">
        <f>IF((BF4-BF3)&lt;0,"0",(BF4-BF3))</f>
        <v>110</v>
      </c>
      <c r="BH4" s="95">
        <v>756240</v>
      </c>
      <c r="BI4" s="25">
        <f t="shared" ref="BI4:BI33" si="21">IF((BH4-BH3)&lt;0,"0",(BH4-BH3))</f>
        <v>160</v>
      </c>
      <c r="BJ4" s="25">
        <f t="shared" ref="BJ4:BJ33" si="22">IF((BI4-AE4)&lt;0,"0",(BI4-AE4))</f>
        <v>30</v>
      </c>
      <c r="BK4" s="100">
        <v>144</v>
      </c>
      <c r="BL4" s="123">
        <f t="shared" ref="BL4:BL1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18518.16827812406</v>
      </c>
      <c r="BM4" s="66"/>
      <c r="BN4" s="25">
        <f t="shared" ref="BN4:BN7" si="24">IF((BL3-BL4)&lt;0,"0",(BL3-BL4))</f>
        <v>0</v>
      </c>
      <c r="BO4" s="95">
        <v>198947</v>
      </c>
      <c r="BP4" s="25">
        <f t="shared" ref="BP4:BP33" si="25">IF((BO4-BO3)&lt;0,"0",(BO4-BO3))</f>
        <v>156</v>
      </c>
      <c r="BQ4" s="61">
        <f>BP4*6.25</f>
        <v>975</v>
      </c>
      <c r="BR4" s="95">
        <v>70</v>
      </c>
      <c r="BS4" s="61">
        <f>(BR4*10775)/100</f>
        <v>7542.5</v>
      </c>
      <c r="BT4" s="95">
        <v>72</v>
      </c>
      <c r="BU4" s="69">
        <f t="shared" ref="BU4:BU33" si="26">(BT4*10775)/100</f>
        <v>7758</v>
      </c>
      <c r="BV4" s="95">
        <v>72</v>
      </c>
      <c r="BW4" s="69">
        <f t="shared" ref="BW4:BW33" si="27">(BV4*10775)/100</f>
        <v>7758</v>
      </c>
      <c r="BX4" s="69">
        <f>BS4+BU4+BW4</f>
        <v>23058.5</v>
      </c>
      <c r="BY4" s="25">
        <f>IF((BX3-BX4+BZ3)=BX3,"0",(BX3-BX4+BZ3))</f>
        <v>1077.5</v>
      </c>
      <c r="BZ4" s="100"/>
      <c r="CA4" s="95">
        <v>31727</v>
      </c>
      <c r="CB4" s="25">
        <f t="shared" ref="CB4:CB33" si="28">IF((CA4-CA3)&lt;0,"0",(CA4-CA3))</f>
        <v>55</v>
      </c>
      <c r="CC4" s="61">
        <f>CB4*6.25</f>
        <v>343.75</v>
      </c>
      <c r="CD4" s="95">
        <v>34029</v>
      </c>
      <c r="CE4" s="25">
        <f t="shared" ref="CE4:CE33" si="29">IF((CD4-CD3)&lt;0,"0",(CD4-CD3))</f>
        <v>17</v>
      </c>
      <c r="CF4" s="61">
        <f>CE4*6.25</f>
        <v>106.25</v>
      </c>
      <c r="CG4" s="95">
        <v>9504</v>
      </c>
      <c r="CH4" s="25">
        <f t="shared" ref="CH4:CH33" si="30">IF((CG4-CG3)&lt;0,"0",(CG4-CG3))</f>
        <v>17</v>
      </c>
      <c r="CI4" s="61">
        <f>CH4*6.25</f>
        <v>106.25</v>
      </c>
      <c r="CJ4" s="95">
        <v>83033</v>
      </c>
      <c r="CK4" s="25">
        <f t="shared" ref="CK4:CK33" si="31">IF((CJ4-CJ3)&lt;0,"0",(CJ4-CJ3))</f>
        <v>5</v>
      </c>
      <c r="CL4" s="61">
        <f>CK4*6.25</f>
        <v>31.25</v>
      </c>
      <c r="CM4" s="95">
        <v>5421</v>
      </c>
      <c r="CN4" s="25">
        <f t="shared" ref="CN4:CN33" si="32">IF((CM4-CM3)&lt;0,"0",(CM4-CM3))</f>
        <v>5</v>
      </c>
      <c r="CO4" s="61">
        <f t="shared" ref="CO4:CO31" si="33">CN4*6.25</f>
        <v>31.25</v>
      </c>
      <c r="CP4" s="95">
        <v>6499</v>
      </c>
      <c r="CQ4" s="25">
        <f t="shared" ref="CQ4:CQ33" si="34">IF((CP4-CP3)&lt;0,"0",(CP4-CP3))</f>
        <v>11</v>
      </c>
      <c r="CR4" s="61">
        <f t="shared" ref="CR4:CR33" si="35">CQ4*6.25</f>
        <v>68.75</v>
      </c>
      <c r="CS4" s="95">
        <v>3187</v>
      </c>
      <c r="CT4" s="25">
        <f t="shared" ref="CT4:CT33" si="36">IF((CS4-CS3)&lt;0,"0",(CS4-CS3))</f>
        <v>5</v>
      </c>
      <c r="CU4" s="61">
        <f t="shared" ref="CU4:CU33" si="37">CT4*6.25</f>
        <v>31.25</v>
      </c>
      <c r="CV4" s="95">
        <v>1812.7</v>
      </c>
      <c r="CW4" s="25">
        <f t="shared" ref="CW4:CW33" si="38">IF((CV4-CV3)&lt;0,"0",(CV4-CV3))</f>
        <v>1</v>
      </c>
      <c r="CX4" s="61">
        <f t="shared" ref="CX4:CX33" si="39">CW4*6.25</f>
        <v>6.25</v>
      </c>
      <c r="CY4" s="95">
        <v>4680</v>
      </c>
      <c r="CZ4" s="25">
        <f t="shared" ref="CZ4:CZ33" si="40">IF((CY4-CY3)&lt;0,"0",(CY4-CY3))</f>
        <v>6</v>
      </c>
      <c r="DA4" s="61">
        <f t="shared" ref="DA4:DA33" si="41">CZ4*6.25</f>
        <v>37.5</v>
      </c>
      <c r="DB4" s="95">
        <v>4223</v>
      </c>
      <c r="DC4" s="25">
        <f t="shared" ref="DC4:DC33" si="42">IF((DB4-DB3)&lt;0,"0",(DB4-DB3))</f>
        <v>4</v>
      </c>
      <c r="DD4" s="61">
        <f t="shared" ref="DD4:DD33" si="43">DC4*6.25</f>
        <v>25</v>
      </c>
      <c r="DE4" s="95">
        <v>4851</v>
      </c>
      <c r="DF4" s="25">
        <f t="shared" ref="DF4:DF33" si="44">IF((DE4-DE3)&lt;0,"0",(DE4-DE3))</f>
        <v>7</v>
      </c>
      <c r="DG4" s="61">
        <f t="shared" ref="DG4:DG33" si="45">DF4*6.25</f>
        <v>43.75</v>
      </c>
      <c r="DH4" s="95">
        <v>4113</v>
      </c>
      <c r="DI4" s="25">
        <f t="shared" ref="DI4:DI33" si="46">IF((DH4-DH3)&lt;0,"0",(DH4-DH3))</f>
        <v>7</v>
      </c>
      <c r="DJ4" s="61">
        <f t="shared" ref="DJ4:DJ33" si="47">DI4*6.25</f>
        <v>43.75</v>
      </c>
      <c r="DK4" s="104">
        <v>12382</v>
      </c>
      <c r="DL4" s="25">
        <f t="shared" ref="DL4:DL33" si="48">IF((DK4-DK3)&lt;0,"0",(DK4-DK3))</f>
        <v>0</v>
      </c>
      <c r="DM4" s="104">
        <v>52386</v>
      </c>
      <c r="DN4" s="25">
        <f t="shared" ref="DN4:DN33" si="49">IF((DM4-DM3)&lt;0,"0",(DM4-DM3))</f>
        <v>0</v>
      </c>
      <c r="DO4" s="105">
        <v>15518</v>
      </c>
      <c r="DP4" s="25">
        <f t="shared" ref="DP4:DP33" si="50">IF((DO4-DO3)&lt;0,"0",(DO4-DO3))</f>
        <v>0</v>
      </c>
      <c r="DQ4" s="105">
        <v>23468.400000000001</v>
      </c>
      <c r="DR4" s="25">
        <f>IF((DQ4-DQ3)&lt;0,"0",(DQ4-DQ3))</f>
        <v>0</v>
      </c>
      <c r="DS4" s="105">
        <v>87</v>
      </c>
      <c r="DT4" s="109">
        <v>209</v>
      </c>
      <c r="DU4" s="110">
        <v>0.65</v>
      </c>
    </row>
    <row r="5" spans="1:125" s="65" customFormat="1" ht="15.75" thickBot="1" x14ac:dyDescent="0.25">
      <c r="A5" s="67">
        <v>44229</v>
      </c>
      <c r="B5" s="95">
        <v>3368392</v>
      </c>
      <c r="C5" s="25">
        <f t="shared" si="0"/>
        <v>29594</v>
      </c>
      <c r="D5" s="95">
        <v>2838127</v>
      </c>
      <c r="E5" s="25">
        <f t="shared" si="0"/>
        <v>28575</v>
      </c>
      <c r="F5" s="61">
        <f t="shared" ref="F5:F34" si="51">E5/C5</f>
        <v>0.96556734473204031</v>
      </c>
      <c r="G5" s="98">
        <v>1664</v>
      </c>
      <c r="H5" s="97">
        <v>749</v>
      </c>
      <c r="I5" s="25">
        <v>0</v>
      </c>
      <c r="J5" s="96">
        <v>965</v>
      </c>
      <c r="K5" s="25">
        <v>0</v>
      </c>
      <c r="L5" s="95">
        <v>2494478</v>
      </c>
      <c r="M5" s="25">
        <f t="shared" si="1"/>
        <v>816</v>
      </c>
      <c r="N5" s="95">
        <v>2157183</v>
      </c>
      <c r="O5" s="25">
        <f t="shared" si="2"/>
        <v>617</v>
      </c>
      <c r="P5" s="96">
        <v>78540</v>
      </c>
      <c r="Q5" s="25">
        <f t="shared" si="3"/>
        <v>158</v>
      </c>
      <c r="R5" s="95">
        <v>83</v>
      </c>
      <c r="S5" s="100">
        <v>3</v>
      </c>
      <c r="T5" s="95">
        <v>146307</v>
      </c>
      <c r="U5" s="25">
        <f t="shared" si="4"/>
        <v>54</v>
      </c>
      <c r="V5" s="102">
        <v>32579</v>
      </c>
      <c r="W5" s="25">
        <f t="shared" si="5"/>
        <v>90</v>
      </c>
      <c r="X5" s="96">
        <v>1018</v>
      </c>
      <c r="Y5" s="25">
        <f t="shared" si="6"/>
        <v>0</v>
      </c>
      <c r="Z5" s="95">
        <v>3145</v>
      </c>
      <c r="AA5" s="68">
        <f t="shared" si="7"/>
        <v>0</v>
      </c>
      <c r="AB5" s="61"/>
      <c r="AC5" s="61"/>
      <c r="AD5" s="95">
        <v>560810</v>
      </c>
      <c r="AE5" s="25">
        <f t="shared" si="8"/>
        <v>140</v>
      </c>
      <c r="AF5" s="95">
        <v>51311</v>
      </c>
      <c r="AG5" s="25">
        <f t="shared" si="8"/>
        <v>15</v>
      </c>
      <c r="AH5" s="95">
        <v>8725</v>
      </c>
      <c r="AI5" s="25">
        <f t="shared" si="9"/>
        <v>2</v>
      </c>
      <c r="AJ5" s="95">
        <v>10335</v>
      </c>
      <c r="AK5" s="25">
        <f t="shared" si="10"/>
        <v>3</v>
      </c>
      <c r="AL5" s="95">
        <v>14345</v>
      </c>
      <c r="AM5" s="25">
        <f t="shared" si="11"/>
        <v>4</v>
      </c>
      <c r="AN5" s="95">
        <v>19123</v>
      </c>
      <c r="AO5" s="25">
        <f t="shared" si="12"/>
        <v>5</v>
      </c>
      <c r="AP5" s="95">
        <v>19445</v>
      </c>
      <c r="AQ5" s="25">
        <f t="shared" si="13"/>
        <v>2</v>
      </c>
      <c r="AR5" s="95">
        <v>13761</v>
      </c>
      <c r="AS5" s="25">
        <f t="shared" si="14"/>
        <v>3</v>
      </c>
      <c r="AT5" s="95">
        <v>6114</v>
      </c>
      <c r="AU5" s="25">
        <f t="shared" si="15"/>
        <v>3</v>
      </c>
      <c r="AV5" s="95">
        <v>25875</v>
      </c>
      <c r="AW5" s="25">
        <f t="shared" si="16"/>
        <v>10</v>
      </c>
      <c r="AX5" s="95">
        <v>819.2</v>
      </c>
      <c r="AY5" s="25">
        <f t="shared" si="17"/>
        <v>6.3000000000000682</v>
      </c>
      <c r="AZ5" s="95">
        <v>3982</v>
      </c>
      <c r="BA5" s="25">
        <f t="shared" si="18"/>
        <v>6</v>
      </c>
      <c r="BB5" s="96">
        <v>3636</v>
      </c>
      <c r="BC5" s="25">
        <f t="shared" si="19"/>
        <v>0</v>
      </c>
      <c r="BD5" s="86">
        <f>AS5+AQ5+AM5</f>
        <v>9</v>
      </c>
      <c r="BE5" s="86">
        <f t="shared" si="20"/>
        <v>131</v>
      </c>
      <c r="BF5" s="95">
        <v>585670</v>
      </c>
      <c r="BG5" s="25">
        <f>IF((BF5-BF4)&lt;0,"0",(BF5-BF4))</f>
        <v>120</v>
      </c>
      <c r="BH5" s="95">
        <v>756410</v>
      </c>
      <c r="BI5" s="25">
        <f t="shared" si="21"/>
        <v>170</v>
      </c>
      <c r="BJ5" s="25">
        <f t="shared" si="22"/>
        <v>30</v>
      </c>
      <c r="BK5" s="100">
        <v>144</v>
      </c>
      <c r="BL5" s="123">
        <f t="shared" si="23"/>
        <v>18518.16827812406</v>
      </c>
      <c r="BM5" s="61"/>
      <c r="BN5" s="25">
        <f t="shared" si="24"/>
        <v>0</v>
      </c>
      <c r="BO5" s="95">
        <v>199079</v>
      </c>
      <c r="BP5" s="25">
        <f t="shared" si="25"/>
        <v>132</v>
      </c>
      <c r="BQ5" s="61">
        <f t="shared" ref="BQ5:BQ33" si="52">BP5*6.25</f>
        <v>825</v>
      </c>
      <c r="BR5" s="95">
        <v>65</v>
      </c>
      <c r="BS5" s="69">
        <f t="shared" ref="BS5:BS33" si="53">(BR5*10775)/100</f>
        <v>7003.75</v>
      </c>
      <c r="BT5" s="95">
        <v>70</v>
      </c>
      <c r="BU5" s="69">
        <f t="shared" si="26"/>
        <v>7542.5</v>
      </c>
      <c r="BV5" s="95">
        <v>70</v>
      </c>
      <c r="BW5" s="69">
        <f t="shared" si="27"/>
        <v>7542.5</v>
      </c>
      <c r="BX5" s="69">
        <f t="shared" ref="BX5:BX33" si="54">BS5+BU5+BW5</f>
        <v>22088.75</v>
      </c>
      <c r="BY5" s="25">
        <f>IF((BX4-BX5+BZ4)=BX4,"0",(BX4-BX5+BZ4))</f>
        <v>969.75</v>
      </c>
      <c r="BZ5" s="100"/>
      <c r="CA5" s="95">
        <v>31784</v>
      </c>
      <c r="CB5" s="25">
        <f t="shared" si="28"/>
        <v>57</v>
      </c>
      <c r="CC5" s="61">
        <f>CB5*6.25</f>
        <v>356.25</v>
      </c>
      <c r="CD5" s="95">
        <v>34037</v>
      </c>
      <c r="CE5" s="25">
        <f t="shared" si="29"/>
        <v>8</v>
      </c>
      <c r="CF5" s="61">
        <f t="shared" ref="CF5:CF33" si="55">CE5*6.25</f>
        <v>50</v>
      </c>
      <c r="CG5" s="95">
        <v>9514</v>
      </c>
      <c r="CH5" s="25">
        <f t="shared" si="30"/>
        <v>10</v>
      </c>
      <c r="CI5" s="61">
        <f t="shared" ref="CI5:CI33" si="56">CH5*6.25</f>
        <v>62.5</v>
      </c>
      <c r="CJ5" s="101">
        <v>83037</v>
      </c>
      <c r="CK5" s="25">
        <f t="shared" si="31"/>
        <v>4</v>
      </c>
      <c r="CL5" s="61">
        <f t="shared" ref="CL5:CL31" si="57">CK5*6.25</f>
        <v>25</v>
      </c>
      <c r="CM5" s="95">
        <v>5426</v>
      </c>
      <c r="CN5" s="25">
        <f t="shared" si="32"/>
        <v>5</v>
      </c>
      <c r="CO5" s="61">
        <f t="shared" si="33"/>
        <v>31.25</v>
      </c>
      <c r="CP5" s="95">
        <v>6507</v>
      </c>
      <c r="CQ5" s="25">
        <f t="shared" si="34"/>
        <v>8</v>
      </c>
      <c r="CR5" s="61">
        <f t="shared" si="35"/>
        <v>50</v>
      </c>
      <c r="CS5" s="95">
        <v>3192</v>
      </c>
      <c r="CT5" s="25">
        <f t="shared" si="36"/>
        <v>5</v>
      </c>
      <c r="CU5" s="61">
        <f t="shared" si="37"/>
        <v>31.25</v>
      </c>
      <c r="CV5" s="95">
        <v>1813.7</v>
      </c>
      <c r="CW5" s="25">
        <f t="shared" si="38"/>
        <v>1</v>
      </c>
      <c r="CX5" s="61">
        <f t="shared" si="39"/>
        <v>6.25</v>
      </c>
      <c r="CY5" s="95">
        <v>4687</v>
      </c>
      <c r="CZ5" s="25">
        <f t="shared" si="40"/>
        <v>7</v>
      </c>
      <c r="DA5" s="61">
        <f t="shared" si="41"/>
        <v>43.75</v>
      </c>
      <c r="DB5" s="95">
        <v>4228</v>
      </c>
      <c r="DC5" s="25">
        <f t="shared" si="42"/>
        <v>5</v>
      </c>
      <c r="DD5" s="61">
        <f t="shared" si="43"/>
        <v>31.25</v>
      </c>
      <c r="DE5" s="95">
        <v>4858</v>
      </c>
      <c r="DF5" s="25">
        <f t="shared" si="44"/>
        <v>7</v>
      </c>
      <c r="DG5" s="61">
        <f t="shared" si="45"/>
        <v>43.75</v>
      </c>
      <c r="DH5" s="95">
        <v>4121</v>
      </c>
      <c r="DI5" s="25">
        <f t="shared" si="46"/>
        <v>8</v>
      </c>
      <c r="DJ5" s="61">
        <f t="shared" si="47"/>
        <v>50</v>
      </c>
      <c r="DK5" s="104">
        <v>12382</v>
      </c>
      <c r="DL5" s="25">
        <f t="shared" si="48"/>
        <v>0</v>
      </c>
      <c r="DM5" s="104">
        <v>52386</v>
      </c>
      <c r="DN5" s="25">
        <f t="shared" si="49"/>
        <v>0</v>
      </c>
      <c r="DO5" s="105">
        <v>15518</v>
      </c>
      <c r="DP5" s="25">
        <f t="shared" si="50"/>
        <v>0</v>
      </c>
      <c r="DQ5" s="105">
        <v>23468.400000000001</v>
      </c>
      <c r="DR5" s="25">
        <f>IF((DQ5-DQ4)&lt;0,"0",(DQ5-DQ4))</f>
        <v>0</v>
      </c>
      <c r="DS5" s="105">
        <v>74</v>
      </c>
      <c r="DT5" s="109">
        <v>169</v>
      </c>
      <c r="DU5" s="110">
        <v>0.56000000000000005</v>
      </c>
    </row>
    <row r="6" spans="1:125" s="65" customFormat="1" ht="15.75" thickBot="1" x14ac:dyDescent="0.25">
      <c r="A6" s="67">
        <v>44230</v>
      </c>
      <c r="B6" s="95">
        <v>3399343</v>
      </c>
      <c r="C6" s="25">
        <f t="shared" si="0"/>
        <v>30951</v>
      </c>
      <c r="D6" s="95">
        <v>2868009</v>
      </c>
      <c r="E6" s="25">
        <f t="shared" si="0"/>
        <v>29882</v>
      </c>
      <c r="F6" s="61">
        <f t="shared" si="51"/>
        <v>0.96546153597622053</v>
      </c>
      <c r="G6" s="95">
        <v>1664</v>
      </c>
      <c r="H6" s="97">
        <v>749</v>
      </c>
      <c r="I6" s="25">
        <v>0</v>
      </c>
      <c r="J6" s="96">
        <v>965</v>
      </c>
      <c r="K6" s="25">
        <v>0</v>
      </c>
      <c r="L6" s="95">
        <v>2496537</v>
      </c>
      <c r="M6" s="25">
        <f t="shared" si="1"/>
        <v>2059</v>
      </c>
      <c r="N6" s="95">
        <v>2157844</v>
      </c>
      <c r="O6" s="25">
        <f t="shared" si="2"/>
        <v>661</v>
      </c>
      <c r="P6" s="96">
        <v>78650</v>
      </c>
      <c r="Q6" s="25">
        <f t="shared" si="3"/>
        <v>110</v>
      </c>
      <c r="R6" s="95">
        <v>66</v>
      </c>
      <c r="S6" s="100">
        <v>0</v>
      </c>
      <c r="T6" s="95">
        <v>146331</v>
      </c>
      <c r="U6" s="25">
        <f t="shared" si="4"/>
        <v>24</v>
      </c>
      <c r="V6" s="102">
        <v>32670</v>
      </c>
      <c r="W6" s="25">
        <f t="shared" si="5"/>
        <v>91</v>
      </c>
      <c r="X6" s="96">
        <v>1018</v>
      </c>
      <c r="Y6" s="25">
        <f t="shared" si="6"/>
        <v>0</v>
      </c>
      <c r="Z6" s="95">
        <v>3188</v>
      </c>
      <c r="AA6" s="68">
        <f t="shared" si="7"/>
        <v>43</v>
      </c>
      <c r="AB6" s="61"/>
      <c r="AC6" s="61"/>
      <c r="AD6" s="95">
        <v>560940</v>
      </c>
      <c r="AE6" s="25">
        <f t="shared" si="8"/>
        <v>130</v>
      </c>
      <c r="AF6" s="95">
        <v>51330</v>
      </c>
      <c r="AG6" s="25">
        <f t="shared" si="8"/>
        <v>19</v>
      </c>
      <c r="AH6" s="95">
        <v>8728</v>
      </c>
      <c r="AI6" s="25">
        <f t="shared" si="9"/>
        <v>3</v>
      </c>
      <c r="AJ6" s="95">
        <v>10338</v>
      </c>
      <c r="AK6" s="25">
        <f t="shared" si="10"/>
        <v>3</v>
      </c>
      <c r="AL6" s="95">
        <v>14346</v>
      </c>
      <c r="AM6" s="25">
        <f t="shared" si="11"/>
        <v>1</v>
      </c>
      <c r="AN6" s="95">
        <v>19128</v>
      </c>
      <c r="AO6" s="25">
        <f t="shared" si="12"/>
        <v>5</v>
      </c>
      <c r="AP6" s="95">
        <v>19447</v>
      </c>
      <c r="AQ6" s="25">
        <f t="shared" si="13"/>
        <v>2</v>
      </c>
      <c r="AR6" s="95">
        <v>13764</v>
      </c>
      <c r="AS6" s="25">
        <f t="shared" si="14"/>
        <v>3</v>
      </c>
      <c r="AT6" s="95">
        <v>6116</v>
      </c>
      <c r="AU6" s="25">
        <f t="shared" si="15"/>
        <v>2</v>
      </c>
      <c r="AV6" s="95">
        <v>25888</v>
      </c>
      <c r="AW6" s="25">
        <f t="shared" si="16"/>
        <v>13</v>
      </c>
      <c r="AX6" s="95">
        <v>825.7</v>
      </c>
      <c r="AY6" s="25">
        <f t="shared" si="17"/>
        <v>6.5</v>
      </c>
      <c r="AZ6" s="95">
        <v>3990</v>
      </c>
      <c r="BA6" s="25">
        <f t="shared" si="18"/>
        <v>8</v>
      </c>
      <c r="BB6" s="96">
        <v>3636</v>
      </c>
      <c r="BC6" s="25">
        <f t="shared" si="19"/>
        <v>0</v>
      </c>
      <c r="BD6" s="86">
        <f t="shared" ref="BD6:BD33" si="58">AS6+AQ6+AM6</f>
        <v>6</v>
      </c>
      <c r="BE6" s="86">
        <f t="shared" si="20"/>
        <v>124</v>
      </c>
      <c r="BF6" s="95">
        <v>585780</v>
      </c>
      <c r="BG6" s="25">
        <f>IF((BF6-BF5)&lt;0,"0",(BF6-BF5))</f>
        <v>110</v>
      </c>
      <c r="BH6" s="95">
        <v>756570</v>
      </c>
      <c r="BI6" s="25">
        <f t="shared" si="21"/>
        <v>160</v>
      </c>
      <c r="BJ6" s="25">
        <f t="shared" si="22"/>
        <v>30</v>
      </c>
      <c r="BK6" s="100">
        <v>144</v>
      </c>
      <c r="BL6" s="123">
        <f t="shared" si="23"/>
        <v>18518.16827812406</v>
      </c>
      <c r="BM6" s="61"/>
      <c r="BN6" s="25">
        <f t="shared" si="24"/>
        <v>0</v>
      </c>
      <c r="BO6" s="95">
        <v>199205</v>
      </c>
      <c r="BP6" s="25">
        <f t="shared" si="25"/>
        <v>126</v>
      </c>
      <c r="BQ6" s="61">
        <f t="shared" si="52"/>
        <v>787.5</v>
      </c>
      <c r="BR6" s="95">
        <v>65</v>
      </c>
      <c r="BS6" s="69">
        <f t="shared" si="53"/>
        <v>7003.75</v>
      </c>
      <c r="BT6" s="95">
        <v>70</v>
      </c>
      <c r="BU6" s="69">
        <f t="shared" si="26"/>
        <v>7542.5</v>
      </c>
      <c r="BV6" s="95">
        <v>65</v>
      </c>
      <c r="BW6" s="69">
        <f t="shared" si="27"/>
        <v>7003.75</v>
      </c>
      <c r="BX6" s="69">
        <f t="shared" si="54"/>
        <v>21550</v>
      </c>
      <c r="BY6" s="25">
        <f>IF((BX5-BX6+BZ5)=BX5,"0",(BX5-BX6+BZ5))</f>
        <v>538.75</v>
      </c>
      <c r="BZ6" s="100"/>
      <c r="CA6" s="95">
        <v>31839</v>
      </c>
      <c r="CB6" s="25">
        <f t="shared" si="28"/>
        <v>55</v>
      </c>
      <c r="CC6" s="61">
        <f t="shared" ref="CC6:CC33" si="59">CB6*6.25</f>
        <v>343.75</v>
      </c>
      <c r="CD6" s="95">
        <v>34037</v>
      </c>
      <c r="CE6" s="25">
        <f t="shared" si="29"/>
        <v>0</v>
      </c>
      <c r="CF6" s="61">
        <f t="shared" si="55"/>
        <v>0</v>
      </c>
      <c r="CG6" s="95">
        <v>9529</v>
      </c>
      <c r="CH6" s="25">
        <f t="shared" si="30"/>
        <v>15</v>
      </c>
      <c r="CI6" s="61">
        <f t="shared" si="56"/>
        <v>93.75</v>
      </c>
      <c r="CJ6" s="101">
        <v>83041</v>
      </c>
      <c r="CK6" s="25">
        <f t="shared" si="31"/>
        <v>4</v>
      </c>
      <c r="CL6" s="61">
        <f t="shared" si="57"/>
        <v>25</v>
      </c>
      <c r="CM6" s="95">
        <v>5432</v>
      </c>
      <c r="CN6" s="25">
        <f t="shared" si="32"/>
        <v>6</v>
      </c>
      <c r="CO6" s="61">
        <f t="shared" si="33"/>
        <v>37.5</v>
      </c>
      <c r="CP6" s="95">
        <v>6516</v>
      </c>
      <c r="CQ6" s="25">
        <f t="shared" si="34"/>
        <v>9</v>
      </c>
      <c r="CR6" s="61">
        <f t="shared" si="35"/>
        <v>56.25</v>
      </c>
      <c r="CS6" s="95">
        <v>3197</v>
      </c>
      <c r="CT6" s="25">
        <f t="shared" si="36"/>
        <v>5</v>
      </c>
      <c r="CU6" s="61">
        <f t="shared" si="37"/>
        <v>31.25</v>
      </c>
      <c r="CV6" s="95">
        <v>1814.5</v>
      </c>
      <c r="CW6" s="25">
        <f t="shared" si="38"/>
        <v>0.79999999999995453</v>
      </c>
      <c r="CX6" s="61">
        <f t="shared" si="39"/>
        <v>4.9999999999997158</v>
      </c>
      <c r="CY6" s="95">
        <v>4694</v>
      </c>
      <c r="CZ6" s="25">
        <f t="shared" si="40"/>
        <v>7</v>
      </c>
      <c r="DA6" s="61">
        <f t="shared" si="41"/>
        <v>43.75</v>
      </c>
      <c r="DB6" s="95">
        <v>4233</v>
      </c>
      <c r="DC6" s="25">
        <f t="shared" si="42"/>
        <v>5</v>
      </c>
      <c r="DD6" s="61">
        <f t="shared" si="43"/>
        <v>31.25</v>
      </c>
      <c r="DE6" s="95">
        <v>4866</v>
      </c>
      <c r="DF6" s="25">
        <f t="shared" si="44"/>
        <v>8</v>
      </c>
      <c r="DG6" s="61">
        <f t="shared" si="45"/>
        <v>50</v>
      </c>
      <c r="DH6" s="95">
        <v>4128</v>
      </c>
      <c r="DI6" s="25">
        <f t="shared" si="46"/>
        <v>7</v>
      </c>
      <c r="DJ6" s="61">
        <f t="shared" si="47"/>
        <v>43.75</v>
      </c>
      <c r="DK6" s="104">
        <v>12382</v>
      </c>
      <c r="DL6" s="25">
        <f>IF((DK6-DK5)&lt;0,"0",(DK6-DK5))</f>
        <v>0</v>
      </c>
      <c r="DM6" s="104">
        <v>52386</v>
      </c>
      <c r="DN6" s="25">
        <f t="shared" si="49"/>
        <v>0</v>
      </c>
      <c r="DO6" s="105">
        <v>15518</v>
      </c>
      <c r="DP6" s="25">
        <f t="shared" si="50"/>
        <v>0</v>
      </c>
      <c r="DQ6" s="105">
        <v>23468.400000000001</v>
      </c>
      <c r="DR6" s="25">
        <f>IF((DQ6-DQ5)&lt;0,"0",(DQ6-DQ5))</f>
        <v>0</v>
      </c>
      <c r="DS6" s="105">
        <v>79</v>
      </c>
      <c r="DT6" s="109">
        <v>181</v>
      </c>
      <c r="DU6" s="110">
        <v>0.59</v>
      </c>
    </row>
    <row r="7" spans="1:125" s="65" customFormat="1" ht="15.75" thickBot="1" x14ac:dyDescent="0.25">
      <c r="A7" s="67">
        <v>44231</v>
      </c>
      <c r="B7" s="96">
        <v>3428739</v>
      </c>
      <c r="C7" s="25">
        <f t="shared" si="0"/>
        <v>29396</v>
      </c>
      <c r="D7" s="96">
        <v>2896529</v>
      </c>
      <c r="E7" s="25">
        <f t="shared" si="0"/>
        <v>28520</v>
      </c>
      <c r="F7" s="61">
        <f t="shared" si="51"/>
        <v>0.97020002721458698</v>
      </c>
      <c r="G7" s="95">
        <v>1664</v>
      </c>
      <c r="H7" s="97">
        <v>749</v>
      </c>
      <c r="I7" s="25">
        <v>0</v>
      </c>
      <c r="J7" s="96">
        <v>965</v>
      </c>
      <c r="K7" s="25">
        <v>0</v>
      </c>
      <c r="L7" s="96">
        <v>2498459</v>
      </c>
      <c r="M7" s="25">
        <f t="shared" si="1"/>
        <v>1922</v>
      </c>
      <c r="N7" s="96">
        <v>2158450</v>
      </c>
      <c r="O7" s="25">
        <f t="shared" si="2"/>
        <v>606</v>
      </c>
      <c r="P7" s="96">
        <v>78760</v>
      </c>
      <c r="Q7" s="25">
        <f t="shared" si="3"/>
        <v>110</v>
      </c>
      <c r="R7" s="96">
        <v>83</v>
      </c>
      <c r="S7" s="100">
        <v>8</v>
      </c>
      <c r="T7" s="101">
        <v>146559</v>
      </c>
      <c r="U7" s="25">
        <f t="shared" si="4"/>
        <v>228</v>
      </c>
      <c r="V7" s="102">
        <v>32760</v>
      </c>
      <c r="W7" s="25">
        <f t="shared" si="5"/>
        <v>90</v>
      </c>
      <c r="X7" s="96">
        <v>1018</v>
      </c>
      <c r="Y7" s="25">
        <f t="shared" si="6"/>
        <v>0</v>
      </c>
      <c r="Z7" s="96">
        <v>3188</v>
      </c>
      <c r="AA7" s="68">
        <f t="shared" si="7"/>
        <v>0</v>
      </c>
      <c r="AB7" s="61"/>
      <c r="AC7" s="61"/>
      <c r="AD7" s="96">
        <v>561100</v>
      </c>
      <c r="AE7" s="25">
        <f t="shared" si="8"/>
        <v>160</v>
      </c>
      <c r="AF7" s="96">
        <v>51346</v>
      </c>
      <c r="AG7" s="25">
        <f t="shared" si="8"/>
        <v>16</v>
      </c>
      <c r="AH7" s="96">
        <v>8730</v>
      </c>
      <c r="AI7" s="25">
        <f t="shared" si="9"/>
        <v>2</v>
      </c>
      <c r="AJ7" s="96">
        <v>10342</v>
      </c>
      <c r="AK7" s="25">
        <f t="shared" si="10"/>
        <v>4</v>
      </c>
      <c r="AL7" s="96">
        <v>14349</v>
      </c>
      <c r="AM7" s="25">
        <f t="shared" si="11"/>
        <v>3</v>
      </c>
      <c r="AN7" s="96">
        <v>19135</v>
      </c>
      <c r="AO7" s="25">
        <f t="shared" si="12"/>
        <v>7</v>
      </c>
      <c r="AP7" s="96">
        <v>19450</v>
      </c>
      <c r="AQ7" s="25">
        <f t="shared" si="13"/>
        <v>3</v>
      </c>
      <c r="AR7" s="96">
        <v>13766</v>
      </c>
      <c r="AS7" s="25">
        <f t="shared" si="14"/>
        <v>2</v>
      </c>
      <c r="AT7" s="96">
        <v>6117</v>
      </c>
      <c r="AU7" s="25">
        <f t="shared" si="15"/>
        <v>1</v>
      </c>
      <c r="AV7" s="96">
        <v>25899</v>
      </c>
      <c r="AW7" s="25">
        <f t="shared" si="16"/>
        <v>11</v>
      </c>
      <c r="AX7" s="96">
        <v>832.7</v>
      </c>
      <c r="AY7" s="25">
        <f t="shared" si="17"/>
        <v>7</v>
      </c>
      <c r="AZ7" s="96">
        <v>4000</v>
      </c>
      <c r="BA7" s="25">
        <f t="shared" si="18"/>
        <v>10</v>
      </c>
      <c r="BB7" s="96">
        <v>3636</v>
      </c>
      <c r="BC7" s="25">
        <f t="shared" si="19"/>
        <v>0</v>
      </c>
      <c r="BD7" s="86">
        <f t="shared" si="58"/>
        <v>8</v>
      </c>
      <c r="BE7" s="86">
        <f t="shared" si="20"/>
        <v>152</v>
      </c>
      <c r="BF7" s="96">
        <v>585900</v>
      </c>
      <c r="BG7" s="25">
        <f t="shared" ref="BG7:BG33" si="60">IF((BF7-BF6)&lt;0,"0",(BF7-BF6))</f>
        <v>120</v>
      </c>
      <c r="BH7" s="96">
        <v>756750</v>
      </c>
      <c r="BI7" s="25">
        <f t="shared" si="21"/>
        <v>180</v>
      </c>
      <c r="BJ7" s="25">
        <f t="shared" si="22"/>
        <v>20</v>
      </c>
      <c r="BK7" s="100">
        <v>144</v>
      </c>
      <c r="BL7" s="123">
        <f t="shared" si="23"/>
        <v>18518.16827812406</v>
      </c>
      <c r="BM7" s="61"/>
      <c r="BN7" s="25">
        <f t="shared" si="24"/>
        <v>0</v>
      </c>
      <c r="BO7" s="96">
        <v>199330</v>
      </c>
      <c r="BP7" s="25">
        <f t="shared" si="25"/>
        <v>125</v>
      </c>
      <c r="BQ7" s="65">
        <f t="shared" si="52"/>
        <v>781.25</v>
      </c>
      <c r="BR7" s="96">
        <v>60</v>
      </c>
      <c r="BS7" s="69">
        <f t="shared" si="53"/>
        <v>6465</v>
      </c>
      <c r="BT7" s="96">
        <v>65</v>
      </c>
      <c r="BU7" s="69">
        <f t="shared" si="26"/>
        <v>7003.75</v>
      </c>
      <c r="BV7" s="96">
        <v>65</v>
      </c>
      <c r="BW7" s="69">
        <f t="shared" si="27"/>
        <v>7003.75</v>
      </c>
      <c r="BX7" s="69">
        <f t="shared" si="54"/>
        <v>20472.5</v>
      </c>
      <c r="BY7" s="25">
        <f>IF((BX6-BX7+BZ6)=BX6,"0",(BX6-BX7+BZ6))</f>
        <v>1077.5</v>
      </c>
      <c r="BZ7" s="100"/>
      <c r="CA7" s="96">
        <v>31880</v>
      </c>
      <c r="CB7" s="25">
        <f t="shared" si="28"/>
        <v>41</v>
      </c>
      <c r="CC7" s="61">
        <f t="shared" si="59"/>
        <v>256.25</v>
      </c>
      <c r="CD7" s="96">
        <v>34045</v>
      </c>
      <c r="CE7" s="25">
        <f t="shared" si="29"/>
        <v>8</v>
      </c>
      <c r="CF7" s="61">
        <f t="shared" si="55"/>
        <v>50</v>
      </c>
      <c r="CG7" s="96">
        <v>9541</v>
      </c>
      <c r="CH7" s="25">
        <f t="shared" si="30"/>
        <v>12</v>
      </c>
      <c r="CI7" s="61">
        <f t="shared" si="56"/>
        <v>75</v>
      </c>
      <c r="CJ7" s="101">
        <v>83045</v>
      </c>
      <c r="CK7" s="25">
        <f t="shared" si="31"/>
        <v>4</v>
      </c>
      <c r="CL7" s="61">
        <f t="shared" si="57"/>
        <v>25</v>
      </c>
      <c r="CM7" s="96">
        <v>5438</v>
      </c>
      <c r="CN7" s="25">
        <f t="shared" si="32"/>
        <v>6</v>
      </c>
      <c r="CO7" s="61">
        <f t="shared" si="33"/>
        <v>37.5</v>
      </c>
      <c r="CP7" s="96">
        <v>6525</v>
      </c>
      <c r="CQ7" s="25">
        <f t="shared" si="34"/>
        <v>9</v>
      </c>
      <c r="CR7" s="61">
        <f t="shared" si="35"/>
        <v>56.25</v>
      </c>
      <c r="CS7" s="96">
        <v>3203</v>
      </c>
      <c r="CT7" s="25">
        <f t="shared" si="36"/>
        <v>6</v>
      </c>
      <c r="CU7" s="61">
        <f t="shared" si="37"/>
        <v>37.5</v>
      </c>
      <c r="CV7" s="96">
        <v>1815.5</v>
      </c>
      <c r="CW7" s="25">
        <f t="shared" si="38"/>
        <v>1</v>
      </c>
      <c r="CX7" s="61">
        <f t="shared" si="39"/>
        <v>6.25</v>
      </c>
      <c r="CY7" s="96">
        <v>4701</v>
      </c>
      <c r="CZ7" s="25">
        <f t="shared" si="40"/>
        <v>7</v>
      </c>
      <c r="DA7" s="61">
        <f t="shared" si="41"/>
        <v>43.75</v>
      </c>
      <c r="DB7" s="96">
        <v>4237</v>
      </c>
      <c r="DC7" s="25">
        <f t="shared" si="42"/>
        <v>4</v>
      </c>
      <c r="DD7" s="61">
        <f t="shared" si="43"/>
        <v>25</v>
      </c>
      <c r="DE7" s="96">
        <v>4873</v>
      </c>
      <c r="DF7" s="25">
        <f t="shared" si="44"/>
        <v>7</v>
      </c>
      <c r="DG7" s="61">
        <f t="shared" si="45"/>
        <v>43.75</v>
      </c>
      <c r="DH7" s="96">
        <v>4134</v>
      </c>
      <c r="DI7" s="25">
        <f t="shared" si="46"/>
        <v>6</v>
      </c>
      <c r="DJ7" s="61">
        <f t="shared" si="47"/>
        <v>37.5</v>
      </c>
      <c r="DK7" s="104">
        <v>12382</v>
      </c>
      <c r="DL7" s="25">
        <f t="shared" si="48"/>
        <v>0</v>
      </c>
      <c r="DM7" s="104">
        <v>52386</v>
      </c>
      <c r="DN7" s="25">
        <f t="shared" si="49"/>
        <v>0</v>
      </c>
      <c r="DO7" s="105">
        <v>15524</v>
      </c>
      <c r="DP7" s="25">
        <f t="shared" si="50"/>
        <v>6</v>
      </c>
      <c r="DQ7" s="105">
        <v>23468.400000000001</v>
      </c>
      <c r="DR7" s="25">
        <f t="shared" ref="DR7:DR33" si="61">IF((DQ7-DQ6)&lt;0,"0",(DQ7-DQ6))</f>
        <v>0</v>
      </c>
      <c r="DS7" s="105">
        <v>85</v>
      </c>
      <c r="DT7" s="109">
        <v>199</v>
      </c>
      <c r="DU7" s="110">
        <v>0.64</v>
      </c>
    </row>
    <row r="8" spans="1:125" s="65" customFormat="1" ht="15.75" thickBot="1" x14ac:dyDescent="0.25">
      <c r="A8" s="67">
        <v>44232</v>
      </c>
      <c r="B8" s="96">
        <v>3457027</v>
      </c>
      <c r="C8" s="25">
        <f t="shared" si="0"/>
        <v>28288</v>
      </c>
      <c r="D8" s="96">
        <v>2923960</v>
      </c>
      <c r="E8" s="25">
        <f t="shared" si="0"/>
        <v>27431</v>
      </c>
      <c r="F8" s="61">
        <f t="shared" si="51"/>
        <v>0.96970446832579182</v>
      </c>
      <c r="G8" s="95">
        <v>1664</v>
      </c>
      <c r="H8" s="97">
        <v>749</v>
      </c>
      <c r="I8" s="25">
        <v>0</v>
      </c>
      <c r="J8" s="96">
        <v>965</v>
      </c>
      <c r="K8" s="25">
        <v>0</v>
      </c>
      <c r="L8" s="96">
        <v>2500468</v>
      </c>
      <c r="M8" s="25">
        <f t="shared" si="1"/>
        <v>2009</v>
      </c>
      <c r="N8" s="96">
        <v>2159033</v>
      </c>
      <c r="O8" s="25">
        <f t="shared" si="2"/>
        <v>583</v>
      </c>
      <c r="P8" s="96">
        <v>78887</v>
      </c>
      <c r="Q8" s="25">
        <f t="shared" si="3"/>
        <v>127</v>
      </c>
      <c r="R8" s="96">
        <v>77</v>
      </c>
      <c r="S8" s="100">
        <v>6</v>
      </c>
      <c r="T8" s="96">
        <v>146721</v>
      </c>
      <c r="U8" s="25">
        <f t="shared" si="4"/>
        <v>162</v>
      </c>
      <c r="V8" s="102">
        <v>32856</v>
      </c>
      <c r="W8" s="25">
        <f t="shared" si="5"/>
        <v>96</v>
      </c>
      <c r="X8" s="96">
        <v>1018</v>
      </c>
      <c r="Y8" s="25">
        <f t="shared" si="6"/>
        <v>0</v>
      </c>
      <c r="Z8" s="96">
        <v>3188</v>
      </c>
      <c r="AA8" s="68">
        <f t="shared" si="7"/>
        <v>0</v>
      </c>
      <c r="AB8" s="61"/>
      <c r="AC8" s="61"/>
      <c r="AD8" s="96">
        <v>561280</v>
      </c>
      <c r="AE8" s="25">
        <f t="shared" si="8"/>
        <v>180</v>
      </c>
      <c r="AF8" s="96">
        <v>51365</v>
      </c>
      <c r="AG8" s="25">
        <f t="shared" si="8"/>
        <v>19</v>
      </c>
      <c r="AH8" s="96">
        <v>8732</v>
      </c>
      <c r="AI8" s="25">
        <f t="shared" si="9"/>
        <v>2</v>
      </c>
      <c r="AJ8" s="96">
        <v>10347</v>
      </c>
      <c r="AK8" s="25">
        <f t="shared" si="10"/>
        <v>5</v>
      </c>
      <c r="AL8" s="96">
        <v>14354</v>
      </c>
      <c r="AM8" s="25">
        <f t="shared" si="11"/>
        <v>5</v>
      </c>
      <c r="AN8" s="96">
        <v>19141</v>
      </c>
      <c r="AO8" s="25">
        <f t="shared" si="12"/>
        <v>6</v>
      </c>
      <c r="AP8" s="101">
        <v>19454</v>
      </c>
      <c r="AQ8" s="25">
        <f t="shared" si="13"/>
        <v>4</v>
      </c>
      <c r="AR8" s="96">
        <v>13769</v>
      </c>
      <c r="AS8" s="25">
        <f t="shared" si="14"/>
        <v>3</v>
      </c>
      <c r="AT8" s="96">
        <v>6118</v>
      </c>
      <c r="AU8" s="25">
        <f t="shared" si="15"/>
        <v>1</v>
      </c>
      <c r="AV8" s="96">
        <v>25910</v>
      </c>
      <c r="AW8" s="25">
        <f t="shared" si="16"/>
        <v>11</v>
      </c>
      <c r="AX8" s="96">
        <v>838.7</v>
      </c>
      <c r="AY8" s="25">
        <f t="shared" si="17"/>
        <v>6</v>
      </c>
      <c r="AZ8" s="96">
        <v>4005</v>
      </c>
      <c r="BA8" s="25">
        <f t="shared" si="18"/>
        <v>5</v>
      </c>
      <c r="BB8" s="96">
        <v>3636</v>
      </c>
      <c r="BC8" s="25">
        <f t="shared" si="19"/>
        <v>0</v>
      </c>
      <c r="BD8" s="86">
        <f t="shared" si="58"/>
        <v>12</v>
      </c>
      <c r="BE8" s="86">
        <f t="shared" si="20"/>
        <v>168</v>
      </c>
      <c r="BF8" s="96">
        <v>586020</v>
      </c>
      <c r="BG8" s="25">
        <f t="shared" si="60"/>
        <v>120</v>
      </c>
      <c r="BH8" s="96">
        <v>756980</v>
      </c>
      <c r="BI8" s="25">
        <f t="shared" si="21"/>
        <v>230</v>
      </c>
      <c r="BJ8" s="25">
        <f t="shared" si="22"/>
        <v>50</v>
      </c>
      <c r="BK8" s="100">
        <v>144</v>
      </c>
      <c r="BL8" s="123">
        <f t="shared" si="23"/>
        <v>18518.16827812406</v>
      </c>
      <c r="BM8" s="61"/>
      <c r="BN8" s="25">
        <f>IF((BL7-BL8)&lt;0,"0",(BL7-BL8))</f>
        <v>0</v>
      </c>
      <c r="BO8" s="96">
        <v>199461</v>
      </c>
      <c r="BP8" s="25">
        <f t="shared" si="25"/>
        <v>131</v>
      </c>
      <c r="BQ8" s="61">
        <f t="shared" si="52"/>
        <v>818.75</v>
      </c>
      <c r="BR8" s="96">
        <v>60</v>
      </c>
      <c r="BS8" s="69">
        <f t="shared" si="53"/>
        <v>6465</v>
      </c>
      <c r="BT8" s="96">
        <v>60</v>
      </c>
      <c r="BU8" s="69">
        <f t="shared" si="26"/>
        <v>6465</v>
      </c>
      <c r="BV8" s="96">
        <v>60</v>
      </c>
      <c r="BW8" s="69">
        <f t="shared" si="27"/>
        <v>6465</v>
      </c>
      <c r="BX8" s="69">
        <f t="shared" si="54"/>
        <v>19395</v>
      </c>
      <c r="BY8" s="25">
        <f>IF((BX7-BX8+BZ7)=BX7,"0",(BX7-BX8+BZ7))</f>
        <v>1077.5</v>
      </c>
      <c r="BZ8" s="100"/>
      <c r="CA8" s="96">
        <v>31937</v>
      </c>
      <c r="CB8" s="25">
        <f t="shared" si="28"/>
        <v>57</v>
      </c>
      <c r="CC8" s="61">
        <f t="shared" si="59"/>
        <v>356.25</v>
      </c>
      <c r="CD8" s="96">
        <v>34053</v>
      </c>
      <c r="CE8" s="25">
        <f t="shared" si="29"/>
        <v>8</v>
      </c>
      <c r="CF8" s="61">
        <f t="shared" si="55"/>
        <v>50</v>
      </c>
      <c r="CG8" s="96">
        <v>9551</v>
      </c>
      <c r="CH8" s="25">
        <f t="shared" si="30"/>
        <v>10</v>
      </c>
      <c r="CI8" s="61">
        <f t="shared" si="56"/>
        <v>62.5</v>
      </c>
      <c r="CJ8" s="101">
        <v>83049</v>
      </c>
      <c r="CK8" s="25">
        <f t="shared" si="31"/>
        <v>4</v>
      </c>
      <c r="CL8" s="61">
        <f t="shared" si="57"/>
        <v>25</v>
      </c>
      <c r="CM8" s="96">
        <v>5444</v>
      </c>
      <c r="CN8" s="25">
        <f t="shared" si="32"/>
        <v>6</v>
      </c>
      <c r="CO8" s="61">
        <f t="shared" si="33"/>
        <v>37.5</v>
      </c>
      <c r="CP8" s="96">
        <v>6533</v>
      </c>
      <c r="CQ8" s="25">
        <f t="shared" si="34"/>
        <v>8</v>
      </c>
      <c r="CR8" s="61">
        <f t="shared" si="35"/>
        <v>50</v>
      </c>
      <c r="CS8" s="96">
        <v>3208</v>
      </c>
      <c r="CT8" s="25">
        <f t="shared" si="36"/>
        <v>5</v>
      </c>
      <c r="CU8" s="61">
        <f t="shared" si="37"/>
        <v>31.25</v>
      </c>
      <c r="CV8" s="96">
        <v>1816.4</v>
      </c>
      <c r="CW8" s="25">
        <f t="shared" si="38"/>
        <v>0.90000000000009095</v>
      </c>
      <c r="CX8" s="61">
        <f t="shared" si="39"/>
        <v>5.6250000000005684</v>
      </c>
      <c r="CY8" s="96">
        <v>4708</v>
      </c>
      <c r="CZ8" s="25">
        <f t="shared" si="40"/>
        <v>7</v>
      </c>
      <c r="DA8" s="61">
        <f t="shared" si="41"/>
        <v>43.75</v>
      </c>
      <c r="DB8" s="96">
        <v>4243</v>
      </c>
      <c r="DC8" s="25">
        <f t="shared" si="42"/>
        <v>6</v>
      </c>
      <c r="DD8" s="61">
        <f t="shared" si="43"/>
        <v>37.5</v>
      </c>
      <c r="DE8" s="96">
        <v>4880</v>
      </c>
      <c r="DF8" s="25">
        <f t="shared" si="44"/>
        <v>7</v>
      </c>
      <c r="DG8" s="61">
        <f t="shared" si="45"/>
        <v>43.75</v>
      </c>
      <c r="DH8" s="96">
        <v>4141</v>
      </c>
      <c r="DI8" s="25">
        <f t="shared" si="46"/>
        <v>7</v>
      </c>
      <c r="DJ8" s="61">
        <f t="shared" si="47"/>
        <v>43.75</v>
      </c>
      <c r="DK8" s="104">
        <v>12382</v>
      </c>
      <c r="DL8" s="25">
        <f t="shared" si="48"/>
        <v>0</v>
      </c>
      <c r="DM8" s="104">
        <v>52386</v>
      </c>
      <c r="DN8" s="25">
        <f t="shared" si="49"/>
        <v>0</v>
      </c>
      <c r="DO8" s="105">
        <v>15524</v>
      </c>
      <c r="DP8" s="25">
        <f t="shared" si="50"/>
        <v>0</v>
      </c>
      <c r="DQ8" s="105">
        <v>23640.3</v>
      </c>
      <c r="DR8" s="25">
        <f t="shared" si="61"/>
        <v>171.89999999999782</v>
      </c>
      <c r="DS8" s="105">
        <v>77</v>
      </c>
      <c r="DT8" s="109">
        <v>182</v>
      </c>
      <c r="DU8" s="110">
        <v>0.57999999999999996</v>
      </c>
    </row>
    <row r="9" spans="1:125" s="65" customFormat="1" ht="15.75" thickBot="1" x14ac:dyDescent="0.25">
      <c r="A9" s="67">
        <v>44233</v>
      </c>
      <c r="B9" s="96">
        <v>3485667</v>
      </c>
      <c r="C9" s="25">
        <f t="shared" si="0"/>
        <v>28640</v>
      </c>
      <c r="D9" s="96">
        <v>2951713</v>
      </c>
      <c r="E9" s="25">
        <f t="shared" si="0"/>
        <v>27753</v>
      </c>
      <c r="F9" s="61">
        <f>E9/C10</f>
        <v>0.96902932960893851</v>
      </c>
      <c r="G9" s="95">
        <v>1664</v>
      </c>
      <c r="H9" s="97">
        <v>749</v>
      </c>
      <c r="I9" s="25">
        <v>0</v>
      </c>
      <c r="J9" s="96">
        <v>965</v>
      </c>
      <c r="K9" s="25">
        <v>0</v>
      </c>
      <c r="L9" s="96">
        <v>2501055</v>
      </c>
      <c r="M9" s="25">
        <f t="shared" si="1"/>
        <v>587</v>
      </c>
      <c r="N9" s="96">
        <v>2159791</v>
      </c>
      <c r="O9" s="25">
        <f t="shared" si="2"/>
        <v>758</v>
      </c>
      <c r="P9" s="96">
        <v>78972</v>
      </c>
      <c r="Q9" s="25">
        <f t="shared" si="3"/>
        <v>85</v>
      </c>
      <c r="R9" s="96">
        <v>88</v>
      </c>
      <c r="S9" s="100">
        <v>10</v>
      </c>
      <c r="T9" s="96">
        <v>147010</v>
      </c>
      <c r="U9" s="25">
        <f t="shared" si="4"/>
        <v>289</v>
      </c>
      <c r="V9" s="102">
        <v>32950</v>
      </c>
      <c r="W9" s="25">
        <f t="shared" si="5"/>
        <v>94</v>
      </c>
      <c r="X9" s="96">
        <v>1019</v>
      </c>
      <c r="Y9" s="25">
        <f t="shared" si="6"/>
        <v>1</v>
      </c>
      <c r="Z9" s="96">
        <v>3188</v>
      </c>
      <c r="AA9" s="68">
        <f t="shared" si="7"/>
        <v>0</v>
      </c>
      <c r="AB9" s="61"/>
      <c r="AC9" s="61"/>
      <c r="AD9" s="96">
        <v>561440</v>
      </c>
      <c r="AE9" s="25">
        <f t="shared" si="8"/>
        <v>160</v>
      </c>
      <c r="AF9" s="96">
        <v>51380</v>
      </c>
      <c r="AG9" s="25">
        <f t="shared" si="8"/>
        <v>15</v>
      </c>
      <c r="AH9" s="96">
        <v>8734</v>
      </c>
      <c r="AI9" s="25">
        <f t="shared" si="9"/>
        <v>2</v>
      </c>
      <c r="AJ9" s="96">
        <v>10350</v>
      </c>
      <c r="AK9" s="25">
        <f t="shared" si="10"/>
        <v>3</v>
      </c>
      <c r="AL9" s="96">
        <v>14359</v>
      </c>
      <c r="AM9" s="25">
        <f t="shared" si="11"/>
        <v>5</v>
      </c>
      <c r="AN9" s="96">
        <v>19149</v>
      </c>
      <c r="AO9" s="25">
        <f t="shared" si="12"/>
        <v>8</v>
      </c>
      <c r="AP9" s="96">
        <v>19457</v>
      </c>
      <c r="AQ9" s="25">
        <f t="shared" si="13"/>
        <v>3</v>
      </c>
      <c r="AR9" s="96">
        <v>13771</v>
      </c>
      <c r="AS9" s="25">
        <f t="shared" si="14"/>
        <v>2</v>
      </c>
      <c r="AT9" s="96">
        <v>6118</v>
      </c>
      <c r="AU9" s="25">
        <f t="shared" si="15"/>
        <v>0</v>
      </c>
      <c r="AV9" s="96">
        <v>25921</v>
      </c>
      <c r="AW9" s="25">
        <f t="shared" si="16"/>
        <v>11</v>
      </c>
      <c r="AX9" s="96">
        <v>844.8</v>
      </c>
      <c r="AY9" s="25">
        <f t="shared" si="17"/>
        <v>6.0999999999999091</v>
      </c>
      <c r="AZ9" s="96">
        <v>4014</v>
      </c>
      <c r="BA9" s="25">
        <f t="shared" si="18"/>
        <v>9</v>
      </c>
      <c r="BB9" s="96">
        <v>3636</v>
      </c>
      <c r="BC9" s="25">
        <f t="shared" si="19"/>
        <v>0</v>
      </c>
      <c r="BD9" s="86">
        <f t="shared" si="58"/>
        <v>10</v>
      </c>
      <c r="BE9" s="86">
        <f t="shared" si="20"/>
        <v>150</v>
      </c>
      <c r="BF9" s="96">
        <v>586130</v>
      </c>
      <c r="BG9" s="25">
        <f t="shared" si="60"/>
        <v>110</v>
      </c>
      <c r="BH9" s="96">
        <v>757180</v>
      </c>
      <c r="BI9" s="25">
        <f t="shared" si="21"/>
        <v>200</v>
      </c>
      <c r="BJ9" s="25">
        <f t="shared" si="22"/>
        <v>40</v>
      </c>
      <c r="BK9" s="100">
        <v>144</v>
      </c>
      <c r="BL9" s="123">
        <f t="shared" si="23"/>
        <v>18518.16827812406</v>
      </c>
      <c r="BM9" s="61"/>
      <c r="BN9" s="25">
        <f t="shared" ref="BN9:BN33" si="62">IF((BL8-BL9)&lt;0,"0",(BL8-BL9))</f>
        <v>0</v>
      </c>
      <c r="BO9" s="101">
        <v>199598</v>
      </c>
      <c r="BP9" s="25">
        <f t="shared" si="25"/>
        <v>137</v>
      </c>
      <c r="BQ9" s="61">
        <f t="shared" si="52"/>
        <v>856.25</v>
      </c>
      <c r="BR9" s="96">
        <v>55</v>
      </c>
      <c r="BS9" s="69">
        <f t="shared" si="53"/>
        <v>5926.25</v>
      </c>
      <c r="BT9" s="96">
        <v>60</v>
      </c>
      <c r="BU9" s="69">
        <f t="shared" si="26"/>
        <v>6465</v>
      </c>
      <c r="BV9" s="96">
        <v>60</v>
      </c>
      <c r="BW9" s="69">
        <f t="shared" si="27"/>
        <v>6465</v>
      </c>
      <c r="BX9" s="69">
        <f t="shared" si="54"/>
        <v>18856.25</v>
      </c>
      <c r="BY9" s="25">
        <f t="shared" ref="BY9:BY33" si="63">IF((BX8-BX9+BZ8)=BX8,"0",(BX8-BX9+BZ8))</f>
        <v>538.75</v>
      </c>
      <c r="BZ9" s="100">
        <v>9740</v>
      </c>
      <c r="CA9" s="96">
        <v>31989</v>
      </c>
      <c r="CB9" s="25">
        <f t="shared" si="28"/>
        <v>52</v>
      </c>
      <c r="CC9" s="61">
        <f t="shared" si="59"/>
        <v>325</v>
      </c>
      <c r="CD9" s="96">
        <v>34061</v>
      </c>
      <c r="CE9" s="25">
        <f t="shared" si="29"/>
        <v>8</v>
      </c>
      <c r="CF9" s="61">
        <f t="shared" si="55"/>
        <v>50</v>
      </c>
      <c r="CG9" s="96">
        <v>9571</v>
      </c>
      <c r="CH9" s="25">
        <f t="shared" si="30"/>
        <v>20</v>
      </c>
      <c r="CI9" s="61">
        <f t="shared" si="56"/>
        <v>125</v>
      </c>
      <c r="CJ9" s="101">
        <v>83053</v>
      </c>
      <c r="CK9" s="25">
        <f t="shared" si="31"/>
        <v>4</v>
      </c>
      <c r="CL9" s="61">
        <f t="shared" si="57"/>
        <v>25</v>
      </c>
      <c r="CM9" s="96">
        <v>5451</v>
      </c>
      <c r="CN9" s="25">
        <f t="shared" si="32"/>
        <v>7</v>
      </c>
      <c r="CO9" s="61">
        <f t="shared" si="33"/>
        <v>43.75</v>
      </c>
      <c r="CP9" s="96">
        <v>6542</v>
      </c>
      <c r="CQ9" s="25">
        <f t="shared" si="34"/>
        <v>9</v>
      </c>
      <c r="CR9" s="61">
        <f t="shared" si="35"/>
        <v>56.25</v>
      </c>
      <c r="CS9" s="96">
        <v>3214</v>
      </c>
      <c r="CT9" s="25">
        <f t="shared" si="36"/>
        <v>6</v>
      </c>
      <c r="CU9" s="61">
        <f t="shared" si="37"/>
        <v>37.5</v>
      </c>
      <c r="CV9" s="96">
        <v>1817.4</v>
      </c>
      <c r="CW9" s="25">
        <f t="shared" si="38"/>
        <v>1</v>
      </c>
      <c r="CX9" s="61">
        <f t="shared" si="39"/>
        <v>6.25</v>
      </c>
      <c r="CY9" s="96">
        <v>4715</v>
      </c>
      <c r="CZ9" s="25">
        <f t="shared" si="40"/>
        <v>7</v>
      </c>
      <c r="DA9" s="61">
        <f t="shared" si="41"/>
        <v>43.75</v>
      </c>
      <c r="DB9" s="96">
        <v>4248</v>
      </c>
      <c r="DC9" s="25">
        <f t="shared" si="42"/>
        <v>5</v>
      </c>
      <c r="DD9" s="61">
        <f t="shared" si="43"/>
        <v>31.25</v>
      </c>
      <c r="DE9" s="96">
        <v>4887</v>
      </c>
      <c r="DF9" s="25">
        <f t="shared" si="44"/>
        <v>7</v>
      </c>
      <c r="DG9" s="61">
        <f t="shared" si="45"/>
        <v>43.75</v>
      </c>
      <c r="DH9" s="96">
        <v>4147</v>
      </c>
      <c r="DI9" s="25">
        <f t="shared" si="46"/>
        <v>6</v>
      </c>
      <c r="DJ9" s="61">
        <f t="shared" si="47"/>
        <v>37.5</v>
      </c>
      <c r="DK9" s="104">
        <v>12382</v>
      </c>
      <c r="DL9" s="25">
        <f t="shared" si="48"/>
        <v>0</v>
      </c>
      <c r="DM9" s="104">
        <v>52386</v>
      </c>
      <c r="DN9" s="25">
        <f t="shared" si="49"/>
        <v>0</v>
      </c>
      <c r="DO9" s="105">
        <v>15524</v>
      </c>
      <c r="DP9" s="25">
        <f t="shared" si="50"/>
        <v>0</v>
      </c>
      <c r="DQ9" s="105">
        <v>23640.3</v>
      </c>
      <c r="DR9" s="25">
        <f t="shared" si="61"/>
        <v>0</v>
      </c>
      <c r="DS9" s="105">
        <v>74</v>
      </c>
      <c r="DT9" s="109">
        <v>189</v>
      </c>
      <c r="DU9" s="110">
        <v>0.59</v>
      </c>
    </row>
    <row r="10" spans="1:125" s="65" customFormat="1" ht="15.75" thickBot="1" x14ac:dyDescent="0.25">
      <c r="A10" s="67">
        <v>44234</v>
      </c>
      <c r="B10" s="96">
        <v>3513624</v>
      </c>
      <c r="C10" s="25">
        <f>IF((B9-B8)&lt;0,"0",(B9-B8))</f>
        <v>28640</v>
      </c>
      <c r="D10" s="96">
        <v>2978662</v>
      </c>
      <c r="E10" s="25">
        <f t="shared" si="0"/>
        <v>26949</v>
      </c>
      <c r="F10" s="61">
        <f>E10/C11</f>
        <v>0.9713101459722473</v>
      </c>
      <c r="G10" s="96">
        <v>1664</v>
      </c>
      <c r="H10" s="97">
        <v>749</v>
      </c>
      <c r="I10" s="25">
        <v>0</v>
      </c>
      <c r="J10" s="96">
        <v>965</v>
      </c>
      <c r="K10" s="25">
        <v>0</v>
      </c>
      <c r="L10" s="96">
        <v>2501666</v>
      </c>
      <c r="M10" s="25">
        <f t="shared" si="1"/>
        <v>611</v>
      </c>
      <c r="N10" s="96">
        <v>2160422</v>
      </c>
      <c r="O10" s="25">
        <f t="shared" si="2"/>
        <v>631</v>
      </c>
      <c r="P10" s="96">
        <v>79078</v>
      </c>
      <c r="Q10" s="25">
        <f t="shared" si="3"/>
        <v>106</v>
      </c>
      <c r="R10" s="100">
        <v>66</v>
      </c>
      <c r="S10" s="100">
        <v>0</v>
      </c>
      <c r="T10" s="96">
        <v>147010</v>
      </c>
      <c r="U10" s="25">
        <f t="shared" si="4"/>
        <v>0</v>
      </c>
      <c r="V10" s="102">
        <v>33039</v>
      </c>
      <c r="W10" s="25">
        <f t="shared" si="5"/>
        <v>89</v>
      </c>
      <c r="X10" s="96">
        <v>1019</v>
      </c>
      <c r="Y10" s="25">
        <f t="shared" si="6"/>
        <v>0</v>
      </c>
      <c r="Z10" s="96">
        <v>3188</v>
      </c>
      <c r="AA10" s="68">
        <f t="shared" si="7"/>
        <v>0</v>
      </c>
      <c r="AB10" s="61"/>
      <c r="AC10" s="61"/>
      <c r="AD10" s="96">
        <v>561580</v>
      </c>
      <c r="AE10" s="25">
        <f t="shared" si="8"/>
        <v>140</v>
      </c>
      <c r="AF10" s="96">
        <v>51395</v>
      </c>
      <c r="AG10" s="25">
        <f t="shared" si="8"/>
        <v>15</v>
      </c>
      <c r="AH10" s="96">
        <v>8737</v>
      </c>
      <c r="AI10" s="25">
        <f t="shared" si="9"/>
        <v>3</v>
      </c>
      <c r="AJ10" s="96">
        <v>10354</v>
      </c>
      <c r="AK10" s="25">
        <f t="shared" si="10"/>
        <v>4</v>
      </c>
      <c r="AL10" s="96">
        <v>14364</v>
      </c>
      <c r="AM10" s="25">
        <f t="shared" si="11"/>
        <v>5</v>
      </c>
      <c r="AN10" s="96">
        <v>19155</v>
      </c>
      <c r="AO10" s="25">
        <f t="shared" si="12"/>
        <v>6</v>
      </c>
      <c r="AP10" s="96">
        <v>19459</v>
      </c>
      <c r="AQ10" s="25">
        <f t="shared" si="13"/>
        <v>2</v>
      </c>
      <c r="AR10" s="96">
        <v>13773</v>
      </c>
      <c r="AS10" s="25">
        <f t="shared" si="14"/>
        <v>2</v>
      </c>
      <c r="AT10" s="96">
        <v>6119</v>
      </c>
      <c r="AU10" s="25">
        <f t="shared" si="15"/>
        <v>1</v>
      </c>
      <c r="AV10" s="96">
        <v>25931</v>
      </c>
      <c r="AW10" s="25">
        <f t="shared" si="16"/>
        <v>10</v>
      </c>
      <c r="AX10" s="96">
        <v>851</v>
      </c>
      <c r="AY10" s="25">
        <f t="shared" si="17"/>
        <v>6.2000000000000455</v>
      </c>
      <c r="AZ10" s="96">
        <v>4023</v>
      </c>
      <c r="BA10" s="25">
        <f t="shared" si="18"/>
        <v>9</v>
      </c>
      <c r="BB10" s="96">
        <v>3636</v>
      </c>
      <c r="BC10" s="25">
        <f t="shared" si="19"/>
        <v>0</v>
      </c>
      <c r="BD10" s="86">
        <f t="shared" si="58"/>
        <v>9</v>
      </c>
      <c r="BE10" s="86">
        <f t="shared" si="20"/>
        <v>131</v>
      </c>
      <c r="BF10" s="96">
        <v>586250</v>
      </c>
      <c r="BG10" s="25">
        <f t="shared" si="60"/>
        <v>120</v>
      </c>
      <c r="BH10" s="96">
        <v>757350</v>
      </c>
      <c r="BI10" s="25">
        <f t="shared" si="21"/>
        <v>170</v>
      </c>
      <c r="BJ10" s="25">
        <f t="shared" si="22"/>
        <v>30</v>
      </c>
      <c r="BK10" s="100">
        <v>144</v>
      </c>
      <c r="BL10" s="123">
        <f t="shared" si="23"/>
        <v>18518.16827812406</v>
      </c>
      <c r="BM10" s="61"/>
      <c r="BN10" s="25">
        <f t="shared" si="62"/>
        <v>0</v>
      </c>
      <c r="BO10" s="96">
        <v>199741</v>
      </c>
      <c r="BP10" s="25">
        <f t="shared" si="25"/>
        <v>143</v>
      </c>
      <c r="BQ10" s="61">
        <f t="shared" si="52"/>
        <v>893.75</v>
      </c>
      <c r="BR10" s="96">
        <v>85</v>
      </c>
      <c r="BS10" s="69">
        <f t="shared" si="53"/>
        <v>9158.75</v>
      </c>
      <c r="BT10" s="96">
        <v>85</v>
      </c>
      <c r="BU10" s="69">
        <f t="shared" si="26"/>
        <v>9158.75</v>
      </c>
      <c r="BV10" s="96">
        <v>85</v>
      </c>
      <c r="BW10" s="69">
        <f t="shared" si="27"/>
        <v>9158.75</v>
      </c>
      <c r="BX10" s="69">
        <f t="shared" si="54"/>
        <v>27476.25</v>
      </c>
      <c r="BY10" s="25">
        <f t="shared" si="63"/>
        <v>1120</v>
      </c>
      <c r="BZ10" s="100"/>
      <c r="CA10" s="96">
        <v>32041</v>
      </c>
      <c r="CB10" s="25">
        <f t="shared" si="28"/>
        <v>52</v>
      </c>
      <c r="CC10" s="61">
        <f t="shared" si="59"/>
        <v>325</v>
      </c>
      <c r="CD10" s="96">
        <v>34068</v>
      </c>
      <c r="CE10" s="25">
        <f t="shared" si="29"/>
        <v>7</v>
      </c>
      <c r="CF10" s="61">
        <f t="shared" si="55"/>
        <v>43.75</v>
      </c>
      <c r="CG10" s="96">
        <v>9589</v>
      </c>
      <c r="CH10" s="25">
        <f t="shared" si="30"/>
        <v>18</v>
      </c>
      <c r="CI10" s="61">
        <f t="shared" si="56"/>
        <v>112.5</v>
      </c>
      <c r="CJ10" s="96">
        <v>83058</v>
      </c>
      <c r="CK10" s="25">
        <f t="shared" si="31"/>
        <v>5</v>
      </c>
      <c r="CL10" s="61">
        <f t="shared" si="57"/>
        <v>31.25</v>
      </c>
      <c r="CM10" s="96">
        <v>5456</v>
      </c>
      <c r="CN10" s="25">
        <f t="shared" si="32"/>
        <v>5</v>
      </c>
      <c r="CO10" s="61">
        <f t="shared" si="33"/>
        <v>31.25</v>
      </c>
      <c r="CP10" s="96">
        <v>6551</v>
      </c>
      <c r="CQ10" s="25">
        <f t="shared" si="34"/>
        <v>9</v>
      </c>
      <c r="CR10" s="61">
        <f t="shared" si="35"/>
        <v>56.25</v>
      </c>
      <c r="CS10" s="96">
        <v>3219</v>
      </c>
      <c r="CT10" s="25">
        <f t="shared" si="36"/>
        <v>5</v>
      </c>
      <c r="CU10" s="61">
        <f t="shared" si="37"/>
        <v>31.25</v>
      </c>
      <c r="CV10" s="96">
        <v>1818.6</v>
      </c>
      <c r="CW10" s="25">
        <f t="shared" si="38"/>
        <v>1.1999999999998181</v>
      </c>
      <c r="CX10" s="61">
        <f t="shared" si="39"/>
        <v>7.4999999999988631</v>
      </c>
      <c r="CY10" s="96">
        <v>4722</v>
      </c>
      <c r="CZ10" s="25">
        <f t="shared" si="40"/>
        <v>7</v>
      </c>
      <c r="DA10" s="61">
        <f t="shared" si="41"/>
        <v>43.75</v>
      </c>
      <c r="DB10" s="96">
        <v>4253</v>
      </c>
      <c r="DC10" s="25">
        <f t="shared" si="42"/>
        <v>5</v>
      </c>
      <c r="DD10" s="61">
        <f t="shared" si="43"/>
        <v>31.25</v>
      </c>
      <c r="DE10" s="96">
        <v>4893</v>
      </c>
      <c r="DF10" s="25">
        <f t="shared" si="44"/>
        <v>6</v>
      </c>
      <c r="DG10" s="61">
        <f t="shared" si="45"/>
        <v>37.5</v>
      </c>
      <c r="DH10" s="96">
        <v>4153</v>
      </c>
      <c r="DI10" s="25">
        <f t="shared" si="46"/>
        <v>6</v>
      </c>
      <c r="DJ10" s="61">
        <f t="shared" si="47"/>
        <v>37.5</v>
      </c>
      <c r="DK10" s="104">
        <v>12382</v>
      </c>
      <c r="DL10" s="25">
        <f t="shared" si="48"/>
        <v>0</v>
      </c>
      <c r="DM10" s="104">
        <v>52386</v>
      </c>
      <c r="DN10" s="25">
        <f t="shared" si="49"/>
        <v>0</v>
      </c>
      <c r="DO10" s="105">
        <v>15524</v>
      </c>
      <c r="DP10" s="25">
        <f t="shared" si="50"/>
        <v>0</v>
      </c>
      <c r="DQ10" s="105">
        <v>23640.3</v>
      </c>
      <c r="DR10" s="25">
        <f t="shared" si="61"/>
        <v>0</v>
      </c>
      <c r="DS10" s="105">
        <v>74</v>
      </c>
      <c r="DT10" s="109">
        <v>177</v>
      </c>
      <c r="DU10" s="110">
        <v>0.56000000000000005</v>
      </c>
    </row>
    <row r="11" spans="1:125" s="65" customFormat="1" ht="15.75" thickBot="1" x14ac:dyDescent="0.25">
      <c r="A11" s="67">
        <v>44235</v>
      </c>
      <c r="B11" s="96">
        <v>3541369</v>
      </c>
      <c r="C11" s="25">
        <f t="shared" si="0"/>
        <v>27745</v>
      </c>
      <c r="D11" s="96">
        <v>3005696</v>
      </c>
      <c r="E11" s="25">
        <f t="shared" si="0"/>
        <v>27034</v>
      </c>
      <c r="F11" s="61">
        <f t="shared" si="51"/>
        <v>0.97437376103802487</v>
      </c>
      <c r="G11" s="96">
        <v>1664</v>
      </c>
      <c r="H11" s="97">
        <v>749</v>
      </c>
      <c r="I11" s="25">
        <v>0</v>
      </c>
      <c r="J11" s="96">
        <v>965</v>
      </c>
      <c r="K11" s="25">
        <v>0</v>
      </c>
      <c r="L11" s="96">
        <v>2502301</v>
      </c>
      <c r="M11" s="25">
        <f t="shared" si="1"/>
        <v>635</v>
      </c>
      <c r="N11" s="96">
        <v>2161112</v>
      </c>
      <c r="O11" s="25">
        <f t="shared" si="2"/>
        <v>690</v>
      </c>
      <c r="P11" s="96">
        <v>79250</v>
      </c>
      <c r="Q11" s="25">
        <f t="shared" si="3"/>
        <v>172</v>
      </c>
      <c r="R11" s="96">
        <v>66</v>
      </c>
      <c r="S11" s="100">
        <v>5</v>
      </c>
      <c r="T11" s="96">
        <v>147149</v>
      </c>
      <c r="U11" s="25">
        <f t="shared" si="4"/>
        <v>139</v>
      </c>
      <c r="V11" s="102">
        <v>33133</v>
      </c>
      <c r="W11" s="25">
        <f t="shared" si="5"/>
        <v>94</v>
      </c>
      <c r="X11" s="96">
        <v>1020</v>
      </c>
      <c r="Y11" s="25">
        <f t="shared" si="6"/>
        <v>1</v>
      </c>
      <c r="Z11" s="96">
        <v>3253</v>
      </c>
      <c r="AA11" s="68">
        <f t="shared" si="7"/>
        <v>65</v>
      </c>
      <c r="AB11" s="61"/>
      <c r="AC11" s="61"/>
      <c r="AD11" s="96">
        <v>561700</v>
      </c>
      <c r="AE11" s="25">
        <f t="shared" si="8"/>
        <v>120</v>
      </c>
      <c r="AF11" s="96">
        <v>51410</v>
      </c>
      <c r="AG11" s="25">
        <f t="shared" si="8"/>
        <v>15</v>
      </c>
      <c r="AH11" s="96">
        <v>8739</v>
      </c>
      <c r="AI11" s="25">
        <f t="shared" si="9"/>
        <v>2</v>
      </c>
      <c r="AJ11" s="96">
        <v>10358</v>
      </c>
      <c r="AK11" s="25">
        <f t="shared" si="10"/>
        <v>4</v>
      </c>
      <c r="AL11" s="96">
        <v>14365</v>
      </c>
      <c r="AM11" s="25">
        <f t="shared" si="11"/>
        <v>1</v>
      </c>
      <c r="AN11" s="96">
        <v>19163</v>
      </c>
      <c r="AO11" s="25">
        <f t="shared" si="12"/>
        <v>8</v>
      </c>
      <c r="AP11" s="96">
        <v>19462</v>
      </c>
      <c r="AQ11" s="25">
        <f t="shared" si="13"/>
        <v>3</v>
      </c>
      <c r="AR11" s="96">
        <v>13774</v>
      </c>
      <c r="AS11" s="25">
        <f t="shared" si="14"/>
        <v>1</v>
      </c>
      <c r="AT11" s="96">
        <v>6120</v>
      </c>
      <c r="AU11" s="25">
        <f t="shared" si="15"/>
        <v>1</v>
      </c>
      <c r="AV11" s="96">
        <v>25942</v>
      </c>
      <c r="AW11" s="25">
        <f t="shared" si="16"/>
        <v>11</v>
      </c>
      <c r="AX11" s="96">
        <v>857</v>
      </c>
      <c r="AY11" s="25">
        <f t="shared" si="17"/>
        <v>6</v>
      </c>
      <c r="AZ11" s="96">
        <v>4031</v>
      </c>
      <c r="BA11" s="25">
        <f t="shared" si="18"/>
        <v>8</v>
      </c>
      <c r="BB11" s="96">
        <v>3636</v>
      </c>
      <c r="BC11" s="25">
        <f t="shared" si="19"/>
        <v>0</v>
      </c>
      <c r="BD11" s="86">
        <f t="shared" si="58"/>
        <v>5</v>
      </c>
      <c r="BE11" s="86">
        <f t="shared" si="20"/>
        <v>115</v>
      </c>
      <c r="BF11" s="96">
        <v>586420</v>
      </c>
      <c r="BG11" s="25">
        <f t="shared" si="60"/>
        <v>170</v>
      </c>
      <c r="BH11" s="96">
        <v>757500</v>
      </c>
      <c r="BI11" s="25">
        <f t="shared" si="21"/>
        <v>150</v>
      </c>
      <c r="BJ11" s="25">
        <f t="shared" si="22"/>
        <v>30</v>
      </c>
      <c r="BK11" s="100">
        <v>144</v>
      </c>
      <c r="BL11" s="123">
        <f t="shared" si="23"/>
        <v>18518.16827812406</v>
      </c>
      <c r="BM11" s="61"/>
      <c r="BN11" s="25">
        <f t="shared" si="62"/>
        <v>0</v>
      </c>
      <c r="BO11" s="101">
        <v>199864</v>
      </c>
      <c r="BP11" s="25">
        <f t="shared" si="25"/>
        <v>123</v>
      </c>
      <c r="BQ11" s="61">
        <f t="shared" si="52"/>
        <v>768.75</v>
      </c>
      <c r="BR11" s="96">
        <v>82</v>
      </c>
      <c r="BS11" s="69">
        <f t="shared" si="53"/>
        <v>8835.5</v>
      </c>
      <c r="BT11" s="96">
        <v>82</v>
      </c>
      <c r="BU11" s="69">
        <f t="shared" si="26"/>
        <v>8835.5</v>
      </c>
      <c r="BV11" s="96">
        <v>82</v>
      </c>
      <c r="BW11" s="69">
        <f t="shared" si="27"/>
        <v>8835.5</v>
      </c>
      <c r="BX11" s="69">
        <f t="shared" si="54"/>
        <v>26506.5</v>
      </c>
      <c r="BY11" s="25">
        <f t="shared" si="63"/>
        <v>969.75</v>
      </c>
      <c r="BZ11" s="100"/>
      <c r="CA11" s="96">
        <v>32099</v>
      </c>
      <c r="CB11" s="25">
        <f t="shared" si="28"/>
        <v>58</v>
      </c>
      <c r="CC11" s="61">
        <f t="shared" si="59"/>
        <v>362.5</v>
      </c>
      <c r="CD11" s="96">
        <v>34068</v>
      </c>
      <c r="CE11" s="25">
        <f t="shared" si="29"/>
        <v>0</v>
      </c>
      <c r="CF11" s="61">
        <f t="shared" si="55"/>
        <v>0</v>
      </c>
      <c r="CG11" s="96">
        <v>9606</v>
      </c>
      <c r="CH11" s="25">
        <f t="shared" si="30"/>
        <v>17</v>
      </c>
      <c r="CI11" s="61">
        <f t="shared" si="56"/>
        <v>106.25</v>
      </c>
      <c r="CJ11" s="96">
        <v>83062</v>
      </c>
      <c r="CK11" s="25">
        <f t="shared" si="31"/>
        <v>4</v>
      </c>
      <c r="CL11" s="61">
        <f t="shared" si="57"/>
        <v>25</v>
      </c>
      <c r="CM11" s="96">
        <v>5462</v>
      </c>
      <c r="CN11" s="25">
        <f t="shared" si="32"/>
        <v>6</v>
      </c>
      <c r="CO11" s="61">
        <f t="shared" si="33"/>
        <v>37.5</v>
      </c>
      <c r="CP11" s="96">
        <v>6560</v>
      </c>
      <c r="CQ11" s="25">
        <f t="shared" si="34"/>
        <v>9</v>
      </c>
      <c r="CR11" s="61">
        <f t="shared" si="35"/>
        <v>56.25</v>
      </c>
      <c r="CS11" s="96">
        <v>3224</v>
      </c>
      <c r="CT11" s="25">
        <f t="shared" si="36"/>
        <v>5</v>
      </c>
      <c r="CU11" s="61">
        <f t="shared" si="37"/>
        <v>31.25</v>
      </c>
      <c r="CV11" s="96">
        <v>1819.4</v>
      </c>
      <c r="CW11" s="25">
        <f t="shared" si="38"/>
        <v>0.8000000000001819</v>
      </c>
      <c r="CX11" s="61">
        <f t="shared" si="39"/>
        <v>5.0000000000011369</v>
      </c>
      <c r="CY11" s="96">
        <v>4727</v>
      </c>
      <c r="CZ11" s="25">
        <f t="shared" si="40"/>
        <v>5</v>
      </c>
      <c r="DA11" s="61">
        <f t="shared" si="41"/>
        <v>31.25</v>
      </c>
      <c r="DB11" s="96">
        <v>4258</v>
      </c>
      <c r="DC11" s="25">
        <f t="shared" si="42"/>
        <v>5</v>
      </c>
      <c r="DD11" s="61">
        <f t="shared" si="43"/>
        <v>31.25</v>
      </c>
      <c r="DE11" s="96">
        <v>4898</v>
      </c>
      <c r="DF11" s="25">
        <f t="shared" si="44"/>
        <v>5</v>
      </c>
      <c r="DG11" s="61">
        <f t="shared" si="45"/>
        <v>31.25</v>
      </c>
      <c r="DH11" s="96">
        <v>4159</v>
      </c>
      <c r="DI11" s="25">
        <f t="shared" si="46"/>
        <v>6</v>
      </c>
      <c r="DJ11" s="61">
        <f t="shared" si="47"/>
        <v>37.5</v>
      </c>
      <c r="DK11" s="104">
        <v>12382</v>
      </c>
      <c r="DL11" s="25">
        <f t="shared" si="48"/>
        <v>0</v>
      </c>
      <c r="DM11" s="104">
        <v>52386</v>
      </c>
      <c r="DN11" s="25">
        <f t="shared" si="49"/>
        <v>0</v>
      </c>
      <c r="DO11" s="105">
        <v>15524</v>
      </c>
      <c r="DP11" s="25">
        <f t="shared" si="50"/>
        <v>0</v>
      </c>
      <c r="DQ11" s="105">
        <v>23640.3</v>
      </c>
      <c r="DR11" s="25">
        <f t="shared" si="61"/>
        <v>0</v>
      </c>
      <c r="DS11" s="105">
        <v>69</v>
      </c>
      <c r="DT11" s="109">
        <v>170</v>
      </c>
      <c r="DU11" s="110">
        <v>0.52</v>
      </c>
    </row>
    <row r="12" spans="1:125" s="65" customFormat="1" ht="15.75" thickBot="1" x14ac:dyDescent="0.25">
      <c r="A12" s="67">
        <v>44236</v>
      </c>
      <c r="B12" s="96">
        <v>3566595</v>
      </c>
      <c r="C12" s="25">
        <f t="shared" si="0"/>
        <v>25226</v>
      </c>
      <c r="D12" s="96">
        <v>3030266</v>
      </c>
      <c r="E12" s="25">
        <f t="shared" si="0"/>
        <v>24570</v>
      </c>
      <c r="F12" s="61">
        <f t="shared" si="51"/>
        <v>0.97399508443669225</v>
      </c>
      <c r="G12" s="96">
        <v>1664</v>
      </c>
      <c r="H12" s="97">
        <v>749</v>
      </c>
      <c r="I12" s="25">
        <v>0</v>
      </c>
      <c r="J12" s="96">
        <v>965</v>
      </c>
      <c r="K12" s="25">
        <v>0</v>
      </c>
      <c r="L12" s="96">
        <v>2502912</v>
      </c>
      <c r="M12" s="25">
        <f t="shared" si="1"/>
        <v>611</v>
      </c>
      <c r="N12" s="96">
        <v>2161680</v>
      </c>
      <c r="O12" s="25">
        <f t="shared" si="2"/>
        <v>568</v>
      </c>
      <c r="P12" s="96">
        <v>79420</v>
      </c>
      <c r="Q12" s="25">
        <f t="shared" si="3"/>
        <v>170</v>
      </c>
      <c r="R12" s="96">
        <v>77</v>
      </c>
      <c r="S12" s="100">
        <v>5</v>
      </c>
      <c r="T12" s="96">
        <v>147291</v>
      </c>
      <c r="U12" s="25">
        <f t="shared" si="4"/>
        <v>142</v>
      </c>
      <c r="V12" s="102">
        <v>33221</v>
      </c>
      <c r="W12" s="25">
        <f t="shared" si="5"/>
        <v>88</v>
      </c>
      <c r="X12" s="96">
        <v>1020</v>
      </c>
      <c r="Y12" s="25">
        <f t="shared" si="6"/>
        <v>0</v>
      </c>
      <c r="Z12" s="96">
        <v>3272</v>
      </c>
      <c r="AA12" s="68">
        <f t="shared" si="7"/>
        <v>19</v>
      </c>
      <c r="AB12" s="61"/>
      <c r="AC12" s="61"/>
      <c r="AD12" s="96">
        <v>561850</v>
      </c>
      <c r="AE12" s="25">
        <f t="shared" si="8"/>
        <v>150</v>
      </c>
      <c r="AF12" s="96">
        <v>51424</v>
      </c>
      <c r="AG12" s="25">
        <f t="shared" si="8"/>
        <v>14</v>
      </c>
      <c r="AH12" s="96">
        <v>8741</v>
      </c>
      <c r="AI12" s="25">
        <f t="shared" si="9"/>
        <v>2</v>
      </c>
      <c r="AJ12" s="96">
        <v>10361</v>
      </c>
      <c r="AK12" s="25">
        <f t="shared" si="10"/>
        <v>3</v>
      </c>
      <c r="AL12" s="96">
        <v>14370</v>
      </c>
      <c r="AM12" s="25">
        <f t="shared" si="11"/>
        <v>5</v>
      </c>
      <c r="AN12" s="96">
        <v>19170</v>
      </c>
      <c r="AO12" s="25">
        <f t="shared" si="12"/>
        <v>7</v>
      </c>
      <c r="AP12" s="96">
        <v>19465</v>
      </c>
      <c r="AQ12" s="25">
        <f t="shared" si="13"/>
        <v>3</v>
      </c>
      <c r="AR12" s="96">
        <v>13775</v>
      </c>
      <c r="AS12" s="25">
        <f t="shared" si="14"/>
        <v>1</v>
      </c>
      <c r="AT12" s="96">
        <v>6121</v>
      </c>
      <c r="AU12" s="25">
        <f t="shared" si="15"/>
        <v>1</v>
      </c>
      <c r="AV12" s="96">
        <v>25951</v>
      </c>
      <c r="AW12" s="25">
        <f t="shared" si="16"/>
        <v>9</v>
      </c>
      <c r="AX12" s="96">
        <v>863</v>
      </c>
      <c r="AY12" s="25">
        <f t="shared" si="17"/>
        <v>6</v>
      </c>
      <c r="AZ12" s="96">
        <v>4042</v>
      </c>
      <c r="BA12" s="25">
        <f t="shared" si="18"/>
        <v>11</v>
      </c>
      <c r="BB12" s="96">
        <v>3636</v>
      </c>
      <c r="BC12" s="25">
        <f t="shared" si="19"/>
        <v>0</v>
      </c>
      <c r="BD12" s="86">
        <f t="shared" si="58"/>
        <v>9</v>
      </c>
      <c r="BE12" s="86">
        <f t="shared" si="20"/>
        <v>141</v>
      </c>
      <c r="BF12" s="96">
        <v>586540</v>
      </c>
      <c r="BG12" s="25">
        <f t="shared" si="60"/>
        <v>120</v>
      </c>
      <c r="BH12" s="96">
        <v>757680</v>
      </c>
      <c r="BI12" s="25">
        <f t="shared" si="21"/>
        <v>180</v>
      </c>
      <c r="BJ12" s="25">
        <f>IF((BI12-AE12)&lt;0,"0",(BI12-AE12))</f>
        <v>30</v>
      </c>
      <c r="BK12" s="100">
        <v>144</v>
      </c>
      <c r="BL12" s="123">
        <f t="shared" si="23"/>
        <v>18518.16827812406</v>
      </c>
      <c r="BM12" s="61"/>
      <c r="BN12" s="25">
        <f t="shared" si="62"/>
        <v>0</v>
      </c>
      <c r="BO12" s="96">
        <v>199988</v>
      </c>
      <c r="BP12" s="25">
        <f t="shared" si="25"/>
        <v>124</v>
      </c>
      <c r="BQ12" s="61">
        <f t="shared" si="52"/>
        <v>775</v>
      </c>
      <c r="BR12" s="96">
        <v>80</v>
      </c>
      <c r="BS12" s="69">
        <f t="shared" si="53"/>
        <v>8620</v>
      </c>
      <c r="BT12" s="96">
        <v>80</v>
      </c>
      <c r="BU12" s="69">
        <f t="shared" si="26"/>
        <v>8620</v>
      </c>
      <c r="BV12" s="96">
        <v>80</v>
      </c>
      <c r="BW12" s="69">
        <f t="shared" si="27"/>
        <v>8620</v>
      </c>
      <c r="BX12" s="69">
        <f t="shared" si="54"/>
        <v>25860</v>
      </c>
      <c r="BY12" s="25">
        <f t="shared" si="63"/>
        <v>646.5</v>
      </c>
      <c r="BZ12" s="100"/>
      <c r="CA12" s="96">
        <v>32136</v>
      </c>
      <c r="CB12" s="25">
        <f t="shared" si="28"/>
        <v>37</v>
      </c>
      <c r="CC12" s="61">
        <f t="shared" si="59"/>
        <v>231.25</v>
      </c>
      <c r="CD12" s="96">
        <v>34076</v>
      </c>
      <c r="CE12" s="25">
        <f t="shared" si="29"/>
        <v>8</v>
      </c>
      <c r="CF12" s="61">
        <f t="shared" si="55"/>
        <v>50</v>
      </c>
      <c r="CG12" s="96">
        <v>9623</v>
      </c>
      <c r="CH12" s="25">
        <f t="shared" si="30"/>
        <v>17</v>
      </c>
      <c r="CI12" s="61">
        <f t="shared" si="56"/>
        <v>106.25</v>
      </c>
      <c r="CJ12" s="96">
        <v>83067</v>
      </c>
      <c r="CK12" s="25">
        <f t="shared" si="31"/>
        <v>5</v>
      </c>
      <c r="CL12" s="61">
        <f t="shared" si="57"/>
        <v>31.25</v>
      </c>
      <c r="CM12" s="96">
        <v>5467</v>
      </c>
      <c r="CN12" s="25">
        <f t="shared" si="32"/>
        <v>5</v>
      </c>
      <c r="CO12" s="61">
        <f t="shared" si="33"/>
        <v>31.25</v>
      </c>
      <c r="CP12" s="96">
        <v>6569</v>
      </c>
      <c r="CQ12" s="25">
        <f t="shared" si="34"/>
        <v>9</v>
      </c>
      <c r="CR12" s="61">
        <f t="shared" si="35"/>
        <v>56.25</v>
      </c>
      <c r="CS12" s="96">
        <v>3228</v>
      </c>
      <c r="CT12" s="25">
        <f t="shared" si="36"/>
        <v>4</v>
      </c>
      <c r="CU12" s="61">
        <f t="shared" si="37"/>
        <v>25</v>
      </c>
      <c r="CV12" s="96">
        <v>1820.1</v>
      </c>
      <c r="CW12" s="25">
        <f t="shared" si="38"/>
        <v>0.6999999999998181</v>
      </c>
      <c r="CX12" s="61">
        <f t="shared" si="39"/>
        <v>4.3749999999988631</v>
      </c>
      <c r="CY12" s="96">
        <v>4732</v>
      </c>
      <c r="CZ12" s="25">
        <f t="shared" si="40"/>
        <v>5</v>
      </c>
      <c r="DA12" s="61">
        <f t="shared" si="41"/>
        <v>31.25</v>
      </c>
      <c r="DB12" s="96">
        <v>4263</v>
      </c>
      <c r="DC12" s="25">
        <f t="shared" si="42"/>
        <v>5</v>
      </c>
      <c r="DD12" s="61">
        <f t="shared" si="43"/>
        <v>31.25</v>
      </c>
      <c r="DE12" s="96">
        <v>4903</v>
      </c>
      <c r="DF12" s="25">
        <f t="shared" si="44"/>
        <v>5</v>
      </c>
      <c r="DG12" s="61">
        <f t="shared" si="45"/>
        <v>31.25</v>
      </c>
      <c r="DH12" s="96">
        <v>4164</v>
      </c>
      <c r="DI12" s="25">
        <f t="shared" si="46"/>
        <v>5</v>
      </c>
      <c r="DJ12" s="61">
        <f t="shared" si="47"/>
        <v>31.25</v>
      </c>
      <c r="DK12" s="104">
        <v>12382</v>
      </c>
      <c r="DL12" s="25">
        <f>IF((DK12-DK11)&lt;0,"0",(DK12-DK11))</f>
        <v>0</v>
      </c>
      <c r="DM12" s="104">
        <v>52386</v>
      </c>
      <c r="DN12" s="25">
        <f t="shared" si="49"/>
        <v>0</v>
      </c>
      <c r="DO12" s="105">
        <v>15524</v>
      </c>
      <c r="DP12" s="25">
        <f>IF((DO12-DO11)&lt;0,"0",(DO12-DO11))</f>
        <v>0</v>
      </c>
      <c r="DQ12" s="105">
        <v>23640.3</v>
      </c>
      <c r="DR12" s="25">
        <f t="shared" si="61"/>
        <v>0</v>
      </c>
      <c r="DS12" s="105">
        <v>68</v>
      </c>
      <c r="DT12" s="109">
        <v>171</v>
      </c>
      <c r="DU12" s="110">
        <v>0.51</v>
      </c>
    </row>
    <row r="13" spans="1:125" s="65" customFormat="1" ht="15.75" thickBot="1" x14ac:dyDescent="0.25">
      <c r="A13" s="67">
        <v>44237</v>
      </c>
      <c r="B13" s="96">
        <v>3592922</v>
      </c>
      <c r="C13" s="25">
        <f t="shared" si="0"/>
        <v>26327</v>
      </c>
      <c r="D13" s="96">
        <v>3055968</v>
      </c>
      <c r="E13" s="25">
        <f t="shared" si="0"/>
        <v>25702</v>
      </c>
      <c r="F13" s="61">
        <f t="shared" si="51"/>
        <v>0.9762601131917803</v>
      </c>
      <c r="G13" s="96">
        <v>1664</v>
      </c>
      <c r="H13" s="97">
        <v>749</v>
      </c>
      <c r="I13" s="25">
        <v>0</v>
      </c>
      <c r="J13" s="96">
        <v>965</v>
      </c>
      <c r="K13" s="25">
        <v>0</v>
      </c>
      <c r="L13" s="96">
        <v>2503420</v>
      </c>
      <c r="M13" s="25">
        <f t="shared" si="1"/>
        <v>508</v>
      </c>
      <c r="N13" s="96">
        <v>2162392</v>
      </c>
      <c r="O13" s="89">
        <f>IF((N13-N12)&lt;0,"0",(N13-N12))</f>
        <v>712</v>
      </c>
      <c r="P13" s="96">
        <v>79533</v>
      </c>
      <c r="Q13" s="25">
        <f t="shared" si="3"/>
        <v>113</v>
      </c>
      <c r="R13" s="96">
        <v>89</v>
      </c>
      <c r="S13" s="96">
        <v>10</v>
      </c>
      <c r="T13" s="96">
        <v>147577</v>
      </c>
      <c r="U13" s="25">
        <f t="shared" si="4"/>
        <v>286</v>
      </c>
      <c r="V13" s="95">
        <v>33314</v>
      </c>
      <c r="W13" s="25">
        <f t="shared" si="5"/>
        <v>93</v>
      </c>
      <c r="X13" s="96">
        <v>1020</v>
      </c>
      <c r="Y13" s="25">
        <f t="shared" si="6"/>
        <v>0</v>
      </c>
      <c r="Z13" s="96">
        <v>3283</v>
      </c>
      <c r="AA13" s="68">
        <f t="shared" si="7"/>
        <v>11</v>
      </c>
      <c r="AB13" s="61"/>
      <c r="AC13" s="61"/>
      <c r="AD13" s="96">
        <v>562000</v>
      </c>
      <c r="AE13" s="25">
        <f t="shared" si="8"/>
        <v>150</v>
      </c>
      <c r="AF13" s="96">
        <v>51439</v>
      </c>
      <c r="AG13" s="25">
        <f t="shared" si="8"/>
        <v>15</v>
      </c>
      <c r="AH13" s="96">
        <v>8743</v>
      </c>
      <c r="AI13" s="25">
        <f t="shared" si="9"/>
        <v>2</v>
      </c>
      <c r="AJ13" s="96">
        <v>10363</v>
      </c>
      <c r="AK13" s="25">
        <f t="shared" si="10"/>
        <v>2</v>
      </c>
      <c r="AL13" s="96">
        <v>14373</v>
      </c>
      <c r="AM13" s="25">
        <f t="shared" si="11"/>
        <v>3</v>
      </c>
      <c r="AN13" s="96">
        <v>19176</v>
      </c>
      <c r="AO13" s="25">
        <f t="shared" si="12"/>
        <v>6</v>
      </c>
      <c r="AP13" s="96">
        <v>19467</v>
      </c>
      <c r="AQ13" s="25">
        <f t="shared" si="13"/>
        <v>2</v>
      </c>
      <c r="AR13" s="96">
        <v>13775</v>
      </c>
      <c r="AS13" s="25">
        <f t="shared" si="14"/>
        <v>0</v>
      </c>
      <c r="AT13" s="96">
        <v>6121</v>
      </c>
      <c r="AU13" s="25">
        <f t="shared" si="15"/>
        <v>0</v>
      </c>
      <c r="AV13" s="96">
        <v>25961</v>
      </c>
      <c r="AW13" s="25">
        <f t="shared" si="16"/>
        <v>10</v>
      </c>
      <c r="AX13" s="96">
        <v>869</v>
      </c>
      <c r="AY13" s="25">
        <f t="shared" si="17"/>
        <v>6</v>
      </c>
      <c r="AZ13" s="96">
        <v>4049</v>
      </c>
      <c r="BA13" s="25">
        <f t="shared" si="18"/>
        <v>7</v>
      </c>
      <c r="BB13" s="96">
        <v>3636</v>
      </c>
      <c r="BC13" s="25">
        <f t="shared" si="19"/>
        <v>0</v>
      </c>
      <c r="BD13" s="86">
        <f t="shared" si="58"/>
        <v>5</v>
      </c>
      <c r="BE13" s="86">
        <f t="shared" si="20"/>
        <v>145</v>
      </c>
      <c r="BF13" s="96">
        <v>586650</v>
      </c>
      <c r="BG13" s="25">
        <f t="shared" si="60"/>
        <v>110</v>
      </c>
      <c r="BH13" s="96">
        <v>757840</v>
      </c>
      <c r="BI13" s="25">
        <f t="shared" si="21"/>
        <v>160</v>
      </c>
      <c r="BJ13" s="25">
        <f t="shared" si="22"/>
        <v>10</v>
      </c>
      <c r="BK13" s="100">
        <v>144</v>
      </c>
      <c r="BL13" s="123">
        <f t="shared" si="23"/>
        <v>18518.16827812406</v>
      </c>
      <c r="BM13" s="66"/>
      <c r="BN13" s="25">
        <f t="shared" si="62"/>
        <v>0</v>
      </c>
      <c r="BO13" s="96">
        <v>200107</v>
      </c>
      <c r="BP13" s="25">
        <f t="shared" si="25"/>
        <v>119</v>
      </c>
      <c r="BQ13" s="61">
        <f t="shared" si="52"/>
        <v>743.75</v>
      </c>
      <c r="BR13" s="96">
        <v>75</v>
      </c>
      <c r="BS13" s="69">
        <f t="shared" si="53"/>
        <v>8081.25</v>
      </c>
      <c r="BT13" s="96">
        <v>80</v>
      </c>
      <c r="BU13" s="69">
        <f t="shared" si="26"/>
        <v>8620</v>
      </c>
      <c r="BV13" s="96">
        <v>80</v>
      </c>
      <c r="BW13" s="69">
        <f t="shared" si="27"/>
        <v>8620</v>
      </c>
      <c r="BX13" s="69">
        <f t="shared" si="54"/>
        <v>25321.25</v>
      </c>
      <c r="BY13" s="25">
        <f t="shared" si="63"/>
        <v>538.75</v>
      </c>
      <c r="BZ13" s="100"/>
      <c r="CA13" s="96">
        <v>32192</v>
      </c>
      <c r="CB13" s="25">
        <f t="shared" si="28"/>
        <v>56</v>
      </c>
      <c r="CC13" s="61">
        <f t="shared" si="59"/>
        <v>350</v>
      </c>
      <c r="CD13" s="96">
        <v>34083</v>
      </c>
      <c r="CE13" s="25">
        <f t="shared" si="29"/>
        <v>7</v>
      </c>
      <c r="CF13" s="61">
        <f t="shared" si="55"/>
        <v>43.75</v>
      </c>
      <c r="CG13" s="96">
        <v>9635</v>
      </c>
      <c r="CH13" s="25">
        <f t="shared" si="30"/>
        <v>12</v>
      </c>
      <c r="CI13" s="61">
        <f t="shared" si="56"/>
        <v>75</v>
      </c>
      <c r="CJ13" s="96">
        <v>83071</v>
      </c>
      <c r="CK13" s="25">
        <f t="shared" si="31"/>
        <v>4</v>
      </c>
      <c r="CL13" s="61">
        <f t="shared" si="57"/>
        <v>25</v>
      </c>
      <c r="CM13" s="96">
        <v>5472</v>
      </c>
      <c r="CN13" s="25">
        <f t="shared" si="32"/>
        <v>5</v>
      </c>
      <c r="CO13" s="61">
        <f t="shared" si="33"/>
        <v>31.25</v>
      </c>
      <c r="CP13" s="96">
        <v>6577</v>
      </c>
      <c r="CQ13" s="25">
        <f t="shared" si="34"/>
        <v>8</v>
      </c>
      <c r="CR13" s="61">
        <f t="shared" si="35"/>
        <v>50</v>
      </c>
      <c r="CS13" s="96">
        <v>3233</v>
      </c>
      <c r="CT13" s="25">
        <f t="shared" si="36"/>
        <v>5</v>
      </c>
      <c r="CU13" s="61">
        <f t="shared" si="37"/>
        <v>31.25</v>
      </c>
      <c r="CV13" s="96">
        <v>1821.3</v>
      </c>
      <c r="CW13" s="25">
        <f t="shared" si="38"/>
        <v>1.2000000000000455</v>
      </c>
      <c r="CX13" s="61">
        <f t="shared" si="39"/>
        <v>7.5000000000002842</v>
      </c>
      <c r="CY13" s="96">
        <v>4736</v>
      </c>
      <c r="CZ13" s="25">
        <f t="shared" si="40"/>
        <v>4</v>
      </c>
      <c r="DA13" s="61">
        <f t="shared" si="41"/>
        <v>25</v>
      </c>
      <c r="DB13" s="96">
        <v>4268</v>
      </c>
      <c r="DC13" s="25">
        <f t="shared" si="42"/>
        <v>5</v>
      </c>
      <c r="DD13" s="61">
        <f t="shared" si="43"/>
        <v>31.25</v>
      </c>
      <c r="DE13" s="96">
        <v>4907</v>
      </c>
      <c r="DF13" s="25">
        <f t="shared" si="44"/>
        <v>4</v>
      </c>
      <c r="DG13" s="61">
        <f t="shared" si="45"/>
        <v>25</v>
      </c>
      <c r="DH13" s="96">
        <v>4169</v>
      </c>
      <c r="DI13" s="25">
        <f t="shared" si="46"/>
        <v>5</v>
      </c>
      <c r="DJ13" s="61">
        <f t="shared" si="47"/>
        <v>31.25</v>
      </c>
      <c r="DK13" s="104">
        <v>12462</v>
      </c>
      <c r="DL13" s="25">
        <f t="shared" si="48"/>
        <v>80</v>
      </c>
      <c r="DM13" s="104">
        <v>54917</v>
      </c>
      <c r="DN13" s="25">
        <f t="shared" si="49"/>
        <v>2531</v>
      </c>
      <c r="DO13" s="105">
        <v>15524</v>
      </c>
      <c r="DP13" s="25">
        <f>IF((DO13-DO12)&lt;0,"0",(DO13-DO12))</f>
        <v>0</v>
      </c>
      <c r="DQ13" s="105">
        <v>23640.3</v>
      </c>
      <c r="DR13" s="25">
        <f t="shared" si="61"/>
        <v>0</v>
      </c>
      <c r="DS13" s="105">
        <v>62</v>
      </c>
      <c r="DT13" s="109">
        <v>150</v>
      </c>
      <c r="DU13" s="110">
        <v>0.47</v>
      </c>
    </row>
    <row r="14" spans="1:125" s="65" customFormat="1" ht="15.75" thickBot="1" x14ac:dyDescent="0.25">
      <c r="A14" s="67">
        <v>44238</v>
      </c>
      <c r="B14" s="96">
        <v>3619033</v>
      </c>
      <c r="C14" s="25">
        <f t="shared" si="0"/>
        <v>26111</v>
      </c>
      <c r="D14" s="96">
        <v>3081480</v>
      </c>
      <c r="E14" s="25">
        <f t="shared" si="0"/>
        <v>25512</v>
      </c>
      <c r="F14" s="61">
        <f t="shared" si="51"/>
        <v>0.97705947684883765</v>
      </c>
      <c r="G14" s="96">
        <v>1664</v>
      </c>
      <c r="H14" s="97">
        <v>749</v>
      </c>
      <c r="I14" s="25">
        <f t="shared" ref="I14:I31" si="64">IF((H14-H13)&lt;0,"0",(H14-H13))</f>
        <v>0</v>
      </c>
      <c r="J14" s="96">
        <v>965</v>
      </c>
      <c r="K14" s="25">
        <f>IF((J14-J13)&lt;0,"0",(J14-J13))</f>
        <v>0</v>
      </c>
      <c r="L14" s="96">
        <v>2504142</v>
      </c>
      <c r="M14" s="25">
        <f t="shared" si="1"/>
        <v>722</v>
      </c>
      <c r="N14" s="96">
        <v>2162989</v>
      </c>
      <c r="O14" s="89">
        <f>IF((N14-N13)&lt;0,"0",(N14-N13))</f>
        <v>597</v>
      </c>
      <c r="P14" s="100">
        <v>79651</v>
      </c>
      <c r="Q14" s="25">
        <f t="shared" si="3"/>
        <v>118</v>
      </c>
      <c r="R14" s="96">
        <v>83</v>
      </c>
      <c r="S14" s="96">
        <v>5</v>
      </c>
      <c r="T14" s="96">
        <v>147710</v>
      </c>
      <c r="U14" s="25">
        <f t="shared" si="4"/>
        <v>133</v>
      </c>
      <c r="V14" s="95">
        <v>33406</v>
      </c>
      <c r="W14" s="25">
        <f t="shared" si="5"/>
        <v>92</v>
      </c>
      <c r="X14" s="96">
        <v>1020</v>
      </c>
      <c r="Y14" s="25">
        <f t="shared" si="6"/>
        <v>0</v>
      </c>
      <c r="Z14" s="96">
        <v>3294</v>
      </c>
      <c r="AA14" s="68">
        <f t="shared" si="7"/>
        <v>11</v>
      </c>
      <c r="AB14" s="61"/>
      <c r="AC14" s="61"/>
      <c r="AD14" s="96">
        <v>562150</v>
      </c>
      <c r="AE14" s="25">
        <f t="shared" si="8"/>
        <v>150</v>
      </c>
      <c r="AF14" s="96">
        <v>51455</v>
      </c>
      <c r="AG14" s="25">
        <f t="shared" si="8"/>
        <v>16</v>
      </c>
      <c r="AH14" s="96">
        <v>8745</v>
      </c>
      <c r="AI14" s="25">
        <f t="shared" si="9"/>
        <v>2</v>
      </c>
      <c r="AJ14" s="96">
        <v>10368</v>
      </c>
      <c r="AK14" s="25">
        <f t="shared" si="10"/>
        <v>5</v>
      </c>
      <c r="AL14" s="96">
        <v>14375</v>
      </c>
      <c r="AM14" s="25">
        <f t="shared" si="11"/>
        <v>2</v>
      </c>
      <c r="AN14" s="96">
        <v>19183</v>
      </c>
      <c r="AO14" s="25">
        <f t="shared" si="12"/>
        <v>7</v>
      </c>
      <c r="AP14" s="96">
        <v>19469</v>
      </c>
      <c r="AQ14" s="25">
        <f t="shared" si="13"/>
        <v>2</v>
      </c>
      <c r="AR14" s="96">
        <v>13776</v>
      </c>
      <c r="AS14" s="25">
        <f t="shared" si="14"/>
        <v>1</v>
      </c>
      <c r="AT14" s="96">
        <v>6122</v>
      </c>
      <c r="AU14" s="25">
        <f t="shared" si="15"/>
        <v>1</v>
      </c>
      <c r="AV14" s="96">
        <v>25972</v>
      </c>
      <c r="AW14" s="25">
        <f t="shared" si="16"/>
        <v>11</v>
      </c>
      <c r="AX14" s="96">
        <v>874</v>
      </c>
      <c r="AY14" s="25">
        <f t="shared" si="17"/>
        <v>5</v>
      </c>
      <c r="AZ14" s="96">
        <v>4058</v>
      </c>
      <c r="BA14" s="25">
        <f t="shared" si="18"/>
        <v>9</v>
      </c>
      <c r="BB14" s="96">
        <v>3636</v>
      </c>
      <c r="BC14" s="25">
        <f t="shared" si="19"/>
        <v>0</v>
      </c>
      <c r="BD14" s="86">
        <f t="shared" si="58"/>
        <v>5</v>
      </c>
      <c r="BE14" s="86">
        <f t="shared" si="20"/>
        <v>145</v>
      </c>
      <c r="BF14" s="96">
        <v>586770</v>
      </c>
      <c r="BG14" s="25">
        <f t="shared" si="60"/>
        <v>120</v>
      </c>
      <c r="BH14" s="96">
        <v>758020</v>
      </c>
      <c r="BI14" s="25">
        <f t="shared" si="21"/>
        <v>180</v>
      </c>
      <c r="BJ14" s="25">
        <f t="shared" si="22"/>
        <v>30</v>
      </c>
      <c r="BK14" s="100">
        <v>144</v>
      </c>
      <c r="BL14" s="123">
        <f t="shared" si="23"/>
        <v>18518.16827812406</v>
      </c>
      <c r="BM14" s="66"/>
      <c r="BN14" s="25">
        <f t="shared" si="62"/>
        <v>0</v>
      </c>
      <c r="BO14" s="96">
        <v>200233</v>
      </c>
      <c r="BP14" s="25">
        <f t="shared" si="25"/>
        <v>126</v>
      </c>
      <c r="BQ14" s="61">
        <f t="shared" si="52"/>
        <v>787.5</v>
      </c>
      <c r="BR14" s="96">
        <v>75</v>
      </c>
      <c r="BS14" s="69">
        <f t="shared" si="53"/>
        <v>8081.25</v>
      </c>
      <c r="BT14" s="96">
        <v>75</v>
      </c>
      <c r="BU14" s="69">
        <f t="shared" si="26"/>
        <v>8081.25</v>
      </c>
      <c r="BV14" s="96">
        <v>80</v>
      </c>
      <c r="BW14" s="69">
        <f t="shared" si="27"/>
        <v>8620</v>
      </c>
      <c r="BX14" s="69">
        <f t="shared" si="54"/>
        <v>24782.5</v>
      </c>
      <c r="BY14" s="25">
        <f t="shared" si="63"/>
        <v>538.75</v>
      </c>
      <c r="BZ14" s="100"/>
      <c r="CA14" s="96">
        <v>32248</v>
      </c>
      <c r="CB14" s="25">
        <f t="shared" si="28"/>
        <v>56</v>
      </c>
      <c r="CC14" s="61">
        <f t="shared" si="59"/>
        <v>350</v>
      </c>
      <c r="CD14" s="96">
        <v>34084</v>
      </c>
      <c r="CE14" s="25">
        <f t="shared" si="29"/>
        <v>1</v>
      </c>
      <c r="CF14" s="61">
        <f t="shared" si="55"/>
        <v>6.25</v>
      </c>
      <c r="CG14" s="96">
        <v>9656</v>
      </c>
      <c r="CH14" s="25">
        <f t="shared" si="30"/>
        <v>21</v>
      </c>
      <c r="CI14" s="61">
        <f t="shared" si="56"/>
        <v>131.25</v>
      </c>
      <c r="CJ14" s="96">
        <v>83075</v>
      </c>
      <c r="CK14" s="25">
        <f t="shared" si="31"/>
        <v>4</v>
      </c>
      <c r="CL14" s="61">
        <f t="shared" si="57"/>
        <v>25</v>
      </c>
      <c r="CM14" s="96">
        <v>5478</v>
      </c>
      <c r="CN14" s="25">
        <f t="shared" si="32"/>
        <v>6</v>
      </c>
      <c r="CO14" s="61">
        <f t="shared" si="33"/>
        <v>37.5</v>
      </c>
      <c r="CP14" s="96">
        <v>6586</v>
      </c>
      <c r="CQ14" s="25">
        <f t="shared" si="34"/>
        <v>9</v>
      </c>
      <c r="CR14" s="61">
        <f t="shared" si="35"/>
        <v>56.25</v>
      </c>
      <c r="CS14" s="96">
        <v>3237</v>
      </c>
      <c r="CT14" s="25">
        <f t="shared" si="36"/>
        <v>4</v>
      </c>
      <c r="CU14" s="61">
        <f t="shared" si="37"/>
        <v>25</v>
      </c>
      <c r="CV14" s="96">
        <v>1822</v>
      </c>
      <c r="CW14" s="25">
        <f t="shared" si="38"/>
        <v>0.70000000000004547</v>
      </c>
      <c r="CX14" s="61">
        <f t="shared" si="39"/>
        <v>4.3750000000002842</v>
      </c>
      <c r="CY14" s="96">
        <v>4745</v>
      </c>
      <c r="CZ14" s="25">
        <f t="shared" si="40"/>
        <v>9</v>
      </c>
      <c r="DA14" s="61">
        <f t="shared" si="41"/>
        <v>56.25</v>
      </c>
      <c r="DB14" s="96">
        <v>4272</v>
      </c>
      <c r="DC14" s="25">
        <f t="shared" si="42"/>
        <v>4</v>
      </c>
      <c r="DD14" s="61">
        <f t="shared" si="43"/>
        <v>25</v>
      </c>
      <c r="DE14" s="96">
        <v>4907</v>
      </c>
      <c r="DF14" s="25">
        <f t="shared" si="44"/>
        <v>0</v>
      </c>
      <c r="DG14" s="61">
        <f t="shared" si="45"/>
        <v>0</v>
      </c>
      <c r="DH14" s="96">
        <v>4175</v>
      </c>
      <c r="DI14" s="25">
        <f t="shared" si="46"/>
        <v>6</v>
      </c>
      <c r="DJ14" s="61">
        <f t="shared" si="47"/>
        <v>37.5</v>
      </c>
      <c r="DK14" s="104">
        <v>12462</v>
      </c>
      <c r="DL14" s="25">
        <f t="shared" si="48"/>
        <v>0</v>
      </c>
      <c r="DM14" s="104">
        <v>54917</v>
      </c>
      <c r="DN14" s="25">
        <f t="shared" si="49"/>
        <v>0</v>
      </c>
      <c r="DO14" s="105">
        <v>15524</v>
      </c>
      <c r="DP14" s="25">
        <f>IF((DO14-DO13)&lt;0,"0",(DO14-DO13))</f>
        <v>0</v>
      </c>
      <c r="DQ14" s="105">
        <v>23640.3</v>
      </c>
      <c r="DR14" s="25">
        <f t="shared" si="61"/>
        <v>0</v>
      </c>
      <c r="DS14" s="105">
        <v>63</v>
      </c>
      <c r="DT14" s="109">
        <v>145</v>
      </c>
      <c r="DU14" s="110">
        <v>0.47</v>
      </c>
    </row>
    <row r="15" spans="1:125" s="65" customFormat="1" ht="15.75" thickBot="1" x14ac:dyDescent="0.25">
      <c r="A15" s="67">
        <v>44239</v>
      </c>
      <c r="B15" s="96"/>
      <c r="C15" s="25" t="str">
        <f t="shared" si="0"/>
        <v>0</v>
      </c>
      <c r="D15" s="96"/>
      <c r="E15" s="25" t="str">
        <f t="shared" si="0"/>
        <v>0</v>
      </c>
      <c r="F15" s="61" t="e">
        <f t="shared" si="51"/>
        <v>#DIV/0!</v>
      </c>
      <c r="G15" s="96"/>
      <c r="H15" s="96"/>
      <c r="I15" s="25" t="str">
        <f t="shared" si="64"/>
        <v>0</v>
      </c>
      <c r="J15" s="97"/>
      <c r="K15" s="25" t="str">
        <f>IF((J15-J14)&lt;0,"0",(J15-J14))</f>
        <v>0</v>
      </c>
      <c r="L15" s="96"/>
      <c r="M15" s="25" t="str">
        <f t="shared" si="1"/>
        <v>0</v>
      </c>
      <c r="N15" s="96"/>
      <c r="O15" s="89" t="str">
        <f t="shared" si="2"/>
        <v>0</v>
      </c>
      <c r="P15" s="100"/>
      <c r="Q15" s="25" t="str">
        <f t="shared" si="3"/>
        <v>0</v>
      </c>
      <c r="R15" s="96"/>
      <c r="S15" s="96"/>
      <c r="T15" s="96"/>
      <c r="U15" s="25" t="str">
        <f t="shared" si="4"/>
        <v>0</v>
      </c>
      <c r="V15" s="95"/>
      <c r="W15" s="25" t="str">
        <f t="shared" si="5"/>
        <v>0</v>
      </c>
      <c r="X15" s="96"/>
      <c r="Y15" s="25" t="str">
        <f t="shared" si="6"/>
        <v>0</v>
      </c>
      <c r="Z15" s="96"/>
      <c r="AA15" s="68" t="str">
        <f t="shared" si="7"/>
        <v>0</v>
      </c>
      <c r="AB15" s="61"/>
      <c r="AC15" s="61"/>
      <c r="AD15" s="96"/>
      <c r="AE15" s="25" t="str">
        <f t="shared" si="8"/>
        <v>0</v>
      </c>
      <c r="AF15" s="96"/>
      <c r="AG15" s="25" t="str">
        <f t="shared" si="8"/>
        <v>0</v>
      </c>
      <c r="AH15" s="96"/>
      <c r="AI15" s="25" t="str">
        <f t="shared" si="9"/>
        <v>0</v>
      </c>
      <c r="AJ15" s="96"/>
      <c r="AK15" s="25" t="str">
        <f t="shared" si="10"/>
        <v>0</v>
      </c>
      <c r="AL15" s="96"/>
      <c r="AM15" s="25" t="str">
        <f t="shared" si="11"/>
        <v>0</v>
      </c>
      <c r="AN15" s="96"/>
      <c r="AO15" s="25" t="str">
        <f t="shared" si="12"/>
        <v>0</v>
      </c>
      <c r="AP15" s="96"/>
      <c r="AQ15" s="25" t="str">
        <f t="shared" si="13"/>
        <v>0</v>
      </c>
      <c r="AR15" s="96"/>
      <c r="AS15" s="25" t="str">
        <f t="shared" si="14"/>
        <v>0</v>
      </c>
      <c r="AT15" s="96"/>
      <c r="AU15" s="25" t="str">
        <f t="shared" si="15"/>
        <v>0</v>
      </c>
      <c r="AV15" s="96"/>
      <c r="AW15" s="25" t="str">
        <f t="shared" si="16"/>
        <v>0</v>
      </c>
      <c r="AX15" s="96"/>
      <c r="AY15" s="25" t="str">
        <f t="shared" si="17"/>
        <v>0</v>
      </c>
      <c r="AZ15" s="96"/>
      <c r="BA15" s="25" t="str">
        <f t="shared" si="18"/>
        <v>0</v>
      </c>
      <c r="BB15" s="96"/>
      <c r="BC15" s="25" t="str">
        <f t="shared" si="19"/>
        <v>0</v>
      </c>
      <c r="BD15" s="86">
        <f t="shared" si="58"/>
        <v>0</v>
      </c>
      <c r="BE15" s="86">
        <f t="shared" si="20"/>
        <v>0</v>
      </c>
      <c r="BF15" s="96"/>
      <c r="BG15" s="25" t="str">
        <f t="shared" si="60"/>
        <v>0</v>
      </c>
      <c r="BH15" s="96"/>
      <c r="BI15" s="25" t="str">
        <f t="shared" si="21"/>
        <v>0</v>
      </c>
      <c r="BJ15" s="25">
        <f t="shared" si="22"/>
        <v>0</v>
      </c>
      <c r="BK15" s="100"/>
      <c r="BL15" s="100"/>
      <c r="BM15" s="66"/>
      <c r="BN15" s="25">
        <f t="shared" si="62"/>
        <v>18518.16827812406</v>
      </c>
      <c r="BO15" s="96"/>
      <c r="BP15" s="25" t="str">
        <f t="shared" si="25"/>
        <v>0</v>
      </c>
      <c r="BQ15" s="61">
        <f t="shared" si="52"/>
        <v>0</v>
      </c>
      <c r="BR15" s="96"/>
      <c r="BS15" s="69">
        <f t="shared" si="53"/>
        <v>0</v>
      </c>
      <c r="BT15" s="96"/>
      <c r="BU15" s="69">
        <f t="shared" si="26"/>
        <v>0</v>
      </c>
      <c r="BV15" s="96"/>
      <c r="BW15" s="69">
        <f t="shared" si="27"/>
        <v>0</v>
      </c>
      <c r="BX15" s="69">
        <f t="shared" si="54"/>
        <v>0</v>
      </c>
      <c r="BY15" s="25" t="str">
        <f t="shared" si="63"/>
        <v>0</v>
      </c>
      <c r="BZ15" s="100"/>
      <c r="CA15" s="96"/>
      <c r="CB15" s="25" t="str">
        <f t="shared" si="28"/>
        <v>0</v>
      </c>
      <c r="CC15" s="61">
        <f t="shared" si="59"/>
        <v>0</v>
      </c>
      <c r="CD15" s="96"/>
      <c r="CE15" s="25" t="str">
        <f t="shared" si="29"/>
        <v>0</v>
      </c>
      <c r="CF15" s="61">
        <f t="shared" si="55"/>
        <v>0</v>
      </c>
      <c r="CG15" s="96"/>
      <c r="CH15" s="25" t="str">
        <f t="shared" si="30"/>
        <v>0</v>
      </c>
      <c r="CI15" s="61">
        <f t="shared" si="56"/>
        <v>0</v>
      </c>
      <c r="CJ15" s="96"/>
      <c r="CK15" s="25" t="str">
        <f t="shared" si="31"/>
        <v>0</v>
      </c>
      <c r="CL15" s="61">
        <f t="shared" si="57"/>
        <v>0</v>
      </c>
      <c r="CM15" s="96"/>
      <c r="CN15" s="25" t="str">
        <f t="shared" si="32"/>
        <v>0</v>
      </c>
      <c r="CO15" s="61">
        <f t="shared" si="33"/>
        <v>0</v>
      </c>
      <c r="CP15" s="96"/>
      <c r="CQ15" s="25" t="str">
        <f t="shared" si="34"/>
        <v>0</v>
      </c>
      <c r="CR15" s="61">
        <f t="shared" si="35"/>
        <v>0</v>
      </c>
      <c r="CS15" s="96"/>
      <c r="CT15" s="25" t="str">
        <f t="shared" si="36"/>
        <v>0</v>
      </c>
      <c r="CU15" s="61">
        <f t="shared" si="37"/>
        <v>0</v>
      </c>
      <c r="CV15" s="96"/>
      <c r="CW15" s="25" t="str">
        <f t="shared" si="38"/>
        <v>0</v>
      </c>
      <c r="CX15" s="61">
        <f t="shared" si="39"/>
        <v>0</v>
      </c>
      <c r="CY15" s="96"/>
      <c r="CZ15" s="25" t="str">
        <f t="shared" si="40"/>
        <v>0</v>
      </c>
      <c r="DA15" s="61">
        <f t="shared" si="41"/>
        <v>0</v>
      </c>
      <c r="DB15" s="96"/>
      <c r="DC15" s="25" t="str">
        <f t="shared" si="42"/>
        <v>0</v>
      </c>
      <c r="DD15" s="61">
        <f t="shared" si="43"/>
        <v>0</v>
      </c>
      <c r="DE15" s="96"/>
      <c r="DF15" s="25" t="str">
        <f t="shared" si="44"/>
        <v>0</v>
      </c>
      <c r="DG15" s="61">
        <f t="shared" si="45"/>
        <v>0</v>
      </c>
      <c r="DH15" s="96"/>
      <c r="DI15" s="25" t="str">
        <f t="shared" si="46"/>
        <v>0</v>
      </c>
      <c r="DJ15" s="61">
        <f t="shared" si="47"/>
        <v>0</v>
      </c>
      <c r="DK15" s="104"/>
      <c r="DL15" s="25" t="str">
        <f t="shared" si="48"/>
        <v>0</v>
      </c>
      <c r="DM15" s="104"/>
      <c r="DN15" s="25" t="str">
        <f t="shared" si="49"/>
        <v>0</v>
      </c>
      <c r="DO15" s="105"/>
      <c r="DP15" s="25" t="str">
        <f>IF((DO15-DO14)&lt;0,"0",(DO15-DO14))</f>
        <v>0</v>
      </c>
      <c r="DQ15" s="105"/>
      <c r="DR15" s="25" t="str">
        <f t="shared" si="61"/>
        <v>0</v>
      </c>
      <c r="DS15" s="105">
        <v>66</v>
      </c>
      <c r="DT15" s="109">
        <v>160</v>
      </c>
      <c r="DU15" s="110">
        <v>0.5</v>
      </c>
    </row>
    <row r="16" spans="1:125" s="65" customFormat="1" ht="15.75" thickBot="1" x14ac:dyDescent="0.25">
      <c r="A16" s="67">
        <v>44240</v>
      </c>
      <c r="B16" s="96"/>
      <c r="C16" s="25">
        <f t="shared" si="0"/>
        <v>0</v>
      </c>
      <c r="D16" s="96"/>
      <c r="E16" s="25">
        <f t="shared" si="0"/>
        <v>0</v>
      </c>
      <c r="F16" s="61" t="e">
        <f t="shared" si="51"/>
        <v>#DIV/0!</v>
      </c>
      <c r="G16" s="96"/>
      <c r="H16" s="96"/>
      <c r="I16" s="25">
        <f t="shared" si="64"/>
        <v>0</v>
      </c>
      <c r="J16" s="97"/>
      <c r="K16" s="25">
        <f t="shared" ref="K16:K34" si="65">IF((J16-J15)&lt;0,"0",(J16-J15))</f>
        <v>0</v>
      </c>
      <c r="L16" s="96"/>
      <c r="M16" s="25">
        <f t="shared" si="1"/>
        <v>0</v>
      </c>
      <c r="N16" s="96"/>
      <c r="O16" s="25">
        <f t="shared" si="2"/>
        <v>0</v>
      </c>
      <c r="P16" s="100"/>
      <c r="Q16" s="25">
        <f t="shared" si="3"/>
        <v>0</v>
      </c>
      <c r="R16" s="96"/>
      <c r="S16" s="96"/>
      <c r="T16" s="96"/>
      <c r="U16" s="25">
        <f t="shared" si="4"/>
        <v>0</v>
      </c>
      <c r="V16" s="95"/>
      <c r="W16" s="25">
        <f t="shared" si="5"/>
        <v>0</v>
      </c>
      <c r="X16" s="96"/>
      <c r="Y16" s="25">
        <f t="shared" si="6"/>
        <v>0</v>
      </c>
      <c r="Z16" s="96"/>
      <c r="AA16" s="68">
        <f>IF((Z16-Z15)&lt;0,"0",(Z16-Z15))</f>
        <v>0</v>
      </c>
      <c r="AB16" s="61"/>
      <c r="AC16" s="61"/>
      <c r="AD16" s="96"/>
      <c r="AE16" s="25">
        <f t="shared" si="8"/>
        <v>0</v>
      </c>
      <c r="AF16" s="96"/>
      <c r="AG16" s="25">
        <f t="shared" si="8"/>
        <v>0</v>
      </c>
      <c r="AH16" s="96"/>
      <c r="AI16" s="25">
        <f t="shared" si="9"/>
        <v>0</v>
      </c>
      <c r="AJ16" s="96"/>
      <c r="AK16" s="25">
        <f t="shared" si="10"/>
        <v>0</v>
      </c>
      <c r="AL16" s="96"/>
      <c r="AM16" s="25">
        <f t="shared" si="11"/>
        <v>0</v>
      </c>
      <c r="AN16" s="96"/>
      <c r="AO16" s="25">
        <f t="shared" si="12"/>
        <v>0</v>
      </c>
      <c r="AP16" s="96"/>
      <c r="AQ16" s="25">
        <f t="shared" si="13"/>
        <v>0</v>
      </c>
      <c r="AR16" s="96"/>
      <c r="AS16" s="25">
        <f t="shared" si="14"/>
        <v>0</v>
      </c>
      <c r="AT16" s="96"/>
      <c r="AU16" s="25">
        <f t="shared" si="15"/>
        <v>0</v>
      </c>
      <c r="AV16" s="96"/>
      <c r="AW16" s="25">
        <f t="shared" si="16"/>
        <v>0</v>
      </c>
      <c r="AX16" s="96"/>
      <c r="AY16" s="25">
        <f t="shared" si="17"/>
        <v>0</v>
      </c>
      <c r="AZ16" s="96"/>
      <c r="BA16" s="25">
        <f t="shared" si="18"/>
        <v>0</v>
      </c>
      <c r="BB16" s="96"/>
      <c r="BC16" s="25">
        <f t="shared" si="19"/>
        <v>0</v>
      </c>
      <c r="BD16" s="86">
        <f t="shared" si="58"/>
        <v>0</v>
      </c>
      <c r="BE16" s="86">
        <f t="shared" si="20"/>
        <v>0</v>
      </c>
      <c r="BF16" s="96"/>
      <c r="BG16" s="25">
        <f t="shared" si="60"/>
        <v>0</v>
      </c>
      <c r="BH16" s="96"/>
      <c r="BI16" s="25">
        <f t="shared" si="21"/>
        <v>0</v>
      </c>
      <c r="BJ16" s="25">
        <f t="shared" si="22"/>
        <v>0</v>
      </c>
      <c r="BK16" s="100"/>
      <c r="BL16" s="100"/>
      <c r="BM16" s="66"/>
      <c r="BN16" s="25">
        <f t="shared" si="62"/>
        <v>0</v>
      </c>
      <c r="BO16" s="96"/>
      <c r="BP16" s="25">
        <f t="shared" si="25"/>
        <v>0</v>
      </c>
      <c r="BQ16" s="61">
        <f t="shared" si="52"/>
        <v>0</v>
      </c>
      <c r="BR16" s="96"/>
      <c r="BS16" s="69">
        <f t="shared" si="53"/>
        <v>0</v>
      </c>
      <c r="BT16" s="96"/>
      <c r="BU16" s="69">
        <f t="shared" si="26"/>
        <v>0</v>
      </c>
      <c r="BV16" s="96"/>
      <c r="BW16" s="69">
        <f t="shared" si="27"/>
        <v>0</v>
      </c>
      <c r="BX16" s="69">
        <f t="shared" si="54"/>
        <v>0</v>
      </c>
      <c r="BY16" s="25" t="str">
        <f t="shared" si="63"/>
        <v>0</v>
      </c>
      <c r="BZ16" s="100"/>
      <c r="CA16" s="96"/>
      <c r="CB16" s="25">
        <f t="shared" si="28"/>
        <v>0</v>
      </c>
      <c r="CC16" s="61">
        <f t="shared" si="59"/>
        <v>0</v>
      </c>
      <c r="CD16" s="96"/>
      <c r="CE16" s="25">
        <f t="shared" si="29"/>
        <v>0</v>
      </c>
      <c r="CF16" s="61">
        <f t="shared" si="55"/>
        <v>0</v>
      </c>
      <c r="CG16" s="96"/>
      <c r="CH16" s="25">
        <f t="shared" si="30"/>
        <v>0</v>
      </c>
      <c r="CI16" s="61">
        <f t="shared" si="56"/>
        <v>0</v>
      </c>
      <c r="CJ16" s="96"/>
      <c r="CK16" s="25">
        <f t="shared" si="31"/>
        <v>0</v>
      </c>
      <c r="CL16" s="61">
        <f t="shared" si="57"/>
        <v>0</v>
      </c>
      <c r="CM16" s="96"/>
      <c r="CN16" s="25">
        <f t="shared" si="32"/>
        <v>0</v>
      </c>
      <c r="CO16" s="61">
        <f t="shared" si="33"/>
        <v>0</v>
      </c>
      <c r="CP16" s="96"/>
      <c r="CQ16" s="25">
        <f t="shared" si="34"/>
        <v>0</v>
      </c>
      <c r="CR16" s="61">
        <f t="shared" si="35"/>
        <v>0</v>
      </c>
      <c r="CS16" s="96"/>
      <c r="CT16" s="25">
        <f t="shared" si="36"/>
        <v>0</v>
      </c>
      <c r="CU16" s="61">
        <f t="shared" si="37"/>
        <v>0</v>
      </c>
      <c r="CV16" s="96"/>
      <c r="CW16" s="25">
        <f t="shared" si="38"/>
        <v>0</v>
      </c>
      <c r="CX16" s="61">
        <f t="shared" si="39"/>
        <v>0</v>
      </c>
      <c r="CY16" s="96"/>
      <c r="CZ16" s="25">
        <f t="shared" si="40"/>
        <v>0</v>
      </c>
      <c r="DA16" s="61">
        <f t="shared" si="41"/>
        <v>0</v>
      </c>
      <c r="DB16" s="96"/>
      <c r="DC16" s="25">
        <f t="shared" si="42"/>
        <v>0</v>
      </c>
      <c r="DD16" s="61">
        <f t="shared" si="43"/>
        <v>0</v>
      </c>
      <c r="DE16" s="96"/>
      <c r="DF16" s="25">
        <f t="shared" si="44"/>
        <v>0</v>
      </c>
      <c r="DG16" s="61">
        <f t="shared" si="45"/>
        <v>0</v>
      </c>
      <c r="DH16" s="96"/>
      <c r="DI16" s="25">
        <f t="shared" si="46"/>
        <v>0</v>
      </c>
      <c r="DJ16" s="61">
        <f t="shared" si="47"/>
        <v>0</v>
      </c>
      <c r="DK16" s="104"/>
      <c r="DL16" s="25">
        <f t="shared" si="48"/>
        <v>0</v>
      </c>
      <c r="DM16" s="104"/>
      <c r="DN16" s="25">
        <f t="shared" si="49"/>
        <v>0</v>
      </c>
      <c r="DO16" s="105"/>
      <c r="DP16" s="25">
        <f t="shared" si="50"/>
        <v>0</v>
      </c>
      <c r="DQ16" s="105"/>
      <c r="DR16" s="25">
        <f t="shared" si="61"/>
        <v>0</v>
      </c>
      <c r="DS16" s="105"/>
      <c r="DT16" s="109"/>
      <c r="DU16" s="110"/>
    </row>
    <row r="17" spans="1:125" s="65" customFormat="1" ht="15.75" thickBot="1" x14ac:dyDescent="0.25">
      <c r="A17" s="67">
        <v>44241</v>
      </c>
      <c r="B17" s="96"/>
      <c r="C17" s="25">
        <f t="shared" si="0"/>
        <v>0</v>
      </c>
      <c r="D17" s="96"/>
      <c r="E17" s="25">
        <f t="shared" si="0"/>
        <v>0</v>
      </c>
      <c r="F17" s="61" t="e">
        <f t="shared" si="51"/>
        <v>#DIV/0!</v>
      </c>
      <c r="G17" s="96"/>
      <c r="H17" s="96"/>
      <c r="I17" s="25">
        <f t="shared" si="64"/>
        <v>0</v>
      </c>
      <c r="J17" s="97"/>
      <c r="K17" s="25">
        <f t="shared" si="65"/>
        <v>0</v>
      </c>
      <c r="L17" s="96"/>
      <c r="M17" s="25">
        <f t="shared" si="1"/>
        <v>0</v>
      </c>
      <c r="N17" s="96"/>
      <c r="O17" s="25">
        <f t="shared" si="2"/>
        <v>0</v>
      </c>
      <c r="P17" s="100"/>
      <c r="Q17" s="25">
        <f t="shared" si="3"/>
        <v>0</v>
      </c>
      <c r="R17" s="96"/>
      <c r="S17" s="96"/>
      <c r="T17" s="96"/>
      <c r="U17" s="25">
        <f>IF((T17-T16)&lt;0,"0",(T17-T16))</f>
        <v>0</v>
      </c>
      <c r="V17" s="95"/>
      <c r="W17" s="25">
        <f t="shared" si="5"/>
        <v>0</v>
      </c>
      <c r="X17" s="96"/>
      <c r="Y17" s="25">
        <f t="shared" si="6"/>
        <v>0</v>
      </c>
      <c r="Z17" s="96"/>
      <c r="AA17" s="68">
        <f t="shared" si="7"/>
        <v>0</v>
      </c>
      <c r="AB17" s="61"/>
      <c r="AC17" s="61"/>
      <c r="AD17" s="96"/>
      <c r="AE17" s="25">
        <f t="shared" si="8"/>
        <v>0</v>
      </c>
      <c r="AF17" s="96"/>
      <c r="AG17" s="25">
        <f t="shared" si="8"/>
        <v>0</v>
      </c>
      <c r="AH17" s="96"/>
      <c r="AI17" s="25">
        <f t="shared" si="9"/>
        <v>0</v>
      </c>
      <c r="AJ17" s="96"/>
      <c r="AK17" s="25">
        <f t="shared" si="10"/>
        <v>0</v>
      </c>
      <c r="AL17" s="96"/>
      <c r="AM17" s="25">
        <f t="shared" si="11"/>
        <v>0</v>
      </c>
      <c r="AN17" s="96"/>
      <c r="AO17" s="25">
        <f t="shared" si="12"/>
        <v>0</v>
      </c>
      <c r="AP17" s="96"/>
      <c r="AQ17" s="25">
        <f t="shared" si="13"/>
        <v>0</v>
      </c>
      <c r="AR17" s="96"/>
      <c r="AS17" s="25">
        <f t="shared" si="14"/>
        <v>0</v>
      </c>
      <c r="AT17" s="96"/>
      <c r="AU17" s="25">
        <f t="shared" si="15"/>
        <v>0</v>
      </c>
      <c r="AV17" s="96"/>
      <c r="AW17" s="25">
        <f t="shared" si="16"/>
        <v>0</v>
      </c>
      <c r="AX17" s="96"/>
      <c r="AY17" s="25">
        <f t="shared" si="17"/>
        <v>0</v>
      </c>
      <c r="AZ17" s="96"/>
      <c r="BA17" s="25">
        <f t="shared" si="18"/>
        <v>0</v>
      </c>
      <c r="BB17" s="96"/>
      <c r="BC17" s="25">
        <f t="shared" si="19"/>
        <v>0</v>
      </c>
      <c r="BD17" s="86">
        <f t="shared" si="58"/>
        <v>0</v>
      </c>
      <c r="BE17" s="86">
        <f t="shared" si="20"/>
        <v>0</v>
      </c>
      <c r="BF17" s="96"/>
      <c r="BG17" s="25">
        <f t="shared" si="60"/>
        <v>0</v>
      </c>
      <c r="BH17" s="96"/>
      <c r="BI17" s="25">
        <f t="shared" si="21"/>
        <v>0</v>
      </c>
      <c r="BJ17" s="25">
        <f t="shared" si="22"/>
        <v>0</v>
      </c>
      <c r="BK17" s="100"/>
      <c r="BL17" s="100"/>
      <c r="BM17" s="66"/>
      <c r="BN17" s="25">
        <f t="shared" si="62"/>
        <v>0</v>
      </c>
      <c r="BO17" s="96"/>
      <c r="BP17" s="25">
        <f t="shared" si="25"/>
        <v>0</v>
      </c>
      <c r="BQ17" s="61">
        <f t="shared" si="52"/>
        <v>0</v>
      </c>
      <c r="BR17" s="96"/>
      <c r="BS17" s="69">
        <f t="shared" si="53"/>
        <v>0</v>
      </c>
      <c r="BT17" s="96"/>
      <c r="BU17" s="69">
        <f t="shared" si="26"/>
        <v>0</v>
      </c>
      <c r="BV17" s="96"/>
      <c r="BW17" s="69">
        <f t="shared" si="27"/>
        <v>0</v>
      </c>
      <c r="BX17" s="69">
        <f t="shared" si="54"/>
        <v>0</v>
      </c>
      <c r="BY17" s="25" t="str">
        <f t="shared" si="63"/>
        <v>0</v>
      </c>
      <c r="BZ17" s="100"/>
      <c r="CA17" s="96"/>
      <c r="CB17" s="25">
        <f t="shared" si="28"/>
        <v>0</v>
      </c>
      <c r="CC17" s="61">
        <f t="shared" si="59"/>
        <v>0</v>
      </c>
      <c r="CD17" s="96"/>
      <c r="CE17" s="25">
        <f t="shared" si="29"/>
        <v>0</v>
      </c>
      <c r="CF17" s="61">
        <f t="shared" si="55"/>
        <v>0</v>
      </c>
      <c r="CG17" s="96"/>
      <c r="CH17" s="25">
        <f t="shared" si="30"/>
        <v>0</v>
      </c>
      <c r="CI17" s="61">
        <f t="shared" si="56"/>
        <v>0</v>
      </c>
      <c r="CJ17" s="96"/>
      <c r="CK17" s="25">
        <f t="shared" si="31"/>
        <v>0</v>
      </c>
      <c r="CL17" s="61">
        <f t="shared" si="57"/>
        <v>0</v>
      </c>
      <c r="CM17" s="96"/>
      <c r="CN17" s="25">
        <f t="shared" si="32"/>
        <v>0</v>
      </c>
      <c r="CO17" s="61">
        <f t="shared" si="33"/>
        <v>0</v>
      </c>
      <c r="CP17" s="96"/>
      <c r="CQ17" s="25">
        <f t="shared" si="34"/>
        <v>0</v>
      </c>
      <c r="CR17" s="61">
        <f t="shared" si="35"/>
        <v>0</v>
      </c>
      <c r="CS17" s="96"/>
      <c r="CT17" s="25">
        <f t="shared" si="36"/>
        <v>0</v>
      </c>
      <c r="CU17" s="61">
        <f t="shared" si="37"/>
        <v>0</v>
      </c>
      <c r="CV17" s="96"/>
      <c r="CW17" s="25">
        <f t="shared" si="38"/>
        <v>0</v>
      </c>
      <c r="CX17" s="61">
        <f t="shared" si="39"/>
        <v>0</v>
      </c>
      <c r="CY17" s="96"/>
      <c r="CZ17" s="25">
        <f t="shared" si="40"/>
        <v>0</v>
      </c>
      <c r="DA17" s="61">
        <f t="shared" si="41"/>
        <v>0</v>
      </c>
      <c r="DB17" s="96"/>
      <c r="DC17" s="25">
        <f t="shared" si="42"/>
        <v>0</v>
      </c>
      <c r="DD17" s="61">
        <f t="shared" si="43"/>
        <v>0</v>
      </c>
      <c r="DE17" s="96"/>
      <c r="DF17" s="25">
        <f t="shared" si="44"/>
        <v>0</v>
      </c>
      <c r="DG17" s="61">
        <f t="shared" si="45"/>
        <v>0</v>
      </c>
      <c r="DH17" s="96"/>
      <c r="DI17" s="25">
        <f t="shared" si="46"/>
        <v>0</v>
      </c>
      <c r="DJ17" s="61">
        <f t="shared" si="47"/>
        <v>0</v>
      </c>
      <c r="DK17" s="104"/>
      <c r="DL17" s="25">
        <f t="shared" si="48"/>
        <v>0</v>
      </c>
      <c r="DM17" s="104"/>
      <c r="DN17" s="25">
        <f>IF((DM17-DM16)&lt;0,"0",(DM17-DM16))</f>
        <v>0</v>
      </c>
      <c r="DO17" s="105"/>
      <c r="DP17" s="25">
        <f t="shared" si="50"/>
        <v>0</v>
      </c>
      <c r="DQ17" s="105"/>
      <c r="DR17" s="25">
        <f t="shared" si="61"/>
        <v>0</v>
      </c>
      <c r="DS17" s="105"/>
      <c r="DT17" s="109"/>
      <c r="DU17" s="110"/>
    </row>
    <row r="18" spans="1:125" s="94" customFormat="1" ht="15.75" thickBot="1" x14ac:dyDescent="0.25">
      <c r="A18" s="67">
        <v>44242</v>
      </c>
      <c r="B18" s="96"/>
      <c r="C18" s="89">
        <f t="shared" si="0"/>
        <v>0</v>
      </c>
      <c r="D18" s="96"/>
      <c r="E18" s="89">
        <f t="shared" si="0"/>
        <v>0</v>
      </c>
      <c r="F18" s="87" t="e">
        <f t="shared" si="51"/>
        <v>#DIV/0!</v>
      </c>
      <c r="G18" s="96"/>
      <c r="H18" s="96"/>
      <c r="I18" s="89">
        <f t="shared" si="64"/>
        <v>0</v>
      </c>
      <c r="J18" s="97"/>
      <c r="K18" s="89">
        <f t="shared" si="65"/>
        <v>0</v>
      </c>
      <c r="L18" s="96"/>
      <c r="M18" s="89">
        <f t="shared" si="1"/>
        <v>0</v>
      </c>
      <c r="N18" s="96"/>
      <c r="O18" s="89">
        <f t="shared" si="2"/>
        <v>0</v>
      </c>
      <c r="P18" s="100"/>
      <c r="Q18" s="89">
        <f t="shared" si="3"/>
        <v>0</v>
      </c>
      <c r="R18" s="96"/>
      <c r="S18" s="96"/>
      <c r="T18" s="96"/>
      <c r="U18" s="89">
        <f>IF((T18-T17)&lt;0,"0",(T18-T17))</f>
        <v>0</v>
      </c>
      <c r="V18" s="95"/>
      <c r="W18" s="89">
        <f t="shared" si="5"/>
        <v>0</v>
      </c>
      <c r="X18" s="96"/>
      <c r="Y18" s="89">
        <f t="shared" si="6"/>
        <v>0</v>
      </c>
      <c r="Z18" s="96"/>
      <c r="AA18" s="68">
        <f t="shared" si="7"/>
        <v>0</v>
      </c>
      <c r="AB18" s="87"/>
      <c r="AC18" s="87"/>
      <c r="AD18" s="96"/>
      <c r="AE18" s="89">
        <f t="shared" si="8"/>
        <v>0</v>
      </c>
      <c r="AF18" s="96"/>
      <c r="AG18" s="89">
        <f t="shared" si="8"/>
        <v>0</v>
      </c>
      <c r="AH18" s="96"/>
      <c r="AI18" s="89">
        <f t="shared" si="9"/>
        <v>0</v>
      </c>
      <c r="AJ18" s="96"/>
      <c r="AK18" s="89">
        <f t="shared" si="10"/>
        <v>0</v>
      </c>
      <c r="AL18" s="96"/>
      <c r="AM18" s="89">
        <f t="shared" si="11"/>
        <v>0</v>
      </c>
      <c r="AN18" s="96"/>
      <c r="AO18" s="89">
        <f t="shared" si="12"/>
        <v>0</v>
      </c>
      <c r="AP18" s="96"/>
      <c r="AQ18" s="89">
        <f t="shared" si="13"/>
        <v>0</v>
      </c>
      <c r="AR18" s="96"/>
      <c r="AS18" s="89">
        <f t="shared" si="14"/>
        <v>0</v>
      </c>
      <c r="AT18" s="96"/>
      <c r="AU18" s="89">
        <f t="shared" si="15"/>
        <v>0</v>
      </c>
      <c r="AV18" s="96"/>
      <c r="AW18" s="89">
        <f t="shared" si="16"/>
        <v>0</v>
      </c>
      <c r="AX18" s="96"/>
      <c r="AY18" s="89">
        <f t="shared" si="17"/>
        <v>0</v>
      </c>
      <c r="AZ18" s="96"/>
      <c r="BA18" s="89">
        <f t="shared" si="18"/>
        <v>0</v>
      </c>
      <c r="BB18" s="96"/>
      <c r="BC18" s="89">
        <f t="shared" si="19"/>
        <v>0</v>
      </c>
      <c r="BD18" s="91">
        <f t="shared" si="58"/>
        <v>0</v>
      </c>
      <c r="BE18" s="91">
        <f t="shared" si="20"/>
        <v>0</v>
      </c>
      <c r="BF18" s="96"/>
      <c r="BG18" s="89">
        <f t="shared" si="60"/>
        <v>0</v>
      </c>
      <c r="BH18" s="96"/>
      <c r="BI18" s="89">
        <f t="shared" si="21"/>
        <v>0</v>
      </c>
      <c r="BJ18" s="89">
        <f t="shared" si="22"/>
        <v>0</v>
      </c>
      <c r="BK18" s="100"/>
      <c r="BL18" s="100"/>
      <c r="BM18" s="92"/>
      <c r="BN18" s="25">
        <f t="shared" si="62"/>
        <v>0</v>
      </c>
      <c r="BO18" s="96"/>
      <c r="BP18" s="89">
        <f t="shared" si="25"/>
        <v>0</v>
      </c>
      <c r="BQ18" s="87">
        <f t="shared" si="52"/>
        <v>0</v>
      </c>
      <c r="BR18" s="96"/>
      <c r="BS18" s="93">
        <f t="shared" si="53"/>
        <v>0</v>
      </c>
      <c r="BT18" s="96"/>
      <c r="BU18" s="93">
        <f t="shared" si="26"/>
        <v>0</v>
      </c>
      <c r="BV18" s="96"/>
      <c r="BW18" s="93">
        <f t="shared" si="27"/>
        <v>0</v>
      </c>
      <c r="BX18" s="93">
        <f t="shared" si="54"/>
        <v>0</v>
      </c>
      <c r="BY18" s="89" t="str">
        <f t="shared" si="63"/>
        <v>0</v>
      </c>
      <c r="BZ18" s="100"/>
      <c r="CA18" s="96"/>
      <c r="CB18" s="89">
        <f t="shared" si="28"/>
        <v>0</v>
      </c>
      <c r="CC18" s="87">
        <f t="shared" si="59"/>
        <v>0</v>
      </c>
      <c r="CD18" s="96"/>
      <c r="CE18" s="89">
        <f t="shared" si="29"/>
        <v>0</v>
      </c>
      <c r="CF18" s="87">
        <f t="shared" si="55"/>
        <v>0</v>
      </c>
      <c r="CG18" s="96"/>
      <c r="CH18" s="89">
        <f t="shared" si="30"/>
        <v>0</v>
      </c>
      <c r="CI18" s="87">
        <f t="shared" si="56"/>
        <v>0</v>
      </c>
      <c r="CJ18" s="96"/>
      <c r="CK18" s="89">
        <f t="shared" si="31"/>
        <v>0</v>
      </c>
      <c r="CL18" s="87">
        <f t="shared" si="57"/>
        <v>0</v>
      </c>
      <c r="CM18" s="96"/>
      <c r="CN18" s="89">
        <f t="shared" si="32"/>
        <v>0</v>
      </c>
      <c r="CO18" s="87">
        <f t="shared" si="33"/>
        <v>0</v>
      </c>
      <c r="CP18" s="96"/>
      <c r="CQ18" s="89">
        <f t="shared" si="34"/>
        <v>0</v>
      </c>
      <c r="CR18" s="87">
        <f t="shared" si="35"/>
        <v>0</v>
      </c>
      <c r="CS18" s="96"/>
      <c r="CT18" s="89">
        <f t="shared" si="36"/>
        <v>0</v>
      </c>
      <c r="CU18" s="87">
        <f t="shared" si="37"/>
        <v>0</v>
      </c>
      <c r="CV18" s="96"/>
      <c r="CW18" s="89">
        <f t="shared" si="38"/>
        <v>0</v>
      </c>
      <c r="CX18" s="87">
        <f t="shared" si="39"/>
        <v>0</v>
      </c>
      <c r="CY18" s="96"/>
      <c r="CZ18" s="89">
        <f t="shared" si="40"/>
        <v>0</v>
      </c>
      <c r="DA18" s="87">
        <f t="shared" si="41"/>
        <v>0</v>
      </c>
      <c r="DB18" s="96"/>
      <c r="DC18" s="89">
        <f t="shared" si="42"/>
        <v>0</v>
      </c>
      <c r="DD18" s="87">
        <f t="shared" si="43"/>
        <v>0</v>
      </c>
      <c r="DE18" s="96"/>
      <c r="DF18" s="89">
        <f t="shared" si="44"/>
        <v>0</v>
      </c>
      <c r="DG18" s="87">
        <f t="shared" si="45"/>
        <v>0</v>
      </c>
      <c r="DH18" s="96"/>
      <c r="DI18" s="89">
        <f t="shared" si="46"/>
        <v>0</v>
      </c>
      <c r="DJ18" s="87">
        <f t="shared" si="47"/>
        <v>0</v>
      </c>
      <c r="DK18" s="104"/>
      <c r="DL18" s="89">
        <f t="shared" si="48"/>
        <v>0</v>
      </c>
      <c r="DM18" s="104"/>
      <c r="DN18" s="89">
        <f>IF((DM18-DM17)&lt;0,"0",(DM18-DM17))</f>
        <v>0</v>
      </c>
      <c r="DO18" s="105"/>
      <c r="DP18" s="89">
        <f t="shared" si="50"/>
        <v>0</v>
      </c>
      <c r="DQ18" s="105"/>
      <c r="DR18" s="89">
        <f t="shared" si="61"/>
        <v>0</v>
      </c>
      <c r="DS18" s="105"/>
      <c r="DT18" s="109"/>
      <c r="DU18" s="110"/>
    </row>
    <row r="19" spans="1:125" s="65" customFormat="1" ht="15.75" thickBot="1" x14ac:dyDescent="0.25">
      <c r="A19" s="67">
        <v>44243</v>
      </c>
      <c r="B19" s="96"/>
      <c r="C19" s="25">
        <f t="shared" si="0"/>
        <v>0</v>
      </c>
      <c r="D19" s="96"/>
      <c r="E19" s="25">
        <f t="shared" si="0"/>
        <v>0</v>
      </c>
      <c r="F19" s="61" t="e">
        <f t="shared" si="51"/>
        <v>#DIV/0!</v>
      </c>
      <c r="G19" s="96"/>
      <c r="H19" s="96"/>
      <c r="I19" s="25">
        <f t="shared" si="64"/>
        <v>0</v>
      </c>
      <c r="J19" s="97"/>
      <c r="K19" s="25">
        <f t="shared" si="65"/>
        <v>0</v>
      </c>
      <c r="L19" s="96"/>
      <c r="M19" s="25">
        <f t="shared" si="1"/>
        <v>0</v>
      </c>
      <c r="N19" s="96"/>
      <c r="O19" s="25">
        <f t="shared" si="2"/>
        <v>0</v>
      </c>
      <c r="P19" s="100"/>
      <c r="Q19" s="25">
        <f t="shared" si="3"/>
        <v>0</v>
      </c>
      <c r="R19" s="96"/>
      <c r="S19" s="96"/>
      <c r="T19" s="96"/>
      <c r="U19" s="25">
        <f>IF((T19-T18)&lt;0,"0",(T19-T18))</f>
        <v>0</v>
      </c>
      <c r="V19" s="95"/>
      <c r="W19" s="25">
        <f t="shared" si="5"/>
        <v>0</v>
      </c>
      <c r="X19" s="96"/>
      <c r="Y19" s="25">
        <f t="shared" si="6"/>
        <v>0</v>
      </c>
      <c r="Z19" s="96"/>
      <c r="AA19" s="68">
        <f t="shared" si="7"/>
        <v>0</v>
      </c>
      <c r="AB19" s="61"/>
      <c r="AC19" s="61"/>
      <c r="AD19" s="96"/>
      <c r="AE19" s="25">
        <f t="shared" si="8"/>
        <v>0</v>
      </c>
      <c r="AF19" s="96"/>
      <c r="AG19" s="25">
        <f t="shared" si="8"/>
        <v>0</v>
      </c>
      <c r="AH19" s="96"/>
      <c r="AI19" s="25">
        <f t="shared" si="9"/>
        <v>0</v>
      </c>
      <c r="AJ19" s="96"/>
      <c r="AK19" s="25">
        <f t="shared" si="10"/>
        <v>0</v>
      </c>
      <c r="AL19" s="96"/>
      <c r="AM19" s="25">
        <f t="shared" si="11"/>
        <v>0</v>
      </c>
      <c r="AN19" s="96"/>
      <c r="AO19" s="25">
        <f t="shared" si="12"/>
        <v>0</v>
      </c>
      <c r="AP19" s="96"/>
      <c r="AQ19" s="25">
        <f t="shared" si="13"/>
        <v>0</v>
      </c>
      <c r="AR19" s="96"/>
      <c r="AS19" s="25">
        <f t="shared" si="14"/>
        <v>0</v>
      </c>
      <c r="AT19" s="96"/>
      <c r="AU19" s="25">
        <f t="shared" si="15"/>
        <v>0</v>
      </c>
      <c r="AV19" s="96"/>
      <c r="AW19" s="25">
        <f t="shared" si="16"/>
        <v>0</v>
      </c>
      <c r="AX19" s="96"/>
      <c r="AY19" s="25">
        <f t="shared" si="17"/>
        <v>0</v>
      </c>
      <c r="AZ19" s="96"/>
      <c r="BA19" s="25">
        <f t="shared" si="18"/>
        <v>0</v>
      </c>
      <c r="BB19" s="96"/>
      <c r="BC19" s="25">
        <f t="shared" si="19"/>
        <v>0</v>
      </c>
      <c r="BD19" s="86">
        <f t="shared" si="58"/>
        <v>0</v>
      </c>
      <c r="BE19" s="86">
        <f t="shared" si="20"/>
        <v>0</v>
      </c>
      <c r="BF19" s="96"/>
      <c r="BG19" s="25">
        <f t="shared" si="60"/>
        <v>0</v>
      </c>
      <c r="BH19" s="96"/>
      <c r="BI19" s="25">
        <f t="shared" si="21"/>
        <v>0</v>
      </c>
      <c r="BJ19" s="25">
        <f t="shared" si="22"/>
        <v>0</v>
      </c>
      <c r="BK19" s="96"/>
      <c r="BL19" s="96"/>
      <c r="BM19" s="66"/>
      <c r="BN19" s="25">
        <f t="shared" si="62"/>
        <v>0</v>
      </c>
      <c r="BO19" s="96"/>
      <c r="BP19" s="25">
        <f t="shared" si="25"/>
        <v>0</v>
      </c>
      <c r="BQ19" s="61">
        <f t="shared" si="52"/>
        <v>0</v>
      </c>
      <c r="BR19" s="96"/>
      <c r="BS19" s="69">
        <f t="shared" si="53"/>
        <v>0</v>
      </c>
      <c r="BT19" s="96"/>
      <c r="BU19" s="69">
        <f t="shared" si="26"/>
        <v>0</v>
      </c>
      <c r="BV19" s="96"/>
      <c r="BW19" s="69">
        <f t="shared" si="27"/>
        <v>0</v>
      </c>
      <c r="BX19" s="69">
        <f t="shared" si="54"/>
        <v>0</v>
      </c>
      <c r="BY19" s="25" t="str">
        <f t="shared" si="63"/>
        <v>0</v>
      </c>
      <c r="BZ19" s="100"/>
      <c r="CA19" s="96"/>
      <c r="CB19" s="25">
        <f t="shared" si="28"/>
        <v>0</v>
      </c>
      <c r="CC19" s="61">
        <f t="shared" si="59"/>
        <v>0</v>
      </c>
      <c r="CD19" s="96"/>
      <c r="CE19" s="25">
        <f t="shared" si="29"/>
        <v>0</v>
      </c>
      <c r="CF19" s="61">
        <f t="shared" si="55"/>
        <v>0</v>
      </c>
      <c r="CG19" s="96"/>
      <c r="CH19" s="25">
        <f t="shared" si="30"/>
        <v>0</v>
      </c>
      <c r="CI19" s="61">
        <f t="shared" si="56"/>
        <v>0</v>
      </c>
      <c r="CJ19" s="96"/>
      <c r="CK19" s="25">
        <f t="shared" si="31"/>
        <v>0</v>
      </c>
      <c r="CL19" s="61">
        <f t="shared" si="57"/>
        <v>0</v>
      </c>
      <c r="CM19" s="96"/>
      <c r="CN19" s="25">
        <f t="shared" si="32"/>
        <v>0</v>
      </c>
      <c r="CO19" s="61">
        <f t="shared" si="33"/>
        <v>0</v>
      </c>
      <c r="CP19" s="96"/>
      <c r="CQ19" s="25">
        <f t="shared" si="34"/>
        <v>0</v>
      </c>
      <c r="CR19" s="61">
        <f t="shared" si="35"/>
        <v>0</v>
      </c>
      <c r="CS19" s="96"/>
      <c r="CT19" s="25">
        <f t="shared" si="36"/>
        <v>0</v>
      </c>
      <c r="CU19" s="61">
        <f t="shared" si="37"/>
        <v>0</v>
      </c>
      <c r="CV19" s="96"/>
      <c r="CW19" s="25">
        <f t="shared" si="38"/>
        <v>0</v>
      </c>
      <c r="CX19" s="61">
        <f t="shared" si="39"/>
        <v>0</v>
      </c>
      <c r="CY19" s="96"/>
      <c r="CZ19" s="25">
        <f t="shared" si="40"/>
        <v>0</v>
      </c>
      <c r="DA19" s="61">
        <f t="shared" si="41"/>
        <v>0</v>
      </c>
      <c r="DB19" s="96"/>
      <c r="DC19" s="25">
        <f t="shared" si="42"/>
        <v>0</v>
      </c>
      <c r="DD19" s="61">
        <f t="shared" si="43"/>
        <v>0</v>
      </c>
      <c r="DE19" s="96"/>
      <c r="DF19" s="25">
        <f t="shared" si="44"/>
        <v>0</v>
      </c>
      <c r="DG19" s="61">
        <f t="shared" si="45"/>
        <v>0</v>
      </c>
      <c r="DH19" s="96"/>
      <c r="DI19" s="25">
        <f t="shared" si="46"/>
        <v>0</v>
      </c>
      <c r="DJ19" s="61">
        <f t="shared" si="47"/>
        <v>0</v>
      </c>
      <c r="DK19" s="104"/>
      <c r="DL19" s="25">
        <f t="shared" si="48"/>
        <v>0</v>
      </c>
      <c r="DM19" s="104"/>
      <c r="DN19" s="25">
        <f>IF((DM19-DM18)&lt;0,"0",(DM19-DM18))</f>
        <v>0</v>
      </c>
      <c r="DO19" s="105"/>
      <c r="DP19" s="25">
        <f t="shared" si="50"/>
        <v>0</v>
      </c>
      <c r="DQ19" s="105"/>
      <c r="DR19" s="25">
        <f t="shared" si="61"/>
        <v>0</v>
      </c>
      <c r="DS19" s="105"/>
      <c r="DT19" s="109"/>
      <c r="DU19" s="110"/>
    </row>
    <row r="20" spans="1:125" s="65" customFormat="1" ht="15.75" thickBot="1" x14ac:dyDescent="0.25">
      <c r="A20" s="67">
        <v>44244</v>
      </c>
      <c r="B20" s="96"/>
      <c r="C20" s="25">
        <f t="shared" si="0"/>
        <v>0</v>
      </c>
      <c r="D20" s="96"/>
      <c r="E20" s="25">
        <f t="shared" si="0"/>
        <v>0</v>
      </c>
      <c r="F20" s="61" t="e">
        <f t="shared" si="51"/>
        <v>#DIV/0!</v>
      </c>
      <c r="G20" s="96"/>
      <c r="H20" s="96"/>
      <c r="I20" s="25">
        <f t="shared" si="64"/>
        <v>0</v>
      </c>
      <c r="J20" s="97"/>
      <c r="K20" s="25">
        <f t="shared" si="65"/>
        <v>0</v>
      </c>
      <c r="L20" s="96"/>
      <c r="M20" s="25">
        <f t="shared" si="1"/>
        <v>0</v>
      </c>
      <c r="N20" s="96"/>
      <c r="O20" s="25">
        <f t="shared" si="2"/>
        <v>0</v>
      </c>
      <c r="P20" s="100"/>
      <c r="Q20" s="25">
        <f t="shared" si="3"/>
        <v>0</v>
      </c>
      <c r="R20" s="96"/>
      <c r="S20" s="96"/>
      <c r="T20" s="96"/>
      <c r="U20" s="25">
        <f t="shared" si="4"/>
        <v>0</v>
      </c>
      <c r="V20" s="95"/>
      <c r="W20" s="25">
        <f t="shared" si="5"/>
        <v>0</v>
      </c>
      <c r="X20" s="96"/>
      <c r="Y20" s="25">
        <f t="shared" si="6"/>
        <v>0</v>
      </c>
      <c r="Z20" s="96"/>
      <c r="AA20" s="68">
        <f t="shared" si="7"/>
        <v>0</v>
      </c>
      <c r="AB20" s="61"/>
      <c r="AC20" s="61"/>
      <c r="AD20" s="96"/>
      <c r="AE20" s="25">
        <f t="shared" si="8"/>
        <v>0</v>
      </c>
      <c r="AF20" s="96"/>
      <c r="AG20" s="25">
        <f t="shared" si="8"/>
        <v>0</v>
      </c>
      <c r="AH20" s="96"/>
      <c r="AI20" s="25">
        <f t="shared" si="9"/>
        <v>0</v>
      </c>
      <c r="AJ20" s="96"/>
      <c r="AK20" s="25">
        <f t="shared" si="10"/>
        <v>0</v>
      </c>
      <c r="AL20" s="96"/>
      <c r="AM20" s="25">
        <f t="shared" si="11"/>
        <v>0</v>
      </c>
      <c r="AN20" s="96"/>
      <c r="AO20" s="25">
        <f t="shared" si="12"/>
        <v>0</v>
      </c>
      <c r="AP20" s="96"/>
      <c r="AQ20" s="25">
        <f t="shared" si="13"/>
        <v>0</v>
      </c>
      <c r="AR20" s="96"/>
      <c r="AS20" s="25">
        <f t="shared" si="14"/>
        <v>0</v>
      </c>
      <c r="AT20" s="96"/>
      <c r="AU20" s="25">
        <f t="shared" si="15"/>
        <v>0</v>
      </c>
      <c r="AV20" s="96"/>
      <c r="AW20" s="25">
        <f t="shared" si="16"/>
        <v>0</v>
      </c>
      <c r="AX20" s="96"/>
      <c r="AY20" s="25">
        <f t="shared" si="17"/>
        <v>0</v>
      </c>
      <c r="AZ20" s="100"/>
      <c r="BA20" s="25">
        <f t="shared" si="18"/>
        <v>0</v>
      </c>
      <c r="BB20" s="96"/>
      <c r="BC20" s="25">
        <f t="shared" si="19"/>
        <v>0</v>
      </c>
      <c r="BD20" s="86">
        <f t="shared" si="58"/>
        <v>0</v>
      </c>
      <c r="BE20" s="86">
        <f t="shared" si="20"/>
        <v>0</v>
      </c>
      <c r="BF20" s="96"/>
      <c r="BG20" s="25">
        <f t="shared" si="60"/>
        <v>0</v>
      </c>
      <c r="BH20" s="96"/>
      <c r="BI20" s="25">
        <f t="shared" si="21"/>
        <v>0</v>
      </c>
      <c r="BJ20" s="25">
        <f t="shared" si="22"/>
        <v>0</v>
      </c>
      <c r="BK20" s="96"/>
      <c r="BL20" s="96"/>
      <c r="BM20" s="66"/>
      <c r="BN20" s="25">
        <f t="shared" si="62"/>
        <v>0</v>
      </c>
      <c r="BO20" s="96"/>
      <c r="BP20" s="25">
        <f t="shared" si="25"/>
        <v>0</v>
      </c>
      <c r="BQ20" s="61">
        <f t="shared" si="52"/>
        <v>0</v>
      </c>
      <c r="BR20" s="96"/>
      <c r="BS20" s="69">
        <f t="shared" si="53"/>
        <v>0</v>
      </c>
      <c r="BT20" s="96"/>
      <c r="BU20" s="69">
        <f t="shared" si="26"/>
        <v>0</v>
      </c>
      <c r="BV20" s="96"/>
      <c r="BW20" s="69">
        <f t="shared" si="27"/>
        <v>0</v>
      </c>
      <c r="BX20" s="69">
        <f t="shared" si="54"/>
        <v>0</v>
      </c>
      <c r="BY20" s="25" t="str">
        <f t="shared" si="63"/>
        <v>0</v>
      </c>
      <c r="BZ20" s="100"/>
      <c r="CA20" s="96"/>
      <c r="CB20" s="25">
        <f t="shared" si="28"/>
        <v>0</v>
      </c>
      <c r="CC20" s="61">
        <f t="shared" si="59"/>
        <v>0</v>
      </c>
      <c r="CD20" s="96"/>
      <c r="CE20" s="25">
        <f t="shared" si="29"/>
        <v>0</v>
      </c>
      <c r="CF20" s="61">
        <f t="shared" si="55"/>
        <v>0</v>
      </c>
      <c r="CG20" s="96"/>
      <c r="CH20" s="25">
        <f t="shared" si="30"/>
        <v>0</v>
      </c>
      <c r="CI20" s="61">
        <f t="shared" si="56"/>
        <v>0</v>
      </c>
      <c r="CJ20" s="100"/>
      <c r="CK20" s="25">
        <f t="shared" si="31"/>
        <v>0</v>
      </c>
      <c r="CL20" s="61">
        <f t="shared" si="57"/>
        <v>0</v>
      </c>
      <c r="CM20" s="100"/>
      <c r="CN20" s="25">
        <f t="shared" si="32"/>
        <v>0</v>
      </c>
      <c r="CO20" s="61">
        <f t="shared" si="33"/>
        <v>0</v>
      </c>
      <c r="CP20" s="96"/>
      <c r="CQ20" s="25">
        <f t="shared" si="34"/>
        <v>0</v>
      </c>
      <c r="CR20" s="61">
        <f t="shared" si="35"/>
        <v>0</v>
      </c>
      <c r="CS20" s="96"/>
      <c r="CT20" s="25">
        <f t="shared" si="36"/>
        <v>0</v>
      </c>
      <c r="CU20" s="61">
        <f t="shared" si="37"/>
        <v>0</v>
      </c>
      <c r="CV20" s="96"/>
      <c r="CW20" s="25">
        <f t="shared" si="38"/>
        <v>0</v>
      </c>
      <c r="CX20" s="61">
        <f t="shared" si="39"/>
        <v>0</v>
      </c>
      <c r="CY20" s="96"/>
      <c r="CZ20" s="25">
        <f t="shared" si="40"/>
        <v>0</v>
      </c>
      <c r="DA20" s="61">
        <f t="shared" si="41"/>
        <v>0</v>
      </c>
      <c r="DB20" s="96"/>
      <c r="DC20" s="25">
        <f t="shared" si="42"/>
        <v>0</v>
      </c>
      <c r="DD20" s="61">
        <f t="shared" si="43"/>
        <v>0</v>
      </c>
      <c r="DE20" s="96"/>
      <c r="DF20" s="25">
        <f t="shared" si="44"/>
        <v>0</v>
      </c>
      <c r="DG20" s="61">
        <f t="shared" si="45"/>
        <v>0</v>
      </c>
      <c r="DH20" s="96"/>
      <c r="DI20" s="25">
        <f t="shared" si="46"/>
        <v>0</v>
      </c>
      <c r="DJ20" s="61">
        <f t="shared" si="47"/>
        <v>0</v>
      </c>
      <c r="DK20" s="104"/>
      <c r="DL20" s="25">
        <f t="shared" si="48"/>
        <v>0</v>
      </c>
      <c r="DM20" s="104"/>
      <c r="DN20" s="25">
        <f>IF((DM20-DM19)&lt;0,"0",(DM20-DM19))</f>
        <v>0</v>
      </c>
      <c r="DO20" s="105"/>
      <c r="DP20" s="25">
        <f t="shared" si="50"/>
        <v>0</v>
      </c>
      <c r="DQ20" s="105"/>
      <c r="DR20" s="25">
        <f t="shared" si="61"/>
        <v>0</v>
      </c>
      <c r="DS20" s="105"/>
      <c r="DT20" s="109"/>
      <c r="DU20" s="110"/>
    </row>
    <row r="21" spans="1:125" s="65" customFormat="1" ht="15.75" thickBot="1" x14ac:dyDescent="0.25">
      <c r="A21" s="67">
        <v>44245</v>
      </c>
      <c r="B21" s="96"/>
      <c r="C21" s="25">
        <f t="shared" si="0"/>
        <v>0</v>
      </c>
      <c r="D21" s="96"/>
      <c r="E21" s="25">
        <f t="shared" si="0"/>
        <v>0</v>
      </c>
      <c r="F21" s="61">
        <v>0.95655828654046604</v>
      </c>
      <c r="G21" s="96"/>
      <c r="H21" s="96"/>
      <c r="I21" s="25">
        <v>0</v>
      </c>
      <c r="J21" s="97"/>
      <c r="K21" s="25">
        <f t="shared" si="65"/>
        <v>0</v>
      </c>
      <c r="L21" s="96"/>
      <c r="M21" s="25">
        <f t="shared" si="1"/>
        <v>0</v>
      </c>
      <c r="N21" s="96"/>
      <c r="O21" s="25">
        <f t="shared" si="2"/>
        <v>0</v>
      </c>
      <c r="P21" s="100"/>
      <c r="Q21" s="25">
        <f t="shared" si="3"/>
        <v>0</v>
      </c>
      <c r="R21" s="96"/>
      <c r="S21" s="96"/>
      <c r="T21" s="96"/>
      <c r="U21" s="25">
        <f t="shared" si="4"/>
        <v>0</v>
      </c>
      <c r="V21" s="95"/>
      <c r="W21" s="25">
        <f t="shared" si="5"/>
        <v>0</v>
      </c>
      <c r="X21" s="96"/>
      <c r="Y21" s="25">
        <v>0</v>
      </c>
      <c r="Z21" s="96"/>
      <c r="AA21" s="68">
        <f t="shared" si="7"/>
        <v>0</v>
      </c>
      <c r="AB21" s="61"/>
      <c r="AC21" s="61"/>
      <c r="AD21" s="96"/>
      <c r="AE21" s="25">
        <f>IF((AD21-AD20)&lt;0,"0",(AD21-AD20))</f>
        <v>0</v>
      </c>
      <c r="AF21" s="96"/>
      <c r="AG21" s="25">
        <f t="shared" si="8"/>
        <v>0</v>
      </c>
      <c r="AH21" s="96"/>
      <c r="AI21" s="25">
        <f t="shared" si="9"/>
        <v>0</v>
      </c>
      <c r="AJ21" s="96"/>
      <c r="AK21" s="25">
        <f t="shared" si="10"/>
        <v>0</v>
      </c>
      <c r="AL21" s="96"/>
      <c r="AM21" s="25">
        <f t="shared" si="11"/>
        <v>0</v>
      </c>
      <c r="AN21" s="96"/>
      <c r="AO21" s="25">
        <f t="shared" si="12"/>
        <v>0</v>
      </c>
      <c r="AP21" s="96"/>
      <c r="AQ21" s="25">
        <f t="shared" si="13"/>
        <v>0</v>
      </c>
      <c r="AR21" s="96"/>
      <c r="AS21" s="25">
        <f t="shared" si="14"/>
        <v>0</v>
      </c>
      <c r="AT21" s="96"/>
      <c r="AU21" s="25">
        <f t="shared" si="15"/>
        <v>0</v>
      </c>
      <c r="AV21" s="96"/>
      <c r="AW21" s="25">
        <f t="shared" si="16"/>
        <v>0</v>
      </c>
      <c r="AX21" s="96"/>
      <c r="AY21" s="25">
        <f t="shared" si="17"/>
        <v>0</v>
      </c>
      <c r="AZ21" s="100"/>
      <c r="BA21" s="25">
        <f t="shared" si="18"/>
        <v>0</v>
      </c>
      <c r="BB21" s="96"/>
      <c r="BC21" s="25">
        <f t="shared" si="19"/>
        <v>0</v>
      </c>
      <c r="BD21" s="86">
        <f t="shared" si="58"/>
        <v>0</v>
      </c>
      <c r="BE21" s="86">
        <f t="shared" si="20"/>
        <v>0</v>
      </c>
      <c r="BF21" s="96"/>
      <c r="BG21" s="25">
        <f t="shared" si="60"/>
        <v>0</v>
      </c>
      <c r="BH21" s="96"/>
      <c r="BI21" s="25">
        <f t="shared" si="21"/>
        <v>0</v>
      </c>
      <c r="BJ21" s="25">
        <f t="shared" si="22"/>
        <v>0</v>
      </c>
      <c r="BK21" s="96"/>
      <c r="BL21" s="96"/>
      <c r="BM21" s="66"/>
      <c r="BN21" s="25">
        <f t="shared" si="62"/>
        <v>0</v>
      </c>
      <c r="BO21" s="96"/>
      <c r="BP21" s="25">
        <f t="shared" si="25"/>
        <v>0</v>
      </c>
      <c r="BQ21" s="61">
        <f t="shared" si="52"/>
        <v>0</v>
      </c>
      <c r="BR21" s="96"/>
      <c r="BS21" s="69">
        <f t="shared" si="53"/>
        <v>0</v>
      </c>
      <c r="BT21" s="96"/>
      <c r="BU21" s="69">
        <f t="shared" si="26"/>
        <v>0</v>
      </c>
      <c r="BV21" s="96"/>
      <c r="BW21" s="69">
        <f t="shared" si="27"/>
        <v>0</v>
      </c>
      <c r="BX21" s="69">
        <f t="shared" si="54"/>
        <v>0</v>
      </c>
      <c r="BY21" s="25" t="str">
        <f t="shared" si="63"/>
        <v>0</v>
      </c>
      <c r="BZ21" s="100"/>
      <c r="CA21" s="96"/>
      <c r="CB21" s="25">
        <f t="shared" si="28"/>
        <v>0</v>
      </c>
      <c r="CC21" s="61">
        <f t="shared" si="59"/>
        <v>0</v>
      </c>
      <c r="CD21" s="96"/>
      <c r="CE21" s="25">
        <f t="shared" si="29"/>
        <v>0</v>
      </c>
      <c r="CF21" s="61">
        <f t="shared" si="55"/>
        <v>0</v>
      </c>
      <c r="CG21" s="96"/>
      <c r="CH21" s="25">
        <f t="shared" si="30"/>
        <v>0</v>
      </c>
      <c r="CI21" s="61">
        <f t="shared" si="56"/>
        <v>0</v>
      </c>
      <c r="CJ21" s="100"/>
      <c r="CK21" s="25">
        <f t="shared" si="31"/>
        <v>0</v>
      </c>
      <c r="CL21" s="61">
        <f t="shared" si="57"/>
        <v>0</v>
      </c>
      <c r="CM21" s="100"/>
      <c r="CN21" s="25">
        <f t="shared" si="32"/>
        <v>0</v>
      </c>
      <c r="CO21" s="61">
        <f t="shared" si="33"/>
        <v>0</v>
      </c>
      <c r="CP21" s="96"/>
      <c r="CQ21" s="25">
        <f t="shared" si="34"/>
        <v>0</v>
      </c>
      <c r="CR21" s="61">
        <f t="shared" si="35"/>
        <v>0</v>
      </c>
      <c r="CS21" s="96"/>
      <c r="CT21" s="25">
        <f t="shared" si="36"/>
        <v>0</v>
      </c>
      <c r="CU21" s="61">
        <f t="shared" si="37"/>
        <v>0</v>
      </c>
      <c r="CV21" s="96"/>
      <c r="CW21" s="25">
        <f t="shared" si="38"/>
        <v>0</v>
      </c>
      <c r="CX21" s="61">
        <f t="shared" si="39"/>
        <v>0</v>
      </c>
      <c r="CY21" s="96"/>
      <c r="CZ21" s="25">
        <f t="shared" si="40"/>
        <v>0</v>
      </c>
      <c r="DA21" s="61">
        <f t="shared" si="41"/>
        <v>0</v>
      </c>
      <c r="DB21" s="96"/>
      <c r="DC21" s="25">
        <f t="shared" si="42"/>
        <v>0</v>
      </c>
      <c r="DD21" s="61">
        <f t="shared" si="43"/>
        <v>0</v>
      </c>
      <c r="DE21" s="96"/>
      <c r="DF21" s="25">
        <f t="shared" si="44"/>
        <v>0</v>
      </c>
      <c r="DG21" s="61">
        <f t="shared" si="45"/>
        <v>0</v>
      </c>
      <c r="DH21" s="96"/>
      <c r="DI21" s="25">
        <f t="shared" si="46"/>
        <v>0</v>
      </c>
      <c r="DJ21" s="61">
        <f t="shared" si="47"/>
        <v>0</v>
      </c>
      <c r="DK21" s="104"/>
      <c r="DL21" s="25">
        <f t="shared" si="48"/>
        <v>0</v>
      </c>
      <c r="DM21" s="104"/>
      <c r="DN21" s="25">
        <f t="shared" si="49"/>
        <v>0</v>
      </c>
      <c r="DO21" s="105"/>
      <c r="DP21" s="25">
        <f t="shared" si="50"/>
        <v>0</v>
      </c>
      <c r="DQ21" s="105"/>
      <c r="DR21" s="25">
        <f t="shared" si="61"/>
        <v>0</v>
      </c>
      <c r="DS21" s="105"/>
      <c r="DT21" s="109"/>
      <c r="DU21" s="110"/>
    </row>
    <row r="22" spans="1:125" s="94" customFormat="1" ht="15.75" thickBot="1" x14ac:dyDescent="0.25">
      <c r="A22" s="67">
        <v>44246</v>
      </c>
      <c r="B22" s="96"/>
      <c r="C22" s="89">
        <f t="shared" si="0"/>
        <v>0</v>
      </c>
      <c r="D22" s="96"/>
      <c r="E22" s="89">
        <f t="shared" si="0"/>
        <v>0</v>
      </c>
      <c r="F22" s="87">
        <v>0.95897385037521898</v>
      </c>
      <c r="G22" s="96"/>
      <c r="H22" s="96"/>
      <c r="I22" s="89">
        <f>'[1]Sep 2019'!I22</f>
        <v>0</v>
      </c>
      <c r="J22" s="97"/>
      <c r="K22" s="89">
        <f t="shared" si="65"/>
        <v>0</v>
      </c>
      <c r="L22" s="96"/>
      <c r="M22" s="89">
        <f t="shared" si="1"/>
        <v>0</v>
      </c>
      <c r="N22" s="96"/>
      <c r="O22" s="89">
        <f t="shared" si="2"/>
        <v>0</v>
      </c>
      <c r="P22" s="96"/>
      <c r="Q22" s="89">
        <f t="shared" si="3"/>
        <v>0</v>
      </c>
      <c r="R22" s="96"/>
      <c r="S22" s="96"/>
      <c r="T22" s="96"/>
      <c r="U22" s="89">
        <f t="shared" si="4"/>
        <v>0</v>
      </c>
      <c r="V22" s="95"/>
      <c r="W22" s="25">
        <f t="shared" si="5"/>
        <v>0</v>
      </c>
      <c r="X22" s="96"/>
      <c r="Y22" s="89">
        <v>0</v>
      </c>
      <c r="Z22" s="96"/>
      <c r="AA22" s="68">
        <f t="shared" si="7"/>
        <v>0</v>
      </c>
      <c r="AB22" s="87"/>
      <c r="AC22" s="87"/>
      <c r="AD22" s="96"/>
      <c r="AE22" s="89">
        <f>IF((AD22-AD21)&lt;0,"0",(AD22-AD21))</f>
        <v>0</v>
      </c>
      <c r="AF22" s="96"/>
      <c r="AG22" s="89">
        <f t="shared" si="8"/>
        <v>0</v>
      </c>
      <c r="AH22" s="96"/>
      <c r="AI22" s="89">
        <f t="shared" si="9"/>
        <v>0</v>
      </c>
      <c r="AJ22" s="96"/>
      <c r="AK22" s="89">
        <f t="shared" si="10"/>
        <v>0</v>
      </c>
      <c r="AL22" s="96"/>
      <c r="AM22" s="89">
        <f t="shared" si="11"/>
        <v>0</v>
      </c>
      <c r="AN22" s="96"/>
      <c r="AO22" s="89">
        <f t="shared" si="12"/>
        <v>0</v>
      </c>
      <c r="AP22" s="96"/>
      <c r="AQ22" s="89">
        <f t="shared" si="13"/>
        <v>0</v>
      </c>
      <c r="AR22" s="96"/>
      <c r="AS22" s="89">
        <f t="shared" si="14"/>
        <v>0</v>
      </c>
      <c r="AT22" s="96"/>
      <c r="AU22" s="89">
        <f t="shared" si="15"/>
        <v>0</v>
      </c>
      <c r="AV22" s="96"/>
      <c r="AW22" s="89">
        <f t="shared" si="16"/>
        <v>0</v>
      </c>
      <c r="AX22" s="96"/>
      <c r="AY22" s="89">
        <f t="shared" si="17"/>
        <v>0</v>
      </c>
      <c r="AZ22" s="100"/>
      <c r="BA22" s="89">
        <f t="shared" si="18"/>
        <v>0</v>
      </c>
      <c r="BB22" s="96"/>
      <c r="BC22" s="89">
        <f t="shared" si="19"/>
        <v>0</v>
      </c>
      <c r="BD22" s="91">
        <f t="shared" si="58"/>
        <v>0</v>
      </c>
      <c r="BE22" s="91">
        <f t="shared" si="20"/>
        <v>0</v>
      </c>
      <c r="BF22" s="96"/>
      <c r="BG22" s="89">
        <f t="shared" si="60"/>
        <v>0</v>
      </c>
      <c r="BH22" s="96"/>
      <c r="BI22" s="89">
        <f t="shared" si="21"/>
        <v>0</v>
      </c>
      <c r="BJ22" s="89">
        <f t="shared" si="22"/>
        <v>0</v>
      </c>
      <c r="BK22" s="96"/>
      <c r="BL22" s="96"/>
      <c r="BM22" s="92"/>
      <c r="BN22" s="25">
        <f t="shared" si="62"/>
        <v>0</v>
      </c>
      <c r="BO22" s="96"/>
      <c r="BP22" s="89">
        <f t="shared" si="25"/>
        <v>0</v>
      </c>
      <c r="BQ22" s="87">
        <f t="shared" si="52"/>
        <v>0</v>
      </c>
      <c r="BR22" s="96"/>
      <c r="BS22" s="93">
        <f t="shared" si="53"/>
        <v>0</v>
      </c>
      <c r="BT22" s="96"/>
      <c r="BU22" s="93">
        <f t="shared" si="26"/>
        <v>0</v>
      </c>
      <c r="BV22" s="96"/>
      <c r="BW22" s="93">
        <f t="shared" si="27"/>
        <v>0</v>
      </c>
      <c r="BX22" s="93">
        <f t="shared" si="54"/>
        <v>0</v>
      </c>
      <c r="BY22" s="89" t="str">
        <f t="shared" si="63"/>
        <v>0</v>
      </c>
      <c r="BZ22" s="100"/>
      <c r="CA22" s="96"/>
      <c r="CB22" s="89">
        <f t="shared" si="28"/>
        <v>0</v>
      </c>
      <c r="CC22" s="87">
        <f t="shared" si="59"/>
        <v>0</v>
      </c>
      <c r="CD22" s="96"/>
      <c r="CE22" s="89">
        <f t="shared" si="29"/>
        <v>0</v>
      </c>
      <c r="CF22" s="87">
        <f t="shared" si="55"/>
        <v>0</v>
      </c>
      <c r="CG22" s="96"/>
      <c r="CH22" s="89">
        <f t="shared" si="30"/>
        <v>0</v>
      </c>
      <c r="CI22" s="87">
        <f t="shared" si="56"/>
        <v>0</v>
      </c>
      <c r="CJ22" s="100"/>
      <c r="CK22" s="89">
        <f t="shared" si="31"/>
        <v>0</v>
      </c>
      <c r="CL22" s="87">
        <f t="shared" si="57"/>
        <v>0</v>
      </c>
      <c r="CM22" s="100"/>
      <c r="CN22" s="89">
        <f t="shared" si="32"/>
        <v>0</v>
      </c>
      <c r="CO22" s="87">
        <f t="shared" si="33"/>
        <v>0</v>
      </c>
      <c r="CP22" s="96"/>
      <c r="CQ22" s="89">
        <f t="shared" si="34"/>
        <v>0</v>
      </c>
      <c r="CR22" s="87">
        <f t="shared" si="35"/>
        <v>0</v>
      </c>
      <c r="CS22" s="96"/>
      <c r="CT22" s="89">
        <f t="shared" si="36"/>
        <v>0</v>
      </c>
      <c r="CU22" s="87">
        <f t="shared" si="37"/>
        <v>0</v>
      </c>
      <c r="CV22" s="96"/>
      <c r="CW22" s="89">
        <f t="shared" si="38"/>
        <v>0</v>
      </c>
      <c r="CX22" s="87">
        <f t="shared" si="39"/>
        <v>0</v>
      </c>
      <c r="CY22" s="96"/>
      <c r="CZ22" s="89">
        <f t="shared" si="40"/>
        <v>0</v>
      </c>
      <c r="DA22" s="87">
        <f t="shared" si="41"/>
        <v>0</v>
      </c>
      <c r="DB22" s="96"/>
      <c r="DC22" s="89">
        <f t="shared" si="42"/>
        <v>0</v>
      </c>
      <c r="DD22" s="87">
        <f t="shared" si="43"/>
        <v>0</v>
      </c>
      <c r="DE22" s="96"/>
      <c r="DF22" s="89">
        <f t="shared" si="44"/>
        <v>0</v>
      </c>
      <c r="DG22" s="87">
        <f t="shared" si="45"/>
        <v>0</v>
      </c>
      <c r="DH22" s="96"/>
      <c r="DI22" s="89">
        <f t="shared" si="46"/>
        <v>0</v>
      </c>
      <c r="DJ22" s="87">
        <f t="shared" si="47"/>
        <v>0</v>
      </c>
      <c r="DK22" s="104"/>
      <c r="DL22" s="89">
        <f t="shared" si="48"/>
        <v>0</v>
      </c>
      <c r="DM22" s="104"/>
      <c r="DN22" s="89">
        <f t="shared" si="49"/>
        <v>0</v>
      </c>
      <c r="DO22" s="105"/>
      <c r="DP22" s="89">
        <f t="shared" si="50"/>
        <v>0</v>
      </c>
      <c r="DQ22" s="105"/>
      <c r="DR22" s="89">
        <f t="shared" si="61"/>
        <v>0</v>
      </c>
      <c r="DS22" s="105"/>
      <c r="DT22" s="109"/>
      <c r="DU22" s="110"/>
    </row>
    <row r="23" spans="1:125" s="72" customFormat="1" ht="15.75" thickBot="1" x14ac:dyDescent="0.25">
      <c r="A23" s="67">
        <v>44247</v>
      </c>
      <c r="B23" s="96"/>
      <c r="C23" s="25">
        <f>IF((B23-B22)&lt;0,"0",(B23-B22))</f>
        <v>0</v>
      </c>
      <c r="D23" s="96"/>
      <c r="E23" s="25">
        <f t="shared" si="0"/>
        <v>0</v>
      </c>
      <c r="F23" s="61">
        <v>0.96295345104333874</v>
      </c>
      <c r="G23" s="96"/>
      <c r="H23" s="96"/>
      <c r="I23" s="25">
        <v>0</v>
      </c>
      <c r="J23" s="97"/>
      <c r="K23" s="25">
        <f t="shared" si="65"/>
        <v>0</v>
      </c>
      <c r="L23" s="96"/>
      <c r="M23" s="25">
        <f t="shared" si="1"/>
        <v>0</v>
      </c>
      <c r="N23" s="96"/>
      <c r="O23" s="25">
        <f t="shared" si="2"/>
        <v>0</v>
      </c>
      <c r="P23" s="96"/>
      <c r="Q23" s="25">
        <f t="shared" si="3"/>
        <v>0</v>
      </c>
      <c r="R23" s="96"/>
      <c r="S23" s="96"/>
      <c r="T23" s="96"/>
      <c r="U23" s="25">
        <f t="shared" si="4"/>
        <v>0</v>
      </c>
      <c r="V23" s="95"/>
      <c r="W23" s="25">
        <f t="shared" si="5"/>
        <v>0</v>
      </c>
      <c r="X23" s="96"/>
      <c r="Y23" s="25">
        <v>0</v>
      </c>
      <c r="Z23" s="96"/>
      <c r="AA23" s="68">
        <f t="shared" si="7"/>
        <v>0</v>
      </c>
      <c r="AB23" s="70"/>
      <c r="AC23" s="70"/>
      <c r="AD23" s="96"/>
      <c r="AE23" s="25">
        <f t="shared" si="8"/>
        <v>0</v>
      </c>
      <c r="AF23" s="96"/>
      <c r="AG23" s="25">
        <f t="shared" si="8"/>
        <v>0</v>
      </c>
      <c r="AH23" s="96"/>
      <c r="AI23" s="25">
        <f t="shared" si="9"/>
        <v>0</v>
      </c>
      <c r="AJ23" s="96"/>
      <c r="AK23" s="25">
        <f t="shared" si="10"/>
        <v>0</v>
      </c>
      <c r="AL23" s="96"/>
      <c r="AM23" s="25">
        <f t="shared" si="11"/>
        <v>0</v>
      </c>
      <c r="AN23" s="96"/>
      <c r="AO23" s="25">
        <f t="shared" si="12"/>
        <v>0</v>
      </c>
      <c r="AP23" s="96"/>
      <c r="AQ23" s="25">
        <f t="shared" si="13"/>
        <v>0</v>
      </c>
      <c r="AR23" s="96"/>
      <c r="AS23" s="25">
        <f t="shared" si="14"/>
        <v>0</v>
      </c>
      <c r="AT23" s="96"/>
      <c r="AU23" s="25">
        <f t="shared" si="15"/>
        <v>0</v>
      </c>
      <c r="AV23" s="96"/>
      <c r="AW23" s="25">
        <f t="shared" si="16"/>
        <v>0</v>
      </c>
      <c r="AX23" s="96"/>
      <c r="AY23" s="25">
        <f t="shared" si="17"/>
        <v>0</v>
      </c>
      <c r="AZ23" s="100"/>
      <c r="BA23" s="25">
        <f t="shared" si="18"/>
        <v>0</v>
      </c>
      <c r="BB23" s="96"/>
      <c r="BC23" s="25">
        <f t="shared" si="19"/>
        <v>0</v>
      </c>
      <c r="BD23" s="86">
        <f t="shared" si="58"/>
        <v>0</v>
      </c>
      <c r="BE23" s="86">
        <f t="shared" si="20"/>
        <v>0</v>
      </c>
      <c r="BF23" s="96"/>
      <c r="BG23" s="25">
        <f t="shared" si="60"/>
        <v>0</v>
      </c>
      <c r="BH23" s="96"/>
      <c r="BI23" s="25">
        <f t="shared" si="21"/>
        <v>0</v>
      </c>
      <c r="BJ23" s="25">
        <f t="shared" si="22"/>
        <v>0</v>
      </c>
      <c r="BK23" s="96"/>
      <c r="BL23" s="96"/>
      <c r="BM23" s="71"/>
      <c r="BN23" s="25">
        <f t="shared" si="62"/>
        <v>0</v>
      </c>
      <c r="BO23" s="96"/>
      <c r="BP23" s="25">
        <f t="shared" si="25"/>
        <v>0</v>
      </c>
      <c r="BQ23" s="61">
        <f t="shared" si="52"/>
        <v>0</v>
      </c>
      <c r="BR23" s="96"/>
      <c r="BS23" s="69">
        <f t="shared" si="53"/>
        <v>0</v>
      </c>
      <c r="BT23" s="96"/>
      <c r="BU23" s="69">
        <f t="shared" si="26"/>
        <v>0</v>
      </c>
      <c r="BV23" s="96"/>
      <c r="BW23" s="69">
        <f t="shared" si="27"/>
        <v>0</v>
      </c>
      <c r="BX23" s="69">
        <f t="shared" si="54"/>
        <v>0</v>
      </c>
      <c r="BY23" s="25" t="str">
        <f t="shared" si="63"/>
        <v>0</v>
      </c>
      <c r="BZ23" s="100"/>
      <c r="CA23" s="96"/>
      <c r="CB23" s="25">
        <f t="shared" si="28"/>
        <v>0</v>
      </c>
      <c r="CC23" s="61">
        <f t="shared" si="59"/>
        <v>0</v>
      </c>
      <c r="CD23" s="96"/>
      <c r="CE23" s="25">
        <f t="shared" si="29"/>
        <v>0</v>
      </c>
      <c r="CF23" s="61">
        <f t="shared" si="55"/>
        <v>0</v>
      </c>
      <c r="CG23" s="96"/>
      <c r="CH23" s="25">
        <f t="shared" si="30"/>
        <v>0</v>
      </c>
      <c r="CI23" s="61">
        <f t="shared" si="56"/>
        <v>0</v>
      </c>
      <c r="CJ23" s="100"/>
      <c r="CK23" s="25">
        <f t="shared" si="31"/>
        <v>0</v>
      </c>
      <c r="CL23" s="61">
        <f t="shared" si="57"/>
        <v>0</v>
      </c>
      <c r="CM23" s="100"/>
      <c r="CN23" s="25">
        <f t="shared" si="32"/>
        <v>0</v>
      </c>
      <c r="CO23" s="61">
        <f t="shared" si="33"/>
        <v>0</v>
      </c>
      <c r="CP23" s="96"/>
      <c r="CQ23" s="25">
        <f t="shared" si="34"/>
        <v>0</v>
      </c>
      <c r="CR23" s="61">
        <f t="shared" si="35"/>
        <v>0</v>
      </c>
      <c r="CS23" s="96"/>
      <c r="CT23" s="25">
        <f t="shared" si="36"/>
        <v>0</v>
      </c>
      <c r="CU23" s="61">
        <f t="shared" si="37"/>
        <v>0</v>
      </c>
      <c r="CV23" s="96"/>
      <c r="CW23" s="25">
        <f t="shared" si="38"/>
        <v>0</v>
      </c>
      <c r="CX23" s="61">
        <f t="shared" si="39"/>
        <v>0</v>
      </c>
      <c r="CY23" s="96"/>
      <c r="CZ23" s="25">
        <f t="shared" si="40"/>
        <v>0</v>
      </c>
      <c r="DA23" s="61">
        <f t="shared" si="41"/>
        <v>0</v>
      </c>
      <c r="DB23" s="96"/>
      <c r="DC23" s="25">
        <f t="shared" si="42"/>
        <v>0</v>
      </c>
      <c r="DD23" s="61">
        <f t="shared" si="43"/>
        <v>0</v>
      </c>
      <c r="DE23" s="96"/>
      <c r="DF23" s="25">
        <f t="shared" si="44"/>
        <v>0</v>
      </c>
      <c r="DG23" s="61">
        <f t="shared" si="45"/>
        <v>0</v>
      </c>
      <c r="DH23" s="96"/>
      <c r="DI23" s="25">
        <f t="shared" si="46"/>
        <v>0</v>
      </c>
      <c r="DJ23" s="61">
        <f t="shared" si="47"/>
        <v>0</v>
      </c>
      <c r="DK23" s="104"/>
      <c r="DL23" s="25">
        <f t="shared" si="48"/>
        <v>0</v>
      </c>
      <c r="DM23" s="104"/>
      <c r="DN23" s="25">
        <f t="shared" si="49"/>
        <v>0</v>
      </c>
      <c r="DO23" s="105"/>
      <c r="DP23" s="25">
        <f>IF((DO23-DO22)&lt;0,"0",(DO23-DO22))</f>
        <v>0</v>
      </c>
      <c r="DQ23" s="105"/>
      <c r="DR23" s="25">
        <f t="shared" si="61"/>
        <v>0</v>
      </c>
      <c r="DS23" s="105"/>
      <c r="DT23" s="109"/>
      <c r="DU23" s="108"/>
    </row>
    <row r="24" spans="1:125" s="65" customFormat="1" ht="15.75" thickBot="1" x14ac:dyDescent="0.25">
      <c r="A24" s="67">
        <v>44248</v>
      </c>
      <c r="B24" s="96"/>
      <c r="C24" s="25">
        <f t="shared" si="0"/>
        <v>0</v>
      </c>
      <c r="D24" s="96"/>
      <c r="E24" s="25">
        <f t="shared" si="0"/>
        <v>0</v>
      </c>
      <c r="F24" s="61" t="e">
        <f t="shared" si="51"/>
        <v>#DIV/0!</v>
      </c>
      <c r="G24" s="95"/>
      <c r="H24" s="96"/>
      <c r="I24" s="25">
        <f t="shared" si="64"/>
        <v>0</v>
      </c>
      <c r="J24" s="97"/>
      <c r="K24" s="25">
        <f t="shared" si="65"/>
        <v>0</v>
      </c>
      <c r="L24" s="96"/>
      <c r="M24" s="25">
        <f t="shared" si="1"/>
        <v>0</v>
      </c>
      <c r="N24" s="96"/>
      <c r="O24" s="25">
        <f t="shared" si="2"/>
        <v>0</v>
      </c>
      <c r="P24" s="96"/>
      <c r="Q24" s="25">
        <f t="shared" si="3"/>
        <v>0</v>
      </c>
      <c r="R24" s="96"/>
      <c r="S24" s="106"/>
      <c r="T24" s="96"/>
      <c r="U24" s="25">
        <f t="shared" si="4"/>
        <v>0</v>
      </c>
      <c r="V24" s="95"/>
      <c r="W24" s="25">
        <f t="shared" si="5"/>
        <v>0</v>
      </c>
      <c r="X24" s="96"/>
      <c r="Y24" s="25">
        <f t="shared" si="6"/>
        <v>0</v>
      </c>
      <c r="Z24" s="100"/>
      <c r="AA24" s="68">
        <f t="shared" si="7"/>
        <v>0</v>
      </c>
      <c r="AB24" s="61"/>
      <c r="AC24" s="61"/>
      <c r="AD24" s="100"/>
      <c r="AE24" s="25">
        <f t="shared" si="8"/>
        <v>0</v>
      </c>
      <c r="AF24" s="100"/>
      <c r="AG24" s="25">
        <f t="shared" si="8"/>
        <v>0</v>
      </c>
      <c r="AH24" s="100"/>
      <c r="AI24" s="25">
        <f t="shared" si="9"/>
        <v>0</v>
      </c>
      <c r="AJ24" s="100"/>
      <c r="AK24" s="25">
        <f t="shared" si="10"/>
        <v>0</v>
      </c>
      <c r="AL24" s="100"/>
      <c r="AM24" s="25">
        <f t="shared" si="11"/>
        <v>0</v>
      </c>
      <c r="AN24" s="100"/>
      <c r="AO24" s="25">
        <f t="shared" si="12"/>
        <v>0</v>
      </c>
      <c r="AP24" s="100"/>
      <c r="AQ24" s="25">
        <f t="shared" si="13"/>
        <v>0</v>
      </c>
      <c r="AR24" s="96"/>
      <c r="AS24" s="25">
        <f t="shared" si="14"/>
        <v>0</v>
      </c>
      <c r="AT24" s="96"/>
      <c r="AU24" s="25">
        <f t="shared" si="15"/>
        <v>0</v>
      </c>
      <c r="AV24" s="96"/>
      <c r="AW24" s="25">
        <f t="shared" si="16"/>
        <v>0</v>
      </c>
      <c r="AX24" s="96"/>
      <c r="AY24" s="25">
        <f t="shared" si="17"/>
        <v>0</v>
      </c>
      <c r="AZ24" s="100"/>
      <c r="BA24" s="25">
        <f t="shared" si="18"/>
        <v>0</v>
      </c>
      <c r="BB24" s="96"/>
      <c r="BC24" s="25">
        <f t="shared" si="19"/>
        <v>0</v>
      </c>
      <c r="BD24" s="86">
        <f t="shared" si="58"/>
        <v>0</v>
      </c>
      <c r="BE24" s="86">
        <f t="shared" si="20"/>
        <v>0</v>
      </c>
      <c r="BF24" s="96"/>
      <c r="BG24" s="88">
        <f t="shared" si="60"/>
        <v>0</v>
      </c>
      <c r="BH24" s="96"/>
      <c r="BI24" s="25">
        <f t="shared" si="21"/>
        <v>0</v>
      </c>
      <c r="BJ24" s="25">
        <f t="shared" si="22"/>
        <v>0</v>
      </c>
      <c r="BK24" s="96"/>
      <c r="BL24" s="96"/>
      <c r="BM24" s="66"/>
      <c r="BN24" s="25">
        <f t="shared" si="62"/>
        <v>0</v>
      </c>
      <c r="BO24" s="96"/>
      <c r="BP24" s="25">
        <f t="shared" si="25"/>
        <v>0</v>
      </c>
      <c r="BQ24" s="61">
        <f t="shared" si="52"/>
        <v>0</v>
      </c>
      <c r="BR24" s="96"/>
      <c r="BS24" s="69">
        <f t="shared" si="53"/>
        <v>0</v>
      </c>
      <c r="BT24" s="96"/>
      <c r="BU24" s="69">
        <f t="shared" si="26"/>
        <v>0</v>
      </c>
      <c r="BV24" s="96"/>
      <c r="BW24" s="69">
        <f t="shared" si="27"/>
        <v>0</v>
      </c>
      <c r="BX24" s="69">
        <f t="shared" si="54"/>
        <v>0</v>
      </c>
      <c r="BY24" s="25" t="str">
        <f t="shared" si="63"/>
        <v>0</v>
      </c>
      <c r="BZ24" s="100"/>
      <c r="CA24" s="96"/>
      <c r="CB24" s="25">
        <f t="shared" si="28"/>
        <v>0</v>
      </c>
      <c r="CC24" s="61">
        <f t="shared" si="59"/>
        <v>0</v>
      </c>
      <c r="CD24" s="96"/>
      <c r="CE24" s="25">
        <f t="shared" si="29"/>
        <v>0</v>
      </c>
      <c r="CF24" s="61">
        <f t="shared" si="55"/>
        <v>0</v>
      </c>
      <c r="CG24" s="96"/>
      <c r="CH24" s="25">
        <f t="shared" si="30"/>
        <v>0</v>
      </c>
      <c r="CI24" s="61">
        <f t="shared" si="56"/>
        <v>0</v>
      </c>
      <c r="CJ24" s="100"/>
      <c r="CK24" s="25">
        <f t="shared" si="31"/>
        <v>0</v>
      </c>
      <c r="CL24" s="61">
        <f t="shared" si="57"/>
        <v>0</v>
      </c>
      <c r="CM24" s="100"/>
      <c r="CN24" s="25">
        <f t="shared" si="32"/>
        <v>0</v>
      </c>
      <c r="CO24" s="61">
        <f t="shared" si="33"/>
        <v>0</v>
      </c>
      <c r="CP24" s="96"/>
      <c r="CQ24" s="25">
        <f t="shared" si="34"/>
        <v>0</v>
      </c>
      <c r="CR24" s="61">
        <f t="shared" si="35"/>
        <v>0</v>
      </c>
      <c r="CS24" s="96"/>
      <c r="CT24" s="25">
        <f t="shared" si="36"/>
        <v>0</v>
      </c>
      <c r="CU24" s="61">
        <f t="shared" si="37"/>
        <v>0</v>
      </c>
      <c r="CV24" s="96"/>
      <c r="CW24" s="25">
        <f t="shared" si="38"/>
        <v>0</v>
      </c>
      <c r="CX24" s="61">
        <f t="shared" si="39"/>
        <v>0</v>
      </c>
      <c r="CY24" s="96"/>
      <c r="CZ24" s="25">
        <f t="shared" si="40"/>
        <v>0</v>
      </c>
      <c r="DA24" s="61">
        <f t="shared" si="41"/>
        <v>0</v>
      </c>
      <c r="DB24" s="96"/>
      <c r="DC24" s="25">
        <f t="shared" si="42"/>
        <v>0</v>
      </c>
      <c r="DD24" s="61">
        <f t="shared" si="43"/>
        <v>0</v>
      </c>
      <c r="DE24" s="96"/>
      <c r="DF24" s="25">
        <f t="shared" si="44"/>
        <v>0</v>
      </c>
      <c r="DG24" s="61">
        <f t="shared" si="45"/>
        <v>0</v>
      </c>
      <c r="DH24" s="96"/>
      <c r="DI24" s="25">
        <f t="shared" si="46"/>
        <v>0</v>
      </c>
      <c r="DJ24" s="61">
        <f t="shared" si="47"/>
        <v>0</v>
      </c>
      <c r="DK24" s="104"/>
      <c r="DL24" s="25">
        <f t="shared" si="48"/>
        <v>0</v>
      </c>
      <c r="DM24" s="104"/>
      <c r="DN24" s="25">
        <f t="shared" si="49"/>
        <v>0</v>
      </c>
      <c r="DO24" s="105"/>
      <c r="DP24" s="25">
        <f>IF((DO24-DO23)&lt;0,"0",(DO24-DO23))</f>
        <v>0</v>
      </c>
      <c r="DQ24" s="105"/>
      <c r="DR24" s="25">
        <f t="shared" si="61"/>
        <v>0</v>
      </c>
      <c r="DS24" s="105"/>
      <c r="DT24" s="109"/>
      <c r="DU24" s="110"/>
    </row>
    <row r="25" spans="1:125" s="65" customFormat="1" ht="15.75" thickBot="1" x14ac:dyDescent="0.25">
      <c r="A25" s="67">
        <v>44249</v>
      </c>
      <c r="B25" s="96"/>
      <c r="C25" s="25">
        <f t="shared" si="0"/>
        <v>0</v>
      </c>
      <c r="D25" s="96"/>
      <c r="E25" s="25">
        <f t="shared" si="0"/>
        <v>0</v>
      </c>
      <c r="F25" s="61" t="e">
        <f t="shared" si="51"/>
        <v>#DIV/0!</v>
      </c>
      <c r="G25" s="95"/>
      <c r="H25" s="96"/>
      <c r="I25" s="25">
        <f t="shared" si="64"/>
        <v>0</v>
      </c>
      <c r="J25" s="97"/>
      <c r="K25" s="25">
        <f t="shared" si="65"/>
        <v>0</v>
      </c>
      <c r="L25" s="96"/>
      <c r="M25" s="25">
        <f t="shared" si="1"/>
        <v>0</v>
      </c>
      <c r="N25" s="96"/>
      <c r="O25" s="25">
        <f t="shared" si="2"/>
        <v>0</v>
      </c>
      <c r="P25" s="96"/>
      <c r="Q25" s="25">
        <f t="shared" si="3"/>
        <v>0</v>
      </c>
      <c r="R25" s="96"/>
      <c r="S25" s="106"/>
      <c r="T25" s="96"/>
      <c r="U25" s="25">
        <f t="shared" si="4"/>
        <v>0</v>
      </c>
      <c r="V25" s="95"/>
      <c r="W25" s="25">
        <f t="shared" ref="W25:W33" si="66">IF((V25-V24)&lt;0,"0",(V25-V24))</f>
        <v>0</v>
      </c>
      <c r="X25" s="96"/>
      <c r="Y25" s="25">
        <f t="shared" si="6"/>
        <v>0</v>
      </c>
      <c r="Z25" s="100"/>
      <c r="AA25" s="68">
        <f t="shared" si="7"/>
        <v>0</v>
      </c>
      <c r="AB25" s="61"/>
      <c r="AC25" s="61"/>
      <c r="AD25" s="100"/>
      <c r="AE25" s="25">
        <f t="shared" si="8"/>
        <v>0</v>
      </c>
      <c r="AF25" s="100"/>
      <c r="AG25" s="25">
        <f t="shared" si="8"/>
        <v>0</v>
      </c>
      <c r="AH25" s="100"/>
      <c r="AI25" s="25">
        <f t="shared" si="9"/>
        <v>0</v>
      </c>
      <c r="AJ25" s="100"/>
      <c r="AK25" s="25">
        <f t="shared" si="10"/>
        <v>0</v>
      </c>
      <c r="AL25" s="100"/>
      <c r="AM25" s="25">
        <f t="shared" si="11"/>
        <v>0</v>
      </c>
      <c r="AN25" s="100"/>
      <c r="AO25" s="25">
        <f t="shared" si="12"/>
        <v>0</v>
      </c>
      <c r="AP25" s="100"/>
      <c r="AQ25" s="25">
        <f t="shared" si="13"/>
        <v>0</v>
      </c>
      <c r="AR25" s="96"/>
      <c r="AS25" s="25">
        <f t="shared" si="14"/>
        <v>0</v>
      </c>
      <c r="AT25" s="96"/>
      <c r="AU25" s="25">
        <f t="shared" si="15"/>
        <v>0</v>
      </c>
      <c r="AV25" s="96"/>
      <c r="AW25" s="25">
        <f t="shared" si="16"/>
        <v>0</v>
      </c>
      <c r="AX25" s="96"/>
      <c r="AY25" s="25">
        <f t="shared" si="17"/>
        <v>0</v>
      </c>
      <c r="AZ25" s="100"/>
      <c r="BA25" s="25">
        <f t="shared" si="18"/>
        <v>0</v>
      </c>
      <c r="BB25" s="96"/>
      <c r="BC25" s="25">
        <f t="shared" si="19"/>
        <v>0</v>
      </c>
      <c r="BD25" s="86">
        <f t="shared" si="58"/>
        <v>0</v>
      </c>
      <c r="BE25" s="86">
        <f t="shared" si="20"/>
        <v>0</v>
      </c>
      <c r="BF25" s="96"/>
      <c r="BG25" s="88">
        <f t="shared" si="60"/>
        <v>0</v>
      </c>
      <c r="BH25" s="96"/>
      <c r="BI25" s="25">
        <f t="shared" si="21"/>
        <v>0</v>
      </c>
      <c r="BJ25" s="25">
        <f t="shared" si="22"/>
        <v>0</v>
      </c>
      <c r="BK25" s="96"/>
      <c r="BL25" s="96"/>
      <c r="BM25" s="66"/>
      <c r="BN25" s="25">
        <f t="shared" si="62"/>
        <v>0</v>
      </c>
      <c r="BO25" s="96"/>
      <c r="BP25" s="25">
        <f t="shared" si="25"/>
        <v>0</v>
      </c>
      <c r="BQ25" s="61">
        <f t="shared" si="52"/>
        <v>0</v>
      </c>
      <c r="BR25" s="96"/>
      <c r="BS25" s="69">
        <f t="shared" si="53"/>
        <v>0</v>
      </c>
      <c r="BT25" s="96"/>
      <c r="BU25" s="69">
        <f t="shared" si="26"/>
        <v>0</v>
      </c>
      <c r="BV25" s="96"/>
      <c r="BW25" s="69">
        <f t="shared" si="27"/>
        <v>0</v>
      </c>
      <c r="BX25" s="69">
        <f t="shared" si="54"/>
        <v>0</v>
      </c>
      <c r="BY25" s="25" t="str">
        <f t="shared" si="63"/>
        <v>0</v>
      </c>
      <c r="BZ25" s="100"/>
      <c r="CA25" s="96"/>
      <c r="CB25" s="25">
        <f t="shared" si="28"/>
        <v>0</v>
      </c>
      <c r="CC25" s="61">
        <f t="shared" si="59"/>
        <v>0</v>
      </c>
      <c r="CD25" s="96"/>
      <c r="CE25" s="25">
        <f t="shared" si="29"/>
        <v>0</v>
      </c>
      <c r="CF25" s="61">
        <f t="shared" si="55"/>
        <v>0</v>
      </c>
      <c r="CG25" s="96"/>
      <c r="CH25" s="25">
        <f t="shared" si="30"/>
        <v>0</v>
      </c>
      <c r="CI25" s="61">
        <f t="shared" si="56"/>
        <v>0</v>
      </c>
      <c r="CJ25" s="100"/>
      <c r="CK25" s="25">
        <f t="shared" si="31"/>
        <v>0</v>
      </c>
      <c r="CL25" s="61">
        <f t="shared" si="57"/>
        <v>0</v>
      </c>
      <c r="CM25" s="100"/>
      <c r="CN25" s="25">
        <f t="shared" si="32"/>
        <v>0</v>
      </c>
      <c r="CO25" s="61">
        <f t="shared" si="33"/>
        <v>0</v>
      </c>
      <c r="CP25" s="96"/>
      <c r="CQ25" s="25">
        <f t="shared" si="34"/>
        <v>0</v>
      </c>
      <c r="CR25" s="61">
        <f t="shared" si="35"/>
        <v>0</v>
      </c>
      <c r="CS25" s="96"/>
      <c r="CT25" s="25">
        <f t="shared" si="36"/>
        <v>0</v>
      </c>
      <c r="CU25" s="61">
        <f t="shared" si="37"/>
        <v>0</v>
      </c>
      <c r="CV25" s="96"/>
      <c r="CW25" s="25">
        <f t="shared" si="38"/>
        <v>0</v>
      </c>
      <c r="CX25" s="61">
        <f t="shared" si="39"/>
        <v>0</v>
      </c>
      <c r="CY25" s="96"/>
      <c r="CZ25" s="25">
        <f t="shared" si="40"/>
        <v>0</v>
      </c>
      <c r="DA25" s="61">
        <f t="shared" si="41"/>
        <v>0</v>
      </c>
      <c r="DB25" s="96"/>
      <c r="DC25" s="25">
        <f t="shared" si="42"/>
        <v>0</v>
      </c>
      <c r="DD25" s="61">
        <f t="shared" si="43"/>
        <v>0</v>
      </c>
      <c r="DE25" s="96"/>
      <c r="DF25" s="25">
        <f t="shared" si="44"/>
        <v>0</v>
      </c>
      <c r="DG25" s="61">
        <f t="shared" si="45"/>
        <v>0</v>
      </c>
      <c r="DH25" s="96"/>
      <c r="DI25" s="25">
        <f t="shared" si="46"/>
        <v>0</v>
      </c>
      <c r="DJ25" s="61">
        <f t="shared" si="47"/>
        <v>0</v>
      </c>
      <c r="DK25" s="104"/>
      <c r="DL25" s="25">
        <f t="shared" si="48"/>
        <v>0</v>
      </c>
      <c r="DM25" s="104"/>
      <c r="DN25" s="25">
        <f t="shared" si="49"/>
        <v>0</v>
      </c>
      <c r="DO25" s="105"/>
      <c r="DP25" s="25">
        <f t="shared" si="50"/>
        <v>0</v>
      </c>
      <c r="DQ25" s="105"/>
      <c r="DR25" s="25">
        <f t="shared" si="61"/>
        <v>0</v>
      </c>
      <c r="DS25" s="105"/>
      <c r="DT25" s="109"/>
      <c r="DU25" s="110"/>
    </row>
    <row r="26" spans="1:125" s="65" customFormat="1" ht="15.75" thickBot="1" x14ac:dyDescent="0.25">
      <c r="A26" s="67">
        <v>44250</v>
      </c>
      <c r="B26" s="96"/>
      <c r="C26" s="25">
        <f t="shared" si="0"/>
        <v>0</v>
      </c>
      <c r="D26" s="96"/>
      <c r="E26" s="25">
        <f t="shared" si="0"/>
        <v>0</v>
      </c>
      <c r="F26" s="61" t="e">
        <f t="shared" si="51"/>
        <v>#DIV/0!</v>
      </c>
      <c r="G26" s="95"/>
      <c r="H26" s="96"/>
      <c r="I26" s="25">
        <f t="shared" si="64"/>
        <v>0</v>
      </c>
      <c r="J26" s="97"/>
      <c r="K26" s="25">
        <f t="shared" si="65"/>
        <v>0</v>
      </c>
      <c r="L26" s="96"/>
      <c r="M26" s="25">
        <f t="shared" si="1"/>
        <v>0</v>
      </c>
      <c r="N26" s="96"/>
      <c r="O26" s="25">
        <f t="shared" si="2"/>
        <v>0</v>
      </c>
      <c r="P26" s="96"/>
      <c r="Q26" s="25">
        <f t="shared" si="3"/>
        <v>0</v>
      </c>
      <c r="R26" s="96"/>
      <c r="S26" s="107"/>
      <c r="T26" s="96"/>
      <c r="U26" s="25">
        <f t="shared" si="4"/>
        <v>0</v>
      </c>
      <c r="V26" s="95"/>
      <c r="W26" s="25">
        <f t="shared" si="66"/>
        <v>0</v>
      </c>
      <c r="X26" s="96"/>
      <c r="Y26" s="25">
        <f t="shared" si="6"/>
        <v>0</v>
      </c>
      <c r="Z26" s="100"/>
      <c r="AA26" s="68">
        <f t="shared" si="7"/>
        <v>0</v>
      </c>
      <c r="AB26" s="61"/>
      <c r="AC26" s="61"/>
      <c r="AD26" s="100"/>
      <c r="AE26" s="25">
        <f t="shared" si="8"/>
        <v>0</v>
      </c>
      <c r="AF26" s="100"/>
      <c r="AG26" s="25">
        <f t="shared" si="8"/>
        <v>0</v>
      </c>
      <c r="AH26" s="100"/>
      <c r="AI26" s="25">
        <f t="shared" si="9"/>
        <v>0</v>
      </c>
      <c r="AJ26" s="100"/>
      <c r="AK26" s="25">
        <f t="shared" si="10"/>
        <v>0</v>
      </c>
      <c r="AL26" s="100"/>
      <c r="AM26" s="25">
        <f t="shared" si="11"/>
        <v>0</v>
      </c>
      <c r="AN26" s="100"/>
      <c r="AO26" s="25">
        <f t="shared" si="12"/>
        <v>0</v>
      </c>
      <c r="AP26" s="100"/>
      <c r="AQ26" s="25">
        <f t="shared" si="13"/>
        <v>0</v>
      </c>
      <c r="AR26" s="96"/>
      <c r="AS26" s="25">
        <f t="shared" si="14"/>
        <v>0</v>
      </c>
      <c r="AT26" s="96"/>
      <c r="AU26" s="25">
        <f t="shared" si="15"/>
        <v>0</v>
      </c>
      <c r="AV26" s="96"/>
      <c r="AW26" s="25">
        <f t="shared" si="16"/>
        <v>0</v>
      </c>
      <c r="AX26" s="96"/>
      <c r="AY26" s="25">
        <f t="shared" si="17"/>
        <v>0</v>
      </c>
      <c r="AZ26" s="100"/>
      <c r="BA26" s="25">
        <f t="shared" si="18"/>
        <v>0</v>
      </c>
      <c r="BB26" s="96"/>
      <c r="BC26" s="25">
        <f t="shared" si="19"/>
        <v>0</v>
      </c>
      <c r="BD26" s="86">
        <f t="shared" si="58"/>
        <v>0</v>
      </c>
      <c r="BE26" s="86">
        <f t="shared" si="20"/>
        <v>0</v>
      </c>
      <c r="BF26" s="96"/>
      <c r="BG26" s="88">
        <f t="shared" si="60"/>
        <v>0</v>
      </c>
      <c r="BH26" s="100"/>
      <c r="BI26" s="25">
        <f t="shared" si="21"/>
        <v>0</v>
      </c>
      <c r="BJ26" s="25">
        <f t="shared" si="22"/>
        <v>0</v>
      </c>
      <c r="BK26" s="96"/>
      <c r="BL26" s="96"/>
      <c r="BM26" s="66"/>
      <c r="BN26" s="25">
        <f t="shared" si="62"/>
        <v>0</v>
      </c>
      <c r="BO26" s="100"/>
      <c r="BP26" s="25">
        <f t="shared" si="25"/>
        <v>0</v>
      </c>
      <c r="BQ26" s="61">
        <f t="shared" si="52"/>
        <v>0</v>
      </c>
      <c r="BR26" s="100"/>
      <c r="BS26" s="69">
        <f t="shared" si="53"/>
        <v>0</v>
      </c>
      <c r="BT26" s="100"/>
      <c r="BU26" s="69">
        <f t="shared" si="26"/>
        <v>0</v>
      </c>
      <c r="BV26" s="100"/>
      <c r="BW26" s="69">
        <f t="shared" si="27"/>
        <v>0</v>
      </c>
      <c r="BX26" s="69">
        <f t="shared" si="54"/>
        <v>0</v>
      </c>
      <c r="BY26" s="25" t="str">
        <f t="shared" si="63"/>
        <v>0</v>
      </c>
      <c r="BZ26" s="100"/>
      <c r="CA26" s="96"/>
      <c r="CB26" s="25">
        <f t="shared" si="28"/>
        <v>0</v>
      </c>
      <c r="CC26" s="61">
        <f t="shared" si="59"/>
        <v>0</v>
      </c>
      <c r="CD26" s="96"/>
      <c r="CE26" s="25">
        <f t="shared" si="29"/>
        <v>0</v>
      </c>
      <c r="CF26" s="61">
        <f t="shared" si="55"/>
        <v>0</v>
      </c>
      <c r="CG26" s="96"/>
      <c r="CH26" s="25">
        <f t="shared" si="30"/>
        <v>0</v>
      </c>
      <c r="CI26" s="61">
        <f t="shared" si="56"/>
        <v>0</v>
      </c>
      <c r="CJ26" s="100"/>
      <c r="CK26" s="25">
        <f t="shared" si="31"/>
        <v>0</v>
      </c>
      <c r="CL26" s="61">
        <f t="shared" si="57"/>
        <v>0</v>
      </c>
      <c r="CM26" s="100"/>
      <c r="CN26" s="25">
        <f t="shared" si="32"/>
        <v>0</v>
      </c>
      <c r="CO26" s="61">
        <f t="shared" si="33"/>
        <v>0</v>
      </c>
      <c r="CP26" s="96"/>
      <c r="CQ26" s="25">
        <f t="shared" si="34"/>
        <v>0</v>
      </c>
      <c r="CR26" s="61">
        <f t="shared" si="35"/>
        <v>0</v>
      </c>
      <c r="CS26" s="96"/>
      <c r="CT26" s="25">
        <f t="shared" si="36"/>
        <v>0</v>
      </c>
      <c r="CU26" s="61">
        <f t="shared" si="37"/>
        <v>0</v>
      </c>
      <c r="CV26" s="96"/>
      <c r="CW26" s="25">
        <f t="shared" si="38"/>
        <v>0</v>
      </c>
      <c r="CX26" s="61">
        <f t="shared" si="39"/>
        <v>0</v>
      </c>
      <c r="CY26" s="96"/>
      <c r="CZ26" s="25">
        <f t="shared" si="40"/>
        <v>0</v>
      </c>
      <c r="DA26" s="61">
        <f t="shared" si="41"/>
        <v>0</v>
      </c>
      <c r="DB26" s="96"/>
      <c r="DC26" s="25">
        <f t="shared" si="42"/>
        <v>0</v>
      </c>
      <c r="DD26" s="61">
        <f t="shared" si="43"/>
        <v>0</v>
      </c>
      <c r="DE26" s="96"/>
      <c r="DF26" s="25">
        <f t="shared" si="44"/>
        <v>0</v>
      </c>
      <c r="DG26" s="61">
        <f t="shared" si="45"/>
        <v>0</v>
      </c>
      <c r="DH26" s="96"/>
      <c r="DI26" s="25">
        <f t="shared" si="46"/>
        <v>0</v>
      </c>
      <c r="DJ26" s="61">
        <f t="shared" si="47"/>
        <v>0</v>
      </c>
      <c r="DK26" s="104"/>
      <c r="DL26" s="25">
        <f t="shared" si="48"/>
        <v>0</v>
      </c>
      <c r="DM26" s="104"/>
      <c r="DN26" s="25">
        <f t="shared" si="49"/>
        <v>0</v>
      </c>
      <c r="DO26" s="105"/>
      <c r="DP26" s="25">
        <f t="shared" si="50"/>
        <v>0</v>
      </c>
      <c r="DQ26" s="105"/>
      <c r="DR26" s="25">
        <f t="shared" si="61"/>
        <v>0</v>
      </c>
      <c r="DS26" s="105"/>
      <c r="DT26" s="109"/>
      <c r="DU26" s="110"/>
    </row>
    <row r="27" spans="1:125" s="65" customFormat="1" ht="15.75" thickBot="1" x14ac:dyDescent="0.25">
      <c r="A27" s="67">
        <v>44251</v>
      </c>
      <c r="B27" s="96"/>
      <c r="C27" s="25">
        <f t="shared" si="0"/>
        <v>0</v>
      </c>
      <c r="D27" s="96"/>
      <c r="E27" s="25">
        <f t="shared" si="0"/>
        <v>0</v>
      </c>
      <c r="F27" s="61" t="e">
        <f t="shared" si="51"/>
        <v>#DIV/0!</v>
      </c>
      <c r="G27" s="95"/>
      <c r="H27" s="96"/>
      <c r="I27" s="25">
        <f t="shared" si="64"/>
        <v>0</v>
      </c>
      <c r="J27" s="97"/>
      <c r="K27" s="25">
        <f t="shared" si="65"/>
        <v>0</v>
      </c>
      <c r="L27" s="96"/>
      <c r="M27" s="25">
        <f t="shared" si="1"/>
        <v>0</v>
      </c>
      <c r="N27" s="96"/>
      <c r="O27" s="25">
        <f t="shared" si="2"/>
        <v>0</v>
      </c>
      <c r="P27" s="96"/>
      <c r="Q27" s="25">
        <f t="shared" si="3"/>
        <v>0</v>
      </c>
      <c r="R27" s="96"/>
      <c r="S27" s="106"/>
      <c r="T27" s="96"/>
      <c r="U27" s="25">
        <f t="shared" si="4"/>
        <v>0</v>
      </c>
      <c r="V27" s="95"/>
      <c r="W27" s="25">
        <f t="shared" si="66"/>
        <v>0</v>
      </c>
      <c r="X27" s="96"/>
      <c r="Y27" s="25">
        <f t="shared" si="6"/>
        <v>0</v>
      </c>
      <c r="Z27" s="100"/>
      <c r="AA27" s="68">
        <f t="shared" si="7"/>
        <v>0</v>
      </c>
      <c r="AB27" s="61"/>
      <c r="AC27" s="61"/>
      <c r="AD27" s="100"/>
      <c r="AE27" s="25">
        <f t="shared" si="8"/>
        <v>0</v>
      </c>
      <c r="AF27" s="100"/>
      <c r="AG27" s="25">
        <f t="shared" si="8"/>
        <v>0</v>
      </c>
      <c r="AH27" s="100"/>
      <c r="AI27" s="25">
        <f t="shared" si="9"/>
        <v>0</v>
      </c>
      <c r="AJ27" s="100"/>
      <c r="AK27" s="25">
        <f t="shared" si="10"/>
        <v>0</v>
      </c>
      <c r="AL27" s="100"/>
      <c r="AM27" s="25">
        <f t="shared" si="11"/>
        <v>0</v>
      </c>
      <c r="AN27" s="100"/>
      <c r="AO27" s="25">
        <f t="shared" si="12"/>
        <v>0</v>
      </c>
      <c r="AP27" s="100"/>
      <c r="AQ27" s="25">
        <f t="shared" si="13"/>
        <v>0</v>
      </c>
      <c r="AR27" s="96"/>
      <c r="AS27" s="25">
        <f t="shared" si="14"/>
        <v>0</v>
      </c>
      <c r="AT27" s="96"/>
      <c r="AU27" s="25">
        <f t="shared" si="15"/>
        <v>0</v>
      </c>
      <c r="AV27" s="96"/>
      <c r="AW27" s="25">
        <f t="shared" si="16"/>
        <v>0</v>
      </c>
      <c r="AX27" s="96"/>
      <c r="AY27" s="25">
        <f t="shared" si="17"/>
        <v>0</v>
      </c>
      <c r="AZ27" s="100"/>
      <c r="BA27" s="25">
        <f t="shared" si="18"/>
        <v>0</v>
      </c>
      <c r="BB27" s="96"/>
      <c r="BC27" s="25">
        <f t="shared" si="19"/>
        <v>0</v>
      </c>
      <c r="BD27" s="86">
        <f t="shared" si="58"/>
        <v>0</v>
      </c>
      <c r="BE27" s="86">
        <f t="shared" si="20"/>
        <v>0</v>
      </c>
      <c r="BF27" s="96"/>
      <c r="BG27" s="88">
        <f t="shared" si="60"/>
        <v>0</v>
      </c>
      <c r="BH27" s="100"/>
      <c r="BI27" s="25">
        <f t="shared" si="21"/>
        <v>0</v>
      </c>
      <c r="BJ27" s="25">
        <f t="shared" si="22"/>
        <v>0</v>
      </c>
      <c r="BK27" s="96"/>
      <c r="BL27" s="96"/>
      <c r="BM27" s="66"/>
      <c r="BN27" s="25">
        <f t="shared" si="62"/>
        <v>0</v>
      </c>
      <c r="BO27" s="100"/>
      <c r="BP27" s="25">
        <f t="shared" si="25"/>
        <v>0</v>
      </c>
      <c r="BQ27" s="61">
        <f t="shared" si="52"/>
        <v>0</v>
      </c>
      <c r="BR27" s="100"/>
      <c r="BS27" s="69">
        <f t="shared" si="53"/>
        <v>0</v>
      </c>
      <c r="BT27" s="100"/>
      <c r="BU27" s="69">
        <f t="shared" si="26"/>
        <v>0</v>
      </c>
      <c r="BV27" s="100"/>
      <c r="BW27" s="69">
        <f t="shared" si="27"/>
        <v>0</v>
      </c>
      <c r="BX27" s="69">
        <f t="shared" si="54"/>
        <v>0</v>
      </c>
      <c r="BY27" s="25" t="str">
        <f t="shared" si="63"/>
        <v>0</v>
      </c>
      <c r="BZ27" s="100"/>
      <c r="CA27" s="96"/>
      <c r="CB27" s="25">
        <f t="shared" si="28"/>
        <v>0</v>
      </c>
      <c r="CC27" s="61">
        <f t="shared" si="59"/>
        <v>0</v>
      </c>
      <c r="CD27" s="96"/>
      <c r="CE27" s="25">
        <f t="shared" si="29"/>
        <v>0</v>
      </c>
      <c r="CF27" s="61">
        <f t="shared" si="55"/>
        <v>0</v>
      </c>
      <c r="CG27" s="96"/>
      <c r="CH27" s="25">
        <f t="shared" si="30"/>
        <v>0</v>
      </c>
      <c r="CI27" s="61">
        <f t="shared" si="56"/>
        <v>0</v>
      </c>
      <c r="CJ27" s="100"/>
      <c r="CK27" s="25">
        <f t="shared" si="31"/>
        <v>0</v>
      </c>
      <c r="CL27" s="61">
        <f t="shared" si="57"/>
        <v>0</v>
      </c>
      <c r="CM27" s="100"/>
      <c r="CN27" s="25">
        <f t="shared" si="32"/>
        <v>0</v>
      </c>
      <c r="CO27" s="61">
        <f t="shared" si="33"/>
        <v>0</v>
      </c>
      <c r="CP27" s="96"/>
      <c r="CQ27" s="25">
        <f t="shared" si="34"/>
        <v>0</v>
      </c>
      <c r="CR27" s="61">
        <f t="shared" si="35"/>
        <v>0</v>
      </c>
      <c r="CS27" s="96"/>
      <c r="CT27" s="25">
        <f t="shared" si="36"/>
        <v>0</v>
      </c>
      <c r="CU27" s="61">
        <f t="shared" si="37"/>
        <v>0</v>
      </c>
      <c r="CV27" s="96"/>
      <c r="CW27" s="25">
        <f t="shared" si="38"/>
        <v>0</v>
      </c>
      <c r="CX27" s="61">
        <f t="shared" si="39"/>
        <v>0</v>
      </c>
      <c r="CY27" s="96"/>
      <c r="CZ27" s="25">
        <f t="shared" si="40"/>
        <v>0</v>
      </c>
      <c r="DA27" s="61">
        <f t="shared" si="41"/>
        <v>0</v>
      </c>
      <c r="DB27" s="96"/>
      <c r="DC27" s="25">
        <f t="shared" si="42"/>
        <v>0</v>
      </c>
      <c r="DD27" s="61">
        <f t="shared" si="43"/>
        <v>0</v>
      </c>
      <c r="DE27" s="96"/>
      <c r="DF27" s="25">
        <f t="shared" si="44"/>
        <v>0</v>
      </c>
      <c r="DG27" s="61">
        <f t="shared" si="45"/>
        <v>0</v>
      </c>
      <c r="DH27" s="96"/>
      <c r="DI27" s="25">
        <f t="shared" si="46"/>
        <v>0</v>
      </c>
      <c r="DJ27" s="61">
        <f t="shared" si="47"/>
        <v>0</v>
      </c>
      <c r="DK27" s="104"/>
      <c r="DL27" s="25">
        <f t="shared" si="48"/>
        <v>0</v>
      </c>
      <c r="DM27" s="104"/>
      <c r="DN27" s="25">
        <f t="shared" si="49"/>
        <v>0</v>
      </c>
      <c r="DO27" s="105"/>
      <c r="DP27" s="25">
        <f t="shared" si="50"/>
        <v>0</v>
      </c>
      <c r="DQ27" s="105"/>
      <c r="DR27" s="25">
        <f t="shared" si="61"/>
        <v>0</v>
      </c>
      <c r="DS27" s="105"/>
      <c r="DT27" s="109"/>
      <c r="DU27" s="110"/>
    </row>
    <row r="28" spans="1:125" s="65" customFormat="1" ht="15.75" thickBot="1" x14ac:dyDescent="0.25">
      <c r="A28" s="67">
        <v>44252</v>
      </c>
      <c r="B28" s="96"/>
      <c r="C28" s="25">
        <f t="shared" si="0"/>
        <v>0</v>
      </c>
      <c r="D28" s="96"/>
      <c r="E28" s="25">
        <f t="shared" si="0"/>
        <v>0</v>
      </c>
      <c r="F28" s="61" t="e">
        <f t="shared" si="51"/>
        <v>#DIV/0!</v>
      </c>
      <c r="G28" s="95"/>
      <c r="H28" s="96"/>
      <c r="I28" s="25">
        <f t="shared" si="64"/>
        <v>0</v>
      </c>
      <c r="J28" s="97"/>
      <c r="K28" s="25">
        <f t="shared" si="65"/>
        <v>0</v>
      </c>
      <c r="L28" s="96"/>
      <c r="M28" s="25">
        <f t="shared" si="1"/>
        <v>0</v>
      </c>
      <c r="N28" s="96"/>
      <c r="O28" s="25">
        <f t="shared" si="2"/>
        <v>0</v>
      </c>
      <c r="P28" s="96"/>
      <c r="Q28" s="25">
        <f t="shared" si="3"/>
        <v>0</v>
      </c>
      <c r="R28" s="96"/>
      <c r="S28" s="96"/>
      <c r="T28" s="96"/>
      <c r="U28" s="25">
        <f t="shared" si="4"/>
        <v>0</v>
      </c>
      <c r="V28" s="95"/>
      <c r="W28" s="25">
        <f t="shared" si="66"/>
        <v>0</v>
      </c>
      <c r="X28" s="96"/>
      <c r="Y28" s="25">
        <f t="shared" si="6"/>
        <v>0</v>
      </c>
      <c r="Z28" s="100"/>
      <c r="AA28" s="68">
        <f t="shared" si="7"/>
        <v>0</v>
      </c>
      <c r="AB28" s="61"/>
      <c r="AC28" s="61"/>
      <c r="AD28" s="100"/>
      <c r="AE28" s="25">
        <f t="shared" si="8"/>
        <v>0</v>
      </c>
      <c r="AF28" s="100"/>
      <c r="AG28" s="25">
        <f t="shared" si="8"/>
        <v>0</v>
      </c>
      <c r="AH28" s="100"/>
      <c r="AI28" s="25">
        <f t="shared" si="9"/>
        <v>0</v>
      </c>
      <c r="AJ28" s="100"/>
      <c r="AK28" s="25">
        <f t="shared" si="10"/>
        <v>0</v>
      </c>
      <c r="AL28" s="100"/>
      <c r="AM28" s="25">
        <f t="shared" si="11"/>
        <v>0</v>
      </c>
      <c r="AN28" s="100"/>
      <c r="AO28" s="25">
        <f t="shared" si="12"/>
        <v>0</v>
      </c>
      <c r="AP28" s="100"/>
      <c r="AQ28" s="25">
        <f t="shared" si="13"/>
        <v>0</v>
      </c>
      <c r="AR28" s="96"/>
      <c r="AS28" s="25">
        <f t="shared" si="14"/>
        <v>0</v>
      </c>
      <c r="AT28" s="96"/>
      <c r="AU28" s="25">
        <f t="shared" si="15"/>
        <v>0</v>
      </c>
      <c r="AV28" s="96"/>
      <c r="AW28" s="25">
        <f t="shared" si="16"/>
        <v>0</v>
      </c>
      <c r="AX28" s="96"/>
      <c r="AY28" s="25">
        <f t="shared" si="17"/>
        <v>0</v>
      </c>
      <c r="AZ28" s="100"/>
      <c r="BA28" s="25">
        <f t="shared" si="18"/>
        <v>0</v>
      </c>
      <c r="BB28" s="96"/>
      <c r="BC28" s="25">
        <f t="shared" si="19"/>
        <v>0</v>
      </c>
      <c r="BD28" s="86">
        <f t="shared" si="58"/>
        <v>0</v>
      </c>
      <c r="BE28" s="86">
        <f t="shared" si="20"/>
        <v>0</v>
      </c>
      <c r="BF28" s="96"/>
      <c r="BG28" s="88">
        <f t="shared" si="60"/>
        <v>0</v>
      </c>
      <c r="BH28" s="100"/>
      <c r="BI28" s="25">
        <f t="shared" si="21"/>
        <v>0</v>
      </c>
      <c r="BJ28" s="25">
        <f t="shared" si="22"/>
        <v>0</v>
      </c>
      <c r="BK28" s="96"/>
      <c r="BL28" s="96"/>
      <c r="BM28" s="66"/>
      <c r="BN28" s="25">
        <f t="shared" si="62"/>
        <v>0</v>
      </c>
      <c r="BO28" s="100"/>
      <c r="BP28" s="25">
        <f t="shared" si="25"/>
        <v>0</v>
      </c>
      <c r="BQ28" s="61">
        <f t="shared" si="52"/>
        <v>0</v>
      </c>
      <c r="BR28" s="100"/>
      <c r="BS28" s="69">
        <f t="shared" si="53"/>
        <v>0</v>
      </c>
      <c r="BT28" s="100"/>
      <c r="BU28" s="69">
        <f t="shared" si="26"/>
        <v>0</v>
      </c>
      <c r="BV28" s="100"/>
      <c r="BW28" s="69">
        <f t="shared" si="27"/>
        <v>0</v>
      </c>
      <c r="BX28" s="69">
        <f t="shared" si="54"/>
        <v>0</v>
      </c>
      <c r="BY28" s="25" t="str">
        <f t="shared" si="63"/>
        <v>0</v>
      </c>
      <c r="BZ28" s="100"/>
      <c r="CA28" s="96"/>
      <c r="CB28" s="25">
        <f t="shared" si="28"/>
        <v>0</v>
      </c>
      <c r="CC28" s="61">
        <f t="shared" si="59"/>
        <v>0</v>
      </c>
      <c r="CD28" s="96"/>
      <c r="CE28" s="25">
        <f t="shared" si="29"/>
        <v>0</v>
      </c>
      <c r="CF28" s="61">
        <f t="shared" si="55"/>
        <v>0</v>
      </c>
      <c r="CG28" s="96"/>
      <c r="CH28" s="25">
        <f t="shared" si="30"/>
        <v>0</v>
      </c>
      <c r="CI28" s="61">
        <f t="shared" si="56"/>
        <v>0</v>
      </c>
      <c r="CJ28" s="100"/>
      <c r="CK28" s="25">
        <f t="shared" si="31"/>
        <v>0</v>
      </c>
      <c r="CL28" s="61">
        <f t="shared" si="57"/>
        <v>0</v>
      </c>
      <c r="CM28" s="100"/>
      <c r="CN28" s="25">
        <f t="shared" si="32"/>
        <v>0</v>
      </c>
      <c r="CO28" s="61">
        <f t="shared" si="33"/>
        <v>0</v>
      </c>
      <c r="CP28" s="96"/>
      <c r="CQ28" s="25">
        <f t="shared" si="34"/>
        <v>0</v>
      </c>
      <c r="CR28" s="61">
        <f t="shared" si="35"/>
        <v>0</v>
      </c>
      <c r="CS28" s="96"/>
      <c r="CT28" s="25">
        <f t="shared" si="36"/>
        <v>0</v>
      </c>
      <c r="CU28" s="61">
        <f t="shared" si="37"/>
        <v>0</v>
      </c>
      <c r="CV28" s="96"/>
      <c r="CW28" s="25">
        <f t="shared" si="38"/>
        <v>0</v>
      </c>
      <c r="CX28" s="61">
        <f t="shared" si="39"/>
        <v>0</v>
      </c>
      <c r="CY28" s="96"/>
      <c r="CZ28" s="25">
        <f t="shared" si="40"/>
        <v>0</v>
      </c>
      <c r="DA28" s="61">
        <f t="shared" si="41"/>
        <v>0</v>
      </c>
      <c r="DB28" s="96"/>
      <c r="DC28" s="25">
        <f t="shared" si="42"/>
        <v>0</v>
      </c>
      <c r="DD28" s="61">
        <f t="shared" si="43"/>
        <v>0</v>
      </c>
      <c r="DE28" s="96"/>
      <c r="DF28" s="25">
        <f t="shared" si="44"/>
        <v>0</v>
      </c>
      <c r="DG28" s="61">
        <f t="shared" si="45"/>
        <v>0</v>
      </c>
      <c r="DH28" s="96"/>
      <c r="DI28" s="25">
        <f t="shared" si="46"/>
        <v>0</v>
      </c>
      <c r="DJ28" s="61">
        <f t="shared" si="47"/>
        <v>0</v>
      </c>
      <c r="DK28" s="104"/>
      <c r="DL28" s="25">
        <f t="shared" si="48"/>
        <v>0</v>
      </c>
      <c r="DM28" s="104"/>
      <c r="DN28" s="25">
        <f t="shared" si="49"/>
        <v>0</v>
      </c>
      <c r="DO28" s="105"/>
      <c r="DP28" s="25">
        <f t="shared" si="50"/>
        <v>0</v>
      </c>
      <c r="DQ28" s="105"/>
      <c r="DR28" s="25">
        <f t="shared" si="61"/>
        <v>0</v>
      </c>
      <c r="DS28" s="105"/>
      <c r="DT28" s="109"/>
      <c r="DU28" s="110"/>
    </row>
    <row r="29" spans="1:125" s="65" customFormat="1" ht="15.75" thickBot="1" x14ac:dyDescent="0.25">
      <c r="A29" s="67">
        <v>44253</v>
      </c>
      <c r="B29" s="96"/>
      <c r="C29" s="25">
        <f t="shared" si="0"/>
        <v>0</v>
      </c>
      <c r="D29" s="96"/>
      <c r="E29" s="25">
        <f t="shared" si="0"/>
        <v>0</v>
      </c>
      <c r="F29" s="61" t="e">
        <f t="shared" si="51"/>
        <v>#DIV/0!</v>
      </c>
      <c r="G29" s="95"/>
      <c r="H29" s="96"/>
      <c r="I29" s="25">
        <f t="shared" si="64"/>
        <v>0</v>
      </c>
      <c r="J29" s="97"/>
      <c r="K29" s="25">
        <f t="shared" si="65"/>
        <v>0</v>
      </c>
      <c r="L29" s="96"/>
      <c r="M29" s="25">
        <f t="shared" si="1"/>
        <v>0</v>
      </c>
      <c r="N29" s="96"/>
      <c r="O29" s="25">
        <f t="shared" si="2"/>
        <v>0</v>
      </c>
      <c r="P29" s="96"/>
      <c r="Q29" s="25">
        <f t="shared" si="3"/>
        <v>0</v>
      </c>
      <c r="R29" s="96"/>
      <c r="S29" s="96"/>
      <c r="T29" s="96"/>
      <c r="U29" s="25">
        <f t="shared" si="4"/>
        <v>0</v>
      </c>
      <c r="V29" s="95"/>
      <c r="W29" s="25">
        <f t="shared" si="66"/>
        <v>0</v>
      </c>
      <c r="X29" s="96"/>
      <c r="Y29" s="25">
        <f t="shared" si="6"/>
        <v>0</v>
      </c>
      <c r="Z29" s="100"/>
      <c r="AA29" s="68">
        <f t="shared" si="7"/>
        <v>0</v>
      </c>
      <c r="AB29" s="61"/>
      <c r="AC29" s="61"/>
      <c r="AD29" s="100"/>
      <c r="AE29" s="25">
        <f t="shared" si="8"/>
        <v>0</v>
      </c>
      <c r="AF29" s="100"/>
      <c r="AG29" s="25">
        <f t="shared" si="8"/>
        <v>0</v>
      </c>
      <c r="AH29" s="100"/>
      <c r="AI29" s="25">
        <f t="shared" si="9"/>
        <v>0</v>
      </c>
      <c r="AJ29" s="100"/>
      <c r="AK29" s="25">
        <f t="shared" si="10"/>
        <v>0</v>
      </c>
      <c r="AL29" s="100"/>
      <c r="AM29" s="25">
        <f t="shared" si="11"/>
        <v>0</v>
      </c>
      <c r="AN29" s="100"/>
      <c r="AO29" s="25">
        <f t="shared" si="12"/>
        <v>0</v>
      </c>
      <c r="AP29" s="100"/>
      <c r="AQ29" s="25">
        <f t="shared" si="13"/>
        <v>0</v>
      </c>
      <c r="AR29" s="96"/>
      <c r="AS29" s="25">
        <f t="shared" si="14"/>
        <v>0</v>
      </c>
      <c r="AT29" s="96"/>
      <c r="AU29" s="25">
        <f t="shared" si="15"/>
        <v>0</v>
      </c>
      <c r="AV29" s="96"/>
      <c r="AW29" s="25">
        <f t="shared" si="16"/>
        <v>0</v>
      </c>
      <c r="AX29" s="96"/>
      <c r="AY29" s="25">
        <f t="shared" si="17"/>
        <v>0</v>
      </c>
      <c r="AZ29" s="100"/>
      <c r="BA29" s="25">
        <f t="shared" si="18"/>
        <v>0</v>
      </c>
      <c r="BB29" s="96"/>
      <c r="BC29" s="25">
        <f t="shared" si="19"/>
        <v>0</v>
      </c>
      <c r="BD29" s="86">
        <f t="shared" si="58"/>
        <v>0</v>
      </c>
      <c r="BE29" s="86">
        <f t="shared" si="20"/>
        <v>0</v>
      </c>
      <c r="BF29" s="96"/>
      <c r="BG29" s="25">
        <f t="shared" si="60"/>
        <v>0</v>
      </c>
      <c r="BH29" s="100"/>
      <c r="BI29" s="25">
        <f t="shared" si="21"/>
        <v>0</v>
      </c>
      <c r="BJ29" s="25">
        <f t="shared" si="22"/>
        <v>0</v>
      </c>
      <c r="BK29" s="96"/>
      <c r="BL29" s="96"/>
      <c r="BM29" s="66"/>
      <c r="BN29" s="25">
        <f t="shared" si="62"/>
        <v>0</v>
      </c>
      <c r="BO29" s="100"/>
      <c r="BP29" s="25">
        <f t="shared" si="25"/>
        <v>0</v>
      </c>
      <c r="BQ29" s="61">
        <f t="shared" si="52"/>
        <v>0</v>
      </c>
      <c r="BR29" s="100"/>
      <c r="BS29" s="69">
        <f t="shared" si="53"/>
        <v>0</v>
      </c>
      <c r="BT29" s="100"/>
      <c r="BU29" s="69">
        <f t="shared" si="26"/>
        <v>0</v>
      </c>
      <c r="BV29" s="100"/>
      <c r="BW29" s="69">
        <f t="shared" si="27"/>
        <v>0</v>
      </c>
      <c r="BX29" s="69">
        <f t="shared" si="54"/>
        <v>0</v>
      </c>
      <c r="BY29" s="25" t="str">
        <f t="shared" si="63"/>
        <v>0</v>
      </c>
      <c r="BZ29" s="100"/>
      <c r="CA29" s="96"/>
      <c r="CB29" s="25">
        <f t="shared" si="28"/>
        <v>0</v>
      </c>
      <c r="CC29" s="61">
        <f t="shared" si="59"/>
        <v>0</v>
      </c>
      <c r="CD29" s="96"/>
      <c r="CE29" s="25">
        <f t="shared" si="29"/>
        <v>0</v>
      </c>
      <c r="CF29" s="61">
        <f t="shared" si="55"/>
        <v>0</v>
      </c>
      <c r="CG29" s="96"/>
      <c r="CH29" s="25">
        <f t="shared" si="30"/>
        <v>0</v>
      </c>
      <c r="CI29" s="61">
        <f t="shared" si="56"/>
        <v>0</v>
      </c>
      <c r="CJ29" s="100"/>
      <c r="CK29" s="25">
        <f t="shared" si="31"/>
        <v>0</v>
      </c>
      <c r="CL29" s="61">
        <f t="shared" si="57"/>
        <v>0</v>
      </c>
      <c r="CM29" s="96"/>
      <c r="CN29" s="25">
        <f t="shared" si="32"/>
        <v>0</v>
      </c>
      <c r="CO29" s="61">
        <f t="shared" si="33"/>
        <v>0</v>
      </c>
      <c r="CP29" s="96"/>
      <c r="CQ29" s="25">
        <f t="shared" si="34"/>
        <v>0</v>
      </c>
      <c r="CR29" s="61">
        <f t="shared" si="35"/>
        <v>0</v>
      </c>
      <c r="CS29" s="96"/>
      <c r="CT29" s="25">
        <f t="shared" si="36"/>
        <v>0</v>
      </c>
      <c r="CU29" s="61">
        <f t="shared" si="37"/>
        <v>0</v>
      </c>
      <c r="CV29" s="96"/>
      <c r="CW29" s="25">
        <f t="shared" si="38"/>
        <v>0</v>
      </c>
      <c r="CX29" s="61">
        <f t="shared" si="39"/>
        <v>0</v>
      </c>
      <c r="CY29" s="96"/>
      <c r="CZ29" s="25">
        <f t="shared" si="40"/>
        <v>0</v>
      </c>
      <c r="DA29" s="61">
        <f t="shared" si="41"/>
        <v>0</v>
      </c>
      <c r="DB29" s="96"/>
      <c r="DC29" s="25">
        <f t="shared" si="42"/>
        <v>0</v>
      </c>
      <c r="DD29" s="61">
        <f t="shared" si="43"/>
        <v>0</v>
      </c>
      <c r="DE29" s="96"/>
      <c r="DF29" s="25">
        <f t="shared" si="44"/>
        <v>0</v>
      </c>
      <c r="DG29" s="61">
        <f t="shared" si="45"/>
        <v>0</v>
      </c>
      <c r="DH29" s="96"/>
      <c r="DI29" s="25">
        <f t="shared" si="46"/>
        <v>0</v>
      </c>
      <c r="DJ29" s="61">
        <f t="shared" si="47"/>
        <v>0</v>
      </c>
      <c r="DK29" s="104"/>
      <c r="DL29" s="25">
        <f t="shared" si="48"/>
        <v>0</v>
      </c>
      <c r="DM29" s="104"/>
      <c r="DN29" s="25">
        <f t="shared" si="49"/>
        <v>0</v>
      </c>
      <c r="DO29" s="105"/>
      <c r="DP29" s="25">
        <f t="shared" si="50"/>
        <v>0</v>
      </c>
      <c r="DQ29" s="105"/>
      <c r="DR29" s="25">
        <f t="shared" si="61"/>
        <v>0</v>
      </c>
      <c r="DS29" s="105"/>
      <c r="DT29" s="109"/>
      <c r="DU29" s="110"/>
    </row>
    <row r="30" spans="1:125" s="65" customFormat="1" ht="15.75" thickBot="1" x14ac:dyDescent="0.25">
      <c r="A30" s="67">
        <v>44254</v>
      </c>
      <c r="B30" s="96"/>
      <c r="C30" s="25">
        <f t="shared" si="0"/>
        <v>0</v>
      </c>
      <c r="D30" s="96"/>
      <c r="E30" s="25">
        <f t="shared" si="0"/>
        <v>0</v>
      </c>
      <c r="F30" s="61" t="e">
        <f t="shared" si="51"/>
        <v>#DIV/0!</v>
      </c>
      <c r="G30" s="95"/>
      <c r="H30" s="96"/>
      <c r="I30" s="25">
        <f t="shared" si="64"/>
        <v>0</v>
      </c>
      <c r="J30" s="97"/>
      <c r="K30" s="25">
        <f t="shared" si="65"/>
        <v>0</v>
      </c>
      <c r="L30" s="96"/>
      <c r="M30" s="25">
        <f t="shared" si="1"/>
        <v>0</v>
      </c>
      <c r="N30" s="96"/>
      <c r="O30" s="25">
        <f t="shared" si="2"/>
        <v>0</v>
      </c>
      <c r="P30" s="96"/>
      <c r="Q30" s="25">
        <f t="shared" si="3"/>
        <v>0</v>
      </c>
      <c r="R30" s="96"/>
      <c r="S30" s="96"/>
      <c r="T30" s="96"/>
      <c r="U30" s="25">
        <f t="shared" si="4"/>
        <v>0</v>
      </c>
      <c r="V30" s="96"/>
      <c r="W30" s="25">
        <f t="shared" si="66"/>
        <v>0</v>
      </c>
      <c r="X30" s="96"/>
      <c r="Y30" s="25">
        <f t="shared" si="6"/>
        <v>0</v>
      </c>
      <c r="Z30" s="100"/>
      <c r="AA30" s="68">
        <f t="shared" si="7"/>
        <v>0</v>
      </c>
      <c r="AB30" s="61"/>
      <c r="AC30" s="61"/>
      <c r="AD30" s="100"/>
      <c r="AE30" s="25">
        <f t="shared" si="8"/>
        <v>0</v>
      </c>
      <c r="AF30" s="100"/>
      <c r="AG30" s="25">
        <f t="shared" si="8"/>
        <v>0</v>
      </c>
      <c r="AH30" s="100"/>
      <c r="AI30" s="25">
        <f t="shared" si="9"/>
        <v>0</v>
      </c>
      <c r="AJ30" s="100"/>
      <c r="AK30" s="25">
        <f t="shared" si="10"/>
        <v>0</v>
      </c>
      <c r="AL30" s="100"/>
      <c r="AM30" s="25">
        <f t="shared" si="11"/>
        <v>0</v>
      </c>
      <c r="AN30" s="100"/>
      <c r="AO30" s="25">
        <f t="shared" si="12"/>
        <v>0</v>
      </c>
      <c r="AP30" s="100"/>
      <c r="AQ30" s="25">
        <f t="shared" si="13"/>
        <v>0</v>
      </c>
      <c r="AR30" s="96"/>
      <c r="AS30" s="25">
        <f t="shared" si="14"/>
        <v>0</v>
      </c>
      <c r="AT30" s="96"/>
      <c r="AU30" s="25">
        <f t="shared" si="15"/>
        <v>0</v>
      </c>
      <c r="AV30" s="96"/>
      <c r="AW30" s="25">
        <f t="shared" si="16"/>
        <v>0</v>
      </c>
      <c r="AX30" s="96"/>
      <c r="AY30" s="25">
        <f t="shared" si="17"/>
        <v>0</v>
      </c>
      <c r="AZ30" s="100"/>
      <c r="BA30" s="25">
        <f t="shared" si="18"/>
        <v>0</v>
      </c>
      <c r="BB30" s="96"/>
      <c r="BC30" s="25">
        <f t="shared" si="19"/>
        <v>0</v>
      </c>
      <c r="BD30" s="86">
        <f t="shared" si="58"/>
        <v>0</v>
      </c>
      <c r="BE30" s="86">
        <f t="shared" si="20"/>
        <v>0</v>
      </c>
      <c r="BF30" s="96"/>
      <c r="BG30" s="25">
        <f t="shared" si="60"/>
        <v>0</v>
      </c>
      <c r="BH30" s="100"/>
      <c r="BI30" s="25">
        <f t="shared" si="21"/>
        <v>0</v>
      </c>
      <c r="BJ30" s="25">
        <f t="shared" si="22"/>
        <v>0</v>
      </c>
      <c r="BK30" s="100"/>
      <c r="BL30" s="100"/>
      <c r="BM30" s="66"/>
      <c r="BN30" s="25">
        <f t="shared" si="62"/>
        <v>0</v>
      </c>
      <c r="BO30" s="103"/>
      <c r="BP30" s="25">
        <f t="shared" si="25"/>
        <v>0</v>
      </c>
      <c r="BQ30" s="61">
        <f t="shared" si="52"/>
        <v>0</v>
      </c>
      <c r="BR30" s="103"/>
      <c r="BS30" s="69">
        <f t="shared" si="53"/>
        <v>0</v>
      </c>
      <c r="BT30" s="103"/>
      <c r="BU30" s="69">
        <f t="shared" si="26"/>
        <v>0</v>
      </c>
      <c r="BV30" s="103"/>
      <c r="BW30" s="69">
        <f t="shared" si="27"/>
        <v>0</v>
      </c>
      <c r="BX30" s="69">
        <f t="shared" si="54"/>
        <v>0</v>
      </c>
      <c r="BY30" s="25" t="str">
        <f t="shared" si="63"/>
        <v>0</v>
      </c>
      <c r="BZ30" s="100"/>
      <c r="CA30" s="96"/>
      <c r="CB30" s="25">
        <f t="shared" si="28"/>
        <v>0</v>
      </c>
      <c r="CC30" s="61">
        <f t="shared" si="59"/>
        <v>0</v>
      </c>
      <c r="CD30" s="96"/>
      <c r="CE30" s="25">
        <f t="shared" si="29"/>
        <v>0</v>
      </c>
      <c r="CF30" s="61">
        <f t="shared" si="55"/>
        <v>0</v>
      </c>
      <c r="CG30" s="96"/>
      <c r="CH30" s="25">
        <f t="shared" si="30"/>
        <v>0</v>
      </c>
      <c r="CI30" s="61">
        <f t="shared" si="56"/>
        <v>0</v>
      </c>
      <c r="CJ30" s="100"/>
      <c r="CK30" s="25">
        <f t="shared" si="31"/>
        <v>0</v>
      </c>
      <c r="CL30" s="61">
        <f t="shared" si="57"/>
        <v>0</v>
      </c>
      <c r="CM30" s="96"/>
      <c r="CN30" s="25">
        <f t="shared" si="32"/>
        <v>0</v>
      </c>
      <c r="CO30" s="61">
        <f t="shared" si="33"/>
        <v>0</v>
      </c>
      <c r="CP30" s="96"/>
      <c r="CQ30" s="25">
        <f t="shared" si="34"/>
        <v>0</v>
      </c>
      <c r="CR30" s="61">
        <f t="shared" si="35"/>
        <v>0</v>
      </c>
      <c r="CS30" s="96"/>
      <c r="CT30" s="25">
        <f t="shared" si="36"/>
        <v>0</v>
      </c>
      <c r="CU30" s="61">
        <f t="shared" si="37"/>
        <v>0</v>
      </c>
      <c r="CV30" s="96"/>
      <c r="CW30" s="25">
        <f t="shared" si="38"/>
        <v>0</v>
      </c>
      <c r="CX30" s="61">
        <f t="shared" si="39"/>
        <v>0</v>
      </c>
      <c r="CY30" s="96"/>
      <c r="CZ30" s="25">
        <f t="shared" si="40"/>
        <v>0</v>
      </c>
      <c r="DA30" s="61">
        <f t="shared" si="41"/>
        <v>0</v>
      </c>
      <c r="DB30" s="96"/>
      <c r="DC30" s="25">
        <f t="shared" si="42"/>
        <v>0</v>
      </c>
      <c r="DD30" s="61">
        <f t="shared" si="43"/>
        <v>0</v>
      </c>
      <c r="DE30" s="96"/>
      <c r="DF30" s="25">
        <f t="shared" si="44"/>
        <v>0</v>
      </c>
      <c r="DG30" s="61">
        <f t="shared" si="45"/>
        <v>0</v>
      </c>
      <c r="DH30" s="96"/>
      <c r="DI30" s="25">
        <f t="shared" si="46"/>
        <v>0</v>
      </c>
      <c r="DJ30" s="61">
        <f t="shared" si="47"/>
        <v>0</v>
      </c>
      <c r="DK30" s="104"/>
      <c r="DL30" s="25">
        <f t="shared" si="48"/>
        <v>0</v>
      </c>
      <c r="DM30" s="104"/>
      <c r="DN30" s="25">
        <f t="shared" si="49"/>
        <v>0</v>
      </c>
      <c r="DO30" s="105"/>
      <c r="DP30" s="25">
        <f t="shared" si="50"/>
        <v>0</v>
      </c>
      <c r="DQ30" s="105"/>
      <c r="DR30" s="25">
        <f t="shared" si="61"/>
        <v>0</v>
      </c>
      <c r="DS30" s="105"/>
      <c r="DT30" s="109"/>
      <c r="DU30" s="110"/>
    </row>
    <row r="31" spans="1:125" s="65" customFormat="1" ht="15.75" thickBot="1" x14ac:dyDescent="0.25">
      <c r="A31" s="67">
        <v>44255</v>
      </c>
      <c r="B31" s="96"/>
      <c r="C31" s="25">
        <f t="shared" si="0"/>
        <v>0</v>
      </c>
      <c r="D31" s="96"/>
      <c r="E31" s="25">
        <f t="shared" si="0"/>
        <v>0</v>
      </c>
      <c r="F31" s="61" t="e">
        <f t="shared" si="51"/>
        <v>#DIV/0!</v>
      </c>
      <c r="G31" s="95"/>
      <c r="H31" s="96"/>
      <c r="I31" s="25">
        <f t="shared" si="64"/>
        <v>0</v>
      </c>
      <c r="J31" s="97"/>
      <c r="K31" s="25">
        <f t="shared" si="65"/>
        <v>0</v>
      </c>
      <c r="L31" s="96"/>
      <c r="M31" s="25">
        <f t="shared" si="1"/>
        <v>0</v>
      </c>
      <c r="N31" s="96"/>
      <c r="O31" s="25">
        <f t="shared" si="2"/>
        <v>0</v>
      </c>
      <c r="P31" s="96"/>
      <c r="Q31" s="25">
        <f t="shared" si="3"/>
        <v>0</v>
      </c>
      <c r="R31" s="96"/>
      <c r="S31" s="96"/>
      <c r="T31" s="96"/>
      <c r="U31" s="25">
        <f t="shared" si="4"/>
        <v>0</v>
      </c>
      <c r="V31" s="96"/>
      <c r="W31" s="25">
        <f t="shared" si="66"/>
        <v>0</v>
      </c>
      <c r="X31" s="96"/>
      <c r="Y31" s="25">
        <f t="shared" si="6"/>
        <v>0</v>
      </c>
      <c r="Z31" s="100"/>
      <c r="AA31" s="68">
        <f t="shared" si="7"/>
        <v>0</v>
      </c>
      <c r="AB31" s="61"/>
      <c r="AC31" s="61"/>
      <c r="AD31" s="100"/>
      <c r="AE31" s="25">
        <f t="shared" si="8"/>
        <v>0</v>
      </c>
      <c r="AF31" s="100"/>
      <c r="AG31" s="25">
        <f t="shared" si="8"/>
        <v>0</v>
      </c>
      <c r="AH31" s="100"/>
      <c r="AI31" s="25">
        <f t="shared" si="9"/>
        <v>0</v>
      </c>
      <c r="AJ31" s="100"/>
      <c r="AK31" s="25">
        <f t="shared" si="10"/>
        <v>0</v>
      </c>
      <c r="AL31" s="100"/>
      <c r="AM31" s="25">
        <f t="shared" si="11"/>
        <v>0</v>
      </c>
      <c r="AN31" s="100"/>
      <c r="AO31" s="25">
        <f t="shared" si="12"/>
        <v>0</v>
      </c>
      <c r="AP31" s="100"/>
      <c r="AQ31" s="25">
        <f t="shared" si="13"/>
        <v>0</v>
      </c>
      <c r="AR31" s="96"/>
      <c r="AS31" s="25">
        <f t="shared" si="14"/>
        <v>0</v>
      </c>
      <c r="AT31" s="96"/>
      <c r="AU31" s="25">
        <f t="shared" si="15"/>
        <v>0</v>
      </c>
      <c r="AV31" s="96"/>
      <c r="AW31" s="25">
        <f t="shared" si="16"/>
        <v>0</v>
      </c>
      <c r="AX31" s="96"/>
      <c r="AY31" s="25">
        <f t="shared" si="17"/>
        <v>0</v>
      </c>
      <c r="AZ31" s="96"/>
      <c r="BA31" s="25">
        <f t="shared" si="18"/>
        <v>0</v>
      </c>
      <c r="BB31" s="96"/>
      <c r="BC31" s="25">
        <f t="shared" si="19"/>
        <v>0</v>
      </c>
      <c r="BD31" s="86">
        <f t="shared" si="58"/>
        <v>0</v>
      </c>
      <c r="BE31" s="86">
        <f t="shared" si="20"/>
        <v>0</v>
      </c>
      <c r="BF31" s="96"/>
      <c r="BG31" s="25">
        <f t="shared" si="60"/>
        <v>0</v>
      </c>
      <c r="BH31" s="100"/>
      <c r="BI31" s="25">
        <f t="shared" si="21"/>
        <v>0</v>
      </c>
      <c r="BJ31" s="25">
        <f t="shared" si="22"/>
        <v>0</v>
      </c>
      <c r="BK31" s="100"/>
      <c r="BL31" s="100"/>
      <c r="BM31" s="66"/>
      <c r="BN31" s="25">
        <f t="shared" si="62"/>
        <v>0</v>
      </c>
      <c r="BO31" s="103"/>
      <c r="BP31" s="25">
        <f t="shared" si="25"/>
        <v>0</v>
      </c>
      <c r="BQ31" s="61">
        <f t="shared" si="52"/>
        <v>0</v>
      </c>
      <c r="BR31" s="103"/>
      <c r="BS31" s="69">
        <f t="shared" si="53"/>
        <v>0</v>
      </c>
      <c r="BT31" s="103"/>
      <c r="BU31" s="69">
        <f t="shared" si="26"/>
        <v>0</v>
      </c>
      <c r="BV31" s="103"/>
      <c r="BW31" s="69">
        <f t="shared" si="27"/>
        <v>0</v>
      </c>
      <c r="BX31" s="69">
        <f t="shared" si="54"/>
        <v>0</v>
      </c>
      <c r="BY31" s="25" t="str">
        <f t="shared" si="63"/>
        <v>0</v>
      </c>
      <c r="BZ31" s="100"/>
      <c r="CA31" s="96"/>
      <c r="CB31" s="25">
        <f t="shared" si="28"/>
        <v>0</v>
      </c>
      <c r="CC31" s="61">
        <f t="shared" si="59"/>
        <v>0</v>
      </c>
      <c r="CD31" s="96"/>
      <c r="CE31" s="25">
        <f t="shared" si="29"/>
        <v>0</v>
      </c>
      <c r="CF31" s="61">
        <f t="shared" si="55"/>
        <v>0</v>
      </c>
      <c r="CG31" s="96"/>
      <c r="CH31" s="25">
        <f t="shared" si="30"/>
        <v>0</v>
      </c>
      <c r="CI31" s="61">
        <f t="shared" si="56"/>
        <v>0</v>
      </c>
      <c r="CJ31" s="100"/>
      <c r="CK31" s="25">
        <f t="shared" si="31"/>
        <v>0</v>
      </c>
      <c r="CL31" s="61">
        <f t="shared" si="57"/>
        <v>0</v>
      </c>
      <c r="CM31" s="96"/>
      <c r="CN31" s="25">
        <f t="shared" si="32"/>
        <v>0</v>
      </c>
      <c r="CO31" s="61">
        <f t="shared" si="33"/>
        <v>0</v>
      </c>
      <c r="CP31" s="96"/>
      <c r="CQ31" s="25">
        <f t="shared" si="34"/>
        <v>0</v>
      </c>
      <c r="CR31" s="61">
        <f t="shared" si="35"/>
        <v>0</v>
      </c>
      <c r="CS31" s="96"/>
      <c r="CT31" s="25">
        <f t="shared" si="36"/>
        <v>0</v>
      </c>
      <c r="CU31" s="61">
        <f t="shared" si="37"/>
        <v>0</v>
      </c>
      <c r="CV31" s="96"/>
      <c r="CW31" s="25">
        <f t="shared" si="38"/>
        <v>0</v>
      </c>
      <c r="CX31" s="61">
        <f t="shared" si="39"/>
        <v>0</v>
      </c>
      <c r="CY31" s="96"/>
      <c r="CZ31" s="25">
        <f t="shared" si="40"/>
        <v>0</v>
      </c>
      <c r="DA31" s="61">
        <f t="shared" si="41"/>
        <v>0</v>
      </c>
      <c r="DB31" s="96"/>
      <c r="DC31" s="25">
        <f t="shared" si="42"/>
        <v>0</v>
      </c>
      <c r="DD31" s="61">
        <f t="shared" si="43"/>
        <v>0</v>
      </c>
      <c r="DE31" s="96"/>
      <c r="DF31" s="25">
        <f t="shared" si="44"/>
        <v>0</v>
      </c>
      <c r="DG31" s="61">
        <f t="shared" si="45"/>
        <v>0</v>
      </c>
      <c r="DH31" s="96"/>
      <c r="DI31" s="25">
        <f t="shared" si="46"/>
        <v>0</v>
      </c>
      <c r="DJ31" s="61">
        <f t="shared" si="47"/>
        <v>0</v>
      </c>
      <c r="DK31" s="104"/>
      <c r="DL31" s="25">
        <f t="shared" si="48"/>
        <v>0</v>
      </c>
      <c r="DM31" s="104"/>
      <c r="DN31" s="25">
        <f t="shared" si="49"/>
        <v>0</v>
      </c>
      <c r="DO31" s="105"/>
      <c r="DP31" s="25">
        <f t="shared" si="50"/>
        <v>0</v>
      </c>
      <c r="DQ31" s="105"/>
      <c r="DR31" s="25">
        <f t="shared" si="61"/>
        <v>0</v>
      </c>
      <c r="DS31" s="105"/>
      <c r="DT31" s="109"/>
      <c r="DU31" s="110"/>
    </row>
    <row r="32" spans="1:125" s="65" customFormat="1" ht="15.75" thickBot="1" x14ac:dyDescent="0.25">
      <c r="A32" s="67"/>
      <c r="B32" s="96"/>
      <c r="C32" s="25">
        <f t="shared" si="0"/>
        <v>0</v>
      </c>
      <c r="D32" s="96"/>
      <c r="E32" s="25">
        <f t="shared" si="0"/>
        <v>0</v>
      </c>
      <c r="F32" s="61" t="e">
        <f t="shared" si="51"/>
        <v>#DIV/0!</v>
      </c>
      <c r="G32" s="95"/>
      <c r="H32" s="96"/>
      <c r="I32" s="25">
        <f>IF((H32-H31)&lt;0,"0",(H32-H31))</f>
        <v>0</v>
      </c>
      <c r="J32" s="97"/>
      <c r="K32" s="25">
        <f t="shared" si="65"/>
        <v>0</v>
      </c>
      <c r="L32" s="96"/>
      <c r="M32" s="25">
        <f t="shared" si="1"/>
        <v>0</v>
      </c>
      <c r="N32" s="99"/>
      <c r="O32" s="25">
        <f t="shared" si="2"/>
        <v>0</v>
      </c>
      <c r="P32" s="97"/>
      <c r="Q32" s="25">
        <f>IF((P32-P31)&lt;0,"0",(P32-P31))</f>
        <v>0</v>
      </c>
      <c r="R32" s="96"/>
      <c r="S32" s="96"/>
      <c r="T32" s="96"/>
      <c r="U32" s="25">
        <f>IF((T32-T31)&lt;0,"0",(T32-T31))</f>
        <v>0</v>
      </c>
      <c r="V32" s="96"/>
      <c r="W32" s="25">
        <f t="shared" si="66"/>
        <v>0</v>
      </c>
      <c r="X32" s="96"/>
      <c r="Y32" s="25">
        <f>IF((X32-X31)&lt;0,"0",(X32-X31))</f>
        <v>0</v>
      </c>
      <c r="Z32" s="100"/>
      <c r="AA32" s="68">
        <f t="shared" si="7"/>
        <v>0</v>
      </c>
      <c r="AB32" s="61"/>
      <c r="AC32" s="61"/>
      <c r="AD32" s="100"/>
      <c r="AE32" s="25">
        <f>IF((AD32-AD31)&lt;0,"0",(AD32-AD31))</f>
        <v>0</v>
      </c>
      <c r="AF32" s="100"/>
      <c r="AG32" s="25">
        <f t="shared" si="8"/>
        <v>0</v>
      </c>
      <c r="AH32" s="100"/>
      <c r="AI32" s="25">
        <f t="shared" si="9"/>
        <v>0</v>
      </c>
      <c r="AJ32" s="100"/>
      <c r="AK32" s="25">
        <f t="shared" si="10"/>
        <v>0</v>
      </c>
      <c r="AL32" s="100"/>
      <c r="AM32" s="25">
        <f t="shared" si="11"/>
        <v>0</v>
      </c>
      <c r="AN32" s="100"/>
      <c r="AO32" s="25">
        <f t="shared" si="12"/>
        <v>0</v>
      </c>
      <c r="AP32" s="100"/>
      <c r="AQ32" s="25">
        <f t="shared" si="13"/>
        <v>0</v>
      </c>
      <c r="AR32" s="96"/>
      <c r="AS32" s="25">
        <f t="shared" si="14"/>
        <v>0</v>
      </c>
      <c r="AT32" s="96"/>
      <c r="AU32" s="25">
        <f t="shared" si="15"/>
        <v>0</v>
      </c>
      <c r="AV32" s="96"/>
      <c r="AW32" s="25">
        <f t="shared" si="16"/>
        <v>0</v>
      </c>
      <c r="AX32" s="96"/>
      <c r="AY32" s="25">
        <f t="shared" si="17"/>
        <v>0</v>
      </c>
      <c r="AZ32" s="96"/>
      <c r="BA32" s="25">
        <f t="shared" si="18"/>
        <v>0</v>
      </c>
      <c r="BB32" s="96"/>
      <c r="BC32" s="25">
        <f t="shared" si="19"/>
        <v>0</v>
      </c>
      <c r="BD32" s="86">
        <f t="shared" si="58"/>
        <v>0</v>
      </c>
      <c r="BE32" s="86">
        <f t="shared" si="20"/>
        <v>0</v>
      </c>
      <c r="BF32" s="96"/>
      <c r="BG32" s="25">
        <f t="shared" si="60"/>
        <v>0</v>
      </c>
      <c r="BH32" s="100"/>
      <c r="BI32" s="25">
        <f t="shared" si="21"/>
        <v>0</v>
      </c>
      <c r="BJ32" s="25">
        <f t="shared" si="22"/>
        <v>0</v>
      </c>
      <c r="BK32" s="100"/>
      <c r="BL32" s="100"/>
      <c r="BM32" s="66"/>
      <c r="BN32" s="25">
        <f t="shared" si="62"/>
        <v>0</v>
      </c>
      <c r="BO32" s="103"/>
      <c r="BP32" s="25">
        <f t="shared" si="25"/>
        <v>0</v>
      </c>
      <c r="BQ32" s="61">
        <f t="shared" si="52"/>
        <v>0</v>
      </c>
      <c r="BR32" s="103"/>
      <c r="BS32" s="69">
        <f t="shared" si="53"/>
        <v>0</v>
      </c>
      <c r="BT32" s="103"/>
      <c r="BU32" s="69">
        <f t="shared" si="26"/>
        <v>0</v>
      </c>
      <c r="BV32" s="103"/>
      <c r="BW32" s="69">
        <f t="shared" si="27"/>
        <v>0</v>
      </c>
      <c r="BX32" s="69">
        <f t="shared" si="54"/>
        <v>0</v>
      </c>
      <c r="BY32" s="25" t="str">
        <f t="shared" si="63"/>
        <v>0</v>
      </c>
      <c r="BZ32" s="100"/>
      <c r="CA32" s="96"/>
      <c r="CB32" s="25">
        <f t="shared" si="28"/>
        <v>0</v>
      </c>
      <c r="CC32" s="61">
        <f t="shared" si="59"/>
        <v>0</v>
      </c>
      <c r="CD32" s="96"/>
      <c r="CE32" s="25">
        <f t="shared" si="29"/>
        <v>0</v>
      </c>
      <c r="CF32" s="61">
        <f t="shared" si="55"/>
        <v>0</v>
      </c>
      <c r="CG32" s="96"/>
      <c r="CH32" s="25">
        <f t="shared" si="30"/>
        <v>0</v>
      </c>
      <c r="CI32" s="61">
        <f t="shared" si="56"/>
        <v>0</v>
      </c>
      <c r="CJ32" s="100"/>
      <c r="CK32" s="25">
        <f t="shared" si="31"/>
        <v>0</v>
      </c>
      <c r="CL32" s="61">
        <f>CK32*6.25</f>
        <v>0</v>
      </c>
      <c r="CM32" s="96"/>
      <c r="CN32" s="25">
        <f t="shared" si="32"/>
        <v>0</v>
      </c>
      <c r="CO32" s="61">
        <f>CN32*6.25</f>
        <v>0</v>
      </c>
      <c r="CP32" s="96"/>
      <c r="CQ32" s="25">
        <f t="shared" si="34"/>
        <v>0</v>
      </c>
      <c r="CR32" s="61">
        <f t="shared" si="35"/>
        <v>0</v>
      </c>
      <c r="CS32" s="96"/>
      <c r="CT32" s="25">
        <f t="shared" si="36"/>
        <v>0</v>
      </c>
      <c r="CU32" s="61">
        <f t="shared" si="37"/>
        <v>0</v>
      </c>
      <c r="CV32" s="96"/>
      <c r="CW32" s="25">
        <f t="shared" si="38"/>
        <v>0</v>
      </c>
      <c r="CX32" s="61">
        <f t="shared" si="39"/>
        <v>0</v>
      </c>
      <c r="CY32" s="96"/>
      <c r="CZ32" s="25">
        <f t="shared" si="40"/>
        <v>0</v>
      </c>
      <c r="DA32" s="61">
        <f t="shared" si="41"/>
        <v>0</v>
      </c>
      <c r="DB32" s="96"/>
      <c r="DC32" s="25">
        <f t="shared" si="42"/>
        <v>0</v>
      </c>
      <c r="DD32" s="61">
        <f t="shared" si="43"/>
        <v>0</v>
      </c>
      <c r="DE32" s="96"/>
      <c r="DF32" s="25">
        <f t="shared" si="44"/>
        <v>0</v>
      </c>
      <c r="DG32" s="61">
        <f t="shared" si="45"/>
        <v>0</v>
      </c>
      <c r="DH32" s="96"/>
      <c r="DI32" s="25">
        <f t="shared" si="46"/>
        <v>0</v>
      </c>
      <c r="DJ32" s="61">
        <f t="shared" si="47"/>
        <v>0</v>
      </c>
      <c r="DK32" s="104"/>
      <c r="DL32" s="25">
        <f t="shared" si="48"/>
        <v>0</v>
      </c>
      <c r="DM32" s="104"/>
      <c r="DN32" s="25">
        <f t="shared" si="49"/>
        <v>0</v>
      </c>
      <c r="DO32" s="105"/>
      <c r="DP32" s="25">
        <f t="shared" si="50"/>
        <v>0</v>
      </c>
      <c r="DQ32" s="105"/>
      <c r="DR32" s="25">
        <f t="shared" si="61"/>
        <v>0</v>
      </c>
      <c r="DS32" s="105"/>
      <c r="DT32" s="109"/>
      <c r="DU32" s="110"/>
    </row>
    <row r="33" spans="1:125" s="65" customFormat="1" ht="15.75" thickBot="1" x14ac:dyDescent="0.25">
      <c r="A33" s="67"/>
      <c r="B33" s="96"/>
      <c r="C33" s="25">
        <f t="shared" si="0"/>
        <v>0</v>
      </c>
      <c r="D33" s="96"/>
      <c r="E33" s="25">
        <f>IF((D33-D32)&lt;0,"0",(D33-D32))</f>
        <v>0</v>
      </c>
      <c r="F33" s="61" t="e">
        <f t="shared" si="51"/>
        <v>#DIV/0!</v>
      </c>
      <c r="G33" s="95"/>
      <c r="H33" s="96"/>
      <c r="I33" s="25">
        <f>IF((H33-H32)&lt;0,"0",(H33-H32))</f>
        <v>0</v>
      </c>
      <c r="J33" s="97"/>
      <c r="K33" s="25">
        <f t="shared" si="65"/>
        <v>0</v>
      </c>
      <c r="L33" s="96"/>
      <c r="M33" s="25">
        <f t="shared" si="1"/>
        <v>0</v>
      </c>
      <c r="N33" s="99"/>
      <c r="O33" s="25">
        <f t="shared" si="2"/>
        <v>0</v>
      </c>
      <c r="P33" s="97"/>
      <c r="Q33" s="25">
        <f>IF((P33-P32)&lt;0,"0",(P33-P32))</f>
        <v>0</v>
      </c>
      <c r="R33" s="96"/>
      <c r="S33" s="96"/>
      <c r="T33" s="96"/>
      <c r="U33" s="25">
        <f>IF((T33-T32)&lt;0,"0",(T33-T32))</f>
        <v>0</v>
      </c>
      <c r="V33" s="96"/>
      <c r="W33" s="25">
        <f t="shared" si="66"/>
        <v>0</v>
      </c>
      <c r="X33" s="96"/>
      <c r="Y33" s="25">
        <f>IF((X33-X32)&lt;0,"0",(X33-X32))</f>
        <v>0</v>
      </c>
      <c r="Z33" s="100"/>
      <c r="AA33" s="68">
        <f t="shared" si="7"/>
        <v>0</v>
      </c>
      <c r="AB33" s="61"/>
      <c r="AC33" s="61"/>
      <c r="AD33" s="100"/>
      <c r="AE33" s="25">
        <f>IF((AD33-AD32)&lt;0,"0",(AD33-AD32))</f>
        <v>0</v>
      </c>
      <c r="AF33" s="100"/>
      <c r="AG33" s="25">
        <f>IF((AF33-AF32)&lt;0,"0",(AF33-AF32))</f>
        <v>0</v>
      </c>
      <c r="AH33" s="100"/>
      <c r="AI33" s="25">
        <f t="shared" si="9"/>
        <v>0</v>
      </c>
      <c r="AJ33" s="100"/>
      <c r="AK33" s="25">
        <f t="shared" si="10"/>
        <v>0</v>
      </c>
      <c r="AL33" s="100"/>
      <c r="AM33" s="25">
        <f t="shared" si="11"/>
        <v>0</v>
      </c>
      <c r="AN33" s="100"/>
      <c r="AO33" s="25">
        <f t="shared" si="12"/>
        <v>0</v>
      </c>
      <c r="AP33" s="100"/>
      <c r="AQ33" s="25">
        <f t="shared" si="13"/>
        <v>0</v>
      </c>
      <c r="AR33" s="96"/>
      <c r="AS33" s="25">
        <f t="shared" si="14"/>
        <v>0</v>
      </c>
      <c r="AT33" s="96"/>
      <c r="AU33" s="25">
        <f t="shared" si="15"/>
        <v>0</v>
      </c>
      <c r="AV33" s="96"/>
      <c r="AW33" s="25">
        <f t="shared" si="16"/>
        <v>0</v>
      </c>
      <c r="AX33" s="96"/>
      <c r="AY33" s="25">
        <f t="shared" si="17"/>
        <v>0</v>
      </c>
      <c r="AZ33" s="96"/>
      <c r="BA33" s="25">
        <f t="shared" si="18"/>
        <v>0</v>
      </c>
      <c r="BB33" s="96"/>
      <c r="BC33" s="25">
        <f t="shared" si="19"/>
        <v>0</v>
      </c>
      <c r="BD33" s="86">
        <f t="shared" si="58"/>
        <v>0</v>
      </c>
      <c r="BE33" s="86">
        <f t="shared" si="20"/>
        <v>0</v>
      </c>
      <c r="BF33" s="96"/>
      <c r="BG33" s="25">
        <f t="shared" si="60"/>
        <v>0</v>
      </c>
      <c r="BH33" s="100"/>
      <c r="BI33" s="25">
        <f t="shared" si="21"/>
        <v>0</v>
      </c>
      <c r="BJ33" s="25">
        <f t="shared" si="22"/>
        <v>0</v>
      </c>
      <c r="BK33" s="100"/>
      <c r="BL33" s="100"/>
      <c r="BM33" s="66"/>
      <c r="BN33" s="25">
        <f t="shared" si="62"/>
        <v>0</v>
      </c>
      <c r="BO33" s="103"/>
      <c r="BP33" s="25">
        <f t="shared" si="25"/>
        <v>0</v>
      </c>
      <c r="BQ33" s="61">
        <f t="shared" si="52"/>
        <v>0</v>
      </c>
      <c r="BR33" s="103"/>
      <c r="BS33" s="69">
        <f t="shared" si="53"/>
        <v>0</v>
      </c>
      <c r="BT33" s="103"/>
      <c r="BU33" s="69">
        <f t="shared" si="26"/>
        <v>0</v>
      </c>
      <c r="BV33" s="103"/>
      <c r="BW33" s="69">
        <f t="shared" si="27"/>
        <v>0</v>
      </c>
      <c r="BX33" s="69">
        <f t="shared" si="54"/>
        <v>0</v>
      </c>
      <c r="BY33" s="25" t="str">
        <f t="shared" si="63"/>
        <v>0</v>
      </c>
      <c r="BZ33" s="100"/>
      <c r="CA33" s="96"/>
      <c r="CB33" s="25">
        <f t="shared" si="28"/>
        <v>0</v>
      </c>
      <c r="CC33" s="61">
        <f t="shared" si="59"/>
        <v>0</v>
      </c>
      <c r="CD33" s="96"/>
      <c r="CE33" s="25">
        <f t="shared" si="29"/>
        <v>0</v>
      </c>
      <c r="CF33" s="61">
        <f t="shared" si="55"/>
        <v>0</v>
      </c>
      <c r="CG33" s="96"/>
      <c r="CH33" s="25">
        <f t="shared" si="30"/>
        <v>0</v>
      </c>
      <c r="CI33" s="61">
        <f t="shared" si="56"/>
        <v>0</v>
      </c>
      <c r="CJ33" s="100"/>
      <c r="CK33" s="25">
        <f t="shared" si="31"/>
        <v>0</v>
      </c>
      <c r="CL33" s="61">
        <f>CK33*6.25</f>
        <v>0</v>
      </c>
      <c r="CM33" s="96"/>
      <c r="CN33" s="25">
        <f t="shared" si="32"/>
        <v>0</v>
      </c>
      <c r="CO33" s="61">
        <f>CN33*6.25</f>
        <v>0</v>
      </c>
      <c r="CP33" s="96"/>
      <c r="CQ33" s="25">
        <f t="shared" si="34"/>
        <v>0</v>
      </c>
      <c r="CR33" s="61">
        <f t="shared" si="35"/>
        <v>0</v>
      </c>
      <c r="CS33" s="96"/>
      <c r="CT33" s="25">
        <f t="shared" si="36"/>
        <v>0</v>
      </c>
      <c r="CU33" s="61">
        <f t="shared" si="37"/>
        <v>0</v>
      </c>
      <c r="CV33" s="96"/>
      <c r="CW33" s="25">
        <f t="shared" si="38"/>
        <v>0</v>
      </c>
      <c r="CX33" s="61">
        <f t="shared" si="39"/>
        <v>0</v>
      </c>
      <c r="CY33" s="96"/>
      <c r="CZ33" s="25">
        <f t="shared" si="40"/>
        <v>0</v>
      </c>
      <c r="DA33" s="61">
        <f t="shared" si="41"/>
        <v>0</v>
      </c>
      <c r="DB33" s="96"/>
      <c r="DC33" s="25">
        <f t="shared" si="42"/>
        <v>0</v>
      </c>
      <c r="DD33" s="61">
        <f t="shared" si="43"/>
        <v>0</v>
      </c>
      <c r="DE33" s="96"/>
      <c r="DF33" s="25">
        <f t="shared" si="44"/>
        <v>0</v>
      </c>
      <c r="DG33" s="61">
        <f t="shared" si="45"/>
        <v>0</v>
      </c>
      <c r="DH33" s="96"/>
      <c r="DI33" s="25">
        <f t="shared" si="46"/>
        <v>0</v>
      </c>
      <c r="DJ33" s="61">
        <f t="shared" si="47"/>
        <v>0</v>
      </c>
      <c r="DK33" s="104"/>
      <c r="DL33" s="25">
        <f t="shared" si="48"/>
        <v>0</v>
      </c>
      <c r="DM33" s="104"/>
      <c r="DN33" s="25">
        <f t="shared" si="49"/>
        <v>0</v>
      </c>
      <c r="DO33" s="105"/>
      <c r="DP33" s="25">
        <f t="shared" si="50"/>
        <v>0</v>
      </c>
      <c r="DQ33" s="105"/>
      <c r="DR33" s="25">
        <f t="shared" si="61"/>
        <v>0</v>
      </c>
      <c r="DS33" s="105"/>
      <c r="DT33" s="109"/>
      <c r="DU33" s="110"/>
    </row>
    <row r="34" spans="1:125" s="65" customFormat="1" ht="15.75" thickBot="1" x14ac:dyDescent="0.25">
      <c r="A34" s="67"/>
      <c r="B34" s="96"/>
      <c r="C34" s="25">
        <f t="shared" si="0"/>
        <v>0</v>
      </c>
      <c r="D34" s="96"/>
      <c r="E34" s="25">
        <f t="shared" si="0"/>
        <v>0</v>
      </c>
      <c r="F34" s="61" t="e">
        <f t="shared" si="51"/>
        <v>#DIV/0!</v>
      </c>
      <c r="G34" s="95"/>
      <c r="H34" s="96"/>
      <c r="I34" s="25">
        <f>IF((H34-H33)&lt;0,"0",(H34-H33))</f>
        <v>0</v>
      </c>
      <c r="J34" s="97"/>
      <c r="K34" s="25">
        <f t="shared" si="65"/>
        <v>0</v>
      </c>
      <c r="L34" s="96"/>
      <c r="M34" s="25">
        <f t="shared" si="1"/>
        <v>0</v>
      </c>
      <c r="N34" s="99"/>
      <c r="O34" s="25">
        <f t="shared" si="2"/>
        <v>0</v>
      </c>
      <c r="P34" s="97"/>
      <c r="Q34" s="25">
        <f>IF((P34-P33)&lt;0,"0",(P34-P33))</f>
        <v>0</v>
      </c>
      <c r="R34" s="96"/>
      <c r="S34" s="96">
        <v>8</v>
      </c>
      <c r="T34" s="96"/>
      <c r="U34" s="25">
        <f>IF((T34-T33)&lt;0,"0",(T34-T33))</f>
        <v>0</v>
      </c>
      <c r="V34" s="96"/>
      <c r="W34" s="25">
        <f t="shared" ref="W34" si="67">IF((V34-V33)&lt;0,"0",(V34-V33))</f>
        <v>0</v>
      </c>
      <c r="X34" s="96"/>
      <c r="Y34" s="25">
        <f>IF((X34-X33)&lt;0,"0",(X34-X33))</f>
        <v>0</v>
      </c>
      <c r="Z34" s="100"/>
      <c r="AA34" s="68">
        <f t="shared" ref="AA34" si="68">IF((Z34-Z33)&lt;0,"0",(Z34-Z33))</f>
        <v>0</v>
      </c>
      <c r="AB34" s="61"/>
      <c r="AC34" s="61"/>
      <c r="AD34" s="100"/>
      <c r="AE34" s="25">
        <f>IF((AD34-AD33)&lt;0,"0",(AD34-AD33))</f>
        <v>0</v>
      </c>
      <c r="AF34" s="100"/>
      <c r="AG34" s="25">
        <f>IF((AF34-AF33)&lt;0,"0",(AF34-AF33))</f>
        <v>0</v>
      </c>
      <c r="AH34" s="100"/>
      <c r="AI34" s="25">
        <f t="shared" ref="AI34" si="69">IF((AH34-AH33)&lt;0,"0",(AH34-AH33))</f>
        <v>0</v>
      </c>
      <c r="AJ34" s="100"/>
      <c r="AK34" s="25">
        <f t="shared" ref="AK34" si="70">IF((AJ34-AJ33)&lt;0,"0",(AJ34-AJ33))</f>
        <v>0</v>
      </c>
      <c r="AL34" s="100"/>
      <c r="AM34" s="25">
        <f t="shared" ref="AM34" si="71">IF((AL34-AL33)&lt;0,"0",(AL34-AL33))</f>
        <v>0</v>
      </c>
      <c r="AN34" s="70"/>
      <c r="AO34" s="25">
        <f t="shared" ref="AO34" si="72">IF((AN34-AN33)&lt;0,"0",(AN34-AN33))</f>
        <v>0</v>
      </c>
      <c r="AP34" s="100"/>
      <c r="AQ34" s="25">
        <f t="shared" ref="AQ34" si="73">IF((AP34-AP33)&lt;0,"0",(AP34-AP33))</f>
        <v>0</v>
      </c>
      <c r="AR34" s="96"/>
      <c r="AS34" s="25">
        <f t="shared" ref="AS34" si="74">IF((AR34-AR33)&lt;0,"0",(AR34-AR33))</f>
        <v>0</v>
      </c>
      <c r="AT34" s="96"/>
      <c r="AU34" s="25">
        <f t="shared" ref="AU34" si="75">IF((AT34-AT33)&lt;0,"0",(AT34-AT33))</f>
        <v>0</v>
      </c>
      <c r="AV34" s="96"/>
      <c r="AW34" s="25">
        <f t="shared" ref="AW34" si="76">IF((AV34-AV33)&lt;0,"0",(AV34-AV33))</f>
        <v>0</v>
      </c>
      <c r="AX34" s="96"/>
      <c r="AY34" s="25">
        <f t="shared" ref="AY34" si="77">IF((AX34-AX33)&lt;0,"0",(AX34-AX33))</f>
        <v>0</v>
      </c>
      <c r="AZ34" s="96"/>
      <c r="BA34" s="25">
        <f t="shared" ref="BA34" si="78">IF((AZ34-AZ33)&lt;0,"0",(AZ34-AZ33))</f>
        <v>0</v>
      </c>
      <c r="BB34" s="96"/>
      <c r="BC34" s="25">
        <f t="shared" ref="BC34" si="79">IF((BB34-BB33)&lt;0,"0",(BB34-BB33))</f>
        <v>0</v>
      </c>
      <c r="BD34" s="86">
        <f t="shared" ref="BD34" si="80">AS34+AQ34+AM34</f>
        <v>0</v>
      </c>
      <c r="BE34" s="86">
        <f t="shared" ref="BE34" si="81">AE34-BD34</f>
        <v>0</v>
      </c>
      <c r="BF34" s="96"/>
      <c r="BG34" s="25">
        <f t="shared" ref="BG34" si="82">IF((BF34-BF33)&lt;0,"0",(BF34-BF33))</f>
        <v>0</v>
      </c>
      <c r="BH34" s="100"/>
      <c r="BI34" s="25">
        <f t="shared" ref="BI34" si="83">IF((BH34-BH33)&lt;0,"0",(BH34-BH33))</f>
        <v>0</v>
      </c>
      <c r="BJ34" s="25">
        <f t="shared" ref="BJ34" si="84">IF((BI34-AE34)&lt;0,"0",(BI34-AE34))</f>
        <v>0</v>
      </c>
      <c r="BK34" s="100"/>
      <c r="BL34" s="100"/>
      <c r="BM34" s="66"/>
      <c r="BN34" s="25">
        <f t="shared" ref="BN34" si="85">IF((BL33-BL34)&lt;0,"0",(BL33-BL34))</f>
        <v>0</v>
      </c>
      <c r="BO34" s="103"/>
      <c r="BP34" s="25">
        <f t="shared" ref="BP34" si="86">IF((BO34-BO33)&lt;0,"0",(BO34-BO33))</f>
        <v>0</v>
      </c>
      <c r="BQ34" s="61">
        <f t="shared" ref="BQ34" si="87">BP34*6.25</f>
        <v>0</v>
      </c>
      <c r="BR34" s="103"/>
      <c r="BS34" s="69">
        <f t="shared" ref="BS34" si="88">(BR34*10775)/100</f>
        <v>0</v>
      </c>
      <c r="BT34" s="103"/>
      <c r="BU34" s="69">
        <f t="shared" ref="BU34" si="89">(BT34*10775)/100</f>
        <v>0</v>
      </c>
      <c r="BV34" s="103"/>
      <c r="BW34" s="69">
        <f t="shared" ref="BW34" si="90">(BV34*10775)/100</f>
        <v>0</v>
      </c>
      <c r="BX34" s="69">
        <f t="shared" ref="BX34" si="91">BS34+BU34+BW34</f>
        <v>0</v>
      </c>
      <c r="BY34" s="25" t="str">
        <f t="shared" ref="BY34" si="92">IF((BX33-BX34+BZ33)=BX33,"0",(BX33-BX34+BZ33))</f>
        <v>0</v>
      </c>
      <c r="BZ34" s="100"/>
      <c r="CA34" s="96"/>
      <c r="CB34" s="25">
        <f t="shared" ref="CB34" si="93">IF((CA34-CA33)&lt;0,"0",(CA34-CA33))</f>
        <v>0</v>
      </c>
      <c r="CC34" s="61">
        <f t="shared" ref="CC34" si="94">CB34*6.25</f>
        <v>0</v>
      </c>
      <c r="CD34" s="96"/>
      <c r="CE34" s="25">
        <f t="shared" ref="CE34" si="95">IF((CD34-CD33)&lt;0,"0",(CD34-CD33))</f>
        <v>0</v>
      </c>
      <c r="CF34" s="61">
        <f t="shared" ref="CF34" si="96">CE34*6.25</f>
        <v>0</v>
      </c>
      <c r="CG34" s="96"/>
      <c r="CH34" s="25">
        <f t="shared" ref="CH34" si="97">IF((CG34-CG33)&lt;0,"0",(CG34-CG33))</f>
        <v>0</v>
      </c>
      <c r="CI34" s="61">
        <f t="shared" ref="CI34" si="98">CH34*6.25</f>
        <v>0</v>
      </c>
      <c r="CJ34" s="100"/>
      <c r="CK34" s="25">
        <f t="shared" ref="CK34" si="99">IF((CJ34-CJ33)&lt;0,"0",(CJ34-CJ33))</f>
        <v>0</v>
      </c>
      <c r="CL34" s="61">
        <f>CK34*6.25</f>
        <v>0</v>
      </c>
      <c r="CM34" s="96"/>
      <c r="CN34" s="25">
        <f t="shared" ref="CN34" si="100">IF((CM34-CM33)&lt;0,"0",(CM34-CM33))</f>
        <v>0</v>
      </c>
      <c r="CO34" s="61">
        <f>CN34*6.25</f>
        <v>0</v>
      </c>
      <c r="CP34" s="96"/>
      <c r="CQ34" s="25">
        <f t="shared" ref="CQ34" si="101">IF((CP34-CP33)&lt;0,"0",(CP34-CP33))</f>
        <v>0</v>
      </c>
      <c r="CR34" s="61">
        <f t="shared" ref="CR34" si="102">CQ34*6.25</f>
        <v>0</v>
      </c>
      <c r="CS34" s="96"/>
      <c r="CT34" s="25">
        <f t="shared" ref="CT34" si="103">IF((CS34-CS33)&lt;0,"0",(CS34-CS33))</f>
        <v>0</v>
      </c>
      <c r="CU34" s="61">
        <f t="shared" ref="CU34" si="104">CT34*6.25</f>
        <v>0</v>
      </c>
      <c r="CV34" s="96"/>
      <c r="CW34" s="25">
        <f t="shared" ref="CW34" si="105">IF((CV34-CV33)&lt;0,"0",(CV34-CV33))</f>
        <v>0</v>
      </c>
      <c r="CX34" s="61">
        <f t="shared" ref="CX34" si="106">CW34*6.25</f>
        <v>0</v>
      </c>
      <c r="CY34" s="96"/>
      <c r="CZ34" s="25">
        <f t="shared" ref="CZ34" si="107">IF((CY34-CY33)&lt;0,"0",(CY34-CY33))</f>
        <v>0</v>
      </c>
      <c r="DA34" s="61">
        <f t="shared" ref="DA34" si="108">CZ34*6.25</f>
        <v>0</v>
      </c>
      <c r="DB34" s="96"/>
      <c r="DC34" s="25">
        <f t="shared" ref="DC34" si="109">IF((DB34-DB33)&lt;0,"0",(DB34-DB33))</f>
        <v>0</v>
      </c>
      <c r="DD34" s="61">
        <f t="shared" ref="DD34" si="110">DC34*6.25</f>
        <v>0</v>
      </c>
      <c r="DE34" s="96"/>
      <c r="DF34" s="25">
        <f t="shared" ref="DF34" si="111">IF((DE34-DE33)&lt;0,"0",(DE34-DE33))</f>
        <v>0</v>
      </c>
      <c r="DG34" s="61">
        <f t="shared" ref="DG34" si="112">DF34*6.25</f>
        <v>0</v>
      </c>
      <c r="DH34" s="96"/>
      <c r="DI34" s="25">
        <f t="shared" ref="DI34" si="113">IF((DH34-DH33)&lt;0,"0",(DH34-DH33))</f>
        <v>0</v>
      </c>
      <c r="DJ34" s="61">
        <f t="shared" ref="DJ34" si="114">DI34*6.25</f>
        <v>0</v>
      </c>
      <c r="DK34" s="104"/>
      <c r="DL34" s="25">
        <f t="shared" ref="DL34" si="115">IF((DK34-DK33)&lt;0,"0",(DK34-DK33))</f>
        <v>0</v>
      </c>
      <c r="DM34" s="104"/>
      <c r="DN34" s="25">
        <f t="shared" ref="DN34" si="116">IF((DM34-DM33)&lt;0,"0",(DM34-DM33))</f>
        <v>0</v>
      </c>
      <c r="DO34" s="105"/>
      <c r="DP34" s="25">
        <f t="shared" ref="DP34" si="117">IF((DO34-DO33)&lt;0,"0",(DO34-DO33))</f>
        <v>0</v>
      </c>
      <c r="DQ34" s="105"/>
      <c r="DR34" s="25">
        <f t="shared" ref="DR34" si="118">IF((DQ34-DQ33)&lt;0,"0",(DQ34-DQ33))</f>
        <v>0</v>
      </c>
      <c r="DS34" s="105"/>
      <c r="DT34" s="105"/>
      <c r="DU34" s="110"/>
    </row>
    <row r="35" spans="1:125" ht="15.75" thickBot="1" x14ac:dyDescent="0.3">
      <c r="C35" s="27">
        <f>SUM(C4:C34)</f>
        <v>309844</v>
      </c>
      <c r="E35" s="27">
        <f>SUM(E4:E34)</f>
        <v>299908</v>
      </c>
      <c r="I35" s="31">
        <f>SUM(I4:I34)</f>
        <v>0</v>
      </c>
      <c r="K35" s="31">
        <f>SUM(K4:K34)</f>
        <v>0</v>
      </c>
      <c r="M35" s="27">
        <f>SUM(M4:M34)</f>
        <v>11184</v>
      </c>
      <c r="N35" s="51"/>
      <c r="O35" s="31">
        <f>SUM(O4:O34)</f>
        <v>7035</v>
      </c>
      <c r="Q35" s="31">
        <f>SUM(Q4:Q34)</f>
        <v>1454</v>
      </c>
      <c r="R35" s="31">
        <f>SUM(R4:R34)</f>
        <v>866</v>
      </c>
      <c r="S35" s="31">
        <f>SUM(S4:S34)</f>
        <v>65</v>
      </c>
      <c r="U35" s="31">
        <f>SUM(U4:U34)</f>
        <v>1583</v>
      </c>
      <c r="W35" s="27">
        <f>SUM(W4:W34)</f>
        <v>1004</v>
      </c>
      <c r="Y35" s="31">
        <f>SUM(Y4:Y34)</f>
        <v>2</v>
      </c>
      <c r="AE35" s="31">
        <f>SUM(AE4:AE34)</f>
        <v>1610</v>
      </c>
      <c r="AG35" s="31">
        <f>SUM(AG4:AG34)</f>
        <v>173</v>
      </c>
      <c r="AI35" s="31">
        <f>SUM(AI4:AI34)</f>
        <v>24</v>
      </c>
      <c r="AK35" s="31">
        <f>SUM(AK4:AK34)</f>
        <v>38</v>
      </c>
      <c r="AM35" s="31">
        <f>SUM(AM4:AM34)</f>
        <v>41</v>
      </c>
      <c r="AO35" s="31">
        <f>SUM(AO4:AO34)</f>
        <v>73</v>
      </c>
      <c r="AQ35" s="31">
        <f>SUM(AQ4:AQ34)</f>
        <v>28</v>
      </c>
      <c r="AS35" s="31">
        <f>SUM(AS4:AS34)</f>
        <v>22</v>
      </c>
      <c r="AU35" s="31">
        <f>SUM(AU4:AU34)</f>
        <v>15</v>
      </c>
      <c r="AW35" s="31">
        <f>SUM(AW4:AW34)</f>
        <v>117</v>
      </c>
      <c r="AY35" s="31">
        <f>SUM(AY4:AY34)</f>
        <v>67</v>
      </c>
      <c r="BA35" s="31">
        <f>SUM(BA4:BA34)</f>
        <v>94</v>
      </c>
      <c r="BC35" s="25">
        <f t="shared" si="19"/>
        <v>0</v>
      </c>
      <c r="BG35" s="38">
        <f>SUM(BG4:BG34)</f>
        <v>1330</v>
      </c>
      <c r="BI35" s="38">
        <f>SUM(BI4:BI34)</f>
        <v>1940</v>
      </c>
      <c r="BJ35" s="38">
        <f>SUM(BJ4:BJ34)</f>
        <v>330</v>
      </c>
      <c r="BK35" s="51"/>
      <c r="BL35" s="51"/>
      <c r="BM35" s="51"/>
      <c r="BN35" s="51"/>
      <c r="BP35" s="52">
        <f>SUM(BP4:BP34)</f>
        <v>1442</v>
      </c>
      <c r="BQ35" s="52">
        <f>SUM(BQ4:BQ34)</f>
        <v>9012.5</v>
      </c>
      <c r="BY35" s="52">
        <f>SUM(BY4:BY34)</f>
        <v>9093.5</v>
      </c>
      <c r="BZ35" s="83">
        <f>SUM(BZ3:BZ34)</f>
        <v>9740</v>
      </c>
      <c r="CC35" s="52">
        <f>SUM(CC4:CC34)</f>
        <v>3600</v>
      </c>
      <c r="CF35" s="52">
        <f>SUM(CF3:CF34)</f>
        <v>450</v>
      </c>
      <c r="CI35" s="52">
        <f>SUM(CI3:CI34)</f>
        <v>1125</v>
      </c>
      <c r="CL35" s="38">
        <f>SUM(CL4:CL34)</f>
        <v>293.75</v>
      </c>
      <c r="CO35" s="38">
        <f>SUM(CO4:CO34)</f>
        <v>387.5</v>
      </c>
      <c r="CQ35" s="25" t="s">
        <v>104</v>
      </c>
      <c r="CR35" s="38">
        <f>SUM(CR4:CR34)</f>
        <v>612.5</v>
      </c>
      <c r="CU35" s="38">
        <f>SUM(CU4:CU34)</f>
        <v>343.75</v>
      </c>
      <c r="CX35" s="38">
        <f>SUM(CX4:CX34)</f>
        <v>64.374999999999716</v>
      </c>
      <c r="DA35" s="38">
        <f>SUM(DA4:DA34)</f>
        <v>443.75</v>
      </c>
      <c r="DD35" s="38">
        <f>SUM(DD4:DD34)</f>
        <v>331.25</v>
      </c>
      <c r="DG35" s="38">
        <f>SUM(DG4:DG34)</f>
        <v>393.75</v>
      </c>
      <c r="DJ35" s="38">
        <f>SUM(DJ4:DJ34)</f>
        <v>431.25</v>
      </c>
      <c r="DK35" s="51"/>
      <c r="DL35" s="51"/>
      <c r="DM35" s="51"/>
      <c r="DN35" s="51"/>
      <c r="DS35" s="7">
        <f>SUM(DS4:DS34)</f>
        <v>878</v>
      </c>
      <c r="DT35" s="7">
        <f>SUM(DT4:DT34)</f>
        <v>2102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9"/>
      <c r="D43" s="119"/>
      <c r="E43" s="119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  <mergeCell ref="P1:Q1"/>
    <mergeCell ref="X1:Y1"/>
    <mergeCell ref="AD1:AE1"/>
    <mergeCell ref="DB1:DD1"/>
    <mergeCell ref="AT1:AU1"/>
    <mergeCell ref="V1:W1"/>
    <mergeCell ref="AP1:AQ1"/>
    <mergeCell ref="AR1:AS1"/>
    <mergeCell ref="AF1:AG1"/>
  </mergeCells>
  <conditionalFormatting sqref="BB42:BG65536 BB35:BG40 A1:XFD2 A35:BA65536 DV3:IV34 C4:C34 U4:U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 W4:W34">
    <cfRule type="cellIs" dxfId="510" priority="3455" operator="lessThan">
      <formula>0</formula>
    </cfRule>
  </conditionalFormatting>
  <conditionalFormatting sqref="BA33:BA34">
    <cfRule type="cellIs" dxfId="509" priority="983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DL3 DN3 DP3 DR3 A3:A34">
    <cfRule type="cellIs" dxfId="508" priority="675" operator="lessThan">
      <formula>0</formula>
    </cfRule>
  </conditionalFormatting>
  <conditionalFormatting sqref="BA3">
    <cfRule type="cellIs" dxfId="507" priority="670" operator="lessThan">
      <formula>0</formula>
    </cfRule>
  </conditionalFormatting>
  <conditionalFormatting sqref="J3">
    <cfRule type="cellIs" dxfId="506" priority="669" operator="lessThan">
      <formula>0</formula>
    </cfRule>
  </conditionalFormatting>
  <conditionalFormatting sqref="B3">
    <cfRule type="cellIs" dxfId="505" priority="668" operator="lessThan">
      <formula>0</formula>
    </cfRule>
  </conditionalFormatting>
  <conditionalFormatting sqref="D3">
    <cfRule type="cellIs" dxfId="504" priority="667" operator="lessThan">
      <formula>0</formula>
    </cfRule>
  </conditionalFormatting>
  <conditionalFormatting sqref="G3">
    <cfRule type="cellIs" dxfId="503" priority="666" operator="lessThan">
      <formula>0</formula>
    </cfRule>
  </conditionalFormatting>
  <conditionalFormatting sqref="H3">
    <cfRule type="cellIs" dxfId="502" priority="665" operator="lessThan">
      <formula>0</formula>
    </cfRule>
  </conditionalFormatting>
  <conditionalFormatting sqref="L3">
    <cfRule type="cellIs" dxfId="501" priority="664" operator="lessThan">
      <formula>0</formula>
    </cfRule>
  </conditionalFormatting>
  <conditionalFormatting sqref="N3">
    <cfRule type="cellIs" dxfId="500" priority="663" operator="lessThan">
      <formula>0</formula>
    </cfRule>
  </conditionalFormatting>
  <conditionalFormatting sqref="P3">
    <cfRule type="cellIs" dxfId="499" priority="662" operator="lessThan">
      <formula>0</formula>
    </cfRule>
  </conditionalFormatting>
  <conditionalFormatting sqref="R3:S3">
    <cfRule type="cellIs" dxfId="498" priority="661" operator="lessThan">
      <formula>0</formula>
    </cfRule>
  </conditionalFormatting>
  <conditionalFormatting sqref="T3">
    <cfRule type="cellIs" dxfId="497" priority="660" operator="lessThan">
      <formula>0</formula>
    </cfRule>
  </conditionalFormatting>
  <conditionalFormatting sqref="V3">
    <cfRule type="cellIs" dxfId="496" priority="659" operator="lessThan">
      <formula>0</formula>
    </cfRule>
  </conditionalFormatting>
  <conditionalFormatting sqref="X3">
    <cfRule type="cellIs" dxfId="495" priority="658" operator="lessThan">
      <formula>0</formula>
    </cfRule>
  </conditionalFormatting>
  <conditionalFormatting sqref="Z3">
    <cfRule type="cellIs" dxfId="494" priority="657" operator="lessThan">
      <formula>0</formula>
    </cfRule>
  </conditionalFormatting>
  <conditionalFormatting sqref="AD3">
    <cfRule type="cellIs" dxfId="493" priority="656" operator="lessThan">
      <formula>0</formula>
    </cfRule>
  </conditionalFormatting>
  <conditionalFormatting sqref="AF3">
    <cfRule type="cellIs" dxfId="492" priority="655" operator="lessThan">
      <formula>0</formula>
    </cfRule>
  </conditionalFormatting>
  <conditionalFormatting sqref="AH3">
    <cfRule type="cellIs" dxfId="491" priority="654" operator="lessThan">
      <formula>0</formula>
    </cfRule>
  </conditionalFormatting>
  <conditionalFormatting sqref="AJ3">
    <cfRule type="cellIs" dxfId="490" priority="653" operator="lessThan">
      <formula>0</formula>
    </cfRule>
  </conditionalFormatting>
  <conditionalFormatting sqref="AL3">
    <cfRule type="cellIs" dxfId="489" priority="652" operator="lessThan">
      <formula>0</formula>
    </cfRule>
  </conditionalFormatting>
  <conditionalFormatting sqref="AN3">
    <cfRule type="cellIs" dxfId="488" priority="651" operator="lessThan">
      <formula>0</formula>
    </cfRule>
  </conditionalFormatting>
  <conditionalFormatting sqref="AP3">
    <cfRule type="cellIs" dxfId="487" priority="650" operator="lessThan">
      <formula>0</formula>
    </cfRule>
  </conditionalFormatting>
  <conditionalFormatting sqref="AR3">
    <cfRule type="cellIs" dxfId="486" priority="649" operator="lessThan">
      <formula>0</formula>
    </cfRule>
  </conditionalFormatting>
  <conditionalFormatting sqref="AT3">
    <cfRule type="cellIs" dxfId="485" priority="648" operator="lessThan">
      <formula>0</formula>
    </cfRule>
  </conditionalFormatting>
  <conditionalFormatting sqref="AV3">
    <cfRule type="cellIs" dxfId="484" priority="647" operator="lessThan">
      <formula>0</formula>
    </cfRule>
  </conditionalFormatting>
  <conditionalFormatting sqref="AX3">
    <cfRule type="cellIs" dxfId="483" priority="646" operator="lessThan">
      <formula>0</formula>
    </cfRule>
  </conditionalFormatting>
  <conditionalFormatting sqref="AZ3">
    <cfRule type="cellIs" dxfId="482" priority="645" operator="lessThan">
      <formula>0</formula>
    </cfRule>
  </conditionalFormatting>
  <conditionalFormatting sqref="BB3">
    <cfRule type="cellIs" dxfId="481" priority="644" operator="lessThan">
      <formula>0</formula>
    </cfRule>
  </conditionalFormatting>
  <conditionalFormatting sqref="BF3">
    <cfRule type="cellIs" dxfId="480" priority="643" operator="lessThan">
      <formula>0</formula>
    </cfRule>
  </conditionalFormatting>
  <conditionalFormatting sqref="BH3">
    <cfRule type="cellIs" dxfId="479" priority="642" operator="lessThan">
      <formula>0</formula>
    </cfRule>
  </conditionalFormatting>
  <conditionalFormatting sqref="BK3">
    <cfRule type="cellIs" dxfId="478" priority="641" operator="lessThan">
      <formula>0</formula>
    </cfRule>
  </conditionalFormatting>
  <conditionalFormatting sqref="BO3">
    <cfRule type="cellIs" dxfId="477" priority="640" operator="lessThan">
      <formula>0</formula>
    </cfRule>
  </conditionalFormatting>
  <conditionalFormatting sqref="BR3">
    <cfRule type="cellIs" dxfId="476" priority="639" operator="lessThan">
      <formula>0</formula>
    </cfRule>
  </conditionalFormatting>
  <conditionalFormatting sqref="BT3">
    <cfRule type="cellIs" dxfId="475" priority="638" operator="lessThan">
      <formula>0</formula>
    </cfRule>
  </conditionalFormatting>
  <conditionalFormatting sqref="BV3">
    <cfRule type="cellIs" dxfId="474" priority="637" operator="lessThan">
      <formula>0</formula>
    </cfRule>
  </conditionalFormatting>
  <conditionalFormatting sqref="BZ3">
    <cfRule type="cellIs" dxfId="473" priority="636" operator="lessThan">
      <formula>0</formula>
    </cfRule>
  </conditionalFormatting>
  <conditionalFormatting sqref="CD3">
    <cfRule type="cellIs" dxfId="472" priority="634" operator="lessThan">
      <formula>0</formula>
    </cfRule>
  </conditionalFormatting>
  <conditionalFormatting sqref="CG3">
    <cfRule type="cellIs" dxfId="471" priority="633" operator="lessThan">
      <formula>0</formula>
    </cfRule>
  </conditionalFormatting>
  <conditionalFormatting sqref="CJ3">
    <cfRule type="cellIs" dxfId="470" priority="632" operator="lessThan">
      <formula>0</formula>
    </cfRule>
  </conditionalFormatting>
  <conditionalFormatting sqref="CM3">
    <cfRule type="cellIs" dxfId="469" priority="631" operator="lessThan">
      <formula>0</formula>
    </cfRule>
  </conditionalFormatting>
  <conditionalFormatting sqref="CP3">
    <cfRule type="cellIs" dxfId="468" priority="630" operator="lessThan">
      <formula>0</formula>
    </cfRule>
  </conditionalFormatting>
  <conditionalFormatting sqref="CS3">
    <cfRule type="cellIs" dxfId="467" priority="629" operator="lessThan">
      <formula>0</formula>
    </cfRule>
  </conditionalFormatting>
  <conditionalFormatting sqref="CV3">
    <cfRule type="cellIs" dxfId="466" priority="628" operator="lessThan">
      <formula>0</formula>
    </cfRule>
  </conditionalFormatting>
  <conditionalFormatting sqref="CY3">
    <cfRule type="cellIs" dxfId="465" priority="627" operator="lessThan">
      <formula>0</formula>
    </cfRule>
  </conditionalFormatting>
  <conditionalFormatting sqref="DB3">
    <cfRule type="cellIs" dxfId="464" priority="626" operator="lessThan">
      <formula>0</formula>
    </cfRule>
  </conditionalFormatting>
  <conditionalFormatting sqref="DE3">
    <cfRule type="cellIs" dxfId="463" priority="625" operator="lessThan">
      <formula>0</formula>
    </cfRule>
  </conditionalFormatting>
  <conditionalFormatting sqref="DH3">
    <cfRule type="cellIs" dxfId="462" priority="624" operator="lessThan">
      <formula>0</formula>
    </cfRule>
  </conditionalFormatting>
  <conditionalFormatting sqref="BL15">
    <cfRule type="cellIs" dxfId="461" priority="583" operator="lessThan">
      <formula>0</formula>
    </cfRule>
  </conditionalFormatting>
  <conditionalFormatting sqref="BL16:BL24">
    <cfRule type="cellIs" dxfId="460" priority="582" operator="lessThan">
      <formula>0</formula>
    </cfRule>
  </conditionalFormatting>
  <conditionalFormatting sqref="BL25:BL34">
    <cfRule type="cellIs" dxfId="459" priority="581" operator="lessThan">
      <formula>0</formula>
    </cfRule>
  </conditionalFormatting>
  <conditionalFormatting sqref="BL3">
    <cfRule type="cellIs" dxfId="458" priority="580" operator="lessThan">
      <formula>0</formula>
    </cfRule>
  </conditionalFormatting>
  <conditionalFormatting sqref="CA3">
    <cfRule type="cellIs" dxfId="455" priority="569" operator="lessThan">
      <formula>0</formula>
    </cfRule>
  </conditionalFormatting>
  <conditionalFormatting sqref="DK3">
    <cfRule type="cellIs" dxfId="454" priority="556" operator="lessThan">
      <formula>0</formula>
    </cfRule>
  </conditionalFormatting>
  <conditionalFormatting sqref="DM3">
    <cfRule type="cellIs" dxfId="453" priority="551" operator="lessThan">
      <formula>0</formula>
    </cfRule>
  </conditionalFormatting>
  <conditionalFormatting sqref="DO3">
    <cfRule type="cellIs" dxfId="452" priority="545" operator="lessThan">
      <formula>0</formula>
    </cfRule>
  </conditionalFormatting>
  <conditionalFormatting sqref="DQ3">
    <cfRule type="cellIs" dxfId="451" priority="539" operator="lessThan">
      <formula>0</formula>
    </cfRule>
  </conditionalFormatting>
  <conditionalFormatting sqref="DS3">
    <cfRule type="cellIs" dxfId="450" priority="532" operator="lessThan">
      <formula>0</formula>
    </cfRule>
  </conditionalFormatting>
  <conditionalFormatting sqref="DT3">
    <cfRule type="cellIs" dxfId="449" priority="529" operator="lessThan">
      <formula>0</formula>
    </cfRule>
  </conditionalFormatting>
  <conditionalFormatting sqref="DU3">
    <cfRule type="cellIs" dxfId="448" priority="527" operator="lessThan">
      <formula>0</formula>
    </cfRule>
  </conditionalFormatting>
  <conditionalFormatting sqref="AJ23">
    <cfRule type="cellIs" dxfId="447" priority="492" operator="lessThan">
      <formula>0</formula>
    </cfRule>
  </conditionalFormatting>
  <conditionalFormatting sqref="AL23">
    <cfRule type="cellIs" dxfId="446" priority="490" operator="lessThan">
      <formula>0</formula>
    </cfRule>
  </conditionalFormatting>
  <conditionalFormatting sqref="AN23">
    <cfRule type="cellIs" dxfId="445" priority="488" operator="lessThan">
      <formula>0</formula>
    </cfRule>
  </conditionalFormatting>
  <conditionalFormatting sqref="AP23">
    <cfRule type="cellIs" dxfId="444" priority="486" operator="lessThan">
      <formula>0</formula>
    </cfRule>
  </conditionalFormatting>
  <conditionalFormatting sqref="AR23">
    <cfRule type="cellIs" dxfId="443" priority="484" operator="lessThan">
      <formula>0</formula>
    </cfRule>
  </conditionalFormatting>
  <conditionalFormatting sqref="AT23">
    <cfRule type="cellIs" dxfId="442" priority="482" operator="lessThan">
      <formula>0</formula>
    </cfRule>
  </conditionalFormatting>
  <conditionalFormatting sqref="AV23">
    <cfRule type="cellIs" dxfId="441" priority="480" operator="lessThan">
      <formula>0</formula>
    </cfRule>
  </conditionalFormatting>
  <conditionalFormatting sqref="AX23">
    <cfRule type="cellIs" dxfId="440" priority="478" operator="lessThan">
      <formula>0</formula>
    </cfRule>
  </conditionalFormatting>
  <conditionalFormatting sqref="AZ23">
    <cfRule type="cellIs" dxfId="439" priority="476" operator="lessThan">
      <formula>0</formula>
    </cfRule>
  </conditionalFormatting>
  <conditionalFormatting sqref="BF23">
    <cfRule type="cellIs" dxfId="438" priority="473" operator="lessThan">
      <formula>0</formula>
    </cfRule>
  </conditionalFormatting>
  <conditionalFormatting sqref="BH23">
    <cfRule type="cellIs" dxfId="437" priority="471" operator="lessThan">
      <formula>0</formula>
    </cfRule>
  </conditionalFormatting>
  <conditionalFormatting sqref="BK23">
    <cfRule type="cellIs" dxfId="436" priority="469" operator="lessThan">
      <formula>0</formula>
    </cfRule>
  </conditionalFormatting>
  <conditionalFormatting sqref="BO23">
    <cfRule type="cellIs" dxfId="435" priority="468" operator="lessThan">
      <formula>0</formula>
    </cfRule>
  </conditionalFormatting>
  <conditionalFormatting sqref="BR23">
    <cfRule type="cellIs" dxfId="434" priority="466" operator="lessThan">
      <formula>0</formula>
    </cfRule>
  </conditionalFormatting>
  <conditionalFormatting sqref="BT23">
    <cfRule type="cellIs" dxfId="433" priority="464" operator="lessThan">
      <formula>0</formula>
    </cfRule>
  </conditionalFormatting>
  <conditionalFormatting sqref="BV23">
    <cfRule type="cellIs" dxfId="432" priority="462" operator="lessThan">
      <formula>0</formula>
    </cfRule>
  </conditionalFormatting>
  <conditionalFormatting sqref="BZ14:BZ23">
    <cfRule type="cellIs" dxfId="431" priority="460" operator="lessThan">
      <formula>0</formula>
    </cfRule>
  </conditionalFormatting>
  <conditionalFormatting sqref="CA23">
    <cfRule type="cellIs" dxfId="430" priority="459" operator="lessThan">
      <formula>0</formula>
    </cfRule>
  </conditionalFormatting>
  <conditionalFormatting sqref="CG23">
    <cfRule type="cellIs" dxfId="429" priority="455" operator="lessThan">
      <formula>0</formula>
    </cfRule>
  </conditionalFormatting>
  <conditionalFormatting sqref="CJ23">
    <cfRule type="cellIs" dxfId="428" priority="453" operator="lessThan">
      <formula>0</formula>
    </cfRule>
  </conditionalFormatting>
  <conditionalFormatting sqref="CM23">
    <cfRule type="cellIs" dxfId="427" priority="451" operator="lessThan">
      <formula>0</formula>
    </cfRule>
  </conditionalFormatting>
  <conditionalFormatting sqref="CP23">
    <cfRule type="cellIs" dxfId="426" priority="449" operator="lessThan">
      <formula>0</formula>
    </cfRule>
  </conditionalFormatting>
  <conditionalFormatting sqref="CS23">
    <cfRule type="cellIs" dxfId="425" priority="447" operator="lessThan">
      <formula>0</formula>
    </cfRule>
  </conditionalFormatting>
  <conditionalFormatting sqref="CV23">
    <cfRule type="cellIs" dxfId="424" priority="445" operator="lessThan">
      <formula>0</formula>
    </cfRule>
  </conditionalFormatting>
  <conditionalFormatting sqref="CY23">
    <cfRule type="cellIs" dxfId="423" priority="443" operator="lessThan">
      <formula>0</formula>
    </cfRule>
  </conditionalFormatting>
  <conditionalFormatting sqref="DB23">
    <cfRule type="cellIs" dxfId="422" priority="441" operator="lessThan">
      <formula>0</formula>
    </cfRule>
  </conditionalFormatting>
  <conditionalFormatting sqref="DE23">
    <cfRule type="cellIs" dxfId="421" priority="439" operator="lessThan">
      <formula>0</formula>
    </cfRule>
  </conditionalFormatting>
  <conditionalFormatting sqref="DH23">
    <cfRule type="cellIs" dxfId="420" priority="437" operator="lessThan">
      <formula>0</formula>
    </cfRule>
  </conditionalFormatting>
  <conditionalFormatting sqref="DK23">
    <cfRule type="cellIs" dxfId="419" priority="435" operator="lessThan">
      <formula>0</formula>
    </cfRule>
  </conditionalFormatting>
  <conditionalFormatting sqref="DS23">
    <cfRule type="cellIs" dxfId="418" priority="429" operator="lessThan">
      <formula>0</formula>
    </cfRule>
  </conditionalFormatting>
  <conditionalFormatting sqref="DS23">
    <cfRule type="cellIs" dxfId="417" priority="428" operator="lessThan">
      <formula>0</formula>
    </cfRule>
  </conditionalFormatting>
  <conditionalFormatting sqref="BN3:BN34">
    <cfRule type="cellIs" dxfId="416" priority="423" operator="lessThan">
      <formula>0</formula>
    </cfRule>
  </conditionalFormatting>
  <conditionalFormatting sqref="G15:G23">
    <cfRule type="cellIs" dxfId="412" priority="341" operator="lessThan">
      <formula>0</formula>
    </cfRule>
  </conditionalFormatting>
  <conditionalFormatting sqref="J15:J23">
    <cfRule type="cellIs" dxfId="407" priority="336" operator="lessThan">
      <formula>0</formula>
    </cfRule>
  </conditionalFormatting>
  <conditionalFormatting sqref="DO15:DO22">
    <cfRule type="cellIs" dxfId="356" priority="285" operator="lessThan">
      <formula>0</formula>
    </cfRule>
  </conditionalFormatting>
  <conditionalFormatting sqref="DO15:DO22">
    <cfRule type="cellIs" dxfId="355" priority="284" operator="lessThan">
      <formula>0</formula>
    </cfRule>
  </conditionalFormatting>
  <conditionalFormatting sqref="DQ15:DQ22">
    <cfRule type="cellIs" dxfId="351" priority="280" operator="lessThan">
      <formula>0</formula>
    </cfRule>
  </conditionalFormatting>
  <conditionalFormatting sqref="B15:B17 B19:B22">
    <cfRule type="cellIs" dxfId="343" priority="272" operator="lessThan">
      <formula>0</formula>
    </cfRule>
  </conditionalFormatting>
  <conditionalFormatting sqref="B17:B19">
    <cfRule type="cellIs" dxfId="342" priority="271" operator="lessThan">
      <formula>0</formula>
    </cfRule>
  </conditionalFormatting>
  <conditionalFormatting sqref="D15:D16 D19:D22">
    <cfRule type="cellIs" dxfId="341" priority="270" operator="lessThan">
      <formula>0</formula>
    </cfRule>
  </conditionalFormatting>
  <conditionalFormatting sqref="D17:D18">
    <cfRule type="cellIs" dxfId="340" priority="269" operator="lessThan">
      <formula>0</formula>
    </cfRule>
  </conditionalFormatting>
  <conditionalFormatting sqref="H16:H23">
    <cfRule type="cellIs" dxfId="339" priority="268" operator="lessThan">
      <formula>0</formula>
    </cfRule>
  </conditionalFormatting>
  <conditionalFormatting sqref="L16 L19:L22">
    <cfRule type="cellIs" dxfId="338" priority="267" operator="lessThan">
      <formula>0</formula>
    </cfRule>
  </conditionalFormatting>
  <conditionalFormatting sqref="L17:L18">
    <cfRule type="cellIs" dxfId="337" priority="266" operator="lessThan">
      <formula>0</formula>
    </cfRule>
  </conditionalFormatting>
  <conditionalFormatting sqref="N15:N16 N19:N22">
    <cfRule type="cellIs" dxfId="336" priority="265" operator="lessThan">
      <formula>0</formula>
    </cfRule>
  </conditionalFormatting>
  <conditionalFormatting sqref="N17:N18">
    <cfRule type="cellIs" dxfId="335" priority="264" operator="lessThan">
      <formula>0</formula>
    </cfRule>
  </conditionalFormatting>
  <conditionalFormatting sqref="P15:P16 P19:P22">
    <cfRule type="cellIs" dxfId="334" priority="263" operator="lessThan">
      <formula>0</formula>
    </cfRule>
  </conditionalFormatting>
  <conditionalFormatting sqref="P17:P18">
    <cfRule type="cellIs" dxfId="333" priority="262" operator="lessThan">
      <formula>0</formula>
    </cfRule>
  </conditionalFormatting>
  <conditionalFormatting sqref="R15:R16 R19:R22">
    <cfRule type="cellIs" dxfId="332" priority="261" operator="lessThan">
      <formula>0</formula>
    </cfRule>
  </conditionalFormatting>
  <conditionalFormatting sqref="R17:R18">
    <cfRule type="cellIs" dxfId="331" priority="260" operator="lessThan">
      <formula>0</formula>
    </cfRule>
  </conditionalFormatting>
  <conditionalFormatting sqref="S15:S16 S19:S22">
    <cfRule type="cellIs" dxfId="330" priority="259" operator="lessThan">
      <formula>0</formula>
    </cfRule>
  </conditionalFormatting>
  <conditionalFormatting sqref="S17:S18">
    <cfRule type="cellIs" dxfId="329" priority="258" operator="lessThan">
      <formula>0</formula>
    </cfRule>
  </conditionalFormatting>
  <conditionalFormatting sqref="T15:T16 T19:T22">
    <cfRule type="cellIs" dxfId="328" priority="257" operator="lessThan">
      <formula>0</formula>
    </cfRule>
  </conditionalFormatting>
  <conditionalFormatting sqref="T17:T18">
    <cfRule type="cellIs" dxfId="327" priority="256" operator="lessThan">
      <formula>0</formula>
    </cfRule>
  </conditionalFormatting>
  <conditionalFormatting sqref="V19:V22 V15:V16">
    <cfRule type="cellIs" dxfId="326" priority="255" operator="lessThan">
      <formula>0</formula>
    </cfRule>
  </conditionalFormatting>
  <conditionalFormatting sqref="V17:V18">
    <cfRule type="cellIs" dxfId="325" priority="254" operator="lessThan">
      <formula>0</formula>
    </cfRule>
  </conditionalFormatting>
  <conditionalFormatting sqref="X15:X16 X19:X22">
    <cfRule type="cellIs" dxfId="324" priority="253" operator="lessThan">
      <formula>0</formula>
    </cfRule>
  </conditionalFormatting>
  <conditionalFormatting sqref="X17:X18">
    <cfRule type="cellIs" dxfId="323" priority="252" operator="lessThan">
      <formula>0</formula>
    </cfRule>
  </conditionalFormatting>
  <conditionalFormatting sqref="Z15:Z16 Z19:Z22">
    <cfRule type="cellIs" dxfId="322" priority="251" operator="lessThan">
      <formula>0</formula>
    </cfRule>
  </conditionalFormatting>
  <conditionalFormatting sqref="Z17:Z18">
    <cfRule type="cellIs" dxfId="321" priority="250" operator="lessThan">
      <formula>0</formula>
    </cfRule>
  </conditionalFormatting>
  <conditionalFormatting sqref="AD15:AD16 AD19:AD22">
    <cfRule type="cellIs" dxfId="320" priority="249" operator="lessThan">
      <formula>0</formula>
    </cfRule>
  </conditionalFormatting>
  <conditionalFormatting sqref="AD17:AD18">
    <cfRule type="cellIs" dxfId="319" priority="248" operator="lessThan">
      <formula>0</formula>
    </cfRule>
  </conditionalFormatting>
  <conditionalFormatting sqref="AF15:AF16 AF19:AF22">
    <cfRule type="cellIs" dxfId="318" priority="247" operator="lessThan">
      <formula>0</formula>
    </cfRule>
  </conditionalFormatting>
  <conditionalFormatting sqref="AF17:AF18">
    <cfRule type="cellIs" dxfId="317" priority="246" operator="lessThan">
      <formula>0</formula>
    </cfRule>
  </conditionalFormatting>
  <conditionalFormatting sqref="AH15:AH16 AH19:AH22">
    <cfRule type="cellIs" dxfId="316" priority="245" operator="lessThan">
      <formula>0</formula>
    </cfRule>
  </conditionalFormatting>
  <conditionalFormatting sqref="AH17:AH18">
    <cfRule type="cellIs" dxfId="315" priority="244" operator="lessThan">
      <formula>0</formula>
    </cfRule>
  </conditionalFormatting>
  <conditionalFormatting sqref="AJ15:AJ16 AJ19:AJ22">
    <cfRule type="cellIs" dxfId="314" priority="243" operator="lessThan">
      <formula>0</formula>
    </cfRule>
  </conditionalFormatting>
  <conditionalFormatting sqref="AJ17:AJ18">
    <cfRule type="cellIs" dxfId="313" priority="242" operator="lessThan">
      <formula>0</formula>
    </cfRule>
  </conditionalFormatting>
  <conditionalFormatting sqref="AL15:AL16 AL19:AL22">
    <cfRule type="cellIs" dxfId="312" priority="241" operator="lessThan">
      <formula>0</formula>
    </cfRule>
  </conditionalFormatting>
  <conditionalFormatting sqref="AL17:AL18">
    <cfRule type="cellIs" dxfId="311" priority="240" operator="lessThan">
      <formula>0</formula>
    </cfRule>
  </conditionalFormatting>
  <conditionalFormatting sqref="AN15:AN16 AN19:AN22">
    <cfRule type="cellIs" dxfId="310" priority="239" operator="lessThan">
      <formula>0</formula>
    </cfRule>
  </conditionalFormatting>
  <conditionalFormatting sqref="AN17:AN18">
    <cfRule type="cellIs" dxfId="309" priority="238" operator="lessThan">
      <formula>0</formula>
    </cfRule>
  </conditionalFormatting>
  <conditionalFormatting sqref="AP15:AP16 AP19:AP22">
    <cfRule type="cellIs" dxfId="308" priority="237" operator="lessThan">
      <formula>0</formula>
    </cfRule>
  </conditionalFormatting>
  <conditionalFormatting sqref="AP17:AP18">
    <cfRule type="cellIs" dxfId="307" priority="236" operator="lessThan">
      <formula>0</formula>
    </cfRule>
  </conditionalFormatting>
  <conditionalFormatting sqref="AR15:AR16 AR19:AR22">
    <cfRule type="cellIs" dxfId="306" priority="235" operator="lessThan">
      <formula>0</formula>
    </cfRule>
  </conditionalFormatting>
  <conditionalFormatting sqref="AR17:AR18">
    <cfRule type="cellIs" dxfId="305" priority="234" operator="lessThan">
      <formula>0</formula>
    </cfRule>
  </conditionalFormatting>
  <conditionalFormatting sqref="AT15:AT16 AT19:AT22">
    <cfRule type="cellIs" dxfId="304" priority="233" operator="lessThan">
      <formula>0</formula>
    </cfRule>
  </conditionalFormatting>
  <conditionalFormatting sqref="AT17:AT18">
    <cfRule type="cellIs" dxfId="303" priority="232" operator="lessThan">
      <formula>0</formula>
    </cfRule>
  </conditionalFormatting>
  <conditionalFormatting sqref="AV15:AV16 AV19:AV22">
    <cfRule type="cellIs" dxfId="302" priority="231" operator="lessThan">
      <formula>0</formula>
    </cfRule>
  </conditionalFormatting>
  <conditionalFormatting sqref="AV17:AV18">
    <cfRule type="cellIs" dxfId="301" priority="230" operator="lessThan">
      <formula>0</formula>
    </cfRule>
  </conditionalFormatting>
  <conditionalFormatting sqref="AX15:AX16 AX19:AX22">
    <cfRule type="cellIs" dxfId="300" priority="229" operator="lessThan">
      <formula>0</formula>
    </cfRule>
  </conditionalFormatting>
  <conditionalFormatting sqref="AX17:AX18">
    <cfRule type="cellIs" dxfId="299" priority="228" operator="lessThan">
      <formula>0</formula>
    </cfRule>
  </conditionalFormatting>
  <conditionalFormatting sqref="AZ15:AZ16 AZ19:AZ22">
    <cfRule type="cellIs" dxfId="298" priority="227" operator="lessThan">
      <formula>0</formula>
    </cfRule>
  </conditionalFormatting>
  <conditionalFormatting sqref="AZ17:AZ18">
    <cfRule type="cellIs" dxfId="297" priority="226" operator="lessThan">
      <formula>0</formula>
    </cfRule>
  </conditionalFormatting>
  <conditionalFormatting sqref="BB15:BB23">
    <cfRule type="cellIs" dxfId="296" priority="225" operator="lessThan">
      <formula>0</formula>
    </cfRule>
  </conditionalFormatting>
  <conditionalFormatting sqref="BF19:BF22 BF15:BF16">
    <cfRule type="cellIs" dxfId="295" priority="224" operator="lessThan">
      <formula>0</formula>
    </cfRule>
  </conditionalFormatting>
  <conditionalFormatting sqref="BF17:BF18">
    <cfRule type="cellIs" dxfId="294" priority="223" operator="lessThan">
      <formula>0</formula>
    </cfRule>
  </conditionalFormatting>
  <conditionalFormatting sqref="BH19:BH22 BH15:BH16">
    <cfRule type="cellIs" dxfId="293" priority="222" operator="lessThan">
      <formula>0</formula>
    </cfRule>
  </conditionalFormatting>
  <conditionalFormatting sqref="BH17:BH18">
    <cfRule type="cellIs" dxfId="292" priority="221" operator="lessThan">
      <formula>0</formula>
    </cfRule>
  </conditionalFormatting>
  <conditionalFormatting sqref="BK17:BK22">
    <cfRule type="cellIs" dxfId="291" priority="220" operator="lessThan">
      <formula>0</formula>
    </cfRule>
  </conditionalFormatting>
  <conditionalFormatting sqref="BO19:BO22 BO15:BO16">
    <cfRule type="cellIs" dxfId="290" priority="219" operator="lessThan">
      <formula>0</formula>
    </cfRule>
  </conditionalFormatting>
  <conditionalFormatting sqref="BO17:BO18">
    <cfRule type="cellIs" dxfId="289" priority="218" operator="lessThan">
      <formula>0</formula>
    </cfRule>
  </conditionalFormatting>
  <conditionalFormatting sqref="BR19:BR22 BR15:BR16">
    <cfRule type="cellIs" dxfId="288" priority="217" operator="lessThan">
      <formula>0</formula>
    </cfRule>
  </conditionalFormatting>
  <conditionalFormatting sqref="BR17:BR18">
    <cfRule type="cellIs" dxfId="287" priority="216" operator="lessThan">
      <formula>0</formula>
    </cfRule>
  </conditionalFormatting>
  <conditionalFormatting sqref="BT19:BT22 BT15:BT16">
    <cfRule type="cellIs" dxfId="286" priority="215" operator="lessThan">
      <formula>0</formula>
    </cfRule>
  </conditionalFormatting>
  <conditionalFormatting sqref="BT17:BT18">
    <cfRule type="cellIs" dxfId="285" priority="214" operator="lessThan">
      <formula>0</formula>
    </cfRule>
  </conditionalFormatting>
  <conditionalFormatting sqref="BV19:BV22 BV15:BV16">
    <cfRule type="cellIs" dxfId="284" priority="213" operator="lessThan">
      <formula>0</formula>
    </cfRule>
  </conditionalFormatting>
  <conditionalFormatting sqref="BV17:BV18">
    <cfRule type="cellIs" dxfId="283" priority="212" operator="lessThan">
      <formula>0</formula>
    </cfRule>
  </conditionalFormatting>
  <conditionalFormatting sqref="CA19:CA22 CA15:CA16">
    <cfRule type="cellIs" dxfId="281" priority="210" operator="lessThan">
      <formula>0</formula>
    </cfRule>
  </conditionalFormatting>
  <conditionalFormatting sqref="CA17:CA18">
    <cfRule type="cellIs" dxfId="280" priority="209" operator="lessThan">
      <formula>0</formula>
    </cfRule>
  </conditionalFormatting>
  <conditionalFormatting sqref="CD15:CD16 CD19:CD23">
    <cfRule type="cellIs" dxfId="279" priority="208" operator="lessThan">
      <formula>0</formula>
    </cfRule>
  </conditionalFormatting>
  <conditionalFormatting sqref="CD17:CD18">
    <cfRule type="cellIs" dxfId="278" priority="207" operator="lessThan">
      <formula>0</formula>
    </cfRule>
  </conditionalFormatting>
  <conditionalFormatting sqref="CG19:CG22 CG15:CG16">
    <cfRule type="cellIs" dxfId="277" priority="206" operator="lessThan">
      <formula>0</formula>
    </cfRule>
  </conditionalFormatting>
  <conditionalFormatting sqref="CG17:CG18">
    <cfRule type="cellIs" dxfId="276" priority="205" operator="lessThan">
      <formula>0</formula>
    </cfRule>
  </conditionalFormatting>
  <conditionalFormatting sqref="CJ15:CJ16 CJ19:CJ22">
    <cfRule type="cellIs" dxfId="275" priority="204" operator="lessThan">
      <formula>0</formula>
    </cfRule>
  </conditionalFormatting>
  <conditionalFormatting sqref="CJ17:CJ18">
    <cfRule type="cellIs" dxfId="274" priority="203" operator="lessThan">
      <formula>0</formula>
    </cfRule>
  </conditionalFormatting>
  <conditionalFormatting sqref="CM15:CM16 CM19:CM22">
    <cfRule type="cellIs" dxfId="273" priority="202" operator="lessThan">
      <formula>0</formula>
    </cfRule>
  </conditionalFormatting>
  <conditionalFormatting sqref="CM17:CM18">
    <cfRule type="cellIs" dxfId="272" priority="201" operator="lessThan">
      <formula>0</formula>
    </cfRule>
  </conditionalFormatting>
  <conditionalFormatting sqref="CP15:CP16 CP19:CP22">
    <cfRule type="cellIs" dxfId="271" priority="200" operator="lessThan">
      <formula>0</formula>
    </cfRule>
  </conditionalFormatting>
  <conditionalFormatting sqref="CP17:CP18">
    <cfRule type="cellIs" dxfId="270" priority="199" operator="lessThan">
      <formula>0</formula>
    </cfRule>
  </conditionalFormatting>
  <conditionalFormatting sqref="CS15:CS16 CS19:CS22">
    <cfRule type="cellIs" dxfId="269" priority="198" operator="lessThan">
      <formula>0</formula>
    </cfRule>
  </conditionalFormatting>
  <conditionalFormatting sqref="CS17:CS18">
    <cfRule type="cellIs" dxfId="268" priority="197" operator="lessThan">
      <formula>0</formula>
    </cfRule>
  </conditionalFormatting>
  <conditionalFormatting sqref="CV15:CV16 CV19:CV22">
    <cfRule type="cellIs" dxfId="267" priority="196" operator="lessThan">
      <formula>0</formula>
    </cfRule>
  </conditionalFormatting>
  <conditionalFormatting sqref="CV17:CV18">
    <cfRule type="cellIs" dxfId="266" priority="195" operator="lessThan">
      <formula>0</formula>
    </cfRule>
  </conditionalFormatting>
  <conditionalFormatting sqref="CY15:CY16 CY19:CY22">
    <cfRule type="cellIs" dxfId="265" priority="194" operator="lessThan">
      <formula>0</formula>
    </cfRule>
  </conditionalFormatting>
  <conditionalFormatting sqref="CY17:CY18">
    <cfRule type="cellIs" dxfId="264" priority="193" operator="lessThan">
      <formula>0</formula>
    </cfRule>
  </conditionalFormatting>
  <conditionalFormatting sqref="DB15:DB16 DB19:DB22">
    <cfRule type="cellIs" dxfId="263" priority="192" operator="lessThan">
      <formula>0</formula>
    </cfRule>
  </conditionalFormatting>
  <conditionalFormatting sqref="DB17:DB18">
    <cfRule type="cellIs" dxfId="262" priority="191" operator="lessThan">
      <formula>0</formula>
    </cfRule>
  </conditionalFormatting>
  <conditionalFormatting sqref="DE15:DE16 DE19:DE22">
    <cfRule type="cellIs" dxfId="261" priority="190" operator="lessThan">
      <formula>0</formula>
    </cfRule>
  </conditionalFormatting>
  <conditionalFormatting sqref="DE17:DE18">
    <cfRule type="cellIs" dxfId="260" priority="189" operator="lessThan">
      <formula>0</formula>
    </cfRule>
  </conditionalFormatting>
  <conditionalFormatting sqref="DH15:DH16 DH19:DH22">
    <cfRule type="cellIs" dxfId="259" priority="188" operator="lessThan">
      <formula>0</formula>
    </cfRule>
  </conditionalFormatting>
  <conditionalFormatting sqref="DH17:DH18">
    <cfRule type="cellIs" dxfId="258" priority="187" operator="lessThan">
      <formula>0</formula>
    </cfRule>
  </conditionalFormatting>
  <conditionalFormatting sqref="DK15:DK22">
    <cfRule type="cellIs" dxfId="257" priority="186" operator="lessThan">
      <formula>0</formula>
    </cfRule>
  </conditionalFormatting>
  <conditionalFormatting sqref="DM15:DM22">
    <cfRule type="cellIs" dxfId="256" priority="185" operator="lessThan">
      <formula>0</formula>
    </cfRule>
  </conditionalFormatting>
  <conditionalFormatting sqref="DS16:DS22">
    <cfRule type="cellIs" dxfId="255" priority="184" operator="lessThan">
      <formula>0</formula>
    </cfRule>
  </conditionalFormatting>
  <conditionalFormatting sqref="DT16:DU23">
    <cfRule type="cellIs" dxfId="254" priority="183" operator="lessThan">
      <formula>0</formula>
    </cfRule>
  </conditionalFormatting>
  <conditionalFormatting sqref="DT23:DU23">
    <cfRule type="cellIs" dxfId="253" priority="182" operator="lessThan">
      <formula>0</formula>
    </cfRule>
  </conditionalFormatting>
  <conditionalFormatting sqref="B23">
    <cfRule type="cellIs" dxfId="252" priority="181" operator="lessThan">
      <formula>0</formula>
    </cfRule>
  </conditionalFormatting>
  <conditionalFormatting sqref="D23">
    <cfRule type="cellIs" dxfId="251" priority="180" operator="lessThan">
      <formula>0</formula>
    </cfRule>
  </conditionalFormatting>
  <conditionalFormatting sqref="L23">
    <cfRule type="cellIs" dxfId="250" priority="179" operator="lessThan">
      <formula>0</formula>
    </cfRule>
  </conditionalFormatting>
  <conditionalFormatting sqref="N23">
    <cfRule type="cellIs" dxfId="249" priority="178" operator="lessThan">
      <formula>0</formula>
    </cfRule>
  </conditionalFormatting>
  <conditionalFormatting sqref="P23">
    <cfRule type="cellIs" dxfId="248" priority="177" operator="lessThan">
      <formula>0</formula>
    </cfRule>
  </conditionalFormatting>
  <conditionalFormatting sqref="R23:T23">
    <cfRule type="cellIs" dxfId="247" priority="176" operator="lessThan">
      <formula>0</formula>
    </cfRule>
  </conditionalFormatting>
  <conditionalFormatting sqref="V23">
    <cfRule type="cellIs" dxfId="246" priority="175" operator="lessThan">
      <formula>0</formula>
    </cfRule>
  </conditionalFormatting>
  <conditionalFormatting sqref="X23">
    <cfRule type="cellIs" dxfId="245" priority="174" operator="lessThan">
      <formula>0</formula>
    </cfRule>
  </conditionalFormatting>
  <conditionalFormatting sqref="Z23">
    <cfRule type="cellIs" dxfId="244" priority="173" operator="lessThan">
      <formula>0</formula>
    </cfRule>
  </conditionalFormatting>
  <conditionalFormatting sqref="AD23">
    <cfRule type="cellIs" dxfId="243" priority="172" operator="lessThan">
      <formula>0</formula>
    </cfRule>
  </conditionalFormatting>
  <conditionalFormatting sqref="AF23">
    <cfRule type="cellIs" dxfId="242" priority="171" operator="lessThan">
      <formula>0</formula>
    </cfRule>
  </conditionalFormatting>
  <conditionalFormatting sqref="AH23">
    <cfRule type="cellIs" dxfId="241" priority="170" operator="lessThan">
      <formula>0</formula>
    </cfRule>
  </conditionalFormatting>
  <conditionalFormatting sqref="DM23">
    <cfRule type="cellIs" dxfId="240" priority="169" operator="lessThan">
      <formula>0</formula>
    </cfRule>
  </conditionalFormatting>
  <conditionalFormatting sqref="DO23">
    <cfRule type="cellIs" dxfId="239" priority="168" operator="lessThan">
      <formula>0</formula>
    </cfRule>
  </conditionalFormatting>
  <conditionalFormatting sqref="DO23">
    <cfRule type="cellIs" dxfId="238" priority="167" operator="lessThan">
      <formula>0</formula>
    </cfRule>
  </conditionalFormatting>
  <conditionalFormatting sqref="DQ23">
    <cfRule type="cellIs" dxfId="237" priority="166" operator="lessThan">
      <formula>0</formula>
    </cfRule>
  </conditionalFormatting>
  <conditionalFormatting sqref="B24:B34">
    <cfRule type="cellIs" dxfId="236" priority="165" operator="lessThan">
      <formula>0</formula>
    </cfRule>
  </conditionalFormatting>
  <conditionalFormatting sqref="D24:D34">
    <cfRule type="cellIs" dxfId="235" priority="164" operator="lessThan">
      <formula>0</formula>
    </cfRule>
  </conditionalFormatting>
  <conditionalFormatting sqref="G24:G34">
    <cfRule type="cellIs" dxfId="234" priority="163" operator="lessThan">
      <formula>0</formula>
    </cfRule>
  </conditionalFormatting>
  <conditionalFormatting sqref="H24:H34">
    <cfRule type="cellIs" dxfId="233" priority="162" operator="lessThan">
      <formula>0</formula>
    </cfRule>
  </conditionalFormatting>
  <conditionalFormatting sqref="J24:J34">
    <cfRule type="cellIs" dxfId="232" priority="161" operator="lessThan">
      <formula>0</formula>
    </cfRule>
  </conditionalFormatting>
  <conditionalFormatting sqref="L24:L34">
    <cfRule type="cellIs" dxfId="231" priority="160" operator="lessThan">
      <formula>0</formula>
    </cfRule>
  </conditionalFormatting>
  <conditionalFormatting sqref="N24:N34">
    <cfRule type="cellIs" dxfId="230" priority="159" operator="lessThan">
      <formula>0</formula>
    </cfRule>
  </conditionalFormatting>
  <conditionalFormatting sqref="P24:P34">
    <cfRule type="cellIs" dxfId="229" priority="158" operator="lessThan">
      <formula>0</formula>
    </cfRule>
  </conditionalFormatting>
  <conditionalFormatting sqref="R24:T34">
    <cfRule type="cellIs" dxfId="228" priority="157" operator="lessThan">
      <formula>0</formula>
    </cfRule>
  </conditionalFormatting>
  <conditionalFormatting sqref="V24:V34">
    <cfRule type="cellIs" dxfId="227" priority="156" operator="lessThan">
      <formula>0</formula>
    </cfRule>
  </conditionalFormatting>
  <conditionalFormatting sqref="X24:X34">
    <cfRule type="cellIs" dxfId="226" priority="155" operator="lessThan">
      <formula>0</formula>
    </cfRule>
  </conditionalFormatting>
  <conditionalFormatting sqref="Z24:Z34">
    <cfRule type="cellIs" dxfId="225" priority="154" operator="lessThan">
      <formula>0</formula>
    </cfRule>
  </conditionalFormatting>
  <conditionalFormatting sqref="AD24:AD34">
    <cfRule type="cellIs" dxfId="224" priority="153" operator="lessThan">
      <formula>0</formula>
    </cfRule>
  </conditionalFormatting>
  <conditionalFormatting sqref="AF24:AF34">
    <cfRule type="cellIs" dxfId="223" priority="152" operator="lessThan">
      <formula>0</formula>
    </cfRule>
  </conditionalFormatting>
  <conditionalFormatting sqref="AH24:AH34">
    <cfRule type="cellIs" dxfId="222" priority="151" operator="lessThan">
      <formula>0</formula>
    </cfRule>
  </conditionalFormatting>
  <conditionalFormatting sqref="AJ24:AJ34">
    <cfRule type="cellIs" dxfId="221" priority="150" operator="lessThan">
      <formula>0</formula>
    </cfRule>
  </conditionalFormatting>
  <conditionalFormatting sqref="AL24:AL34">
    <cfRule type="cellIs" dxfId="220" priority="149" operator="lessThan">
      <formula>0</formula>
    </cfRule>
  </conditionalFormatting>
  <conditionalFormatting sqref="AN24:AN34">
    <cfRule type="cellIs" dxfId="219" priority="148" operator="lessThan">
      <formula>0</formula>
    </cfRule>
  </conditionalFormatting>
  <conditionalFormatting sqref="AP24:AP34">
    <cfRule type="cellIs" dxfId="218" priority="147" operator="lessThan">
      <formula>0</formula>
    </cfRule>
  </conditionalFormatting>
  <conditionalFormatting sqref="AR24:AR34">
    <cfRule type="cellIs" dxfId="217" priority="146" operator="lessThan">
      <formula>0</formula>
    </cfRule>
  </conditionalFormatting>
  <conditionalFormatting sqref="AT24:AT34">
    <cfRule type="cellIs" dxfId="216" priority="145" operator="lessThan">
      <formula>0</formula>
    </cfRule>
  </conditionalFormatting>
  <conditionalFormatting sqref="AV24:AV34">
    <cfRule type="cellIs" dxfId="215" priority="144" operator="lessThan">
      <formula>0</formula>
    </cfRule>
  </conditionalFormatting>
  <conditionalFormatting sqref="AX24:AX34">
    <cfRule type="cellIs" dxfId="214" priority="143" operator="lessThan">
      <formula>0</formula>
    </cfRule>
  </conditionalFormatting>
  <conditionalFormatting sqref="AZ24:AZ34">
    <cfRule type="cellIs" dxfId="213" priority="142" operator="lessThan">
      <formula>0</formula>
    </cfRule>
  </conditionalFormatting>
  <conditionalFormatting sqref="BB24:BB34">
    <cfRule type="cellIs" dxfId="212" priority="141" operator="lessThan">
      <formula>0</formula>
    </cfRule>
  </conditionalFormatting>
  <conditionalFormatting sqref="BF24:BF34">
    <cfRule type="cellIs" dxfId="211" priority="140" operator="lessThan">
      <formula>0</formula>
    </cfRule>
  </conditionalFormatting>
  <conditionalFormatting sqref="BH24:BH34">
    <cfRule type="cellIs" dxfId="210" priority="139" operator="lessThan">
      <formula>0</formula>
    </cfRule>
  </conditionalFormatting>
  <conditionalFormatting sqref="BK24:BK34">
    <cfRule type="cellIs" dxfId="209" priority="138" operator="lessThan">
      <formula>0</formula>
    </cfRule>
  </conditionalFormatting>
  <conditionalFormatting sqref="BO24:BO34">
    <cfRule type="cellIs" dxfId="208" priority="137" operator="lessThan">
      <formula>0</formula>
    </cfRule>
  </conditionalFormatting>
  <conditionalFormatting sqref="BR24:BR34">
    <cfRule type="cellIs" dxfId="207" priority="136" operator="lessThan">
      <formula>0</formula>
    </cfRule>
  </conditionalFormatting>
  <conditionalFormatting sqref="BT24:BT34">
    <cfRule type="cellIs" dxfId="206" priority="135" operator="lessThan">
      <formula>0</formula>
    </cfRule>
  </conditionalFormatting>
  <conditionalFormatting sqref="BV24:BV34">
    <cfRule type="cellIs" dxfId="205" priority="134" operator="lessThan">
      <formula>0</formula>
    </cfRule>
  </conditionalFormatting>
  <conditionalFormatting sqref="BZ24:BZ34">
    <cfRule type="cellIs" dxfId="204" priority="133" operator="lessThan">
      <formula>0</formula>
    </cfRule>
  </conditionalFormatting>
  <conditionalFormatting sqref="CA24:CA34">
    <cfRule type="cellIs" dxfId="203" priority="132" operator="lessThan">
      <formula>0</formula>
    </cfRule>
  </conditionalFormatting>
  <conditionalFormatting sqref="CD24:CD34">
    <cfRule type="cellIs" dxfId="202" priority="131" operator="lessThan">
      <formula>0</formula>
    </cfRule>
  </conditionalFormatting>
  <conditionalFormatting sqref="CG24:CG34">
    <cfRule type="cellIs" dxfId="201" priority="130" operator="lessThan">
      <formula>0</formula>
    </cfRule>
  </conditionalFormatting>
  <conditionalFormatting sqref="CJ24:CJ34">
    <cfRule type="cellIs" dxfId="200" priority="129" operator="lessThan">
      <formula>0</formula>
    </cfRule>
  </conditionalFormatting>
  <conditionalFormatting sqref="CM24:CM34">
    <cfRule type="cellIs" dxfId="199" priority="128" operator="lessThan">
      <formula>0</formula>
    </cfRule>
  </conditionalFormatting>
  <conditionalFormatting sqref="CP24:CP34">
    <cfRule type="cellIs" dxfId="198" priority="127" operator="lessThan">
      <formula>0</formula>
    </cfRule>
  </conditionalFormatting>
  <conditionalFormatting sqref="CS24:CS34">
    <cfRule type="cellIs" dxfId="197" priority="126" operator="lessThan">
      <formula>0</formula>
    </cfRule>
  </conditionalFormatting>
  <conditionalFormatting sqref="CV24:CV34">
    <cfRule type="cellIs" dxfId="196" priority="125" operator="lessThan">
      <formula>0</formula>
    </cfRule>
  </conditionalFormatting>
  <conditionalFormatting sqref="CY24:CY34">
    <cfRule type="cellIs" dxfId="195" priority="124" operator="lessThan">
      <formula>0</formula>
    </cfRule>
  </conditionalFormatting>
  <conditionalFormatting sqref="DB24:DB34">
    <cfRule type="cellIs" dxfId="194" priority="123" operator="lessThan">
      <formula>0</formula>
    </cfRule>
  </conditionalFormatting>
  <conditionalFormatting sqref="DE24:DE34">
    <cfRule type="cellIs" dxfId="193" priority="122" operator="lessThan">
      <formula>0</formula>
    </cfRule>
  </conditionalFormatting>
  <conditionalFormatting sqref="DH24:DH34">
    <cfRule type="cellIs" dxfId="192" priority="121" operator="lessThan">
      <formula>0</formula>
    </cfRule>
  </conditionalFormatting>
  <conditionalFormatting sqref="DK24:DK34">
    <cfRule type="cellIs" dxfId="191" priority="120" operator="lessThan">
      <formula>0</formula>
    </cfRule>
  </conditionalFormatting>
  <conditionalFormatting sqref="DM24:DM34">
    <cfRule type="cellIs" dxfId="190" priority="119" operator="lessThan">
      <formula>0</formula>
    </cfRule>
  </conditionalFormatting>
  <conditionalFormatting sqref="DO24:DO34">
    <cfRule type="cellIs" dxfId="189" priority="118" operator="lessThan">
      <formula>0</formula>
    </cfRule>
  </conditionalFormatting>
  <conditionalFormatting sqref="DO24:DO31">
    <cfRule type="cellIs" dxfId="188" priority="117" operator="lessThan">
      <formula>0</formula>
    </cfRule>
  </conditionalFormatting>
  <conditionalFormatting sqref="DO32:DO33">
    <cfRule type="cellIs" dxfId="187" priority="116" operator="lessThan">
      <formula>0</formula>
    </cfRule>
  </conditionalFormatting>
  <conditionalFormatting sqref="DO32">
    <cfRule type="cellIs" dxfId="186" priority="115" operator="lessThan">
      <formula>0</formula>
    </cfRule>
  </conditionalFormatting>
  <conditionalFormatting sqref="DO33">
    <cfRule type="cellIs" dxfId="185" priority="114" operator="lessThan">
      <formula>0</formula>
    </cfRule>
  </conditionalFormatting>
  <conditionalFormatting sqref="DQ34">
    <cfRule type="cellIs" dxfId="184" priority="113" operator="lessThan">
      <formula>0</formula>
    </cfRule>
  </conditionalFormatting>
  <conditionalFormatting sqref="DQ29">
    <cfRule type="cellIs" dxfId="183" priority="112" operator="lessThan">
      <formula>0</formula>
    </cfRule>
  </conditionalFormatting>
  <conditionalFormatting sqref="DQ29">
    <cfRule type="cellIs" dxfId="182" priority="111" operator="lessThan">
      <formula>0</formula>
    </cfRule>
  </conditionalFormatting>
  <conditionalFormatting sqref="DQ31">
    <cfRule type="cellIs" dxfId="181" priority="110" operator="lessThan">
      <formula>0</formula>
    </cfRule>
  </conditionalFormatting>
  <conditionalFormatting sqref="DQ31">
    <cfRule type="cellIs" dxfId="180" priority="109" operator="lessThan">
      <formula>0</formula>
    </cfRule>
  </conditionalFormatting>
  <conditionalFormatting sqref="DQ24">
    <cfRule type="cellIs" dxfId="179" priority="108" operator="lessThan">
      <formula>0</formula>
    </cfRule>
  </conditionalFormatting>
  <conditionalFormatting sqref="DQ24">
    <cfRule type="cellIs" dxfId="178" priority="107" operator="lessThan">
      <formula>0</formula>
    </cfRule>
  </conditionalFormatting>
  <conditionalFormatting sqref="DQ25">
    <cfRule type="cellIs" dxfId="177" priority="106" operator="lessThan">
      <formula>0</formula>
    </cfRule>
  </conditionalFormatting>
  <conditionalFormatting sqref="DQ25">
    <cfRule type="cellIs" dxfId="176" priority="105" operator="lessThan">
      <formula>0</formula>
    </cfRule>
  </conditionalFormatting>
  <conditionalFormatting sqref="DQ26:DQ28">
    <cfRule type="cellIs" dxfId="175" priority="104" operator="lessThan">
      <formula>0</formula>
    </cfRule>
  </conditionalFormatting>
  <conditionalFormatting sqref="DQ26:DQ28">
    <cfRule type="cellIs" dxfId="174" priority="103" operator="lessThan">
      <formula>0</formula>
    </cfRule>
  </conditionalFormatting>
  <conditionalFormatting sqref="DQ30">
    <cfRule type="cellIs" dxfId="173" priority="102" operator="lessThan">
      <formula>0</formula>
    </cfRule>
  </conditionalFormatting>
  <conditionalFormatting sqref="DQ30">
    <cfRule type="cellIs" dxfId="172" priority="101" operator="lessThan">
      <formula>0</formula>
    </cfRule>
  </conditionalFormatting>
  <conditionalFormatting sqref="DQ32">
    <cfRule type="cellIs" dxfId="171" priority="100" operator="lessThan">
      <formula>0</formula>
    </cfRule>
  </conditionalFormatting>
  <conditionalFormatting sqref="DQ32">
    <cfRule type="cellIs" dxfId="170" priority="99" operator="lessThan">
      <formula>0</formula>
    </cfRule>
  </conditionalFormatting>
  <conditionalFormatting sqref="DQ33">
    <cfRule type="cellIs" dxfId="169" priority="98" operator="lessThan">
      <formula>0</formula>
    </cfRule>
  </conditionalFormatting>
  <conditionalFormatting sqref="DQ33">
    <cfRule type="cellIs" dxfId="168" priority="97" operator="lessThan">
      <formula>0</formula>
    </cfRule>
  </conditionalFormatting>
  <conditionalFormatting sqref="DS24:DU34">
    <cfRule type="cellIs" dxfId="167" priority="96" operator="lessThan">
      <formula>0</formula>
    </cfRule>
  </conditionalFormatting>
  <conditionalFormatting sqref="B4:B14">
    <cfRule type="cellIs" dxfId="94" priority="95" operator="lessThan">
      <formula>0</formula>
    </cfRule>
  </conditionalFormatting>
  <conditionalFormatting sqref="D5:D14">
    <cfRule type="cellIs" dxfId="93" priority="94" operator="lessThan">
      <formula>0</formula>
    </cfRule>
  </conditionalFormatting>
  <conditionalFormatting sqref="D4">
    <cfRule type="cellIs" dxfId="92" priority="93" operator="lessThan">
      <formula>0</formula>
    </cfRule>
  </conditionalFormatting>
  <conditionalFormatting sqref="G4:G14">
    <cfRule type="cellIs" dxfId="91" priority="92" operator="lessThan">
      <formula>0</formula>
    </cfRule>
  </conditionalFormatting>
  <conditionalFormatting sqref="H15">
    <cfRule type="cellIs" dxfId="90" priority="91" operator="lessThan">
      <formula>0</formula>
    </cfRule>
  </conditionalFormatting>
  <conditionalFormatting sqref="H4:H5">
    <cfRule type="cellIs" dxfId="89" priority="90" operator="lessThan">
      <formula>0</formula>
    </cfRule>
  </conditionalFormatting>
  <conditionalFormatting sqref="H6">
    <cfRule type="cellIs" dxfId="88" priority="89" operator="lessThan">
      <formula>0</formula>
    </cfRule>
  </conditionalFormatting>
  <conditionalFormatting sqref="H7">
    <cfRule type="cellIs" dxfId="87" priority="88" operator="lessThan">
      <formula>0</formula>
    </cfRule>
  </conditionalFormatting>
  <conditionalFormatting sqref="H8:H10">
    <cfRule type="cellIs" dxfId="86" priority="87" operator="lessThan">
      <formula>0</formula>
    </cfRule>
  </conditionalFormatting>
  <conditionalFormatting sqref="H11">
    <cfRule type="cellIs" dxfId="85" priority="86" operator="lessThan">
      <formula>0</formula>
    </cfRule>
  </conditionalFormatting>
  <conditionalFormatting sqref="H12">
    <cfRule type="cellIs" dxfId="84" priority="85" operator="lessThan">
      <formula>0</formula>
    </cfRule>
  </conditionalFormatting>
  <conditionalFormatting sqref="H13">
    <cfRule type="cellIs" dxfId="83" priority="84" operator="lessThan">
      <formula>0</formula>
    </cfRule>
  </conditionalFormatting>
  <conditionalFormatting sqref="H14">
    <cfRule type="cellIs" dxfId="82" priority="83" operator="lessThan">
      <formula>0</formula>
    </cfRule>
  </conditionalFormatting>
  <conditionalFormatting sqref="J4:J5">
    <cfRule type="cellIs" dxfId="81" priority="82" operator="lessThan">
      <formula>0</formula>
    </cfRule>
  </conditionalFormatting>
  <conditionalFormatting sqref="J6">
    <cfRule type="cellIs" dxfId="80" priority="81" operator="lessThan">
      <formula>0</formula>
    </cfRule>
  </conditionalFormatting>
  <conditionalFormatting sqref="J7">
    <cfRule type="cellIs" dxfId="79" priority="80" operator="lessThan">
      <formula>0</formula>
    </cfRule>
  </conditionalFormatting>
  <conditionalFormatting sqref="J8:J10">
    <cfRule type="cellIs" dxfId="78" priority="79" operator="lessThan">
      <formula>0</formula>
    </cfRule>
  </conditionalFormatting>
  <conditionalFormatting sqref="J11">
    <cfRule type="cellIs" dxfId="77" priority="78" operator="lessThan">
      <formula>0</formula>
    </cfRule>
  </conditionalFormatting>
  <conditionalFormatting sqref="J12">
    <cfRule type="cellIs" dxfId="76" priority="77" operator="lessThan">
      <formula>0</formula>
    </cfRule>
  </conditionalFormatting>
  <conditionalFormatting sqref="J13">
    <cfRule type="cellIs" dxfId="75" priority="76" operator="lessThan">
      <formula>0</formula>
    </cfRule>
  </conditionalFormatting>
  <conditionalFormatting sqref="J14">
    <cfRule type="cellIs" dxfId="74" priority="75" operator="lessThan">
      <formula>0</formula>
    </cfRule>
  </conditionalFormatting>
  <conditionalFormatting sqref="L4:L15">
    <cfRule type="cellIs" dxfId="73" priority="74" operator="lessThan">
      <formula>0</formula>
    </cfRule>
  </conditionalFormatting>
  <conditionalFormatting sqref="N4:N14">
    <cfRule type="cellIs" dxfId="72" priority="73" operator="lessThan">
      <formula>0</formula>
    </cfRule>
  </conditionalFormatting>
  <conditionalFormatting sqref="P4:P14">
    <cfRule type="cellIs" dxfId="71" priority="72" operator="lessThan">
      <formula>0</formula>
    </cfRule>
  </conditionalFormatting>
  <conditionalFormatting sqref="R4:T14">
    <cfRule type="cellIs" dxfId="70" priority="71" operator="lessThan">
      <formula>0</formula>
    </cfRule>
  </conditionalFormatting>
  <conditionalFormatting sqref="V4:V14">
    <cfRule type="cellIs" dxfId="69" priority="70" operator="lessThan">
      <formula>0</formula>
    </cfRule>
  </conditionalFormatting>
  <conditionalFormatting sqref="X4:X14">
    <cfRule type="cellIs" dxfId="68" priority="69" operator="lessThan">
      <formula>0</formula>
    </cfRule>
  </conditionalFormatting>
  <conditionalFormatting sqref="Z4:Z14">
    <cfRule type="cellIs" dxfId="67" priority="68" operator="lessThan">
      <formula>0</formula>
    </cfRule>
  </conditionalFormatting>
  <conditionalFormatting sqref="AD4:AD14">
    <cfRule type="cellIs" dxfId="66" priority="67" operator="lessThan">
      <formula>0</formula>
    </cfRule>
  </conditionalFormatting>
  <conditionalFormatting sqref="AF4:AF14">
    <cfRule type="cellIs" dxfId="65" priority="66" operator="lessThan">
      <formula>0</formula>
    </cfRule>
  </conditionalFormatting>
  <conditionalFormatting sqref="AH4:AH14">
    <cfRule type="cellIs" dxfId="64" priority="65" operator="lessThan">
      <formula>0</formula>
    </cfRule>
  </conditionalFormatting>
  <conditionalFormatting sqref="AJ4:AJ14">
    <cfRule type="cellIs" dxfId="63" priority="64" operator="lessThan">
      <formula>0</formula>
    </cfRule>
  </conditionalFormatting>
  <conditionalFormatting sqref="AL4:AL14">
    <cfRule type="cellIs" dxfId="62" priority="63" operator="lessThan">
      <formula>0</formula>
    </cfRule>
  </conditionalFormatting>
  <conditionalFormatting sqref="AN4:AN14">
    <cfRule type="cellIs" dxfId="61" priority="62" operator="lessThan">
      <formula>0</formula>
    </cfRule>
  </conditionalFormatting>
  <conditionalFormatting sqref="AP4:AP14">
    <cfRule type="cellIs" dxfId="60" priority="61" operator="lessThan">
      <formula>0</formula>
    </cfRule>
  </conditionalFormatting>
  <conditionalFormatting sqref="AR4:AR14">
    <cfRule type="cellIs" dxfId="59" priority="60" operator="lessThan">
      <formula>0</formula>
    </cfRule>
  </conditionalFormatting>
  <conditionalFormatting sqref="AT4:AT14">
    <cfRule type="cellIs" dxfId="58" priority="59" operator="lessThan">
      <formula>0</formula>
    </cfRule>
  </conditionalFormatting>
  <conditionalFormatting sqref="AV4:AV14">
    <cfRule type="cellIs" dxfId="57" priority="58" operator="lessThan">
      <formula>0</formula>
    </cfRule>
  </conditionalFormatting>
  <conditionalFormatting sqref="AX4:AX14">
    <cfRule type="cellIs" dxfId="56" priority="57" operator="lessThan">
      <formula>0</formula>
    </cfRule>
  </conditionalFormatting>
  <conditionalFormatting sqref="AZ4:AZ14">
    <cfRule type="cellIs" dxfId="55" priority="56" operator="lessThan">
      <formula>0</formula>
    </cfRule>
  </conditionalFormatting>
  <conditionalFormatting sqref="BB4:BB14">
    <cfRule type="cellIs" dxfId="54" priority="55" operator="lessThan">
      <formula>0</formula>
    </cfRule>
  </conditionalFormatting>
  <conditionalFormatting sqref="BF4:BF14">
    <cfRule type="cellIs" dxfId="53" priority="54" operator="lessThan">
      <formula>0</formula>
    </cfRule>
  </conditionalFormatting>
  <conditionalFormatting sqref="BH4:BH14">
    <cfRule type="cellIs" dxfId="52" priority="53" operator="lessThan">
      <formula>0</formula>
    </cfRule>
  </conditionalFormatting>
  <conditionalFormatting sqref="BK4:BK16">
    <cfRule type="cellIs" dxfId="51" priority="52" operator="lessThan">
      <formula>0</formula>
    </cfRule>
  </conditionalFormatting>
  <conditionalFormatting sqref="BL4:BL14">
    <cfRule type="cellIs" dxfId="50" priority="51" operator="lessThan">
      <formula>0</formula>
    </cfRule>
  </conditionalFormatting>
  <conditionalFormatting sqref="BO4:BO14">
    <cfRule type="cellIs" dxfId="49" priority="50" operator="lessThan">
      <formula>0</formula>
    </cfRule>
  </conditionalFormatting>
  <conditionalFormatting sqref="BR4:BR14">
    <cfRule type="cellIs" dxfId="48" priority="49" operator="lessThan">
      <formula>0</formula>
    </cfRule>
  </conditionalFormatting>
  <conditionalFormatting sqref="BT4:BT14">
    <cfRule type="cellIs" dxfId="47" priority="48" operator="lessThan">
      <formula>0</formula>
    </cfRule>
  </conditionalFormatting>
  <conditionalFormatting sqref="BV4:BV14">
    <cfRule type="cellIs" dxfId="46" priority="47" operator="lessThan">
      <formula>0</formula>
    </cfRule>
  </conditionalFormatting>
  <conditionalFormatting sqref="BZ4:BZ13">
    <cfRule type="cellIs" dxfId="45" priority="46" operator="lessThan">
      <formula>0</formula>
    </cfRule>
  </conditionalFormatting>
  <conditionalFormatting sqref="CA4:CA14">
    <cfRule type="cellIs" dxfId="44" priority="45" operator="lessThan">
      <formula>0</formula>
    </cfRule>
  </conditionalFormatting>
  <conditionalFormatting sqref="CD4:CD14">
    <cfRule type="cellIs" dxfId="43" priority="44" operator="lessThan">
      <formula>0</formula>
    </cfRule>
  </conditionalFormatting>
  <conditionalFormatting sqref="CG4:CG14">
    <cfRule type="cellIs" dxfId="42" priority="43" operator="lessThan">
      <formula>0</formula>
    </cfRule>
  </conditionalFormatting>
  <conditionalFormatting sqref="CJ4:CJ14">
    <cfRule type="cellIs" dxfId="41" priority="42" operator="lessThan">
      <formula>0</formula>
    </cfRule>
  </conditionalFormatting>
  <conditionalFormatting sqref="CM4:CM14">
    <cfRule type="cellIs" dxfId="40" priority="41" operator="lessThan">
      <formula>0</formula>
    </cfRule>
  </conditionalFormatting>
  <conditionalFormatting sqref="CP4:CP14">
    <cfRule type="cellIs" dxfId="39" priority="40" operator="lessThan">
      <formula>0</formula>
    </cfRule>
  </conditionalFormatting>
  <conditionalFormatting sqref="CS4:CS14">
    <cfRule type="cellIs" dxfId="38" priority="39" operator="lessThan">
      <formula>0</formula>
    </cfRule>
  </conditionalFormatting>
  <conditionalFormatting sqref="CV4:CV14">
    <cfRule type="cellIs" dxfId="37" priority="38" operator="lessThan">
      <formula>0</formula>
    </cfRule>
  </conditionalFormatting>
  <conditionalFormatting sqref="CY4:CY14">
    <cfRule type="cellIs" dxfId="36" priority="37" operator="lessThan">
      <formula>0</formula>
    </cfRule>
  </conditionalFormatting>
  <conditionalFormatting sqref="DB4:DB14">
    <cfRule type="cellIs" dxfId="35" priority="36" operator="lessThan">
      <formula>0</formula>
    </cfRule>
  </conditionalFormatting>
  <conditionalFormatting sqref="DE4:DE14">
    <cfRule type="cellIs" dxfId="34" priority="35" operator="lessThan">
      <formula>0</formula>
    </cfRule>
  </conditionalFormatting>
  <conditionalFormatting sqref="DH4:DH14">
    <cfRule type="cellIs" dxfId="33" priority="34" operator="lessThan">
      <formula>0</formula>
    </cfRule>
  </conditionalFormatting>
  <conditionalFormatting sqref="DK13:DK14">
    <cfRule type="cellIs" dxfId="32" priority="33" operator="lessThan">
      <formula>0</formula>
    </cfRule>
  </conditionalFormatting>
  <conditionalFormatting sqref="DK5">
    <cfRule type="cellIs" dxfId="31" priority="32" operator="lessThan">
      <formula>0</formula>
    </cfRule>
  </conditionalFormatting>
  <conditionalFormatting sqref="DK4">
    <cfRule type="cellIs" dxfId="30" priority="31" operator="lessThan">
      <formula>0</formula>
    </cfRule>
  </conditionalFormatting>
  <conditionalFormatting sqref="DK6">
    <cfRule type="cellIs" dxfId="29" priority="30" operator="lessThan">
      <formula>0</formula>
    </cfRule>
  </conditionalFormatting>
  <conditionalFormatting sqref="DK7">
    <cfRule type="cellIs" dxfId="28" priority="29" operator="lessThan">
      <formula>0</formula>
    </cfRule>
  </conditionalFormatting>
  <conditionalFormatting sqref="DK8">
    <cfRule type="cellIs" dxfId="27" priority="28" operator="lessThan">
      <formula>0</formula>
    </cfRule>
  </conditionalFormatting>
  <conditionalFormatting sqref="DK9:DK11">
    <cfRule type="cellIs" dxfId="26" priority="27" operator="lessThan">
      <formula>0</formula>
    </cfRule>
  </conditionalFormatting>
  <conditionalFormatting sqref="DK12">
    <cfRule type="cellIs" dxfId="25" priority="26" operator="lessThan">
      <formula>0</formula>
    </cfRule>
  </conditionalFormatting>
  <conditionalFormatting sqref="DM13:DM14">
    <cfRule type="cellIs" dxfId="24" priority="25" operator="lessThan">
      <formula>0</formula>
    </cfRule>
  </conditionalFormatting>
  <conditionalFormatting sqref="DM5">
    <cfRule type="cellIs" dxfId="23" priority="24" operator="lessThan">
      <formula>0</formula>
    </cfRule>
  </conditionalFormatting>
  <conditionalFormatting sqref="DM4">
    <cfRule type="cellIs" dxfId="22" priority="23" operator="lessThan">
      <formula>0</formula>
    </cfRule>
  </conditionalFormatting>
  <conditionalFormatting sqref="DM6">
    <cfRule type="cellIs" dxfId="21" priority="22" operator="lessThan">
      <formula>0</formula>
    </cfRule>
  </conditionalFormatting>
  <conditionalFormatting sqref="DM7">
    <cfRule type="cellIs" dxfId="20" priority="21" operator="lessThan">
      <formula>0</formula>
    </cfRule>
  </conditionalFormatting>
  <conditionalFormatting sqref="DM8">
    <cfRule type="cellIs" dxfId="19" priority="20" operator="lessThan">
      <formula>0</formula>
    </cfRule>
  </conditionalFormatting>
  <conditionalFormatting sqref="DM9:DM11">
    <cfRule type="cellIs" dxfId="18" priority="19" operator="lessThan">
      <formula>0</formula>
    </cfRule>
  </conditionalFormatting>
  <conditionalFormatting sqref="DM12">
    <cfRule type="cellIs" dxfId="17" priority="18" operator="lessThan">
      <formula>0</formula>
    </cfRule>
  </conditionalFormatting>
  <conditionalFormatting sqref="DO8:DO14">
    <cfRule type="cellIs" dxfId="16" priority="17" operator="lessThan">
      <formula>0</formula>
    </cfRule>
  </conditionalFormatting>
  <conditionalFormatting sqref="DO8:DO14">
    <cfRule type="cellIs" dxfId="15" priority="16" operator="lessThan">
      <formula>0</formula>
    </cfRule>
  </conditionalFormatting>
  <conditionalFormatting sqref="DO5">
    <cfRule type="cellIs" dxfId="14" priority="15" operator="lessThan">
      <formula>0</formula>
    </cfRule>
  </conditionalFormatting>
  <conditionalFormatting sqref="DO4">
    <cfRule type="cellIs" dxfId="13" priority="14" operator="lessThan">
      <formula>0</formula>
    </cfRule>
  </conditionalFormatting>
  <conditionalFormatting sqref="DO6">
    <cfRule type="cellIs" dxfId="12" priority="13" operator="lessThan">
      <formula>0</formula>
    </cfRule>
  </conditionalFormatting>
  <conditionalFormatting sqref="DO7">
    <cfRule type="cellIs" dxfId="11" priority="12" operator="lessThan">
      <formula>0</formula>
    </cfRule>
  </conditionalFormatting>
  <conditionalFormatting sqref="DQ8:DQ13">
    <cfRule type="cellIs" dxfId="10" priority="11" operator="lessThan">
      <formula>0</formula>
    </cfRule>
  </conditionalFormatting>
  <conditionalFormatting sqref="DQ8">
    <cfRule type="cellIs" dxfId="9" priority="10" operator="lessThan">
      <formula>0</formula>
    </cfRule>
  </conditionalFormatting>
  <conditionalFormatting sqref="DQ4">
    <cfRule type="cellIs" dxfId="8" priority="9" operator="lessThan">
      <formula>0</formula>
    </cfRule>
  </conditionalFormatting>
  <conditionalFormatting sqref="DQ5">
    <cfRule type="cellIs" dxfId="7" priority="8" operator="lessThan">
      <formula>0</formula>
    </cfRule>
  </conditionalFormatting>
  <conditionalFormatting sqref="DQ6">
    <cfRule type="cellIs" dxfId="6" priority="7" operator="lessThan">
      <formula>0</formula>
    </cfRule>
  </conditionalFormatting>
  <conditionalFormatting sqref="DQ7">
    <cfRule type="cellIs" dxfId="5" priority="6" operator="lessThan">
      <formula>0</formula>
    </cfRule>
  </conditionalFormatting>
  <conditionalFormatting sqref="DQ9:DQ11">
    <cfRule type="cellIs" dxfId="4" priority="5" operator="lessThan">
      <formula>0</formula>
    </cfRule>
  </conditionalFormatting>
  <conditionalFormatting sqref="DQ12">
    <cfRule type="cellIs" dxfId="3" priority="4" operator="lessThan">
      <formula>0</formula>
    </cfRule>
  </conditionalFormatting>
  <conditionalFormatting sqref="DQ14">
    <cfRule type="cellIs" dxfId="2" priority="3" operator="lessThan">
      <formula>0</formula>
    </cfRule>
  </conditionalFormatting>
  <conditionalFormatting sqref="DS14:DU15 DS4:DU12">
    <cfRule type="cellIs" dxfId="1" priority="2" operator="lessThan">
      <formula>0</formula>
    </cfRule>
  </conditionalFormatting>
  <conditionalFormatting sqref="DS4:DT4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166" priority="374" operator="lessThan">
      <formula>0</formula>
    </cfRule>
  </conditionalFormatting>
  <conditionalFormatting sqref="B34">
    <cfRule type="cellIs" dxfId="165" priority="373" operator="lessThan">
      <formula>0</formula>
    </cfRule>
  </conditionalFormatting>
  <conditionalFormatting sqref="N3:N34">
    <cfRule type="cellIs" dxfId="164" priority="372" operator="lessThan">
      <formula>0</formula>
    </cfRule>
  </conditionalFormatting>
  <conditionalFormatting sqref="N3:N34">
    <cfRule type="cellIs" dxfId="163" priority="371" operator="lessThan">
      <formula>0</formula>
    </cfRule>
  </conditionalFormatting>
  <conditionalFormatting sqref="N3:N34">
    <cfRule type="cellIs" dxfId="162" priority="370" operator="lessThan">
      <formula>0</formula>
    </cfRule>
  </conditionalFormatting>
  <conditionalFormatting sqref="N3:N34">
    <cfRule type="cellIs" dxfId="161" priority="369" operator="lessThan">
      <formula>0</formula>
    </cfRule>
  </conditionalFormatting>
  <conditionalFormatting sqref="N3:N34">
    <cfRule type="cellIs" dxfId="160" priority="368" operator="lessThan">
      <formula>0</formula>
    </cfRule>
  </conditionalFormatting>
  <conditionalFormatting sqref="N3:N34">
    <cfRule type="cellIs" dxfId="159" priority="367" operator="lessThan">
      <formula>0</formula>
    </cfRule>
  </conditionalFormatting>
  <conditionalFormatting sqref="N3:N34">
    <cfRule type="cellIs" dxfId="158" priority="366" operator="lessThan">
      <formula>0</formula>
    </cfRule>
  </conditionalFormatting>
  <conditionalFormatting sqref="N3:N34">
    <cfRule type="cellIs" dxfId="157" priority="365" operator="lessThan">
      <formula>0</formula>
    </cfRule>
  </conditionalFormatting>
  <conditionalFormatting sqref="N3:N34">
    <cfRule type="cellIs" dxfId="156" priority="364" operator="lessThan">
      <formula>0</formula>
    </cfRule>
  </conditionalFormatting>
  <conditionalFormatting sqref="N3:N34">
    <cfRule type="cellIs" dxfId="155" priority="363" operator="lessThan">
      <formula>0</formula>
    </cfRule>
  </conditionalFormatting>
  <conditionalFormatting sqref="N3:N34">
    <cfRule type="cellIs" dxfId="154" priority="362" operator="lessThan">
      <formula>0</formula>
    </cfRule>
  </conditionalFormatting>
  <conditionalFormatting sqref="N3:N34">
    <cfRule type="cellIs" dxfId="153" priority="361" operator="lessThan">
      <formula>0</formula>
    </cfRule>
  </conditionalFormatting>
  <conditionalFormatting sqref="N4:N9">
    <cfRule type="cellIs" dxfId="152" priority="360" operator="lessThan">
      <formula>0</formula>
    </cfRule>
  </conditionalFormatting>
  <conditionalFormatting sqref="N4:N9">
    <cfRule type="cellIs" dxfId="151" priority="359" operator="lessThan">
      <formula>0</formula>
    </cfRule>
  </conditionalFormatting>
  <conditionalFormatting sqref="N3:N34">
    <cfRule type="cellIs" dxfId="150" priority="358" operator="lessThan">
      <formula>0</formula>
    </cfRule>
  </conditionalFormatting>
  <conditionalFormatting sqref="N3:N34">
    <cfRule type="cellIs" dxfId="149" priority="357" operator="lessThan">
      <formula>0</formula>
    </cfRule>
  </conditionalFormatting>
  <conditionalFormatting sqref="N3:N34">
    <cfRule type="cellIs" dxfId="148" priority="356" operator="lessThan">
      <formula>0</formula>
    </cfRule>
  </conditionalFormatting>
  <conditionalFormatting sqref="N3:N34">
    <cfRule type="cellIs" dxfId="147" priority="355" operator="lessThan">
      <formula>0</formula>
    </cfRule>
  </conditionalFormatting>
  <conditionalFormatting sqref="N3:N34">
    <cfRule type="cellIs" dxfId="146" priority="354" operator="lessThan">
      <formula>0</formula>
    </cfRule>
  </conditionalFormatting>
  <conditionalFormatting sqref="N4">
    <cfRule type="cellIs" dxfId="145" priority="353" operator="lessThan">
      <formula>0</formula>
    </cfRule>
  </conditionalFormatting>
  <conditionalFormatting sqref="N3:N34">
    <cfRule type="cellIs" dxfId="144" priority="352" operator="lessThan">
      <formula>0</formula>
    </cfRule>
  </conditionalFormatting>
  <conditionalFormatting sqref="N3:N34">
    <cfRule type="cellIs" dxfId="143" priority="351" operator="lessThan">
      <formula>0</formula>
    </cfRule>
  </conditionalFormatting>
  <conditionalFormatting sqref="N3:N34">
    <cfRule type="cellIs" dxfId="142" priority="350" operator="lessThan">
      <formula>0</formula>
    </cfRule>
  </conditionalFormatting>
  <conditionalFormatting sqref="N3:N34">
    <cfRule type="cellIs" dxfId="141" priority="349" operator="lessThan">
      <formula>0</formula>
    </cfRule>
  </conditionalFormatting>
  <conditionalFormatting sqref="N3:N34">
    <cfRule type="cellIs" dxfId="140" priority="348" operator="lessThan">
      <formula>0</formula>
    </cfRule>
  </conditionalFormatting>
  <conditionalFormatting sqref="N3:N34">
    <cfRule type="cellIs" dxfId="139" priority="347" operator="lessThan">
      <formula>0</formula>
    </cfRule>
  </conditionalFormatting>
  <conditionalFormatting sqref="N3:N34">
    <cfRule type="cellIs" dxfId="138" priority="346" operator="lessThan">
      <formula>0</formula>
    </cfRule>
  </conditionalFormatting>
  <conditionalFormatting sqref="N3:N34">
    <cfRule type="cellIs" dxfId="137" priority="345" operator="lessThan">
      <formula>0</formula>
    </cfRule>
  </conditionalFormatting>
  <conditionalFormatting sqref="N3:N34">
    <cfRule type="cellIs" dxfId="136" priority="344" operator="lessThan">
      <formula>0</formula>
    </cfRule>
  </conditionalFormatting>
  <conditionalFormatting sqref="N3:N34">
    <cfRule type="cellIs" dxfId="135" priority="343" operator="lessThan">
      <formula>0</formula>
    </cfRule>
  </conditionalFormatting>
  <conditionalFormatting sqref="N3:N34">
    <cfRule type="cellIs" dxfId="134" priority="342" operator="lessThan">
      <formula>0</formula>
    </cfRule>
  </conditionalFormatting>
  <conditionalFormatting sqref="N3:N34">
    <cfRule type="cellIs" dxfId="133" priority="341" operator="lessThan">
      <formula>0</formula>
    </cfRule>
  </conditionalFormatting>
  <conditionalFormatting sqref="N3:N34">
    <cfRule type="cellIs" dxfId="132" priority="340" operator="lessThan">
      <formula>0</formula>
    </cfRule>
  </conditionalFormatting>
  <conditionalFormatting sqref="N3:N34">
    <cfRule type="cellIs" dxfId="131" priority="339" operator="lessThan">
      <formula>0</formula>
    </cfRule>
  </conditionalFormatting>
  <conditionalFormatting sqref="N3:N34">
    <cfRule type="cellIs" dxfId="130" priority="338" operator="lessThan">
      <formula>0</formula>
    </cfRule>
  </conditionalFormatting>
  <conditionalFormatting sqref="N3:N34">
    <cfRule type="cellIs" dxfId="129" priority="337" operator="lessThan">
      <formula>0</formula>
    </cfRule>
  </conditionalFormatting>
  <conditionalFormatting sqref="N3:N34">
    <cfRule type="cellIs" dxfId="128" priority="336" operator="lessThan">
      <formula>0</formula>
    </cfRule>
  </conditionalFormatting>
  <conditionalFormatting sqref="N3:N34">
    <cfRule type="cellIs" dxfId="127" priority="335" operator="lessThan">
      <formula>0</formula>
    </cfRule>
  </conditionalFormatting>
  <conditionalFormatting sqref="N3:N34">
    <cfRule type="cellIs" dxfId="126" priority="334" operator="lessThan">
      <formula>0</formula>
    </cfRule>
  </conditionalFormatting>
  <conditionalFormatting sqref="N3:N34">
    <cfRule type="cellIs" dxfId="125" priority="333" operator="lessThan">
      <formula>0</formula>
    </cfRule>
  </conditionalFormatting>
  <conditionalFormatting sqref="N3:N34">
    <cfRule type="cellIs" dxfId="124" priority="332" operator="lessThan">
      <formula>0</formula>
    </cfRule>
  </conditionalFormatting>
  <conditionalFormatting sqref="N3:N34">
    <cfRule type="cellIs" dxfId="123" priority="331" operator="lessThan">
      <formula>0</formula>
    </cfRule>
  </conditionalFormatting>
  <conditionalFormatting sqref="N3:N34">
    <cfRule type="cellIs" dxfId="122" priority="330" operator="lessThan">
      <formula>0</formula>
    </cfRule>
  </conditionalFormatting>
  <conditionalFormatting sqref="N3:N34">
    <cfRule type="cellIs" dxfId="121" priority="329" operator="lessThan">
      <formula>0</formula>
    </cfRule>
  </conditionalFormatting>
  <conditionalFormatting sqref="N3:N34">
    <cfRule type="cellIs" dxfId="120" priority="328" operator="lessThan">
      <formula>0</formula>
    </cfRule>
  </conditionalFormatting>
  <conditionalFormatting sqref="N3:N34">
    <cfRule type="cellIs" dxfId="119" priority="327" operator="lessThan">
      <formula>0</formula>
    </cfRule>
  </conditionalFormatting>
  <conditionalFormatting sqref="N3:N34">
    <cfRule type="cellIs" dxfId="118" priority="326" operator="lessThan">
      <formula>0</formula>
    </cfRule>
  </conditionalFormatting>
  <conditionalFormatting sqref="N3:N34">
    <cfRule type="cellIs" dxfId="117" priority="325" operator="lessThan">
      <formula>0</formula>
    </cfRule>
  </conditionalFormatting>
  <conditionalFormatting sqref="N3:N34">
    <cfRule type="cellIs" dxfId="116" priority="324" operator="lessThan">
      <formula>0</formula>
    </cfRule>
  </conditionalFormatting>
  <conditionalFormatting sqref="N3:N34">
    <cfRule type="cellIs" dxfId="115" priority="323" operator="lessThan">
      <formula>0</formula>
    </cfRule>
  </conditionalFormatting>
  <conditionalFormatting sqref="N3:N34">
    <cfRule type="cellIs" dxfId="114" priority="322" operator="lessThan">
      <formula>0</formula>
    </cfRule>
  </conditionalFormatting>
  <conditionalFormatting sqref="N3:N34">
    <cfRule type="cellIs" dxfId="113" priority="321" operator="lessThan">
      <formula>0</formula>
    </cfRule>
  </conditionalFormatting>
  <conditionalFormatting sqref="N3:N34">
    <cfRule type="cellIs" dxfId="112" priority="320" operator="lessThan">
      <formula>0</formula>
    </cfRule>
  </conditionalFormatting>
  <conditionalFormatting sqref="N3:N34">
    <cfRule type="cellIs" dxfId="111" priority="319" operator="lessThan">
      <formula>0</formula>
    </cfRule>
  </conditionalFormatting>
  <conditionalFormatting sqref="N3:N34">
    <cfRule type="cellIs" dxfId="110" priority="318" operator="lessThan">
      <formula>0</formula>
    </cfRule>
  </conditionalFormatting>
  <conditionalFormatting sqref="N3:N34">
    <cfRule type="cellIs" dxfId="109" priority="317" operator="lessThan">
      <formula>0</formula>
    </cfRule>
  </conditionalFormatting>
  <conditionalFormatting sqref="N3:N34">
    <cfRule type="cellIs" dxfId="108" priority="316" operator="lessThan">
      <formula>0</formula>
    </cfRule>
  </conditionalFormatting>
  <conditionalFormatting sqref="N3:N34">
    <cfRule type="cellIs" dxfId="107" priority="315" operator="lessThan">
      <formula>0</formula>
    </cfRule>
  </conditionalFormatting>
  <conditionalFormatting sqref="N3:N34">
    <cfRule type="cellIs" dxfId="106" priority="314" operator="lessThan">
      <formula>0</formula>
    </cfRule>
  </conditionalFormatting>
  <conditionalFormatting sqref="N5:N9">
    <cfRule type="cellIs" dxfId="105" priority="313" operator="lessThan">
      <formula>0</formula>
    </cfRule>
  </conditionalFormatting>
  <conditionalFormatting sqref="N3:N34">
    <cfRule type="cellIs" dxfId="104" priority="312" operator="lessThan">
      <formula>0</formula>
    </cfRule>
  </conditionalFormatting>
  <conditionalFormatting sqref="N3:N34">
    <cfRule type="cellIs" dxfId="103" priority="311" operator="lessThan">
      <formula>0</formula>
    </cfRule>
  </conditionalFormatting>
  <conditionalFormatting sqref="N3:N34">
    <cfRule type="cellIs" dxfId="102" priority="310" operator="lessThan">
      <formula>0</formula>
    </cfRule>
  </conditionalFormatting>
  <conditionalFormatting sqref="N3:N34">
    <cfRule type="cellIs" dxfId="101" priority="309" operator="lessThan">
      <formula>0</formula>
    </cfRule>
  </conditionalFormatting>
  <conditionalFormatting sqref="N3:N34">
    <cfRule type="cellIs" dxfId="100" priority="308" operator="lessThan">
      <formula>0</formula>
    </cfRule>
  </conditionalFormatting>
  <conditionalFormatting sqref="N3:N34">
    <cfRule type="cellIs" dxfId="99" priority="307" operator="lessThan">
      <formula>0</formula>
    </cfRule>
  </conditionalFormatting>
  <conditionalFormatting sqref="N3:N34">
    <cfRule type="cellIs" dxfId="98" priority="306" operator="lessThan">
      <formula>0</formula>
    </cfRule>
  </conditionalFormatting>
  <conditionalFormatting sqref="N3:N34">
    <cfRule type="cellIs" dxfId="97" priority="305" operator="lessThan">
      <formula>0</formula>
    </cfRule>
  </conditionalFormatting>
  <conditionalFormatting sqref="N3:N34">
    <cfRule type="cellIs" dxfId="96" priority="304" operator="lessThan">
      <formula>0</formula>
    </cfRule>
  </conditionalFormatting>
  <conditionalFormatting sqref="N3:N34">
    <cfRule type="cellIs" dxfId="95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2020-02-12T14:54:48Z</dcterms:modified>
</cp:coreProperties>
</file>