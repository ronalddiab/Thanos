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9 - 2022" sheetId="5" r:id="rId3"/>
  </sheets>
  <definedNames>
    <definedName name="_xlnm.Print_Area" localSheetId="2">'09 - 2022'!$A$1:$J$35</definedName>
  </definedNames>
  <calcPr calcId="162913"/>
</workbook>
</file>

<file path=xl/calcChain.xml><?xml version="1.0" encoding="utf-8"?>
<calcChain xmlns="http://schemas.openxmlformats.org/spreadsheetml/2006/main">
  <c r="A8" i="5" l="1"/>
  <c r="K38" i="5" l="1"/>
  <c r="J38" i="5"/>
  <c r="I38" i="5"/>
  <c r="H38" i="5"/>
  <c r="G38" i="5"/>
  <c r="F38" i="5"/>
  <c r="E38" i="5"/>
  <c r="C38" i="5"/>
  <c r="B38" i="5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L29" i="3"/>
  <c r="K29" i="3"/>
  <c r="I29" i="3"/>
  <c r="G29" i="3"/>
  <c r="E29" i="3"/>
  <c r="L28" i="3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0" i="3" l="1"/>
  <c r="K10" i="3"/>
  <c r="I10" i="3"/>
  <c r="G10" i="3"/>
  <c r="E10" i="3"/>
  <c r="J10" i="2"/>
  <c r="I10" i="2"/>
  <c r="H10" i="2"/>
  <c r="F10" i="2"/>
  <c r="E10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J30" i="2" l="1"/>
  <c r="I30" i="2"/>
  <c r="H30" i="2"/>
  <c r="F30" i="2"/>
  <c r="E30" i="2"/>
  <c r="J29" i="2" l="1"/>
  <c r="I29" i="2"/>
  <c r="H29" i="2"/>
  <c r="F29" i="2"/>
  <c r="E29" i="2"/>
  <c r="J23" i="2" l="1"/>
  <c r="I23" i="2"/>
  <c r="H23" i="2"/>
  <c r="F23" i="2"/>
  <c r="E23" i="2"/>
  <c r="J22" i="2"/>
  <c r="I22" i="2"/>
  <c r="H22" i="2"/>
  <c r="F22" i="2"/>
  <c r="E22" i="2"/>
  <c r="J16" i="2" l="1"/>
  <c r="I16" i="2"/>
  <c r="H16" i="2"/>
  <c r="F16" i="2"/>
  <c r="E16" i="2"/>
  <c r="L16" i="3"/>
  <c r="K16" i="3"/>
  <c r="I16" i="3"/>
  <c r="G16" i="3"/>
  <c r="E16" i="3"/>
  <c r="J15" i="2" l="1"/>
  <c r="I15" i="2"/>
  <c r="H15" i="2"/>
  <c r="F15" i="2"/>
  <c r="E15" i="2"/>
  <c r="L15" i="3"/>
  <c r="K15" i="3"/>
  <c r="I15" i="3"/>
  <c r="G15" i="3"/>
  <c r="E15" i="3"/>
  <c r="J11" i="2" l="1"/>
  <c r="I11" i="2"/>
  <c r="H11" i="2"/>
  <c r="F11" i="2"/>
  <c r="E11" i="2"/>
  <c r="J9" i="2"/>
  <c r="I9" i="2"/>
  <c r="H9" i="2"/>
  <c r="F9" i="2"/>
  <c r="E9" i="2"/>
  <c r="L9" i="3"/>
  <c r="K9" i="3"/>
  <c r="I9" i="3"/>
  <c r="G9" i="3"/>
  <c r="E9" i="3"/>
  <c r="J8" i="2" l="1"/>
  <c r="I8" i="2"/>
  <c r="H8" i="2"/>
  <c r="F8" i="2"/>
  <c r="E8" i="2"/>
  <c r="L8" i="3"/>
  <c r="K8" i="3"/>
  <c r="I8" i="3"/>
  <c r="G8" i="3"/>
  <c r="E8" i="3"/>
  <c r="J2" i="2" l="1"/>
  <c r="I2" i="2"/>
  <c r="H2" i="2"/>
  <c r="F2" i="2"/>
  <c r="E2" i="2"/>
  <c r="I39" i="5" l="1"/>
  <c r="H39" i="5"/>
  <c r="L11" i="3" l="1"/>
  <c r="K11" i="3"/>
  <c r="I11" i="3"/>
  <c r="G11" i="3"/>
  <c r="E11" i="3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<sst xmlns="http://schemas.openxmlformats.org/spreadsheetml/2006/main" count="105" uniqueCount="38">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</sst>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5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5" xfId="2" applyFont="1" applyBorder="1" applyAlignment="1">
      <alignment horizontal="center" vertical="center" wrapText="1"/>
    </xf>
    <xf numFmtId="43" fontId="3" fillId="0" borderId="15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0" fillId="0" borderId="13" xfId="0" applyFont="1" applyBorder="1" applyAlignment="1">
      <alignment horizontal="center"/>
    </xf>
    <xf numFmtId="1" fontId="0" fillId="0" borderId="13" xfId="0" applyNumberFormat="1" applyFont="1" applyBorder="1" applyAlignment="1">
      <alignment horizontal="center"/>
    </xf>
    <xf numFmtId="1" fontId="0" fillId="0" borderId="0" xfId="1" applyNumberFormat="1" applyFont="1" applyBorder="1" applyAlignment="1">
      <alignment horizontal="right"/>
    </xf>
    <xf numFmtId="43" fontId="5" fillId="0" borderId="3" xfId="2" applyFont="1" applyBorder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/>
    </xf>
    <xf numFmtId="43" fontId="5" fillId="0" borderId="4" xfId="2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164" fontId="10" fillId="0" borderId="17" xfId="0" applyNumberFormat="1" applyFont="1" applyBorder="1" applyAlignment="1">
      <alignment horizontal="center"/>
    </xf>
    <xf numFmtId="43" fontId="10" fillId="0" borderId="18" xfId="2" applyFont="1" applyBorder="1" applyAlignment="1">
      <alignment horizontal="center" vertical="center"/>
    </xf>
    <xf numFmtId="43" fontId="10" fillId="2" borderId="18" xfId="2" applyFont="1" applyFill="1" applyBorder="1" applyAlignment="1">
      <alignment horizontal="center" vertical="center"/>
    </xf>
    <xf numFmtId="9" fontId="10" fillId="0" borderId="18" xfId="0" applyNumberFormat="1" applyFont="1" applyBorder="1" applyAlignment="1">
      <alignment horizontal="center" vertical="center"/>
    </xf>
    <xf numFmtId="43" fontId="10" fillId="0" borderId="18" xfId="2" applyFont="1" applyFill="1" applyBorder="1" applyAlignment="1" applyProtection="1">
      <alignment horizontal="center" vertical="center"/>
      <protection locked="0"/>
    </xf>
    <xf numFmtId="43" fontId="10" fillId="0" borderId="18" xfId="2" applyFont="1" applyFill="1" applyBorder="1" applyAlignment="1">
      <alignment horizontal="center" vertical="center"/>
    </xf>
    <xf numFmtId="43" fontId="3" fillId="0" borderId="18" xfId="2" applyFont="1" applyBorder="1" applyAlignment="1">
      <alignment horizontal="center" vertical="center"/>
    </xf>
    <xf numFmtId="0" fontId="10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topLeftCell="A4" workbookViewId="0">
      <selection activeCell="O15" sqref="O15:P15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9</v>
      </c>
      <c r="D2" s="13">
        <v>2022</v>
      </c>
      <c r="E2" s="15">
        <f>'09 - 2022'!B8-'09 - 2022'!B7+'09 - 2022'!C8-'09 - 2022'!C7</f>
        <v>9785</v>
      </c>
      <c r="F2" s="13">
        <v>0.11799999999999999</v>
      </c>
      <c r="G2" s="15">
        <f>'09 - 2022'!D8-'09 - 2022'!D7+'09 - 2022'!E8-'09 - 2022'!E7</f>
        <v>23.239999999999782</v>
      </c>
      <c r="H2" s="13">
        <v>0.99</v>
      </c>
      <c r="I2" s="15">
        <f>'09 - 2022'!J8-'09 - 2022'!J7</f>
        <v>35362</v>
      </c>
      <c r="J2" s="13">
        <v>8.1000000000000003E-2</v>
      </c>
      <c r="K2" s="21">
        <f>'09 - 2022'!H8-'09 - 2022'!H7</f>
        <v>416</v>
      </c>
      <c r="L2" s="15">
        <f>'09 - 2022'!I8-'09 - 2022'!I7</f>
        <v>120</v>
      </c>
      <c r="M2" s="14">
        <v>4.393629424766913</v>
      </c>
      <c r="N2" s="16">
        <v>61</v>
      </c>
    </row>
    <row r="3" spans="1:23" x14ac:dyDescent="0.25">
      <c r="A3" t="s">
        <v>27</v>
      </c>
      <c r="B3">
        <f>B2+1</f>
        <v>2</v>
      </c>
      <c r="C3" s="13">
        <v>9</v>
      </c>
      <c r="D3" s="13">
        <v>2022</v>
      </c>
      <c r="E3" s="15">
        <v>0</v>
      </c>
      <c r="F3" s="13">
        <v>0.11799999999999999</v>
      </c>
      <c r="G3" s="15">
        <v>0</v>
      </c>
      <c r="H3" s="13">
        <v>0.99</v>
      </c>
      <c r="I3" s="15">
        <v>0</v>
      </c>
      <c r="J3" s="13">
        <v>8.1000000000000003E-2</v>
      </c>
      <c r="K3" s="21">
        <v>0</v>
      </c>
      <c r="L3" s="15">
        <v>0</v>
      </c>
      <c r="M3" s="14">
        <v>4.393629424766913</v>
      </c>
      <c r="N3" s="58"/>
    </row>
    <row r="4" spans="1:23" x14ac:dyDescent="0.25">
      <c r="A4" t="s">
        <v>27</v>
      </c>
      <c r="B4">
        <f t="shared" ref="B4:B31" si="0">B3+1</f>
        <v>3</v>
      </c>
      <c r="C4" s="13">
        <v>9</v>
      </c>
      <c r="D4" s="13">
        <v>2022</v>
      </c>
      <c r="E4" s="15">
        <f>'09 - 2022'!B10-'09 - 2022'!B9+'09 - 2022'!C10-'09 - 2022'!C9</f>
        <v>0</v>
      </c>
      <c r="F4" s="13">
        <v>0.11799999999999999</v>
      </c>
      <c r="G4" s="15">
        <f>'09 - 2022'!D10-'09 - 2022'!D9+'09 - 2022'!E10-'09 - 2022'!E9</f>
        <v>0</v>
      </c>
      <c r="H4" s="13">
        <v>0.99</v>
      </c>
      <c r="I4" s="15">
        <f>'09 - 2022'!J10-'09 - 2022'!J9</f>
        <v>0</v>
      </c>
      <c r="J4" s="13">
        <v>8.1000000000000003E-2</v>
      </c>
      <c r="K4" s="21">
        <f>'09 - 2022'!H10-'09 - 2022'!H9</f>
        <v>0</v>
      </c>
      <c r="L4" s="15">
        <f>'09 - 2022'!I10-'09 - 2022'!I9</f>
        <v>0</v>
      </c>
      <c r="M4" s="14">
        <v>4.393629424766913</v>
      </c>
      <c r="N4" s="16"/>
    </row>
    <row r="5" spans="1:23" x14ac:dyDescent="0.25">
      <c r="A5" t="s">
        <v>27</v>
      </c>
      <c r="B5">
        <f t="shared" si="0"/>
        <v>4</v>
      </c>
      <c r="C5" s="13">
        <v>9</v>
      </c>
      <c r="D5" s="13">
        <v>2022</v>
      </c>
      <c r="E5" s="15">
        <f>'09 - 2022'!B11-'09 - 2022'!B10+'09 - 2022'!C11-'09 - 2022'!C10</f>
        <v>0</v>
      </c>
      <c r="F5" s="13">
        <v>0.11799999999999999</v>
      </c>
      <c r="G5" s="15">
        <f>'09 - 2022'!D11-'09 - 2022'!D10+'09 - 2022'!E11-'09 - 2022'!E10</f>
        <v>0</v>
      </c>
      <c r="H5" s="13">
        <v>0.99</v>
      </c>
      <c r="I5" s="15">
        <f>'09 - 2022'!J11-'09 - 2022'!J10</f>
        <v>0</v>
      </c>
      <c r="J5" s="13">
        <v>8.1000000000000003E-2</v>
      </c>
      <c r="K5" s="21">
        <f>'09 - 2022'!H11-'09 - 2022'!H10</f>
        <v>0</v>
      </c>
      <c r="L5" s="15">
        <f>'09 - 2022'!I11-'09 - 2022'!I10</f>
        <v>0</v>
      </c>
      <c r="M5" s="14">
        <v>4.393629424766913</v>
      </c>
      <c r="N5" s="16"/>
      <c r="R5" s="13"/>
    </row>
    <row r="6" spans="1:23" x14ac:dyDescent="0.25">
      <c r="A6" t="s">
        <v>27</v>
      </c>
      <c r="B6">
        <f t="shared" si="0"/>
        <v>5</v>
      </c>
      <c r="C6" s="13">
        <v>9</v>
      </c>
      <c r="D6" s="13">
        <v>2022</v>
      </c>
      <c r="E6" s="15">
        <f>'09 - 2022'!B12-'09 - 2022'!B11+'09 - 2022'!C12-'09 - 2022'!C11</f>
        <v>0</v>
      </c>
      <c r="F6" s="13">
        <v>0.11799999999999999</v>
      </c>
      <c r="G6" s="15">
        <f>'09 - 2022'!D12-'09 - 2022'!D11+'09 - 2022'!E12-'09 - 2022'!E11</f>
        <v>0</v>
      </c>
      <c r="H6" s="13">
        <v>0.99</v>
      </c>
      <c r="I6" s="15">
        <f>'09 - 2022'!J12-'09 - 2022'!J11</f>
        <v>0</v>
      </c>
      <c r="J6" s="13">
        <v>8.1000000000000003E-2</v>
      </c>
      <c r="K6" s="21">
        <f>'09 - 2022'!H12-'09 - 2022'!H11</f>
        <v>0</v>
      </c>
      <c r="L6" s="15">
        <f>'09 - 2022'!I12-'09 - 2022'!I11</f>
        <v>0</v>
      </c>
      <c r="M6" s="14">
        <v>4.393629424766913</v>
      </c>
      <c r="N6" s="16"/>
    </row>
    <row r="7" spans="1:23" x14ac:dyDescent="0.25">
      <c r="A7" t="s">
        <v>27</v>
      </c>
      <c r="B7">
        <f t="shared" si="0"/>
        <v>6</v>
      </c>
      <c r="C7" s="13">
        <v>9</v>
      </c>
      <c r="D7" s="13">
        <v>2022</v>
      </c>
      <c r="E7" s="15">
        <f>'09 - 2022'!B13-'09 - 2022'!B12+'09 - 2022'!C13-'09 - 2022'!C12</f>
        <v>0</v>
      </c>
      <c r="F7" s="13">
        <v>0.11799999999999999</v>
      </c>
      <c r="G7" s="15">
        <f>'09 - 2022'!D13-'09 - 2022'!D12+'09 - 2022'!E13-'09 - 2022'!E12</f>
        <v>0</v>
      </c>
      <c r="H7" s="13">
        <v>0.99</v>
      </c>
      <c r="I7" s="15">
        <f>'09 - 2022'!J13-'09 - 2022'!J12</f>
        <v>0</v>
      </c>
      <c r="J7" s="13">
        <v>8.1000000000000003E-2</v>
      </c>
      <c r="K7" s="21">
        <f>'09 - 2022'!H13-'09 - 2022'!H12</f>
        <v>0</v>
      </c>
      <c r="L7" s="15">
        <f>'09 - 2022'!I13-'09 - 2022'!I12</f>
        <v>0</v>
      </c>
      <c r="M7" s="14">
        <v>4.393629424766913</v>
      </c>
      <c r="N7" s="16"/>
    </row>
    <row r="8" spans="1:23" x14ac:dyDescent="0.25">
      <c r="A8" t="s">
        <v>27</v>
      </c>
      <c r="B8">
        <f t="shared" si="0"/>
        <v>7</v>
      </c>
      <c r="C8" s="13">
        <v>9</v>
      </c>
      <c r="D8" s="13">
        <v>2022</v>
      </c>
      <c r="E8" s="15">
        <f>'09 - 2022'!B14-'09 - 2022'!B13+'09 - 2022'!C14-'09 - 2022'!C13</f>
        <v>0</v>
      </c>
      <c r="F8" s="13">
        <v>0.11799999999999999</v>
      </c>
      <c r="G8" s="15">
        <f>'09 - 2022'!D14-'09 - 2022'!D13+'09 - 2022'!E14-'09 - 2022'!E13</f>
        <v>0</v>
      </c>
      <c r="H8" s="13">
        <v>0.99</v>
      </c>
      <c r="I8" s="15">
        <f>'09 - 2022'!J14-'09 - 2022'!J13</f>
        <v>0</v>
      </c>
      <c r="J8" s="13">
        <v>8.1000000000000003E-2</v>
      </c>
      <c r="K8" s="21">
        <f>'09 - 2022'!H14-'09 - 2022'!H13</f>
        <v>0</v>
      </c>
      <c r="L8" s="15">
        <f>'09 - 2022'!I14-'09 - 2022'!I13</f>
        <v>0</v>
      </c>
      <c r="M8" s="14">
        <v>4.393629424766913</v>
      </c>
      <c r="N8" s="16"/>
      <c r="O8" s="15"/>
    </row>
    <row r="9" spans="1:23" x14ac:dyDescent="0.25">
      <c r="A9" t="s">
        <v>27</v>
      </c>
      <c r="B9">
        <f t="shared" si="0"/>
        <v>8</v>
      </c>
      <c r="C9" s="13">
        <v>9</v>
      </c>
      <c r="D9" s="13">
        <v>2022</v>
      </c>
      <c r="E9" s="15">
        <f>'09 - 2022'!B15-'09 - 2022'!B14+'09 - 2022'!C15-'09 - 2022'!C14</f>
        <v>0</v>
      </c>
      <c r="F9" s="13">
        <v>0.11799999999999999</v>
      </c>
      <c r="G9" s="15">
        <f>'09 - 2022'!D15-'09 - 2022'!D14+'09 - 2022'!E15-'09 - 2022'!E14</f>
        <v>0</v>
      </c>
      <c r="H9" s="13">
        <v>0.99</v>
      </c>
      <c r="I9" s="15">
        <f>'09 - 2022'!J15-'09 - 2022'!J14</f>
        <v>0</v>
      </c>
      <c r="J9" s="13">
        <v>8.1000000000000003E-2</v>
      </c>
      <c r="K9" s="21">
        <f>'09 - 2022'!H15-'09 - 2022'!H14</f>
        <v>0</v>
      </c>
      <c r="L9" s="15">
        <f>'09 - 2022'!I15-'09 - 2022'!I14</f>
        <v>0</v>
      </c>
      <c r="M9" s="14">
        <v>4.393629424766913</v>
      </c>
      <c r="N9" s="16"/>
    </row>
    <row r="10" spans="1:23" x14ac:dyDescent="0.25">
      <c r="A10" t="s">
        <v>27</v>
      </c>
      <c r="B10">
        <f t="shared" si="0"/>
        <v>9</v>
      </c>
      <c r="C10" s="13">
        <v>9</v>
      </c>
      <c r="D10" s="13">
        <v>2022</v>
      </c>
      <c r="E10" s="15">
        <f>'09 - 2022'!B16-'09 - 2022'!B15+'09 - 2022'!C16-'09 - 2022'!C15</f>
        <v>0</v>
      </c>
      <c r="F10" s="13">
        <v>0.11799999999999999</v>
      </c>
      <c r="G10" s="15">
        <f>'09 - 2022'!D16-'09 - 2022'!D15+'09 - 2022'!E16-'09 - 2022'!E15</f>
        <v>0</v>
      </c>
      <c r="H10" s="13">
        <v>0.99</v>
      </c>
      <c r="I10" s="15">
        <f>'09 - 2022'!J16-'09 - 2022'!J15</f>
        <v>0</v>
      </c>
      <c r="J10" s="13">
        <v>8.1000000000000003E-2</v>
      </c>
      <c r="K10" s="21">
        <f>'09 - 2022'!H16-'09 - 2022'!H15</f>
        <v>0</v>
      </c>
      <c r="L10" s="15">
        <f>'09 - 2022'!I16-'09 - 2022'!I15</f>
        <v>0</v>
      </c>
      <c r="M10" s="14">
        <v>4.393629424766913</v>
      </c>
      <c r="N10" s="16"/>
    </row>
    <row r="11" spans="1:23" x14ac:dyDescent="0.25">
      <c r="A11" t="s">
        <v>27</v>
      </c>
      <c r="B11">
        <f t="shared" si="0"/>
        <v>10</v>
      </c>
      <c r="C11" s="13">
        <v>9</v>
      </c>
      <c r="D11" s="13">
        <v>2022</v>
      </c>
      <c r="E11" s="15">
        <f>'09 - 2022'!B17-'09 - 2022'!B16+'09 - 2022'!C17-'09 - 2022'!C16</f>
        <v>0</v>
      </c>
      <c r="F11" s="13">
        <v>0.11799999999999999</v>
      </c>
      <c r="G11" s="15">
        <f>'09 - 2022'!D17-'09 - 2022'!D16+'09 - 2022'!E17-'09 - 2022'!E16</f>
        <v>0</v>
      </c>
      <c r="H11" s="13">
        <v>0.99</v>
      </c>
      <c r="I11" s="15">
        <f>'09 - 2022'!J17-'09 - 2022'!J16</f>
        <v>0</v>
      </c>
      <c r="J11" s="13">
        <v>8.1000000000000003E-2</v>
      </c>
      <c r="K11" s="21">
        <f>'09 - 2022'!H17-'09 - 2022'!H16</f>
        <v>0</v>
      </c>
      <c r="L11" s="15">
        <f>'09 - 2022'!I17-'09 - 2022'!I16</f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9</v>
      </c>
      <c r="D12" s="13">
        <v>2022</v>
      </c>
      <c r="E12" s="15">
        <f>'09 - 2022'!B18-'09 - 2022'!B17+'09 - 2022'!C18-'09 - 2022'!C17</f>
        <v>0</v>
      </c>
      <c r="F12" s="13">
        <v>0.11799999999999999</v>
      </c>
      <c r="G12" s="15">
        <f>'09 - 2022'!D18-'09 - 2022'!D17+'09 - 2022'!E18-'09 - 2022'!E17</f>
        <v>0</v>
      </c>
      <c r="H12" s="13">
        <v>0.99</v>
      </c>
      <c r="I12" s="15">
        <f>'09 - 2022'!J18-'09 - 2022'!J17</f>
        <v>0</v>
      </c>
      <c r="J12" s="13">
        <v>8.1000000000000003E-2</v>
      </c>
      <c r="K12" s="21">
        <f>'09 - 2022'!H18-'09 - 2022'!H17</f>
        <v>0</v>
      </c>
      <c r="L12" s="15">
        <f>'09 - 2022'!I18-'09 - 2022'!I17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9</v>
      </c>
      <c r="D13" s="13">
        <v>2022</v>
      </c>
      <c r="E13" s="15">
        <f>'09 - 2022'!B19-'09 - 2022'!B18+'09 - 2022'!C19-'09 - 2022'!C18</f>
        <v>0</v>
      </c>
      <c r="F13" s="13">
        <v>0.11799999999999999</v>
      </c>
      <c r="G13" s="15">
        <f>'09 - 2022'!D19-'09 - 2022'!D18+'09 - 2022'!E19-'09 - 2022'!E18</f>
        <v>0</v>
      </c>
      <c r="H13" s="13">
        <v>0.99</v>
      </c>
      <c r="I13" s="15">
        <f>'09 - 2022'!J19-'09 - 2022'!J18</f>
        <v>0</v>
      </c>
      <c r="J13" s="13">
        <v>8.1000000000000003E-2</v>
      </c>
      <c r="K13" s="21">
        <f>'09 - 2022'!H19-'09 - 2022'!H18</f>
        <v>0</v>
      </c>
      <c r="L13" s="15">
        <f>'09 - 2022'!I19-'09 - 2022'!I18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9</v>
      </c>
      <c r="D14" s="13">
        <v>2022</v>
      </c>
      <c r="E14" s="15">
        <f>'09 - 2022'!B20-'09 - 2022'!B19+'09 - 2022'!C20-'09 - 2022'!C19</f>
        <v>0</v>
      </c>
      <c r="F14" s="13">
        <v>0.11799999999999999</v>
      </c>
      <c r="G14" s="15">
        <f>'09 - 2022'!D20-'09 - 2022'!D19+'09 - 2022'!E20-'09 - 2022'!E19</f>
        <v>0</v>
      </c>
      <c r="H14" s="13">
        <v>0.99</v>
      </c>
      <c r="I14" s="15">
        <f>'09 - 2022'!J20-'09 - 2022'!J19</f>
        <v>0</v>
      </c>
      <c r="J14" s="13">
        <v>8.1000000000000003E-2</v>
      </c>
      <c r="K14" s="21">
        <f>'09 - 2022'!H20-'09 - 2022'!H19</f>
        <v>0</v>
      </c>
      <c r="L14" s="15">
        <f>'09 - 2022'!I20-'09 - 2022'!I19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9</v>
      </c>
      <c r="D15" s="13">
        <v>2022</v>
      </c>
      <c r="E15" s="15">
        <f>'09 - 2022'!B21-'09 - 2022'!B20+'09 - 2022'!C21-'09 - 2022'!C20</f>
        <v>0</v>
      </c>
      <c r="F15" s="13">
        <v>0.11799999999999999</v>
      </c>
      <c r="G15" s="15">
        <f>'09 - 2022'!D21-'09 - 2022'!D20+'09 - 2022'!E21-'09 - 2022'!E20</f>
        <v>0</v>
      </c>
      <c r="H15" s="13">
        <v>0.99</v>
      </c>
      <c r="I15" s="15">
        <f>'09 - 2022'!J21-'09 - 2022'!J20</f>
        <v>0</v>
      </c>
      <c r="J15" s="13">
        <v>8.1000000000000003E-2</v>
      </c>
      <c r="K15" s="21">
        <f>'09 - 2022'!H21-'09 - 2022'!H20</f>
        <v>0</v>
      </c>
      <c r="L15" s="15">
        <f>'09 - 2022'!I21-'09 - 2022'!I20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9</v>
      </c>
      <c r="D16" s="13">
        <v>2022</v>
      </c>
      <c r="E16" s="15">
        <f>'09 - 2022'!B22-'09 - 2022'!B21+'09 - 2022'!C22-'09 - 2022'!C21</f>
        <v>0</v>
      </c>
      <c r="F16" s="13">
        <v>0.11799999999999999</v>
      </c>
      <c r="G16" s="15">
        <f>'09 - 2022'!D22-'09 - 2022'!D21+'09 - 2022'!E22-'09 - 2022'!E21</f>
        <v>0</v>
      </c>
      <c r="H16" s="13">
        <v>0.99</v>
      </c>
      <c r="I16" s="15">
        <f>'09 - 2022'!J22-'09 - 2022'!J21</f>
        <v>0</v>
      </c>
      <c r="J16" s="13">
        <v>8.1000000000000003E-2</v>
      </c>
      <c r="K16" s="21">
        <f>'09 - 2022'!H22-'09 - 2022'!H21</f>
        <v>0</v>
      </c>
      <c r="L16" s="15">
        <f>'09 - 2022'!I22-'09 - 2022'!I21</f>
        <v>0</v>
      </c>
      <c r="M16" s="14">
        <v>4.393629424766913</v>
      </c>
      <c r="N16" s="16"/>
      <c r="U16" s="13"/>
    </row>
    <row r="17" spans="1:17" x14ac:dyDescent="0.25">
      <c r="A17" t="s">
        <v>27</v>
      </c>
      <c r="B17">
        <f t="shared" si="0"/>
        <v>16</v>
      </c>
      <c r="C17" s="13">
        <v>9</v>
      </c>
      <c r="D17" s="13">
        <v>2022</v>
      </c>
      <c r="E17" s="15">
        <f>'09 - 2022'!B23-'09 - 2022'!B22+'09 - 2022'!C23-'09 - 2022'!C22</f>
        <v>0</v>
      </c>
      <c r="F17" s="13">
        <v>0.11799999999999999</v>
      </c>
      <c r="G17" s="15">
        <f>'09 - 2022'!D23-'09 - 2022'!D22+'09 - 2022'!E23-'09 - 2022'!E22</f>
        <v>0</v>
      </c>
      <c r="H17" s="13">
        <v>0.99</v>
      </c>
      <c r="I17" s="15">
        <f>'09 - 2022'!J23-'09 - 2022'!J22</f>
        <v>0</v>
      </c>
      <c r="J17" s="13">
        <v>8.1000000000000003E-2</v>
      </c>
      <c r="K17" s="21">
        <f>'09 - 2022'!H23-'09 - 2022'!H22</f>
        <v>0</v>
      </c>
      <c r="L17" s="15">
        <f>'09 - 2022'!I23-'09 - 2022'!I22</f>
        <v>0</v>
      </c>
      <c r="M17" s="14">
        <v>4.393629424766913</v>
      </c>
      <c r="N17" s="16"/>
      <c r="O17" s="13"/>
    </row>
    <row r="18" spans="1:17" x14ac:dyDescent="0.25">
      <c r="A18" t="s">
        <v>27</v>
      </c>
      <c r="B18">
        <f t="shared" si="0"/>
        <v>17</v>
      </c>
      <c r="C18" s="13">
        <v>9</v>
      </c>
      <c r="D18" s="13">
        <v>2022</v>
      </c>
      <c r="E18" s="15">
        <f>'09 - 2022'!B24-'09 - 2022'!B23+'09 - 2022'!C24-'09 - 2022'!C23</f>
        <v>0</v>
      </c>
      <c r="F18" s="13">
        <v>0.11799999999999999</v>
      </c>
      <c r="G18" s="15">
        <f>'09 - 2022'!D24-'09 - 2022'!D23+'09 - 2022'!E24-'09 - 2022'!E23</f>
        <v>0</v>
      </c>
      <c r="H18" s="13">
        <v>0.99</v>
      </c>
      <c r="I18" s="15">
        <f>'09 - 2022'!J24-'09 - 2022'!J23</f>
        <v>0</v>
      </c>
      <c r="J18" s="13">
        <v>8.1000000000000003E-2</v>
      </c>
      <c r="K18" s="21">
        <f>'09 - 2022'!H24-'09 - 2022'!H23</f>
        <v>0</v>
      </c>
      <c r="L18" s="15">
        <f>'09 - 2022'!I24-'09 - 2022'!I23</f>
        <v>0</v>
      </c>
      <c r="M18" s="14">
        <v>4.393629424766913</v>
      </c>
      <c r="N18" s="16"/>
      <c r="Q18" s="13"/>
    </row>
    <row r="19" spans="1:17" x14ac:dyDescent="0.25">
      <c r="A19" t="s">
        <v>27</v>
      </c>
      <c r="B19">
        <f>B18+1</f>
        <v>18</v>
      </c>
      <c r="C19" s="13">
        <v>9</v>
      </c>
      <c r="D19" s="13">
        <v>2022</v>
      </c>
      <c r="E19" s="15">
        <f>'09 - 2022'!B25-'09 - 2022'!B24+'09 - 2022'!C25-'09 - 2022'!C24</f>
        <v>0</v>
      </c>
      <c r="F19" s="13">
        <v>0.11799999999999999</v>
      </c>
      <c r="G19" s="15">
        <f>'09 - 2022'!D25-'09 - 2022'!D24+'09 - 2022'!E25-'09 - 2022'!E24</f>
        <v>0</v>
      </c>
      <c r="H19" s="13">
        <v>0.99</v>
      </c>
      <c r="I19" s="15">
        <f>'09 - 2022'!J25-'09 - 2022'!J24</f>
        <v>0</v>
      </c>
      <c r="J19" s="13">
        <v>8.1000000000000003E-2</v>
      </c>
      <c r="K19" s="21">
        <f>'09 - 2022'!H25-'09 - 2022'!H24</f>
        <v>0</v>
      </c>
      <c r="L19" s="15">
        <f>'09 - 2022'!I25-'09 - 2022'!I24</f>
        <v>0</v>
      </c>
      <c r="M19" s="14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3">
        <v>9</v>
      </c>
      <c r="D20" s="13">
        <v>2022</v>
      </c>
      <c r="E20" s="15">
        <f>'09 - 2022'!B26-'09 - 2022'!B25+'09 - 2022'!C26-'09 - 2022'!C25</f>
        <v>0</v>
      </c>
      <c r="F20" s="13">
        <v>0.11799999999999999</v>
      </c>
      <c r="G20" s="15">
        <f>'09 - 2022'!D26-'09 - 2022'!D25+'09 - 2022'!E26-'09 - 2022'!E25</f>
        <v>0</v>
      </c>
      <c r="H20" s="13">
        <v>0.99</v>
      </c>
      <c r="I20" s="15">
        <f>'09 - 2022'!J26-'09 - 2022'!J25</f>
        <v>0</v>
      </c>
      <c r="J20" s="13">
        <v>8.1000000000000003E-2</v>
      </c>
      <c r="K20" s="21">
        <f>'09 - 2022'!H26-'09 - 2022'!H25</f>
        <v>0</v>
      </c>
      <c r="L20" s="15">
        <f>'09 - 2022'!I26-'09 - 2022'!I25</f>
        <v>0</v>
      </c>
      <c r="M20" s="14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3">
        <v>9</v>
      </c>
      <c r="D21" s="13">
        <v>2022</v>
      </c>
      <c r="E21" s="15">
        <f>'09 - 2022'!B27-'09 - 2022'!B26+'09 - 2022'!C27-'09 - 2022'!C26</f>
        <v>0</v>
      </c>
      <c r="F21" s="13">
        <v>0.11799999999999999</v>
      </c>
      <c r="G21" s="15">
        <f>'09 - 2022'!D27-'09 - 2022'!D26+'09 - 2022'!E27-'09 - 2022'!E26</f>
        <v>0</v>
      </c>
      <c r="H21" s="13">
        <v>0.99</v>
      </c>
      <c r="I21" s="15">
        <f>'09 - 2022'!J27-'09 - 2022'!J26</f>
        <v>0</v>
      </c>
      <c r="J21" s="13">
        <v>8.1000000000000003E-2</v>
      </c>
      <c r="K21" s="21">
        <f>'09 - 2022'!H27-'09 - 2022'!H26</f>
        <v>0</v>
      </c>
      <c r="L21" s="15">
        <f>'09 - 2022'!I27-'09 - 2022'!I26</f>
        <v>0</v>
      </c>
      <c r="M21" s="14">
        <v>4.393629424766913</v>
      </c>
      <c r="N21" s="58"/>
    </row>
    <row r="22" spans="1:17" x14ac:dyDescent="0.25">
      <c r="A22" t="s">
        <v>27</v>
      </c>
      <c r="B22">
        <f t="shared" si="0"/>
        <v>21</v>
      </c>
      <c r="C22" s="13">
        <v>9</v>
      </c>
      <c r="D22" s="13">
        <v>2022</v>
      </c>
      <c r="E22" s="15">
        <f>'09 - 2022'!B28-'09 - 2022'!B27+'09 - 2022'!C28-'09 - 2022'!C27</f>
        <v>0</v>
      </c>
      <c r="F22" s="13">
        <v>0.11799999999999999</v>
      </c>
      <c r="G22" s="15">
        <f>'09 - 2022'!D28-'09 - 2022'!D27+'09 - 2022'!E28-'09 - 2022'!E27</f>
        <v>0</v>
      </c>
      <c r="H22" s="13">
        <v>0.99</v>
      </c>
      <c r="I22" s="15">
        <f>'09 - 2022'!J28-'09 - 2022'!J27</f>
        <v>0</v>
      </c>
      <c r="J22" s="13">
        <v>8.1000000000000003E-2</v>
      </c>
      <c r="K22" s="21">
        <f>'09 - 2022'!H28-'09 - 2022'!H27</f>
        <v>0</v>
      </c>
      <c r="L22" s="15">
        <f>'09 - 2022'!I28-'09 - 2022'!I27</f>
        <v>0</v>
      </c>
      <c r="M22" s="14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3">
        <v>9</v>
      </c>
      <c r="D23" s="13">
        <v>2022</v>
      </c>
      <c r="E23" s="15">
        <f>'09 - 2022'!B29-'09 - 2022'!B28+'09 - 2022'!C29-'09 - 2022'!C28</f>
        <v>0</v>
      </c>
      <c r="F23" s="13">
        <v>0.11799999999999999</v>
      </c>
      <c r="G23" s="15">
        <f>'09 - 2022'!D29-'09 - 2022'!D28+'09 - 2022'!E29-'09 - 2022'!E28</f>
        <v>0</v>
      </c>
      <c r="H23" s="13">
        <v>0.99</v>
      </c>
      <c r="I23" s="15">
        <f>'09 - 2022'!J29-'09 - 2022'!J28</f>
        <v>0</v>
      </c>
      <c r="J23" s="13">
        <v>8.1000000000000003E-2</v>
      </c>
      <c r="K23" s="21">
        <f>'09 - 2022'!H29-'09 - 2022'!H28</f>
        <v>0</v>
      </c>
      <c r="L23" s="15">
        <f>'09 - 2022'!I29-'09 - 2022'!I28</f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9</v>
      </c>
      <c r="D24" s="13">
        <v>2022</v>
      </c>
      <c r="E24" s="15">
        <f>'09 - 2022'!B30-'09 - 2022'!B29+'09 - 2022'!C30-'09 - 2022'!C29</f>
        <v>0</v>
      </c>
      <c r="F24" s="13">
        <v>0.11799999999999999</v>
      </c>
      <c r="G24" s="15">
        <f>'09 - 2022'!D30-'09 - 2022'!D29+'09 - 2022'!E30-'09 - 2022'!E29</f>
        <v>0</v>
      </c>
      <c r="H24" s="13">
        <v>0.99</v>
      </c>
      <c r="I24" s="15">
        <f>'09 - 2022'!J30-'09 - 2022'!J29</f>
        <v>0</v>
      </c>
      <c r="J24" s="13">
        <v>8.1000000000000003E-2</v>
      </c>
      <c r="K24" s="21">
        <f>'09 - 2022'!H30-'09 - 2022'!H29</f>
        <v>0</v>
      </c>
      <c r="L24" s="15">
        <f>'09 - 2022'!I30-'09 - 2022'!I29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9</v>
      </c>
      <c r="D25" s="13">
        <v>2022</v>
      </c>
      <c r="E25" s="15">
        <f>'09 - 2022'!B31-'09 - 2022'!B30+'09 - 2022'!C31-'09 - 2022'!C30</f>
        <v>0</v>
      </c>
      <c r="F25" s="13">
        <v>0.11799999999999999</v>
      </c>
      <c r="G25" s="15">
        <f>'09 - 2022'!D31-'09 - 2022'!D30+'09 - 2022'!E31-'09 - 2022'!E30</f>
        <v>0</v>
      </c>
      <c r="H25" s="13">
        <v>0.99</v>
      </c>
      <c r="I25" s="15">
        <f>'09 - 2022'!J31-'09 - 2022'!J30</f>
        <v>0</v>
      </c>
      <c r="J25" s="13">
        <v>8.1000000000000003E-2</v>
      </c>
      <c r="K25" s="21">
        <f>'09 - 2022'!H31-'09 - 2022'!H30</f>
        <v>0</v>
      </c>
      <c r="L25" s="15">
        <f>'09 - 2022'!I31-'09 - 2022'!I30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9</v>
      </c>
      <c r="D26" s="13">
        <v>2022</v>
      </c>
      <c r="E26" s="15">
        <f>'09 - 2022'!B32-'09 - 2022'!B31+'09 - 2022'!C32-'09 - 2022'!C31</f>
        <v>0</v>
      </c>
      <c r="F26" s="13">
        <v>0.11799999999999999</v>
      </c>
      <c r="G26" s="15">
        <f>'09 - 2022'!D32-'09 - 2022'!D31+'09 - 2022'!E32-'09 - 2022'!E31</f>
        <v>0</v>
      </c>
      <c r="H26" s="13">
        <v>0.99</v>
      </c>
      <c r="I26" s="15">
        <f>'09 - 2022'!J32-'09 - 2022'!J31</f>
        <v>0</v>
      </c>
      <c r="J26" s="13">
        <v>8.1000000000000003E-2</v>
      </c>
      <c r="K26" s="21">
        <f>'09 - 2022'!H32-'09 - 2022'!H31</f>
        <v>0</v>
      </c>
      <c r="L26" s="15">
        <f>'09 - 2022'!I32-'09 - 2022'!I31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9</v>
      </c>
      <c r="D27" s="13">
        <v>2022</v>
      </c>
      <c r="E27" s="15">
        <f>'09 - 2022'!B33-'09 - 2022'!B32+'09 - 2022'!C33-'09 - 2022'!C32</f>
        <v>0</v>
      </c>
      <c r="F27" s="13">
        <v>0.11799999999999999</v>
      </c>
      <c r="G27" s="15">
        <f>'09 - 2022'!D33-'09 - 2022'!D32+'09 - 2022'!E33-'09 - 2022'!E32</f>
        <v>0</v>
      </c>
      <c r="H27" s="13">
        <v>0.99</v>
      </c>
      <c r="I27" s="15">
        <f>'09 - 2022'!J33-'09 - 2022'!J32</f>
        <v>0</v>
      </c>
      <c r="J27" s="13">
        <v>8.1000000000000003E-2</v>
      </c>
      <c r="K27" s="21">
        <f>'09 - 2022'!H33-'09 - 2022'!H32</f>
        <v>0</v>
      </c>
      <c r="L27" s="15">
        <f>'09 - 2022'!I33-'09 - 2022'!I32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9</v>
      </c>
      <c r="D28" s="13">
        <v>2022</v>
      </c>
      <c r="E28" s="15">
        <f>'09 - 2022'!B34-'09 - 2022'!B33+'09 - 2022'!C34-'09 - 2022'!C33</f>
        <v>0</v>
      </c>
      <c r="F28" s="13">
        <v>0.11799999999999999</v>
      </c>
      <c r="G28" s="15">
        <f>'09 - 2022'!D34-'09 - 2022'!D33+'09 - 2022'!E34-'09 - 2022'!E33</f>
        <v>0</v>
      </c>
      <c r="H28" s="13">
        <v>0.99</v>
      </c>
      <c r="I28" s="15">
        <f>'09 - 2022'!J34-'09 - 2022'!J33</f>
        <v>0</v>
      </c>
      <c r="J28" s="13">
        <v>8.1000000000000003E-2</v>
      </c>
      <c r="K28" s="21">
        <f>'09 - 2022'!H34-'09 - 2022'!H33</f>
        <v>0</v>
      </c>
      <c r="L28" s="15">
        <f>'09 - 2022'!I34-'09 - 2022'!I33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9</v>
      </c>
      <c r="D29" s="13">
        <v>2022</v>
      </c>
      <c r="E29" s="15">
        <f>'09 - 2022'!B35-'09 - 2022'!B34+'09 - 2022'!C35-'09 - 2022'!C34</f>
        <v>0</v>
      </c>
      <c r="F29" s="13">
        <v>0.11799999999999999</v>
      </c>
      <c r="G29" s="15">
        <f>'09 - 2022'!D35-'09 - 2022'!D34+'09 - 2022'!E35-'09 - 2022'!E34</f>
        <v>0</v>
      </c>
      <c r="H29" s="13">
        <v>0.99</v>
      </c>
      <c r="I29" s="15">
        <f>'09 - 2022'!J35-'09 - 2022'!J34</f>
        <v>0</v>
      </c>
      <c r="J29" s="13">
        <v>8.1000000000000003E-2</v>
      </c>
      <c r="K29" s="21">
        <f>'09 - 2022'!H35-'09 - 2022'!H34</f>
        <v>0</v>
      </c>
      <c r="L29" s="15">
        <f>'09 - 2022'!I35-'09 - 2022'!I34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9</v>
      </c>
      <c r="D30" s="13">
        <v>2022</v>
      </c>
      <c r="E30" s="15">
        <f>'09 - 2022'!B36-'09 - 2022'!B35+'09 - 2022'!C36-'09 - 2022'!C35</f>
        <v>0</v>
      </c>
      <c r="F30" s="13">
        <v>0.11799999999999999</v>
      </c>
      <c r="G30" s="15">
        <f>'09 - 2022'!D36-'09 - 2022'!D35+'09 - 2022'!E36-'09 - 2022'!E35</f>
        <v>0</v>
      </c>
      <c r="H30" s="13">
        <v>0.99</v>
      </c>
      <c r="I30" s="15">
        <f>'09 - 2022'!J36-'09 - 2022'!J35</f>
        <v>0</v>
      </c>
      <c r="J30" s="13">
        <v>8.1000000000000003E-2</v>
      </c>
      <c r="K30" s="21">
        <f>'09 - 2022'!H36-'09 - 2022'!H35</f>
        <v>0</v>
      </c>
      <c r="L30" s="15">
        <f>'09 - 2022'!I36-'09 - 2022'!I35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9</v>
      </c>
      <c r="D31" s="13">
        <v>2022</v>
      </c>
      <c r="E31" s="15">
        <f>'09 - 2022'!B37-'09 - 2022'!B36+'09 - 2022'!C37-'09 - 2022'!C36</f>
        <v>0</v>
      </c>
      <c r="F31" s="13">
        <v>0.11799999999999999</v>
      </c>
      <c r="G31" s="15">
        <f>'09 - 2022'!D37-'09 - 2022'!D36+'09 - 2022'!E37-'09 - 2022'!E36</f>
        <v>0</v>
      </c>
      <c r="H31" s="13">
        <v>0.99</v>
      </c>
      <c r="I31" s="15">
        <f>'09 - 2022'!J37-'09 - 2022'!J36</f>
        <v>0</v>
      </c>
      <c r="J31" s="13">
        <v>8.1000000000000003E-2</v>
      </c>
      <c r="K31" s="21">
        <f>'09 - 2022'!H37-'09 - 2022'!H36</f>
        <v>0</v>
      </c>
      <c r="L31" s="15">
        <f>'09 - 2022'!I37-'09 - 2022'!I36</f>
        <v>0</v>
      </c>
      <c r="M31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R11" sqref="R1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9</v>
      </c>
      <c r="D2">
        <v>2022</v>
      </c>
      <c r="E2" s="15">
        <f>'09 - 2022'!B8-'09 - 2022'!B7</f>
        <v>3940</v>
      </c>
      <c r="F2" s="15">
        <f>'09 - 2022'!C8-'09 - 2022'!C7</f>
        <v>5845</v>
      </c>
      <c r="G2" s="13">
        <v>0.11799999999999999</v>
      </c>
      <c r="H2" s="15">
        <f>'09 - 2022'!E8-'09 - 2022'!E7</f>
        <v>23.319999999999709</v>
      </c>
      <c r="I2" s="15">
        <f>'09 - 2022'!F8-'09 - 2022'!F7</f>
        <v>9.9100000000003092</v>
      </c>
      <c r="J2" s="15">
        <f>'09 - 2022'!G8-'09 - 2022'!G7</f>
        <v>29.549999999995634</v>
      </c>
      <c r="K2" s="13">
        <v>0.74</v>
      </c>
      <c r="L2" s="16">
        <v>61</v>
      </c>
      <c r="M2" s="10"/>
    </row>
    <row r="3" spans="1:13" x14ac:dyDescent="0.25">
      <c r="A3" t="s">
        <v>27</v>
      </c>
      <c r="B3">
        <f>B2+1</f>
        <v>2</v>
      </c>
      <c r="C3" s="13">
        <v>9</v>
      </c>
      <c r="D3" s="13">
        <v>2022</v>
      </c>
      <c r="E3" s="15">
        <v>0</v>
      </c>
      <c r="F3" s="15">
        <v>0</v>
      </c>
      <c r="G3" s="13">
        <v>0.11799999999999999</v>
      </c>
      <c r="H3" s="15">
        <v>0</v>
      </c>
      <c r="I3" s="15">
        <v>0</v>
      </c>
      <c r="J3" s="15">
        <v>0</v>
      </c>
      <c r="K3" s="13">
        <v>0.74</v>
      </c>
      <c r="L3" s="58"/>
      <c r="M3" s="10"/>
    </row>
    <row r="4" spans="1:13" x14ac:dyDescent="0.25">
      <c r="A4" t="s">
        <v>27</v>
      </c>
      <c r="B4">
        <f t="shared" ref="B4:B31" si="0">B3+1</f>
        <v>3</v>
      </c>
      <c r="C4" s="13">
        <v>9</v>
      </c>
      <c r="D4" s="13">
        <v>2022</v>
      </c>
      <c r="E4" s="15">
        <f>'09 - 2022'!B10-'09 - 2022'!B9</f>
        <v>0</v>
      </c>
      <c r="F4" s="15">
        <f>'09 - 2022'!C10-'09 - 2022'!C9</f>
        <v>0</v>
      </c>
      <c r="G4" s="13">
        <v>0.11799999999999999</v>
      </c>
      <c r="H4" s="15">
        <f>'09 - 2022'!E10-'09 - 2022'!E9</f>
        <v>0</v>
      </c>
      <c r="I4" s="15">
        <f>'09 - 2022'!F10-'09 - 2022'!F9</f>
        <v>0</v>
      </c>
      <c r="J4" s="15">
        <f>'09 - 2022'!G10-'09 - 2022'!G9</f>
        <v>0</v>
      </c>
      <c r="K4" s="13">
        <v>0.74</v>
      </c>
      <c r="L4" s="16"/>
      <c r="M4" s="10"/>
    </row>
    <row r="5" spans="1:13" x14ac:dyDescent="0.25">
      <c r="A5" t="s">
        <v>27</v>
      </c>
      <c r="B5">
        <f t="shared" si="0"/>
        <v>4</v>
      </c>
      <c r="C5" s="13">
        <v>9</v>
      </c>
      <c r="D5" s="13">
        <v>2022</v>
      </c>
      <c r="E5" s="15">
        <f>'09 - 2022'!B11-'09 - 2022'!B10</f>
        <v>0</v>
      </c>
      <c r="F5" s="15">
        <f>'09 - 2022'!C11-'09 - 2022'!C10</f>
        <v>0</v>
      </c>
      <c r="G5" s="13">
        <v>0.11799999999999999</v>
      </c>
      <c r="H5" s="15">
        <f>'09 - 2022'!E11-'09 - 2022'!E10</f>
        <v>0</v>
      </c>
      <c r="I5" s="15">
        <f>'09 - 2022'!F11-'09 - 2022'!F10</f>
        <v>0</v>
      </c>
      <c r="J5" s="15">
        <f>'09 - 2022'!G11-'09 - 2022'!G10</f>
        <v>0</v>
      </c>
      <c r="K5" s="13">
        <v>0.74</v>
      </c>
      <c r="L5" s="16"/>
      <c r="M5" s="10"/>
    </row>
    <row r="6" spans="1:13" x14ac:dyDescent="0.25">
      <c r="A6" t="s">
        <v>27</v>
      </c>
      <c r="B6">
        <f t="shared" si="0"/>
        <v>5</v>
      </c>
      <c r="C6" s="13">
        <v>9</v>
      </c>
      <c r="D6" s="13">
        <v>2022</v>
      </c>
      <c r="E6" s="15">
        <f>'09 - 2022'!B12-'09 - 2022'!B11</f>
        <v>0</v>
      </c>
      <c r="F6" s="15">
        <f>'09 - 2022'!C12-'09 - 2022'!C11</f>
        <v>0</v>
      </c>
      <c r="G6" s="13">
        <v>0.11799999999999999</v>
      </c>
      <c r="H6" s="15">
        <f>'09 - 2022'!E12-'09 - 2022'!E11</f>
        <v>0</v>
      </c>
      <c r="I6" s="15">
        <f>'09 - 2022'!F12-'09 - 2022'!F11</f>
        <v>0</v>
      </c>
      <c r="J6" s="15">
        <f>'09 - 2022'!G12-'09 - 2022'!G11</f>
        <v>0</v>
      </c>
      <c r="K6" s="13">
        <v>0.74</v>
      </c>
      <c r="L6" s="16"/>
      <c r="M6" s="11"/>
    </row>
    <row r="7" spans="1:13" x14ac:dyDescent="0.25">
      <c r="A7" t="s">
        <v>27</v>
      </c>
      <c r="B7">
        <f t="shared" si="0"/>
        <v>6</v>
      </c>
      <c r="C7" s="13">
        <v>9</v>
      </c>
      <c r="D7" s="13">
        <v>2022</v>
      </c>
      <c r="E7" s="15">
        <f>'09 - 2022'!B13-'09 - 2022'!B12</f>
        <v>0</v>
      </c>
      <c r="F7" s="15">
        <f>'09 - 2022'!C13-'09 - 2022'!C12</f>
        <v>0</v>
      </c>
      <c r="G7" s="13">
        <v>0.11799999999999999</v>
      </c>
      <c r="H7" s="15">
        <f>'09 - 2022'!E13-'09 - 2022'!E12</f>
        <v>0</v>
      </c>
      <c r="I7" s="15">
        <f>'09 - 2022'!F13-'09 - 2022'!F12</f>
        <v>0</v>
      </c>
      <c r="J7" s="15">
        <f>'09 - 2022'!G13-'09 - 2022'!G12</f>
        <v>0</v>
      </c>
      <c r="K7" s="13">
        <v>0.74</v>
      </c>
      <c r="L7" s="16"/>
      <c r="M7" s="11"/>
    </row>
    <row r="8" spans="1:13" x14ac:dyDescent="0.25">
      <c r="A8" t="s">
        <v>27</v>
      </c>
      <c r="B8">
        <f t="shared" si="0"/>
        <v>7</v>
      </c>
      <c r="C8" s="13">
        <v>9</v>
      </c>
      <c r="D8" s="13">
        <v>2022</v>
      </c>
      <c r="E8" s="15">
        <f>'09 - 2022'!B14-'09 - 2022'!B13</f>
        <v>0</v>
      </c>
      <c r="F8" s="15">
        <f>'09 - 2022'!C14-'09 - 2022'!C13</f>
        <v>0</v>
      </c>
      <c r="G8" s="13">
        <v>0.11799999999999999</v>
      </c>
      <c r="H8" s="15">
        <f>'09 - 2022'!E14-'09 - 2022'!E13</f>
        <v>0</v>
      </c>
      <c r="I8" s="15">
        <f>'09 - 2022'!F14-'09 - 2022'!F13</f>
        <v>0</v>
      </c>
      <c r="J8" s="15">
        <f>'09 - 2022'!G14-'09 - 2022'!G13</f>
        <v>0</v>
      </c>
      <c r="K8" s="13">
        <v>0.74</v>
      </c>
      <c r="L8" s="16"/>
      <c r="M8" s="11"/>
    </row>
    <row r="9" spans="1:13" x14ac:dyDescent="0.25">
      <c r="A9" t="s">
        <v>27</v>
      </c>
      <c r="B9">
        <f t="shared" si="0"/>
        <v>8</v>
      </c>
      <c r="C9" s="13">
        <v>9</v>
      </c>
      <c r="D9" s="13">
        <v>2022</v>
      </c>
      <c r="E9" s="15">
        <f>'09 - 2022'!B15-'09 - 2022'!B14</f>
        <v>0</v>
      </c>
      <c r="F9" s="15">
        <f>'09 - 2022'!C15-'09 - 2022'!C14</f>
        <v>0</v>
      </c>
      <c r="G9" s="13">
        <v>0.11799999999999999</v>
      </c>
      <c r="H9" s="15">
        <f>'09 - 2022'!E15-'09 - 2022'!E14</f>
        <v>0</v>
      </c>
      <c r="I9" s="15">
        <f>'09 - 2022'!F15-'09 - 2022'!F14</f>
        <v>0</v>
      </c>
      <c r="J9" s="15">
        <f>'09 - 2022'!G15-'09 - 2022'!G14</f>
        <v>0</v>
      </c>
      <c r="K9" s="13">
        <v>0.74</v>
      </c>
      <c r="L9" s="16"/>
      <c r="M9" s="11"/>
    </row>
    <row r="10" spans="1:13" x14ac:dyDescent="0.25">
      <c r="A10" t="s">
        <v>27</v>
      </c>
      <c r="B10">
        <f t="shared" si="0"/>
        <v>9</v>
      </c>
      <c r="C10" s="13">
        <v>9</v>
      </c>
      <c r="D10" s="13">
        <v>2022</v>
      </c>
      <c r="E10" s="15">
        <f>'09 - 2022'!B16-'09 - 2022'!B15</f>
        <v>0</v>
      </c>
      <c r="F10" s="15">
        <f>'09 - 2022'!C16-'09 - 2022'!C15</f>
        <v>0</v>
      </c>
      <c r="G10" s="13">
        <v>0.11799999999999999</v>
      </c>
      <c r="H10" s="15">
        <f>'09 - 2022'!E16-'09 - 2022'!E15</f>
        <v>0</v>
      </c>
      <c r="I10" s="15">
        <f>'09 - 2022'!F16-'09 - 2022'!F15</f>
        <v>0</v>
      </c>
      <c r="J10" s="15">
        <f>'09 - 2022'!G16-'09 - 2022'!G15</f>
        <v>0</v>
      </c>
      <c r="K10" s="13">
        <v>0.74</v>
      </c>
      <c r="L10" s="16"/>
      <c r="M10" s="11"/>
    </row>
    <row r="11" spans="1:13" x14ac:dyDescent="0.25">
      <c r="A11" t="s">
        <v>27</v>
      </c>
      <c r="B11">
        <f t="shared" si="0"/>
        <v>10</v>
      </c>
      <c r="C11" s="13">
        <v>9</v>
      </c>
      <c r="D11" s="13">
        <v>2022</v>
      </c>
      <c r="E11" s="15">
        <f>'09 - 2022'!B17-'09 - 2022'!B16</f>
        <v>0</v>
      </c>
      <c r="F11" s="15">
        <f>'09 - 2022'!C17-'09 - 2022'!C16</f>
        <v>0</v>
      </c>
      <c r="G11" s="13">
        <v>0.11799999999999999</v>
      </c>
      <c r="H11" s="15">
        <f>'09 - 2022'!E17-'09 - 2022'!E16</f>
        <v>0</v>
      </c>
      <c r="I11" s="15">
        <f>'09 - 2022'!F17-'09 - 2022'!F16</f>
        <v>0</v>
      </c>
      <c r="J11" s="15">
        <f>'09 - 2022'!G17-'09 - 2022'!G16</f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9</v>
      </c>
      <c r="D12" s="13">
        <v>2022</v>
      </c>
      <c r="E12" s="15">
        <f>'09 - 2022'!B18-'09 - 2022'!B17</f>
        <v>0</v>
      </c>
      <c r="F12" s="15">
        <f>'09 - 2022'!C18-'09 - 2022'!C17</f>
        <v>0</v>
      </c>
      <c r="G12" s="13">
        <v>0.11799999999999999</v>
      </c>
      <c r="H12" s="15">
        <f>'09 - 2022'!E18-'09 - 2022'!E17</f>
        <v>0</v>
      </c>
      <c r="I12" s="15">
        <f>'09 - 2022'!F18-'09 - 2022'!F17</f>
        <v>0</v>
      </c>
      <c r="J12" s="15">
        <f>'09 - 2022'!G18-'09 - 2022'!G17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9</v>
      </c>
      <c r="D13" s="13">
        <v>2022</v>
      </c>
      <c r="E13" s="15">
        <f>'09 - 2022'!B19-'09 - 2022'!B18</f>
        <v>0</v>
      </c>
      <c r="F13" s="15">
        <f>'09 - 2022'!C19-'09 - 2022'!C18</f>
        <v>0</v>
      </c>
      <c r="G13" s="13">
        <v>0.11799999999999999</v>
      </c>
      <c r="H13" s="15">
        <f>'09 - 2022'!E19-'09 - 2022'!E18</f>
        <v>0</v>
      </c>
      <c r="I13" s="15">
        <f>'09 - 2022'!F19-'09 - 2022'!F18</f>
        <v>0</v>
      </c>
      <c r="J13" s="15">
        <f>'09 - 2022'!G19-'09 - 2022'!G18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9</v>
      </c>
      <c r="D14" s="13">
        <v>2022</v>
      </c>
      <c r="E14" s="15">
        <f>'09 - 2022'!B20-'09 - 2022'!B19</f>
        <v>0</v>
      </c>
      <c r="F14" s="15">
        <f>'09 - 2022'!C20-'09 - 2022'!C19</f>
        <v>0</v>
      </c>
      <c r="G14" s="13">
        <v>0.11799999999999999</v>
      </c>
      <c r="H14" s="15">
        <f>'09 - 2022'!E20-'09 - 2022'!E19</f>
        <v>0</v>
      </c>
      <c r="I14" s="15">
        <f>'09 - 2022'!F20-'09 - 2022'!F19</f>
        <v>0</v>
      </c>
      <c r="J14" s="15">
        <f>'09 - 2022'!G20-'09 - 2022'!G19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9</v>
      </c>
      <c r="D15" s="13">
        <v>2022</v>
      </c>
      <c r="E15" s="15">
        <f>'09 - 2022'!B21-'09 - 2022'!B20</f>
        <v>0</v>
      </c>
      <c r="F15" s="15">
        <f>'09 - 2022'!C21-'09 - 2022'!C20</f>
        <v>0</v>
      </c>
      <c r="G15" s="13">
        <v>0.11799999999999999</v>
      </c>
      <c r="H15" s="15">
        <f>'09 - 2022'!E21-'09 - 2022'!E20</f>
        <v>0</v>
      </c>
      <c r="I15" s="15">
        <f>'09 - 2022'!F21-'09 - 2022'!F20</f>
        <v>0</v>
      </c>
      <c r="J15" s="15">
        <f>'09 - 2022'!G21-'09 - 2022'!G20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9</v>
      </c>
      <c r="D16" s="13">
        <v>2022</v>
      </c>
      <c r="E16" s="15">
        <f>'09 - 2022'!B22-'09 - 2022'!B21</f>
        <v>0</v>
      </c>
      <c r="F16" s="15">
        <f>'09 - 2022'!C22-'09 - 2022'!C21</f>
        <v>0</v>
      </c>
      <c r="G16" s="13">
        <v>0.11799999999999999</v>
      </c>
      <c r="H16" s="15">
        <f>'09 - 2022'!E22-'09 - 2022'!E21</f>
        <v>0</v>
      </c>
      <c r="I16" s="15">
        <f>'09 - 2022'!F22-'09 - 2022'!F21</f>
        <v>0</v>
      </c>
      <c r="J16" s="15">
        <f>'09 - 2022'!G22-'09 - 2022'!G21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9</v>
      </c>
      <c r="D17" s="13">
        <v>2022</v>
      </c>
      <c r="E17" s="15">
        <f>'09 - 2022'!B23-'09 - 2022'!B22</f>
        <v>0</v>
      </c>
      <c r="F17" s="15">
        <f>'09 - 2022'!C23-'09 - 2022'!C22</f>
        <v>0</v>
      </c>
      <c r="G17" s="13">
        <v>0.11799999999999999</v>
      </c>
      <c r="H17" s="15">
        <f>'09 - 2022'!E23-'09 - 2022'!E22</f>
        <v>0</v>
      </c>
      <c r="I17" s="15">
        <f>'09 - 2022'!F23-'09 - 2022'!F22</f>
        <v>0</v>
      </c>
      <c r="J17" s="15">
        <f>'09 - 2022'!G23-'09 - 2022'!G22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9</v>
      </c>
      <c r="D18" s="13">
        <v>2022</v>
      </c>
      <c r="E18" s="15">
        <f>'09 - 2022'!B24-'09 - 2022'!B23</f>
        <v>0</v>
      </c>
      <c r="F18" s="15">
        <f>'09 - 2022'!C24-'09 - 2022'!C23</f>
        <v>0</v>
      </c>
      <c r="G18" s="13">
        <v>0.11799999999999999</v>
      </c>
      <c r="H18" s="15">
        <f>'09 - 2022'!E24-'09 - 2022'!E23</f>
        <v>0</v>
      </c>
      <c r="I18" s="15">
        <f>'09 - 2022'!F24-'09 - 2022'!F23</f>
        <v>0</v>
      </c>
      <c r="J18" s="15">
        <f>'09 - 2022'!G24-'09 - 2022'!G23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9</v>
      </c>
      <c r="D19" s="13">
        <v>2022</v>
      </c>
      <c r="E19" s="15">
        <f>'09 - 2022'!B25-'09 - 2022'!B24</f>
        <v>0</v>
      </c>
      <c r="F19" s="15">
        <f>'09 - 2022'!C25-'09 - 2022'!C24</f>
        <v>0</v>
      </c>
      <c r="G19" s="13">
        <v>0.11799999999999999</v>
      </c>
      <c r="H19" s="15">
        <f>'09 - 2022'!E25-'09 - 2022'!E24</f>
        <v>0</v>
      </c>
      <c r="I19" s="15">
        <f>'09 - 2022'!F25-'09 - 2022'!F24</f>
        <v>0</v>
      </c>
      <c r="J19" s="15">
        <f>'09 - 2022'!G25-'09 - 2022'!G24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9</v>
      </c>
      <c r="D20" s="13">
        <v>2022</v>
      </c>
      <c r="E20" s="15">
        <f>'09 - 2022'!B26-'09 - 2022'!B25</f>
        <v>0</v>
      </c>
      <c r="F20" s="15">
        <f>'09 - 2022'!C26-'09 - 2022'!C25</f>
        <v>0</v>
      </c>
      <c r="G20" s="13">
        <v>0.11799999999999999</v>
      </c>
      <c r="H20" s="15">
        <f>'09 - 2022'!E26-'09 - 2022'!E25</f>
        <v>0</v>
      </c>
      <c r="I20" s="15">
        <f>'09 - 2022'!F26-'09 - 2022'!F25</f>
        <v>0</v>
      </c>
      <c r="J20" s="15">
        <f>'09 - 2022'!G26-'09 - 2022'!G25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9</v>
      </c>
      <c r="D21" s="13">
        <v>2022</v>
      </c>
      <c r="E21" s="15">
        <f>'09 - 2022'!B27-'09 - 2022'!B26</f>
        <v>0</v>
      </c>
      <c r="F21" s="15">
        <f>'09 - 2022'!C27-'09 - 2022'!C26</f>
        <v>0</v>
      </c>
      <c r="G21" s="13">
        <v>0.11799999999999999</v>
      </c>
      <c r="H21" s="15">
        <f>'09 - 2022'!E27-'09 - 2022'!E26</f>
        <v>0</v>
      </c>
      <c r="I21" s="15">
        <f>'09 - 2022'!F27-'09 - 2022'!F26</f>
        <v>0</v>
      </c>
      <c r="J21" s="15">
        <f>'09 - 2022'!G27-'09 - 2022'!G26</f>
        <v>0</v>
      </c>
      <c r="K21" s="13">
        <v>0.74</v>
      </c>
      <c r="L21" s="58"/>
      <c r="M21" s="11"/>
    </row>
    <row r="22" spans="1:13" x14ac:dyDescent="0.25">
      <c r="A22" t="s">
        <v>27</v>
      </c>
      <c r="B22">
        <f t="shared" si="0"/>
        <v>21</v>
      </c>
      <c r="C22" s="13">
        <v>9</v>
      </c>
      <c r="D22" s="13">
        <v>2022</v>
      </c>
      <c r="E22" s="15">
        <f>'09 - 2022'!B28-'09 - 2022'!B27</f>
        <v>0</v>
      </c>
      <c r="F22" s="15">
        <f>'09 - 2022'!C28-'09 - 2022'!C27</f>
        <v>0</v>
      </c>
      <c r="G22" s="13">
        <v>0.11799999999999999</v>
      </c>
      <c r="H22" s="15">
        <f>'09 - 2022'!E28-'09 - 2022'!E27</f>
        <v>0</v>
      </c>
      <c r="I22" s="15">
        <f>'09 - 2022'!F28-'09 - 2022'!F27</f>
        <v>0</v>
      </c>
      <c r="J22" s="15">
        <f>'09 - 2022'!G28-'09 - 2022'!G27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9</v>
      </c>
      <c r="D23" s="13">
        <v>2022</v>
      </c>
      <c r="E23" s="15">
        <f>'09 - 2022'!B29-'09 - 2022'!B28</f>
        <v>0</v>
      </c>
      <c r="F23" s="15">
        <f>'09 - 2022'!C29-'09 - 2022'!C28</f>
        <v>0</v>
      </c>
      <c r="G23" s="13">
        <v>0.11799999999999999</v>
      </c>
      <c r="H23" s="15">
        <f>'09 - 2022'!E29-'09 - 2022'!E28</f>
        <v>0</v>
      </c>
      <c r="I23" s="15">
        <f>'09 - 2022'!F29-'09 - 2022'!F28</f>
        <v>0</v>
      </c>
      <c r="J23" s="15">
        <f>'09 - 2022'!G29-'09 - 2022'!G28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9</v>
      </c>
      <c r="D24" s="13">
        <v>2022</v>
      </c>
      <c r="E24" s="15">
        <f>'09 - 2022'!B30-'09 - 2022'!B29</f>
        <v>0</v>
      </c>
      <c r="F24" s="15">
        <f>'09 - 2022'!C30-'09 - 2022'!C29</f>
        <v>0</v>
      </c>
      <c r="G24" s="13">
        <v>0.11799999999999999</v>
      </c>
      <c r="H24" s="15">
        <f>'09 - 2022'!E30-'09 - 2022'!E29</f>
        <v>0</v>
      </c>
      <c r="I24" s="15">
        <f>'09 - 2022'!F30-'09 - 2022'!F29</f>
        <v>0</v>
      </c>
      <c r="J24" s="15">
        <f>'09 - 2022'!G30-'09 - 2022'!G29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9</v>
      </c>
      <c r="D25" s="13">
        <v>2022</v>
      </c>
      <c r="E25" s="15">
        <f>'09 - 2022'!B31-'09 - 2022'!B30</f>
        <v>0</v>
      </c>
      <c r="F25" s="15">
        <f>'09 - 2022'!C31-'09 - 2022'!C30</f>
        <v>0</v>
      </c>
      <c r="G25" s="13">
        <v>0.11799999999999999</v>
      </c>
      <c r="H25" s="15">
        <f>'09 - 2022'!E31-'09 - 2022'!E30</f>
        <v>0</v>
      </c>
      <c r="I25" s="15">
        <f>'09 - 2022'!F31-'09 - 2022'!F30</f>
        <v>0</v>
      </c>
      <c r="J25" s="15">
        <f>'09 - 2022'!G31-'09 - 2022'!G30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9</v>
      </c>
      <c r="D26" s="13">
        <v>2022</v>
      </c>
      <c r="E26" s="15">
        <f>'09 - 2022'!B32-'09 - 2022'!B31</f>
        <v>0</v>
      </c>
      <c r="F26" s="15">
        <f>'09 - 2022'!C32-'09 - 2022'!C31</f>
        <v>0</v>
      </c>
      <c r="G26" s="13">
        <v>0.11799999999999999</v>
      </c>
      <c r="H26" s="15">
        <f>'09 - 2022'!E32-'09 - 2022'!E31</f>
        <v>0</v>
      </c>
      <c r="I26" s="15">
        <f>'09 - 2022'!F32-'09 - 2022'!F31</f>
        <v>0</v>
      </c>
      <c r="J26" s="15">
        <f>'09 - 2022'!G32-'09 - 2022'!G31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9</v>
      </c>
      <c r="D27" s="13">
        <v>2022</v>
      </c>
      <c r="E27" s="15">
        <f>'09 - 2022'!B33-'09 - 2022'!B32</f>
        <v>0</v>
      </c>
      <c r="F27" s="15">
        <f>'09 - 2022'!C33-'09 - 2022'!C32</f>
        <v>0</v>
      </c>
      <c r="G27" s="13">
        <v>0.11799999999999999</v>
      </c>
      <c r="H27" s="15">
        <f>'09 - 2022'!E33-'09 - 2022'!E32</f>
        <v>0</v>
      </c>
      <c r="I27" s="15">
        <f>'09 - 2022'!F33-'09 - 2022'!F32</f>
        <v>0</v>
      </c>
      <c r="J27" s="15">
        <f>'09 - 2022'!G33-'09 - 2022'!G32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9</v>
      </c>
      <c r="D28" s="13">
        <v>2022</v>
      </c>
      <c r="E28" s="15">
        <f>'09 - 2022'!B34-'09 - 2022'!B33</f>
        <v>0</v>
      </c>
      <c r="F28" s="15">
        <f>'09 - 2022'!C34-'09 - 2022'!C33</f>
        <v>0</v>
      </c>
      <c r="G28" s="13">
        <v>0.11799999999999999</v>
      </c>
      <c r="H28" s="15">
        <f>'09 - 2022'!E34-'09 - 2022'!E33</f>
        <v>0</v>
      </c>
      <c r="I28" s="15">
        <f>'09 - 2022'!F34-'09 - 2022'!F33</f>
        <v>0</v>
      </c>
      <c r="J28" s="15">
        <f>'09 - 2022'!G34-'09 - 2022'!G33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9</v>
      </c>
      <c r="D29" s="13">
        <v>2022</v>
      </c>
      <c r="E29" s="15">
        <f>'09 - 2022'!B35-'09 - 2022'!B34</f>
        <v>0</v>
      </c>
      <c r="F29" s="15">
        <f>'09 - 2022'!C35-'09 - 2022'!C34</f>
        <v>0</v>
      </c>
      <c r="G29" s="13">
        <v>0.11799999999999999</v>
      </c>
      <c r="H29" s="15">
        <f>'09 - 2022'!E35-'09 - 2022'!E34</f>
        <v>0</v>
      </c>
      <c r="I29" s="15">
        <f>'09 - 2022'!F35-'09 - 2022'!F34</f>
        <v>0</v>
      </c>
      <c r="J29" s="15">
        <f>'09 - 2022'!G35-'09 - 2022'!G34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9</v>
      </c>
      <c r="D30" s="13">
        <v>2022</v>
      </c>
      <c r="E30" s="15">
        <f>'09 - 2022'!B36-'09 - 2022'!B35</f>
        <v>0</v>
      </c>
      <c r="F30" s="15">
        <f>'09 - 2022'!C36-'09 - 2022'!C35</f>
        <v>0</v>
      </c>
      <c r="G30" s="13">
        <v>0.11799999999999999</v>
      </c>
      <c r="H30" s="15">
        <f>'09 - 2022'!E36-'09 - 2022'!E35</f>
        <v>0</v>
      </c>
      <c r="I30" s="15">
        <f>'09 - 2022'!F36-'09 - 2022'!F35</f>
        <v>0</v>
      </c>
      <c r="J30" s="15">
        <f>'09 - 2022'!G36-'09 - 2022'!G35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9</v>
      </c>
      <c r="D31" s="13">
        <v>2022</v>
      </c>
      <c r="E31" s="15">
        <f>'09 - 2022'!B37-'09 - 2022'!B36</f>
        <v>0</v>
      </c>
      <c r="F31" s="15">
        <f>'09 - 2022'!C37-'09 - 2022'!C36</f>
        <v>0</v>
      </c>
      <c r="G31" s="13">
        <v>0.11799999999999999</v>
      </c>
      <c r="H31" s="15">
        <f>'09 - 2022'!E37-'09 - 2022'!E36</f>
        <v>0</v>
      </c>
      <c r="I31" s="15">
        <f>'09 - 2022'!F37-'09 - 2022'!F36</f>
        <v>0</v>
      </c>
      <c r="J31" s="15">
        <f>'09 - 2022'!G37-'09 - 2022'!G36</f>
        <v>0</v>
      </c>
      <c r="K31" s="13">
        <v>0.74</v>
      </c>
      <c r="L31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L16" sqref="L16"/>
    </sheetView>
  </sheetViews>
  <sheetFormatPr defaultRowHeight="15" x14ac:dyDescent="0.25"/>
  <cols>
    <col min="1" max="1" width="13.5703125" style="28" customWidth="1"/>
    <col min="2" max="2" width="13.28515625" style="28" customWidth="1"/>
    <col min="3" max="3" width="13.140625" style="28" customWidth="1"/>
    <col min="4" max="4" width="9.85546875" style="28" customWidth="1"/>
    <col min="5" max="5" width="11.42578125" style="28" customWidth="1"/>
    <col min="6" max="6" width="11.7109375" style="28" customWidth="1"/>
    <col min="7" max="7" width="11.28515625" style="28" customWidth="1"/>
    <col min="8" max="8" width="13.5703125" style="28" customWidth="1"/>
    <col min="9" max="9" width="15.140625" style="28" customWidth="1"/>
    <col min="10" max="10" width="14.28515625" style="28" customWidth="1"/>
    <col min="11" max="11" width="16.42578125" style="28" customWidth="1"/>
    <col min="12" max="12" width="39" style="28" customWidth="1"/>
    <col min="13" max="13" width="14.140625" style="28" customWidth="1"/>
    <col min="14" max="16384" width="9.140625" style="28"/>
  </cols>
  <sheetData>
    <row r="1" spans="1:17" x14ac:dyDescent="0.25">
      <c r="H1" s="29"/>
      <c r="I1" s="29"/>
    </row>
    <row r="3" spans="1:17" ht="18.75" x14ac:dyDescent="0.25">
      <c r="A3" s="77" t="s">
        <v>30</v>
      </c>
      <c r="B3" s="77"/>
      <c r="C3" s="77"/>
      <c r="D3" s="77"/>
      <c r="E3" s="77"/>
      <c r="F3" s="77"/>
      <c r="G3" s="77"/>
      <c r="H3" s="77"/>
      <c r="I3" s="77"/>
      <c r="J3" s="77"/>
    </row>
    <row r="4" spans="1:17" ht="16.5" thickBot="1" x14ac:dyDescent="0.3">
      <c r="A4" s="78" t="s">
        <v>37</v>
      </c>
      <c r="B4" s="78"/>
      <c r="C4" s="78"/>
      <c r="D4" s="78"/>
      <c r="E4" s="78"/>
      <c r="F4" s="78"/>
      <c r="G4" s="78"/>
      <c r="H4" s="78"/>
      <c r="I4" s="78"/>
      <c r="J4" s="78"/>
    </row>
    <row r="5" spans="1:17" ht="16.5" thickBot="1" x14ac:dyDescent="0.3">
      <c r="A5" s="30"/>
      <c r="B5" s="79" t="s">
        <v>36</v>
      </c>
      <c r="C5" s="80"/>
      <c r="D5" s="79" t="s">
        <v>0</v>
      </c>
      <c r="E5" s="81"/>
      <c r="F5" s="81"/>
      <c r="G5" s="82"/>
      <c r="H5" s="83" t="s">
        <v>1</v>
      </c>
      <c r="I5" s="84"/>
      <c r="J5" s="31" t="s">
        <v>2</v>
      </c>
      <c r="K5" s="30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33" customFormat="1" ht="12.95" customHeight="1" thickBot="1" x14ac:dyDescent="0.3">
      <c r="A7" s="85">
        <v>44804</v>
      </c>
      <c r="B7" s="86">
        <v>482971</v>
      </c>
      <c r="C7" s="87">
        <v>1440624</v>
      </c>
      <c r="D7" s="88">
        <v>0.57999999999999996</v>
      </c>
      <c r="E7" s="89">
        <v>4142.63</v>
      </c>
      <c r="F7" s="90">
        <v>3056.18</v>
      </c>
      <c r="G7" s="90">
        <v>45214.05</v>
      </c>
      <c r="H7" s="91">
        <v>14528</v>
      </c>
      <c r="I7" s="86">
        <v>168957</v>
      </c>
      <c r="J7" s="86">
        <v>59057187</v>
      </c>
      <c r="K7" s="92"/>
      <c r="L7" s="93"/>
      <c r="M7" s="32"/>
    </row>
    <row r="8" spans="1:17" s="36" customFormat="1" ht="12.95" customHeight="1" x14ac:dyDescent="0.2">
      <c r="A8" s="66">
        <f>A7+1</f>
        <v>44805</v>
      </c>
      <c r="B8" s="59">
        <v>486911</v>
      </c>
      <c r="C8" s="59">
        <v>1446469</v>
      </c>
      <c r="D8" s="60">
        <v>0.5</v>
      </c>
      <c r="E8" s="61">
        <v>4165.95</v>
      </c>
      <c r="F8" s="61">
        <v>3066.09</v>
      </c>
      <c r="G8" s="59">
        <v>45243.6</v>
      </c>
      <c r="H8" s="59">
        <v>14944</v>
      </c>
      <c r="I8" s="59">
        <v>169077</v>
      </c>
      <c r="J8" s="59">
        <v>59092549</v>
      </c>
      <c r="K8" s="94"/>
      <c r="L8" s="95"/>
      <c r="M8" s="35"/>
    </row>
    <row r="9" spans="1:17" s="36" customFormat="1" ht="12.95" customHeight="1" x14ac:dyDescent="0.2">
      <c r="A9" s="34"/>
      <c r="B9" s="62"/>
      <c r="C9" s="63"/>
      <c r="D9" s="64"/>
      <c r="E9" s="63"/>
      <c r="F9" s="63"/>
      <c r="G9" s="63"/>
      <c r="H9" s="27"/>
      <c r="I9" s="65"/>
      <c r="J9" s="65"/>
      <c r="K9" s="37"/>
      <c r="L9" s="38"/>
      <c r="M9" s="35"/>
    </row>
    <row r="10" spans="1:17" s="36" customFormat="1" ht="12.95" customHeight="1" x14ac:dyDescent="0.2">
      <c r="A10" s="66"/>
      <c r="B10" s="65"/>
      <c r="C10" s="65"/>
      <c r="D10" s="64"/>
      <c r="E10" s="63"/>
      <c r="F10" s="63"/>
      <c r="G10" s="63"/>
      <c r="H10" s="27"/>
      <c r="I10" s="65"/>
      <c r="J10" s="67"/>
      <c r="K10" s="37"/>
      <c r="L10" s="39"/>
      <c r="M10" s="35"/>
    </row>
    <row r="11" spans="1:17" s="36" customFormat="1" ht="12.95" customHeight="1" x14ac:dyDescent="0.2">
      <c r="A11" s="34"/>
      <c r="B11" s="65"/>
      <c r="C11" s="65"/>
      <c r="D11" s="64"/>
      <c r="E11" s="63"/>
      <c r="F11" s="63"/>
      <c r="G11" s="63"/>
      <c r="H11" s="27"/>
      <c r="I11" s="65"/>
      <c r="J11" s="65"/>
      <c r="K11" s="68"/>
      <c r="L11" s="39"/>
      <c r="M11" s="35"/>
    </row>
    <row r="12" spans="1:17" s="36" customFormat="1" ht="12.95" customHeight="1" x14ac:dyDescent="0.2">
      <c r="A12" s="34"/>
      <c r="B12" s="62"/>
      <c r="C12" s="62"/>
      <c r="D12" s="64"/>
      <c r="E12" s="62"/>
      <c r="F12" s="62"/>
      <c r="G12" s="62"/>
      <c r="H12" s="27"/>
      <c r="I12" s="62"/>
      <c r="J12" s="62"/>
      <c r="K12" s="37"/>
      <c r="L12" s="39"/>
      <c r="M12" s="35"/>
      <c r="N12" s="40"/>
    </row>
    <row r="13" spans="1:17" s="36" customFormat="1" ht="12.95" customHeight="1" x14ac:dyDescent="0.25">
      <c r="A13" s="34"/>
      <c r="B13" s="69"/>
      <c r="C13" s="63"/>
      <c r="D13" s="64"/>
      <c r="E13" s="63"/>
      <c r="F13" s="63"/>
      <c r="G13" s="63"/>
      <c r="H13" s="27"/>
      <c r="I13" s="63"/>
      <c r="J13" s="63"/>
      <c r="K13" s="37"/>
      <c r="L13" s="39"/>
      <c r="M13" s="35"/>
      <c r="N13" s="41"/>
      <c r="O13" s="41"/>
      <c r="P13" s="41"/>
      <c r="Q13" s="41"/>
    </row>
    <row r="14" spans="1:17" s="36" customFormat="1" ht="12.95" customHeight="1" x14ac:dyDescent="0.25">
      <c r="A14" s="34"/>
      <c r="B14" s="65"/>
      <c r="C14" s="65"/>
      <c r="D14" s="64"/>
      <c r="E14" s="63"/>
      <c r="F14" s="63"/>
      <c r="G14" s="63"/>
      <c r="H14" s="27"/>
      <c r="I14" s="65"/>
      <c r="J14" s="65"/>
      <c r="K14" s="37"/>
      <c r="L14" s="39"/>
      <c r="M14" s="35"/>
      <c r="N14" s="41"/>
      <c r="O14" s="41"/>
      <c r="P14" s="41"/>
      <c r="Q14" s="41"/>
    </row>
    <row r="15" spans="1:17" s="36" customFormat="1" ht="12.95" customHeight="1" x14ac:dyDescent="0.25">
      <c r="A15" s="34"/>
      <c r="B15" s="65"/>
      <c r="C15" s="65"/>
      <c r="D15" s="64"/>
      <c r="E15" s="63"/>
      <c r="F15" s="70"/>
      <c r="G15" s="63"/>
      <c r="H15" s="27"/>
      <c r="I15" s="65"/>
      <c r="J15" s="65"/>
      <c r="K15" s="56"/>
      <c r="L15" s="39"/>
      <c r="M15" s="35"/>
      <c r="N15" s="41"/>
      <c r="O15" s="41"/>
      <c r="P15" s="41"/>
      <c r="Q15" s="41"/>
    </row>
    <row r="16" spans="1:17" s="36" customFormat="1" ht="12.95" customHeight="1" x14ac:dyDescent="0.25">
      <c r="A16" s="34"/>
      <c r="B16" s="71"/>
      <c r="C16" s="65"/>
      <c r="D16" s="64"/>
      <c r="E16" s="63"/>
      <c r="F16" s="70"/>
      <c r="G16" s="63"/>
      <c r="H16" s="27"/>
      <c r="I16" s="65"/>
      <c r="J16" s="65"/>
      <c r="K16" s="56"/>
      <c r="L16" s="39"/>
      <c r="M16" s="35"/>
      <c r="N16" s="41"/>
      <c r="O16" s="41"/>
      <c r="P16" s="41"/>
      <c r="Q16" s="41"/>
    </row>
    <row r="17" spans="1:19" s="36" customFormat="1" ht="12.95" customHeight="1" x14ac:dyDescent="0.25">
      <c r="A17" s="34"/>
      <c r="B17" s="63"/>
      <c r="C17" s="63"/>
      <c r="D17" s="72"/>
      <c r="E17" s="63"/>
      <c r="F17" s="70"/>
      <c r="G17" s="63"/>
      <c r="H17" s="27"/>
      <c r="I17" s="63"/>
      <c r="J17" s="63"/>
      <c r="K17" s="56"/>
      <c r="L17" s="39"/>
      <c r="M17" s="35"/>
      <c r="N17" s="41"/>
      <c r="O17" s="41"/>
      <c r="P17" s="41"/>
      <c r="Q17" s="41"/>
    </row>
    <row r="18" spans="1:19" s="36" customFormat="1" ht="12.95" customHeight="1" x14ac:dyDescent="0.25">
      <c r="A18" s="34"/>
      <c r="B18" s="65"/>
      <c r="C18" s="65"/>
      <c r="D18" s="64"/>
      <c r="E18" s="63"/>
      <c r="F18" s="63"/>
      <c r="G18" s="63"/>
      <c r="H18" s="27"/>
      <c r="I18" s="65"/>
      <c r="J18" s="65"/>
      <c r="K18" s="56"/>
      <c r="L18" s="39"/>
      <c r="M18" s="35"/>
      <c r="N18" s="41"/>
      <c r="O18" s="22"/>
      <c r="P18" s="41"/>
      <c r="Q18" s="41"/>
    </row>
    <row r="19" spans="1:19" s="36" customFormat="1" ht="12.95" customHeight="1" x14ac:dyDescent="0.25">
      <c r="A19" s="34"/>
      <c r="B19" s="73"/>
      <c r="C19" s="73"/>
      <c r="D19" s="64"/>
      <c r="E19" s="63"/>
      <c r="F19" s="63"/>
      <c r="G19" s="74"/>
      <c r="H19" s="27"/>
      <c r="I19" s="73"/>
      <c r="J19" s="73"/>
      <c r="K19" s="56"/>
      <c r="L19" s="39"/>
      <c r="M19" s="35"/>
      <c r="N19" s="41"/>
      <c r="O19" s="22"/>
      <c r="P19" s="41"/>
      <c r="Q19" s="41"/>
    </row>
    <row r="20" spans="1:19" s="36" customFormat="1" ht="12.95" customHeight="1" x14ac:dyDescent="0.2">
      <c r="A20" s="34"/>
      <c r="B20" s="73"/>
      <c r="C20" s="73"/>
      <c r="D20" s="64"/>
      <c r="E20" s="62"/>
      <c r="F20" s="62"/>
      <c r="G20" s="74"/>
      <c r="H20" s="27"/>
      <c r="I20" s="73"/>
      <c r="J20" s="73"/>
      <c r="K20" s="37"/>
      <c r="L20" s="42"/>
      <c r="M20" s="35"/>
      <c r="N20" s="43"/>
      <c r="O20" s="41"/>
      <c r="P20" s="41"/>
      <c r="Q20" s="41"/>
    </row>
    <row r="21" spans="1:19" s="36" customFormat="1" ht="12.95" customHeight="1" x14ac:dyDescent="0.25">
      <c r="A21" s="34"/>
      <c r="B21" s="73"/>
      <c r="C21" s="73"/>
      <c r="D21" s="64"/>
      <c r="E21" s="74"/>
      <c r="F21" s="63"/>
      <c r="G21" s="74"/>
      <c r="H21" s="27"/>
      <c r="I21" s="73"/>
      <c r="J21" s="73"/>
      <c r="K21" s="37"/>
      <c r="L21" s="42"/>
      <c r="M21" s="35"/>
      <c r="N21" s="43"/>
      <c r="O21" s="43"/>
      <c r="P21" s="44"/>
      <c r="Q21" s="44"/>
      <c r="S21" s="40"/>
    </row>
    <row r="22" spans="1:19" s="36" customFormat="1" ht="12.95" customHeight="1" x14ac:dyDescent="0.2">
      <c r="A22" s="34"/>
      <c r="B22" s="62"/>
      <c r="C22" s="71"/>
      <c r="D22" s="64"/>
      <c r="E22" s="63"/>
      <c r="F22" s="63"/>
      <c r="G22" s="74"/>
      <c r="H22" s="27"/>
      <c r="I22" s="74"/>
      <c r="J22" s="73"/>
      <c r="K22" s="37"/>
      <c r="L22" s="42"/>
      <c r="M22" s="35"/>
      <c r="N22" s="43"/>
      <c r="O22" s="43"/>
      <c r="P22" s="41"/>
      <c r="Q22" s="41"/>
    </row>
    <row r="23" spans="1:19" s="36" customFormat="1" ht="12.95" customHeight="1" x14ac:dyDescent="0.25">
      <c r="A23" s="34"/>
      <c r="B23" s="73"/>
      <c r="C23" s="73"/>
      <c r="D23" s="64"/>
      <c r="E23" s="74"/>
      <c r="F23" s="63"/>
      <c r="G23" s="74"/>
      <c r="H23" s="27"/>
      <c r="I23" s="73"/>
      <c r="J23" s="73"/>
      <c r="K23" s="56"/>
      <c r="L23" s="42"/>
      <c r="M23" s="35"/>
      <c r="N23" s="43"/>
      <c r="O23" s="41"/>
      <c r="P23" s="41"/>
      <c r="Q23" s="41"/>
    </row>
    <row r="24" spans="1:19" s="36" customFormat="1" ht="12.95" customHeight="1" x14ac:dyDescent="0.25">
      <c r="A24" s="34"/>
      <c r="B24" s="73"/>
      <c r="C24" s="73"/>
      <c r="D24" s="64"/>
      <c r="E24" s="74"/>
      <c r="F24" s="63"/>
      <c r="G24" s="74"/>
      <c r="H24" s="27"/>
      <c r="I24" s="73"/>
      <c r="J24" s="73"/>
      <c r="K24" s="56"/>
      <c r="L24" s="45"/>
      <c r="M24" s="35"/>
      <c r="N24" s="43"/>
      <c r="O24" s="43"/>
      <c r="P24" s="41"/>
      <c r="Q24" s="41"/>
    </row>
    <row r="25" spans="1:19" s="36" customFormat="1" ht="12.95" customHeight="1" x14ac:dyDescent="0.25">
      <c r="A25" s="34"/>
      <c r="B25" s="74"/>
      <c r="C25" s="74"/>
      <c r="D25" s="64"/>
      <c r="E25" s="74"/>
      <c r="F25" s="63"/>
      <c r="G25" s="74"/>
      <c r="H25" s="27"/>
      <c r="I25" s="73"/>
      <c r="J25" s="73"/>
      <c r="K25" s="57"/>
      <c r="L25" s="45"/>
      <c r="M25" s="35"/>
      <c r="N25" s="43"/>
      <c r="O25" s="43"/>
      <c r="P25" s="41"/>
      <c r="Q25" s="41"/>
    </row>
    <row r="26" spans="1:19" s="36" customFormat="1" ht="12.95" customHeight="1" x14ac:dyDescent="0.2">
      <c r="A26" s="34"/>
      <c r="B26" s="74"/>
      <c r="C26" s="74"/>
      <c r="D26" s="72"/>
      <c r="E26" s="74"/>
      <c r="F26" s="63"/>
      <c r="G26" s="74"/>
      <c r="H26" s="27"/>
      <c r="I26" s="73"/>
      <c r="J26" s="73"/>
      <c r="K26" s="37"/>
      <c r="L26" s="45"/>
      <c r="M26" s="35"/>
      <c r="N26" s="43"/>
      <c r="O26" s="43"/>
      <c r="P26" s="41"/>
      <c r="Q26" s="41"/>
    </row>
    <row r="27" spans="1:19" s="36" customFormat="1" ht="12.95" customHeight="1" x14ac:dyDescent="0.25">
      <c r="A27" s="34"/>
      <c r="B27" s="73"/>
      <c r="C27" s="73"/>
      <c r="D27" s="64"/>
      <c r="E27" s="74"/>
      <c r="F27" s="63"/>
      <c r="G27" s="74"/>
      <c r="H27" s="27"/>
      <c r="I27" s="73"/>
      <c r="J27" s="73"/>
      <c r="K27" s="37"/>
      <c r="L27" s="42"/>
      <c r="M27" s="35"/>
    </row>
    <row r="28" spans="1:19" s="36" customFormat="1" ht="12.95" customHeight="1" x14ac:dyDescent="0.2">
      <c r="A28" s="34"/>
      <c r="B28" s="75"/>
      <c r="C28" s="73"/>
      <c r="D28" s="64"/>
      <c r="E28" s="74"/>
      <c r="F28" s="63"/>
      <c r="G28" s="74"/>
      <c r="H28" s="27"/>
      <c r="I28" s="73"/>
      <c r="J28" s="73"/>
      <c r="K28" s="37"/>
      <c r="L28" s="42"/>
      <c r="M28" s="35"/>
    </row>
    <row r="29" spans="1:19" s="36" customFormat="1" ht="12.95" customHeight="1" x14ac:dyDescent="0.25">
      <c r="A29" s="34"/>
      <c r="B29" s="73"/>
      <c r="C29" s="73"/>
      <c r="D29" s="64"/>
      <c r="E29" s="74"/>
      <c r="F29" s="63"/>
      <c r="G29" s="74"/>
      <c r="H29" s="27"/>
      <c r="I29" s="73"/>
      <c r="J29" s="74"/>
      <c r="K29" s="37"/>
      <c r="L29" s="42"/>
      <c r="M29" s="35"/>
      <c r="N29" s="40"/>
    </row>
    <row r="30" spans="1:19" s="36" customFormat="1" ht="12.95" customHeight="1" x14ac:dyDescent="0.25">
      <c r="A30" s="34"/>
      <c r="B30" s="73"/>
      <c r="C30" s="73"/>
      <c r="D30" s="64"/>
      <c r="E30" s="74"/>
      <c r="F30" s="63"/>
      <c r="G30" s="74"/>
      <c r="H30" s="27"/>
      <c r="I30" s="73"/>
      <c r="J30" s="73"/>
      <c r="K30" s="56"/>
      <c r="L30" s="42"/>
      <c r="M30" s="35"/>
    </row>
    <row r="31" spans="1:19" s="36" customFormat="1" ht="12.95" customHeight="1" x14ac:dyDescent="0.25">
      <c r="A31" s="34"/>
      <c r="B31" s="73"/>
      <c r="C31" s="73"/>
      <c r="D31" s="64"/>
      <c r="E31" s="74"/>
      <c r="F31" s="63"/>
      <c r="G31" s="74"/>
      <c r="H31" s="27"/>
      <c r="I31" s="73"/>
      <c r="J31" s="73"/>
      <c r="K31" s="56"/>
      <c r="L31" s="42"/>
      <c r="M31" s="35"/>
      <c r="N31" s="40"/>
      <c r="O31" s="40"/>
    </row>
    <row r="32" spans="1:19" s="36" customFormat="1" ht="12.95" customHeight="1" x14ac:dyDescent="0.25">
      <c r="A32" s="34"/>
      <c r="B32" s="73"/>
      <c r="C32" s="73"/>
      <c r="D32" s="64"/>
      <c r="E32" s="74"/>
      <c r="F32" s="63"/>
      <c r="G32" s="74"/>
      <c r="H32" s="27"/>
      <c r="I32" s="73"/>
      <c r="J32" s="73"/>
      <c r="K32" s="56"/>
      <c r="L32" s="42"/>
      <c r="M32" s="35"/>
      <c r="N32" s="40"/>
      <c r="O32" s="40"/>
    </row>
    <row r="33" spans="1:16" s="36" customFormat="1" ht="12.95" customHeight="1" x14ac:dyDescent="0.25">
      <c r="A33" s="34"/>
      <c r="B33" s="73"/>
      <c r="C33" s="73"/>
      <c r="D33" s="64"/>
      <c r="E33" s="74"/>
      <c r="F33" s="63"/>
      <c r="G33" s="74"/>
      <c r="H33" s="27"/>
      <c r="I33" s="73"/>
      <c r="J33" s="73"/>
      <c r="K33" s="37"/>
      <c r="L33" s="46"/>
      <c r="M33" s="47"/>
      <c r="N33" s="40"/>
      <c r="O33" s="40"/>
    </row>
    <row r="34" spans="1:16" s="36" customFormat="1" ht="12.95" customHeight="1" x14ac:dyDescent="0.2">
      <c r="A34" s="34"/>
      <c r="B34" s="73"/>
      <c r="C34" s="73"/>
      <c r="D34" s="72"/>
      <c r="E34" s="74"/>
      <c r="F34" s="63"/>
      <c r="G34" s="74"/>
      <c r="H34" s="27"/>
      <c r="I34" s="74"/>
      <c r="J34" s="74"/>
      <c r="K34" s="68"/>
      <c r="L34" s="39"/>
      <c r="M34" s="47"/>
      <c r="N34" s="40"/>
      <c r="P34" s="40"/>
    </row>
    <row r="35" spans="1:16" s="36" customFormat="1" ht="12.95" customHeight="1" x14ac:dyDescent="0.2">
      <c r="A35" s="34"/>
      <c r="B35" s="65"/>
      <c r="C35" s="76"/>
      <c r="D35" s="64"/>
      <c r="E35" s="74"/>
      <c r="F35" s="63"/>
      <c r="G35" s="63"/>
      <c r="H35" s="27"/>
      <c r="I35" s="65"/>
      <c r="J35" s="65"/>
      <c r="K35" s="68"/>
      <c r="L35" s="42"/>
      <c r="M35" s="35"/>
      <c r="N35" s="40"/>
      <c r="O35" s="40"/>
    </row>
    <row r="36" spans="1:16" s="36" customFormat="1" ht="12.95" customHeight="1" x14ac:dyDescent="0.2">
      <c r="A36" s="48"/>
      <c r="B36" s="65"/>
      <c r="C36" s="76"/>
      <c r="D36" s="64"/>
      <c r="E36" s="74"/>
      <c r="F36" s="63"/>
      <c r="G36" s="63"/>
      <c r="H36" s="27"/>
      <c r="I36" s="65"/>
      <c r="J36" s="65"/>
      <c r="K36" s="68"/>
      <c r="L36" s="42"/>
      <c r="M36" s="35"/>
      <c r="N36" s="40"/>
      <c r="O36" s="40"/>
    </row>
    <row r="37" spans="1:16" s="36" customFormat="1" ht="12.95" customHeight="1" x14ac:dyDescent="0.25">
      <c r="A37" s="48"/>
      <c r="B37" s="65"/>
      <c r="C37" s="76"/>
      <c r="D37" s="64"/>
      <c r="E37" s="74"/>
      <c r="F37" s="63"/>
      <c r="G37" s="63"/>
      <c r="H37" s="27"/>
      <c r="I37" s="65"/>
      <c r="J37" s="65"/>
      <c r="K37" s="37"/>
      <c r="L37" s="42"/>
      <c r="M37" s="35"/>
      <c r="N37" s="40"/>
      <c r="O37" s="40"/>
    </row>
    <row r="38" spans="1:16" s="36" customFormat="1" ht="12.95" customHeight="1" x14ac:dyDescent="0.25">
      <c r="A38" s="49" t="s">
        <v>35</v>
      </c>
      <c r="B38" s="50">
        <f>B37-B7</f>
        <v>-482971</v>
      </c>
      <c r="C38" s="50">
        <f>C37-C7</f>
        <v>-1440624</v>
      </c>
      <c r="D38" s="50"/>
      <c r="E38" s="50">
        <f t="shared" ref="E38:K38" si="0">E37-E7</f>
        <v>-4142.63</v>
      </c>
      <c r="F38" s="50">
        <f t="shared" si="0"/>
        <v>-3056.18</v>
      </c>
      <c r="G38" s="50">
        <f t="shared" si="0"/>
        <v>-45214.05</v>
      </c>
      <c r="H38" s="50">
        <f t="shared" si="0"/>
        <v>-14528</v>
      </c>
      <c r="I38" s="50">
        <f t="shared" si="0"/>
        <v>-168957</v>
      </c>
      <c r="J38" s="50">
        <f t="shared" si="0"/>
        <v>-59057187</v>
      </c>
      <c r="K38" s="50">
        <f t="shared" si="0"/>
        <v>0</v>
      </c>
      <c r="L38" s="28"/>
      <c r="M38" s="28"/>
      <c r="N38" s="40"/>
      <c r="O38" s="40"/>
    </row>
    <row r="39" spans="1:16" s="53" customFormat="1" x14ac:dyDescent="0.25">
      <c r="A39" s="28"/>
      <c r="B39" s="28"/>
      <c r="C39" s="50"/>
      <c r="D39" s="28"/>
      <c r="E39" s="51"/>
      <c r="F39" s="51"/>
      <c r="G39" s="51"/>
      <c r="H39" s="52">
        <f>H38*219.969</f>
        <v>-3195709.6319999998</v>
      </c>
      <c r="I39" s="50">
        <f>I38*219.969</f>
        <v>-37165302.332999997</v>
      </c>
      <c r="J39" s="51"/>
      <c r="K39" s="28"/>
      <c r="L39" s="28"/>
      <c r="M39" s="28"/>
    </row>
    <row r="40" spans="1:16" s="53" customFormat="1" x14ac:dyDescent="0.25">
      <c r="A40" s="28"/>
      <c r="B40" s="28"/>
      <c r="C40" s="50"/>
      <c r="D40" s="28"/>
      <c r="E40" s="51"/>
      <c r="F40" s="51"/>
      <c r="G40" s="51"/>
      <c r="H40" s="52"/>
      <c r="I40" s="50"/>
      <c r="J40" s="51"/>
      <c r="K40" s="28"/>
      <c r="L40" s="28"/>
    </row>
    <row r="41" spans="1:16" x14ac:dyDescent="0.25">
      <c r="C41" s="54"/>
      <c r="I41" s="55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09 - 2022</vt:lpstr>
      <vt:lpstr>'09 - 2022'!Print_Area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2022-09-01T07:52:16Z</dcterms:modified>
</cp:coreProperties>
</file>