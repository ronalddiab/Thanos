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F329C32-491C-4C0E-8ED3-C08B40C56F8F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Y31" i="2"/>
  <c r="Y30" i="2"/>
  <c r="W32" i="2"/>
  <c r="W31" i="2"/>
  <c r="W30" i="2"/>
  <c r="W29" i="2"/>
  <c r="U32" i="2"/>
  <c r="U31" i="2"/>
  <c r="U30" i="2"/>
  <c r="U29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U20" i="2" s="1"/>
  <c r="S19" i="2"/>
  <c r="U19" i="2" s="1"/>
  <c r="S18" i="2"/>
  <c r="S17" i="2"/>
  <c r="U17" i="2" s="1"/>
  <c r="S16" i="2"/>
  <c r="S15" i="2"/>
  <c r="U15" i="2" s="1"/>
  <c r="S14" i="2"/>
  <c r="U14" i="2" s="1"/>
  <c r="S13" i="2"/>
  <c r="S12" i="2"/>
  <c r="U9" i="2"/>
  <c r="U8" i="2"/>
  <c r="U7" i="2"/>
  <c r="U5" i="2"/>
  <c r="S3" i="2"/>
  <c r="S2" i="2"/>
  <c r="U13" i="2" l="1"/>
  <c r="U12" i="2"/>
  <c r="U3" i="2"/>
  <c r="U4" i="2"/>
  <c r="U16" i="2"/>
  <c r="U10" i="2"/>
  <c r="U11" i="2"/>
  <c r="U23" i="2"/>
  <c r="G23" i="3" s="1"/>
  <c r="U6" i="2"/>
  <c r="U18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7" i="2" l="1"/>
  <c r="J14" i="2"/>
  <c r="J26" i="2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<sst xmlns="http://schemas.openxmlformats.org/spreadsheetml/2006/main" count="77" uniqueCount="40">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</sst>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abSelected="1" workbookViewId="0">
      <selection activeCell="J18" sqref="J18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229</v>
      </c>
      <c r="P9" s="100">
        <f>'October  2025'!AD9</f>
        <v>445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229</v>
      </c>
      <c r="P10" s="100">
        <f>'October  2025'!AD10</f>
        <v>453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7183</v>
      </c>
      <c r="F11" s="110">
        <f>('October  2025'!C11*0.27)/('October  2025'!C11+'October  2025'!E11)</f>
        <v>0.22658499234303217</v>
      </c>
      <c r="G11" s="97">
        <f>'October  2025'!U11</f>
        <v>95</v>
      </c>
      <c r="H11" s="113">
        <v>0.62</v>
      </c>
      <c r="I11" s="98">
        <f>'October  2025'!W11</f>
        <v>117</v>
      </c>
      <c r="J11" s="99">
        <v>2.42</v>
      </c>
      <c r="K11" s="106">
        <f>'October  2025'!AB11*5.04</f>
        <v>2091.6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241</v>
      </c>
      <c r="P11" s="100">
        <f>'October  2025'!AD11</f>
        <v>449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7130</v>
      </c>
      <c r="F12" s="110">
        <f>('October  2025'!C12*0.27)/('October  2025'!C12+'October  2025'!E12)</f>
        <v>0.22614866760168303</v>
      </c>
      <c r="G12" s="97">
        <f>'October  2025'!U12</f>
        <v>125</v>
      </c>
      <c r="H12" s="113">
        <v>0.62</v>
      </c>
      <c r="I12" s="98">
        <f>'October  2025'!W12</f>
        <v>133</v>
      </c>
      <c r="J12" s="99">
        <v>2.42</v>
      </c>
      <c r="K12" s="106">
        <f>'October  2025'!AB12*5.04</f>
        <v>5821.2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231</v>
      </c>
      <c r="P12" s="100">
        <f>'October  2025'!AD12</f>
        <v>449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6931</v>
      </c>
      <c r="F13" s="110">
        <f>('October  2025'!C13*0.27)/('October  2025'!C13+'October  2025'!E13)</f>
        <v>0.23568027701630356</v>
      </c>
      <c r="G13" s="97">
        <f>'October  2025'!U13</f>
        <v>365</v>
      </c>
      <c r="H13" s="113">
        <v>0.62</v>
      </c>
      <c r="I13" s="98">
        <f>'October  2025'!W13</f>
        <v>116</v>
      </c>
      <c r="J13" s="99">
        <v>2.42</v>
      </c>
      <c r="K13" s="106">
        <f>'October  2025'!AB13*5.04</f>
        <v>4737.6000000000004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219</v>
      </c>
      <c r="P13" s="100">
        <f>'October  2025'!AD13</f>
        <v>420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0</v>
      </c>
      <c r="F14" s="110" t="e">
        <f>('October  2025'!C14*0.27)/('October  2025'!C14+'October  2025'!E14)</f>
        <v>#DIV/0!</v>
      </c>
      <c r="G14" s="97">
        <f>'October  2025'!U14</f>
        <v>4744</v>
      </c>
      <c r="H14" s="113">
        <v>0.62</v>
      </c>
      <c r="I14" s="98" t="str">
        <f>'October  2025'!W14</f>
        <v>0</v>
      </c>
      <c r="J14" s="99">
        <v>2.42</v>
      </c>
      <c r="K14" s="106">
        <f>'October  2025'!AB14*5.04</f>
        <v>0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233</v>
      </c>
      <c r="P14" s="100">
        <f>'October  2025'!AD14</f>
        <v>445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0</v>
      </c>
      <c r="F15" s="110" t="e">
        <f>('October  2025'!C15*0.27)/('October  2025'!C15+'October  2025'!E15)</f>
        <v>#DIV/0!</v>
      </c>
      <c r="G15" s="97" t="str">
        <f>'October  2025'!U15</f>
        <v>0</v>
      </c>
      <c r="H15" s="113">
        <v>0.62</v>
      </c>
      <c r="I15" s="98">
        <f>'October  2025'!W15</f>
        <v>0</v>
      </c>
      <c r="J15" s="99">
        <v>2.42</v>
      </c>
      <c r="K15" s="106">
        <f>'October  2025'!AB15*5.04</f>
        <v>0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0</v>
      </c>
      <c r="P15" s="100">
        <f>'October 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0</v>
      </c>
      <c r="F16" s="110" t="e">
        <f>('October  2025'!C16*0.27)/('October  2025'!C16+'October  2025'!E16)</f>
        <v>#DIV/0!</v>
      </c>
      <c r="G16" s="97" t="str">
        <f>'October  2025'!U16</f>
        <v>0</v>
      </c>
      <c r="H16" s="113">
        <v>0.62</v>
      </c>
      <c r="I16" s="98">
        <f>'October  2025'!W16</f>
        <v>0</v>
      </c>
      <c r="J16" s="99">
        <v>2.42</v>
      </c>
      <c r="K16" s="106">
        <f>'October  2025'!AB16*5.04</f>
        <v>0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0</v>
      </c>
      <c r="P16" s="100">
        <f>'October 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0</v>
      </c>
      <c r="F17" s="110" t="e">
        <f>('October  2025'!C17*0.27)/('October  2025'!C17+'October  2025'!E17)</f>
        <v>#DIV/0!</v>
      </c>
      <c r="G17" s="97" t="str">
        <f>'October  2025'!U17</f>
        <v>0</v>
      </c>
      <c r="H17" s="113">
        <v>0.62</v>
      </c>
      <c r="I17" s="98">
        <f>'October  2025'!W17</f>
        <v>0</v>
      </c>
      <c r="J17" s="99">
        <v>2.42</v>
      </c>
      <c r="K17" s="106">
        <f>'October  2025'!AB17*5.04</f>
        <v>0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0</v>
      </c>
      <c r="P17" s="100">
        <f>'October 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0</v>
      </c>
      <c r="F18" s="110" t="e">
        <f>('October  2025'!C18*0.27)/('October  2025'!C18+'October  2025'!E18)</f>
        <v>#DIV/0!</v>
      </c>
      <c r="G18" s="97" t="str">
        <f>'October  2025'!U18</f>
        <v>0</v>
      </c>
      <c r="H18" s="113">
        <v>0.62</v>
      </c>
      <c r="I18" s="98">
        <f>'October  2025'!W18</f>
        <v>0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0</v>
      </c>
      <c r="P18" s="100">
        <f>'October 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0</v>
      </c>
      <c r="F19" s="110" t="e">
        <f>('October  2025'!C19*0.27)/('October  2025'!C19+'October  2025'!E19)</f>
        <v>#DIV/0!</v>
      </c>
      <c r="G19" s="97" t="str">
        <f>'October  2025'!U19</f>
        <v>0</v>
      </c>
      <c r="H19" s="113">
        <v>0.62</v>
      </c>
      <c r="I19" s="98">
        <f>'October  2025'!W19</f>
        <v>0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0</v>
      </c>
      <c r="P19" s="100">
        <f>'October 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0</v>
      </c>
      <c r="F20" s="110" t="e">
        <f>('October  2025'!C20*0.27)/('October  2025'!C20+'October  2025'!E20)</f>
        <v>#DIV/0!</v>
      </c>
      <c r="G20" s="97" t="str">
        <f>'October  2025'!U20</f>
        <v>0</v>
      </c>
      <c r="H20" s="113">
        <v>0.62</v>
      </c>
      <c r="I20" s="98">
        <f>'October  2025'!W20</f>
        <v>0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0</v>
      </c>
      <c r="P20" s="100">
        <f>'October 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0</v>
      </c>
      <c r="F21" s="110" t="e">
        <f>('October  2025'!C21*0.27)/('October  2025'!C21+'October  2025'!E21)</f>
        <v>#DIV/0!</v>
      </c>
      <c r="G21" s="97" t="str">
        <f>'October  2025'!U21</f>
        <v>0</v>
      </c>
      <c r="H21" s="113">
        <v>0.62</v>
      </c>
      <c r="I21" s="98">
        <f>'October  2025'!W21</f>
        <v>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0</v>
      </c>
      <c r="P21" s="100">
        <f>'October 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0</v>
      </c>
      <c r="F22" s="110" t="e">
        <f>('October  2025'!C22*0.27)/('October  2025'!C22+'October  2025'!E22)</f>
        <v>#DIV/0!</v>
      </c>
      <c r="G22" s="97" t="str">
        <f>'October  2025'!U22</f>
        <v>0</v>
      </c>
      <c r="H22" s="113">
        <v>0.62</v>
      </c>
      <c r="I22" s="98">
        <f>'October  2025'!W22</f>
        <v>0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0</v>
      </c>
      <c r="P22" s="100">
        <f>'October 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0</v>
      </c>
      <c r="F23" s="110" t="e">
        <f>('October  2025'!C23*0.27)/('October  2025'!C23+'October  2025'!E23)</f>
        <v>#DIV/0!</v>
      </c>
      <c r="G23" s="97" t="str">
        <f>'October  2025'!U23</f>
        <v>0</v>
      </c>
      <c r="H23" s="113">
        <v>0.62</v>
      </c>
      <c r="I23" s="98">
        <f>'October  2025'!W23</f>
        <v>0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0</v>
      </c>
      <c r="P23" s="100">
        <f>'October 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0</v>
      </c>
      <c r="F24" s="110" t="e">
        <f>('October  2025'!C24*0.27)/('October  2025'!C24+'October  2025'!E24)</f>
        <v>#DIV/0!</v>
      </c>
      <c r="G24" s="97" t="str">
        <f>'October  2025'!U24</f>
        <v>0</v>
      </c>
      <c r="H24" s="113">
        <v>0.62</v>
      </c>
      <c r="I24" s="98">
        <f>'October  2025'!W24</f>
        <v>0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0</v>
      </c>
      <c r="P24" s="100">
        <f>'October 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0</v>
      </c>
      <c r="F25" s="110" t="e">
        <f>('October  2025'!C25*0.27)/('October  2025'!C25+'October  2025'!E25)</f>
        <v>#DIV/0!</v>
      </c>
      <c r="G25" s="97" t="str">
        <f>'October  2025'!U25</f>
        <v>0</v>
      </c>
      <c r="H25" s="113">
        <v>0.62</v>
      </c>
      <c r="I25" s="98">
        <f>'October  2025'!W25</f>
        <v>0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0</v>
      </c>
      <c r="P25" s="100">
        <f>'October 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0</v>
      </c>
      <c r="F26" s="110" t="e">
        <f>('October  2025'!C26*0.27)/('October  2025'!C26+'October  2025'!E26)</f>
        <v>#DIV/0!</v>
      </c>
      <c r="G26" s="97" t="str">
        <f>'October  2025'!U26</f>
        <v>0</v>
      </c>
      <c r="H26" s="113">
        <v>0.62</v>
      </c>
      <c r="I26" s="98">
        <f>'October  2025'!W26</f>
        <v>0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0</v>
      </c>
      <c r="P26" s="100">
        <f>'October 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0</v>
      </c>
      <c r="F27" s="110" t="e">
        <f>('October  2025'!C27*0.27)/('October  2025'!C27+'October  2025'!E27)</f>
        <v>#DIV/0!</v>
      </c>
      <c r="G27" s="97" t="str">
        <f>'October  2025'!U27</f>
        <v>0</v>
      </c>
      <c r="H27" s="113">
        <v>0.62</v>
      </c>
      <c r="I27" s="98">
        <f>'October  2025'!W27</f>
        <v>0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0</v>
      </c>
      <c r="P27" s="100">
        <f>'October 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0</v>
      </c>
      <c r="F28" s="110" t="e">
        <f>('October  2025'!C28*0.27)/('October  2025'!C28+'October  2025'!E28)</f>
        <v>#DIV/0!</v>
      </c>
      <c r="G28" s="97" t="str">
        <f>'October  2025'!U28</f>
        <v>0</v>
      </c>
      <c r="H28" s="113">
        <v>0.62</v>
      </c>
      <c r="I28" s="98">
        <f>'October  2025'!W28</f>
        <v>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0</v>
      </c>
      <c r="P28" s="100">
        <f>'October 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0</v>
      </c>
      <c r="F29" s="110" t="e">
        <f>('October  2025'!C29*0.27)/('October  2025'!C29+'October  2025'!E29)</f>
        <v>#DIV/0!</v>
      </c>
      <c r="G29" s="97" t="str">
        <f>'October  2025'!U29</f>
        <v>0</v>
      </c>
      <c r="H29" s="113">
        <v>0.62</v>
      </c>
      <c r="I29" s="98">
        <f>'October  2025'!W29</f>
        <v>0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0</v>
      </c>
      <c r="P29" s="100">
        <f>'October 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0</v>
      </c>
      <c r="P30" s="100">
        <f>'October 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x14ac:dyDescent="0.2">
      <c r="A32" s="95" t="s">
        <v>37</v>
      </c>
      <c r="B32" s="5">
        <v>31</v>
      </c>
      <c r="C32" s="122">
        <v>10</v>
      </c>
      <c r="D32" s="101">
        <v>2025</v>
      </c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zoomScale="85" zoomScaleNormal="85" workbookViewId="0">
      <selection activeCell="B15" sqref="B15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229</v>
      </c>
      <c r="AD9" s="18">
        <v>445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708.08999999999651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>
        <v>229</v>
      </c>
      <c r="AD10" s="18">
        <v>453</v>
      </c>
    </row>
    <row r="11" spans="1:30" ht="20.65" customHeight="1" x14ac:dyDescent="0.2">
      <c r="A11" s="19">
        <v>45940</v>
      </c>
      <c r="B11" s="10">
        <v>1116745</v>
      </c>
      <c r="C11" s="14">
        <f t="shared" si="2"/>
        <v>6028</v>
      </c>
      <c r="D11" s="11">
        <v>954619</v>
      </c>
      <c r="E11" s="14">
        <f t="shared" si="3"/>
        <v>1155</v>
      </c>
      <c r="F11" s="27">
        <v>1704</v>
      </c>
      <c r="G11" s="67">
        <f t="shared" si="4"/>
        <v>0</v>
      </c>
      <c r="H11" s="69">
        <f t="shared" si="5"/>
        <v>7183</v>
      </c>
      <c r="I11" s="73">
        <f t="shared" si="6"/>
        <v>-38758.39</v>
      </c>
      <c r="J11" s="32">
        <f t="shared" si="0"/>
        <v>-53.930000000000291</v>
      </c>
      <c r="K11" s="20">
        <f t="shared" si="7"/>
        <v>45940</v>
      </c>
      <c r="L11" s="33">
        <v>7935</v>
      </c>
      <c r="M11" s="31">
        <v>0</v>
      </c>
      <c r="N11" s="32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>
        <f t="shared" si="10"/>
        <v>95</v>
      </c>
      <c r="V11" s="41">
        <v>32392</v>
      </c>
      <c r="W11" s="32">
        <f t="shared" si="1"/>
        <v>117</v>
      </c>
      <c r="X11" s="43">
        <v>61265</v>
      </c>
      <c r="Y11" s="14">
        <f t="shared" si="11"/>
        <v>0</v>
      </c>
      <c r="Z11" s="47">
        <v>7365</v>
      </c>
      <c r="AA11" s="52"/>
      <c r="AB11" s="32">
        <f t="shared" si="12"/>
        <v>415</v>
      </c>
      <c r="AC11" s="13">
        <v>241</v>
      </c>
      <c r="AD11" s="18">
        <v>449</v>
      </c>
    </row>
    <row r="12" spans="1:30" ht="21.4" customHeight="1" x14ac:dyDescent="0.2">
      <c r="A12" s="19">
        <v>45941</v>
      </c>
      <c r="B12" s="10">
        <v>1122773</v>
      </c>
      <c r="C12" s="14">
        <f t="shared" si="2"/>
        <v>5972</v>
      </c>
      <c r="D12" s="11">
        <v>955774</v>
      </c>
      <c r="E12" s="14">
        <f t="shared" si="3"/>
        <v>1158</v>
      </c>
      <c r="F12" s="27">
        <v>1704</v>
      </c>
      <c r="G12" s="67">
        <f t="shared" si="4"/>
        <v>0</v>
      </c>
      <c r="H12" s="69">
        <f t="shared" si="5"/>
        <v>7130</v>
      </c>
      <c r="I12" s="73">
        <f t="shared" si="6"/>
        <v>-38812.32</v>
      </c>
      <c r="J12" s="32">
        <f t="shared" si="0"/>
        <v>-199.91000000000349</v>
      </c>
      <c r="K12" s="20">
        <f t="shared" si="7"/>
        <v>45941</v>
      </c>
      <c r="L12" s="33">
        <v>7935</v>
      </c>
      <c r="M12" s="34">
        <v>0</v>
      </c>
      <c r="N12" s="32">
        <f t="shared" si="8"/>
        <v>0</v>
      </c>
      <c r="O12" s="85">
        <v>0.75</v>
      </c>
      <c r="P12" s="86">
        <v>0.74</v>
      </c>
      <c r="Q12" s="85">
        <v>0.56999999999999995</v>
      </c>
      <c r="R12" s="86">
        <v>0.55000000000000004</v>
      </c>
      <c r="S12" s="38">
        <f t="shared" si="9"/>
        <v>4285</v>
      </c>
      <c r="T12" s="123"/>
      <c r="U12" s="32">
        <f t="shared" si="10"/>
        <v>125</v>
      </c>
      <c r="V12" s="41">
        <v>32509</v>
      </c>
      <c r="W12" s="32">
        <f t="shared" si="1"/>
        <v>133</v>
      </c>
      <c r="X12" s="43">
        <v>61265</v>
      </c>
      <c r="Y12" s="14">
        <f t="shared" si="11"/>
        <v>0</v>
      </c>
      <c r="Z12" s="47">
        <v>6950</v>
      </c>
      <c r="AA12" s="52"/>
      <c r="AB12" s="32">
        <f t="shared" si="12"/>
        <v>1155</v>
      </c>
      <c r="AC12" s="13">
        <v>231</v>
      </c>
      <c r="AD12" s="18">
        <v>449</v>
      </c>
    </row>
    <row r="13" spans="1:30" ht="20.65" customHeight="1" x14ac:dyDescent="0.2">
      <c r="A13" s="19">
        <v>45942</v>
      </c>
      <c r="B13" s="10">
        <v>1128745</v>
      </c>
      <c r="C13" s="14">
        <f t="shared" si="2"/>
        <v>6050</v>
      </c>
      <c r="D13" s="11">
        <v>956932</v>
      </c>
      <c r="E13" s="14">
        <f t="shared" si="3"/>
        <v>881</v>
      </c>
      <c r="F13" s="27">
        <v>1704</v>
      </c>
      <c r="G13" s="67">
        <f t="shared" si="4"/>
        <v>0</v>
      </c>
      <c r="H13" s="69">
        <f t="shared" si="5"/>
        <v>6931</v>
      </c>
      <c r="I13" s="73">
        <f t="shared" si="6"/>
        <v>-39012.230000000003</v>
      </c>
      <c r="J13" s="32">
        <f t="shared" si="0"/>
        <v>-6931.510000000002</v>
      </c>
      <c r="K13" s="20">
        <f t="shared" si="7"/>
        <v>45942</v>
      </c>
      <c r="L13" s="33">
        <v>7935</v>
      </c>
      <c r="M13" s="34">
        <v>0</v>
      </c>
      <c r="N13" s="32">
        <f t="shared" si="8"/>
        <v>0</v>
      </c>
      <c r="O13" s="85">
        <v>0.73</v>
      </c>
      <c r="P13" s="86">
        <v>0.73</v>
      </c>
      <c r="Q13" s="85">
        <v>0.5</v>
      </c>
      <c r="R13" s="86">
        <v>0.52</v>
      </c>
      <c r="S13" s="38">
        <f t="shared" si="9"/>
        <v>4160</v>
      </c>
      <c r="T13" s="123"/>
      <c r="U13" s="32">
        <f t="shared" si="10"/>
        <v>365</v>
      </c>
      <c r="V13" s="41">
        <v>32642</v>
      </c>
      <c r="W13" s="32">
        <f t="shared" si="1"/>
        <v>116</v>
      </c>
      <c r="X13" s="43">
        <v>61265</v>
      </c>
      <c r="Y13" s="14">
        <f t="shared" si="11"/>
        <v>0</v>
      </c>
      <c r="Z13" s="47">
        <v>5795</v>
      </c>
      <c r="AA13" s="52"/>
      <c r="AB13" s="32">
        <f t="shared" si="12"/>
        <v>940</v>
      </c>
      <c r="AC13" s="13">
        <v>219</v>
      </c>
      <c r="AD13" s="18">
        <v>420</v>
      </c>
    </row>
    <row r="14" spans="1:30" ht="20.65" customHeight="1" x14ac:dyDescent="0.2">
      <c r="A14" s="19">
        <v>45943</v>
      </c>
      <c r="B14" s="10">
        <v>1134795</v>
      </c>
      <c r="C14" s="14" t="str">
        <f t="shared" si="2"/>
        <v>0</v>
      </c>
      <c r="D14" s="11">
        <v>957813</v>
      </c>
      <c r="E14" s="14" t="str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-45943.740000000005</v>
      </c>
      <c r="J14" s="32">
        <f t="shared" si="0"/>
        <v>-0.25999999999476131</v>
      </c>
      <c r="K14" s="20">
        <f t="shared" si="7"/>
        <v>45943</v>
      </c>
      <c r="L14" s="33">
        <v>7935</v>
      </c>
      <c r="M14" s="34">
        <v>0</v>
      </c>
      <c r="N14" s="32" t="str">
        <f t="shared" si="8"/>
        <v>0</v>
      </c>
      <c r="O14" s="85">
        <v>0.69</v>
      </c>
      <c r="P14" s="86">
        <v>0.72</v>
      </c>
      <c r="Q14" s="85">
        <v>0.05</v>
      </c>
      <c r="R14" s="86">
        <v>0.49</v>
      </c>
      <c r="S14" s="38">
        <f t="shared" si="9"/>
        <v>3795</v>
      </c>
      <c r="T14" s="123">
        <v>949</v>
      </c>
      <c r="U14" s="32">
        <f t="shared" si="10"/>
        <v>4744</v>
      </c>
      <c r="V14" s="41">
        <v>32758</v>
      </c>
      <c r="W14" s="32" t="str">
        <f t="shared" si="1"/>
        <v>0</v>
      </c>
      <c r="X14" s="43">
        <v>61265</v>
      </c>
      <c r="Y14" s="14" t="str">
        <f t="shared" si="11"/>
        <v>0</v>
      </c>
      <c r="Z14" s="47">
        <v>4855</v>
      </c>
      <c r="AA14" s="52"/>
      <c r="AB14" s="32" t="str">
        <f t="shared" si="12"/>
        <v>0</v>
      </c>
      <c r="AC14" s="13">
        <v>233</v>
      </c>
      <c r="AD14" s="18">
        <v>445</v>
      </c>
    </row>
    <row r="15" spans="1:30" ht="20.65" customHeight="1" x14ac:dyDescent="0.2">
      <c r="A15" s="19">
        <v>45944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-45944</v>
      </c>
      <c r="J15" s="32">
        <f t="shared" si="0"/>
        <v>-1</v>
      </c>
      <c r="K15" s="20">
        <f t="shared" si="7"/>
        <v>45944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45945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-45945</v>
      </c>
      <c r="J16" s="32">
        <f t="shared" si="0"/>
        <v>-1</v>
      </c>
      <c r="K16" s="20">
        <f t="shared" si="7"/>
        <v>45945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45946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-45946</v>
      </c>
      <c r="J17" s="32">
        <f t="shared" si="0"/>
        <v>-1</v>
      </c>
      <c r="K17" s="20">
        <f t="shared" si="7"/>
        <v>45946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45947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-45947</v>
      </c>
      <c r="J18" s="32">
        <f t="shared" si="0"/>
        <v>-1</v>
      </c>
      <c r="K18" s="20">
        <f t="shared" si="7"/>
        <v>45947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45948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-45948</v>
      </c>
      <c r="J19" s="32">
        <f t="shared" si="0"/>
        <v>-1</v>
      </c>
      <c r="K19" s="20">
        <f t="shared" si="7"/>
        <v>45948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45949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-45949</v>
      </c>
      <c r="J20" s="32">
        <f t="shared" si="0"/>
        <v>-1</v>
      </c>
      <c r="K20" s="20">
        <f t="shared" si="7"/>
        <v>45949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45950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-45950</v>
      </c>
      <c r="J21" s="32">
        <f t="shared" si="0"/>
        <v>-1</v>
      </c>
      <c r="K21" s="20">
        <f t="shared" si="7"/>
        <v>45950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45951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-45951</v>
      </c>
      <c r="J22" s="32">
        <f t="shared" si="0"/>
        <v>-1</v>
      </c>
      <c r="K22" s="20">
        <f t="shared" si="7"/>
        <v>45951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45952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-45952</v>
      </c>
      <c r="J23" s="32">
        <f t="shared" si="0"/>
        <v>-1</v>
      </c>
      <c r="K23" s="20">
        <f t="shared" si="7"/>
        <v>45952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45953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-45953</v>
      </c>
      <c r="J24" s="32">
        <f t="shared" si="0"/>
        <v>-1</v>
      </c>
      <c r="K24" s="20">
        <f t="shared" si="7"/>
        <v>45953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45954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-45954</v>
      </c>
      <c r="J25" s="32">
        <f t="shared" si="0"/>
        <v>-1</v>
      </c>
      <c r="K25" s="20">
        <f t="shared" si="7"/>
        <v>45954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45955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-45955</v>
      </c>
      <c r="J26" s="32">
        <f t="shared" si="0"/>
        <v>-1</v>
      </c>
      <c r="K26" s="20">
        <f t="shared" si="7"/>
        <v>45955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45956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-45956</v>
      </c>
      <c r="J27" s="32">
        <f t="shared" si="0"/>
        <v>-1</v>
      </c>
      <c r="K27" s="20">
        <f t="shared" si="7"/>
        <v>45956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45957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-45957</v>
      </c>
      <c r="J28" s="32">
        <f t="shared" si="0"/>
        <v>-1</v>
      </c>
      <c r="K28" s="20">
        <f t="shared" si="7"/>
        <v>45957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45958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-45958</v>
      </c>
      <c r="J29" s="32">
        <f t="shared" si="0"/>
        <v>-1</v>
      </c>
      <c r="K29" s="20">
        <f t="shared" si="7"/>
        <v>45958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45959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-45959</v>
      </c>
      <c r="J30" s="32">
        <f t="shared" si="0"/>
        <v>-1</v>
      </c>
      <c r="K30" s="20">
        <f t="shared" si="7"/>
        <v>45959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80316</v>
      </c>
      <c r="D34" s="77"/>
      <c r="E34" s="76">
        <f>SUM(E2:E33)</f>
        <v>12653</v>
      </c>
      <c r="F34" s="78"/>
      <c r="G34" s="76">
        <f>SUM(G2:G33)</f>
        <v>0</v>
      </c>
      <c r="H34" s="77">
        <f>SUM(H2:H33)</f>
        <v>92969</v>
      </c>
      <c r="I34" s="76">
        <f>SUM(I2:I32)</f>
        <v>-1331375.04</v>
      </c>
      <c r="J34" s="76">
        <f>SUM(J2:J33)</f>
        <v>36662.620000000003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1825</v>
      </c>
      <c r="U34" s="76">
        <f>SUM(U2:U33)</f>
        <v>6535</v>
      </c>
      <c r="V34" s="75"/>
      <c r="W34" s="76">
        <f>SUM(W2:W33)</f>
        <v>1408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4305</v>
      </c>
      <c r="AC34" s="79">
        <f>SUM(AC2:AC33)</f>
        <v>3091</v>
      </c>
      <c r="AD34" s="80">
        <f>SUM(AD2:AD33)</f>
        <v>5777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2025-10-13T06:52:09Z</dcterms:modified>
  <cp:category/>
  <cp:contentStatus/>
</cp:coreProperties>
</file>