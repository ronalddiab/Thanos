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0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0D2F5799-FA52-427E-93D1-E20718C667C0}" xr6:coauthVersionLast="47" xr6:coauthVersionMax="47" xr10:uidLastSave="{00000000-0000-0000-0000-000000000000}"/>
  <bookViews>
    <workbookView xWindow="-108" yWindow="-108" windowWidth="23256" windowHeight="12456" firstSheet="4" activeTab="1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RO Plant" sheetId="7" r:id="rId5"/>
    <sheet name="EMS Gridvis" sheetId="10" r:id="rId6"/>
    <sheet name="2019-2022 Utility" sheetId="5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7" l="1"/>
  <c r="W22" i="1"/>
  <c r="B22" i="7"/>
  <c r="C22" i="7"/>
  <c r="D22" i="7"/>
  <c r="F22" i="7"/>
  <c r="G22" i="7"/>
  <c r="H22" i="7"/>
  <c r="I22" i="7"/>
  <c r="J22" i="7"/>
  <c r="K22" i="7"/>
  <c r="E22" i="7"/>
  <c r="AA3" i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4" i="7"/>
  <c r="M3" i="7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K36" i="6"/>
  <c r="L36" i="6"/>
  <c r="J36" i="6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  <c r="Z6" i="1"/>
  <c r="Z7" i="1"/>
  <c r="Z8" i="1"/>
  <c r="Z9" i="1"/>
  <c r="Z5" i="1"/>
  <c r="Z10" i="1" s="1"/>
  <c r="R1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4" i="7"/>
  <c r="D34" i="7"/>
  <c r="E34" i="7"/>
  <c r="F34" i="7"/>
  <c r="G34" i="7"/>
  <c r="H34" i="7"/>
  <c r="I34" i="7"/>
  <c r="J34" i="7"/>
  <c r="K34" i="7"/>
  <c r="B34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72" i="6"/>
  <c r="C103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H34" i="5"/>
  <c r="H46" i="5"/>
  <c r="H45" i="5"/>
  <c r="H44" i="5"/>
  <c r="H43" i="5"/>
  <c r="H42" i="5"/>
  <c r="J65" i="6"/>
  <c r="C3" i="5"/>
  <c r="I6" i="5"/>
  <c r="D34" i="5"/>
  <c r="I29" i="5"/>
  <c r="N66" i="6"/>
  <c r="F46" i="5"/>
  <c r="F45" i="5"/>
  <c r="F44" i="5"/>
  <c r="F43" i="5"/>
  <c r="F42" i="5"/>
  <c r="G35" i="5" s="1"/>
  <c r="D42" i="5"/>
  <c r="D43" i="5"/>
  <c r="D44" i="5"/>
  <c r="D45" i="5"/>
  <c r="D46" i="5"/>
  <c r="R58" i="6"/>
  <c r="F57" i="6"/>
  <c r="I5" i="5"/>
  <c r="I7" i="5"/>
  <c r="I8" i="5"/>
  <c r="I9" i="5"/>
  <c r="I4" i="5"/>
  <c r="R56" i="6"/>
  <c r="G36" i="6"/>
  <c r="H36" i="6"/>
  <c r="N36" i="6"/>
  <c r="O36" i="6"/>
  <c r="P36" i="6"/>
  <c r="R36" i="6"/>
  <c r="S36" i="6"/>
  <c r="T36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O13" i="1"/>
  <c r="G13" i="5" s="1"/>
  <c r="O14" i="1"/>
  <c r="G14" i="5" s="1"/>
  <c r="O15" i="1"/>
  <c r="G15" i="5" s="1"/>
  <c r="O16" i="1"/>
  <c r="G16" i="5" s="1"/>
  <c r="O17" i="1"/>
  <c r="G17" i="5" s="1"/>
  <c r="O18" i="1"/>
  <c r="G18" i="5" s="1"/>
  <c r="O19" i="1"/>
  <c r="G19" i="5" s="1"/>
  <c r="O20" i="1"/>
  <c r="G20" i="5" s="1"/>
  <c r="O21" i="1"/>
  <c r="G21" i="5" s="1"/>
  <c r="O22" i="1"/>
  <c r="G22" i="5" s="1"/>
  <c r="O23" i="1"/>
  <c r="G23" i="5" s="1"/>
  <c r="O24" i="1"/>
  <c r="G24" i="5" s="1"/>
  <c r="O25" i="1"/>
  <c r="G25" i="5" s="1"/>
  <c r="O26" i="1"/>
  <c r="G26" i="5" s="1"/>
  <c r="O27" i="1"/>
  <c r="G27" i="5" s="1"/>
  <c r="O28" i="1"/>
  <c r="G28" i="5" s="1"/>
  <c r="O29" i="1"/>
  <c r="G29" i="5" s="1"/>
  <c r="O30" i="1"/>
  <c r="G30" i="5" s="1"/>
  <c r="O31" i="1"/>
  <c r="G31" i="5" s="1"/>
  <c r="O32" i="1"/>
  <c r="G32" i="5" s="1"/>
  <c r="G33" i="5"/>
  <c r="O4" i="1"/>
  <c r="G4" i="5" s="1"/>
  <c r="O5" i="1"/>
  <c r="G5" i="5" s="1"/>
  <c r="O6" i="1"/>
  <c r="G6" i="5" s="1"/>
  <c r="O7" i="1"/>
  <c r="G7" i="5" s="1"/>
  <c r="O8" i="1"/>
  <c r="G8" i="5" s="1"/>
  <c r="O9" i="1"/>
  <c r="G9" i="5" s="1"/>
  <c r="O10" i="1"/>
  <c r="G10" i="5" s="1"/>
  <c r="O11" i="1"/>
  <c r="G11" i="5" s="1"/>
  <c r="O12" i="1"/>
  <c r="G12" i="5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G38" i="5"/>
  <c r="G39" i="5" s="1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8" i="4"/>
  <c r="Q7" i="4"/>
  <c r="Q5" i="4"/>
  <c r="Q4" i="4"/>
  <c r="Q2" i="4"/>
  <c r="X24" i="4"/>
  <c r="X25" i="4"/>
  <c r="X26" i="4"/>
  <c r="X30" i="4"/>
  <c r="X31" i="4"/>
  <c r="Q3" i="4"/>
  <c r="Q6" i="4"/>
  <c r="Q15" i="4"/>
  <c r="Q16" i="4"/>
  <c r="Q17" i="4"/>
  <c r="Q18" i="4"/>
  <c r="Q23" i="4"/>
  <c r="Q24" i="4"/>
  <c r="Q26" i="4"/>
  <c r="Q29" i="4"/>
  <c r="Q30" i="4"/>
  <c r="R5" i="1" l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M34" i="7"/>
  <c r="E72" i="6"/>
  <c r="E103" i="6" s="1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I34" i="5"/>
  <c r="G3" i="5"/>
  <c r="G34" i="5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R29" i="1"/>
  <c r="R30" i="1" s="1"/>
  <c r="R31" i="1" s="1"/>
  <c r="R32" i="1" s="1"/>
  <c r="Q10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" i="4"/>
  <c r="L3" i="4"/>
  <c r="M3" i="4"/>
  <c r="N3" i="4"/>
  <c r="O3" i="4"/>
  <c r="P3" i="4"/>
  <c r="F3" i="3" l="1"/>
  <c r="X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L5" i="4"/>
  <c r="M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L7" i="4"/>
  <c r="M7" i="4"/>
  <c r="N7" i="4"/>
  <c r="O7" i="4"/>
  <c r="P7" i="4"/>
  <c r="S7" i="4"/>
  <c r="T7" i="4"/>
  <c r="U7" i="4"/>
  <c r="V7" i="4"/>
  <c r="E8" i="4"/>
  <c r="F8" i="4"/>
  <c r="G8" i="4"/>
  <c r="H8" i="4"/>
  <c r="I8" i="4"/>
  <c r="K8" i="4"/>
  <c r="L8" i="4"/>
  <c r="M8" i="4"/>
  <c r="N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N32" i="4"/>
  <c r="M32" i="4"/>
  <c r="O32" i="4"/>
  <c r="O34" i="4" l="1"/>
  <c r="F31" i="3"/>
  <c r="Q31" i="4"/>
  <c r="X23" i="4"/>
  <c r="X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tc={0BED1FD5-AB15-4F02-B7F5-DBE96E679416}</author>
    <author>tc={EE32488B-EBF4-4CB6-8965-0E33AE5BF94E}</author>
  </authors>
  <commentList>
    <comment ref="M2" authorId="0" shapeId="0" xr:uid="{0BED1FD5-AB15-4F02-B7F5-DBE96E6794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WT59= WT59-SRV1-(SRV2+3)
Reply:
    3 Added as average consumption for 3 resort villa
</t>
      </text>
    </comment>
    <comment ref="J27" authorId="1" shapeId="0" xr:uid="{EE32488B-EBF4-4CB6-8965-0E33AE5BF94E}">
      <text>
        <t>[Threaded comment]
Your version of Excel allows you to read this threaded comment; however, any edits to it will get removed if the file is opened in a newer version of Excel. Learn more: https://go.microsoft.com/fwlink/?linkid=870924
Comment:
    RV24 pool filling</t>
      </text>
    </comment>
  </commentList>
</comments>
</file>

<file path=xl/sharedStrings.xml><?xml version="1.0" encoding="utf-8"?>
<sst xmlns="http://schemas.openxmlformats.org/spreadsheetml/2006/main" count="269" uniqueCount="140">
  <si>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</si>
  <si>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</si>
  <si>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</si>
  <si>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</si>
  <si>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</si>
  <si>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</si>
  <si>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</si>
  <si>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</si>
  <si>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</si>
  <si>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</si>
  <si>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</si>
  <si>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</si>
  <si>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</si>
  <si>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</si>
  <si>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</si>
  <si>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</si>
  <si>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</si>
  <si>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</si>
  <si>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</si>
  <si>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</si>
  <si>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</si>
  <si>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</si>
  <si>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</si>
  <si>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</si>
  <si>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</si>
  <si>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</si>
  <si>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</si>
  <si>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</si>
  <si>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</si>
  <si>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</si>
  <si>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</si>
  <si>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</si>
  <si>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</si>
  <si>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</si>
  <si>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</si>
  <si>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</si>
  <si>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</si>
  <si>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</si>
  <si>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</si>
  <si>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</si>
  <si>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</si>
  <si>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</si>
  <si>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</si>
  <si>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</si>
  <si>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</si>
  <si>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</si>
  <si>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</si>
  <si>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</si>
  <si>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</si>
  <si>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</si>
  <si>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</si>
  <si>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</si>
  <si>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</si>
  <si>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</si>
  <si>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</si>
  <si>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</si>
  <si>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</si>
  <si>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</si>
  <si>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</si>
  <si>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</si>
  <si>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</si>
  <si>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</si>
  <si>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</si>
  <si>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</si>
  <si>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</si>
  <si>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</si>
  <si>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</si>
  <si>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</si>
  <si>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</si>
  <si>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</si>
  <si>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</si>
  <si>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</si>
  <si>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</si>
  <si>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</si>
  <si>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</si>
  <si>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</si>
  <si>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TOTAL</t>
  </si>
  <si>
    <t>Fuel burned Per Hour</t>
  </si>
  <si>
    <t>Energy Consumed Per Hour</t>
  </si>
  <si>
    <t>Engine Efficiency</t>
  </si>
  <si>
    <t>Load %</t>
  </si>
  <si>
    <t>Occupancy</t>
  </si>
  <si>
    <t>Total fuel burned (liters)</t>
  </si>
  <si>
    <t>Total consumed energy (KWH)</t>
  </si>
  <si>
    <t>Total consumed energy (MWH)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</si>
  <si>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</si>
  <si>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</si>
  <si>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</si>
  <si>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</si>
  <si>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</si>
  <si>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</si>
  <si>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</si>
  <si>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</si>
  <si>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</si>
  <si>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</si>
  <si>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</si>
  <si>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</si>
  <si>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</si>
  <si>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</si>
  <si>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</si>
  <si>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Excluding all SRVs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</si>
  <si>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</si>
  <si>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</si>
  <si>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</si>
  <si>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</si>
  <si>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</si>
  <si>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</si>
  <si>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</si>
  <si>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</si>
  <si>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</si>
  <si>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</si>
  <si>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OCCUPANCY</t>
  </si>
  <si>
    <t>GENERATOR</t>
  </si>
  <si>
    <t>DIESEL</t>
  </si>
  <si>
    <t>WATER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</si>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</sst>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165" fontId="17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13" fillId="0" borderId="11" xfId="0" applyFont="1" applyBorder="1" applyAlignment="1">
      <alignment horizontal="center" wrapText="1"/>
    </xf>
    <xf numFmtId="165" fontId="17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3" fillId="0" borderId="0" xfId="0" applyFont="1" applyAlignment="1">
      <alignment vertical="center" wrapText="1"/>
    </xf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7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7" fillId="0" borderId="15" xfId="0" applyNumberFormat="1" applyFont="1" applyBorder="1"/>
    <xf numFmtId="165" fontId="17" fillId="0" borderId="33" xfId="0" applyNumberFormat="1" applyFont="1" applyBorder="1"/>
    <xf numFmtId="3" fontId="17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7" fillId="0" borderId="15" xfId="0" applyNumberFormat="1" applyFont="1" applyBorder="1"/>
    <xf numFmtId="165" fontId="17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14" fontId="12" fillId="0" borderId="18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23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0" fillId="13" borderId="7" xfId="0" applyFont="1" applyFill="1" applyBorder="1"/>
    <xf numFmtId="0" fontId="24" fillId="0" borderId="7" xfId="0" applyFont="1" applyBorder="1" applyAlignment="1">
      <alignment wrapText="1"/>
    </xf>
    <xf numFmtId="0" fontId="24" fillId="0" borderId="7" xfId="0" applyFont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0" fontId="4" fillId="11" borderId="7" xfId="0" applyFont="1" applyFill="1" applyBorder="1" applyAlignment="1">
      <alignment horizontal="center" vertical="center"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14" fontId="12" fillId="0" borderId="16" xfId="0" applyNumberFormat="1" applyFont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24" fillId="0" borderId="2" xfId="0" applyFont="1" applyBorder="1" applyAlignment="1">
      <alignment wrapText="1"/>
    </xf>
    <xf numFmtId="0" fontId="24" fillId="0" borderId="4" xfId="0" applyFont="1" applyBorder="1"/>
    <xf numFmtId="0" fontId="24" fillId="0" borderId="5" xfId="0" applyFont="1" applyBorder="1" applyAlignment="1">
      <alignment wrapText="1"/>
    </xf>
    <xf numFmtId="0" fontId="24" fillId="0" borderId="35" xfId="0" applyFont="1" applyBorder="1"/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4" xfId="0" applyFont="1" applyBorder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7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167" fontId="12" fillId="0" borderId="7" xfId="0" applyNumberFormat="1" applyFont="1" applyBorder="1" applyAlignment="1"/>
    <xf numFmtId="167" fontId="12" fillId="0" borderId="15" xfId="0" applyNumberFormat="1" applyFont="1" applyBorder="1" applyAlignment="1"/>
    <xf numFmtId="0" fontId="22" fillId="3" borderId="7" xfId="0" applyFont="1" applyFill="1" applyBorder="1" applyAlignment="1"/>
    <xf numFmtId="0" fontId="0" fillId="0" borderId="7" xfId="0" applyBorder="1" applyAlignment="1"/>
    <xf numFmtId="0" fontId="4" fillId="0" borderId="7" xfId="0" applyFont="1" applyBorder="1" applyAlignment="1"/>
    <xf numFmtId="0" fontId="4" fillId="0" borderId="15" xfId="0" applyFont="1" applyBorder="1" applyAlignment="1"/>
    <xf numFmtId="0" fontId="0" fillId="0" borderId="13" xfId="0" applyBorder="1" applyAlignment="1"/>
    <xf numFmtId="0" fontId="20" fillId="0" borderId="15" xfId="0" applyFont="1" applyBorder="1" applyAlignment="1"/>
    <xf numFmtId="0" fontId="0" fillId="0" borderId="15" xfId="0" applyBorder="1" applyAlignment="1"/>
  </cellXfs>
  <cellStyles count="2">
    <cellStyle name="Milliers_Classeur1" xfId="1" xr:uid="{00000000-0005-0000-0000-000000000000}"/>
    <cellStyle name="Normal" xfId="0" builtinId="0"/>
  </cellStyles>
  <dxfs count="4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09-06T06:23:18.94" personId="{906BCDB9-8CBC-4ACF-8C89-1BA6B6D4221B}" id="{0BED1FD5-AB15-4F02-B7F5-DBE96E679416}">
    <text>WT59= WT59-SRV1-(SRV2+3)</text>
  </threadedComment>
  <threadedComment ref="M2" dT="2022-09-09T05:54:52.16" personId="{906BCDB9-8CBC-4ACF-8C89-1BA6B6D4221B}" id="{52E1AF83-F83F-4B0A-858C-B1CA8A72E5BA}" parentId="{0BED1FD5-AB15-4F02-B7F5-DBE96E679416}">
    <text xml:space="preserve">3 Added as average consumption for 3 resort villa
</text>
  </threadedComment>
  <threadedComment ref="J27" dT="2022-09-30T10:37:49.09" personId="{906BCDB9-8CBC-4ACF-8C89-1BA6B6D4221B}" id="{EE32488B-EBF4-4CB6-8965-0E33AE5BF94E}">
    <text>RV24 pool filling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20" workbookViewId="0">
      <selection activeCell="B39" sqref="B39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9</v>
      </c>
      <c r="D2" s="1">
        <v>2022</v>
      </c>
      <c r="E2" s="12">
        <f>SUM('FS Seychelles'!D3:I3)*1000</f>
        <v>17730</v>
      </c>
      <c r="F2" s="11">
        <f>(('FS Seychelles'!O3*'FS Seychelles'!P3)+('FS Seychelles'!Q3*'FS Seychelles'!R3))/TOTAL!E2</f>
        <v>0.58628539199097573</v>
      </c>
      <c r="G2" s="12">
        <f>('FS Seychelles'!$Z$10+'FS Seychelles'!$Z$15)/30</f>
        <v>319.06666666666666</v>
      </c>
      <c r="H2" s="11">
        <v>1.05</v>
      </c>
      <c r="I2" s="12">
        <f>SUM('FS Seychelles'!S3:W3)</f>
        <v>282</v>
      </c>
      <c r="J2" s="11">
        <v>0</v>
      </c>
      <c r="K2" s="28">
        <f>'FS Seychelles'!AA3</f>
        <v>122</v>
      </c>
      <c r="L2" s="11">
        <v>0</v>
      </c>
      <c r="M2" s="41">
        <f>'FS Seychelles'!B3</f>
        <v>60.5</v>
      </c>
    </row>
    <row r="3" spans="1:13" s="15" customFormat="1">
      <c r="A3" s="1" t="s">
        <v>13</v>
      </c>
      <c r="B3" s="14">
        <f>B2+1</f>
        <v>2</v>
      </c>
      <c r="C3" s="11">
        <f>C2</f>
        <v>9</v>
      </c>
      <c r="D3" s="1">
        <v>2022</v>
      </c>
      <c r="E3" s="12">
        <f>SUM('FS Seychelles'!D4:I4)*1000</f>
        <v>18180</v>
      </c>
      <c r="F3" s="11">
        <f>(('FS Seychelles'!O4*'FS Seychelles'!P4)+('FS Seychelles'!Q4*'FS Seychelles'!R4))/TOTAL!E3</f>
        <v>0.40258360836083612</v>
      </c>
      <c r="G3" s="12">
        <f>('FS Seychelles'!$Z$10+'FS Seychelles'!$Z$15)/30</f>
        <v>319.06666666666666</v>
      </c>
      <c r="H3" s="11">
        <f>H2</f>
        <v>1.05</v>
      </c>
      <c r="I3" s="12">
        <f>SUM('FS Seychelles'!S4:W4)</f>
        <v>347</v>
      </c>
      <c r="J3" s="11">
        <f>J2</f>
        <v>0</v>
      </c>
      <c r="K3" s="28">
        <f>'FS Seychelles'!AA4</f>
        <v>153</v>
      </c>
      <c r="L3" s="11">
        <f>L2</f>
        <v>0</v>
      </c>
      <c r="M3" s="41">
        <f>'FS Seychelles'!B4</f>
        <v>67.099999999999994</v>
      </c>
    </row>
    <row r="4" spans="1:13" s="15" customFormat="1">
      <c r="A4" s="1" t="s">
        <v>13</v>
      </c>
      <c r="B4" s="14">
        <f t="shared" ref="B4:B31" si="0">B3+1</f>
        <v>3</v>
      </c>
      <c r="C4" s="11">
        <f t="shared" ref="C4:C31" si="1">C3</f>
        <v>9</v>
      </c>
      <c r="D4" s="1">
        <v>2022</v>
      </c>
      <c r="E4" s="12">
        <f>SUM('FS Seychelles'!D5:I5)*1000</f>
        <v>18020</v>
      </c>
      <c r="F4" s="11">
        <f>(('FS Seychelles'!O5*'FS Seychelles'!P5)+('FS Seychelles'!Q5*'FS Seychelles'!R5))/TOTAL!E4</f>
        <v>0.59612319644839062</v>
      </c>
      <c r="G4" s="12">
        <f>('FS Seychelles'!$Z$10+'FS Seychelles'!$Z$15)/30</f>
        <v>319.06666666666666</v>
      </c>
      <c r="H4" s="11">
        <f t="shared" ref="H4:H31" si="2">H3</f>
        <v>1.05</v>
      </c>
      <c r="I4" s="12">
        <f>SUM('FS Seychelles'!S5:W5)</f>
        <v>318</v>
      </c>
      <c r="J4" s="11">
        <f t="shared" ref="J4:L31" si="3">J3</f>
        <v>0</v>
      </c>
      <c r="K4" s="28">
        <f>'FS Seychelles'!AA5</f>
        <v>108</v>
      </c>
      <c r="L4" s="11">
        <f t="shared" si="3"/>
        <v>0</v>
      </c>
      <c r="M4" s="41">
        <f>'FS Seychelles'!B5</f>
        <v>65.8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9</v>
      </c>
      <c r="D5" s="1">
        <v>2022</v>
      </c>
      <c r="E5" s="12">
        <f>SUM('FS Seychelles'!D6:I6)*1000</f>
        <v>17770</v>
      </c>
      <c r="F5" s="11">
        <f>(('FS Seychelles'!O6*'FS Seychelles'!P6)+('FS Seychelles'!Q6*'FS Seychelles'!R6))/TOTAL!E5</f>
        <v>0.57944231851435002</v>
      </c>
      <c r="G5" s="12">
        <f>('FS Seychelles'!$Z$10+'FS Seychelles'!$Z$15)/30</f>
        <v>319.06666666666666</v>
      </c>
      <c r="H5" s="11">
        <f t="shared" si="2"/>
        <v>1.05</v>
      </c>
      <c r="I5" s="12">
        <f>SUM('FS Seychelles'!S6:W6)</f>
        <v>357</v>
      </c>
      <c r="J5" s="11">
        <f t="shared" si="3"/>
        <v>0</v>
      </c>
      <c r="K5" s="28">
        <f>'FS Seychelles'!AA6</f>
        <v>118</v>
      </c>
      <c r="L5" s="11">
        <f t="shared" si="3"/>
        <v>0</v>
      </c>
      <c r="M5" s="41">
        <f>'FS Seychelles'!B6</f>
        <v>63.2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9</v>
      </c>
      <c r="D6" s="1">
        <v>2022</v>
      </c>
      <c r="E6" s="12">
        <f>SUM('FS Seychelles'!D7:I7)*1000</f>
        <v>18220</v>
      </c>
      <c r="F6" s="11">
        <f>(('FS Seychelles'!O7*'FS Seychelles'!P7)+('FS Seychelles'!Q7*'FS Seychelles'!R7))/TOTAL!E6</f>
        <v>0.60093358946212949</v>
      </c>
      <c r="G6" s="12">
        <f>('FS Seychelles'!$Z$10+'FS Seychelles'!$Z$15)/30</f>
        <v>319.06666666666666</v>
      </c>
      <c r="H6" s="11">
        <f t="shared" si="2"/>
        <v>1.05</v>
      </c>
      <c r="I6" s="12">
        <f>SUM('FS Seychelles'!S7:W7)</f>
        <v>334</v>
      </c>
      <c r="J6" s="11">
        <f t="shared" si="3"/>
        <v>0</v>
      </c>
      <c r="K6" s="28">
        <f>'FS Seychelles'!AA7</f>
        <v>89</v>
      </c>
      <c r="L6" s="11">
        <f t="shared" si="3"/>
        <v>0</v>
      </c>
      <c r="M6" s="41">
        <f>'FS Seychelles'!B7</f>
        <v>64.5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9</v>
      </c>
      <c r="D7" s="1">
        <v>2022</v>
      </c>
      <c r="E7" s="12">
        <f>SUM('FS Seychelles'!D8:I8)*1000</f>
        <v>18990</v>
      </c>
      <c r="F7" s="11">
        <f>(('FS Seychelles'!O8*'FS Seychelles'!P8)+('FS Seychelles'!Q8*'FS Seychelles'!R8))/TOTAL!E7</f>
        <v>0.58777883096366512</v>
      </c>
      <c r="G7" s="12">
        <f>('FS Seychelles'!$Z$10+'FS Seychelles'!$Z$15)/30</f>
        <v>319.06666666666666</v>
      </c>
      <c r="H7" s="11">
        <f t="shared" si="2"/>
        <v>1.05</v>
      </c>
      <c r="I7" s="12">
        <f>SUM('FS Seychelles'!S8:W8)</f>
        <v>309</v>
      </c>
      <c r="J7" s="11">
        <f t="shared" si="3"/>
        <v>0</v>
      </c>
      <c r="K7" s="28">
        <f>'FS Seychelles'!AA8</f>
        <v>157</v>
      </c>
      <c r="L7" s="11">
        <f t="shared" si="3"/>
        <v>0</v>
      </c>
      <c r="M7" s="41">
        <f>'FS Seychelles'!B8</f>
        <v>63.2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9</v>
      </c>
      <c r="D8" s="1">
        <v>2022</v>
      </c>
      <c r="E8" s="12">
        <f>SUM('FS Seychelles'!D9:I9)*1000</f>
        <v>18910</v>
      </c>
      <c r="F8" s="11">
        <f>(('FS Seychelles'!O9*'FS Seychelles'!P9)+('FS Seychelles'!Q9*'FS Seychelles'!R9))/TOTAL!E8</f>
        <v>0.48310417768376518</v>
      </c>
      <c r="G8" s="12">
        <f>('FS Seychelles'!$Z$10+'FS Seychelles'!$Z$15)/30</f>
        <v>319.06666666666666</v>
      </c>
      <c r="H8" s="11">
        <f t="shared" si="2"/>
        <v>1.05</v>
      </c>
      <c r="I8" s="12">
        <f>SUM('FS Seychelles'!S9:W9)</f>
        <v>339</v>
      </c>
      <c r="J8" s="11">
        <f t="shared" si="3"/>
        <v>0</v>
      </c>
      <c r="K8" s="28">
        <f>'FS Seychelles'!AA9</f>
        <v>174</v>
      </c>
      <c r="L8" s="11">
        <f t="shared" si="3"/>
        <v>0</v>
      </c>
      <c r="M8" s="41">
        <f>'FS Seychelles'!B9</f>
        <v>66.2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9</v>
      </c>
      <c r="D9" s="1">
        <v>2022</v>
      </c>
      <c r="E9" s="12">
        <f>SUM('FS Seychelles'!D10:I10)*1000</f>
        <v>18300</v>
      </c>
      <c r="F9" s="11">
        <f>(('FS Seychelles'!O10*'FS Seychelles'!P10)+('FS Seychelles'!Q10*'FS Seychelles'!R10))/TOTAL!E9</f>
        <v>0.6035874316939891</v>
      </c>
      <c r="G9" s="12">
        <f>('FS Seychelles'!$Z$10+'FS Seychelles'!$Z$15)/30</f>
        <v>319.06666666666666</v>
      </c>
      <c r="H9" s="11">
        <f t="shared" si="2"/>
        <v>1.05</v>
      </c>
      <c r="I9" s="12">
        <f>SUM('FS Seychelles'!S10:W10)</f>
        <v>354</v>
      </c>
      <c r="J9" s="11">
        <f t="shared" si="3"/>
        <v>0</v>
      </c>
      <c r="K9" s="28">
        <f>'FS Seychelles'!AA10</f>
        <v>143</v>
      </c>
      <c r="L9" s="11">
        <f t="shared" si="3"/>
        <v>0</v>
      </c>
      <c r="M9" s="41">
        <f>'FS Seychelles'!B10</f>
        <v>66.2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9</v>
      </c>
      <c r="D10" s="1">
        <v>2022</v>
      </c>
      <c r="E10" s="12">
        <f>SUM('FS Seychelles'!D11:I11)*1000</f>
        <v>18120</v>
      </c>
      <c r="F10" s="11">
        <f>(('FS Seychelles'!O11*'FS Seychelles'!P11)+('FS Seychelles'!Q11*'FS Seychelles'!R11))/TOTAL!E10</f>
        <v>0.55266666666666664</v>
      </c>
      <c r="G10" s="12">
        <f>('FS Seychelles'!$Z$10+'FS Seychelles'!$Z$15)/30</f>
        <v>319.06666666666666</v>
      </c>
      <c r="H10" s="11">
        <f t="shared" si="2"/>
        <v>1.05</v>
      </c>
      <c r="I10" s="12">
        <f>SUM('FS Seychelles'!S11:W11)</f>
        <v>326</v>
      </c>
      <c r="J10" s="11">
        <f t="shared" si="3"/>
        <v>0</v>
      </c>
      <c r="K10" s="28">
        <f>'FS Seychelles'!AA11</f>
        <v>208</v>
      </c>
      <c r="L10" s="11">
        <f t="shared" si="3"/>
        <v>0</v>
      </c>
      <c r="M10" s="41">
        <f>'FS Seychelles'!B11</f>
        <v>70.099999999999994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9</v>
      </c>
      <c r="D11" s="1">
        <v>2022</v>
      </c>
      <c r="E11" s="12">
        <f>SUM('FS Seychelles'!D12:I12)*1000</f>
        <v>19070</v>
      </c>
      <c r="F11" s="11">
        <f>(('FS Seychelles'!O12*'FS Seychelles'!P12)+('FS Seychelles'!Q12*'FS Seychelles'!R12))/TOTAL!E11</f>
        <v>0.57193130571578388</v>
      </c>
      <c r="G11" s="12">
        <f>('FS Seychelles'!$Z$10+'FS Seychelles'!$Z$15)/30</f>
        <v>319.06666666666666</v>
      </c>
      <c r="H11" s="11">
        <f t="shared" si="2"/>
        <v>1.05</v>
      </c>
      <c r="I11" s="12">
        <f>SUM('FS Seychelles'!S12:W12)</f>
        <v>307</v>
      </c>
      <c r="J11" s="11">
        <f t="shared" si="3"/>
        <v>0</v>
      </c>
      <c r="K11" s="28">
        <f>'FS Seychelles'!AA12</f>
        <v>167</v>
      </c>
      <c r="L11" s="11">
        <f t="shared" si="3"/>
        <v>0</v>
      </c>
      <c r="M11" s="41">
        <f>'FS Seychelles'!B12</f>
        <v>57.1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9</v>
      </c>
      <c r="D12" s="1">
        <v>2022</v>
      </c>
      <c r="E12" s="12">
        <f>SUM('FS Seychelles'!D13:I13)*1000</f>
        <v>17020</v>
      </c>
      <c r="F12" s="11">
        <f>(('FS Seychelles'!O13*'FS Seychelles'!P13)+('FS Seychelles'!Q13*'FS Seychelles'!R13))/TOTAL!E12</f>
        <v>0.45370975323149237</v>
      </c>
      <c r="G12" s="12">
        <f>('FS Seychelles'!$Z$10+'FS Seychelles'!$Z$15)/30</f>
        <v>319.06666666666666</v>
      </c>
      <c r="H12" s="11">
        <f t="shared" si="2"/>
        <v>1.05</v>
      </c>
      <c r="I12" s="12">
        <f>SUM('FS Seychelles'!S13:W13)</f>
        <v>233</v>
      </c>
      <c r="J12" s="11">
        <f t="shared" si="3"/>
        <v>0</v>
      </c>
      <c r="K12" s="28">
        <f>'FS Seychelles'!AA13</f>
        <v>128</v>
      </c>
      <c r="L12" s="11">
        <f t="shared" si="3"/>
        <v>0</v>
      </c>
      <c r="M12" s="41">
        <f>'FS Seychelles'!B13</f>
        <v>40.299999999999997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9</v>
      </c>
      <c r="D13" s="1">
        <v>2022</v>
      </c>
      <c r="E13" s="12">
        <f>SUM('FS Seychelles'!D14:I14)*1000</f>
        <v>17320</v>
      </c>
      <c r="F13" s="11">
        <f>(('FS Seychelles'!O14*'FS Seychelles'!P14)+('FS Seychelles'!Q14*'FS Seychelles'!R14))/TOTAL!E13</f>
        <v>0.76755427251732111</v>
      </c>
      <c r="G13" s="12">
        <f>('FS Seychelles'!$Z$10+'FS Seychelles'!$Z$15)/30</f>
        <v>319.06666666666666</v>
      </c>
      <c r="H13" s="11">
        <f t="shared" si="2"/>
        <v>1.05</v>
      </c>
      <c r="I13" s="12">
        <f>SUM('FS Seychelles'!S14:W14)</f>
        <v>238</v>
      </c>
      <c r="J13" s="11">
        <f t="shared" si="3"/>
        <v>0</v>
      </c>
      <c r="K13" s="28">
        <f>'FS Seychelles'!AA14</f>
        <v>167</v>
      </c>
      <c r="L13" s="11">
        <f t="shared" si="3"/>
        <v>0</v>
      </c>
      <c r="M13" s="41">
        <f>'FS Seychelles'!B14</f>
        <v>26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9</v>
      </c>
      <c r="D14" s="1">
        <v>2022</v>
      </c>
      <c r="E14" s="12">
        <f>SUM('FS Seychelles'!D15:I15)*1000</f>
        <v>17750.000000000004</v>
      </c>
      <c r="F14" s="11">
        <f>(('FS Seychelles'!O15*'FS Seychelles'!P15)+('FS Seychelles'!Q15*'FS Seychelles'!R15))/TOTAL!E14</f>
        <v>0.5390061971830985</v>
      </c>
      <c r="G14" s="12">
        <f>('FS Seychelles'!$Z$10+'FS Seychelles'!$Z$15)/30</f>
        <v>319.06666666666666</v>
      </c>
      <c r="H14" s="11">
        <f t="shared" si="2"/>
        <v>1.05</v>
      </c>
      <c r="I14" s="12">
        <f>SUM('FS Seychelles'!S15:W15)</f>
        <v>331</v>
      </c>
      <c r="J14" s="11">
        <f t="shared" si="3"/>
        <v>0</v>
      </c>
      <c r="K14" s="28">
        <f>'FS Seychelles'!AA15</f>
        <v>122</v>
      </c>
      <c r="L14" s="11">
        <f t="shared" si="3"/>
        <v>0</v>
      </c>
      <c r="M14" s="41">
        <f>'FS Seychelles'!B15</f>
        <v>61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9</v>
      </c>
      <c r="D15" s="1">
        <v>2022</v>
      </c>
      <c r="E15" s="12">
        <f>SUM('FS Seychelles'!D16:I16)*1000</f>
        <v>18020</v>
      </c>
      <c r="F15" s="11">
        <f>(('FS Seychelles'!O16*'FS Seychelles'!P16)+('FS Seychelles'!Q16*'FS Seychelles'!R16))/TOTAL!E15</f>
        <v>0.42727469478357377</v>
      </c>
      <c r="G15" s="12">
        <f>('FS Seychelles'!$Z$10+'FS Seychelles'!$Z$15)/30</f>
        <v>319.06666666666666</v>
      </c>
      <c r="H15" s="11">
        <f t="shared" si="2"/>
        <v>1.05</v>
      </c>
      <c r="I15" s="12">
        <f>SUM('FS Seychelles'!S16:W16)</f>
        <v>320</v>
      </c>
      <c r="J15" s="11">
        <f t="shared" si="3"/>
        <v>0</v>
      </c>
      <c r="K15" s="28">
        <f>'FS Seychelles'!AA16</f>
        <v>173</v>
      </c>
      <c r="L15" s="11">
        <f t="shared" si="3"/>
        <v>0</v>
      </c>
      <c r="M15" s="41">
        <f>'FS Seychelles'!B16</f>
        <v>62.3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9</v>
      </c>
      <c r="D16" s="1">
        <v>2022</v>
      </c>
      <c r="E16" s="12">
        <f>SUM('FS Seychelles'!D17:I17)*1000</f>
        <v>18020</v>
      </c>
      <c r="F16" s="11">
        <f>(('FS Seychelles'!O17*'FS Seychelles'!P17)+('FS Seychelles'!Q17*'FS Seychelles'!R17))/TOTAL!E16</f>
        <v>0.58020199778024417</v>
      </c>
      <c r="G16" s="12">
        <f>('FS Seychelles'!$Z$10+'FS Seychelles'!$Z$15)/30</f>
        <v>319.06666666666666</v>
      </c>
      <c r="H16" s="11">
        <f t="shared" si="2"/>
        <v>1.05</v>
      </c>
      <c r="I16" s="12">
        <f>SUM('FS Seychelles'!S17:W17)</f>
        <v>228</v>
      </c>
      <c r="J16" s="11">
        <f t="shared" si="3"/>
        <v>0</v>
      </c>
      <c r="K16" s="28">
        <f>'FS Seychelles'!AA17</f>
        <v>114</v>
      </c>
      <c r="L16" s="11">
        <f t="shared" si="3"/>
        <v>0</v>
      </c>
      <c r="M16" s="41">
        <f>'FS Seychelles'!B17</f>
        <v>28.6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9</v>
      </c>
      <c r="D17" s="1">
        <v>2022</v>
      </c>
      <c r="E17" s="12">
        <f>SUM('FS Seychelles'!D18:I18)*1000</f>
        <v>17630</v>
      </c>
      <c r="F17" s="11">
        <f>(('FS Seychelles'!O18*'FS Seychelles'!P18)+('FS Seychelles'!Q18*'FS Seychelles'!R18))/TOTAL!E17</f>
        <v>0.57684912081678963</v>
      </c>
      <c r="G17" s="12">
        <f>('FS Seychelles'!$Z$10+'FS Seychelles'!$Z$15)/30</f>
        <v>319.06666666666666</v>
      </c>
      <c r="H17" s="11">
        <f t="shared" si="2"/>
        <v>1.05</v>
      </c>
      <c r="I17" s="12">
        <f>SUM('FS Seychelles'!S18:W18)</f>
        <v>210</v>
      </c>
      <c r="J17" s="11">
        <f t="shared" si="3"/>
        <v>0</v>
      </c>
      <c r="K17" s="28">
        <f>'FS Seychelles'!AA18</f>
        <v>89</v>
      </c>
      <c r="L17" s="11">
        <f t="shared" si="3"/>
        <v>0</v>
      </c>
      <c r="M17" s="41">
        <f>'FS Seychelles'!B18</f>
        <v>39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9</v>
      </c>
      <c r="D18" s="1">
        <v>2022</v>
      </c>
      <c r="E18" s="12">
        <f>SUM('FS Seychelles'!D19:I19)*1000</f>
        <v>17630.000000000004</v>
      </c>
      <c r="F18" s="11">
        <f>(('FS Seychelles'!O19*'FS Seychelles'!P19)+('FS Seychelles'!Q19*'FS Seychelles'!R19))/TOTAL!E18</f>
        <v>0.5968054452637549</v>
      </c>
      <c r="G18" s="12">
        <f>('FS Seychelles'!$Z$10+'FS Seychelles'!$Z$15)/30</f>
        <v>319.06666666666666</v>
      </c>
      <c r="H18" s="11">
        <f t="shared" si="2"/>
        <v>1.05</v>
      </c>
      <c r="I18" s="12">
        <f>SUM('FS Seychelles'!S19:W19)</f>
        <v>247</v>
      </c>
      <c r="J18" s="11">
        <f t="shared" si="3"/>
        <v>0</v>
      </c>
      <c r="K18" s="28">
        <f>'FS Seychelles'!AA19</f>
        <v>120</v>
      </c>
      <c r="L18" s="11">
        <f t="shared" si="3"/>
        <v>0</v>
      </c>
      <c r="M18" s="41">
        <f>'FS Seychelles'!B19</f>
        <v>53.2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9</v>
      </c>
      <c r="D19" s="1">
        <v>2022</v>
      </c>
      <c r="E19" s="12">
        <f>SUM('FS Seychelles'!D20:I20)*1000</f>
        <v>18490.000000000004</v>
      </c>
      <c r="F19" s="11">
        <f>(('FS Seychelles'!O20*'FS Seychelles'!P20)+('FS Seychelles'!Q20*'FS Seychelles'!R20))/TOTAL!E19</f>
        <v>0.56602541914548388</v>
      </c>
      <c r="G19" s="12">
        <f>('FS Seychelles'!$Z$10+'FS Seychelles'!$Z$15)/30</f>
        <v>319.06666666666666</v>
      </c>
      <c r="H19" s="11">
        <f t="shared" si="2"/>
        <v>1.05</v>
      </c>
      <c r="I19" s="12">
        <f>SUM('FS Seychelles'!S20:W20)</f>
        <v>255</v>
      </c>
      <c r="J19" s="11">
        <f t="shared" si="3"/>
        <v>0</v>
      </c>
      <c r="K19" s="28">
        <f>'FS Seychelles'!AA20</f>
        <v>-45267</v>
      </c>
      <c r="L19" s="11">
        <f t="shared" si="3"/>
        <v>0</v>
      </c>
      <c r="M19" s="41">
        <f>'FS Seychelles'!B20</f>
        <v>76.599999999999994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9</v>
      </c>
      <c r="D20" s="1">
        <v>2022</v>
      </c>
      <c r="E20" s="12">
        <f>SUM('FS Seychelles'!D21:I21)*1000</f>
        <v>17720</v>
      </c>
      <c r="F20" s="11">
        <f>(('FS Seychelles'!O21*'FS Seychelles'!P21)+('FS Seychelles'!Q21*'FS Seychelles'!R21))/TOTAL!E20</f>
        <v>0.56863600451467267</v>
      </c>
      <c r="G20" s="12">
        <f>('FS Seychelles'!$Z$10+'FS Seychelles'!$Z$15)/30</f>
        <v>319.06666666666666</v>
      </c>
      <c r="H20" s="11">
        <f t="shared" si="2"/>
        <v>1.05</v>
      </c>
      <c r="I20" s="12">
        <f>SUM('FS Seychelles'!S21:W21)</f>
        <v>173</v>
      </c>
      <c r="J20" s="11">
        <f t="shared" si="3"/>
        <v>0</v>
      </c>
      <c r="K20" s="28">
        <f>'FS Seychelles'!AA21</f>
        <v>45519</v>
      </c>
      <c r="L20" s="11">
        <f t="shared" si="3"/>
        <v>0</v>
      </c>
      <c r="M20" s="41">
        <f>'FS Seychelles'!B21</f>
        <v>76.599999999999994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9</v>
      </c>
      <c r="D21" s="1">
        <v>2022</v>
      </c>
      <c r="E21" s="12">
        <f>SUM('FS Seychelles'!D22:I22)*1000</f>
        <v>18950</v>
      </c>
      <c r="F21" s="11">
        <f>(('FS Seychelles'!O22*'FS Seychelles'!P22)+('FS Seychelles'!Q22*'FS Seychelles'!R22))/TOTAL!E21</f>
        <v>0.58495567282321903</v>
      </c>
      <c r="G21" s="12">
        <f>('FS Seychelles'!$Z$10+'FS Seychelles'!$Z$15)/30</f>
        <v>319.06666666666666</v>
      </c>
      <c r="H21" s="11">
        <f t="shared" si="2"/>
        <v>1.05</v>
      </c>
      <c r="I21" s="12">
        <f>SUM('FS Seychelles'!S22:W22)</f>
        <v>276.42857142857144</v>
      </c>
      <c r="J21" s="11">
        <f t="shared" si="3"/>
        <v>0</v>
      </c>
      <c r="K21" s="28">
        <f>'FS Seychelles'!AA22</f>
        <v>-45519</v>
      </c>
      <c r="L21" s="11">
        <f t="shared" si="3"/>
        <v>0</v>
      </c>
      <c r="M21" s="41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9</v>
      </c>
      <c r="D22" s="1">
        <v>2022</v>
      </c>
      <c r="E22" s="12">
        <f>SUM('FS Seychelles'!D23:I23)*1000</f>
        <v>17830.000000000004</v>
      </c>
      <c r="F22" s="11">
        <f>(('FS Seychelles'!O23*'FS Seychelles'!P23)+('FS Seychelles'!Q23*'FS Seychelles'!R23))/TOTAL!E22</f>
        <v>0.56927762198541765</v>
      </c>
      <c r="G22" s="12">
        <f>('FS Seychelles'!$Z$10+'FS Seychelles'!$Z$15)/30</f>
        <v>319.06666666666666</v>
      </c>
      <c r="H22" s="11">
        <f t="shared" si="2"/>
        <v>1.05</v>
      </c>
      <c r="I22" s="12">
        <f>SUM('FS Seychelles'!S23:W23)</f>
        <v>256</v>
      </c>
      <c r="J22" s="11">
        <f t="shared" si="3"/>
        <v>0</v>
      </c>
      <c r="K22" s="28">
        <f>'FS Seychelles'!AA23</f>
        <v>0</v>
      </c>
      <c r="L22" s="11">
        <f t="shared" si="3"/>
        <v>0</v>
      </c>
      <c r="M22" s="41">
        <f>'FS Seychelles'!B23</f>
        <v>76.599999999999994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9</v>
      </c>
      <c r="D23" s="1">
        <v>2022</v>
      </c>
      <c r="E23" s="12">
        <f>SUM('FS Seychelles'!D24:I24)*1000</f>
        <v>6100.0000000000009</v>
      </c>
      <c r="F23" s="11">
        <f>(('FS Seychelles'!O24*'FS Seychelles'!P24)+('FS Seychelles'!Q24*'FS Seychelles'!R24))/TOTAL!E23</f>
        <v>1.5944114754098357</v>
      </c>
      <c r="G23" s="12">
        <f>('FS Seychelles'!$Z$10+'FS Seychelles'!$Z$15)/30</f>
        <v>319.06666666666666</v>
      </c>
      <c r="H23" s="11">
        <f t="shared" si="2"/>
        <v>1.05</v>
      </c>
      <c r="I23" s="12">
        <f>SUM('FS Seychelles'!S24:W24)</f>
        <v>305</v>
      </c>
      <c r="J23" s="11">
        <f t="shared" si="3"/>
        <v>0</v>
      </c>
      <c r="K23" s="28">
        <f>'FS Seychelles'!AA24</f>
        <v>0</v>
      </c>
      <c r="L23" s="11">
        <f t="shared" si="3"/>
        <v>0</v>
      </c>
      <c r="M23" s="41">
        <f>'FS Seychelles'!B24</f>
        <v>77.900000000000006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9</v>
      </c>
      <c r="D24" s="1">
        <v>2022</v>
      </c>
      <c r="E24" s="12">
        <f>SUM('FS Seychelles'!D25:I25)*1000</f>
        <v>19170</v>
      </c>
      <c r="F24" s="11">
        <f>(('FS Seychelles'!O25*'FS Seychelles'!P25)+('FS Seychelles'!Q25*'FS Seychelles'!R25))/TOTAL!E24</f>
        <v>0.58588315075639019</v>
      </c>
      <c r="G24" s="12">
        <f>('FS Seychelles'!$Z$10+'FS Seychelles'!$Z$15)/30</f>
        <v>319.06666666666666</v>
      </c>
      <c r="H24" s="11">
        <f t="shared" si="2"/>
        <v>1.05</v>
      </c>
      <c r="I24" s="12">
        <f>SUM('FS Seychelles'!S25:W25)</f>
        <v>258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1">
        <f>'FS Seychelles'!B25</f>
        <v>74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9</v>
      </c>
      <c r="D25" s="1">
        <v>2022</v>
      </c>
      <c r="E25" s="12">
        <f>SUM('FS Seychelles'!D26:I26)*1000</f>
        <v>19720</v>
      </c>
      <c r="F25" s="11">
        <f>(('FS Seychelles'!O26*'FS Seychelles'!P26)+('FS Seychelles'!Q26*'FS Seychelles'!R26))/TOTAL!E25</f>
        <v>0.68470689655172412</v>
      </c>
      <c r="G25" s="12">
        <f>('FS Seychelles'!$Z$10+'FS Seychelles'!$Z$15)/30</f>
        <v>319.06666666666666</v>
      </c>
      <c r="H25" s="11">
        <f t="shared" si="2"/>
        <v>1.05</v>
      </c>
      <c r="I25" s="12">
        <f>SUM('FS Seychelles'!S26:W26)</f>
        <v>292</v>
      </c>
      <c r="J25" s="11">
        <f t="shared" si="3"/>
        <v>0</v>
      </c>
      <c r="K25" s="28">
        <f>'FS Seychelles'!AA26</f>
        <v>0</v>
      </c>
      <c r="L25" s="11">
        <f t="shared" si="3"/>
        <v>0</v>
      </c>
      <c r="M25" s="41">
        <f>'FS Seychelles'!B26</f>
        <v>75.3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9</v>
      </c>
      <c r="D26" s="1">
        <v>2022</v>
      </c>
      <c r="E26" s="12">
        <f>SUM('FS Seychelles'!D27:I27)*1000</f>
        <v>18820</v>
      </c>
      <c r="F26" s="11">
        <f>(('FS Seychelles'!O27*'FS Seychelles'!P27)+('FS Seychelles'!Q27*'FS Seychelles'!R27))/TOTAL!E26</f>
        <v>0.48461211477151966</v>
      </c>
      <c r="G26" s="12">
        <f>('FS Seychelles'!$Z$10+'FS Seychelles'!$Z$15)/30</f>
        <v>319.06666666666666</v>
      </c>
      <c r="H26" s="11">
        <f t="shared" si="2"/>
        <v>1.05</v>
      </c>
      <c r="I26" s="12">
        <f>SUM('FS Seychelles'!S27:W27)</f>
        <v>304</v>
      </c>
      <c r="J26" s="11">
        <f t="shared" si="3"/>
        <v>0</v>
      </c>
      <c r="K26" s="28">
        <f>'FS Seychelles'!AA27</f>
        <v>0</v>
      </c>
      <c r="L26" s="11">
        <f t="shared" si="3"/>
        <v>0</v>
      </c>
      <c r="M26" s="41">
        <f>'FS Seychelles'!B27</f>
        <v>55.8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9</v>
      </c>
      <c r="D27" s="1">
        <v>2022</v>
      </c>
      <c r="E27" s="12">
        <f>SUM('FS Seychelles'!D28:I28)*1000</f>
        <v>19230</v>
      </c>
      <c r="F27" s="11">
        <f>(('FS Seychelles'!O28*'FS Seychelles'!P28)+('FS Seychelles'!Q28*'FS Seychelles'!R28))/TOTAL!E27</f>
        <v>0.59606916276651067</v>
      </c>
      <c r="G27" s="12">
        <f>('FS Seychelles'!$Z$10+'FS Seychelles'!$Z$15)/30</f>
        <v>319.06666666666666</v>
      </c>
      <c r="H27" s="11">
        <f t="shared" si="2"/>
        <v>1.05</v>
      </c>
      <c r="I27" s="12">
        <f>SUM('FS Seychelles'!S28:W28)</f>
        <v>325</v>
      </c>
      <c r="J27" s="11">
        <f t="shared" si="3"/>
        <v>0</v>
      </c>
      <c r="K27" s="28">
        <f>'FS Seychelles'!AA28</f>
        <v>0</v>
      </c>
      <c r="L27" s="11">
        <f t="shared" si="3"/>
        <v>0</v>
      </c>
      <c r="M27" s="41">
        <f>'FS Seychelles'!B28</f>
        <v>51.9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9</v>
      </c>
      <c r="D28" s="1">
        <v>2022</v>
      </c>
      <c r="E28" s="12">
        <f>SUM('FS Seychelles'!D29:I29)*1000</f>
        <v>17860</v>
      </c>
      <c r="F28" s="11">
        <f>(('FS Seychelles'!O29*'FS Seychelles'!P29)+('FS Seychelles'!Q29*'FS Seychelles'!R29))/TOTAL!E28</f>
        <v>0.49146864501679727</v>
      </c>
      <c r="G28" s="12">
        <f>('FS Seychelles'!$Z$10+'FS Seychelles'!$Z$15)/30</f>
        <v>319.06666666666666</v>
      </c>
      <c r="H28" s="11">
        <f t="shared" si="2"/>
        <v>1.05</v>
      </c>
      <c r="I28" s="12">
        <f>SUM('FS Seychelles'!S29:W29)</f>
        <v>358</v>
      </c>
      <c r="J28" s="11">
        <f t="shared" si="3"/>
        <v>0</v>
      </c>
      <c r="K28" s="28">
        <f>'FS Seychelles'!AA29</f>
        <v>0</v>
      </c>
      <c r="L28" s="11">
        <f t="shared" si="3"/>
        <v>0</v>
      </c>
      <c r="M28" s="41">
        <f>'FS Seychelles'!B29</f>
        <v>49.4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9</v>
      </c>
      <c r="D29" s="1">
        <v>2022</v>
      </c>
      <c r="E29" s="12">
        <f>SUM('FS Seychelles'!D30:I30)*1000</f>
        <v>17770</v>
      </c>
      <c r="F29" s="11">
        <f>(('FS Seychelles'!O30*'FS Seychelles'!P30)+('FS Seychelles'!Q30*'FS Seychelles'!R30))/TOTAL!E29</f>
        <v>0.55632920652785589</v>
      </c>
      <c r="G29" s="12">
        <f>('FS Seychelles'!$Z$10+'FS Seychelles'!$Z$15)/30</f>
        <v>319.06666666666666</v>
      </c>
      <c r="H29" s="11">
        <f t="shared" si="2"/>
        <v>1.05</v>
      </c>
      <c r="I29" s="12">
        <f>SUM('FS Seychelles'!S30:W30)</f>
        <v>322</v>
      </c>
      <c r="J29" s="11">
        <f t="shared" si="3"/>
        <v>0</v>
      </c>
      <c r="K29" s="28">
        <f>'FS Seychelles'!AA30</f>
        <v>0</v>
      </c>
      <c r="L29" s="11">
        <f t="shared" si="3"/>
        <v>0</v>
      </c>
      <c r="M29" s="41">
        <f>'FS Seychelles'!B30</f>
        <v>57.1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9</v>
      </c>
      <c r="D30" s="1">
        <v>2022</v>
      </c>
      <c r="E30" s="12">
        <f>SUM('FS Seychelles'!D31:I31)*1000</f>
        <v>18490.000000000004</v>
      </c>
      <c r="F30" s="11">
        <f>(('FS Seychelles'!O31*'FS Seychelles'!P31)+('FS Seychelles'!Q31*'FS Seychelles'!R31))/TOTAL!E30</f>
        <v>0.56823039480800419</v>
      </c>
      <c r="G30" s="12">
        <f>('FS Seychelles'!$Z$10+'FS Seychelles'!$Z$15)/30</f>
        <v>319.06666666666666</v>
      </c>
      <c r="H30" s="11">
        <f t="shared" si="2"/>
        <v>1.05</v>
      </c>
      <c r="I30" s="12">
        <f>SUM('FS Seychelles'!S31:W31)</f>
        <v>349</v>
      </c>
      <c r="J30" s="11">
        <f t="shared" si="3"/>
        <v>0</v>
      </c>
      <c r="K30" s="28">
        <f>'FS Seychelles'!AA31</f>
        <v>46769</v>
      </c>
      <c r="L30" s="11">
        <f t="shared" si="3"/>
        <v>0</v>
      </c>
      <c r="M30" s="41">
        <f>'FS Seychelles'!B31</f>
        <v>53.4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9</v>
      </c>
      <c r="D31" s="1">
        <v>2022</v>
      </c>
      <c r="E31" s="12">
        <f>SUM('FS Seychelles'!D32:I32)*1000</f>
        <v>18720</v>
      </c>
      <c r="F31" s="11">
        <f>(('FS Seychelles'!O32*'FS Seychelles'!P32)+('FS Seychelles'!Q32*'FS Seychelles'!R32))/TOTAL!E31</f>
        <v>0.54293856837606835</v>
      </c>
      <c r="G31" s="12">
        <f>('FS Seychelles'!$Z$10+'FS Seychelles'!$Z$15)/30</f>
        <v>319.06666666666666</v>
      </c>
      <c r="H31" s="11">
        <f t="shared" si="2"/>
        <v>1.05</v>
      </c>
      <c r="I31" s="12">
        <f>SUM('FS Seychelles'!S32:W32)</f>
        <v>241</v>
      </c>
      <c r="J31" s="11">
        <f t="shared" si="3"/>
        <v>0</v>
      </c>
      <c r="K31" s="28">
        <f>'FS Seychelles'!AA32</f>
        <v>51</v>
      </c>
      <c r="L31" s="11">
        <f t="shared" si="3"/>
        <v>0</v>
      </c>
      <c r="M31" s="41">
        <f>'FS Seychelles'!B32</f>
        <v>0</v>
      </c>
    </row>
    <row r="32" spans="1:13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tabSelected="1" topLeftCell="A24" workbookViewId="0">
      <selection activeCell="A32" sqref="A32:XFD32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9</v>
      </c>
      <c r="D2" s="11">
        <v>2022</v>
      </c>
      <c r="E2" s="18">
        <f>'FS Seychelles'!B3</f>
        <v>60.5</v>
      </c>
      <c r="F2" s="18">
        <f>'FS Seychelles'!D3*1000</f>
        <v>2600</v>
      </c>
      <c r="G2" s="18">
        <f>'FS Seychelles'!E3*1000</f>
        <v>3840</v>
      </c>
      <c r="H2" s="18">
        <f>'FS Seychelles'!F3*1000</f>
        <v>4710</v>
      </c>
      <c r="I2" s="18">
        <f>'FS Seychelles'!G3*1000</f>
        <v>1320</v>
      </c>
      <c r="J2" s="18">
        <f>'FS Seychelles'!H3*1000</f>
        <v>1400</v>
      </c>
      <c r="K2" s="18">
        <f>'FS Seychelles'!I3*1000</f>
        <v>3860</v>
      </c>
      <c r="L2" s="18">
        <f>'FS Seychelles'!J3</f>
        <v>0</v>
      </c>
      <c r="M2" s="18">
        <f>'FS Seychelles'!K3</f>
        <v>11145</v>
      </c>
      <c r="N2" s="18">
        <f>'FS Seychelles'!L3</f>
        <v>9387</v>
      </c>
      <c r="O2" s="18">
        <f>'FS Seychelles'!M3</f>
        <v>5034</v>
      </c>
      <c r="P2" s="18">
        <f>'FS Seychelles'!N3</f>
        <v>5851</v>
      </c>
      <c r="Q2" s="18">
        <f>'FS Seychelles'!O3</f>
        <v>6884</v>
      </c>
      <c r="R2" s="18">
        <f>'FS Seychelles'!Q3</f>
        <v>0</v>
      </c>
      <c r="S2" s="18">
        <f>'FS Seychelles'!S3</f>
        <v>59</v>
      </c>
      <c r="T2" s="18">
        <f>'FS Seychelles'!T3</f>
        <v>97</v>
      </c>
      <c r="U2" s="18">
        <f>'FS Seychelles'!U3</f>
        <v>50</v>
      </c>
      <c r="V2" s="18">
        <f>'FS Seychelles'!V3</f>
        <v>76</v>
      </c>
      <c r="W2" s="18">
        <f>'FS Seychelles'!W3</f>
        <v>0</v>
      </c>
      <c r="X2" s="18">
        <f>('FS Seychelles'!Z9+'FS Seychelles'!Z15)/30</f>
        <v>319.06666666666666</v>
      </c>
    </row>
    <row r="3" spans="1:24" ht="15">
      <c r="A3" s="1" t="s">
        <v>13</v>
      </c>
      <c r="B3" s="11">
        <f>B2+1</f>
        <v>2</v>
      </c>
      <c r="C3" s="11">
        <f>C2</f>
        <v>9</v>
      </c>
      <c r="D3" s="11">
        <v>2022</v>
      </c>
      <c r="E3" s="18">
        <f>'FS Seychelles'!B4</f>
        <v>67.099999999999994</v>
      </c>
      <c r="F3" s="18">
        <f>'FS Seychelles'!D4*1000</f>
        <v>2790</v>
      </c>
      <c r="G3" s="18">
        <f>'FS Seychelles'!E4*1000</f>
        <v>4040</v>
      </c>
      <c r="H3" s="18">
        <f>'FS Seychelles'!F4*1000</f>
        <v>4980</v>
      </c>
      <c r="I3" s="18">
        <f>'FS Seychelles'!G4*1000</f>
        <v>1190</v>
      </c>
      <c r="J3" s="18">
        <f>'FS Seychelles'!H4*1000</f>
        <v>1510</v>
      </c>
      <c r="K3" s="18">
        <f>'FS Seychelles'!I4*1000</f>
        <v>3670</v>
      </c>
      <c r="L3" s="18">
        <f>'FS Seychelles'!J4</f>
        <v>0</v>
      </c>
      <c r="M3" s="18">
        <f>'FS Seychelles'!K4</f>
        <v>5427</v>
      </c>
      <c r="N3" s="18">
        <f>'FS Seychelles'!L4</f>
        <v>9988</v>
      </c>
      <c r="O3" s="18">
        <f>'FS Seychelles'!M4</f>
        <v>227</v>
      </c>
      <c r="P3" s="18">
        <f>'FS Seychelles'!N4</f>
        <v>7017</v>
      </c>
      <c r="Q3" s="18">
        <f>'FS Seychelles'!O4</f>
        <v>4847</v>
      </c>
      <c r="R3" s="18">
        <f>'FS Seychelles'!Q4</f>
        <v>0</v>
      </c>
      <c r="S3" s="18">
        <f>'FS Seychelles'!S4</f>
        <v>52</v>
      </c>
      <c r="T3" s="18">
        <f>'FS Seychelles'!T4</f>
        <v>126</v>
      </c>
      <c r="U3" s="18">
        <f>'FS Seychelles'!U4</f>
        <v>77</v>
      </c>
      <c r="V3" s="18">
        <f>'FS Seychelles'!V4</f>
        <v>92</v>
      </c>
      <c r="W3" s="18">
        <f>'FS Seychelles'!W4</f>
        <v>0</v>
      </c>
      <c r="X3" s="18">
        <f>('FS Seychelles'!Z10+'FS Seychelles'!Z16)/30</f>
        <v>38.4</v>
      </c>
    </row>
    <row r="4" spans="1:24" ht="15">
      <c r="A4" s="1" t="s">
        <v>13</v>
      </c>
      <c r="B4" s="11">
        <f t="shared" ref="B4:B31" si="0">B3+1</f>
        <v>3</v>
      </c>
      <c r="C4" s="11">
        <f t="shared" ref="C4:C31" si="1">C3</f>
        <v>9</v>
      </c>
      <c r="D4" s="11">
        <v>2022</v>
      </c>
      <c r="E4" s="18">
        <f>'FS Seychelles'!B5</f>
        <v>65.8</v>
      </c>
      <c r="F4" s="18">
        <f>'FS Seychelles'!D5*1000</f>
        <v>2800</v>
      </c>
      <c r="G4" s="18">
        <f>'FS Seychelles'!E5*1000</f>
        <v>3900</v>
      </c>
      <c r="H4" s="18">
        <f>'FS Seychelles'!F5*1000</f>
        <v>5080</v>
      </c>
      <c r="I4" s="18">
        <f>'FS Seychelles'!G5*1000</f>
        <v>1220</v>
      </c>
      <c r="J4" s="18">
        <f>'FS Seychelles'!H5*1000</f>
        <v>1460</v>
      </c>
      <c r="K4" s="18">
        <f>'FS Seychelles'!I5*1000</f>
        <v>3560</v>
      </c>
      <c r="L4" s="18">
        <f>'FS Seychelles'!J5</f>
        <v>5243</v>
      </c>
      <c r="M4" s="18">
        <f>'FS Seychelles'!K5</f>
        <v>10249</v>
      </c>
      <c r="N4" s="18">
        <f>'FS Seychelles'!L5</f>
        <v>9186</v>
      </c>
      <c r="O4" s="18">
        <f>'FS Seychelles'!M5</f>
        <v>6498</v>
      </c>
      <c r="P4" s="18">
        <f>'FS Seychelles'!N5</f>
        <v>0</v>
      </c>
      <c r="Q4" s="18">
        <f>'FS Seychelles'!O5</f>
        <v>7114</v>
      </c>
      <c r="R4" s="18">
        <f>'FS Seychelles'!Q5</f>
        <v>0</v>
      </c>
      <c r="S4" s="18">
        <f>'FS Seychelles'!S5</f>
        <v>36</v>
      </c>
      <c r="T4" s="18">
        <f>'FS Seychelles'!T5</f>
        <v>119</v>
      </c>
      <c r="U4" s="18">
        <f>'FS Seychelles'!U5</f>
        <v>67</v>
      </c>
      <c r="V4" s="18">
        <f>'FS Seychelles'!V5</f>
        <v>96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9</v>
      </c>
      <c r="D5" s="11">
        <v>2022</v>
      </c>
      <c r="E5" s="18">
        <f>'FS Seychelles'!B6</f>
        <v>63.2</v>
      </c>
      <c r="F5" s="18">
        <f>'FS Seychelles'!D6*1000</f>
        <v>2680</v>
      </c>
      <c r="G5" s="18">
        <f>'FS Seychelles'!E6*1000</f>
        <v>3970</v>
      </c>
      <c r="H5" s="18">
        <f>'FS Seychelles'!F6*1000</f>
        <v>4920</v>
      </c>
      <c r="I5" s="18">
        <f>'FS Seychelles'!G6*1000</f>
        <v>1250</v>
      </c>
      <c r="J5" s="18">
        <f>'FS Seychelles'!H6*1000</f>
        <v>1400</v>
      </c>
      <c r="K5" s="18">
        <f>'FS Seychelles'!I6*1000</f>
        <v>3550</v>
      </c>
      <c r="L5" s="18">
        <f>'FS Seychelles'!J6</f>
        <v>0</v>
      </c>
      <c r="M5" s="18">
        <f>'FS Seychelles'!K6</f>
        <v>8561</v>
      </c>
      <c r="N5" s="18">
        <f>'FS Seychelles'!L6</f>
        <v>9841</v>
      </c>
      <c r="O5" s="18">
        <f>'FS Seychelles'!M6</f>
        <v>5563</v>
      </c>
      <c r="P5" s="18">
        <f>'FS Seychelles'!N6</f>
        <v>6333</v>
      </c>
      <c r="Q5" s="18">
        <f>'FS Seychelles'!O6</f>
        <v>6819</v>
      </c>
      <c r="R5" s="18">
        <f>'FS Seychelles'!Q6</f>
        <v>0</v>
      </c>
      <c r="S5" s="18">
        <f>'FS Seychelles'!S6</f>
        <v>75</v>
      </c>
      <c r="T5" s="18">
        <f>'FS Seychelles'!T6</f>
        <v>136</v>
      </c>
      <c r="U5" s="18">
        <f>'FS Seychelles'!U6</f>
        <v>54</v>
      </c>
      <c r="V5" s="18">
        <f>'FS Seychelles'!V6</f>
        <v>92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9</v>
      </c>
      <c r="D6" s="11">
        <v>2022</v>
      </c>
      <c r="E6" s="18">
        <f>'FS Seychelles'!B7</f>
        <v>64.5</v>
      </c>
      <c r="F6" s="18">
        <f>'FS Seychelles'!D7*1000</f>
        <v>2620</v>
      </c>
      <c r="G6" s="18">
        <f>'FS Seychelles'!E7*1000</f>
        <v>4030.0000000000005</v>
      </c>
      <c r="H6" s="18">
        <f>'FS Seychelles'!F7*1000</f>
        <v>4940</v>
      </c>
      <c r="I6" s="18">
        <f>'FS Seychelles'!G7*1000</f>
        <v>1350</v>
      </c>
      <c r="J6" s="18">
        <f>'FS Seychelles'!H7*1000</f>
        <v>1370</v>
      </c>
      <c r="K6" s="18">
        <f>'FS Seychelles'!I7*1000</f>
        <v>3910</v>
      </c>
      <c r="L6" s="18">
        <f>'FS Seychelles'!J7</f>
        <v>9983</v>
      </c>
      <c r="M6" s="18">
        <f>'FS Seychelles'!K7</f>
        <v>5254</v>
      </c>
      <c r="N6" s="18">
        <f>'FS Seychelles'!L7</f>
        <v>10539</v>
      </c>
      <c r="O6" s="18">
        <f>'FS Seychelles'!M7</f>
        <v>6832</v>
      </c>
      <c r="P6" s="18">
        <f>'FS Seychelles'!N7</f>
        <v>0</v>
      </c>
      <c r="Q6" s="18">
        <f>'FS Seychelles'!O7</f>
        <v>7251</v>
      </c>
      <c r="R6" s="18">
        <f>'FS Seychelles'!Q7</f>
        <v>0</v>
      </c>
      <c r="S6" s="18">
        <f>'FS Seychelles'!S7</f>
        <v>45</v>
      </c>
      <c r="T6" s="18">
        <f>'FS Seychelles'!T7</f>
        <v>124</v>
      </c>
      <c r="U6" s="18">
        <f>'FS Seychelles'!U7</f>
        <v>75</v>
      </c>
      <c r="V6" s="18">
        <f>'FS Seychelles'!V7</f>
        <v>90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9</v>
      </c>
      <c r="D7" s="11">
        <v>2022</v>
      </c>
      <c r="E7" s="18">
        <f>'FS Seychelles'!B8</f>
        <v>63.2</v>
      </c>
      <c r="F7" s="18">
        <f>'FS Seychelles'!D8*1000</f>
        <v>2840</v>
      </c>
      <c r="G7" s="18">
        <f>'FS Seychelles'!E8*1000</f>
        <v>4019.9999999999995</v>
      </c>
      <c r="H7" s="18">
        <f>'FS Seychelles'!F8*1000</f>
        <v>5140</v>
      </c>
      <c r="I7" s="18">
        <f>'FS Seychelles'!G8*1000</f>
        <v>1350</v>
      </c>
      <c r="J7" s="18">
        <f>'FS Seychelles'!H8*1000</f>
        <v>1590</v>
      </c>
      <c r="K7" s="18">
        <f>'FS Seychelles'!I8*1000</f>
        <v>4050</v>
      </c>
      <c r="L7" s="18">
        <f>'FS Seychelles'!J8</f>
        <v>11001</v>
      </c>
      <c r="M7" s="18">
        <f>'FS Seychelles'!K8</f>
        <v>4936</v>
      </c>
      <c r="N7" s="18">
        <f>'FS Seychelles'!L8</f>
        <v>6155</v>
      </c>
      <c r="O7" s="18">
        <f>'FS Seychelles'!M8</f>
        <v>0</v>
      </c>
      <c r="P7" s="18">
        <f>'FS Seychelles'!N8</f>
        <v>11089</v>
      </c>
      <c r="Q7" s="18">
        <f>'FS Seychelles'!O8</f>
        <v>7392</v>
      </c>
      <c r="R7" s="18">
        <f>'FS Seychelles'!Q8</f>
        <v>0</v>
      </c>
      <c r="S7" s="18">
        <f>'FS Seychelles'!S8</f>
        <v>58</v>
      </c>
      <c r="T7" s="18">
        <f>'FS Seychelles'!T8</f>
        <v>127</v>
      </c>
      <c r="U7" s="18">
        <f>'FS Seychelles'!U8</f>
        <v>59</v>
      </c>
      <c r="V7" s="18">
        <f>'FS Seychelles'!V8</f>
        <v>65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9</v>
      </c>
      <c r="D8" s="11">
        <v>2022</v>
      </c>
      <c r="E8" s="18">
        <f>'FS Seychelles'!B9</f>
        <v>66.2</v>
      </c>
      <c r="F8" s="18">
        <f>'FS Seychelles'!D9*1000</f>
        <v>2770</v>
      </c>
      <c r="G8" s="18">
        <f>'FS Seychelles'!E9*1000</f>
        <v>3940</v>
      </c>
      <c r="H8" s="18">
        <f>'FS Seychelles'!F9*1000</f>
        <v>5300</v>
      </c>
      <c r="I8" s="18">
        <f>'FS Seychelles'!G9*1000</f>
        <v>1340</v>
      </c>
      <c r="J8" s="18">
        <f>'FS Seychelles'!H9*1000</f>
        <v>1530</v>
      </c>
      <c r="K8" s="18">
        <f>'FS Seychelles'!I9*1000</f>
        <v>4030.0000000000005</v>
      </c>
      <c r="L8" s="18">
        <f>'FS Seychelles'!J9</f>
        <v>8993</v>
      </c>
      <c r="M8" s="18">
        <f>'FS Seychelles'!K9</f>
        <v>5031</v>
      </c>
      <c r="N8" s="18">
        <f>'FS Seychelles'!L9</f>
        <v>5523</v>
      </c>
      <c r="O8" s="18">
        <f>'FS Seychelles'!M9</f>
        <v>0</v>
      </c>
      <c r="P8" s="18">
        <f>'FS Seychelles'!N9</f>
        <v>9113</v>
      </c>
      <c r="Q8" s="18">
        <f>'FS Seychelles'!O9</f>
        <v>6050</v>
      </c>
      <c r="R8" s="18">
        <f>'FS Seychelles'!Q9</f>
        <v>0</v>
      </c>
      <c r="S8" s="18">
        <f>'FS Seychelles'!S9</f>
        <v>57</v>
      </c>
      <c r="T8" s="18">
        <f>'FS Seychelles'!T9</f>
        <v>138</v>
      </c>
      <c r="U8" s="18">
        <f>'FS Seychelles'!U9</f>
        <v>46</v>
      </c>
      <c r="V8" s="18">
        <f>'FS Seychelles'!V9</f>
        <v>98</v>
      </c>
      <c r="W8" s="18">
        <f>'FS Seychelles'!W9</f>
        <v>0</v>
      </c>
      <c r="X8" s="18">
        <f>('FS Seychelles'!Z15+'FS Seychelles'!Z21)/30</f>
        <v>280.66666666666669</v>
      </c>
    </row>
    <row r="9" spans="1:24" ht="15">
      <c r="A9" s="1" t="s">
        <v>13</v>
      </c>
      <c r="B9" s="11">
        <f t="shared" si="0"/>
        <v>8</v>
      </c>
      <c r="C9" s="11">
        <f t="shared" si="1"/>
        <v>9</v>
      </c>
      <c r="D9" s="11">
        <v>2022</v>
      </c>
      <c r="E9" s="18">
        <f>'FS Seychelles'!B10</f>
        <v>66.2</v>
      </c>
      <c r="F9" s="18">
        <f>'FS Seychelles'!D10*1000</f>
        <v>2610</v>
      </c>
      <c r="G9" s="18">
        <f>'FS Seychelles'!E10*1000</f>
        <v>3660</v>
      </c>
      <c r="H9" s="18">
        <f>'FS Seychelles'!F10*1000</f>
        <v>5190</v>
      </c>
      <c r="I9" s="18">
        <f>'FS Seychelles'!G10*1000</f>
        <v>1320</v>
      </c>
      <c r="J9" s="18">
        <f>'FS Seychelles'!H10*1000</f>
        <v>1540</v>
      </c>
      <c r="K9" s="18">
        <f>'FS Seychelles'!I10*1000</f>
        <v>3980</v>
      </c>
      <c r="L9" s="18">
        <f>'FS Seychelles'!J10</f>
        <v>13400</v>
      </c>
      <c r="M9" s="18">
        <f>'FS Seychelles'!K10</f>
        <v>4187</v>
      </c>
      <c r="N9" s="18">
        <f>'FS Seychelles'!L10</f>
        <v>4236</v>
      </c>
      <c r="O9" s="18">
        <f>'FS Seychelles'!M10</f>
        <v>0</v>
      </c>
      <c r="P9" s="18">
        <f>'FS Seychelles'!N10</f>
        <v>11270</v>
      </c>
      <c r="Q9" s="18">
        <f>'FS Seychelles'!O10</f>
        <v>7315</v>
      </c>
      <c r="R9" s="18">
        <f>'FS Seychelles'!Q10</f>
        <v>0</v>
      </c>
      <c r="S9" s="18">
        <f>'FS Seychelles'!S10</f>
        <v>61</v>
      </c>
      <c r="T9" s="18">
        <f>'FS Seychelles'!T10</f>
        <v>143</v>
      </c>
      <c r="U9" s="18">
        <f>'FS Seychelles'!U10</f>
        <v>0</v>
      </c>
      <c r="V9" s="18">
        <f>'FS Seychelles'!V10</f>
        <v>112</v>
      </c>
      <c r="W9" s="18">
        <f>'FS Seychelles'!W10</f>
        <v>38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9</v>
      </c>
      <c r="D10" s="11">
        <v>2022</v>
      </c>
      <c r="E10" s="18">
        <f>'FS Seychelles'!B11</f>
        <v>70.099999999999994</v>
      </c>
      <c r="F10" s="18">
        <f>'FS Seychelles'!D11*1000</f>
        <v>2600</v>
      </c>
      <c r="G10" s="18">
        <f>'FS Seychelles'!E11*1000</f>
        <v>3880</v>
      </c>
      <c r="H10" s="18">
        <f>'FS Seychelles'!F11*1000</f>
        <v>4980</v>
      </c>
      <c r="I10" s="18">
        <f>'FS Seychelles'!G11*1000</f>
        <v>1310</v>
      </c>
      <c r="J10" s="18">
        <f>'FS Seychelles'!H11*1000</f>
        <v>1500</v>
      </c>
      <c r="K10" s="18">
        <f>'FS Seychelles'!I11*1000</f>
        <v>3850</v>
      </c>
      <c r="L10" s="18">
        <f>'FS Seychelles'!J11</f>
        <v>10915</v>
      </c>
      <c r="M10" s="18">
        <f>'FS Seychelles'!K11</f>
        <v>9533</v>
      </c>
      <c r="N10" s="18">
        <f>'FS Seychelles'!L11</f>
        <v>8669</v>
      </c>
      <c r="O10" s="18">
        <f>'FS Seychelles'!M11</f>
        <v>0</v>
      </c>
      <c r="P10" s="18">
        <f>'FS Seychelles'!N11</f>
        <v>2255</v>
      </c>
      <c r="Q10" s="18">
        <f>'FS Seychelles'!O11</f>
        <v>6632</v>
      </c>
      <c r="R10" s="18">
        <f>'FS Seychelles'!Q11</f>
        <v>0</v>
      </c>
      <c r="S10" s="18">
        <f>'FS Seychelles'!S11</f>
        <v>59</v>
      </c>
      <c r="T10" s="18">
        <f>'FS Seychelles'!T11</f>
        <v>99</v>
      </c>
      <c r="U10" s="18">
        <f>'FS Seychelles'!U11</f>
        <v>67</v>
      </c>
      <c r="V10" s="18">
        <f>'FS Seychelles'!V11</f>
        <v>101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9</v>
      </c>
      <c r="D11" s="11">
        <v>2022</v>
      </c>
      <c r="E11" s="18">
        <f>'FS Seychelles'!B12</f>
        <v>57.1</v>
      </c>
      <c r="F11" s="18">
        <f>'FS Seychelles'!D12*1000</f>
        <v>2660</v>
      </c>
      <c r="G11" s="18">
        <f>'FS Seychelles'!E12*1000</f>
        <v>4330</v>
      </c>
      <c r="H11" s="18">
        <f>'FS Seychelles'!F12*1000</f>
        <v>5380</v>
      </c>
      <c r="I11" s="18">
        <f>'FS Seychelles'!G12*1000</f>
        <v>1270</v>
      </c>
      <c r="J11" s="18">
        <f>'FS Seychelles'!H12*1000</f>
        <v>1600</v>
      </c>
      <c r="K11" s="18">
        <f>'FS Seychelles'!I12*1000</f>
        <v>3830</v>
      </c>
      <c r="L11" s="18">
        <f>'FS Seychelles'!J12</f>
        <v>7215</v>
      </c>
      <c r="M11" s="18">
        <f>'FS Seychelles'!K12</f>
        <v>11630</v>
      </c>
      <c r="N11" s="18">
        <f>'FS Seychelles'!L12</f>
        <v>3527</v>
      </c>
      <c r="O11" s="18">
        <f>'FS Seychelles'!M12</f>
        <v>0</v>
      </c>
      <c r="P11" s="18">
        <f>'FS Seychelles'!N12</f>
        <v>10138</v>
      </c>
      <c r="Q11" s="18">
        <f>'FS Seychelles'!O12</f>
        <v>7223</v>
      </c>
      <c r="R11" s="18">
        <f>'FS Seychelles'!Q12</f>
        <v>0</v>
      </c>
      <c r="S11" s="18">
        <f>'FS Seychelles'!S12</f>
        <v>56</v>
      </c>
      <c r="T11" s="18">
        <f>'FS Seychelles'!T12</f>
        <v>106</v>
      </c>
      <c r="U11" s="18">
        <f>'FS Seychelles'!U12</f>
        <v>71</v>
      </c>
      <c r="V11" s="18">
        <f>'FS Seychelles'!V12</f>
        <v>74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9</v>
      </c>
      <c r="D12" s="11">
        <v>2022</v>
      </c>
      <c r="E12" s="18">
        <f>'FS Seychelles'!B13</f>
        <v>40.299999999999997</v>
      </c>
      <c r="F12" s="18">
        <f>'FS Seychelles'!D13*1000</f>
        <v>2080</v>
      </c>
      <c r="G12" s="18">
        <f>'FS Seychelles'!E13*1000</f>
        <v>3780</v>
      </c>
      <c r="H12" s="18">
        <f>'FS Seychelles'!F13*1000</f>
        <v>4840</v>
      </c>
      <c r="I12" s="18">
        <f>'FS Seychelles'!G13*1000</f>
        <v>1220</v>
      </c>
      <c r="J12" s="18">
        <f>'FS Seychelles'!H13*1000</f>
        <v>1520</v>
      </c>
      <c r="K12" s="18">
        <f>'FS Seychelles'!I13*1000</f>
        <v>3580</v>
      </c>
      <c r="L12" s="18">
        <f>'FS Seychelles'!J13</f>
        <v>8676</v>
      </c>
      <c r="M12" s="18">
        <f>'FS Seychelles'!K13</f>
        <v>6091</v>
      </c>
      <c r="N12" s="18">
        <f>'FS Seychelles'!L13</f>
        <v>8629</v>
      </c>
      <c r="O12" s="18">
        <f>'FS Seychelles'!M13</f>
        <v>0</v>
      </c>
      <c r="P12" s="18">
        <f>'FS Seychelles'!N13</f>
        <v>0</v>
      </c>
      <c r="Q12" s="18">
        <f>'FS Seychelles'!O13</f>
        <v>5114</v>
      </c>
      <c r="R12" s="18">
        <f>'FS Seychelles'!Q13</f>
        <v>0</v>
      </c>
      <c r="S12" s="18">
        <f>'FS Seychelles'!S13</f>
        <v>49</v>
      </c>
      <c r="T12" s="18">
        <f>'FS Seychelles'!T13</f>
        <v>119</v>
      </c>
      <c r="U12" s="18">
        <f>'FS Seychelles'!U13</f>
        <v>54</v>
      </c>
      <c r="V12" s="18">
        <f>'FS Seychelles'!V13</f>
        <v>11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9</v>
      </c>
      <c r="D13" s="11">
        <v>2022</v>
      </c>
      <c r="E13" s="18">
        <f>'FS Seychelles'!B14</f>
        <v>26</v>
      </c>
      <c r="F13" s="18">
        <f>'FS Seychelles'!D14*1000</f>
        <v>2200</v>
      </c>
      <c r="G13" s="18">
        <f>'FS Seychelles'!E14*1000</f>
        <v>3650</v>
      </c>
      <c r="H13" s="18">
        <f>'FS Seychelles'!F14*1000</f>
        <v>4750</v>
      </c>
      <c r="I13" s="18">
        <f>'FS Seychelles'!G14*1000</f>
        <v>1310</v>
      </c>
      <c r="J13" s="18">
        <f>'FS Seychelles'!H14*1000</f>
        <v>1600</v>
      </c>
      <c r="K13" s="18">
        <f>'FS Seychelles'!I14*1000</f>
        <v>3810</v>
      </c>
      <c r="L13" s="18">
        <f>'FS Seychelles'!J14</f>
        <v>9849</v>
      </c>
      <c r="M13" s="18">
        <f>'FS Seychelles'!K14</f>
        <v>10610</v>
      </c>
      <c r="N13" s="18">
        <f>'FS Seychelles'!L14</f>
        <v>10278</v>
      </c>
      <c r="O13" s="18">
        <f>'FS Seychelles'!M14</f>
        <v>0</v>
      </c>
      <c r="P13" s="18">
        <f>'FS Seychelles'!N14</f>
        <v>9645</v>
      </c>
      <c r="Q13" s="18">
        <f>'FS Seychelles'!O14</f>
        <v>8804</v>
      </c>
      <c r="R13" s="18">
        <f>'FS Seychelles'!Q14</f>
        <v>0</v>
      </c>
      <c r="S13" s="18">
        <f>'FS Seychelles'!S14</f>
        <v>55</v>
      </c>
      <c r="T13" s="18">
        <f>'FS Seychelles'!T14</f>
        <v>107</v>
      </c>
      <c r="U13" s="18">
        <f>'FS Seychelles'!U14</f>
        <v>73</v>
      </c>
      <c r="V13" s="18">
        <f>'FS Seychelles'!V14</f>
        <v>3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9</v>
      </c>
      <c r="D14" s="11">
        <v>2022</v>
      </c>
      <c r="E14" s="18">
        <f>'FS Seychelles'!B15</f>
        <v>61</v>
      </c>
      <c r="F14" s="18">
        <f>'FS Seychelles'!D15*1000</f>
        <v>2220</v>
      </c>
      <c r="G14" s="18">
        <f>'FS Seychelles'!E15*1000</f>
        <v>3780</v>
      </c>
      <c r="H14" s="18">
        <f>'FS Seychelles'!F15*1000</f>
        <v>4940</v>
      </c>
      <c r="I14" s="18">
        <f>'FS Seychelles'!G15*1000</f>
        <v>1300</v>
      </c>
      <c r="J14" s="18">
        <f>'FS Seychelles'!H15*1000</f>
        <v>1570</v>
      </c>
      <c r="K14" s="18">
        <f>'FS Seychelles'!I15*1000</f>
        <v>3940</v>
      </c>
      <c r="L14" s="18">
        <f>'FS Seychelles'!J15</f>
        <v>9921</v>
      </c>
      <c r="M14" s="18">
        <f>'FS Seychelles'!K15</f>
        <v>5495</v>
      </c>
      <c r="N14" s="18">
        <f>'FS Seychelles'!L15</f>
        <v>8239</v>
      </c>
      <c r="O14" s="18">
        <f>'FS Seychelles'!M15</f>
        <v>0</v>
      </c>
      <c r="P14" s="18">
        <f>'FS Seychelles'!N15</f>
        <v>5472</v>
      </c>
      <c r="Q14" s="18">
        <f>'FS Seychelles'!O15</f>
        <v>6336</v>
      </c>
      <c r="R14" s="18">
        <f>'FS Seychelles'!Q15</f>
        <v>0</v>
      </c>
      <c r="S14" s="18">
        <f>'FS Seychelles'!S15</f>
        <v>54</v>
      </c>
      <c r="T14" s="18">
        <f>'FS Seychelles'!T15</f>
        <v>154</v>
      </c>
      <c r="U14" s="18">
        <f>'FS Seychelles'!U15</f>
        <v>52</v>
      </c>
      <c r="V14" s="18">
        <f>'FS Seychelles'!V15</f>
        <v>71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9</v>
      </c>
      <c r="D15" s="11">
        <v>2022</v>
      </c>
      <c r="E15" s="18">
        <f>'FS Seychelles'!B16</f>
        <v>62.3</v>
      </c>
      <c r="F15" s="18">
        <f>'FS Seychelles'!D16*1000</f>
        <v>2240</v>
      </c>
      <c r="G15" s="18">
        <f>'FS Seychelles'!E16*1000</f>
        <v>3920</v>
      </c>
      <c r="H15" s="18">
        <f>'FS Seychelles'!F16*1000</f>
        <v>5010</v>
      </c>
      <c r="I15" s="18">
        <f>'FS Seychelles'!G16*1000</f>
        <v>1370</v>
      </c>
      <c r="J15" s="18">
        <f>'FS Seychelles'!H16*1000</f>
        <v>1580</v>
      </c>
      <c r="K15" s="18">
        <f>'FS Seychelles'!I16*1000</f>
        <v>3900</v>
      </c>
      <c r="L15" s="18">
        <f>'FS Seychelles'!J16</f>
        <v>8288</v>
      </c>
      <c r="M15" s="18">
        <f>'FS Seychelles'!K16</f>
        <v>7928</v>
      </c>
      <c r="N15" s="18">
        <f>'FS Seychelles'!L16</f>
        <v>0</v>
      </c>
      <c r="O15" s="18">
        <f>'FS Seychelles'!M16</f>
        <v>0</v>
      </c>
      <c r="P15" s="18">
        <f>'FS Seychelles'!N16</f>
        <v>7921</v>
      </c>
      <c r="Q15" s="18">
        <f>'FS Seychelles'!O16</f>
        <v>5099</v>
      </c>
      <c r="R15" s="18">
        <f>'FS Seychelles'!Q16</f>
        <v>0</v>
      </c>
      <c r="S15" s="18">
        <f>'FS Seychelles'!S16</f>
        <v>55</v>
      </c>
      <c r="T15" s="18">
        <f>'FS Seychelles'!T16</f>
        <v>92</v>
      </c>
      <c r="U15" s="18">
        <f>'FS Seychelles'!U16</f>
        <v>66</v>
      </c>
      <c r="V15" s="18">
        <f>'FS Seychelles'!V16</f>
        <v>107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9</v>
      </c>
      <c r="D16" s="11">
        <v>2022</v>
      </c>
      <c r="E16" s="18">
        <f>'FS Seychelles'!B17</f>
        <v>28.6</v>
      </c>
      <c r="F16" s="18">
        <f>'FS Seychelles'!D17*1000</f>
        <v>2280</v>
      </c>
      <c r="G16" s="18">
        <f>'FS Seychelles'!E17*1000</f>
        <v>4019.9999999999995</v>
      </c>
      <c r="H16" s="18">
        <f>'FS Seychelles'!F17*1000</f>
        <v>5110</v>
      </c>
      <c r="I16" s="18">
        <f>'FS Seychelles'!G17*1000</f>
        <v>1190</v>
      </c>
      <c r="J16" s="18">
        <f>'FS Seychelles'!H17*1000</f>
        <v>1670</v>
      </c>
      <c r="K16" s="18">
        <f>'FS Seychelles'!I17*1000</f>
        <v>3750</v>
      </c>
      <c r="L16" s="18">
        <f>'FS Seychelles'!J17</f>
        <v>10000</v>
      </c>
      <c r="M16" s="18">
        <f>'FS Seychelles'!K17</f>
        <v>8286</v>
      </c>
      <c r="N16" s="18">
        <f>'FS Seychelles'!L17</f>
        <v>7074</v>
      </c>
      <c r="O16" s="18">
        <f>'FS Seychelles'!M17</f>
        <v>0</v>
      </c>
      <c r="P16" s="18">
        <f>'FS Seychelles'!N17</f>
        <v>6490</v>
      </c>
      <c r="Q16" s="18">
        <f>'FS Seychelles'!O17</f>
        <v>6924</v>
      </c>
      <c r="R16" s="18">
        <f>'FS Seychelles'!Q17</f>
        <v>0</v>
      </c>
      <c r="S16" s="18">
        <f>'FS Seychelles'!S17</f>
        <v>56</v>
      </c>
      <c r="T16" s="18">
        <f>'FS Seychelles'!T17</f>
        <v>116</v>
      </c>
      <c r="U16" s="18">
        <f>'FS Seychelles'!U17</f>
        <v>55</v>
      </c>
      <c r="V16" s="18">
        <f>'FS Seychelles'!V17</f>
        <v>1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9</v>
      </c>
      <c r="D17" s="11">
        <v>2022</v>
      </c>
      <c r="E17" s="18">
        <f>'FS Seychelles'!B18</f>
        <v>39</v>
      </c>
      <c r="F17" s="18">
        <f>'FS Seychelles'!D18*1000</f>
        <v>2120</v>
      </c>
      <c r="G17" s="18">
        <f>'FS Seychelles'!E18*1000</f>
        <v>3730</v>
      </c>
      <c r="H17" s="18">
        <f>'FS Seychelles'!F18*1000</f>
        <v>4870</v>
      </c>
      <c r="I17" s="18">
        <f>'FS Seychelles'!G18*1000</f>
        <v>1340</v>
      </c>
      <c r="J17" s="18">
        <f>'FS Seychelles'!H18*1000</f>
        <v>1680</v>
      </c>
      <c r="K17" s="18">
        <f>'FS Seychelles'!I18*1000</f>
        <v>3890</v>
      </c>
      <c r="L17" s="18">
        <f>'FS Seychelles'!J18</f>
        <v>5288</v>
      </c>
      <c r="M17" s="18">
        <f>'FS Seychelles'!K18</f>
        <v>10096</v>
      </c>
      <c r="N17" s="18">
        <f>'FS Seychelles'!L18</f>
        <v>5307</v>
      </c>
      <c r="O17" s="18">
        <f>'FS Seychelles'!M18</f>
        <v>0</v>
      </c>
      <c r="P17" s="18">
        <f>'FS Seychelles'!N18</f>
        <v>10026</v>
      </c>
      <c r="Q17" s="18">
        <f>'FS Seychelles'!O18</f>
        <v>6735</v>
      </c>
      <c r="R17" s="18">
        <f>'FS Seychelles'!Q18</f>
        <v>0</v>
      </c>
      <c r="S17" s="18">
        <f>'FS Seychelles'!S18</f>
        <v>49</v>
      </c>
      <c r="T17" s="18">
        <f>'FS Seychelles'!T18</f>
        <v>85</v>
      </c>
      <c r="U17" s="18">
        <f>'FS Seychelles'!U18</f>
        <v>76</v>
      </c>
      <c r="V17" s="18">
        <f>'FS Seychelles'!V18</f>
        <v>0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9</v>
      </c>
      <c r="D18" s="11">
        <v>2022</v>
      </c>
      <c r="E18" s="18">
        <f>'FS Seychelles'!B19</f>
        <v>53.2</v>
      </c>
      <c r="F18" s="18">
        <f>'FS Seychelles'!D19*1000</f>
        <v>2140</v>
      </c>
      <c r="G18" s="18">
        <f>'FS Seychelles'!E19*1000</f>
        <v>3740</v>
      </c>
      <c r="H18" s="18">
        <f>'FS Seychelles'!F19*1000</f>
        <v>5060</v>
      </c>
      <c r="I18" s="18">
        <f>'FS Seychelles'!G19*1000</f>
        <v>1330</v>
      </c>
      <c r="J18" s="18">
        <f>'FS Seychelles'!H19*1000</f>
        <v>1650</v>
      </c>
      <c r="K18" s="18">
        <f>'FS Seychelles'!I19*1000</f>
        <v>3710</v>
      </c>
      <c r="L18" s="18">
        <f>'FS Seychelles'!J19</f>
        <v>6713</v>
      </c>
      <c r="M18" s="18">
        <f>'FS Seychelles'!K19</f>
        <v>8955</v>
      </c>
      <c r="N18" s="18">
        <f>'FS Seychelles'!L19</f>
        <v>6680</v>
      </c>
      <c r="O18" s="18">
        <f>'FS Seychelles'!M19</f>
        <v>0</v>
      </c>
      <c r="P18" s="18">
        <f>'FS Seychelles'!N19</f>
        <v>9036</v>
      </c>
      <c r="Q18" s="18">
        <f>'FS Seychelles'!O19</f>
        <v>6968</v>
      </c>
      <c r="R18" s="18">
        <f>'FS Seychelles'!Q19</f>
        <v>0</v>
      </c>
      <c r="S18" s="18">
        <f>'FS Seychelles'!S19</f>
        <v>49</v>
      </c>
      <c r="T18" s="18">
        <f>'FS Seychelles'!T19</f>
        <v>124</v>
      </c>
      <c r="U18" s="18">
        <f>'FS Seychelles'!U19</f>
        <v>44</v>
      </c>
      <c r="V18" s="18">
        <f>'FS Seychelles'!V19</f>
        <v>30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9</v>
      </c>
      <c r="D19" s="11">
        <v>2022</v>
      </c>
      <c r="E19" s="18">
        <f>'FS Seychelles'!B20</f>
        <v>76.599999999999994</v>
      </c>
      <c r="F19" s="18">
        <f>'FS Seychelles'!D20*1000</f>
        <v>2680</v>
      </c>
      <c r="G19" s="18">
        <f>'FS Seychelles'!E20*1000</f>
        <v>4100</v>
      </c>
      <c r="H19" s="18">
        <f>'FS Seychelles'!F20*1000</f>
        <v>5240</v>
      </c>
      <c r="I19" s="18">
        <f>'FS Seychelles'!G20*1000</f>
        <v>1240</v>
      </c>
      <c r="J19" s="18">
        <f>'FS Seychelles'!H20*1000</f>
        <v>1740</v>
      </c>
      <c r="K19" s="18">
        <f>'FS Seychelles'!I20*1000</f>
        <v>3490</v>
      </c>
      <c r="L19" s="18">
        <f>'FS Seychelles'!J20</f>
        <v>8001</v>
      </c>
      <c r="M19" s="18">
        <f>'FS Seychelles'!K20</f>
        <v>7994</v>
      </c>
      <c r="N19" s="18">
        <f>'FS Seychelles'!L20</f>
        <v>7955</v>
      </c>
      <c r="O19" s="18">
        <f>'FS Seychelles'!M20</f>
        <v>0</v>
      </c>
      <c r="P19" s="18">
        <f>'FS Seychelles'!N20</f>
        <v>7690</v>
      </c>
      <c r="Q19" s="18">
        <f>'FS Seychelles'!O20</f>
        <v>6931</v>
      </c>
      <c r="R19" s="18">
        <f>'FS Seychelles'!Q20</f>
        <v>0</v>
      </c>
      <c r="S19" s="18">
        <f>'FS Seychelles'!S20</f>
        <v>43</v>
      </c>
      <c r="T19" s="18">
        <f>'FS Seychelles'!T20</f>
        <v>89</v>
      </c>
      <c r="U19" s="18">
        <f>'FS Seychelles'!U20</f>
        <v>34</v>
      </c>
      <c r="V19" s="18">
        <f>'FS Seychelles'!V20</f>
        <v>89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9</v>
      </c>
      <c r="D20" s="11">
        <v>2022</v>
      </c>
      <c r="E20" s="18">
        <f>'FS Seychelles'!B21</f>
        <v>76.599999999999994</v>
      </c>
      <c r="F20" s="18">
        <f>'FS Seychelles'!D21*1000</f>
        <v>2380</v>
      </c>
      <c r="G20" s="18">
        <f>'FS Seychelles'!E21*1000</f>
        <v>3800</v>
      </c>
      <c r="H20" s="18">
        <f>'FS Seychelles'!F21*1000</f>
        <v>4940</v>
      </c>
      <c r="I20" s="18">
        <f>'FS Seychelles'!G21*1000</f>
        <v>1260</v>
      </c>
      <c r="J20" s="18">
        <f>'FS Seychelles'!H21*1000</f>
        <v>1780</v>
      </c>
      <c r="K20" s="18">
        <f>'FS Seychelles'!I21*1000</f>
        <v>3560</v>
      </c>
      <c r="L20" s="18">
        <f>'FS Seychelles'!J21</f>
        <v>10758</v>
      </c>
      <c r="M20" s="18">
        <f>'FS Seychelles'!K21</f>
        <v>4942</v>
      </c>
      <c r="N20" s="18">
        <f>'FS Seychelles'!L21</f>
        <v>10374</v>
      </c>
      <c r="O20" s="18">
        <f>'FS Seychelles'!M21</f>
        <v>0</v>
      </c>
      <c r="P20" s="18">
        <f>'FS Seychelles'!N21</f>
        <v>4892</v>
      </c>
      <c r="Q20" s="18">
        <f>'FS Seychelles'!O21</f>
        <v>6673</v>
      </c>
      <c r="R20" s="18">
        <f>'FS Seychelles'!Q21</f>
        <v>0</v>
      </c>
      <c r="S20" s="18">
        <f>'FS Seychelles'!S21</f>
        <v>53</v>
      </c>
      <c r="T20" s="18">
        <f>'FS Seychelles'!T21</f>
        <v>65</v>
      </c>
      <c r="U20" s="18">
        <f>'FS Seychelles'!U21</f>
        <v>38</v>
      </c>
      <c r="V20" s="18">
        <f>'FS Seychelles'!V21</f>
        <v>17</v>
      </c>
      <c r="W20" s="18">
        <f>'FS Seychelles'!W21</f>
        <v>0</v>
      </c>
      <c r="X20" s="18" t="e">
        <f>('FS Seychelles'!Z27+'FS Seychelles'!#REF!)/30</f>
        <v>#REF!</v>
      </c>
    </row>
    <row r="21" spans="1:24" ht="15">
      <c r="A21" s="1" t="s">
        <v>13</v>
      </c>
      <c r="B21" s="11">
        <f t="shared" si="0"/>
        <v>20</v>
      </c>
      <c r="C21" s="11">
        <f t="shared" si="1"/>
        <v>9</v>
      </c>
      <c r="D21" s="11">
        <v>2022</v>
      </c>
      <c r="E21" s="18">
        <f>'FS Seychelles'!B22</f>
        <v>76.599999999999994</v>
      </c>
      <c r="F21" s="18">
        <f>'FS Seychelles'!D22*1000</f>
        <v>2490</v>
      </c>
      <c r="G21" s="18">
        <f>'FS Seychelles'!E22*1000</f>
        <v>4130</v>
      </c>
      <c r="H21" s="18">
        <f>'FS Seychelles'!F22*1000</f>
        <v>5250</v>
      </c>
      <c r="I21" s="18">
        <f>'FS Seychelles'!G22*1000</f>
        <v>1330</v>
      </c>
      <c r="J21" s="18">
        <f>'FS Seychelles'!H22*1000</f>
        <v>1850</v>
      </c>
      <c r="K21" s="18">
        <f>'FS Seychelles'!I22*1000</f>
        <v>3900</v>
      </c>
      <c r="L21" s="18">
        <f>'FS Seychelles'!J22</f>
        <v>7020</v>
      </c>
      <c r="M21" s="18">
        <f>'FS Seychelles'!K22</f>
        <v>11583</v>
      </c>
      <c r="N21" s="18">
        <f>'FS Seychelles'!L22</f>
        <v>4713</v>
      </c>
      <c r="O21" s="18">
        <f>'FS Seychelles'!M22</f>
        <v>0</v>
      </c>
      <c r="P21" s="18">
        <f>'FS Seychelles'!N23</f>
        <v>0</v>
      </c>
      <c r="Q21" s="18">
        <f>'FS Seychelles'!O22</f>
        <v>7341</v>
      </c>
      <c r="R21" s="18">
        <f>'FS Seychelles'!Q22</f>
        <v>0</v>
      </c>
      <c r="S21" s="18">
        <f>'FS Seychelles'!S22</f>
        <v>53.857142857142854</v>
      </c>
      <c r="T21" s="18">
        <f>'FS Seychelles'!T22</f>
        <v>111.71428571428572</v>
      </c>
      <c r="U21" s="18">
        <f>'FS Seychelles'!U22</f>
        <v>52.5</v>
      </c>
      <c r="V21" s="18">
        <f>'FS Seychelles'!V22</f>
        <v>55.642857142857146</v>
      </c>
      <c r="W21" s="18">
        <f>'FS Seychelles'!W22</f>
        <v>2.7142857142857144</v>
      </c>
      <c r="X21" s="18"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9</v>
      </c>
      <c r="D22" s="11">
        <v>2022</v>
      </c>
      <c r="E22" s="18">
        <f>'FS Seychelles'!B23</f>
        <v>76.599999999999994</v>
      </c>
      <c r="F22" s="18">
        <f>'FS Seychelles'!D23*1000</f>
        <v>2009.9999999999998</v>
      </c>
      <c r="G22" s="18">
        <f>'FS Seychelles'!E23*1000</f>
        <v>3750</v>
      </c>
      <c r="H22" s="18">
        <f>'FS Seychelles'!F23*1000</f>
        <v>5130</v>
      </c>
      <c r="I22" s="18">
        <f>'FS Seychelles'!G23*1000</f>
        <v>1320</v>
      </c>
      <c r="J22" s="18">
        <f>'FS Seychelles'!H23*1000</f>
        <v>1730</v>
      </c>
      <c r="K22" s="18">
        <f>'FS Seychelles'!I23*1000</f>
        <v>3890</v>
      </c>
      <c r="L22" s="18">
        <f>'FS Seychelles'!J23</f>
        <v>10890</v>
      </c>
      <c r="M22" s="18">
        <f>'FS Seychelles'!K23</f>
        <v>10920</v>
      </c>
      <c r="N22" s="18">
        <f>'FS Seychelles'!L23</f>
        <v>4163</v>
      </c>
      <c r="O22" s="18">
        <f>'FS Seychelles'!M23</f>
        <v>4011</v>
      </c>
      <c r="P22" s="18">
        <f>'FS Seychelles'!N24</f>
        <v>0</v>
      </c>
      <c r="Q22" s="18">
        <f>'FS Seychelles'!O23</f>
        <v>6722</v>
      </c>
      <c r="R22" s="18">
        <f>'FS Seychelles'!Q23</f>
        <v>0</v>
      </c>
      <c r="S22" s="18">
        <f>'FS Seychelles'!S23</f>
        <v>57</v>
      </c>
      <c r="T22" s="18">
        <f>'FS Seychelles'!T23</f>
        <v>112</v>
      </c>
      <c r="U22" s="18">
        <f>'FS Seychelles'!U23</f>
        <v>44</v>
      </c>
      <c r="V22" s="18">
        <f>'FS Seychelles'!V23</f>
        <v>43</v>
      </c>
      <c r="W22" s="18">
        <f>'FS Seychelles'!W23</f>
        <v>0</v>
      </c>
      <c r="X22" s="18"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9</v>
      </c>
      <c r="D23" s="11">
        <v>2022</v>
      </c>
      <c r="E23" s="18">
        <f>'FS Seychelles'!B24</f>
        <v>77.900000000000006</v>
      </c>
      <c r="F23" s="18">
        <f>'FS Seychelles'!D24*1000</f>
        <v>600</v>
      </c>
      <c r="G23" s="18">
        <f>'FS Seychelles'!E24*1000</f>
        <v>1160</v>
      </c>
      <c r="H23" s="18">
        <f>'FS Seychelles'!F24*1000</f>
        <v>1830</v>
      </c>
      <c r="I23" s="18">
        <f>'FS Seychelles'!G24*1000</f>
        <v>530</v>
      </c>
      <c r="J23" s="18">
        <f>'FS Seychelles'!H24*1000</f>
        <v>520</v>
      </c>
      <c r="K23" s="18">
        <f>'FS Seychelles'!I24*1000</f>
        <v>1460</v>
      </c>
      <c r="L23" s="18">
        <f>'FS Seychelles'!J24</f>
        <v>10004</v>
      </c>
      <c r="M23" s="18">
        <f>'FS Seychelles'!K24</f>
        <v>10694</v>
      </c>
      <c r="N23" s="18">
        <f>'FS Seychelles'!L24</f>
        <v>4310</v>
      </c>
      <c r="O23" s="18">
        <f>'FS Seychelles'!M24</f>
        <v>4057</v>
      </c>
      <c r="P23" s="18">
        <f>'FS Seychelles'!N25</f>
        <v>11020</v>
      </c>
      <c r="Q23" s="18">
        <f>'FS Seychelles'!O24</f>
        <v>6441</v>
      </c>
      <c r="R23" s="18">
        <f>'FS Seychelles'!Q24</f>
        <v>0</v>
      </c>
      <c r="S23" s="18">
        <f>'FS Seychelles'!S24</f>
        <v>58</v>
      </c>
      <c r="T23" s="18">
        <f>'FS Seychelles'!T24</f>
        <v>113</v>
      </c>
      <c r="U23" s="18">
        <f>'FS Seychelles'!U24</f>
        <v>48</v>
      </c>
      <c r="V23" s="18">
        <f>'FS Seychelles'!V24</f>
        <v>86</v>
      </c>
      <c r="W23" s="18">
        <f>'FS Seychelles'!W24</f>
        <v>0</v>
      </c>
      <c r="X23" s="18" t="e">
        <f>('FS Seychelles'!Z30+'FS Seychelles'!#REF!)/30</f>
        <v>#REF!</v>
      </c>
    </row>
    <row r="24" spans="1:24" ht="15">
      <c r="A24" s="1" t="s">
        <v>13</v>
      </c>
      <c r="B24" s="11">
        <f t="shared" si="0"/>
        <v>23</v>
      </c>
      <c r="C24" s="11">
        <f t="shared" si="1"/>
        <v>9</v>
      </c>
      <c r="D24" s="11">
        <v>2022</v>
      </c>
      <c r="E24" s="18">
        <f>'FS Seychelles'!B25</f>
        <v>74</v>
      </c>
      <c r="F24" s="18">
        <f>'FS Seychelles'!D25*1000</f>
        <v>2800</v>
      </c>
      <c r="G24" s="18">
        <f>'FS Seychelles'!E25*1000</f>
        <v>4610</v>
      </c>
      <c r="H24" s="18">
        <f>'FS Seychelles'!F25*1000</f>
        <v>5370</v>
      </c>
      <c r="I24" s="18">
        <f>'FS Seychelles'!G25*1000</f>
        <v>1150</v>
      </c>
      <c r="J24" s="18">
        <f>'FS Seychelles'!H25*1000</f>
        <v>1640</v>
      </c>
      <c r="K24" s="18">
        <f>'FS Seychelles'!I25*1000</f>
        <v>3600</v>
      </c>
      <c r="L24" s="18">
        <f>'FS Seychelles'!J25</f>
        <v>4523</v>
      </c>
      <c r="M24" s="18">
        <f>'FS Seychelles'!K25</f>
        <v>10983</v>
      </c>
      <c r="N24" s="18">
        <f>'FS Seychelles'!L25</f>
        <v>7765</v>
      </c>
      <c r="O24" s="18">
        <f>'FS Seychelles'!M25</f>
        <v>0</v>
      </c>
      <c r="P24" s="18">
        <f>'FS Seychelles'!N25</f>
        <v>11020</v>
      </c>
      <c r="Q24" s="18">
        <f>'FS Seychelles'!O25</f>
        <v>7438</v>
      </c>
      <c r="R24" s="18">
        <f>'FS Seychelles'!Q25</f>
        <v>0</v>
      </c>
      <c r="S24" s="18">
        <f>'FS Seychelles'!S25</f>
        <v>56</v>
      </c>
      <c r="T24" s="18">
        <f>'FS Seychelles'!T25</f>
        <v>104</v>
      </c>
      <c r="U24" s="18">
        <f>'FS Seychelles'!U25</f>
        <v>57</v>
      </c>
      <c r="V24" s="18">
        <f>'FS Seychelles'!V25</f>
        <v>41</v>
      </c>
      <c r="W24" s="18">
        <f>'FS Seychelles'!W25</f>
        <v>0</v>
      </c>
      <c r="X24" s="18" t="e">
        <f>('FS Seychelles'!Z31+'FS Seychelles'!#REF!)/30</f>
        <v>#REF!</v>
      </c>
    </row>
    <row r="25" spans="1:24" ht="15">
      <c r="A25" s="1" t="s">
        <v>13</v>
      </c>
      <c r="B25" s="11">
        <f t="shared" si="0"/>
        <v>24</v>
      </c>
      <c r="C25" s="11">
        <f t="shared" si="1"/>
        <v>9</v>
      </c>
      <c r="D25" s="11">
        <v>2022</v>
      </c>
      <c r="E25" s="18">
        <f>'FS Seychelles'!B26</f>
        <v>75.3</v>
      </c>
      <c r="F25" s="18">
        <f>'FS Seychelles'!D26*1000</f>
        <v>3090</v>
      </c>
      <c r="G25" s="18">
        <f>'FS Seychelles'!E26*1000</f>
        <v>4400</v>
      </c>
      <c r="H25" s="18">
        <f>'FS Seychelles'!F26*1000</f>
        <v>5440</v>
      </c>
      <c r="I25" s="18">
        <f>'FS Seychelles'!G26*1000</f>
        <v>1350</v>
      </c>
      <c r="J25" s="18">
        <f>'FS Seychelles'!H26*1000</f>
        <v>1640</v>
      </c>
      <c r="K25" s="18">
        <f>'FS Seychelles'!I26*1000</f>
        <v>3800</v>
      </c>
      <c r="L25" s="18">
        <f>'FS Seychelles'!J26</f>
        <v>9679</v>
      </c>
      <c r="M25" s="18">
        <f>'FS Seychelles'!K26</f>
        <v>9437</v>
      </c>
      <c r="N25" s="18">
        <f>'FS Seychelles'!L26</f>
        <v>5959</v>
      </c>
      <c r="O25" s="18">
        <f>'FS Seychelles'!M26</f>
        <v>5764</v>
      </c>
      <c r="P25" s="18">
        <f>'FS Seychelles'!N26</f>
        <v>9431</v>
      </c>
      <c r="Q25" s="18">
        <f>'FS Seychelles'!O26</f>
        <v>8942</v>
      </c>
      <c r="R25" s="18">
        <f>'FS Seychelles'!Q26</f>
        <v>0</v>
      </c>
      <c r="S25" s="18">
        <f>'FS Seychelles'!S26</f>
        <v>45</v>
      </c>
      <c r="T25" s="18">
        <f>'FS Seychelles'!T26</f>
        <v>95</v>
      </c>
      <c r="U25" s="18">
        <f>'FS Seychelles'!U26</f>
        <v>57</v>
      </c>
      <c r="V25" s="18">
        <f>'FS Seychelles'!V26</f>
        <v>95</v>
      </c>
      <c r="W25" s="18">
        <f>'FS Seychelles'!W26</f>
        <v>0</v>
      </c>
      <c r="X25" s="18">
        <f>('FS Seychelles'!Z32+'FS Seychelles'!Z33)/30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9</v>
      </c>
      <c r="D26" s="11">
        <v>2022</v>
      </c>
      <c r="E26" s="18">
        <f>'FS Seychelles'!B27</f>
        <v>55.8</v>
      </c>
      <c r="F26" s="18">
        <f>'FS Seychelles'!D27*1000</f>
        <v>2880</v>
      </c>
      <c r="G26" s="18">
        <f>'FS Seychelles'!E27*1000</f>
        <v>4210</v>
      </c>
      <c r="H26" s="18">
        <f>'FS Seychelles'!F27*1000</f>
        <v>5100</v>
      </c>
      <c r="I26" s="18">
        <f>'FS Seychelles'!G27*1000</f>
        <v>1380</v>
      </c>
      <c r="J26" s="18">
        <f>'FS Seychelles'!H27*1000</f>
        <v>1590</v>
      </c>
      <c r="K26" s="18">
        <f>'FS Seychelles'!I27*1000</f>
        <v>3660</v>
      </c>
      <c r="L26" s="18">
        <f>'FS Seychelles'!J27</f>
        <v>2127</v>
      </c>
      <c r="M26" s="18">
        <f>'FS Seychelles'!K27</f>
        <v>9582</v>
      </c>
      <c r="N26" s="18">
        <f>'FS Seychelles'!L27</f>
        <v>0</v>
      </c>
      <c r="O26" s="18">
        <f>'FS Seychelles'!M27</f>
        <v>5393</v>
      </c>
      <c r="P26" s="18">
        <f>'FS Seychelles'!N27</f>
        <v>10027</v>
      </c>
      <c r="Q26" s="18">
        <f>'FS Seychelles'!O27</f>
        <v>6040</v>
      </c>
      <c r="R26" s="18">
        <f>'FS Seychelles'!Q27</f>
        <v>0</v>
      </c>
      <c r="S26" s="18">
        <f>'FS Seychelles'!S27</f>
        <v>51</v>
      </c>
      <c r="T26" s="18">
        <f>'FS Seychelles'!T27</f>
        <v>102</v>
      </c>
      <c r="U26" s="18">
        <f>'FS Seychelles'!U27</f>
        <v>36</v>
      </c>
      <c r="V26" s="18">
        <f>'FS Seychelles'!V27</f>
        <v>115</v>
      </c>
      <c r="W26" s="18">
        <f>'FS Seychelles'!W27</f>
        <v>0</v>
      </c>
      <c r="X26" s="18" t="e">
        <f>('FS Seychelles'!#REF!+'FS Seychelles'!Z34)/30</f>
        <v>#REF!</v>
      </c>
    </row>
    <row r="27" spans="1:24" ht="15">
      <c r="A27" s="1" t="s">
        <v>13</v>
      </c>
      <c r="B27" s="11">
        <f t="shared" si="0"/>
        <v>26</v>
      </c>
      <c r="C27" s="11">
        <f t="shared" si="1"/>
        <v>9</v>
      </c>
      <c r="D27" s="11">
        <v>2022</v>
      </c>
      <c r="E27" s="18">
        <f>'FS Seychelles'!B28</f>
        <v>51.9</v>
      </c>
      <c r="F27" s="18">
        <f>'FS Seychelles'!D28*1000</f>
        <v>2870</v>
      </c>
      <c r="G27" s="18">
        <f>'FS Seychelles'!E28*1000</f>
        <v>4330</v>
      </c>
      <c r="H27" s="18">
        <f>'FS Seychelles'!F28*1000</f>
        <v>5160</v>
      </c>
      <c r="I27" s="18">
        <f>'FS Seychelles'!G28*1000</f>
        <v>1320</v>
      </c>
      <c r="J27" s="18">
        <f>'FS Seychelles'!H28*1000</f>
        <v>1710</v>
      </c>
      <c r="K27" s="18">
        <f>'FS Seychelles'!I28*1000</f>
        <v>3840</v>
      </c>
      <c r="L27" s="18">
        <f>'FS Seychelles'!J28</f>
        <v>6749</v>
      </c>
      <c r="M27" s="18">
        <f>'FS Seychelles'!K28</f>
        <v>5242</v>
      </c>
      <c r="N27" s="18">
        <f>'FS Seychelles'!L28</f>
        <v>8756</v>
      </c>
      <c r="O27" s="18">
        <f>'FS Seychelles'!M28</f>
        <v>6946</v>
      </c>
      <c r="P27" s="18">
        <f>'FS Seychelles'!N28</f>
        <v>6039</v>
      </c>
      <c r="Q27" s="18">
        <f>'FS Seychelles'!O28</f>
        <v>7591</v>
      </c>
      <c r="R27" s="18">
        <f>'FS Seychelles'!Q28</f>
        <v>0</v>
      </c>
      <c r="S27" s="18">
        <f>'FS Seychelles'!S28</f>
        <v>57</v>
      </c>
      <c r="T27" s="18">
        <f>'FS Seychelles'!T28</f>
        <v>112</v>
      </c>
      <c r="U27" s="18">
        <f>'FS Seychelles'!U28</f>
        <v>53</v>
      </c>
      <c r="V27" s="18">
        <f>'FS Seychelles'!V28</f>
        <v>103</v>
      </c>
      <c r="W27" s="18">
        <f>'FS Seychelles'!W28</f>
        <v>0</v>
      </c>
      <c r="X27" s="18"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9</v>
      </c>
      <c r="D28" s="11">
        <v>2022</v>
      </c>
      <c r="E28" s="18">
        <f>'FS Seychelles'!B29</f>
        <v>49.4</v>
      </c>
      <c r="F28" s="18">
        <f>'FS Seychelles'!D29*1000</f>
        <v>2480</v>
      </c>
      <c r="G28" s="18">
        <f>'FS Seychelles'!E29*1000</f>
        <v>3530</v>
      </c>
      <c r="H28" s="18">
        <f>'FS Seychelles'!F29*1000</f>
        <v>5070</v>
      </c>
      <c r="I28" s="18">
        <f>'FS Seychelles'!G29*1000</f>
        <v>1390</v>
      </c>
      <c r="J28" s="18">
        <f>'FS Seychelles'!H29*1000</f>
        <v>1640</v>
      </c>
      <c r="K28" s="18">
        <f>'FS Seychelles'!I29*1000</f>
        <v>3750</v>
      </c>
      <c r="L28" s="18">
        <f>'FS Seychelles'!J29</f>
        <v>0</v>
      </c>
      <c r="M28" s="18">
        <f>'FS Seychelles'!K29</f>
        <v>1342</v>
      </c>
      <c r="N28" s="18">
        <f>'FS Seychelles'!L29</f>
        <v>4655</v>
      </c>
      <c r="O28" s="18">
        <f>'FS Seychelles'!M29</f>
        <v>4554</v>
      </c>
      <c r="P28" s="18">
        <f>'FS Seychelles'!N29</f>
        <v>11234</v>
      </c>
      <c r="Q28" s="18">
        <f>'FS Seychelles'!O29</f>
        <v>5813</v>
      </c>
      <c r="R28" s="18">
        <f>'FS Seychelles'!Q29</f>
        <v>0</v>
      </c>
      <c r="S28" s="18">
        <f>'FS Seychelles'!S29</f>
        <v>57</v>
      </c>
      <c r="T28" s="18">
        <f>'FS Seychelles'!T29</f>
        <v>131</v>
      </c>
      <c r="U28" s="18">
        <f>'FS Seychelles'!U29</f>
        <v>59</v>
      </c>
      <c r="V28" s="18">
        <f>'FS Seychelles'!V29</f>
        <v>111</v>
      </c>
      <c r="W28" s="18">
        <f>'FS Seychelles'!W29</f>
        <v>0</v>
      </c>
      <c r="X28" s="18"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9</v>
      </c>
      <c r="D29" s="11">
        <v>2022</v>
      </c>
      <c r="E29" s="18">
        <f>'FS Seychelles'!B30</f>
        <v>57.1</v>
      </c>
      <c r="F29" s="18">
        <f>'FS Seychelles'!D30*1000</f>
        <v>2550</v>
      </c>
      <c r="G29" s="18">
        <f>'FS Seychelles'!E30*1000</f>
        <v>3730</v>
      </c>
      <c r="H29" s="18">
        <f>'FS Seychelles'!F30*1000</f>
        <v>4950</v>
      </c>
      <c r="I29" s="18">
        <f>'FS Seychelles'!G30*1000</f>
        <v>1330</v>
      </c>
      <c r="J29" s="18">
        <f>'FS Seychelles'!H30*1000</f>
        <v>1560</v>
      </c>
      <c r="K29" s="18">
        <f>'FS Seychelles'!I30*1000</f>
        <v>3650</v>
      </c>
      <c r="L29" s="18">
        <f>'FS Seychelles'!J30</f>
        <v>6309</v>
      </c>
      <c r="M29" s="18">
        <f>'FS Seychelles'!K30</f>
        <v>10880</v>
      </c>
      <c r="N29" s="18">
        <f>'FS Seychelles'!L30</f>
        <v>0</v>
      </c>
      <c r="O29" s="18">
        <f>'FS Seychelles'!M30</f>
        <v>2245</v>
      </c>
      <c r="P29" s="18">
        <f>'FS Seychelles'!N30</f>
        <v>9031</v>
      </c>
      <c r="Q29" s="18">
        <f>'FS Seychelles'!O30</f>
        <v>6547</v>
      </c>
      <c r="R29" s="18">
        <f>'FS Seychelles'!Q30</f>
        <v>0</v>
      </c>
      <c r="S29" s="18">
        <f>'FS Seychelles'!S30</f>
        <v>46</v>
      </c>
      <c r="T29" s="18">
        <f>'FS Seychelles'!T30</f>
        <v>84</v>
      </c>
      <c r="U29" s="18">
        <f>'FS Seychelles'!U30</f>
        <v>96</v>
      </c>
      <c r="V29" s="18">
        <f>'FS Seychelles'!V30</f>
        <v>96</v>
      </c>
      <c r="W29" s="18">
        <f>'FS Seychelles'!W30</f>
        <v>0</v>
      </c>
      <c r="X29" s="18" t="e">
        <f>('FS Seychelles'!#REF!+'FS Seychelles'!Z37)/30</f>
        <v>#REF!</v>
      </c>
    </row>
    <row r="30" spans="1:24" ht="15">
      <c r="A30" s="1" t="s">
        <v>13</v>
      </c>
      <c r="B30" s="11">
        <f t="shared" si="0"/>
        <v>29</v>
      </c>
      <c r="C30" s="11">
        <f t="shared" si="1"/>
        <v>9</v>
      </c>
      <c r="D30" s="11">
        <v>2022</v>
      </c>
      <c r="E30" s="18">
        <f>'FS Seychelles'!B31</f>
        <v>53.4</v>
      </c>
      <c r="F30" s="18">
        <f>'FS Seychelles'!D31*1000</f>
        <v>2680</v>
      </c>
      <c r="G30" s="18">
        <f>'FS Seychelles'!E31*1000</f>
        <v>4140</v>
      </c>
      <c r="H30" s="18">
        <f>'FS Seychelles'!F31*1000</f>
        <v>5110</v>
      </c>
      <c r="I30" s="18">
        <f>'FS Seychelles'!G31*1000</f>
        <v>1220</v>
      </c>
      <c r="J30" s="18">
        <f>'FS Seychelles'!H31*1000</f>
        <v>1660</v>
      </c>
      <c r="K30" s="18">
        <f>'FS Seychelles'!I31*1000</f>
        <v>3680</v>
      </c>
      <c r="L30" s="18">
        <f>'FS Seychelles'!J31</f>
        <v>9198</v>
      </c>
      <c r="M30" s="18">
        <f>'FS Seychelles'!K31</f>
        <v>6300</v>
      </c>
      <c r="N30" s="18">
        <f>'FS Seychelles'!L31</f>
        <v>9157</v>
      </c>
      <c r="O30" s="18">
        <f>'FS Seychelles'!M31</f>
        <v>0</v>
      </c>
      <c r="P30" s="18">
        <f>'FS Seychelles'!N31</f>
        <v>8721</v>
      </c>
      <c r="Q30" s="18">
        <f>'FS Seychelles'!O31</f>
        <v>6958</v>
      </c>
      <c r="R30" s="18">
        <f>'FS Seychelles'!Q31</f>
        <v>0</v>
      </c>
      <c r="S30" s="18">
        <f>'FS Seychelles'!S31</f>
        <v>55</v>
      </c>
      <c r="T30" s="18">
        <f>'FS Seychelles'!T31</f>
        <v>88</v>
      </c>
      <c r="U30" s="18">
        <f>'FS Seychelles'!U31</f>
        <v>99</v>
      </c>
      <c r="V30" s="18">
        <f>'FS Seychelles'!V31</f>
        <v>107</v>
      </c>
      <c r="W30" s="18">
        <f>'FS Seychelles'!W31</f>
        <v>0</v>
      </c>
      <c r="X30" s="18" t="e">
        <f>('FS Seychelles'!#REF!+'FS Seychelles'!Z38)/30</f>
        <v>#REF!</v>
      </c>
    </row>
    <row r="31" spans="1:24" ht="15">
      <c r="A31" s="1" t="s">
        <v>13</v>
      </c>
      <c r="B31" s="11">
        <f t="shared" si="0"/>
        <v>30</v>
      </c>
      <c r="C31" s="11">
        <f t="shared" si="1"/>
        <v>9</v>
      </c>
      <c r="D31" s="11">
        <v>2022</v>
      </c>
      <c r="E31" s="18">
        <f>'FS Seychelles'!B32</f>
        <v>0</v>
      </c>
      <c r="F31" s="18">
        <f>'FS Seychelles'!D32*1000</f>
        <v>2870</v>
      </c>
      <c r="G31" s="18">
        <f>'FS Seychelles'!E32*1000</f>
        <v>4110</v>
      </c>
      <c r="H31" s="18">
        <f>'FS Seychelles'!F32*1000</f>
        <v>5100</v>
      </c>
      <c r="I31" s="18">
        <f>'FS Seychelles'!G32*1000</f>
        <v>1270</v>
      </c>
      <c r="J31" s="18">
        <f>'FS Seychelles'!H32*1000</f>
        <v>1680</v>
      </c>
      <c r="K31" s="18">
        <f>'FS Seychelles'!I32*1000</f>
        <v>3690</v>
      </c>
      <c r="L31" s="18">
        <f>'FS Seychelles'!J32</f>
        <v>8567</v>
      </c>
      <c r="M31" s="18">
        <f>'FS Seychelles'!K32</f>
        <v>6549</v>
      </c>
      <c r="N31" s="18">
        <f>'FS Seychelles'!L32</f>
        <v>7072</v>
      </c>
      <c r="O31" s="18">
        <f>'FS Seychelles'!M32</f>
        <v>0</v>
      </c>
      <c r="P31" s="18">
        <f>'FS Seychelles'!N32</f>
        <v>9399</v>
      </c>
      <c r="Q31" s="18">
        <f>'FS Seychelles'!O32</f>
        <v>6731</v>
      </c>
      <c r="R31" s="18">
        <f>'FS Seychelles'!Q32</f>
        <v>0</v>
      </c>
      <c r="S31" s="18">
        <f>'FS Seychelles'!S32</f>
        <v>59</v>
      </c>
      <c r="T31" s="18">
        <f>'FS Seychelles'!T32</f>
        <v>31</v>
      </c>
      <c r="U31" s="18">
        <f>'FS Seychelles'!U32</f>
        <v>48</v>
      </c>
      <c r="V31" s="18">
        <f>'FS Seychelles'!V32</f>
        <v>103</v>
      </c>
      <c r="W31" s="18">
        <f>'FS Seychelles'!W32</f>
        <v>0</v>
      </c>
      <c r="X31" s="18">
        <f>('FS Seychelles'!Z33+'FS Seychelles'!Z39)/30</f>
        <v>0</v>
      </c>
    </row>
    <row r="32" spans="1:24" ht="15">
      <c r="M32" s="18">
        <f>SUM(M2:M31)</f>
        <v>239862</v>
      </c>
      <c r="N32" s="18">
        <f>SUM(N2:N31)</f>
        <v>198137</v>
      </c>
      <c r="O32" s="18">
        <f>SUM(O2:O31)</f>
        <v>57124</v>
      </c>
    </row>
    <row r="34" spans="15:15" ht="15">
      <c r="O34" s="18">
        <f>SUM(L32:O32)</f>
        <v>495123</v>
      </c>
    </row>
    <row r="35" spans="15:15" ht="1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zoomScaleNormal="100" workbookViewId="0">
      <pane xSplit="1" topLeftCell="B15" activePane="topRight" state="frozen"/>
      <selection pane="topRight" activeCell="C25" sqref="C25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67"/>
      <c r="D1" s="201"/>
      <c r="E1" s="201"/>
      <c r="F1" s="201"/>
      <c r="G1" s="201"/>
      <c r="H1" s="201"/>
      <c r="I1" s="201"/>
      <c r="T1" s="32"/>
    </row>
    <row r="2" spans="1:30" s="22" customFormat="1" ht="31.5" customHeight="1">
      <c r="A2" s="168" t="s">
        <v>33</v>
      </c>
      <c r="B2" s="169" t="s">
        <v>34</v>
      </c>
      <c r="C2" s="170" t="s">
        <v>35</v>
      </c>
      <c r="D2" s="171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203" t="s">
        <v>6</v>
      </c>
      <c r="Y2" s="204"/>
      <c r="Z2" s="205"/>
      <c r="AA2" s="113" t="s">
        <v>56</v>
      </c>
      <c r="AB2" s="161" t="s">
        <v>57</v>
      </c>
      <c r="AC2" s="162" t="s">
        <v>58</v>
      </c>
    </row>
    <row r="3" spans="1:30" ht="15" customHeight="1">
      <c r="A3" s="172">
        <v>44805</v>
      </c>
      <c r="B3" s="173">
        <v>60.5</v>
      </c>
      <c r="C3" s="173">
        <v>285</v>
      </c>
      <c r="D3" s="109">
        <f>'EMS Gridvis'!B2</f>
        <v>2.6</v>
      </c>
      <c r="E3" s="110">
        <f>'EMS Gridvis'!C2</f>
        <v>3.84</v>
      </c>
      <c r="F3" s="110">
        <f>'EMS Gridvis'!D2</f>
        <v>4.71</v>
      </c>
      <c r="G3" s="110">
        <f>'EMS Gridvis'!H2</f>
        <v>1.32</v>
      </c>
      <c r="H3" s="110">
        <f>'EMS Gridvis'!I2</f>
        <v>1.4</v>
      </c>
      <c r="I3" s="110">
        <f>'EMS Gridvis'!J2</f>
        <v>3.86</v>
      </c>
      <c r="J3" s="46">
        <f>Generator!D4</f>
        <v>0</v>
      </c>
      <c r="K3" s="42">
        <f>Generator!H4</f>
        <v>11145</v>
      </c>
      <c r="L3" s="31">
        <f>Generator!L4</f>
        <v>9387</v>
      </c>
      <c r="M3" s="31">
        <f>Generator!P4</f>
        <v>5034</v>
      </c>
      <c r="N3" s="31">
        <f>Generator!T4</f>
        <v>5851</v>
      </c>
      <c r="O3" s="21">
        <f>SUM(Generator!C4,Generator!G4,Generator!K4,Generator!O4,Generator!S4)</f>
        <v>6884</v>
      </c>
      <c r="P3" s="21">
        <v>1.51</v>
      </c>
      <c r="Q3" s="21"/>
      <c r="R3" s="21">
        <v>1.84</v>
      </c>
      <c r="S3" s="30">
        <f>'RO Plant'!B3</f>
        <v>59</v>
      </c>
      <c r="T3" s="30">
        <f>'RO Plant'!M3</f>
        <v>97</v>
      </c>
      <c r="U3" s="20">
        <f>'RO Plant'!F3</f>
        <v>50</v>
      </c>
      <c r="V3" s="30">
        <f>'RO Plant'!I3</f>
        <v>76</v>
      </c>
      <c r="W3" s="95">
        <f>'RO Plant'!G3</f>
        <v>0</v>
      </c>
      <c r="X3" s="206" t="s">
        <v>59</v>
      </c>
      <c r="Y3" s="207"/>
      <c r="Z3" s="208"/>
      <c r="AA3" s="48">
        <f>AB3-AC3</f>
        <v>122</v>
      </c>
      <c r="AB3" s="102">
        <v>43037</v>
      </c>
      <c r="AC3" s="48">
        <v>42915</v>
      </c>
      <c r="AD3" s="183">
        <v>44804</v>
      </c>
    </row>
    <row r="4" spans="1:30" ht="12.75" customHeight="1">
      <c r="A4" s="172">
        <v>44806</v>
      </c>
      <c r="B4" s="43">
        <v>67.099999999999994</v>
      </c>
      <c r="C4" s="43">
        <v>345</v>
      </c>
      <c r="D4" s="109">
        <f>'EMS Gridvis'!B3</f>
        <v>2.79</v>
      </c>
      <c r="E4" s="110">
        <f>'EMS Gridvis'!C3</f>
        <v>4.04</v>
      </c>
      <c r="F4" s="110">
        <f>'EMS Gridvis'!D3</f>
        <v>4.9800000000000004</v>
      </c>
      <c r="G4" s="110">
        <f>'EMS Gridvis'!H3</f>
        <v>1.19</v>
      </c>
      <c r="H4" s="110">
        <f>'EMS Gridvis'!I3</f>
        <v>1.51</v>
      </c>
      <c r="I4" s="110">
        <f>'EMS Gridvis'!J3</f>
        <v>3.67</v>
      </c>
      <c r="J4" s="46">
        <f>Generator!D5</f>
        <v>0</v>
      </c>
      <c r="K4" s="42">
        <f>Generator!H5</f>
        <v>5427</v>
      </c>
      <c r="L4" s="31">
        <f>Generator!L5</f>
        <v>9988</v>
      </c>
      <c r="M4" s="31">
        <f>Generator!P5</f>
        <v>227</v>
      </c>
      <c r="N4" s="31">
        <f>Generator!T5</f>
        <v>7017</v>
      </c>
      <c r="O4" s="21">
        <f>SUM(Generator!C5,Generator!G5,Generator!K5,Generator!O5,Generator!S5)</f>
        <v>4847</v>
      </c>
      <c r="P4" s="21">
        <v>1.51</v>
      </c>
      <c r="Q4" s="21"/>
      <c r="R4" s="21">
        <f>R3</f>
        <v>1.84</v>
      </c>
      <c r="S4" s="30">
        <f>'RO Plant'!B4</f>
        <v>52</v>
      </c>
      <c r="T4" s="30">
        <f>'RO Plant'!M4</f>
        <v>126</v>
      </c>
      <c r="U4" s="20">
        <f>'RO Plant'!F4</f>
        <v>77</v>
      </c>
      <c r="V4" s="30">
        <f>'RO Plant'!I4</f>
        <v>92</v>
      </c>
      <c r="W4" s="95">
        <f>'RO Plant'!G4</f>
        <v>0</v>
      </c>
      <c r="X4" s="89" t="s">
        <v>60</v>
      </c>
      <c r="Y4" s="33" t="s">
        <v>61</v>
      </c>
      <c r="Z4" s="105" t="s">
        <v>62</v>
      </c>
      <c r="AA4" s="48">
        <f>AB4-AB3</f>
        <v>153</v>
      </c>
      <c r="AB4" s="95">
        <v>43190</v>
      </c>
      <c r="AC4" s="48"/>
    </row>
    <row r="5" spans="1:30" ht="12.75">
      <c r="A5" s="172">
        <v>44807</v>
      </c>
      <c r="B5" s="43">
        <v>65.8</v>
      </c>
      <c r="C5" s="43">
        <v>389</v>
      </c>
      <c r="D5" s="109">
        <f>'EMS Gridvis'!B4</f>
        <v>2.8</v>
      </c>
      <c r="E5" s="110">
        <f>'EMS Gridvis'!C4</f>
        <v>3.9</v>
      </c>
      <c r="F5" s="110">
        <f>'EMS Gridvis'!D4</f>
        <v>5.08</v>
      </c>
      <c r="G5" s="110">
        <f>'EMS Gridvis'!H4</f>
        <v>1.22</v>
      </c>
      <c r="H5" s="110">
        <f>'EMS Gridvis'!I4</f>
        <v>1.46</v>
      </c>
      <c r="I5" s="110">
        <f>'EMS Gridvis'!J4</f>
        <v>3.56</v>
      </c>
      <c r="J5" s="46">
        <f>Generator!D6</f>
        <v>5243</v>
      </c>
      <c r="K5" s="42">
        <f>Generator!H6</f>
        <v>10249</v>
      </c>
      <c r="L5" s="31">
        <f>Generator!L6</f>
        <v>9186</v>
      </c>
      <c r="M5" s="31">
        <f>Generator!P6</f>
        <v>6498</v>
      </c>
      <c r="N5" s="31">
        <f>Generator!T6</f>
        <v>0</v>
      </c>
      <c r="O5" s="21">
        <f>SUM(Generator!C6,Generator!G6,Generator!K6,Generator!O6,Generator!S6)</f>
        <v>7114</v>
      </c>
      <c r="P5" s="21">
        <v>1.51</v>
      </c>
      <c r="Q5" s="21"/>
      <c r="R5" s="21">
        <f t="shared" ref="R5:R33" si="0">R4</f>
        <v>1.84</v>
      </c>
      <c r="S5" s="30">
        <f>'RO Plant'!B5</f>
        <v>36</v>
      </c>
      <c r="T5" s="30">
        <f>'RO Plant'!M5</f>
        <v>119</v>
      </c>
      <c r="U5" s="20">
        <f>'RO Plant'!F5</f>
        <v>67</v>
      </c>
      <c r="V5" s="30">
        <f>'RO Plant'!I5</f>
        <v>96</v>
      </c>
      <c r="W5" s="95">
        <f>'RO Plant'!G5</f>
        <v>0</v>
      </c>
      <c r="X5" s="90">
        <v>9</v>
      </c>
      <c r="Y5" s="107">
        <v>0</v>
      </c>
      <c r="Z5" s="100">
        <f>X5*Y5</f>
        <v>0</v>
      </c>
      <c r="AA5" s="48">
        <f t="shared" ref="AA5:AA32" si="1">AB5-AB4</f>
        <v>108</v>
      </c>
      <c r="AB5" s="95">
        <v>43298</v>
      </c>
      <c r="AC5" s="48"/>
    </row>
    <row r="6" spans="1:30" ht="12.75">
      <c r="A6" s="172">
        <v>44808</v>
      </c>
      <c r="B6" s="43">
        <v>63.2</v>
      </c>
      <c r="C6" s="43">
        <v>389</v>
      </c>
      <c r="D6" s="109">
        <f>'EMS Gridvis'!B5</f>
        <v>2.68</v>
      </c>
      <c r="E6" s="110">
        <f>'EMS Gridvis'!C5</f>
        <v>3.97</v>
      </c>
      <c r="F6" s="110">
        <f>'EMS Gridvis'!D5</f>
        <v>4.92</v>
      </c>
      <c r="G6" s="110">
        <f>'EMS Gridvis'!H5</f>
        <v>1.25</v>
      </c>
      <c r="H6" s="110">
        <f>'EMS Gridvis'!I5</f>
        <v>1.4</v>
      </c>
      <c r="I6" s="110">
        <f>'EMS Gridvis'!J5</f>
        <v>3.55</v>
      </c>
      <c r="J6" s="46">
        <f>Generator!D7</f>
        <v>0</v>
      </c>
      <c r="K6" s="42">
        <f>Generator!H7</f>
        <v>8561</v>
      </c>
      <c r="L6" s="31">
        <f>Generator!L7</f>
        <v>9841</v>
      </c>
      <c r="M6" s="31">
        <f>Generator!P7</f>
        <v>5563</v>
      </c>
      <c r="N6" s="31">
        <f>Generator!T7</f>
        <v>6333</v>
      </c>
      <c r="O6" s="21">
        <f>SUM(Generator!C7,Generator!G7,Generator!K7,Generator!O7,Generator!S7)</f>
        <v>6819</v>
      </c>
      <c r="P6" s="21">
        <v>1.51</v>
      </c>
      <c r="Q6" s="21"/>
      <c r="R6" s="21">
        <f t="shared" si="0"/>
        <v>1.84</v>
      </c>
      <c r="S6" s="30">
        <f>'RO Plant'!B6</f>
        <v>75</v>
      </c>
      <c r="T6" s="30">
        <f>'RO Plant'!M6</f>
        <v>136</v>
      </c>
      <c r="U6" s="20">
        <f>'RO Plant'!F6</f>
        <v>54</v>
      </c>
      <c r="V6" s="30">
        <f>'RO Plant'!I6</f>
        <v>92</v>
      </c>
      <c r="W6" s="95">
        <f>'RO Plant'!G6</f>
        <v>0</v>
      </c>
      <c r="X6" s="90">
        <v>10</v>
      </c>
      <c r="Y6" s="107">
        <v>0</v>
      </c>
      <c r="Z6" s="100">
        <f t="shared" ref="Z6:Z9" si="2">X6*Y6</f>
        <v>0</v>
      </c>
      <c r="AA6" s="48">
        <f t="shared" si="1"/>
        <v>118</v>
      </c>
      <c r="AB6" s="95">
        <v>43416</v>
      </c>
      <c r="AC6" s="48"/>
    </row>
    <row r="7" spans="1:30" ht="12.75">
      <c r="A7" s="172">
        <v>44809</v>
      </c>
      <c r="B7" s="43">
        <v>64.5</v>
      </c>
      <c r="C7" s="43">
        <v>331</v>
      </c>
      <c r="D7" s="109">
        <f>'EMS Gridvis'!B6</f>
        <v>2.62</v>
      </c>
      <c r="E7" s="110">
        <f>'EMS Gridvis'!C6</f>
        <v>4.03</v>
      </c>
      <c r="F7" s="110">
        <f>'EMS Gridvis'!D6</f>
        <v>4.9400000000000004</v>
      </c>
      <c r="G7" s="110">
        <f>'EMS Gridvis'!H6</f>
        <v>1.35</v>
      </c>
      <c r="H7" s="110">
        <f>'EMS Gridvis'!I6</f>
        <v>1.37</v>
      </c>
      <c r="I7" s="110">
        <f>'EMS Gridvis'!J6</f>
        <v>3.91</v>
      </c>
      <c r="J7" s="46">
        <f>Generator!D8</f>
        <v>9983</v>
      </c>
      <c r="K7" s="42">
        <f>Generator!H8</f>
        <v>5254</v>
      </c>
      <c r="L7" s="31">
        <f>Generator!L8</f>
        <v>10539</v>
      </c>
      <c r="M7" s="31">
        <f>Generator!P8</f>
        <v>6832</v>
      </c>
      <c r="N7" s="31">
        <f>Generator!T8</f>
        <v>0</v>
      </c>
      <c r="O7" s="21">
        <f>SUM(Generator!C8,Generator!G8,Generator!K8,Generator!O8,Generator!S8)</f>
        <v>7251</v>
      </c>
      <c r="P7" s="21">
        <v>1.51</v>
      </c>
      <c r="Q7" s="21"/>
      <c r="R7" s="21">
        <f t="shared" si="0"/>
        <v>1.84</v>
      </c>
      <c r="S7" s="30">
        <f>'RO Plant'!B7</f>
        <v>45</v>
      </c>
      <c r="T7" s="30">
        <f>'RO Plant'!M7</f>
        <v>124</v>
      </c>
      <c r="U7" s="20">
        <f>'RO Plant'!F7</f>
        <v>75</v>
      </c>
      <c r="V7" s="30">
        <f>'RO Plant'!I7</f>
        <v>90</v>
      </c>
      <c r="W7" s="95">
        <f>'RO Plant'!G7</f>
        <v>0</v>
      </c>
      <c r="X7" s="91">
        <v>12</v>
      </c>
      <c r="Y7" s="108">
        <v>0</v>
      </c>
      <c r="Z7" s="163">
        <f t="shared" si="2"/>
        <v>0</v>
      </c>
      <c r="AA7" s="48">
        <f t="shared" si="1"/>
        <v>89</v>
      </c>
      <c r="AB7" s="95">
        <v>43505</v>
      </c>
      <c r="AC7" s="48"/>
    </row>
    <row r="8" spans="1:30" ht="12.75">
      <c r="A8" s="172">
        <v>44810</v>
      </c>
      <c r="B8" s="43">
        <v>63.2</v>
      </c>
      <c r="C8" s="43">
        <v>334</v>
      </c>
      <c r="D8" s="109">
        <f>'EMS Gridvis'!B7</f>
        <v>2.84</v>
      </c>
      <c r="E8" s="110">
        <f>'EMS Gridvis'!C7</f>
        <v>4.0199999999999996</v>
      </c>
      <c r="F8" s="110">
        <f>'EMS Gridvis'!D7</f>
        <v>5.14</v>
      </c>
      <c r="G8" s="110">
        <f>'EMS Gridvis'!H7</f>
        <v>1.35</v>
      </c>
      <c r="H8" s="110">
        <f>'EMS Gridvis'!I7</f>
        <v>1.59</v>
      </c>
      <c r="I8" s="110">
        <f>'EMS Gridvis'!J7</f>
        <v>4.05</v>
      </c>
      <c r="J8" s="46">
        <f>Generator!D9</f>
        <v>11001</v>
      </c>
      <c r="K8" s="42">
        <f>Generator!H9</f>
        <v>4936</v>
      </c>
      <c r="L8" s="31">
        <f>Generator!L9</f>
        <v>6155</v>
      </c>
      <c r="M8" s="31">
        <f>Generator!P9</f>
        <v>0</v>
      </c>
      <c r="N8" s="31">
        <f>Generator!T9</f>
        <v>11089</v>
      </c>
      <c r="O8" s="21">
        <f>SUM(Generator!C9,Generator!G9,Generator!K9,Generator!O9,Generator!S9)</f>
        <v>7392</v>
      </c>
      <c r="P8" s="21">
        <v>1.51</v>
      </c>
      <c r="Q8" s="21"/>
      <c r="R8" s="21">
        <f t="shared" si="0"/>
        <v>1.84</v>
      </c>
      <c r="S8" s="30">
        <f>'RO Plant'!B8</f>
        <v>58</v>
      </c>
      <c r="T8" s="30">
        <f>'RO Plant'!M8</f>
        <v>127</v>
      </c>
      <c r="U8" s="20">
        <f>'RO Plant'!F8</f>
        <v>59</v>
      </c>
      <c r="V8" s="30">
        <f>'RO Plant'!I8</f>
        <v>65</v>
      </c>
      <c r="W8" s="95">
        <f>'RO Plant'!G8</f>
        <v>0</v>
      </c>
      <c r="X8" s="61">
        <v>20</v>
      </c>
      <c r="Y8" s="108">
        <v>0</v>
      </c>
      <c r="Z8" s="100">
        <f t="shared" si="2"/>
        <v>0</v>
      </c>
      <c r="AA8" s="48">
        <f t="shared" si="1"/>
        <v>157</v>
      </c>
      <c r="AB8" s="95">
        <v>43662</v>
      </c>
      <c r="AC8" s="48"/>
    </row>
    <row r="9" spans="1:30" ht="15" customHeight="1">
      <c r="A9" s="172">
        <v>44811</v>
      </c>
      <c r="B9" s="43">
        <v>66.2</v>
      </c>
      <c r="C9" s="43">
        <v>368</v>
      </c>
      <c r="D9" s="109">
        <f>'EMS Gridvis'!B8</f>
        <v>2.77</v>
      </c>
      <c r="E9" s="110">
        <f>'EMS Gridvis'!C8</f>
        <v>3.94</v>
      </c>
      <c r="F9" s="110">
        <f>'EMS Gridvis'!D8</f>
        <v>5.3</v>
      </c>
      <c r="G9" s="110">
        <f>'EMS Gridvis'!H8</f>
        <v>1.34</v>
      </c>
      <c r="H9" s="110">
        <f>'EMS Gridvis'!I8</f>
        <v>1.53</v>
      </c>
      <c r="I9" s="110">
        <f>'EMS Gridvis'!J8</f>
        <v>4.03</v>
      </c>
      <c r="J9" s="46">
        <f>Generator!D10</f>
        <v>8993</v>
      </c>
      <c r="K9" s="42">
        <f>Generator!H10</f>
        <v>5031</v>
      </c>
      <c r="L9" s="31">
        <f>Generator!L10</f>
        <v>5523</v>
      </c>
      <c r="M9" s="31">
        <f>Generator!P10</f>
        <v>0</v>
      </c>
      <c r="N9" s="31">
        <f>Generator!T10</f>
        <v>9113</v>
      </c>
      <c r="O9" s="21">
        <f>SUM(Generator!C10,Generator!G10,Generator!K10,Generator!O10,Generator!S10)</f>
        <v>6050</v>
      </c>
      <c r="P9" s="21">
        <v>1.51</v>
      </c>
      <c r="Q9" s="21"/>
      <c r="R9" s="21">
        <f t="shared" si="0"/>
        <v>1.84</v>
      </c>
      <c r="S9" s="30">
        <f>'RO Plant'!B9</f>
        <v>57</v>
      </c>
      <c r="T9" s="30">
        <f>'RO Plant'!M9</f>
        <v>138</v>
      </c>
      <c r="U9" s="20">
        <f>'RO Plant'!F9</f>
        <v>46</v>
      </c>
      <c r="V9" s="30">
        <f>'RO Plant'!I9</f>
        <v>98</v>
      </c>
      <c r="W9" s="95">
        <f>'RO Plant'!G9</f>
        <v>0</v>
      </c>
      <c r="X9" s="61">
        <v>24</v>
      </c>
      <c r="Y9" s="108">
        <v>48</v>
      </c>
      <c r="Z9" s="100">
        <f t="shared" si="2"/>
        <v>1152</v>
      </c>
      <c r="AA9" s="48">
        <f t="shared" si="1"/>
        <v>174</v>
      </c>
      <c r="AB9" s="95">
        <v>43836</v>
      </c>
      <c r="AC9" s="48"/>
    </row>
    <row r="10" spans="1:30" ht="15.75" customHeight="1">
      <c r="A10" s="172">
        <v>44812</v>
      </c>
      <c r="B10" s="43">
        <v>66.2</v>
      </c>
      <c r="C10" s="43">
        <v>333</v>
      </c>
      <c r="D10" s="109">
        <f>'EMS Gridvis'!B9</f>
        <v>2.61</v>
      </c>
      <c r="E10" s="110">
        <f>'EMS Gridvis'!C9</f>
        <v>3.66</v>
      </c>
      <c r="F10" s="110">
        <f>'EMS Gridvis'!D9</f>
        <v>5.19</v>
      </c>
      <c r="G10" s="110">
        <f>'EMS Gridvis'!H9</f>
        <v>1.32</v>
      </c>
      <c r="H10" s="110">
        <f>'EMS Gridvis'!I9</f>
        <v>1.54</v>
      </c>
      <c r="I10" s="110">
        <f>'EMS Gridvis'!J9</f>
        <v>3.98</v>
      </c>
      <c r="J10" s="46">
        <f>Generator!D11</f>
        <v>13400</v>
      </c>
      <c r="K10" s="42">
        <f>Generator!H11</f>
        <v>4187</v>
      </c>
      <c r="L10" s="31">
        <f>Generator!L11</f>
        <v>4236</v>
      </c>
      <c r="M10" s="31">
        <f>Generator!P11</f>
        <v>0</v>
      </c>
      <c r="N10" s="31">
        <f>Generator!T11</f>
        <v>11270</v>
      </c>
      <c r="O10" s="21">
        <f>SUM(Generator!C11,Generator!G11,Generator!K11,Generator!O11,Generator!S11)</f>
        <v>7315</v>
      </c>
      <c r="P10" s="21">
        <v>1.51</v>
      </c>
      <c r="Q10" s="21"/>
      <c r="R10" s="21">
        <f>25.21/13.6813</f>
        <v>1.8426611506216515</v>
      </c>
      <c r="S10" s="30">
        <f>'RO Plant'!B10</f>
        <v>61</v>
      </c>
      <c r="T10" s="30">
        <f>'RO Plant'!M10</f>
        <v>143</v>
      </c>
      <c r="U10" s="20">
        <f>'RO Plant'!F10</f>
        <v>0</v>
      </c>
      <c r="V10" s="30">
        <f>'RO Plant'!I10</f>
        <v>112</v>
      </c>
      <c r="W10" s="95">
        <f>'RO Plant'!G10</f>
        <v>38</v>
      </c>
      <c r="X10" s="92"/>
      <c r="Y10" s="60" t="s">
        <v>63</v>
      </c>
      <c r="Z10" s="61">
        <f>SUM(Z5:Z9)</f>
        <v>1152</v>
      </c>
      <c r="AA10" s="48">
        <f t="shared" si="1"/>
        <v>143</v>
      </c>
      <c r="AB10" s="95">
        <v>43979</v>
      </c>
      <c r="AC10" s="48"/>
    </row>
    <row r="11" spans="1:30" ht="15" customHeight="1">
      <c r="A11" s="172">
        <v>44813</v>
      </c>
      <c r="B11" s="43">
        <v>70.099999999999994</v>
      </c>
      <c r="C11" s="43">
        <v>349</v>
      </c>
      <c r="D11" s="109">
        <f>'EMS Gridvis'!B10</f>
        <v>2.6</v>
      </c>
      <c r="E11" s="110">
        <f>'EMS Gridvis'!C10</f>
        <v>3.88</v>
      </c>
      <c r="F11" s="110">
        <f>'EMS Gridvis'!D10</f>
        <v>4.9800000000000004</v>
      </c>
      <c r="G11" s="110">
        <f>'EMS Gridvis'!H10</f>
        <v>1.31</v>
      </c>
      <c r="H11" s="110">
        <f>'EMS Gridvis'!I10</f>
        <v>1.5</v>
      </c>
      <c r="I11" s="110">
        <f>'EMS Gridvis'!J10</f>
        <v>3.85</v>
      </c>
      <c r="J11" s="46">
        <f>Generator!D12</f>
        <v>10915</v>
      </c>
      <c r="K11" s="42">
        <f>Generator!H12</f>
        <v>9533</v>
      </c>
      <c r="L11" s="31">
        <f>Generator!L12</f>
        <v>8669</v>
      </c>
      <c r="M11" s="31">
        <f>Generator!P12</f>
        <v>0</v>
      </c>
      <c r="N11" s="31">
        <f>Generator!T12</f>
        <v>2255</v>
      </c>
      <c r="O11" s="21">
        <f>SUM(Generator!C12,Generator!G12,Generator!K12,Generator!O12,Generator!S12)</f>
        <v>6632</v>
      </c>
      <c r="P11" s="21">
        <v>1.51</v>
      </c>
      <c r="Q11" s="21"/>
      <c r="R11" s="21">
        <f t="shared" si="0"/>
        <v>1.8426611506216515</v>
      </c>
      <c r="S11" s="30">
        <f>'RO Plant'!B11</f>
        <v>59</v>
      </c>
      <c r="T11" s="30">
        <f>'RO Plant'!M11</f>
        <v>99</v>
      </c>
      <c r="U11" s="20">
        <f>'RO Plant'!F11</f>
        <v>67</v>
      </c>
      <c r="V11" s="30">
        <f>'RO Plant'!I11</f>
        <v>101</v>
      </c>
      <c r="W11" s="95">
        <f>'RO Plant'!G11</f>
        <v>0</v>
      </c>
      <c r="X11" s="209" t="s">
        <v>64</v>
      </c>
      <c r="Y11" s="210"/>
      <c r="Z11" s="211"/>
      <c r="AA11" s="48">
        <f>AB11-AB10</f>
        <v>208</v>
      </c>
      <c r="AB11" s="95">
        <v>44187</v>
      </c>
      <c r="AC11" s="48"/>
    </row>
    <row r="12" spans="1:30" ht="15" customHeight="1">
      <c r="A12" s="172">
        <v>44814</v>
      </c>
      <c r="B12" s="43">
        <v>57.1</v>
      </c>
      <c r="C12" s="43">
        <v>320</v>
      </c>
      <c r="D12" s="109">
        <f>'EMS Gridvis'!B11</f>
        <v>2.66</v>
      </c>
      <c r="E12" s="110">
        <f>'EMS Gridvis'!C11</f>
        <v>4.33</v>
      </c>
      <c r="F12" s="110">
        <f>'EMS Gridvis'!D11</f>
        <v>5.38</v>
      </c>
      <c r="G12" s="110">
        <f>'EMS Gridvis'!H11</f>
        <v>1.27</v>
      </c>
      <c r="H12" s="110">
        <f>'EMS Gridvis'!I11</f>
        <v>1.6</v>
      </c>
      <c r="I12" s="110">
        <f>'EMS Gridvis'!J11</f>
        <v>3.83</v>
      </c>
      <c r="J12" s="46">
        <f>Generator!D13</f>
        <v>7215</v>
      </c>
      <c r="K12" s="42">
        <f>Generator!H13</f>
        <v>11630</v>
      </c>
      <c r="L12" s="31">
        <f>Generator!L13</f>
        <v>3527</v>
      </c>
      <c r="M12" s="31">
        <f>Generator!P13</f>
        <v>0</v>
      </c>
      <c r="N12" s="31">
        <f>Generator!T13</f>
        <v>10138</v>
      </c>
      <c r="O12" s="21">
        <f>SUM(Generator!C13,Generator!G13,Generator!K13,Generator!O13,Generator!S13)</f>
        <v>7223</v>
      </c>
      <c r="P12" s="21">
        <v>1.51</v>
      </c>
      <c r="Q12" s="21"/>
      <c r="R12" s="21">
        <f t="shared" si="0"/>
        <v>1.8426611506216515</v>
      </c>
      <c r="S12" s="30">
        <f>'RO Plant'!B12</f>
        <v>56</v>
      </c>
      <c r="T12" s="30">
        <f>'RO Plant'!M12</f>
        <v>106</v>
      </c>
      <c r="U12" s="20">
        <f>'RO Plant'!F12</f>
        <v>71</v>
      </c>
      <c r="V12" s="30">
        <f>'RO Plant'!I12</f>
        <v>74</v>
      </c>
      <c r="W12" s="95">
        <f>'RO Plant'!G12</f>
        <v>0</v>
      </c>
      <c r="X12" s="93"/>
      <c r="Y12" s="212" t="s">
        <v>65</v>
      </c>
      <c r="Z12" s="213"/>
      <c r="AA12" s="48">
        <f t="shared" si="1"/>
        <v>167</v>
      </c>
      <c r="AB12" s="95">
        <v>44354</v>
      </c>
      <c r="AC12" s="48"/>
    </row>
    <row r="13" spans="1:30" ht="15" customHeight="1">
      <c r="A13" s="172">
        <v>44815</v>
      </c>
      <c r="B13" s="43">
        <v>40.299999999999997</v>
      </c>
      <c r="C13" s="43">
        <v>264</v>
      </c>
      <c r="D13" s="109">
        <f>'EMS Gridvis'!B12</f>
        <v>2.08</v>
      </c>
      <c r="E13" s="110">
        <f>'EMS Gridvis'!C12</f>
        <v>3.78</v>
      </c>
      <c r="F13" s="110">
        <f>'EMS Gridvis'!D12</f>
        <v>4.84</v>
      </c>
      <c r="G13" s="110">
        <f>'EMS Gridvis'!H12</f>
        <v>1.22</v>
      </c>
      <c r="H13" s="110">
        <f>'EMS Gridvis'!I12</f>
        <v>1.52</v>
      </c>
      <c r="I13" s="110">
        <f>'EMS Gridvis'!J12</f>
        <v>3.58</v>
      </c>
      <c r="J13" s="46">
        <f>Generator!D14</f>
        <v>8676</v>
      </c>
      <c r="K13" s="42">
        <f>Generator!H14</f>
        <v>6091</v>
      </c>
      <c r="L13" s="31">
        <f>Generator!L14</f>
        <v>8629</v>
      </c>
      <c r="M13" s="31">
        <f>Generator!P14</f>
        <v>0</v>
      </c>
      <c r="N13" s="31">
        <f>Generator!T14</f>
        <v>0</v>
      </c>
      <c r="O13" s="21">
        <f>SUM(Generator!C14,Generator!G14,Generator!K14,Generator!O14,Generator!S14)</f>
        <v>5114</v>
      </c>
      <c r="P13" s="21">
        <v>1.51</v>
      </c>
      <c r="Q13" s="21"/>
      <c r="R13" s="21">
        <f t="shared" si="0"/>
        <v>1.8426611506216515</v>
      </c>
      <c r="S13" s="30">
        <f>'RO Plant'!B13</f>
        <v>49</v>
      </c>
      <c r="T13" s="30">
        <f>'RO Plant'!M13</f>
        <v>119</v>
      </c>
      <c r="U13" s="20">
        <f>'RO Plant'!F13</f>
        <v>54</v>
      </c>
      <c r="V13" s="30">
        <f>'RO Plant'!I13</f>
        <v>11</v>
      </c>
      <c r="W13" s="95">
        <f>'RO Plant'!G13</f>
        <v>0</v>
      </c>
      <c r="X13" s="94" t="s">
        <v>66</v>
      </c>
      <c r="Y13" s="193">
        <v>5900</v>
      </c>
      <c r="Z13" s="194"/>
      <c r="AA13" s="48">
        <f t="shared" si="1"/>
        <v>128</v>
      </c>
      <c r="AB13" s="95">
        <v>44482</v>
      </c>
      <c r="AC13" s="48"/>
    </row>
    <row r="14" spans="1:30" ht="15" customHeight="1">
      <c r="A14" s="172">
        <v>44816</v>
      </c>
      <c r="B14" s="43">
        <v>26</v>
      </c>
      <c r="C14" s="43">
        <v>190</v>
      </c>
      <c r="D14" s="109">
        <f>'EMS Gridvis'!B13</f>
        <v>2.2000000000000002</v>
      </c>
      <c r="E14" s="110">
        <f>'EMS Gridvis'!C13</f>
        <v>3.65</v>
      </c>
      <c r="F14" s="110">
        <f>'EMS Gridvis'!D13</f>
        <v>4.75</v>
      </c>
      <c r="G14" s="110">
        <f>'EMS Gridvis'!H13</f>
        <v>1.31</v>
      </c>
      <c r="H14" s="110">
        <f>'EMS Gridvis'!I13</f>
        <v>1.6</v>
      </c>
      <c r="I14" s="110">
        <f>'EMS Gridvis'!J13</f>
        <v>3.81</v>
      </c>
      <c r="J14" s="46">
        <f>Generator!D15</f>
        <v>9849</v>
      </c>
      <c r="K14" s="42">
        <f>Generator!H15</f>
        <v>10610</v>
      </c>
      <c r="L14" s="31">
        <f>Generator!L15</f>
        <v>10278</v>
      </c>
      <c r="M14" s="31">
        <f>Generator!P15</f>
        <v>0</v>
      </c>
      <c r="N14" s="31">
        <f>Generator!T15</f>
        <v>9645</v>
      </c>
      <c r="O14" s="21">
        <f>SUM(Generator!C15,Generator!G15,Generator!K15,Generator!O15,Generator!S15)</f>
        <v>8804</v>
      </c>
      <c r="P14" s="21">
        <v>1.51</v>
      </c>
      <c r="Q14" s="21"/>
      <c r="R14" s="21">
        <f t="shared" si="0"/>
        <v>1.8426611506216515</v>
      </c>
      <c r="S14" s="30">
        <f>'RO Plant'!B14</f>
        <v>55</v>
      </c>
      <c r="T14" s="30">
        <f>'RO Plant'!M14</f>
        <v>107</v>
      </c>
      <c r="U14" s="20">
        <f>'RO Plant'!F14</f>
        <v>73</v>
      </c>
      <c r="V14" s="30">
        <f>'RO Plant'!I14</f>
        <v>3</v>
      </c>
      <c r="W14" s="95">
        <f>'RO Plant'!G14</f>
        <v>0</v>
      </c>
      <c r="X14" s="94" t="s">
        <v>67</v>
      </c>
      <c r="Y14" s="195">
        <v>2520</v>
      </c>
      <c r="Z14" s="196"/>
      <c r="AA14" s="48">
        <f t="shared" si="1"/>
        <v>167</v>
      </c>
      <c r="AB14" s="95">
        <v>44649</v>
      </c>
      <c r="AC14" s="48"/>
    </row>
    <row r="15" spans="1:30" ht="15">
      <c r="A15" s="172">
        <v>44817</v>
      </c>
      <c r="B15" s="159">
        <v>61</v>
      </c>
      <c r="C15" s="159">
        <v>156</v>
      </c>
      <c r="D15" s="109">
        <f>'EMS Gridvis'!B14</f>
        <v>2.2200000000000002</v>
      </c>
      <c r="E15" s="110">
        <f>'EMS Gridvis'!C14</f>
        <v>3.78</v>
      </c>
      <c r="F15" s="110">
        <f>'EMS Gridvis'!D14</f>
        <v>4.9400000000000004</v>
      </c>
      <c r="G15" s="110">
        <f>'EMS Gridvis'!H14</f>
        <v>1.3</v>
      </c>
      <c r="H15" s="110">
        <f>'EMS Gridvis'!I14</f>
        <v>1.57</v>
      </c>
      <c r="I15" s="110">
        <f>'EMS Gridvis'!J14</f>
        <v>3.94</v>
      </c>
      <c r="J15" s="152">
        <f>Generator!D16</f>
        <v>9921</v>
      </c>
      <c r="K15" s="153">
        <f>Generator!H16</f>
        <v>5495</v>
      </c>
      <c r="L15" s="154">
        <f>Generator!L16</f>
        <v>8239</v>
      </c>
      <c r="M15" s="154">
        <f>Generator!P16</f>
        <v>0</v>
      </c>
      <c r="N15" s="154">
        <f>Generator!T16</f>
        <v>5472</v>
      </c>
      <c r="O15" s="155">
        <f>SUM(Generator!C16,Generator!G16,Generator!K16,Generator!O16,Generator!S16)</f>
        <v>6336</v>
      </c>
      <c r="P15" s="21">
        <v>1.51</v>
      </c>
      <c r="Q15" s="155"/>
      <c r="R15" s="155">
        <f t="shared" si="0"/>
        <v>1.8426611506216515</v>
      </c>
      <c r="S15" s="54">
        <f>'RO Plant'!B15</f>
        <v>54</v>
      </c>
      <c r="T15" s="54">
        <f>'RO Plant'!M15</f>
        <v>154</v>
      </c>
      <c r="U15" s="55">
        <f>'RO Plant'!F15</f>
        <v>52</v>
      </c>
      <c r="V15" s="54">
        <f>'RO Plant'!I15</f>
        <v>71</v>
      </c>
      <c r="W15" s="101">
        <f>'RO Plant'!G15</f>
        <v>0</v>
      </c>
      <c r="X15" s="103"/>
      <c r="Y15" s="104" t="s">
        <v>63</v>
      </c>
      <c r="Z15" s="106">
        <f>SUM(Y13:Z14)</f>
        <v>8420</v>
      </c>
      <c r="AA15" s="156">
        <f t="shared" si="1"/>
        <v>122</v>
      </c>
      <c r="AB15" s="101">
        <v>44771</v>
      </c>
      <c r="AC15" s="48"/>
    </row>
    <row r="16" spans="1:30" ht="15" customHeight="1">
      <c r="A16" s="172">
        <v>44818</v>
      </c>
      <c r="B16" s="39">
        <v>62.3</v>
      </c>
      <c r="C16" s="39">
        <v>244</v>
      </c>
      <c r="D16" s="109">
        <f>'EMS Gridvis'!B15</f>
        <v>2.2400000000000002</v>
      </c>
      <c r="E16" s="110">
        <f>'EMS Gridvis'!C15</f>
        <v>3.92</v>
      </c>
      <c r="F16" s="110">
        <f>'EMS Gridvis'!D15</f>
        <v>5.01</v>
      </c>
      <c r="G16" s="110">
        <f>'EMS Gridvis'!H15</f>
        <v>1.37</v>
      </c>
      <c r="H16" s="110">
        <f>'EMS Gridvis'!I15</f>
        <v>1.58</v>
      </c>
      <c r="I16" s="110">
        <f>'EMS Gridvis'!J15</f>
        <v>3.9</v>
      </c>
      <c r="J16" s="157">
        <f>Generator!D17</f>
        <v>8288</v>
      </c>
      <c r="K16" s="157">
        <f>Generator!H17</f>
        <v>7928</v>
      </c>
      <c r="L16" s="157">
        <f>Generator!L17</f>
        <v>0</v>
      </c>
      <c r="M16" s="157">
        <f>Generator!P17</f>
        <v>0</v>
      </c>
      <c r="N16" s="157">
        <f>Generator!T17</f>
        <v>7921</v>
      </c>
      <c r="O16" s="158">
        <f>SUM(Generator!C17,Generator!G17,Generator!K17,Generator!O17,Generator!S17)</f>
        <v>5099</v>
      </c>
      <c r="P16" s="21">
        <v>1.51</v>
      </c>
      <c r="Q16" s="158"/>
      <c r="R16" s="158">
        <f t="shared" si="0"/>
        <v>1.8426611506216515</v>
      </c>
      <c r="S16" s="52">
        <f>'RO Plant'!B16</f>
        <v>55</v>
      </c>
      <c r="T16" s="52">
        <f>'RO Plant'!M16</f>
        <v>92</v>
      </c>
      <c r="U16" s="48">
        <f>'RO Plant'!F16</f>
        <v>66</v>
      </c>
      <c r="V16" s="52">
        <f>'RO Plant'!I16</f>
        <v>107</v>
      </c>
      <c r="W16" s="95">
        <f>'RO Plant'!G16</f>
        <v>0</v>
      </c>
      <c r="X16" s="197"/>
      <c r="Y16" s="198"/>
      <c r="Z16" s="199"/>
      <c r="AA16" s="178">
        <f t="shared" si="1"/>
        <v>173</v>
      </c>
      <c r="AB16" s="95">
        <v>44944</v>
      </c>
      <c r="AC16" s="48"/>
    </row>
    <row r="17" spans="1:29" ht="15" customHeight="1">
      <c r="A17" s="172">
        <v>44819</v>
      </c>
      <c r="B17" s="39">
        <v>28.6</v>
      </c>
      <c r="C17" s="39">
        <v>214</v>
      </c>
      <c r="D17" s="109">
        <f>'EMS Gridvis'!B16</f>
        <v>2.2799999999999998</v>
      </c>
      <c r="E17" s="110">
        <f>'EMS Gridvis'!C16</f>
        <v>4.0199999999999996</v>
      </c>
      <c r="F17" s="110">
        <f>'EMS Gridvis'!D16</f>
        <v>5.1100000000000003</v>
      </c>
      <c r="G17" s="110">
        <f>'EMS Gridvis'!H16</f>
        <v>1.19</v>
      </c>
      <c r="H17" s="110">
        <f>'EMS Gridvis'!I16</f>
        <v>1.67</v>
      </c>
      <c r="I17" s="110">
        <f>'EMS Gridvis'!J16</f>
        <v>3.75</v>
      </c>
      <c r="J17" s="157">
        <f>Generator!D18</f>
        <v>10000</v>
      </c>
      <c r="K17" s="157">
        <f>Generator!H18</f>
        <v>8286</v>
      </c>
      <c r="L17" s="157">
        <f>Generator!L18</f>
        <v>7074</v>
      </c>
      <c r="M17" s="157">
        <f>Generator!P18</f>
        <v>0</v>
      </c>
      <c r="N17" s="157">
        <f>Generator!T18</f>
        <v>6490</v>
      </c>
      <c r="O17" s="158">
        <f>SUM(Generator!C18,Generator!G18,Generator!K18,Generator!O18,Generator!S18)</f>
        <v>6924</v>
      </c>
      <c r="P17" s="21">
        <v>1.51</v>
      </c>
      <c r="Q17" s="158"/>
      <c r="R17" s="158">
        <f t="shared" si="0"/>
        <v>1.8426611506216515</v>
      </c>
      <c r="S17" s="52">
        <f>'RO Plant'!B17</f>
        <v>56</v>
      </c>
      <c r="T17" s="52">
        <f>'RO Plant'!M17</f>
        <v>116</v>
      </c>
      <c r="U17" s="48">
        <f>'RO Plant'!F17</f>
        <v>55</v>
      </c>
      <c r="V17" s="52">
        <f>'RO Plant'!I17</f>
        <v>1</v>
      </c>
      <c r="W17" s="95">
        <f>'RO Plant'!G17</f>
        <v>0</v>
      </c>
      <c r="X17" s="200"/>
      <c r="Y17" s="201"/>
      <c r="Z17" s="202"/>
      <c r="AA17" s="178">
        <f t="shared" si="1"/>
        <v>114</v>
      </c>
      <c r="AB17" s="95">
        <v>45058</v>
      </c>
      <c r="AC17" s="48"/>
    </row>
    <row r="18" spans="1:29" ht="15" customHeight="1">
      <c r="A18" s="172">
        <v>44820</v>
      </c>
      <c r="B18" s="39">
        <v>39</v>
      </c>
      <c r="C18" s="39">
        <v>170</v>
      </c>
      <c r="D18" s="109">
        <f>'EMS Gridvis'!B17</f>
        <v>2.12</v>
      </c>
      <c r="E18" s="110">
        <f>'EMS Gridvis'!C17</f>
        <v>3.73</v>
      </c>
      <c r="F18" s="110">
        <f>'EMS Gridvis'!D17</f>
        <v>4.87</v>
      </c>
      <c r="G18" s="110">
        <f>'EMS Gridvis'!H17</f>
        <v>1.34</v>
      </c>
      <c r="H18" s="110">
        <f>'EMS Gridvis'!I17</f>
        <v>1.68</v>
      </c>
      <c r="I18" s="110">
        <f>'EMS Gridvis'!J17</f>
        <v>3.89</v>
      </c>
      <c r="J18" s="157">
        <f>Generator!D19</f>
        <v>5288</v>
      </c>
      <c r="K18" s="157">
        <f>Generator!H19</f>
        <v>10096</v>
      </c>
      <c r="L18" s="157">
        <f>Generator!L19</f>
        <v>5307</v>
      </c>
      <c r="M18" s="157">
        <f>Generator!P19</f>
        <v>0</v>
      </c>
      <c r="N18" s="157">
        <f>Generator!T19</f>
        <v>10026</v>
      </c>
      <c r="O18" s="158">
        <f>SUM(Generator!C19,Generator!G19,Generator!K19,Generator!O19,Generator!S19)</f>
        <v>6735</v>
      </c>
      <c r="P18" s="21">
        <v>1.51</v>
      </c>
      <c r="Q18" s="158"/>
      <c r="R18" s="158">
        <f t="shared" si="0"/>
        <v>1.8426611506216515</v>
      </c>
      <c r="S18" s="52">
        <f>'RO Plant'!B18</f>
        <v>49</v>
      </c>
      <c r="T18" s="52">
        <f>'RO Plant'!M18</f>
        <v>85</v>
      </c>
      <c r="U18" s="48">
        <f>'RO Plant'!F18</f>
        <v>76</v>
      </c>
      <c r="V18" s="52">
        <f>'RO Plant'!I18</f>
        <v>0</v>
      </c>
      <c r="W18" s="95">
        <f>'RO Plant'!G18</f>
        <v>0</v>
      </c>
      <c r="X18" s="200"/>
      <c r="Y18" s="201"/>
      <c r="Z18" s="202"/>
      <c r="AA18" s="178">
        <f t="shared" si="1"/>
        <v>89</v>
      </c>
      <c r="AB18" s="95">
        <v>45147</v>
      </c>
      <c r="AC18" s="48"/>
    </row>
    <row r="19" spans="1:29" ht="15" customHeight="1">
      <c r="A19" s="172">
        <v>44821</v>
      </c>
      <c r="B19" s="39">
        <v>53.2</v>
      </c>
      <c r="C19" s="39">
        <v>196</v>
      </c>
      <c r="D19" s="109">
        <f>'EMS Gridvis'!B18</f>
        <v>2.14</v>
      </c>
      <c r="E19" s="110">
        <f>'EMS Gridvis'!C18</f>
        <v>3.74</v>
      </c>
      <c r="F19" s="110">
        <f>'EMS Gridvis'!D18</f>
        <v>5.0599999999999996</v>
      </c>
      <c r="G19" s="110">
        <f>'EMS Gridvis'!H18</f>
        <v>1.33</v>
      </c>
      <c r="H19" s="110">
        <f>'EMS Gridvis'!I18</f>
        <v>1.65</v>
      </c>
      <c r="I19" s="110">
        <f>'EMS Gridvis'!J18</f>
        <v>3.71</v>
      </c>
      <c r="J19" s="157">
        <f>Generator!D20</f>
        <v>6713</v>
      </c>
      <c r="K19" s="157">
        <f>Generator!H20</f>
        <v>8955</v>
      </c>
      <c r="L19" s="157">
        <f>Generator!L20</f>
        <v>6680</v>
      </c>
      <c r="M19" s="157">
        <f>Generator!P20</f>
        <v>0</v>
      </c>
      <c r="N19" s="157">
        <f>Generator!T20</f>
        <v>9036</v>
      </c>
      <c r="O19" s="158">
        <f>SUM(Generator!C20,Generator!G20,Generator!K20,Generator!O20,Generator!S20)</f>
        <v>6968</v>
      </c>
      <c r="P19" s="21">
        <v>1.51</v>
      </c>
      <c r="Q19" s="158"/>
      <c r="R19" s="158">
        <f t="shared" si="0"/>
        <v>1.8426611506216515</v>
      </c>
      <c r="S19" s="52">
        <f>'RO Plant'!B19</f>
        <v>49</v>
      </c>
      <c r="T19" s="52">
        <f>'RO Plant'!M19</f>
        <v>124</v>
      </c>
      <c r="U19" s="48">
        <f>'RO Plant'!F19</f>
        <v>44</v>
      </c>
      <c r="V19" s="52">
        <f>'RO Plant'!I19</f>
        <v>30</v>
      </c>
      <c r="W19" s="95">
        <f>'RO Plant'!G19</f>
        <v>0</v>
      </c>
      <c r="X19" s="200"/>
      <c r="Y19" s="201"/>
      <c r="Z19" s="202"/>
      <c r="AA19" s="178">
        <f t="shared" si="1"/>
        <v>120</v>
      </c>
      <c r="AB19" s="95">
        <v>45267</v>
      </c>
      <c r="AC19" s="48"/>
    </row>
    <row r="20" spans="1:29" ht="15" customHeight="1">
      <c r="A20" s="172">
        <v>44822</v>
      </c>
      <c r="B20" s="39">
        <v>76.599999999999994</v>
      </c>
      <c r="C20" s="39">
        <v>429</v>
      </c>
      <c r="D20" s="109">
        <f>'EMS Gridvis'!B19</f>
        <v>2.68</v>
      </c>
      <c r="E20" s="110">
        <f>'EMS Gridvis'!C19</f>
        <v>4.0999999999999996</v>
      </c>
      <c r="F20" s="110">
        <f>'EMS Gridvis'!D19</f>
        <v>5.24</v>
      </c>
      <c r="G20" s="110">
        <f>'EMS Gridvis'!H19</f>
        <v>1.24</v>
      </c>
      <c r="H20" s="110">
        <f>'EMS Gridvis'!I19</f>
        <v>1.74</v>
      </c>
      <c r="I20" s="110">
        <f>'EMS Gridvis'!J19</f>
        <v>3.49</v>
      </c>
      <c r="J20" s="157">
        <f>Generator!D21</f>
        <v>8001</v>
      </c>
      <c r="K20" s="157">
        <f>Generator!H21</f>
        <v>7994</v>
      </c>
      <c r="L20" s="157">
        <f>Generator!L21</f>
        <v>7955</v>
      </c>
      <c r="M20" s="157">
        <f>Generator!P21</f>
        <v>0</v>
      </c>
      <c r="N20" s="157">
        <f>Generator!T21</f>
        <v>7690</v>
      </c>
      <c r="O20" s="158">
        <f>SUM(Generator!C21,Generator!G21,Generator!K21,Generator!O21,Generator!S21)</f>
        <v>6931</v>
      </c>
      <c r="P20" s="21">
        <v>1.51</v>
      </c>
      <c r="Q20" s="158"/>
      <c r="R20" s="158">
        <f t="shared" si="0"/>
        <v>1.8426611506216515</v>
      </c>
      <c r="S20" s="52">
        <f>'RO Plant'!B20</f>
        <v>43</v>
      </c>
      <c r="T20" s="52">
        <f>'RO Plant'!M20</f>
        <v>89</v>
      </c>
      <c r="U20" s="48">
        <f>'RO Plant'!F20</f>
        <v>34</v>
      </c>
      <c r="V20" s="52">
        <f>'RO Plant'!I20</f>
        <v>89</v>
      </c>
      <c r="W20" s="95">
        <f>'RO Plant'!G20</f>
        <v>0</v>
      </c>
      <c r="X20" s="200"/>
      <c r="Y20" s="201"/>
      <c r="Z20" s="202"/>
      <c r="AA20" s="178">
        <f t="shared" si="1"/>
        <v>-45267</v>
      </c>
      <c r="AB20" s="95"/>
      <c r="AC20" s="48"/>
    </row>
    <row r="21" spans="1:29" ht="15" customHeight="1">
      <c r="A21" s="172">
        <v>44823</v>
      </c>
      <c r="B21" s="39">
        <v>76.599999999999994</v>
      </c>
      <c r="C21" s="39">
        <v>223</v>
      </c>
      <c r="D21" s="109">
        <f>'EMS Gridvis'!B20</f>
        <v>2.38</v>
      </c>
      <c r="E21" s="110">
        <f>'EMS Gridvis'!C20</f>
        <v>3.8</v>
      </c>
      <c r="F21" s="110">
        <f>'EMS Gridvis'!D20</f>
        <v>4.9400000000000004</v>
      </c>
      <c r="G21" s="110">
        <f>'EMS Gridvis'!H20</f>
        <v>1.26</v>
      </c>
      <c r="H21" s="110">
        <f>'EMS Gridvis'!I20</f>
        <v>1.78</v>
      </c>
      <c r="I21" s="110">
        <f>'EMS Gridvis'!J20</f>
        <v>3.56</v>
      </c>
      <c r="J21" s="157">
        <f>Generator!D22</f>
        <v>10758</v>
      </c>
      <c r="K21" s="157">
        <f>Generator!H22</f>
        <v>4942</v>
      </c>
      <c r="L21" s="157">
        <f>Generator!L22</f>
        <v>10374</v>
      </c>
      <c r="M21" s="157">
        <f>Generator!P22</f>
        <v>0</v>
      </c>
      <c r="N21" s="157">
        <f>Generator!T22</f>
        <v>4892</v>
      </c>
      <c r="O21" s="158">
        <f>SUM(Generator!C22,Generator!G22,Generator!K22,Generator!O22,Generator!S22)</f>
        <v>6673</v>
      </c>
      <c r="P21" s="21">
        <v>1.51</v>
      </c>
      <c r="Q21" s="158"/>
      <c r="R21" s="158">
        <f t="shared" si="0"/>
        <v>1.8426611506216515</v>
      </c>
      <c r="S21" s="52">
        <f>'RO Plant'!B21</f>
        <v>53</v>
      </c>
      <c r="T21" s="52">
        <f>'RO Plant'!M21</f>
        <v>65</v>
      </c>
      <c r="U21" s="48">
        <f>'RO Plant'!F21</f>
        <v>38</v>
      </c>
      <c r="V21" s="52">
        <f>'RO Plant'!I21</f>
        <v>17</v>
      </c>
      <c r="W21" s="95">
        <f>'RO Plant'!G21</f>
        <v>0</v>
      </c>
      <c r="X21" s="200"/>
      <c r="Y21" s="201"/>
      <c r="Z21" s="202"/>
      <c r="AA21" s="178">
        <f t="shared" si="1"/>
        <v>45519</v>
      </c>
      <c r="AB21" s="95">
        <v>45519</v>
      </c>
      <c r="AC21" s="48"/>
    </row>
    <row r="22" spans="1:29" ht="15" customHeight="1">
      <c r="A22" s="172">
        <v>44824</v>
      </c>
      <c r="B22" s="39">
        <v>76.599999999999994</v>
      </c>
      <c r="C22" s="39">
        <v>205</v>
      </c>
      <c r="D22" s="109">
        <f>'EMS Gridvis'!B21</f>
        <v>2.4900000000000002</v>
      </c>
      <c r="E22" s="110">
        <f>'EMS Gridvis'!C21</f>
        <v>4.13</v>
      </c>
      <c r="F22" s="110">
        <f>'EMS Gridvis'!D21</f>
        <v>5.25</v>
      </c>
      <c r="G22" s="110">
        <f>'EMS Gridvis'!H21</f>
        <v>1.33</v>
      </c>
      <c r="H22" s="110">
        <f>'EMS Gridvis'!I21</f>
        <v>1.85</v>
      </c>
      <c r="I22" s="110">
        <f>'EMS Gridvis'!J21</f>
        <v>3.9</v>
      </c>
      <c r="J22" s="157">
        <f>Generator!D23</f>
        <v>7020</v>
      </c>
      <c r="K22" s="157">
        <f>Generator!H23</f>
        <v>11583</v>
      </c>
      <c r="L22" s="157">
        <f>Generator!L23</f>
        <v>4713</v>
      </c>
      <c r="M22" s="157">
        <f>Generator!P23</f>
        <v>0</v>
      </c>
      <c r="N22" s="157">
        <f>Generator!T23</f>
        <v>9817</v>
      </c>
      <c r="O22" s="158">
        <f>SUM(Generator!C23,Generator!G23,Generator!K23,Generator!O23,Generator!S23)</f>
        <v>7341</v>
      </c>
      <c r="P22" s="21">
        <v>1.51</v>
      </c>
      <c r="Q22" s="158"/>
      <c r="R22" s="158">
        <f t="shared" si="0"/>
        <v>1.8426611506216515</v>
      </c>
      <c r="S22" s="52">
        <f>'RO Plant'!B22</f>
        <v>53.857142857142854</v>
      </c>
      <c r="T22" s="52">
        <f>'RO Plant'!M22</f>
        <v>111.71428571428572</v>
      </c>
      <c r="U22" s="48">
        <f>'RO Plant'!F22</f>
        <v>52.5</v>
      </c>
      <c r="V22" s="52">
        <f>'RO Plant'!I22</f>
        <v>55.642857142857146</v>
      </c>
      <c r="W22" s="116">
        <f>'RO Plant'!G22</f>
        <v>2.7142857142857144</v>
      </c>
      <c r="X22" s="200"/>
      <c r="Y22" s="201"/>
      <c r="Z22" s="202"/>
      <c r="AA22" s="178">
        <f t="shared" si="1"/>
        <v>-45519</v>
      </c>
      <c r="AB22" s="95"/>
      <c r="AC22" s="48"/>
    </row>
    <row r="23" spans="1:29" ht="15" customHeight="1">
      <c r="A23" s="172">
        <v>44825</v>
      </c>
      <c r="B23" s="39">
        <v>76.599999999999994</v>
      </c>
      <c r="C23" s="39">
        <v>387</v>
      </c>
      <c r="D23" s="109">
        <f>'EMS Gridvis'!B22</f>
        <v>2.0099999999999998</v>
      </c>
      <c r="E23" s="110">
        <f>'EMS Gridvis'!C22</f>
        <v>3.75</v>
      </c>
      <c r="F23" s="110">
        <f>'EMS Gridvis'!D22</f>
        <v>5.13</v>
      </c>
      <c r="G23" s="110">
        <f>'EMS Gridvis'!H22</f>
        <v>1.32</v>
      </c>
      <c r="H23" s="110">
        <f>'EMS Gridvis'!I22</f>
        <v>1.73</v>
      </c>
      <c r="I23" s="110">
        <f>'EMS Gridvis'!J22</f>
        <v>3.89</v>
      </c>
      <c r="J23" s="157">
        <f>Generator!D24</f>
        <v>10890</v>
      </c>
      <c r="K23" s="157">
        <f>Generator!H24</f>
        <v>10920</v>
      </c>
      <c r="L23" s="157">
        <f>Generator!L24</f>
        <v>4163</v>
      </c>
      <c r="M23" s="157">
        <f>Generator!P24</f>
        <v>4011</v>
      </c>
      <c r="N23" s="157">
        <f>Generator!T24</f>
        <v>0</v>
      </c>
      <c r="O23" s="158">
        <f>SUM(Generator!C24,Generator!G24,Generator!K24,Generator!O24,Generator!S24)</f>
        <v>6722</v>
      </c>
      <c r="P23" s="21">
        <v>1.51</v>
      </c>
      <c r="Q23" s="158"/>
      <c r="R23" s="158">
        <f t="shared" si="0"/>
        <v>1.8426611506216515</v>
      </c>
      <c r="S23" s="52">
        <f>'RO Plant'!B23</f>
        <v>57</v>
      </c>
      <c r="T23" s="52">
        <f>'RO Plant'!M23</f>
        <v>112</v>
      </c>
      <c r="U23" s="48">
        <f>'RO Plant'!F23</f>
        <v>44</v>
      </c>
      <c r="V23" s="52">
        <f>'RO Plant'!I23</f>
        <v>43</v>
      </c>
      <c r="W23" s="95">
        <f>'RO Plant'!G23</f>
        <v>0</v>
      </c>
      <c r="X23" s="200"/>
      <c r="Y23" s="201"/>
      <c r="Z23" s="202"/>
      <c r="AA23" s="178">
        <f t="shared" si="1"/>
        <v>0</v>
      </c>
      <c r="AB23" s="95"/>
      <c r="AC23" s="48"/>
    </row>
    <row r="24" spans="1:29" ht="15" customHeight="1">
      <c r="A24" s="172">
        <v>44826</v>
      </c>
      <c r="B24" s="39">
        <v>77.900000000000006</v>
      </c>
      <c r="C24" s="39">
        <v>358</v>
      </c>
      <c r="D24" s="109">
        <f>'EMS Gridvis'!B23</f>
        <v>0.6</v>
      </c>
      <c r="E24" s="110">
        <f>'EMS Gridvis'!C23</f>
        <v>1.1599999999999999</v>
      </c>
      <c r="F24" s="110">
        <f>'EMS Gridvis'!D23</f>
        <v>1.83</v>
      </c>
      <c r="G24" s="110">
        <f>'EMS Gridvis'!H23</f>
        <v>0.53</v>
      </c>
      <c r="H24" s="110">
        <f>'EMS Gridvis'!I23</f>
        <v>0.52</v>
      </c>
      <c r="I24" s="110">
        <f>'EMS Gridvis'!J23</f>
        <v>1.46</v>
      </c>
      <c r="J24" s="157">
        <f>Generator!D25</f>
        <v>10004</v>
      </c>
      <c r="K24" s="157">
        <f>Generator!H25</f>
        <v>10694</v>
      </c>
      <c r="L24" s="157">
        <f>Generator!L25</f>
        <v>4310</v>
      </c>
      <c r="M24" s="157">
        <f>Generator!P25</f>
        <v>4057</v>
      </c>
      <c r="N24" s="157">
        <f>Generator!T25</f>
        <v>0</v>
      </c>
      <c r="O24" s="158">
        <f>SUM(Generator!C25,Generator!G25,Generator!K25,Generator!O25,Generator!S25)</f>
        <v>6441</v>
      </c>
      <c r="P24" s="21">
        <v>1.51</v>
      </c>
      <c r="Q24" s="158"/>
      <c r="R24" s="158">
        <f t="shared" si="0"/>
        <v>1.8426611506216515</v>
      </c>
      <c r="S24" s="52">
        <f>'RO Plant'!B24</f>
        <v>58</v>
      </c>
      <c r="T24" s="52">
        <f>'RO Plant'!M24</f>
        <v>113</v>
      </c>
      <c r="U24" s="48">
        <f>'RO Plant'!F24</f>
        <v>48</v>
      </c>
      <c r="V24" s="52">
        <f>'RO Plant'!I24</f>
        <v>86</v>
      </c>
      <c r="W24" s="95">
        <f>'RO Plant'!G24</f>
        <v>0</v>
      </c>
      <c r="X24" s="200"/>
      <c r="Y24" s="201"/>
      <c r="Z24" s="202"/>
      <c r="AA24" s="178">
        <f t="shared" si="1"/>
        <v>0</v>
      </c>
      <c r="AB24" s="95"/>
      <c r="AC24" s="48"/>
    </row>
    <row r="25" spans="1:29" ht="15" customHeight="1">
      <c r="A25" s="172">
        <v>44827</v>
      </c>
      <c r="B25" s="39">
        <v>74</v>
      </c>
      <c r="C25" s="39">
        <v>529</v>
      </c>
      <c r="D25" s="109">
        <f>'EMS Gridvis'!B24</f>
        <v>2.8</v>
      </c>
      <c r="E25" s="110">
        <f>'EMS Gridvis'!C24</f>
        <v>4.6100000000000003</v>
      </c>
      <c r="F25" s="110">
        <f>'EMS Gridvis'!D24</f>
        <v>5.37</v>
      </c>
      <c r="G25" s="110">
        <f>'EMS Gridvis'!H24</f>
        <v>1.1499999999999999</v>
      </c>
      <c r="H25" s="110">
        <f>'EMS Gridvis'!I24</f>
        <v>1.64</v>
      </c>
      <c r="I25" s="110">
        <f>'EMS Gridvis'!J24</f>
        <v>3.6</v>
      </c>
      <c r="J25" s="157">
        <f>Generator!D26</f>
        <v>4523</v>
      </c>
      <c r="K25" s="157">
        <f>Generator!H26</f>
        <v>10983</v>
      </c>
      <c r="L25" s="157">
        <f>Generator!L26</f>
        <v>7765</v>
      </c>
      <c r="M25" s="157">
        <f>Generator!P26</f>
        <v>0</v>
      </c>
      <c r="N25" s="157">
        <f>Generator!T26</f>
        <v>11020</v>
      </c>
      <c r="O25" s="158">
        <f>SUM(Generator!C26,Generator!G26,Generator!K26,Generator!O26,Generator!S26)</f>
        <v>7438</v>
      </c>
      <c r="P25" s="21">
        <v>1.51</v>
      </c>
      <c r="Q25" s="158"/>
      <c r="R25" s="158">
        <f t="shared" si="0"/>
        <v>1.8426611506216515</v>
      </c>
      <c r="S25" s="52">
        <f>'RO Plant'!B25</f>
        <v>56</v>
      </c>
      <c r="T25" s="52">
        <f>'RO Plant'!M25</f>
        <v>104</v>
      </c>
      <c r="U25" s="48">
        <f>'RO Plant'!F25</f>
        <v>57</v>
      </c>
      <c r="V25" s="52">
        <f>'RO Plant'!I25</f>
        <v>41</v>
      </c>
      <c r="W25" s="95">
        <f>'RO Plant'!G25</f>
        <v>0</v>
      </c>
      <c r="X25" s="200"/>
      <c r="Y25" s="201"/>
      <c r="Z25" s="202"/>
      <c r="AA25" s="178">
        <f t="shared" si="1"/>
        <v>0</v>
      </c>
      <c r="AB25" s="95"/>
      <c r="AC25" s="48"/>
    </row>
    <row r="26" spans="1:29" ht="15" customHeight="1">
      <c r="A26" s="172">
        <v>44828</v>
      </c>
      <c r="B26" s="39">
        <v>75.3</v>
      </c>
      <c r="C26" s="39">
        <v>400</v>
      </c>
      <c r="D26" s="109">
        <f>'EMS Gridvis'!B25</f>
        <v>3.09</v>
      </c>
      <c r="E26" s="110">
        <f>'EMS Gridvis'!C25</f>
        <v>4.4000000000000004</v>
      </c>
      <c r="F26" s="110">
        <f>'EMS Gridvis'!D25</f>
        <v>5.44</v>
      </c>
      <c r="G26" s="110">
        <f>'EMS Gridvis'!H25</f>
        <v>1.35</v>
      </c>
      <c r="H26" s="110">
        <f>'EMS Gridvis'!I25</f>
        <v>1.64</v>
      </c>
      <c r="I26" s="110">
        <f>'EMS Gridvis'!J25</f>
        <v>3.8</v>
      </c>
      <c r="J26" s="157">
        <f>Generator!D27</f>
        <v>9679</v>
      </c>
      <c r="K26" s="157">
        <f>Generator!H27</f>
        <v>9437</v>
      </c>
      <c r="L26" s="157">
        <f>Generator!L27</f>
        <v>5959</v>
      </c>
      <c r="M26" s="157">
        <f>Generator!P27</f>
        <v>5764</v>
      </c>
      <c r="N26" s="157">
        <f>Generator!T27</f>
        <v>9431</v>
      </c>
      <c r="O26" s="158">
        <f>SUM(Generator!C27,Generator!G27,Generator!K27,Generator!O27,Generator!S27)</f>
        <v>8942</v>
      </c>
      <c r="P26" s="21">
        <v>1.51</v>
      </c>
      <c r="Q26" s="158"/>
      <c r="R26" s="158">
        <f t="shared" si="0"/>
        <v>1.8426611506216515</v>
      </c>
      <c r="S26" s="52">
        <f>'RO Plant'!B26</f>
        <v>45</v>
      </c>
      <c r="T26" s="52">
        <f>'RO Plant'!M26</f>
        <v>95</v>
      </c>
      <c r="U26" s="48">
        <f>'RO Plant'!F26</f>
        <v>57</v>
      </c>
      <c r="V26" s="52">
        <f>'RO Plant'!I26</f>
        <v>95</v>
      </c>
      <c r="W26" s="95">
        <f>'RO Plant'!G26</f>
        <v>0</v>
      </c>
      <c r="X26" s="200"/>
      <c r="Y26" s="201"/>
      <c r="Z26" s="202"/>
      <c r="AA26" s="178">
        <f t="shared" si="1"/>
        <v>0</v>
      </c>
      <c r="AB26" s="95"/>
      <c r="AC26" s="48"/>
    </row>
    <row r="27" spans="1:29" ht="15" customHeight="1">
      <c r="A27" s="172">
        <v>44829</v>
      </c>
      <c r="B27" s="39">
        <v>55.8</v>
      </c>
      <c r="C27" s="39">
        <v>189</v>
      </c>
      <c r="D27" s="109">
        <f>'EMS Gridvis'!B26</f>
        <v>2.88</v>
      </c>
      <c r="E27" s="110">
        <f>'EMS Gridvis'!C26</f>
        <v>4.21</v>
      </c>
      <c r="F27" s="110">
        <f>'EMS Gridvis'!D26</f>
        <v>5.0999999999999996</v>
      </c>
      <c r="G27" s="110">
        <f>'EMS Gridvis'!H26</f>
        <v>1.38</v>
      </c>
      <c r="H27" s="110">
        <f>'EMS Gridvis'!I26</f>
        <v>1.59</v>
      </c>
      <c r="I27" s="110">
        <f>'EMS Gridvis'!J26</f>
        <v>3.66</v>
      </c>
      <c r="J27" s="157">
        <f>Generator!D28</f>
        <v>2127</v>
      </c>
      <c r="K27" s="157">
        <f>Generator!H28</f>
        <v>9582</v>
      </c>
      <c r="L27" s="157">
        <f>Generator!L28</f>
        <v>0</v>
      </c>
      <c r="M27" s="157">
        <f>Generator!P28</f>
        <v>5393</v>
      </c>
      <c r="N27" s="157">
        <f>Generator!T28</f>
        <v>10027</v>
      </c>
      <c r="O27" s="158">
        <f>SUM(Generator!C28,Generator!G28,Generator!K28,Generator!O28,Generator!S28)</f>
        <v>6040</v>
      </c>
      <c r="P27" s="21">
        <v>1.51</v>
      </c>
      <c r="Q27" s="158"/>
      <c r="R27" s="158">
        <f t="shared" si="0"/>
        <v>1.8426611506216515</v>
      </c>
      <c r="S27" s="52">
        <f>'RO Plant'!B27</f>
        <v>51</v>
      </c>
      <c r="T27" s="52">
        <f>'RO Plant'!M27</f>
        <v>102</v>
      </c>
      <c r="U27" s="48">
        <f>'RO Plant'!F27</f>
        <v>36</v>
      </c>
      <c r="V27" s="52">
        <f>'RO Plant'!I27</f>
        <v>115</v>
      </c>
      <c r="W27" s="95">
        <f>'RO Plant'!G27</f>
        <v>0</v>
      </c>
      <c r="X27" s="200"/>
      <c r="Y27" s="201"/>
      <c r="Z27" s="202"/>
      <c r="AA27" s="178">
        <f t="shared" si="1"/>
        <v>0</v>
      </c>
      <c r="AB27" s="95"/>
      <c r="AC27" s="48"/>
    </row>
    <row r="28" spans="1:29" ht="15" customHeight="1">
      <c r="A28" s="172">
        <v>44830</v>
      </c>
      <c r="B28" s="39">
        <v>51.9</v>
      </c>
      <c r="C28" s="39">
        <v>278</v>
      </c>
      <c r="D28" s="109">
        <f>'EMS Gridvis'!B27</f>
        <v>2.87</v>
      </c>
      <c r="E28" s="110">
        <f>'EMS Gridvis'!C27</f>
        <v>4.33</v>
      </c>
      <c r="F28" s="110">
        <f>'EMS Gridvis'!D27</f>
        <v>5.16</v>
      </c>
      <c r="G28" s="110">
        <f>'EMS Gridvis'!H27</f>
        <v>1.32</v>
      </c>
      <c r="H28" s="110">
        <f>'EMS Gridvis'!I27</f>
        <v>1.71</v>
      </c>
      <c r="I28" s="110">
        <f>'EMS Gridvis'!J27</f>
        <v>3.84</v>
      </c>
      <c r="J28" s="157">
        <f>Generator!D29</f>
        <v>6749</v>
      </c>
      <c r="K28" s="157">
        <f>Generator!H29</f>
        <v>5242</v>
      </c>
      <c r="L28" s="157">
        <f>Generator!L29</f>
        <v>8756</v>
      </c>
      <c r="M28" s="157">
        <f>Generator!P29</f>
        <v>6946</v>
      </c>
      <c r="N28" s="157">
        <f>Generator!T29</f>
        <v>6039</v>
      </c>
      <c r="O28" s="158">
        <f>SUM(Generator!C29,Generator!G29,Generator!K29,Generator!O29,Generator!S29)</f>
        <v>7591</v>
      </c>
      <c r="P28" s="21">
        <v>1.51</v>
      </c>
      <c r="Q28" s="158"/>
      <c r="R28" s="158">
        <f t="shared" si="0"/>
        <v>1.8426611506216515</v>
      </c>
      <c r="S28" s="52">
        <f>'RO Plant'!B28</f>
        <v>57</v>
      </c>
      <c r="T28" s="52">
        <f>'RO Plant'!M28</f>
        <v>112</v>
      </c>
      <c r="U28" s="48">
        <f>'RO Plant'!F28</f>
        <v>53</v>
      </c>
      <c r="V28" s="52">
        <f>'RO Plant'!I28</f>
        <v>103</v>
      </c>
      <c r="W28" s="95">
        <f>'RO Plant'!G28</f>
        <v>0</v>
      </c>
      <c r="X28" s="200"/>
      <c r="Y28" s="201"/>
      <c r="Z28" s="202"/>
      <c r="AA28" s="178">
        <f t="shared" si="1"/>
        <v>0</v>
      </c>
      <c r="AB28" s="95"/>
      <c r="AC28" s="48"/>
    </row>
    <row r="29" spans="1:29" ht="15" customHeight="1">
      <c r="A29" s="172">
        <v>44831</v>
      </c>
      <c r="B29" s="39">
        <v>49.4</v>
      </c>
      <c r="C29" s="39">
        <v>306</v>
      </c>
      <c r="D29" s="109">
        <f>'EMS Gridvis'!B28</f>
        <v>2.48</v>
      </c>
      <c r="E29" s="110">
        <f>'EMS Gridvis'!C28</f>
        <v>3.53</v>
      </c>
      <c r="F29" s="110">
        <f>'EMS Gridvis'!D28</f>
        <v>5.07</v>
      </c>
      <c r="G29" s="110">
        <f>'EMS Gridvis'!H28</f>
        <v>1.39</v>
      </c>
      <c r="H29" s="110">
        <f>'EMS Gridvis'!I28</f>
        <v>1.64</v>
      </c>
      <c r="I29" s="110">
        <f>'EMS Gridvis'!J28</f>
        <v>3.75</v>
      </c>
      <c r="J29" s="157">
        <f>Generator!D30</f>
        <v>0</v>
      </c>
      <c r="K29" s="157">
        <f>Generator!H30</f>
        <v>1342</v>
      </c>
      <c r="L29" s="157">
        <f>Generator!L30</f>
        <v>4655</v>
      </c>
      <c r="M29" s="157">
        <f>Generator!P30</f>
        <v>4554</v>
      </c>
      <c r="N29" s="157">
        <f>Generator!T30</f>
        <v>11234</v>
      </c>
      <c r="O29" s="158">
        <f>SUM(Generator!C30,Generator!G30,Generator!K30,Generator!O30,Generator!S30)</f>
        <v>5813</v>
      </c>
      <c r="P29" s="21">
        <v>1.51</v>
      </c>
      <c r="Q29" s="158"/>
      <c r="R29" s="158">
        <f t="shared" si="0"/>
        <v>1.8426611506216515</v>
      </c>
      <c r="S29" s="52">
        <f>'RO Plant'!B29</f>
        <v>57</v>
      </c>
      <c r="T29" s="52">
        <f>'RO Plant'!M29</f>
        <v>131</v>
      </c>
      <c r="U29" s="48">
        <f>'RO Plant'!F29</f>
        <v>59</v>
      </c>
      <c r="V29" s="52">
        <f>'RO Plant'!I29</f>
        <v>111</v>
      </c>
      <c r="W29" s="95">
        <f>'RO Plant'!G29</f>
        <v>0</v>
      </c>
      <c r="X29" s="200"/>
      <c r="Y29" s="201"/>
      <c r="Z29" s="202"/>
      <c r="AA29" s="178">
        <f t="shared" si="1"/>
        <v>0</v>
      </c>
      <c r="AB29" s="95"/>
      <c r="AC29" s="48"/>
    </row>
    <row r="30" spans="1:29" ht="15" customHeight="1">
      <c r="A30" s="172">
        <v>44832</v>
      </c>
      <c r="B30" s="39">
        <v>57.1</v>
      </c>
      <c r="C30" s="39">
        <v>304</v>
      </c>
      <c r="D30" s="109">
        <f>'EMS Gridvis'!B29</f>
        <v>2.5499999999999998</v>
      </c>
      <c r="E30" s="110">
        <f>'EMS Gridvis'!C29</f>
        <v>3.73</v>
      </c>
      <c r="F30" s="110">
        <f>'EMS Gridvis'!D29</f>
        <v>4.95</v>
      </c>
      <c r="G30" s="110">
        <f>'EMS Gridvis'!H29</f>
        <v>1.33</v>
      </c>
      <c r="H30" s="110">
        <f>'EMS Gridvis'!I29</f>
        <v>1.56</v>
      </c>
      <c r="I30" s="110">
        <f>'EMS Gridvis'!J29</f>
        <v>3.65</v>
      </c>
      <c r="J30" s="157">
        <f>Generator!D31</f>
        <v>6309</v>
      </c>
      <c r="K30" s="157">
        <f>Generator!H31</f>
        <v>10880</v>
      </c>
      <c r="L30" s="157">
        <f>Generator!L31</f>
        <v>0</v>
      </c>
      <c r="M30" s="157">
        <f>Generator!P31</f>
        <v>2245</v>
      </c>
      <c r="N30" s="157">
        <f>Generator!T31</f>
        <v>9031</v>
      </c>
      <c r="O30" s="158">
        <f>SUM(Generator!C31,Generator!G31,Generator!K31,Generator!O31,Generator!S31)</f>
        <v>6547</v>
      </c>
      <c r="P30" s="21">
        <v>1.51</v>
      </c>
      <c r="Q30" s="158"/>
      <c r="R30" s="158">
        <f t="shared" si="0"/>
        <v>1.8426611506216515</v>
      </c>
      <c r="S30" s="52">
        <f>'RO Plant'!B30</f>
        <v>46</v>
      </c>
      <c r="T30" s="52">
        <f>'RO Plant'!M30</f>
        <v>84</v>
      </c>
      <c r="U30" s="48">
        <f>'RO Plant'!F30</f>
        <v>96</v>
      </c>
      <c r="V30" s="52">
        <f>'RO Plant'!I30</f>
        <v>96</v>
      </c>
      <c r="W30" s="95">
        <f>'RO Plant'!G30</f>
        <v>0</v>
      </c>
      <c r="X30" s="200"/>
      <c r="Y30" s="201"/>
      <c r="Z30" s="202"/>
      <c r="AA30" s="178">
        <f t="shared" si="1"/>
        <v>0</v>
      </c>
      <c r="AB30" s="95"/>
      <c r="AC30" s="48"/>
    </row>
    <row r="31" spans="1:29" ht="15" customHeight="1">
      <c r="A31" s="172">
        <v>44833</v>
      </c>
      <c r="B31" s="39">
        <v>53.4</v>
      </c>
      <c r="C31" s="39">
        <v>310</v>
      </c>
      <c r="D31" s="109">
        <f>'EMS Gridvis'!B30</f>
        <v>2.68</v>
      </c>
      <c r="E31" s="110">
        <f>'EMS Gridvis'!C30</f>
        <v>4.1399999999999997</v>
      </c>
      <c r="F31" s="110">
        <f>'EMS Gridvis'!D30</f>
        <v>5.1100000000000003</v>
      </c>
      <c r="G31" s="110">
        <f>'EMS Gridvis'!H30</f>
        <v>1.22</v>
      </c>
      <c r="H31" s="110">
        <f>'EMS Gridvis'!I30</f>
        <v>1.66</v>
      </c>
      <c r="I31" s="110">
        <f>'EMS Gridvis'!J30</f>
        <v>3.68</v>
      </c>
      <c r="J31" s="157">
        <f>Generator!D32</f>
        <v>9198</v>
      </c>
      <c r="K31" s="157">
        <f>Generator!H32</f>
        <v>6300</v>
      </c>
      <c r="L31" s="157">
        <f>Generator!L32</f>
        <v>9157</v>
      </c>
      <c r="M31" s="157">
        <f>Generator!P32</f>
        <v>0</v>
      </c>
      <c r="N31" s="157">
        <f>Generator!T32</f>
        <v>8721</v>
      </c>
      <c r="O31" s="158">
        <f>SUM(Generator!C32,Generator!G32,Generator!K32,Generator!O32,Generator!S32)</f>
        <v>6958</v>
      </c>
      <c r="P31" s="21">
        <v>1.51</v>
      </c>
      <c r="Q31" s="158"/>
      <c r="R31" s="158">
        <f t="shared" si="0"/>
        <v>1.8426611506216515</v>
      </c>
      <c r="S31" s="52">
        <f>'RO Plant'!B31</f>
        <v>55</v>
      </c>
      <c r="T31" s="52">
        <f>'RO Plant'!M31</f>
        <v>88</v>
      </c>
      <c r="U31" s="48">
        <f>'RO Plant'!F31</f>
        <v>99</v>
      </c>
      <c r="V31" s="52">
        <f>'RO Plant'!I31</f>
        <v>107</v>
      </c>
      <c r="W31" s="95">
        <f>'RO Plant'!G31</f>
        <v>0</v>
      </c>
      <c r="X31" s="200"/>
      <c r="Y31" s="201"/>
      <c r="Z31" s="202"/>
      <c r="AA31" s="178">
        <f t="shared" si="1"/>
        <v>46769</v>
      </c>
      <c r="AB31" s="95">
        <v>46769</v>
      </c>
      <c r="AC31" s="48"/>
    </row>
    <row r="32" spans="1:29" ht="15" customHeight="1">
      <c r="A32" s="172">
        <v>44834</v>
      </c>
      <c r="B32" s="39"/>
      <c r="C32" s="39"/>
      <c r="D32" s="109">
        <f>'EMS Gridvis'!B31</f>
        <v>2.87</v>
      </c>
      <c r="E32" s="110">
        <f>'EMS Gridvis'!C31</f>
        <v>4.1100000000000003</v>
      </c>
      <c r="F32" s="110">
        <f>'EMS Gridvis'!D31</f>
        <v>5.0999999999999996</v>
      </c>
      <c r="G32" s="110">
        <f>'EMS Gridvis'!H31</f>
        <v>1.27</v>
      </c>
      <c r="H32" s="110">
        <f>'EMS Gridvis'!I31</f>
        <v>1.68</v>
      </c>
      <c r="I32" s="110">
        <f>'EMS Gridvis'!J31</f>
        <v>3.69</v>
      </c>
      <c r="J32" s="157">
        <f>Generator!D33</f>
        <v>8567</v>
      </c>
      <c r="K32" s="157">
        <f>Generator!H33</f>
        <v>6549</v>
      </c>
      <c r="L32" s="157">
        <f>Generator!L33</f>
        <v>7072</v>
      </c>
      <c r="M32" s="157">
        <f>Generator!P33</f>
        <v>0</v>
      </c>
      <c r="N32" s="157">
        <f>Generator!T33</f>
        <v>9399</v>
      </c>
      <c r="O32" s="158">
        <f>SUM(Generator!C33,Generator!G33,Generator!K33,Generator!O33,Generator!S33)</f>
        <v>6731</v>
      </c>
      <c r="P32" s="21">
        <v>1.51</v>
      </c>
      <c r="Q32" s="158"/>
      <c r="R32" s="158">
        <f t="shared" si="0"/>
        <v>1.8426611506216515</v>
      </c>
      <c r="S32" s="52">
        <f>'RO Plant'!B32</f>
        <v>59</v>
      </c>
      <c r="T32" s="52">
        <f>'RO Plant'!M32</f>
        <v>31</v>
      </c>
      <c r="U32" s="48">
        <f>'RO Plant'!F32</f>
        <v>48</v>
      </c>
      <c r="V32" s="52">
        <f>'RO Plant'!I32</f>
        <v>103</v>
      </c>
      <c r="W32" s="95">
        <f>'RO Plant'!G32</f>
        <v>0</v>
      </c>
      <c r="X32" s="200"/>
      <c r="Y32" s="201"/>
      <c r="Z32" s="202"/>
      <c r="AA32" s="178">
        <f t="shared" si="1"/>
        <v>51</v>
      </c>
      <c r="AB32" s="95">
        <v>46820</v>
      </c>
      <c r="AC32" s="48"/>
    </row>
    <row r="33" spans="13:13" ht="15">
      <c r="M33" s="47"/>
    </row>
    <row r="34" spans="13:13" ht="14.45">
      <c r="M34" s="47"/>
    </row>
    <row r="35" spans="13:13" ht="12.75"/>
    <row r="36" spans="13:13" ht="12.75"/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X105"/>
  <sheetViews>
    <sheetView workbookViewId="0">
      <pane xSplit="1" topLeftCell="B34" activePane="topRight" state="frozen"/>
      <selection pane="topRight" activeCell="S30" sqref="S30"/>
    </sheetView>
  </sheetViews>
  <sheetFormatPr defaultRowHeight="14.45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</cols>
  <sheetData>
    <row r="1" spans="1:24" ht="15"/>
    <row r="2" spans="1:24" ht="17.25" customHeight="1">
      <c r="A2" s="129"/>
      <c r="B2" s="215" t="s">
        <v>68</v>
      </c>
      <c r="C2" s="216"/>
      <c r="D2" s="216"/>
      <c r="E2" s="217"/>
      <c r="F2" s="215" t="s">
        <v>69</v>
      </c>
      <c r="G2" s="216"/>
      <c r="H2" s="216"/>
      <c r="I2" s="217"/>
      <c r="J2" s="218" t="s">
        <v>70</v>
      </c>
      <c r="K2" s="219"/>
      <c r="L2" s="219"/>
      <c r="M2" s="220"/>
      <c r="N2" s="218" t="s">
        <v>71</v>
      </c>
      <c r="O2" s="219"/>
      <c r="P2" s="219"/>
      <c r="Q2" s="220"/>
      <c r="R2" s="218" t="s">
        <v>72</v>
      </c>
      <c r="S2" s="219"/>
      <c r="T2" s="219"/>
      <c r="U2" s="220"/>
      <c r="V2" s="115"/>
      <c r="W2" s="115"/>
      <c r="X2" s="57"/>
    </row>
    <row r="3" spans="1:24" ht="39.75" customHeight="1">
      <c r="A3" s="58" t="s">
        <v>33</v>
      </c>
      <c r="B3" s="118" t="s">
        <v>73</v>
      </c>
      <c r="C3" s="118" t="s">
        <v>74</v>
      </c>
      <c r="D3" s="119" t="s">
        <v>75</v>
      </c>
      <c r="E3" s="130"/>
      <c r="F3" s="51" t="s">
        <v>73</v>
      </c>
      <c r="G3" s="51" t="s">
        <v>74</v>
      </c>
      <c r="H3" s="111" t="s">
        <v>75</v>
      </c>
      <c r="I3" s="132"/>
      <c r="J3" s="51" t="s">
        <v>73</v>
      </c>
      <c r="K3" s="51" t="s">
        <v>74</v>
      </c>
      <c r="L3" s="111" t="s">
        <v>75</v>
      </c>
      <c r="M3" s="131"/>
      <c r="N3" s="51" t="s">
        <v>73</v>
      </c>
      <c r="O3" s="51" t="s">
        <v>74</v>
      </c>
      <c r="P3" s="111" t="s">
        <v>75</v>
      </c>
      <c r="Q3" s="131"/>
      <c r="R3" s="51" t="s">
        <v>73</v>
      </c>
      <c r="S3" s="51" t="s">
        <v>74</v>
      </c>
      <c r="T3" s="111" t="s">
        <v>75</v>
      </c>
      <c r="U3" s="131"/>
    </row>
    <row r="4" spans="1:24" ht="15">
      <c r="A4" s="59">
        <v>44805</v>
      </c>
      <c r="B4" s="52">
        <v>0</v>
      </c>
      <c r="C4" s="52">
        <v>0</v>
      </c>
      <c r="D4" s="95">
        <v>0</v>
      </c>
      <c r="E4" s="131"/>
      <c r="F4" s="52">
        <v>19</v>
      </c>
      <c r="G4" s="52">
        <v>2540</v>
      </c>
      <c r="H4" s="116">
        <v>11145</v>
      </c>
      <c r="I4" s="133"/>
      <c r="J4" s="52">
        <v>13</v>
      </c>
      <c r="K4" s="52">
        <v>1888</v>
      </c>
      <c r="L4" s="116">
        <v>9387</v>
      </c>
      <c r="M4" s="131"/>
      <c r="N4" s="52">
        <v>7</v>
      </c>
      <c r="O4" s="52">
        <v>1237</v>
      </c>
      <c r="P4" s="116">
        <v>5034</v>
      </c>
      <c r="Q4" s="131"/>
      <c r="R4" s="52">
        <v>12</v>
      </c>
      <c r="S4" s="52">
        <v>1219</v>
      </c>
      <c r="T4" s="52">
        <v>5851</v>
      </c>
      <c r="U4" s="130"/>
    </row>
    <row r="5" spans="1:24" ht="15">
      <c r="A5" s="59">
        <v>44806</v>
      </c>
      <c r="B5" s="52">
        <v>0</v>
      </c>
      <c r="C5" s="52">
        <v>0</v>
      </c>
      <c r="D5" s="95">
        <v>0</v>
      </c>
      <c r="E5" s="131"/>
      <c r="F5" s="52">
        <v>11</v>
      </c>
      <c r="G5" s="52">
        <v>1239</v>
      </c>
      <c r="H5" s="116">
        <v>5427</v>
      </c>
      <c r="I5" s="133"/>
      <c r="J5" s="52">
        <v>14</v>
      </c>
      <c r="K5" s="52">
        <v>2076</v>
      </c>
      <c r="L5" s="116">
        <v>9988</v>
      </c>
      <c r="M5" s="131"/>
      <c r="N5" s="52">
        <v>1</v>
      </c>
      <c r="O5" s="52">
        <v>36</v>
      </c>
      <c r="P5" s="116">
        <v>227</v>
      </c>
      <c r="Q5" s="131"/>
      <c r="R5" s="52">
        <v>10</v>
      </c>
      <c r="S5" s="52">
        <v>1496</v>
      </c>
      <c r="T5" s="52">
        <v>7017</v>
      </c>
      <c r="U5" s="131"/>
    </row>
    <row r="6" spans="1:24" ht="15">
      <c r="A6" s="59">
        <v>44807</v>
      </c>
      <c r="B6" s="52">
        <v>10</v>
      </c>
      <c r="C6" s="52">
        <v>1222</v>
      </c>
      <c r="D6" s="95">
        <v>5243</v>
      </c>
      <c r="E6" s="131"/>
      <c r="F6" s="52">
        <v>14</v>
      </c>
      <c r="G6" s="52">
        <v>2305</v>
      </c>
      <c r="H6" s="116">
        <v>10249</v>
      </c>
      <c r="I6" s="133"/>
      <c r="J6" s="52">
        <v>16</v>
      </c>
      <c r="K6" s="52">
        <v>2036</v>
      </c>
      <c r="L6" s="116">
        <v>9186</v>
      </c>
      <c r="M6" s="131"/>
      <c r="N6" s="52">
        <v>9</v>
      </c>
      <c r="O6" s="52">
        <v>1551</v>
      </c>
      <c r="P6" s="116">
        <v>6498</v>
      </c>
      <c r="Q6" s="131"/>
      <c r="R6" s="52">
        <v>0</v>
      </c>
      <c r="S6" s="52">
        <v>0</v>
      </c>
      <c r="T6" s="52">
        <v>0</v>
      </c>
      <c r="U6" s="131"/>
    </row>
    <row r="7" spans="1:24" ht="15">
      <c r="A7" s="59">
        <v>44808</v>
      </c>
      <c r="B7" s="52">
        <v>0</v>
      </c>
      <c r="C7" s="52">
        <v>0</v>
      </c>
      <c r="D7" s="95">
        <v>0</v>
      </c>
      <c r="E7" s="131"/>
      <c r="F7" s="52">
        <v>12</v>
      </c>
      <c r="G7" s="52">
        <v>1862</v>
      </c>
      <c r="H7" s="116">
        <v>8561</v>
      </c>
      <c r="I7" s="133"/>
      <c r="J7" s="52">
        <v>17</v>
      </c>
      <c r="K7" s="52">
        <v>2092</v>
      </c>
      <c r="L7" s="116">
        <v>9841</v>
      </c>
      <c r="M7" s="131"/>
      <c r="N7" s="52">
        <v>8</v>
      </c>
      <c r="O7" s="52">
        <v>1439</v>
      </c>
      <c r="P7" s="116">
        <v>5563</v>
      </c>
      <c r="Q7" s="131"/>
      <c r="R7" s="52">
        <v>12</v>
      </c>
      <c r="S7" s="52">
        <v>1426</v>
      </c>
      <c r="T7" s="52">
        <v>6333</v>
      </c>
      <c r="U7" s="131"/>
    </row>
    <row r="8" spans="1:24" ht="15">
      <c r="A8" s="59">
        <v>44809</v>
      </c>
      <c r="B8" s="52">
        <v>14</v>
      </c>
      <c r="C8" s="52">
        <v>2134</v>
      </c>
      <c r="D8" s="95">
        <v>9983</v>
      </c>
      <c r="E8" s="131"/>
      <c r="F8" s="52">
        <v>10</v>
      </c>
      <c r="G8" s="52">
        <v>1197</v>
      </c>
      <c r="H8" s="116">
        <v>5254</v>
      </c>
      <c r="I8" s="133"/>
      <c r="J8" s="52">
        <v>18</v>
      </c>
      <c r="K8" s="52">
        <v>2234</v>
      </c>
      <c r="L8" s="116">
        <v>10539</v>
      </c>
      <c r="M8" s="131"/>
      <c r="N8" s="52">
        <v>9</v>
      </c>
      <c r="O8" s="52">
        <v>1686</v>
      </c>
      <c r="P8" s="116">
        <v>6832</v>
      </c>
      <c r="Q8" s="131"/>
      <c r="R8" s="52">
        <v>0</v>
      </c>
      <c r="S8" s="52">
        <v>0</v>
      </c>
      <c r="T8" s="52">
        <v>0</v>
      </c>
      <c r="U8" s="131"/>
    </row>
    <row r="9" spans="1:24" ht="15">
      <c r="A9" s="59">
        <v>44810</v>
      </c>
      <c r="B9" s="52">
        <v>14</v>
      </c>
      <c r="C9" s="52">
        <v>2467</v>
      </c>
      <c r="D9" s="95">
        <v>11001</v>
      </c>
      <c r="E9" s="131"/>
      <c r="F9" s="52">
        <v>9</v>
      </c>
      <c r="G9" s="52">
        <v>1135</v>
      </c>
      <c r="H9" s="116">
        <v>4936</v>
      </c>
      <c r="I9" s="133"/>
      <c r="J9" s="52">
        <v>11</v>
      </c>
      <c r="K9" s="52">
        <v>1363</v>
      </c>
      <c r="L9" s="116">
        <v>6155</v>
      </c>
      <c r="M9" s="131"/>
      <c r="N9" s="52">
        <v>0</v>
      </c>
      <c r="O9" s="52">
        <v>0</v>
      </c>
      <c r="P9" s="116">
        <v>0</v>
      </c>
      <c r="Q9" s="131"/>
      <c r="R9" s="52">
        <v>14</v>
      </c>
      <c r="S9" s="52">
        <v>2427</v>
      </c>
      <c r="T9" s="52">
        <v>11089</v>
      </c>
      <c r="U9" s="131"/>
    </row>
    <row r="10" spans="1:24" ht="15">
      <c r="A10" s="59">
        <v>44811</v>
      </c>
      <c r="B10" s="52">
        <v>13</v>
      </c>
      <c r="C10" s="52">
        <v>1815</v>
      </c>
      <c r="D10" s="95">
        <v>8993</v>
      </c>
      <c r="E10" s="131"/>
      <c r="F10" s="52">
        <v>9</v>
      </c>
      <c r="G10" s="52">
        <v>1141</v>
      </c>
      <c r="H10" s="116">
        <v>5031</v>
      </c>
      <c r="I10" s="133"/>
      <c r="J10" s="52">
        <v>11</v>
      </c>
      <c r="K10" s="52">
        <v>1202</v>
      </c>
      <c r="L10" s="116">
        <v>5523</v>
      </c>
      <c r="M10" s="131"/>
      <c r="N10" s="52">
        <v>0</v>
      </c>
      <c r="O10" s="52">
        <v>0</v>
      </c>
      <c r="P10" s="116">
        <v>0</v>
      </c>
      <c r="Q10" s="131"/>
      <c r="R10" s="52">
        <v>13</v>
      </c>
      <c r="S10" s="52">
        <v>1892</v>
      </c>
      <c r="T10" s="52">
        <v>9113</v>
      </c>
      <c r="U10" s="131"/>
    </row>
    <row r="11" spans="1:24" ht="15">
      <c r="A11" s="59">
        <v>44812</v>
      </c>
      <c r="B11" s="52">
        <v>20</v>
      </c>
      <c r="C11" s="52">
        <v>3008</v>
      </c>
      <c r="D11" s="95">
        <v>13400</v>
      </c>
      <c r="E11" s="131"/>
      <c r="F11" s="52">
        <v>8</v>
      </c>
      <c r="G11" s="52">
        <v>960</v>
      </c>
      <c r="H11" s="116">
        <v>4187</v>
      </c>
      <c r="I11" s="133"/>
      <c r="J11" s="52">
        <v>8</v>
      </c>
      <c r="K11" s="52">
        <v>914</v>
      </c>
      <c r="L11" s="116">
        <v>4236</v>
      </c>
      <c r="M11" s="131"/>
      <c r="N11" s="52">
        <v>0</v>
      </c>
      <c r="O11" s="52">
        <v>0</v>
      </c>
      <c r="P11" s="116">
        <v>0</v>
      </c>
      <c r="Q11" s="131"/>
      <c r="R11" s="52">
        <v>16</v>
      </c>
      <c r="S11" s="52">
        <v>2433</v>
      </c>
      <c r="T11" s="52">
        <v>11270</v>
      </c>
      <c r="U11" s="131"/>
    </row>
    <row r="12" spans="1:24" ht="15">
      <c r="A12" s="59">
        <v>44813</v>
      </c>
      <c r="B12" s="52">
        <v>15</v>
      </c>
      <c r="C12" s="52">
        <v>2335</v>
      </c>
      <c r="D12" s="95">
        <v>10915</v>
      </c>
      <c r="E12" s="131"/>
      <c r="F12" s="52">
        <v>16</v>
      </c>
      <c r="G12" s="52">
        <v>2089</v>
      </c>
      <c r="H12" s="116">
        <v>9533</v>
      </c>
      <c r="I12" s="133"/>
      <c r="J12" s="52">
        <v>13</v>
      </c>
      <c r="K12" s="52">
        <v>1780</v>
      </c>
      <c r="L12" s="116">
        <v>8669</v>
      </c>
      <c r="M12" s="131"/>
      <c r="N12" s="52">
        <v>0</v>
      </c>
      <c r="O12" s="52">
        <v>0</v>
      </c>
      <c r="P12" s="116">
        <v>0</v>
      </c>
      <c r="Q12" s="131"/>
      <c r="R12" s="52">
        <v>5</v>
      </c>
      <c r="S12" s="52">
        <v>428</v>
      </c>
      <c r="T12" s="52">
        <v>2255</v>
      </c>
      <c r="U12" s="131"/>
    </row>
    <row r="13" spans="1:24" ht="15">
      <c r="A13" s="59">
        <v>44814</v>
      </c>
      <c r="B13" s="52">
        <v>13</v>
      </c>
      <c r="C13" s="52">
        <v>1659</v>
      </c>
      <c r="D13" s="95">
        <v>7215</v>
      </c>
      <c r="E13" s="131"/>
      <c r="F13" s="52">
        <v>17</v>
      </c>
      <c r="G13" s="52">
        <v>2581</v>
      </c>
      <c r="H13" s="116">
        <v>11630</v>
      </c>
      <c r="I13" s="133"/>
      <c r="J13" s="52">
        <v>7</v>
      </c>
      <c r="K13" s="52">
        <v>792</v>
      </c>
      <c r="L13" s="116">
        <v>3527</v>
      </c>
      <c r="M13" s="131"/>
      <c r="N13" s="52">
        <v>0</v>
      </c>
      <c r="O13" s="52">
        <v>0</v>
      </c>
      <c r="P13" s="116">
        <v>0</v>
      </c>
      <c r="Q13" s="131"/>
      <c r="R13" s="52">
        <v>15</v>
      </c>
      <c r="S13" s="52">
        <v>2191</v>
      </c>
      <c r="T13" s="52">
        <v>10138</v>
      </c>
      <c r="U13" s="131"/>
    </row>
    <row r="14" spans="1:24" ht="15">
      <c r="A14" s="59">
        <v>44815</v>
      </c>
      <c r="B14" s="52">
        <v>13</v>
      </c>
      <c r="C14" s="52">
        <v>1893</v>
      </c>
      <c r="D14" s="95">
        <v>8676</v>
      </c>
      <c r="E14" s="131"/>
      <c r="F14" s="52">
        <v>12</v>
      </c>
      <c r="G14" s="52">
        <v>1385</v>
      </c>
      <c r="H14" s="116">
        <v>6091</v>
      </c>
      <c r="I14" s="133"/>
      <c r="J14" s="52">
        <v>13</v>
      </c>
      <c r="K14" s="52">
        <v>1836</v>
      </c>
      <c r="L14" s="116">
        <v>8629</v>
      </c>
      <c r="M14" s="131"/>
      <c r="N14" s="52">
        <v>0</v>
      </c>
      <c r="O14" s="52">
        <v>0</v>
      </c>
      <c r="P14" s="116">
        <v>0</v>
      </c>
      <c r="Q14" s="131"/>
      <c r="R14" s="52">
        <v>0</v>
      </c>
      <c r="S14" s="52">
        <v>0</v>
      </c>
      <c r="T14" s="52">
        <v>0</v>
      </c>
      <c r="U14" s="131"/>
    </row>
    <row r="15" spans="1:24" ht="15">
      <c r="A15" s="59">
        <v>44816</v>
      </c>
      <c r="B15" s="52">
        <v>14</v>
      </c>
      <c r="C15" s="52">
        <v>2132</v>
      </c>
      <c r="D15" s="95">
        <v>9849</v>
      </c>
      <c r="E15" s="131"/>
      <c r="F15" s="52">
        <v>17</v>
      </c>
      <c r="G15" s="52">
        <v>2382</v>
      </c>
      <c r="H15" s="116">
        <v>10610</v>
      </c>
      <c r="I15" s="133"/>
      <c r="J15" s="52">
        <v>15</v>
      </c>
      <c r="K15" s="52">
        <v>2176</v>
      </c>
      <c r="L15" s="116">
        <v>10278</v>
      </c>
      <c r="M15" s="131"/>
      <c r="N15" s="52">
        <v>0</v>
      </c>
      <c r="O15" s="52">
        <v>0</v>
      </c>
      <c r="P15" s="116">
        <v>0</v>
      </c>
      <c r="Q15" s="131"/>
      <c r="R15" s="52">
        <v>16</v>
      </c>
      <c r="S15" s="52">
        <v>2114</v>
      </c>
      <c r="T15" s="52">
        <v>9645</v>
      </c>
      <c r="U15" s="131"/>
    </row>
    <row r="16" spans="1:24" ht="15">
      <c r="A16" s="59">
        <v>44817</v>
      </c>
      <c r="B16" s="52">
        <v>15</v>
      </c>
      <c r="C16" s="52">
        <v>2175</v>
      </c>
      <c r="D16" s="95">
        <v>9921</v>
      </c>
      <c r="E16" s="131"/>
      <c r="F16" s="52">
        <v>9</v>
      </c>
      <c r="G16" s="52">
        <v>1246</v>
      </c>
      <c r="H16" s="116">
        <v>5495</v>
      </c>
      <c r="I16" s="133"/>
      <c r="J16" s="52">
        <v>15</v>
      </c>
      <c r="K16" s="52">
        <v>1714</v>
      </c>
      <c r="L16" s="116">
        <v>8239</v>
      </c>
      <c r="M16" s="131"/>
      <c r="N16" s="52">
        <v>0</v>
      </c>
      <c r="O16" s="52">
        <v>0</v>
      </c>
      <c r="P16" s="116">
        <v>0</v>
      </c>
      <c r="Q16" s="131"/>
      <c r="R16" s="52">
        <v>9</v>
      </c>
      <c r="S16" s="52">
        <v>1201</v>
      </c>
      <c r="T16" s="52">
        <v>5472</v>
      </c>
      <c r="U16" s="131"/>
    </row>
    <row r="17" spans="1:21" ht="15">
      <c r="A17" s="59">
        <v>44818</v>
      </c>
      <c r="B17" s="52">
        <v>14</v>
      </c>
      <c r="C17" s="52">
        <v>1839</v>
      </c>
      <c r="D17" s="95">
        <v>8288</v>
      </c>
      <c r="E17" s="131"/>
      <c r="F17" s="52">
        <v>11</v>
      </c>
      <c r="G17" s="52">
        <v>1686</v>
      </c>
      <c r="H17" s="116">
        <v>7928</v>
      </c>
      <c r="I17" s="133"/>
      <c r="J17" s="52">
        <v>0</v>
      </c>
      <c r="K17" s="52">
        <v>0</v>
      </c>
      <c r="L17" s="116">
        <v>0</v>
      </c>
      <c r="M17" s="131"/>
      <c r="N17" s="52">
        <v>0</v>
      </c>
      <c r="O17" s="52">
        <v>0</v>
      </c>
      <c r="P17" s="116">
        <v>0</v>
      </c>
      <c r="Q17" s="131"/>
      <c r="R17" s="52">
        <v>11</v>
      </c>
      <c r="S17" s="52">
        <v>1574</v>
      </c>
      <c r="T17" s="52">
        <v>7921</v>
      </c>
      <c r="U17" s="131"/>
    </row>
    <row r="18" spans="1:21" ht="15">
      <c r="A18" s="59">
        <v>44819</v>
      </c>
      <c r="B18" s="52">
        <v>16</v>
      </c>
      <c r="C18" s="52">
        <v>2214</v>
      </c>
      <c r="D18" s="95">
        <v>10000</v>
      </c>
      <c r="E18" s="131"/>
      <c r="F18" s="52">
        <v>12</v>
      </c>
      <c r="G18" s="52">
        <v>1815</v>
      </c>
      <c r="H18" s="116">
        <v>8286</v>
      </c>
      <c r="I18" s="133"/>
      <c r="J18" s="52">
        <v>12</v>
      </c>
      <c r="K18" s="52">
        <v>1570</v>
      </c>
      <c r="L18" s="116">
        <v>7074</v>
      </c>
      <c r="M18" s="131"/>
      <c r="N18" s="52">
        <v>0</v>
      </c>
      <c r="O18" s="52">
        <v>0</v>
      </c>
      <c r="P18" s="116">
        <v>0</v>
      </c>
      <c r="Q18" s="131"/>
      <c r="R18" s="52">
        <v>10</v>
      </c>
      <c r="S18" s="52">
        <v>1325</v>
      </c>
      <c r="T18" s="52">
        <v>6490</v>
      </c>
      <c r="U18" s="131"/>
    </row>
    <row r="19" spans="1:21" ht="15">
      <c r="A19" s="59">
        <v>44820</v>
      </c>
      <c r="B19" s="52">
        <v>11</v>
      </c>
      <c r="C19" s="52">
        <v>1187</v>
      </c>
      <c r="D19" s="95">
        <v>5288</v>
      </c>
      <c r="E19" s="131"/>
      <c r="F19" s="52">
        <v>15</v>
      </c>
      <c r="G19" s="52">
        <v>2133</v>
      </c>
      <c r="H19" s="116">
        <v>10096</v>
      </c>
      <c r="I19" s="133"/>
      <c r="J19" s="52">
        <v>10</v>
      </c>
      <c r="K19" s="52">
        <v>1156</v>
      </c>
      <c r="L19" s="116">
        <v>5307</v>
      </c>
      <c r="M19" s="131"/>
      <c r="N19" s="52">
        <v>0</v>
      </c>
      <c r="O19" s="52">
        <v>0</v>
      </c>
      <c r="P19" s="116">
        <v>0</v>
      </c>
      <c r="Q19" s="131"/>
      <c r="R19" s="52">
        <v>14</v>
      </c>
      <c r="S19" s="52">
        <v>2259</v>
      </c>
      <c r="T19" s="52">
        <v>10026</v>
      </c>
      <c r="U19" s="131"/>
    </row>
    <row r="20" spans="1:21" ht="15">
      <c r="A20" s="59">
        <v>44821</v>
      </c>
      <c r="B20" s="52">
        <v>12</v>
      </c>
      <c r="C20" s="52">
        <v>1502</v>
      </c>
      <c r="D20" s="95">
        <v>6713</v>
      </c>
      <c r="E20" s="131"/>
      <c r="F20" s="52">
        <v>12</v>
      </c>
      <c r="G20" s="52">
        <v>2055</v>
      </c>
      <c r="H20" s="116">
        <v>8955</v>
      </c>
      <c r="I20" s="133"/>
      <c r="J20" s="52">
        <v>12</v>
      </c>
      <c r="K20" s="52">
        <v>1420</v>
      </c>
      <c r="L20" s="116">
        <v>6680</v>
      </c>
      <c r="M20" s="131"/>
      <c r="N20" s="52">
        <v>0</v>
      </c>
      <c r="O20" s="52">
        <v>0</v>
      </c>
      <c r="P20" s="116">
        <v>0</v>
      </c>
      <c r="Q20" s="131"/>
      <c r="R20" s="52">
        <v>13</v>
      </c>
      <c r="S20" s="52">
        <v>1991</v>
      </c>
      <c r="T20" s="52">
        <v>9036</v>
      </c>
      <c r="U20" s="131"/>
    </row>
    <row r="21" spans="1:21" ht="15">
      <c r="A21" s="59">
        <v>44822</v>
      </c>
      <c r="B21" s="52">
        <v>10</v>
      </c>
      <c r="C21" s="52">
        <v>1730</v>
      </c>
      <c r="D21" s="95">
        <v>8001</v>
      </c>
      <c r="E21" s="131"/>
      <c r="F21" s="52">
        <v>14</v>
      </c>
      <c r="G21" s="52">
        <v>1798</v>
      </c>
      <c r="H21" s="116">
        <v>7994</v>
      </c>
      <c r="I21" s="133"/>
      <c r="J21" s="52">
        <v>11</v>
      </c>
      <c r="K21" s="52">
        <v>1684</v>
      </c>
      <c r="L21" s="116">
        <v>7955</v>
      </c>
      <c r="M21" s="131"/>
      <c r="N21" s="52">
        <v>0</v>
      </c>
      <c r="O21" s="52">
        <v>0</v>
      </c>
      <c r="P21" s="116">
        <v>0</v>
      </c>
      <c r="Q21" s="131"/>
      <c r="R21" s="52">
        <v>14</v>
      </c>
      <c r="S21" s="52">
        <v>1719</v>
      </c>
      <c r="T21" s="52">
        <v>7690</v>
      </c>
      <c r="U21" s="131"/>
    </row>
    <row r="22" spans="1:21" ht="15">
      <c r="A22" s="59">
        <v>44823</v>
      </c>
      <c r="B22" s="52">
        <v>16</v>
      </c>
      <c r="C22" s="52">
        <v>2284</v>
      </c>
      <c r="D22" s="95">
        <v>10758</v>
      </c>
      <c r="E22" s="131"/>
      <c r="F22" s="52">
        <v>9</v>
      </c>
      <c r="G22" s="52">
        <v>1143</v>
      </c>
      <c r="H22" s="116">
        <v>4942</v>
      </c>
      <c r="I22" s="133"/>
      <c r="J22" s="52">
        <v>15</v>
      </c>
      <c r="K22" s="52">
        <v>2153</v>
      </c>
      <c r="L22" s="116">
        <v>10374</v>
      </c>
      <c r="M22" s="131"/>
      <c r="N22" s="52">
        <v>0</v>
      </c>
      <c r="O22" s="52">
        <v>0</v>
      </c>
      <c r="P22" s="116">
        <v>0</v>
      </c>
      <c r="Q22" s="131"/>
      <c r="R22" s="52">
        <v>9</v>
      </c>
      <c r="S22" s="52">
        <v>1093</v>
      </c>
      <c r="T22" s="52">
        <v>4892</v>
      </c>
      <c r="U22" s="131"/>
    </row>
    <row r="23" spans="1:21" ht="15">
      <c r="A23" s="59">
        <v>44824</v>
      </c>
      <c r="B23" s="52">
        <v>11</v>
      </c>
      <c r="C23" s="52">
        <v>1696</v>
      </c>
      <c r="D23" s="95">
        <v>7020</v>
      </c>
      <c r="E23" s="131"/>
      <c r="F23" s="52">
        <v>16</v>
      </c>
      <c r="G23" s="52">
        <v>2465</v>
      </c>
      <c r="H23" s="116">
        <v>11583</v>
      </c>
      <c r="I23" s="133"/>
      <c r="J23" s="52">
        <v>9</v>
      </c>
      <c r="K23" s="52">
        <v>1035</v>
      </c>
      <c r="L23" s="116">
        <v>4713</v>
      </c>
      <c r="M23" s="131"/>
      <c r="N23" s="52">
        <v>0</v>
      </c>
      <c r="O23" s="52">
        <v>0</v>
      </c>
      <c r="P23" s="116">
        <v>0</v>
      </c>
      <c r="Q23" s="131"/>
      <c r="R23" s="52">
        <v>15</v>
      </c>
      <c r="S23" s="52">
        <v>2145</v>
      </c>
      <c r="T23" s="52">
        <v>9817</v>
      </c>
      <c r="U23" s="131"/>
    </row>
    <row r="24" spans="1:21" ht="15">
      <c r="A24" s="59">
        <v>44825</v>
      </c>
      <c r="B24" s="52">
        <v>16</v>
      </c>
      <c r="C24" s="52">
        <v>2367</v>
      </c>
      <c r="D24" s="95">
        <v>10890</v>
      </c>
      <c r="E24" s="131"/>
      <c r="F24" s="52">
        <v>16</v>
      </c>
      <c r="G24" s="52">
        <v>2457</v>
      </c>
      <c r="H24" s="116">
        <v>10920</v>
      </c>
      <c r="I24" s="133"/>
      <c r="J24" s="52">
        <v>8</v>
      </c>
      <c r="K24" s="52">
        <v>908</v>
      </c>
      <c r="L24" s="116">
        <v>4163</v>
      </c>
      <c r="M24" s="131"/>
      <c r="N24" s="52">
        <v>9</v>
      </c>
      <c r="O24" s="52">
        <v>990</v>
      </c>
      <c r="P24" s="116">
        <v>4011</v>
      </c>
      <c r="Q24" s="131"/>
      <c r="R24" s="52">
        <v>0</v>
      </c>
      <c r="S24" s="52">
        <v>0</v>
      </c>
      <c r="T24" s="52">
        <v>0</v>
      </c>
      <c r="U24" s="131"/>
    </row>
    <row r="25" spans="1:21" ht="15">
      <c r="A25" s="59">
        <v>44826</v>
      </c>
      <c r="B25" s="52">
        <v>15</v>
      </c>
      <c r="C25" s="52">
        <v>2201</v>
      </c>
      <c r="D25" s="95">
        <v>10004</v>
      </c>
      <c r="E25" s="131"/>
      <c r="F25" s="52">
        <v>17</v>
      </c>
      <c r="G25" s="52">
        <v>2355</v>
      </c>
      <c r="H25" s="116">
        <v>10694</v>
      </c>
      <c r="I25" s="133"/>
      <c r="J25" s="52">
        <v>8</v>
      </c>
      <c r="K25" s="52">
        <v>941</v>
      </c>
      <c r="L25" s="116">
        <v>4310</v>
      </c>
      <c r="M25" s="131"/>
      <c r="N25" s="52">
        <v>7</v>
      </c>
      <c r="O25" s="52">
        <v>944</v>
      </c>
      <c r="P25" s="116">
        <v>4057</v>
      </c>
      <c r="Q25" s="131"/>
      <c r="R25" s="52">
        <v>0</v>
      </c>
      <c r="S25" s="52">
        <v>0</v>
      </c>
      <c r="T25" s="52">
        <v>0</v>
      </c>
      <c r="U25" s="131"/>
    </row>
    <row r="26" spans="1:21" ht="15">
      <c r="A26" s="59">
        <v>44827</v>
      </c>
      <c r="B26" s="52">
        <v>8</v>
      </c>
      <c r="C26" s="52">
        <v>1026</v>
      </c>
      <c r="D26" s="95">
        <v>4523</v>
      </c>
      <c r="E26" s="131"/>
      <c r="F26" s="52">
        <v>17</v>
      </c>
      <c r="G26" s="52">
        <v>2390</v>
      </c>
      <c r="H26" s="116">
        <v>10983</v>
      </c>
      <c r="I26" s="133"/>
      <c r="J26" s="52">
        <v>14</v>
      </c>
      <c r="K26" s="52">
        <v>1645</v>
      </c>
      <c r="L26" s="116">
        <v>7765</v>
      </c>
      <c r="M26" s="131"/>
      <c r="N26" s="52">
        <v>0</v>
      </c>
      <c r="O26" s="52">
        <v>0</v>
      </c>
      <c r="P26" s="116">
        <v>0</v>
      </c>
      <c r="Q26" s="131"/>
      <c r="R26" s="52">
        <v>16</v>
      </c>
      <c r="S26" s="52">
        <v>2377</v>
      </c>
      <c r="T26" s="52">
        <v>11020</v>
      </c>
      <c r="U26" s="131"/>
    </row>
    <row r="27" spans="1:21" ht="15">
      <c r="A27" s="59">
        <v>44828</v>
      </c>
      <c r="B27" s="52">
        <v>17</v>
      </c>
      <c r="C27" s="52">
        <v>2176</v>
      </c>
      <c r="D27" s="95">
        <v>9679</v>
      </c>
      <c r="E27" s="131"/>
      <c r="F27" s="52">
        <v>14</v>
      </c>
      <c r="G27" s="52">
        <v>2087</v>
      </c>
      <c r="H27" s="116">
        <v>9437</v>
      </c>
      <c r="I27" s="133"/>
      <c r="J27" s="52">
        <v>11</v>
      </c>
      <c r="K27" s="52">
        <v>1254</v>
      </c>
      <c r="L27" s="116">
        <v>5959</v>
      </c>
      <c r="M27" s="131"/>
      <c r="N27" s="52">
        <v>11</v>
      </c>
      <c r="O27" s="52">
        <v>1420</v>
      </c>
      <c r="P27" s="116">
        <v>5764</v>
      </c>
      <c r="Q27" s="131"/>
      <c r="R27" s="52">
        <v>14</v>
      </c>
      <c r="S27" s="52">
        <v>2005</v>
      </c>
      <c r="T27" s="52">
        <v>9431</v>
      </c>
      <c r="U27" s="131"/>
    </row>
    <row r="28" spans="1:21" ht="15">
      <c r="A28" s="59">
        <v>44829</v>
      </c>
      <c r="B28" s="52">
        <v>4</v>
      </c>
      <c r="C28" s="52">
        <v>444</v>
      </c>
      <c r="D28" s="95">
        <v>2127</v>
      </c>
      <c r="E28" s="131"/>
      <c r="F28" s="52">
        <v>14</v>
      </c>
      <c r="G28" s="52">
        <v>2065</v>
      </c>
      <c r="H28" s="116">
        <v>9582</v>
      </c>
      <c r="I28" s="133"/>
      <c r="J28" s="52">
        <v>0</v>
      </c>
      <c r="K28" s="52">
        <v>0</v>
      </c>
      <c r="L28" s="116">
        <v>0</v>
      </c>
      <c r="M28" s="131"/>
      <c r="N28" s="52">
        <v>10</v>
      </c>
      <c r="O28" s="52">
        <v>1366</v>
      </c>
      <c r="P28" s="116">
        <v>5393</v>
      </c>
      <c r="Q28" s="131"/>
      <c r="R28" s="52">
        <v>15</v>
      </c>
      <c r="S28" s="52">
        <v>2165</v>
      </c>
      <c r="T28" s="52">
        <v>10027</v>
      </c>
      <c r="U28" s="131"/>
    </row>
    <row r="29" spans="1:21" ht="15">
      <c r="A29" s="59">
        <v>44830</v>
      </c>
      <c r="B29" s="52">
        <v>10</v>
      </c>
      <c r="C29" s="52">
        <v>1473</v>
      </c>
      <c r="D29" s="95">
        <v>6749</v>
      </c>
      <c r="E29" s="131"/>
      <c r="F29" s="52">
        <v>8</v>
      </c>
      <c r="G29" s="52">
        <v>1202</v>
      </c>
      <c r="H29" s="116">
        <v>5242</v>
      </c>
      <c r="I29" s="133"/>
      <c r="J29" s="52">
        <v>13</v>
      </c>
      <c r="K29" s="52">
        <v>1920</v>
      </c>
      <c r="L29" s="116">
        <v>8756</v>
      </c>
      <c r="M29" s="131"/>
      <c r="N29" s="52">
        <v>10</v>
      </c>
      <c r="O29" s="52">
        <v>1772</v>
      </c>
      <c r="P29" s="116">
        <v>6946</v>
      </c>
      <c r="Q29" s="131"/>
      <c r="R29" s="52">
        <v>9</v>
      </c>
      <c r="S29" s="52">
        <v>1224</v>
      </c>
      <c r="T29" s="52">
        <v>6039</v>
      </c>
      <c r="U29" s="131"/>
    </row>
    <row r="30" spans="1:21" ht="15">
      <c r="A30" s="59">
        <v>44831</v>
      </c>
      <c r="B30" s="52">
        <v>0</v>
      </c>
      <c r="C30" s="52">
        <v>0</v>
      </c>
      <c r="D30" s="95">
        <v>0</v>
      </c>
      <c r="E30" s="131"/>
      <c r="F30" s="52">
        <v>3</v>
      </c>
      <c r="G30" s="52">
        <v>387</v>
      </c>
      <c r="H30" s="116">
        <v>1342</v>
      </c>
      <c r="I30" s="133"/>
      <c r="J30" s="52">
        <v>8</v>
      </c>
      <c r="K30" s="52">
        <v>1020</v>
      </c>
      <c r="L30" s="116">
        <v>4655</v>
      </c>
      <c r="M30" s="131"/>
      <c r="N30" s="52">
        <v>7</v>
      </c>
      <c r="O30" s="52">
        <v>1354</v>
      </c>
      <c r="P30" s="116">
        <v>4554</v>
      </c>
      <c r="Q30" s="131"/>
      <c r="R30" s="52">
        <v>16</v>
      </c>
      <c r="S30" s="52">
        <v>3052</v>
      </c>
      <c r="T30" s="52">
        <v>11234</v>
      </c>
      <c r="U30" s="131"/>
    </row>
    <row r="31" spans="1:21" ht="15">
      <c r="A31" s="185">
        <v>44832</v>
      </c>
      <c r="B31" s="160">
        <v>13</v>
      </c>
      <c r="C31" s="160">
        <v>1585</v>
      </c>
      <c r="D31" s="101">
        <v>6309</v>
      </c>
      <c r="E31" s="186"/>
      <c r="F31" s="160">
        <v>19</v>
      </c>
      <c r="G31" s="160">
        <v>2390</v>
      </c>
      <c r="H31" s="121">
        <v>10880</v>
      </c>
      <c r="I31" s="134"/>
      <c r="J31" s="160">
        <v>0</v>
      </c>
      <c r="K31" s="160">
        <v>0</v>
      </c>
      <c r="L31" s="121">
        <v>0</v>
      </c>
      <c r="M31" s="186"/>
      <c r="N31" s="160">
        <v>5</v>
      </c>
      <c r="O31" s="160">
        <v>521</v>
      </c>
      <c r="P31" s="121">
        <v>2245</v>
      </c>
      <c r="Q31" s="186"/>
      <c r="R31" s="160">
        <v>16</v>
      </c>
      <c r="S31" s="160">
        <v>2051</v>
      </c>
      <c r="T31" s="160">
        <v>9031</v>
      </c>
      <c r="U31" s="131"/>
    </row>
    <row r="32" spans="1:21" ht="15">
      <c r="A32" s="123">
        <v>44833</v>
      </c>
      <c r="B32" s="52">
        <v>12</v>
      </c>
      <c r="C32" s="52">
        <v>1930</v>
      </c>
      <c r="D32" s="48">
        <v>9198</v>
      </c>
      <c r="E32" s="131"/>
      <c r="F32" s="52">
        <v>12</v>
      </c>
      <c r="G32" s="52">
        <v>1420</v>
      </c>
      <c r="H32" s="52">
        <v>6300</v>
      </c>
      <c r="I32" s="133"/>
      <c r="J32" s="52">
        <v>13</v>
      </c>
      <c r="K32" s="52">
        <v>1858</v>
      </c>
      <c r="L32" s="52">
        <v>9157</v>
      </c>
      <c r="M32" s="131"/>
      <c r="N32" s="52">
        <v>0</v>
      </c>
      <c r="O32" s="52">
        <v>0</v>
      </c>
      <c r="P32" s="52">
        <v>0</v>
      </c>
      <c r="Q32" s="131"/>
      <c r="R32" s="52">
        <v>15</v>
      </c>
      <c r="S32" s="52">
        <v>1750</v>
      </c>
      <c r="T32" s="52">
        <v>8721</v>
      </c>
      <c r="U32" s="177"/>
    </row>
    <row r="33" spans="1:21" ht="15">
      <c r="A33" s="123">
        <v>44834</v>
      </c>
      <c r="B33" s="52">
        <v>12</v>
      </c>
      <c r="C33" s="52">
        <v>1772</v>
      </c>
      <c r="D33" s="48">
        <v>8567</v>
      </c>
      <c r="E33" s="131"/>
      <c r="F33" s="52">
        <v>11</v>
      </c>
      <c r="G33" s="52">
        <v>1487</v>
      </c>
      <c r="H33" s="52">
        <v>6549</v>
      </c>
      <c r="I33" s="133"/>
      <c r="J33" s="52">
        <v>10</v>
      </c>
      <c r="K33" s="52">
        <v>1438</v>
      </c>
      <c r="L33" s="52">
        <v>7072</v>
      </c>
      <c r="M33" s="131"/>
      <c r="N33" s="52">
        <v>0</v>
      </c>
      <c r="O33" s="52">
        <v>0</v>
      </c>
      <c r="P33" s="52">
        <v>0</v>
      </c>
      <c r="Q33" s="131"/>
      <c r="R33" s="52">
        <v>17</v>
      </c>
      <c r="S33" s="52">
        <v>2034</v>
      </c>
      <c r="T33" s="52">
        <v>9399</v>
      </c>
      <c r="U33" s="177"/>
    </row>
    <row r="34" spans="1:21" ht="15">
      <c r="A34" s="123"/>
      <c r="B34" s="52"/>
      <c r="C34" s="52"/>
      <c r="D34" s="48"/>
      <c r="E34" s="184"/>
      <c r="F34" s="52"/>
      <c r="G34" s="52"/>
      <c r="H34" s="52"/>
      <c r="I34" s="133"/>
      <c r="J34" s="52"/>
      <c r="K34" s="52"/>
      <c r="L34" s="52"/>
      <c r="M34" s="184"/>
      <c r="N34" s="52"/>
      <c r="O34" s="52"/>
      <c r="P34" s="52"/>
      <c r="Q34" s="184"/>
      <c r="R34" s="52"/>
      <c r="S34" s="52"/>
      <c r="T34" s="52"/>
      <c r="U34" s="177"/>
    </row>
    <row r="35" spans="1:21" ht="27">
      <c r="A35" s="187" t="s">
        <v>33</v>
      </c>
      <c r="B35" s="118" t="s">
        <v>73</v>
      </c>
      <c r="C35" s="118" t="s">
        <v>74</v>
      </c>
      <c r="D35" s="119" t="s">
        <v>75</v>
      </c>
      <c r="E35" s="130"/>
      <c r="F35" s="118" t="s">
        <v>73</v>
      </c>
      <c r="G35" s="118" t="s">
        <v>74</v>
      </c>
      <c r="H35" s="119" t="s">
        <v>75</v>
      </c>
      <c r="I35" s="188"/>
      <c r="J35" s="118" t="s">
        <v>73</v>
      </c>
      <c r="K35" s="118" t="s">
        <v>74</v>
      </c>
      <c r="L35" s="119" t="s">
        <v>75</v>
      </c>
      <c r="M35" s="130"/>
      <c r="N35" s="118" t="s">
        <v>73</v>
      </c>
      <c r="O35" s="118" t="s">
        <v>74</v>
      </c>
      <c r="P35" s="119" t="s">
        <v>75</v>
      </c>
      <c r="Q35" s="130"/>
      <c r="R35" s="118" t="s">
        <v>73</v>
      </c>
      <c r="S35" s="118" t="s">
        <v>74</v>
      </c>
      <c r="T35" s="119" t="s">
        <v>75</v>
      </c>
      <c r="U35" s="131"/>
    </row>
    <row r="36" spans="1:21" ht="27" customHeight="1">
      <c r="A36" s="122" t="s">
        <v>76</v>
      </c>
      <c r="B36" s="120">
        <f>SUM(B4:B34)</f>
        <v>338</v>
      </c>
      <c r="C36" s="120">
        <f>SUM(C4:C34)</f>
        <v>48266</v>
      </c>
      <c r="D36" s="120">
        <f>SUM(D4:D34)</f>
        <v>219310</v>
      </c>
      <c r="E36" s="131"/>
      <c r="F36" s="120">
        <f>SUM(F4:F34)</f>
        <v>383</v>
      </c>
      <c r="G36" s="120">
        <f>SUM(G4:G34)</f>
        <v>53397</v>
      </c>
      <c r="H36" s="120">
        <f>SUM(H4:H34)</f>
        <v>239862</v>
      </c>
      <c r="I36" s="135"/>
      <c r="J36" s="120">
        <f>SUM(J4:J34)</f>
        <v>325</v>
      </c>
      <c r="K36" s="120">
        <f t="shared" ref="K36:L36" si="0">SUM(K4:K34)</f>
        <v>42105</v>
      </c>
      <c r="L36" s="120">
        <f t="shared" si="0"/>
        <v>198137</v>
      </c>
      <c r="M36" s="131"/>
      <c r="N36" s="120">
        <f>SUM(N4:N34)</f>
        <v>93</v>
      </c>
      <c r="O36" s="120">
        <f>SUM(O4:O34)</f>
        <v>14316</v>
      </c>
      <c r="P36" s="120">
        <f>SUM(P4:P34)</f>
        <v>57124</v>
      </c>
      <c r="Q36" s="131"/>
      <c r="R36" s="120">
        <f>SUM(R4:R34)</f>
        <v>326</v>
      </c>
      <c r="S36" s="120">
        <f>SUM(S4:S34)</f>
        <v>45591</v>
      </c>
      <c r="T36" s="120">
        <f>SUM(T4:T34)</f>
        <v>208957</v>
      </c>
      <c r="U36" s="131"/>
    </row>
    <row r="37" spans="1:21" ht="15">
      <c r="A37" s="136"/>
      <c r="B37" s="215" t="s">
        <v>68</v>
      </c>
      <c r="C37" s="216"/>
      <c r="D37" s="216"/>
      <c r="E37" s="217"/>
      <c r="F37" s="215" t="s">
        <v>69</v>
      </c>
      <c r="G37" s="216"/>
      <c r="H37" s="216"/>
      <c r="I37" s="217"/>
      <c r="J37" s="218" t="s">
        <v>70</v>
      </c>
      <c r="K37" s="219"/>
      <c r="L37" s="219"/>
      <c r="M37" s="220"/>
      <c r="N37" s="218" t="s">
        <v>71</v>
      </c>
      <c r="O37" s="219"/>
      <c r="P37" s="219"/>
      <c r="Q37" s="220"/>
      <c r="R37" s="218" t="s">
        <v>72</v>
      </c>
      <c r="S37" s="219"/>
      <c r="T37" s="219"/>
      <c r="U37" s="220"/>
    </row>
    <row r="38" spans="1:21" ht="40.5">
      <c r="A38" s="125" t="s">
        <v>33</v>
      </c>
      <c r="B38" s="51" t="s">
        <v>77</v>
      </c>
      <c r="C38" s="51" t="s">
        <v>78</v>
      </c>
      <c r="D38" s="51" t="s">
        <v>79</v>
      </c>
      <c r="E38" s="51" t="s">
        <v>80</v>
      </c>
      <c r="F38" s="51" t="s">
        <v>77</v>
      </c>
      <c r="G38" s="51" t="s">
        <v>78</v>
      </c>
      <c r="H38" s="111" t="s">
        <v>79</v>
      </c>
      <c r="I38" s="51" t="s">
        <v>80</v>
      </c>
      <c r="J38" s="51" t="s">
        <v>77</v>
      </c>
      <c r="K38" s="51" t="s">
        <v>78</v>
      </c>
      <c r="L38" s="51" t="s">
        <v>79</v>
      </c>
      <c r="M38" s="51" t="s">
        <v>80</v>
      </c>
      <c r="N38" s="51" t="s">
        <v>77</v>
      </c>
      <c r="O38" s="51" t="s">
        <v>78</v>
      </c>
      <c r="P38" s="51" t="s">
        <v>79</v>
      </c>
      <c r="Q38" s="51" t="s">
        <v>80</v>
      </c>
      <c r="R38" s="51" t="s">
        <v>77</v>
      </c>
      <c r="S38" s="51" t="s">
        <v>78</v>
      </c>
      <c r="T38" s="51" t="s">
        <v>79</v>
      </c>
      <c r="U38" s="51" t="s">
        <v>80</v>
      </c>
    </row>
    <row r="39" spans="1:21" ht="15">
      <c r="A39" s="123">
        <f>A4</f>
        <v>44805</v>
      </c>
      <c r="B39" s="124" t="e">
        <f>C4/B4</f>
        <v>#DIV/0!</v>
      </c>
      <c r="C39" s="62" t="e">
        <f>D4/B4</f>
        <v>#DIV/0!</v>
      </c>
      <c r="D39" s="99" t="e">
        <f>C39/B39</f>
        <v>#DIV/0!</v>
      </c>
      <c r="E39" s="112" t="e">
        <f>(C39/1120)*100</f>
        <v>#DIV/0!</v>
      </c>
      <c r="F39" s="62">
        <f>G4/F4</f>
        <v>133.68421052631578</v>
      </c>
      <c r="G39" s="62">
        <f>H4/F4</f>
        <v>586.57894736842104</v>
      </c>
      <c r="H39" s="140">
        <f>G39/F39</f>
        <v>4.3877952755905518</v>
      </c>
      <c r="I39" s="99">
        <f>(G39/1120)*100</f>
        <v>52.373120300751872</v>
      </c>
      <c r="J39" s="62">
        <f>K4/J4</f>
        <v>145.23076923076923</v>
      </c>
      <c r="K39" s="62">
        <f>L4/J4</f>
        <v>722.07692307692309</v>
      </c>
      <c r="L39" s="99">
        <f>K39/J39</f>
        <v>4.9719279661016955</v>
      </c>
      <c r="M39" s="112">
        <f>(K39/1120)*100</f>
        <v>64.471153846153854</v>
      </c>
      <c r="N39" s="62">
        <f>O4/N4</f>
        <v>176.71428571428572</v>
      </c>
      <c r="O39" s="62">
        <f>P4/N4</f>
        <v>719.14285714285711</v>
      </c>
      <c r="P39" s="99">
        <f>O39/N39</f>
        <v>4.0695230396119637</v>
      </c>
      <c r="Q39" s="112">
        <f>(O39/1120)*100</f>
        <v>64.209183673469383</v>
      </c>
      <c r="R39" s="62">
        <f>S4/R4</f>
        <v>101.58333333333333</v>
      </c>
      <c r="S39" s="62">
        <f>T4/R4</f>
        <v>487.58333333333331</v>
      </c>
      <c r="T39" s="99">
        <f>S39/R39</f>
        <v>4.7998359310910583</v>
      </c>
      <c r="U39" s="112">
        <f>(S39/1120)*100</f>
        <v>43.53422619047619</v>
      </c>
    </row>
    <row r="40" spans="1:21" ht="15">
      <c r="A40" s="123">
        <f t="shared" ref="A40:A69" si="1">A5</f>
        <v>44806</v>
      </c>
      <c r="B40" s="124" t="e">
        <f>C5/B5</f>
        <v>#DIV/0!</v>
      </c>
      <c r="C40" s="62" t="e">
        <f>D5/B5</f>
        <v>#DIV/0!</v>
      </c>
      <c r="D40" s="99" t="e">
        <f>C40/B40</f>
        <v>#DIV/0!</v>
      </c>
      <c r="E40" s="112" t="e">
        <f>(C40/1120)*100</f>
        <v>#DIV/0!</v>
      </c>
      <c r="F40" s="62">
        <f>G5/F5</f>
        <v>112.63636363636364</v>
      </c>
      <c r="G40" s="62">
        <f>H5/F5</f>
        <v>493.36363636363637</v>
      </c>
      <c r="H40" s="140">
        <f>G40/F40</f>
        <v>4.3801452784503629</v>
      </c>
      <c r="I40" s="99">
        <f t="shared" ref="I40:I69" si="2">(G40/1120)*100</f>
        <v>44.050324675324674</v>
      </c>
      <c r="J40" s="62">
        <f>K5/J5</f>
        <v>148.28571428571428</v>
      </c>
      <c r="K40" s="62">
        <f>L5/J5</f>
        <v>713.42857142857144</v>
      </c>
      <c r="L40" s="99">
        <f>K40/J40</f>
        <v>4.8111753371868984</v>
      </c>
      <c r="M40" s="112">
        <f t="shared" ref="M40:M69" si="3">(K40/1120)*100</f>
        <v>63.698979591836732</v>
      </c>
      <c r="N40" s="62">
        <f>O5/N5</f>
        <v>36</v>
      </c>
      <c r="O40" s="62">
        <f>P5/N5</f>
        <v>227</v>
      </c>
      <c r="P40" s="99">
        <f>O40/N40</f>
        <v>6.3055555555555554</v>
      </c>
      <c r="Q40" s="112">
        <f t="shared" ref="Q40:Q69" si="4">(O40/1120)*100</f>
        <v>20.267857142857142</v>
      </c>
      <c r="R40" s="62">
        <f>S5/R5</f>
        <v>149.6</v>
      </c>
      <c r="S40" s="62">
        <f>T5/R5</f>
        <v>701.7</v>
      </c>
      <c r="T40" s="99">
        <f>S40/R40</f>
        <v>4.6905080213903751</v>
      </c>
      <c r="U40" s="112">
        <f t="shared" ref="U40:U69" si="5">(S40/1120)*100</f>
        <v>62.651785714285722</v>
      </c>
    </row>
    <row r="41" spans="1:21" ht="15">
      <c r="A41" s="123">
        <f t="shared" si="1"/>
        <v>44807</v>
      </c>
      <c r="B41" s="124">
        <f>C6/B6</f>
        <v>122.2</v>
      </c>
      <c r="C41" s="62">
        <f>D6/B6</f>
        <v>524.29999999999995</v>
      </c>
      <c r="D41" s="99">
        <f>C41/B41</f>
        <v>4.2905073649754497</v>
      </c>
      <c r="E41" s="112">
        <f>(C41/1120)*100</f>
        <v>46.812499999999993</v>
      </c>
      <c r="F41" s="62">
        <f>G6/F6</f>
        <v>164.64285714285714</v>
      </c>
      <c r="G41" s="62">
        <f>H6/F6</f>
        <v>732.07142857142856</v>
      </c>
      <c r="H41" s="140">
        <f>G41/F41</f>
        <v>4.4464208242950107</v>
      </c>
      <c r="I41" s="99">
        <f t="shared" si="2"/>
        <v>65.363520408163268</v>
      </c>
      <c r="J41" s="62">
        <f>K6/J6</f>
        <v>127.25</v>
      </c>
      <c r="K41" s="62">
        <f>L6/J6</f>
        <v>574.125</v>
      </c>
      <c r="L41" s="99">
        <f>K41/J41</f>
        <v>4.5117878192534384</v>
      </c>
      <c r="M41" s="112">
        <f t="shared" si="3"/>
        <v>51.261160714285715</v>
      </c>
      <c r="N41" s="62">
        <f>O6/N6</f>
        <v>172.33333333333334</v>
      </c>
      <c r="O41" s="62">
        <f>P6/N6</f>
        <v>722</v>
      </c>
      <c r="P41" s="99">
        <f>O41/N41</f>
        <v>4.1895551257253381</v>
      </c>
      <c r="Q41" s="112">
        <f t="shared" si="4"/>
        <v>64.464285714285722</v>
      </c>
      <c r="R41" s="62" t="e">
        <f>S6/R6</f>
        <v>#DIV/0!</v>
      </c>
      <c r="S41" s="62" t="e">
        <f>T6/R6</f>
        <v>#DIV/0!</v>
      </c>
      <c r="T41" s="99" t="e">
        <f>S41/R41</f>
        <v>#DIV/0!</v>
      </c>
      <c r="U41" s="112" t="e">
        <f t="shared" si="5"/>
        <v>#DIV/0!</v>
      </c>
    </row>
    <row r="42" spans="1:21" ht="15">
      <c r="A42" s="123">
        <f t="shared" si="1"/>
        <v>44808</v>
      </c>
      <c r="B42" s="124" t="e">
        <f>C7/B7</f>
        <v>#DIV/0!</v>
      </c>
      <c r="C42" s="62" t="e">
        <f>D7/B7</f>
        <v>#DIV/0!</v>
      </c>
      <c r="D42" s="99" t="e">
        <f>C42/B42</f>
        <v>#DIV/0!</v>
      </c>
      <c r="E42" s="112" t="e">
        <f>(C42/1120)*100</f>
        <v>#DIV/0!</v>
      </c>
      <c r="F42" s="62">
        <f>G7/F7</f>
        <v>155.16666666666666</v>
      </c>
      <c r="G42" s="62">
        <f>H7/F7</f>
        <v>713.41666666666663</v>
      </c>
      <c r="H42" s="140">
        <f>G42/F42</f>
        <v>4.5977443609022552</v>
      </c>
      <c r="I42" s="99">
        <f t="shared" si="2"/>
        <v>63.697916666666664</v>
      </c>
      <c r="J42" s="62">
        <f>K7/J7</f>
        <v>123.05882352941177</v>
      </c>
      <c r="K42" s="62">
        <f>L7/J7</f>
        <v>578.88235294117646</v>
      </c>
      <c r="L42" s="99">
        <f>K42/J42</f>
        <v>4.7041108986615674</v>
      </c>
      <c r="M42" s="112">
        <f t="shared" si="3"/>
        <v>51.685924369747895</v>
      </c>
      <c r="N42" s="62">
        <f>O7/N7</f>
        <v>179.875</v>
      </c>
      <c r="O42" s="62">
        <f>P7/N7</f>
        <v>695.375</v>
      </c>
      <c r="P42" s="99">
        <f>O42/N42</f>
        <v>3.865879082696317</v>
      </c>
      <c r="Q42" s="112">
        <f t="shared" si="4"/>
        <v>62.087053571428577</v>
      </c>
      <c r="R42" s="62">
        <f>S7/R7</f>
        <v>118.83333333333333</v>
      </c>
      <c r="S42" s="62">
        <f>T7/R7</f>
        <v>527.75</v>
      </c>
      <c r="T42" s="99">
        <f>S42/R42</f>
        <v>4.4410939691444602</v>
      </c>
      <c r="U42" s="112">
        <f t="shared" si="5"/>
        <v>47.120535714285715</v>
      </c>
    </row>
    <row r="43" spans="1:21" ht="15">
      <c r="A43" s="123">
        <f t="shared" si="1"/>
        <v>44809</v>
      </c>
      <c r="B43" s="124">
        <f>C8/B8</f>
        <v>152.42857142857142</v>
      </c>
      <c r="C43" s="62">
        <f>D8/B8</f>
        <v>713.07142857142856</v>
      </c>
      <c r="D43" s="99">
        <f>C43/B43</f>
        <v>4.6780693533270856</v>
      </c>
      <c r="E43" s="112">
        <f>(C43/1120)*100</f>
        <v>63.667091836734691</v>
      </c>
      <c r="F43" s="62">
        <f>G8/F8</f>
        <v>119.7</v>
      </c>
      <c r="G43" s="62">
        <f>H8/F8</f>
        <v>525.4</v>
      </c>
      <c r="H43" s="140">
        <f>G43/F43</f>
        <v>4.3893065998329153</v>
      </c>
      <c r="I43" s="99">
        <f t="shared" si="2"/>
        <v>46.910714285714285</v>
      </c>
      <c r="J43" s="62">
        <f>K8/J8</f>
        <v>124.11111111111111</v>
      </c>
      <c r="K43" s="62">
        <f>L8/J8</f>
        <v>585.5</v>
      </c>
      <c r="L43" s="99">
        <f>K43/J43</f>
        <v>4.7175470008952551</v>
      </c>
      <c r="M43" s="112">
        <f t="shared" si="3"/>
        <v>52.276785714285708</v>
      </c>
      <c r="N43" s="62">
        <f>O8/N8</f>
        <v>187.33333333333334</v>
      </c>
      <c r="O43" s="62">
        <f>P8/N8</f>
        <v>759.11111111111109</v>
      </c>
      <c r="P43" s="99">
        <f>O43/N43</f>
        <v>4.0521945432977455</v>
      </c>
      <c r="Q43" s="112">
        <f t="shared" si="4"/>
        <v>67.777777777777771</v>
      </c>
      <c r="R43" s="62" t="e">
        <f>S8/R8</f>
        <v>#DIV/0!</v>
      </c>
      <c r="S43" s="62" t="e">
        <f>T8/R8</f>
        <v>#DIV/0!</v>
      </c>
      <c r="T43" s="99" t="e">
        <f>S43/R43</f>
        <v>#DIV/0!</v>
      </c>
      <c r="U43" s="112" t="e">
        <f t="shared" si="5"/>
        <v>#DIV/0!</v>
      </c>
    </row>
    <row r="44" spans="1:21" ht="15">
      <c r="A44" s="123">
        <f t="shared" si="1"/>
        <v>44810</v>
      </c>
      <c r="B44" s="124">
        <f>C9/B9</f>
        <v>176.21428571428572</v>
      </c>
      <c r="C44" s="62">
        <f>D9/B9</f>
        <v>785.78571428571433</v>
      </c>
      <c r="D44" s="99">
        <f>C44/B44</f>
        <v>4.4592622618565061</v>
      </c>
      <c r="E44" s="112">
        <f>(C44/1120)*100</f>
        <v>70.15943877551021</v>
      </c>
      <c r="F44" s="62">
        <f>G9/F9</f>
        <v>126.11111111111111</v>
      </c>
      <c r="G44" s="62">
        <f>H9/F9</f>
        <v>548.44444444444446</v>
      </c>
      <c r="H44" s="140">
        <f>G44/F44</f>
        <v>4.3488986784140966</v>
      </c>
      <c r="I44" s="99">
        <f t="shared" si="2"/>
        <v>48.968253968253975</v>
      </c>
      <c r="J44" s="62">
        <f>K9/J9</f>
        <v>123.90909090909091</v>
      </c>
      <c r="K44" s="62">
        <f>L9/J9</f>
        <v>559.5454545454545</v>
      </c>
      <c r="L44" s="99">
        <f>K44/J44</f>
        <v>4.5157740278796767</v>
      </c>
      <c r="M44" s="112">
        <f t="shared" si="3"/>
        <v>49.959415584415581</v>
      </c>
      <c r="N44" s="62" t="e">
        <f>O9/N9</f>
        <v>#DIV/0!</v>
      </c>
      <c r="O44" s="62" t="e">
        <f>P9/N9</f>
        <v>#DIV/0!</v>
      </c>
      <c r="P44" s="99" t="e">
        <f>O44/N44</f>
        <v>#DIV/0!</v>
      </c>
      <c r="Q44" s="112" t="e">
        <f t="shared" si="4"/>
        <v>#DIV/0!</v>
      </c>
      <c r="R44" s="62">
        <f>S9/R9</f>
        <v>173.35714285714286</v>
      </c>
      <c r="S44" s="62">
        <f>T9/R9</f>
        <v>792.07142857142856</v>
      </c>
      <c r="T44" s="99">
        <f>S44/R44</f>
        <v>4.5690152451586314</v>
      </c>
      <c r="U44" s="112">
        <f t="shared" si="5"/>
        <v>70.720663265306115</v>
      </c>
    </row>
    <row r="45" spans="1:21" ht="15">
      <c r="A45" s="123">
        <f t="shared" si="1"/>
        <v>44811</v>
      </c>
      <c r="B45" s="124">
        <f>C10/B10</f>
        <v>139.61538461538461</v>
      </c>
      <c r="C45" s="62">
        <f>D10/B10</f>
        <v>691.76923076923072</v>
      </c>
      <c r="D45" s="99">
        <f>C45/B45</f>
        <v>4.954820936639118</v>
      </c>
      <c r="E45" s="112">
        <f>(C45/1120)*100</f>
        <v>61.765109890109883</v>
      </c>
      <c r="F45" s="62">
        <f>G10/F10</f>
        <v>126.77777777777777</v>
      </c>
      <c r="G45" s="62">
        <f>H10/F10</f>
        <v>559</v>
      </c>
      <c r="H45" s="140">
        <f>G45/F45</f>
        <v>4.4092900964066608</v>
      </c>
      <c r="I45" s="99">
        <f t="shared" si="2"/>
        <v>49.910714285714285</v>
      </c>
      <c r="J45" s="62">
        <f>K10/J10</f>
        <v>109.27272727272727</v>
      </c>
      <c r="K45" s="62">
        <f>L10/J10</f>
        <v>502.09090909090907</v>
      </c>
      <c r="L45" s="99">
        <f>K45/J45</f>
        <v>4.5948419301164725</v>
      </c>
      <c r="M45" s="112">
        <f t="shared" si="3"/>
        <v>44.829545454545453</v>
      </c>
      <c r="N45" s="62" t="e">
        <f>O10/N10</f>
        <v>#DIV/0!</v>
      </c>
      <c r="O45" s="62" t="e">
        <f>P10/N10</f>
        <v>#DIV/0!</v>
      </c>
      <c r="P45" s="99" t="e">
        <f>O45/N45</f>
        <v>#DIV/0!</v>
      </c>
      <c r="Q45" s="112" t="e">
        <f t="shared" si="4"/>
        <v>#DIV/0!</v>
      </c>
      <c r="R45" s="62">
        <f>S10/R10</f>
        <v>145.53846153846155</v>
      </c>
      <c r="S45" s="62">
        <f>T10/R10</f>
        <v>701</v>
      </c>
      <c r="T45" s="99">
        <f>S45/R45</f>
        <v>4.8165961945031706</v>
      </c>
      <c r="U45" s="112">
        <f t="shared" si="5"/>
        <v>62.589285714285715</v>
      </c>
    </row>
    <row r="46" spans="1:21" ht="15">
      <c r="A46" s="123">
        <f t="shared" si="1"/>
        <v>44812</v>
      </c>
      <c r="B46" s="124">
        <f>C11/B11</f>
        <v>150.4</v>
      </c>
      <c r="C46" s="62">
        <f>D11/B11</f>
        <v>670</v>
      </c>
      <c r="D46" s="99">
        <f>C46/B46</f>
        <v>4.4547872340425529</v>
      </c>
      <c r="E46" s="112">
        <f>(C46/1120)*100</f>
        <v>59.821428571428569</v>
      </c>
      <c r="F46" s="62">
        <f>G11/F11</f>
        <v>120</v>
      </c>
      <c r="G46" s="62">
        <f>H11/F11</f>
        <v>523.375</v>
      </c>
      <c r="H46" s="140">
        <f>G46/F46</f>
        <v>4.3614583333333332</v>
      </c>
      <c r="I46" s="99">
        <f t="shared" si="2"/>
        <v>46.729910714285715</v>
      </c>
      <c r="J46" s="62">
        <f>K11/J11</f>
        <v>114.25</v>
      </c>
      <c r="K46" s="62">
        <f>L11/J11</f>
        <v>529.5</v>
      </c>
      <c r="L46" s="99">
        <f>K46/J46</f>
        <v>4.6345733041575494</v>
      </c>
      <c r="M46" s="112">
        <f t="shared" si="3"/>
        <v>47.276785714285715</v>
      </c>
      <c r="N46" s="62" t="e">
        <f>O11/N11</f>
        <v>#DIV/0!</v>
      </c>
      <c r="O46" s="62" t="e">
        <f>P11/N11</f>
        <v>#DIV/0!</v>
      </c>
      <c r="P46" s="99" t="e">
        <f>O46/N46</f>
        <v>#DIV/0!</v>
      </c>
      <c r="Q46" s="112" t="e">
        <f t="shared" si="4"/>
        <v>#DIV/0!</v>
      </c>
      <c r="R46" s="62">
        <f>S11/R11</f>
        <v>152.0625</v>
      </c>
      <c r="S46" s="62">
        <f>T11/R11</f>
        <v>704.375</v>
      </c>
      <c r="T46" s="99">
        <f>S46/R46</f>
        <v>4.6321413892314016</v>
      </c>
      <c r="U46" s="112">
        <f t="shared" si="5"/>
        <v>62.890625</v>
      </c>
    </row>
    <row r="47" spans="1:21" ht="15">
      <c r="A47" s="123">
        <f t="shared" si="1"/>
        <v>44813</v>
      </c>
      <c r="B47" s="124">
        <f>C12/B12</f>
        <v>155.66666666666666</v>
      </c>
      <c r="C47" s="62">
        <f>D12/B12</f>
        <v>727.66666666666663</v>
      </c>
      <c r="D47" s="99">
        <f>C47/B47</f>
        <v>4.6745182012847968</v>
      </c>
      <c r="E47" s="112">
        <f>(C47/1120)*100</f>
        <v>64.970238095238088</v>
      </c>
      <c r="F47" s="62">
        <f>G12/F12</f>
        <v>130.5625</v>
      </c>
      <c r="G47" s="62">
        <f>H12/F12</f>
        <v>595.8125</v>
      </c>
      <c r="H47" s="140">
        <f>G47/F47</f>
        <v>4.5634274772618477</v>
      </c>
      <c r="I47" s="99">
        <f t="shared" si="2"/>
        <v>53.197544642857139</v>
      </c>
      <c r="J47" s="62">
        <f>K12/J12</f>
        <v>136.92307692307693</v>
      </c>
      <c r="K47" s="62">
        <f>L12/J12</f>
        <v>666.84615384615381</v>
      </c>
      <c r="L47" s="99">
        <f>K47/J47</f>
        <v>4.870224719101123</v>
      </c>
      <c r="M47" s="112">
        <f t="shared" si="3"/>
        <v>59.539835164835168</v>
      </c>
      <c r="N47" s="62" t="e">
        <f>O12/N12</f>
        <v>#DIV/0!</v>
      </c>
      <c r="O47" s="62" t="e">
        <f>P12/N12</f>
        <v>#DIV/0!</v>
      </c>
      <c r="P47" s="99" t="e">
        <f>O47/N47</f>
        <v>#DIV/0!</v>
      </c>
      <c r="Q47" s="112" t="e">
        <f t="shared" si="4"/>
        <v>#DIV/0!</v>
      </c>
      <c r="R47" s="62">
        <f>S12/R12</f>
        <v>85.6</v>
      </c>
      <c r="S47" s="62">
        <f>T12/R12</f>
        <v>451</v>
      </c>
      <c r="T47" s="99">
        <f>S47/R47</f>
        <v>5.268691588785047</v>
      </c>
      <c r="U47" s="112">
        <f t="shared" si="5"/>
        <v>40.267857142857146</v>
      </c>
    </row>
    <row r="48" spans="1:21" ht="15">
      <c r="A48" s="123">
        <f t="shared" si="1"/>
        <v>44814</v>
      </c>
      <c r="B48" s="124">
        <f>C13/B13</f>
        <v>127.61538461538461</v>
      </c>
      <c r="C48" s="62">
        <f>D13/B13</f>
        <v>555</v>
      </c>
      <c r="D48" s="99">
        <f>C48/B48</f>
        <v>4.3490054249547923</v>
      </c>
      <c r="E48" s="112">
        <f>(C48/1120)*100</f>
        <v>49.553571428571431</v>
      </c>
      <c r="F48" s="62">
        <f>G13/F13</f>
        <v>151.8235294117647</v>
      </c>
      <c r="G48" s="62">
        <f>H13/F13</f>
        <v>684.11764705882354</v>
      </c>
      <c r="H48" s="140">
        <f>G48/F48</f>
        <v>4.5060054242541652</v>
      </c>
      <c r="I48" s="99">
        <f t="shared" si="2"/>
        <v>61.081932773109251</v>
      </c>
      <c r="J48" s="62">
        <f>K13/J13</f>
        <v>113.14285714285714</v>
      </c>
      <c r="K48" s="62">
        <f>L13/J13</f>
        <v>503.85714285714283</v>
      </c>
      <c r="L48" s="99">
        <f>K48/J48</f>
        <v>4.4532828282828278</v>
      </c>
      <c r="M48" s="112">
        <f t="shared" si="3"/>
        <v>44.987244897959187</v>
      </c>
      <c r="N48" s="62" t="e">
        <f>O13/N13</f>
        <v>#DIV/0!</v>
      </c>
      <c r="O48" s="62" t="e">
        <f>P13/N13</f>
        <v>#DIV/0!</v>
      </c>
      <c r="P48" s="99" t="e">
        <f>O48/N48</f>
        <v>#DIV/0!</v>
      </c>
      <c r="Q48" s="112" t="e">
        <f t="shared" si="4"/>
        <v>#DIV/0!</v>
      </c>
      <c r="R48" s="62">
        <f>S13/R13</f>
        <v>146.06666666666666</v>
      </c>
      <c r="S48" s="62">
        <f>T13/R13</f>
        <v>675.86666666666667</v>
      </c>
      <c r="T48" s="99">
        <f>S48/R48</f>
        <v>4.6271109082610682</v>
      </c>
      <c r="U48" s="112">
        <f t="shared" si="5"/>
        <v>60.345238095238095</v>
      </c>
    </row>
    <row r="49" spans="1:21" ht="15">
      <c r="A49" s="123">
        <f t="shared" si="1"/>
        <v>44815</v>
      </c>
      <c r="B49" s="124">
        <f>C14/B14</f>
        <v>145.61538461538461</v>
      </c>
      <c r="C49" s="62">
        <f>D14/B14</f>
        <v>667.38461538461536</v>
      </c>
      <c r="D49" s="99">
        <f>C49/B49</f>
        <v>4.5832012678288434</v>
      </c>
      <c r="E49" s="112">
        <f>(C49/1120)*100</f>
        <v>59.587912087912088</v>
      </c>
      <c r="F49" s="62">
        <f>G14/F14</f>
        <v>115.41666666666667</v>
      </c>
      <c r="G49" s="62">
        <f>H14/F14</f>
        <v>507.58333333333331</v>
      </c>
      <c r="H49" s="140">
        <f>G49/F49</f>
        <v>4.39783393501805</v>
      </c>
      <c r="I49" s="99">
        <f t="shared" si="2"/>
        <v>45.319940476190474</v>
      </c>
      <c r="J49" s="62">
        <f>K14/J14</f>
        <v>141.23076923076923</v>
      </c>
      <c r="K49" s="62">
        <f>L14/J14</f>
        <v>663.76923076923072</v>
      </c>
      <c r="L49" s="99">
        <f>K49/J49</f>
        <v>4.6998910675381262</v>
      </c>
      <c r="M49" s="112">
        <f t="shared" si="3"/>
        <v>59.265109890109891</v>
      </c>
      <c r="N49" s="62" t="e">
        <f>O14/N14</f>
        <v>#DIV/0!</v>
      </c>
      <c r="O49" s="62" t="e">
        <f>P14/N14</f>
        <v>#DIV/0!</v>
      </c>
      <c r="P49" s="99" t="e">
        <f>O49/N49</f>
        <v>#DIV/0!</v>
      </c>
      <c r="Q49" s="112" t="e">
        <f t="shared" si="4"/>
        <v>#DIV/0!</v>
      </c>
      <c r="R49" s="62" t="e">
        <f>S14/R14</f>
        <v>#DIV/0!</v>
      </c>
      <c r="S49" s="62" t="e">
        <f>T14/R14</f>
        <v>#DIV/0!</v>
      </c>
      <c r="T49" s="99" t="e">
        <f>S49/R49</f>
        <v>#DIV/0!</v>
      </c>
      <c r="U49" s="112" t="e">
        <f t="shared" si="5"/>
        <v>#DIV/0!</v>
      </c>
    </row>
    <row r="50" spans="1:21" ht="15">
      <c r="A50" s="123">
        <f t="shared" si="1"/>
        <v>44816</v>
      </c>
      <c r="B50" s="124">
        <f>C15/B15</f>
        <v>152.28571428571428</v>
      </c>
      <c r="C50" s="62">
        <f>D15/B15</f>
        <v>703.5</v>
      </c>
      <c r="D50" s="99">
        <f>C50/B50</f>
        <v>4.6196060037523452</v>
      </c>
      <c r="E50" s="112">
        <f>(C50/1120)*100</f>
        <v>62.812500000000007</v>
      </c>
      <c r="F50" s="62">
        <f>G15/F15</f>
        <v>140.11764705882354</v>
      </c>
      <c r="G50" s="62">
        <f>H15/F15</f>
        <v>624.11764705882354</v>
      </c>
      <c r="H50" s="140">
        <f>G50/F50</f>
        <v>4.4542401343408899</v>
      </c>
      <c r="I50" s="99">
        <f t="shared" si="2"/>
        <v>55.72478991596639</v>
      </c>
      <c r="J50" s="62">
        <f>K15/J15</f>
        <v>145.06666666666666</v>
      </c>
      <c r="K50" s="62">
        <f>L15/J15</f>
        <v>685.2</v>
      </c>
      <c r="L50" s="99">
        <f>K50/J50</f>
        <v>4.7233455882352944</v>
      </c>
      <c r="M50" s="112">
        <f t="shared" si="3"/>
        <v>61.178571428571438</v>
      </c>
      <c r="N50" s="62" t="e">
        <f>O15/N15</f>
        <v>#DIV/0!</v>
      </c>
      <c r="O50" s="62" t="e">
        <f>P15/N15</f>
        <v>#DIV/0!</v>
      </c>
      <c r="P50" s="99" t="e">
        <f>O50/N50</f>
        <v>#DIV/0!</v>
      </c>
      <c r="Q50" s="112" t="e">
        <f t="shared" si="4"/>
        <v>#DIV/0!</v>
      </c>
      <c r="R50" s="62">
        <f>S15/R15</f>
        <v>132.125</v>
      </c>
      <c r="S50" s="62">
        <f>T15/R15</f>
        <v>602.8125</v>
      </c>
      <c r="T50" s="99">
        <f>S50/R50</f>
        <v>4.5624408703878903</v>
      </c>
      <c r="U50" s="112">
        <f t="shared" si="5"/>
        <v>53.822544642857139</v>
      </c>
    </row>
    <row r="51" spans="1:21" ht="15">
      <c r="A51" s="123">
        <f t="shared" si="1"/>
        <v>44817</v>
      </c>
      <c r="B51" s="124">
        <f>C16/B16</f>
        <v>145</v>
      </c>
      <c r="C51" s="62">
        <f>D16/B16</f>
        <v>661.4</v>
      </c>
      <c r="D51" s="99">
        <f>C51/B51</f>
        <v>4.5613793103448277</v>
      </c>
      <c r="E51" s="112">
        <f>(C51/1120)*100</f>
        <v>59.053571428571431</v>
      </c>
      <c r="F51" s="62">
        <f>G16/F16</f>
        <v>138.44444444444446</v>
      </c>
      <c r="G51" s="62">
        <f>H16/F16</f>
        <v>610.55555555555554</v>
      </c>
      <c r="H51" s="140">
        <f>G51/F51</f>
        <v>4.4101123595505616</v>
      </c>
      <c r="I51" s="99">
        <f t="shared" si="2"/>
        <v>54.513888888888886</v>
      </c>
      <c r="J51" s="62">
        <f>K16/J16</f>
        <v>114.26666666666667</v>
      </c>
      <c r="K51" s="62">
        <f>L16/J16</f>
        <v>549.26666666666665</v>
      </c>
      <c r="L51" s="99">
        <f>K51/J51</f>
        <v>4.806884480746791</v>
      </c>
      <c r="M51" s="112">
        <f t="shared" si="3"/>
        <v>49.041666666666664</v>
      </c>
      <c r="N51" s="62" t="e">
        <f>O16/N16</f>
        <v>#DIV/0!</v>
      </c>
      <c r="O51" s="62" t="e">
        <f>P16/N16</f>
        <v>#DIV/0!</v>
      </c>
      <c r="P51" s="99" t="e">
        <f>O51/N51</f>
        <v>#DIV/0!</v>
      </c>
      <c r="Q51" s="112" t="e">
        <f t="shared" si="4"/>
        <v>#DIV/0!</v>
      </c>
      <c r="R51" s="62">
        <f>S16/R16</f>
        <v>133.44444444444446</v>
      </c>
      <c r="S51" s="62">
        <f>T16/R16</f>
        <v>608</v>
      </c>
      <c r="T51" s="99">
        <f>S51/R51</f>
        <v>4.5562031640299745</v>
      </c>
      <c r="U51" s="112">
        <f t="shared" si="5"/>
        <v>54.285714285714285</v>
      </c>
    </row>
    <row r="52" spans="1:21" ht="15">
      <c r="A52" s="123">
        <f t="shared" si="1"/>
        <v>44818</v>
      </c>
      <c r="B52" s="124">
        <f>C17/B17</f>
        <v>131.35714285714286</v>
      </c>
      <c r="C52" s="62">
        <f>D17/B17</f>
        <v>592</v>
      </c>
      <c r="D52" s="99">
        <f>C52/B52</f>
        <v>4.5067971723762916</v>
      </c>
      <c r="E52" s="112">
        <f>(C52/1120)*100</f>
        <v>52.857142857142861</v>
      </c>
      <c r="F52" s="62">
        <f>G17/F17</f>
        <v>153.27272727272728</v>
      </c>
      <c r="G52" s="62">
        <f>H17/F17</f>
        <v>720.72727272727275</v>
      </c>
      <c r="H52" s="140">
        <f>G52/F52</f>
        <v>4.7022538552787658</v>
      </c>
      <c r="I52" s="99">
        <f t="shared" si="2"/>
        <v>64.350649350649348</v>
      </c>
      <c r="J52" s="62" t="e">
        <f>K17/J17</f>
        <v>#DIV/0!</v>
      </c>
      <c r="K52" s="62" t="e">
        <f>L17/J17</f>
        <v>#DIV/0!</v>
      </c>
      <c r="L52" s="99" t="e">
        <f>K52/J52</f>
        <v>#DIV/0!</v>
      </c>
      <c r="M52" s="112" t="e">
        <f t="shared" si="3"/>
        <v>#DIV/0!</v>
      </c>
      <c r="N52" s="62" t="e">
        <f>O17/N17</f>
        <v>#DIV/0!</v>
      </c>
      <c r="O52" s="62" t="e">
        <f>P17/N17</f>
        <v>#DIV/0!</v>
      </c>
      <c r="P52" s="99" t="e">
        <f>O52/N52</f>
        <v>#DIV/0!</v>
      </c>
      <c r="Q52" s="112" t="e">
        <f t="shared" si="4"/>
        <v>#DIV/0!</v>
      </c>
      <c r="R52" s="62">
        <f>S17/R17</f>
        <v>143.09090909090909</v>
      </c>
      <c r="S52" s="62">
        <f>T17/R17</f>
        <v>720.09090909090912</v>
      </c>
      <c r="T52" s="99">
        <f>S52/R52</f>
        <v>5.0324015247776366</v>
      </c>
      <c r="U52" s="112">
        <f t="shared" si="5"/>
        <v>64.293831168831176</v>
      </c>
    </row>
    <row r="53" spans="1:21" ht="15">
      <c r="A53" s="123">
        <f t="shared" si="1"/>
        <v>44819</v>
      </c>
      <c r="B53" s="124">
        <f>C18/B18</f>
        <v>138.375</v>
      </c>
      <c r="C53" s="62">
        <f>D18/B18</f>
        <v>625</v>
      </c>
      <c r="D53" s="99">
        <f>C53/B53</f>
        <v>4.5167118337850045</v>
      </c>
      <c r="E53" s="112">
        <f>(C53/1120)*100</f>
        <v>55.803571428571431</v>
      </c>
      <c r="F53" s="62">
        <f>G18/F18</f>
        <v>151.25</v>
      </c>
      <c r="G53" s="62">
        <f>H18/F18</f>
        <v>690.5</v>
      </c>
      <c r="H53" s="140">
        <f>G53/F53</f>
        <v>4.5652892561983469</v>
      </c>
      <c r="I53" s="99">
        <f t="shared" si="2"/>
        <v>61.651785714285708</v>
      </c>
      <c r="J53" s="62">
        <f>K18/J18</f>
        <v>130.83333333333334</v>
      </c>
      <c r="K53" s="62">
        <f>L18/J18</f>
        <v>589.5</v>
      </c>
      <c r="L53" s="99">
        <f>K53/J53</f>
        <v>4.5057324840764332</v>
      </c>
      <c r="M53" s="112">
        <f t="shared" si="3"/>
        <v>52.633928571428569</v>
      </c>
      <c r="N53" s="62" t="e">
        <f>O18/N18</f>
        <v>#DIV/0!</v>
      </c>
      <c r="O53" s="62" t="e">
        <f>P18/N18</f>
        <v>#DIV/0!</v>
      </c>
      <c r="P53" s="99" t="e">
        <f>O53/N53</f>
        <v>#DIV/0!</v>
      </c>
      <c r="Q53" s="112" t="e">
        <f t="shared" si="4"/>
        <v>#DIV/0!</v>
      </c>
      <c r="R53" s="62">
        <f>S18/R18</f>
        <v>132.5</v>
      </c>
      <c r="S53" s="62">
        <f>T18/R18</f>
        <v>649</v>
      </c>
      <c r="T53" s="99">
        <f>S53/R53</f>
        <v>4.8981132075471701</v>
      </c>
      <c r="U53" s="112">
        <f t="shared" si="5"/>
        <v>57.946428571428577</v>
      </c>
    </row>
    <row r="54" spans="1:21" ht="15">
      <c r="A54" s="123">
        <f t="shared" si="1"/>
        <v>44820</v>
      </c>
      <c r="B54" s="124">
        <f>C19/B19</f>
        <v>107.90909090909091</v>
      </c>
      <c r="C54" s="62">
        <f>D19/B19</f>
        <v>480.72727272727275</v>
      </c>
      <c r="D54" s="99">
        <f>C54/B54</f>
        <v>4.4549283909014328</v>
      </c>
      <c r="E54" s="112">
        <f>(C54/1120)*100</f>
        <v>42.922077922077925</v>
      </c>
      <c r="F54" s="62">
        <f>G19/F19</f>
        <v>142.19999999999999</v>
      </c>
      <c r="G54" s="62">
        <f>H19/F19</f>
        <v>673.06666666666672</v>
      </c>
      <c r="H54" s="140">
        <f>G54/F54</f>
        <v>4.733239568682607</v>
      </c>
      <c r="I54" s="99">
        <f t="shared" si="2"/>
        <v>60.095238095238102</v>
      </c>
      <c r="J54" s="62">
        <f>K19/J19</f>
        <v>115.6</v>
      </c>
      <c r="K54" s="62">
        <f>L19/J19</f>
        <v>530.70000000000005</v>
      </c>
      <c r="L54" s="99">
        <f>K54/J54</f>
        <v>4.5908304498269903</v>
      </c>
      <c r="M54" s="112">
        <f t="shared" si="3"/>
        <v>47.383928571428577</v>
      </c>
      <c r="N54" s="62" t="e">
        <f>O19/N19</f>
        <v>#DIV/0!</v>
      </c>
      <c r="O54" s="62" t="e">
        <f>P19/N19</f>
        <v>#DIV/0!</v>
      </c>
      <c r="P54" s="99" t="e">
        <f>O54/N54</f>
        <v>#DIV/0!</v>
      </c>
      <c r="Q54" s="112" t="e">
        <f t="shared" si="4"/>
        <v>#DIV/0!</v>
      </c>
      <c r="R54" s="62">
        <f>S19/R19</f>
        <v>161.35714285714286</v>
      </c>
      <c r="S54" s="62">
        <f>T19/R19</f>
        <v>716.14285714285711</v>
      </c>
      <c r="T54" s="99">
        <f>S54/R54</f>
        <v>4.4382470119521908</v>
      </c>
      <c r="U54" s="112">
        <f t="shared" si="5"/>
        <v>63.941326530612244</v>
      </c>
    </row>
    <row r="55" spans="1:21" ht="15">
      <c r="A55" s="123">
        <f t="shared" si="1"/>
        <v>44821</v>
      </c>
      <c r="B55" s="124">
        <f>C20/B20</f>
        <v>125.16666666666667</v>
      </c>
      <c r="C55" s="62">
        <f>D20/B20</f>
        <v>559.41666666666663</v>
      </c>
      <c r="D55" s="99">
        <f>C55/B55</f>
        <v>4.4693741677762979</v>
      </c>
      <c r="E55" s="112">
        <f>(C55/1120)*100</f>
        <v>49.947916666666664</v>
      </c>
      <c r="F55" s="62">
        <f>G20/F20</f>
        <v>171.25</v>
      </c>
      <c r="G55" s="62">
        <f>H20/F20</f>
        <v>746.25</v>
      </c>
      <c r="H55" s="140">
        <f>G55/F55</f>
        <v>4.3576642335766422</v>
      </c>
      <c r="I55" s="99">
        <f t="shared" si="2"/>
        <v>66.629464285714292</v>
      </c>
      <c r="J55" s="62">
        <f>K20/J20</f>
        <v>118.33333333333333</v>
      </c>
      <c r="K55" s="62">
        <f>L20/J20</f>
        <v>556.66666666666663</v>
      </c>
      <c r="L55" s="99">
        <f>K55/J55</f>
        <v>4.704225352112676</v>
      </c>
      <c r="M55" s="112">
        <f t="shared" si="3"/>
        <v>49.702380952380949</v>
      </c>
      <c r="N55" s="62" t="e">
        <f>O20/N20</f>
        <v>#DIV/0!</v>
      </c>
      <c r="O55" s="62" t="e">
        <f>P20/N20</f>
        <v>#DIV/0!</v>
      </c>
      <c r="P55" s="99" t="e">
        <f>O55/N55</f>
        <v>#DIV/0!</v>
      </c>
      <c r="Q55" s="112" t="e">
        <f t="shared" si="4"/>
        <v>#DIV/0!</v>
      </c>
      <c r="R55" s="62">
        <f>S20/R20</f>
        <v>153.15384615384616</v>
      </c>
      <c r="S55" s="62">
        <f>T20/R20</f>
        <v>695.07692307692309</v>
      </c>
      <c r="T55" s="99">
        <f>S55/R55</f>
        <v>4.538422903063787</v>
      </c>
      <c r="U55" s="112">
        <f t="shared" si="5"/>
        <v>62.060439560439562</v>
      </c>
    </row>
    <row r="56" spans="1:21" ht="15">
      <c r="A56" s="123">
        <f t="shared" si="1"/>
        <v>44822</v>
      </c>
      <c r="B56" s="124">
        <f>C21/B21</f>
        <v>173</v>
      </c>
      <c r="C56" s="62">
        <f>D21/B21</f>
        <v>800.1</v>
      </c>
      <c r="D56" s="99">
        <f>C56/B56</f>
        <v>4.6248554913294795</v>
      </c>
      <c r="E56" s="112">
        <f>(C56/1120)*100</f>
        <v>71.4375</v>
      </c>
      <c r="F56" s="62">
        <f>G21/F21</f>
        <v>128.42857142857142</v>
      </c>
      <c r="G56" s="62">
        <f>H21/F21</f>
        <v>571</v>
      </c>
      <c r="H56" s="140">
        <f>G56/F56</f>
        <v>4.4460511679644057</v>
      </c>
      <c r="I56" s="99">
        <f t="shared" si="2"/>
        <v>50.982142857142854</v>
      </c>
      <c r="J56" s="62">
        <f>K21/J21</f>
        <v>153.09090909090909</v>
      </c>
      <c r="K56" s="62">
        <f>L21/J21</f>
        <v>723.18181818181813</v>
      </c>
      <c r="L56" s="99">
        <f>K56/J56</f>
        <v>4.7238717339667451</v>
      </c>
      <c r="M56" s="112">
        <f t="shared" si="3"/>
        <v>64.569805194805184</v>
      </c>
      <c r="N56" s="62" t="e">
        <f>O21/N21</f>
        <v>#DIV/0!</v>
      </c>
      <c r="O56" s="62" t="e">
        <f>P21/N21</f>
        <v>#DIV/0!</v>
      </c>
      <c r="P56" s="99" t="e">
        <f>O56/N56</f>
        <v>#DIV/0!</v>
      </c>
      <c r="Q56" s="112" t="e">
        <f t="shared" si="4"/>
        <v>#DIV/0!</v>
      </c>
      <c r="R56" s="62">
        <f>S21/R21</f>
        <v>122.78571428571429</v>
      </c>
      <c r="S56" s="62">
        <f>T21/R21</f>
        <v>549.28571428571433</v>
      </c>
      <c r="T56" s="99">
        <f>S56/R56</f>
        <v>4.4735311227457828</v>
      </c>
      <c r="U56" s="112">
        <f t="shared" si="5"/>
        <v>49.04336734693878</v>
      </c>
    </row>
    <row r="57" spans="1:21" ht="15">
      <c r="A57" s="123">
        <f t="shared" si="1"/>
        <v>44823</v>
      </c>
      <c r="B57" s="124">
        <f>C22/B22</f>
        <v>142.75</v>
      </c>
      <c r="C57" s="62">
        <f>D22/B22</f>
        <v>672.375</v>
      </c>
      <c r="D57" s="99">
        <f>C57/B57</f>
        <v>4.7101576182136604</v>
      </c>
      <c r="E57" s="112">
        <f>(C57/1120)*100</f>
        <v>60.033482142857139</v>
      </c>
      <c r="F57" s="62">
        <f>G22/F22</f>
        <v>127</v>
      </c>
      <c r="G57" s="62">
        <f>H22/F22</f>
        <v>549.11111111111109</v>
      </c>
      <c r="H57" s="140">
        <f>G57/F57</f>
        <v>4.3237095363079616</v>
      </c>
      <c r="I57" s="99">
        <f t="shared" si="2"/>
        <v>49.027777777777779</v>
      </c>
      <c r="J57" s="62">
        <f>K22/J22</f>
        <v>143.53333333333333</v>
      </c>
      <c r="K57" s="62">
        <f>L22/J22</f>
        <v>691.6</v>
      </c>
      <c r="L57" s="99">
        <f>K57/J57</f>
        <v>4.8183929400836041</v>
      </c>
      <c r="M57" s="112">
        <f t="shared" si="3"/>
        <v>61.750000000000007</v>
      </c>
      <c r="N57" s="62" t="e">
        <f>O22/N22</f>
        <v>#DIV/0!</v>
      </c>
      <c r="O57" s="62" t="e">
        <f>P22/N22</f>
        <v>#DIV/0!</v>
      </c>
      <c r="P57" s="99" t="e">
        <f>O57/N57</f>
        <v>#DIV/0!</v>
      </c>
      <c r="Q57" s="112" t="e">
        <f t="shared" si="4"/>
        <v>#DIV/0!</v>
      </c>
      <c r="R57" s="62">
        <f>S22/R22</f>
        <v>121.44444444444444</v>
      </c>
      <c r="S57" s="62">
        <f>T22/R22</f>
        <v>543.55555555555554</v>
      </c>
      <c r="T57" s="99">
        <f>S57/R57</f>
        <v>4.4757548032936869</v>
      </c>
      <c r="U57" s="112">
        <f t="shared" si="5"/>
        <v>48.531746031746032</v>
      </c>
    </row>
    <row r="58" spans="1:21" ht="15">
      <c r="A58" s="123">
        <f t="shared" si="1"/>
        <v>44824</v>
      </c>
      <c r="B58" s="124">
        <f>C23/B23</f>
        <v>154.18181818181819</v>
      </c>
      <c r="C58" s="62">
        <f>D23/B23</f>
        <v>638.18181818181813</v>
      </c>
      <c r="D58" s="99">
        <f>C58/B58</f>
        <v>4.1391509433962259</v>
      </c>
      <c r="E58" s="112">
        <f>(C58/1120)*100</f>
        <v>56.980519480519476</v>
      </c>
      <c r="F58" s="62">
        <f>G23/F23</f>
        <v>154.0625</v>
      </c>
      <c r="G58" s="62">
        <f>H23/F23</f>
        <v>723.9375</v>
      </c>
      <c r="H58" s="140">
        <f>G58/F58</f>
        <v>4.6989858012170389</v>
      </c>
      <c r="I58" s="99">
        <f t="shared" si="2"/>
        <v>64.637276785714278</v>
      </c>
      <c r="J58" s="62">
        <f>K23/J23</f>
        <v>115</v>
      </c>
      <c r="K58" s="62">
        <f>L23/J23</f>
        <v>523.66666666666663</v>
      </c>
      <c r="L58" s="99">
        <f>K58/J58</f>
        <v>4.5536231884057967</v>
      </c>
      <c r="M58" s="112">
        <f t="shared" si="3"/>
        <v>46.755952380952372</v>
      </c>
      <c r="N58" s="62" t="e">
        <f>O23/N23</f>
        <v>#DIV/0!</v>
      </c>
      <c r="O58" s="62" t="e">
        <f>P23/N23</f>
        <v>#DIV/0!</v>
      </c>
      <c r="P58" s="99" t="e">
        <f>O58/N58</f>
        <v>#DIV/0!</v>
      </c>
      <c r="Q58" s="112" t="e">
        <f t="shared" si="4"/>
        <v>#DIV/0!</v>
      </c>
      <c r="R58" s="62">
        <f>S23/R23</f>
        <v>143</v>
      </c>
      <c r="S58" s="62">
        <f>T23/R23</f>
        <v>654.4666666666667</v>
      </c>
      <c r="T58" s="99">
        <f>S58/R58</f>
        <v>4.5766899766899769</v>
      </c>
      <c r="U58" s="112">
        <f t="shared" si="5"/>
        <v>58.43452380952381</v>
      </c>
    </row>
    <row r="59" spans="1:21" ht="15">
      <c r="A59" s="123">
        <f t="shared" si="1"/>
        <v>44825</v>
      </c>
      <c r="B59" s="124">
        <f>C24/B24</f>
        <v>147.9375</v>
      </c>
      <c r="C59" s="62">
        <f>D24/B24</f>
        <v>680.625</v>
      </c>
      <c r="D59" s="99">
        <f>C59/B59</f>
        <v>4.6007604562737638</v>
      </c>
      <c r="E59" s="112">
        <f>(C59/1120)*100</f>
        <v>60.770089285714292</v>
      </c>
      <c r="F59" s="62">
        <f>G24/F24</f>
        <v>153.5625</v>
      </c>
      <c r="G59" s="62">
        <f>H24/F24</f>
        <v>682.5</v>
      </c>
      <c r="H59" s="140">
        <f>G59/F59</f>
        <v>4.4444444444444446</v>
      </c>
      <c r="I59" s="99">
        <f t="shared" si="2"/>
        <v>60.9375</v>
      </c>
      <c r="J59" s="62">
        <f>K24/J24</f>
        <v>113.5</v>
      </c>
      <c r="K59" s="62">
        <f>L24/J24</f>
        <v>520.375</v>
      </c>
      <c r="L59" s="99">
        <f>K59/J59</f>
        <v>4.5848017621145374</v>
      </c>
      <c r="M59" s="112">
        <f t="shared" si="3"/>
        <v>46.462053571428569</v>
      </c>
      <c r="N59" s="62">
        <f>O24/N24</f>
        <v>110</v>
      </c>
      <c r="O59" s="62">
        <f>P24/N24</f>
        <v>445.66666666666669</v>
      </c>
      <c r="P59" s="99">
        <f>O59/N59</f>
        <v>4.0515151515151517</v>
      </c>
      <c r="Q59" s="112">
        <f t="shared" si="4"/>
        <v>39.791666666666671</v>
      </c>
      <c r="R59" s="62" t="e">
        <f>S24/R24</f>
        <v>#DIV/0!</v>
      </c>
      <c r="S59" s="62" t="e">
        <f>T24/R24</f>
        <v>#DIV/0!</v>
      </c>
      <c r="T59" s="99" t="e">
        <f>S59/R59</f>
        <v>#DIV/0!</v>
      </c>
      <c r="U59" s="112" t="e">
        <f t="shared" si="5"/>
        <v>#DIV/0!</v>
      </c>
    </row>
    <row r="60" spans="1:21" ht="15">
      <c r="A60" s="123">
        <f t="shared" si="1"/>
        <v>44826</v>
      </c>
      <c r="B60" s="124">
        <f>C25/B25</f>
        <v>146.73333333333332</v>
      </c>
      <c r="C60" s="62">
        <f>D25/B25</f>
        <v>666.93333333333328</v>
      </c>
      <c r="D60" s="99">
        <f>C60/B60</f>
        <v>4.545206724216265</v>
      </c>
      <c r="E60" s="112">
        <f>(C60/1120)*100</f>
        <v>59.547619047619037</v>
      </c>
      <c r="F60" s="62">
        <f>G25/F25</f>
        <v>138.52941176470588</v>
      </c>
      <c r="G60" s="62">
        <f>H25/F25</f>
        <v>629.05882352941171</v>
      </c>
      <c r="H60" s="140">
        <f>G60/F60</f>
        <v>4.5409766454352436</v>
      </c>
      <c r="I60" s="99">
        <f t="shared" si="2"/>
        <v>56.165966386554622</v>
      </c>
      <c r="J60" s="62">
        <f>K25/J25</f>
        <v>117.625</v>
      </c>
      <c r="K60" s="62">
        <f>L25/J25</f>
        <v>538.75</v>
      </c>
      <c r="L60" s="99">
        <f>K60/J60</f>
        <v>4.580233793836344</v>
      </c>
      <c r="M60" s="112">
        <f t="shared" si="3"/>
        <v>48.102678571428569</v>
      </c>
      <c r="N60" s="62">
        <f>O25/N25</f>
        <v>134.85714285714286</v>
      </c>
      <c r="O60" s="62">
        <f>P25/N25</f>
        <v>579.57142857142856</v>
      </c>
      <c r="P60" s="99">
        <f>O60/N60</f>
        <v>4.2976694915254239</v>
      </c>
      <c r="Q60" s="112">
        <f t="shared" si="4"/>
        <v>51.747448979591837</v>
      </c>
      <c r="R60" s="62" t="e">
        <f>S25/R25</f>
        <v>#DIV/0!</v>
      </c>
      <c r="S60" s="62" t="e">
        <f>T25/R25</f>
        <v>#DIV/0!</v>
      </c>
      <c r="T60" s="99" t="e">
        <f>S60/R60</f>
        <v>#DIV/0!</v>
      </c>
      <c r="U60" s="112" t="e">
        <f t="shared" si="5"/>
        <v>#DIV/0!</v>
      </c>
    </row>
    <row r="61" spans="1:21" ht="15">
      <c r="A61" s="123">
        <f t="shared" si="1"/>
        <v>44827</v>
      </c>
      <c r="B61" s="124">
        <f>C26/B26</f>
        <v>128.25</v>
      </c>
      <c r="C61" s="62">
        <f>D26/B26</f>
        <v>565.375</v>
      </c>
      <c r="D61" s="99">
        <f>C61/B61</f>
        <v>4.4083820662768032</v>
      </c>
      <c r="E61" s="112">
        <f>(C61/1120)*100</f>
        <v>50.479910714285715</v>
      </c>
      <c r="F61" s="62">
        <f>G26/F26</f>
        <v>140.58823529411765</v>
      </c>
      <c r="G61" s="62">
        <f>H26/F26</f>
        <v>646.05882352941171</v>
      </c>
      <c r="H61" s="140">
        <f>G61/F61</f>
        <v>4.5953974895397485</v>
      </c>
      <c r="I61" s="99">
        <f t="shared" si="2"/>
        <v>57.683823529411761</v>
      </c>
      <c r="J61" s="62">
        <f>K26/J26</f>
        <v>117.5</v>
      </c>
      <c r="K61" s="62">
        <f>L26/J26</f>
        <v>554.64285714285711</v>
      </c>
      <c r="L61" s="99">
        <f>K61/J61</f>
        <v>4.7203647416413368</v>
      </c>
      <c r="M61" s="112">
        <f t="shared" si="3"/>
        <v>49.521683673469383</v>
      </c>
      <c r="N61" s="62" t="e">
        <f>O26/N26</f>
        <v>#DIV/0!</v>
      </c>
      <c r="O61" s="62" t="e">
        <f>P26/N26</f>
        <v>#DIV/0!</v>
      </c>
      <c r="P61" s="99" t="e">
        <f>O61/N61</f>
        <v>#DIV/0!</v>
      </c>
      <c r="Q61" s="112" t="e">
        <f t="shared" si="4"/>
        <v>#DIV/0!</v>
      </c>
      <c r="R61" s="62">
        <f>S26/R26</f>
        <v>148.5625</v>
      </c>
      <c r="S61" s="62">
        <f>T26/R26</f>
        <v>688.75</v>
      </c>
      <c r="T61" s="99">
        <f>S61/R61</f>
        <v>4.636095919225915</v>
      </c>
      <c r="U61" s="112">
        <f t="shared" si="5"/>
        <v>61.495535714285708</v>
      </c>
    </row>
    <row r="62" spans="1:21" ht="15">
      <c r="A62" s="123">
        <f t="shared" si="1"/>
        <v>44828</v>
      </c>
      <c r="B62" s="124">
        <f>C27/B27</f>
        <v>128</v>
      </c>
      <c r="C62" s="62">
        <f>D27/B27</f>
        <v>569.35294117647061</v>
      </c>
      <c r="D62" s="99">
        <f>C62/B62</f>
        <v>4.4480698529411766</v>
      </c>
      <c r="E62" s="112">
        <f>(C62/1120)*100</f>
        <v>50.835084033613441</v>
      </c>
      <c r="F62" s="62">
        <f>G27/F27</f>
        <v>149.07142857142858</v>
      </c>
      <c r="G62" s="62">
        <f>H27/F27</f>
        <v>674.07142857142856</v>
      </c>
      <c r="H62" s="140">
        <f>G62/F62</f>
        <v>4.5218016291327263</v>
      </c>
      <c r="I62" s="99">
        <f t="shared" si="2"/>
        <v>60.184948979591837</v>
      </c>
      <c r="J62" s="62">
        <f>K27/J27</f>
        <v>114</v>
      </c>
      <c r="K62" s="62">
        <f>L27/J27</f>
        <v>541.72727272727275</v>
      </c>
      <c r="L62" s="99">
        <f>K62/J62</f>
        <v>4.7519936204146731</v>
      </c>
      <c r="M62" s="112">
        <f t="shared" si="3"/>
        <v>48.368506493506494</v>
      </c>
      <c r="N62" s="62">
        <f>O27/N27</f>
        <v>129.09090909090909</v>
      </c>
      <c r="O62" s="62">
        <f>P27/N27</f>
        <v>524</v>
      </c>
      <c r="P62" s="99">
        <f>O62/N62</f>
        <v>4.0591549295774643</v>
      </c>
      <c r="Q62" s="112">
        <f t="shared" si="4"/>
        <v>46.785714285714285</v>
      </c>
      <c r="R62" s="62">
        <f>S27/R27</f>
        <v>143.21428571428572</v>
      </c>
      <c r="S62" s="62">
        <f>T27/R27</f>
        <v>673.64285714285711</v>
      </c>
      <c r="T62" s="99">
        <f>S62/R62</f>
        <v>4.7037406483790516</v>
      </c>
      <c r="U62" s="112">
        <f t="shared" si="5"/>
        <v>60.146683673469383</v>
      </c>
    </row>
    <row r="63" spans="1:21" ht="15">
      <c r="A63" s="123">
        <f t="shared" si="1"/>
        <v>44829</v>
      </c>
      <c r="B63" s="124">
        <f>C28/B28</f>
        <v>111</v>
      </c>
      <c r="C63" s="62">
        <f>D28/B28</f>
        <v>531.75</v>
      </c>
      <c r="D63" s="99">
        <f>C63/B63</f>
        <v>4.7905405405405403</v>
      </c>
      <c r="E63" s="112">
        <f>(C63/1120)*100</f>
        <v>47.477678571428569</v>
      </c>
      <c r="F63" s="62">
        <f>G28/F28</f>
        <v>147.5</v>
      </c>
      <c r="G63" s="62">
        <f>H28/F28</f>
        <v>684.42857142857144</v>
      </c>
      <c r="H63" s="140">
        <f>G63/F63</f>
        <v>4.6401937046004846</v>
      </c>
      <c r="I63" s="99">
        <f t="shared" si="2"/>
        <v>61.109693877551017</v>
      </c>
      <c r="J63" s="62" t="e">
        <f>K28/J28</f>
        <v>#DIV/0!</v>
      </c>
      <c r="K63" s="62" t="e">
        <f>L28/J28</f>
        <v>#DIV/0!</v>
      </c>
      <c r="L63" s="99" t="e">
        <f>K63/J63</f>
        <v>#DIV/0!</v>
      </c>
      <c r="M63" s="112" t="e">
        <f t="shared" si="3"/>
        <v>#DIV/0!</v>
      </c>
      <c r="N63" s="62">
        <f>O28/N28</f>
        <v>136.6</v>
      </c>
      <c r="O63" s="62">
        <f>P28/N28</f>
        <v>539.29999999999995</v>
      </c>
      <c r="P63" s="99">
        <f>O63/N63</f>
        <v>3.9480234260614933</v>
      </c>
      <c r="Q63" s="112">
        <f t="shared" si="4"/>
        <v>48.151785714285708</v>
      </c>
      <c r="R63" s="62">
        <f>S28/R28</f>
        <v>144.33333333333334</v>
      </c>
      <c r="S63" s="62">
        <f>T28/R28</f>
        <v>668.4666666666667</v>
      </c>
      <c r="T63" s="99">
        <f>S63/R63</f>
        <v>4.6314087759815239</v>
      </c>
      <c r="U63" s="112">
        <f t="shared" si="5"/>
        <v>59.684523809523817</v>
      </c>
    </row>
    <row r="64" spans="1:21" ht="15">
      <c r="A64" s="123">
        <f t="shared" si="1"/>
        <v>44830</v>
      </c>
      <c r="B64" s="124">
        <f>C29/B29</f>
        <v>147.30000000000001</v>
      </c>
      <c r="C64" s="62">
        <f>D29/B29</f>
        <v>674.9</v>
      </c>
      <c r="D64" s="99">
        <f>C64/B64</f>
        <v>4.5818058384249829</v>
      </c>
      <c r="E64" s="112">
        <f>(C64/1120)*100</f>
        <v>60.258928571428569</v>
      </c>
      <c r="F64" s="62">
        <f>G29/F29</f>
        <v>150.25</v>
      </c>
      <c r="G64" s="62">
        <f>H29/F29</f>
        <v>655.25</v>
      </c>
      <c r="H64" s="140">
        <f>G64/F64</f>
        <v>4.3610648918469215</v>
      </c>
      <c r="I64" s="99">
        <f t="shared" si="2"/>
        <v>58.504464285714285</v>
      </c>
      <c r="J64" s="62">
        <f>K29/J29</f>
        <v>147.69230769230768</v>
      </c>
      <c r="K64" s="62">
        <f>L29/J29</f>
        <v>673.53846153846155</v>
      </c>
      <c r="L64" s="99">
        <f>K64/J64</f>
        <v>4.5604166666666668</v>
      </c>
      <c r="M64" s="112">
        <f t="shared" si="3"/>
        <v>60.137362637362635</v>
      </c>
      <c r="N64" s="62">
        <f>O29/N29</f>
        <v>177.2</v>
      </c>
      <c r="O64" s="62">
        <f>P29/N29</f>
        <v>694.6</v>
      </c>
      <c r="P64" s="99">
        <f>O64/N64</f>
        <v>3.9198645598194135</v>
      </c>
      <c r="Q64" s="112">
        <f t="shared" si="4"/>
        <v>62.017857142857146</v>
      </c>
      <c r="R64" s="62">
        <f>S29/R29</f>
        <v>136</v>
      </c>
      <c r="S64" s="62">
        <f>T29/R29</f>
        <v>671</v>
      </c>
      <c r="T64" s="99">
        <f>S64/R64</f>
        <v>4.9338235294117645</v>
      </c>
      <c r="U64" s="112">
        <f t="shared" si="5"/>
        <v>59.910714285714285</v>
      </c>
    </row>
    <row r="65" spans="1:21" ht="15">
      <c r="A65" s="123">
        <f t="shared" si="1"/>
        <v>44831</v>
      </c>
      <c r="B65" s="124" t="e">
        <f>C30/B30</f>
        <v>#DIV/0!</v>
      </c>
      <c r="C65" s="62" t="e">
        <f>D30/B30</f>
        <v>#DIV/0!</v>
      </c>
      <c r="D65" s="99" t="e">
        <f>C65/B65</f>
        <v>#DIV/0!</v>
      </c>
      <c r="E65" s="112" t="e">
        <f>(C65/1120)*100</f>
        <v>#DIV/0!</v>
      </c>
      <c r="F65" s="62">
        <f>G30/F30</f>
        <v>129</v>
      </c>
      <c r="G65" s="62">
        <f>H30/F30</f>
        <v>447.33333333333331</v>
      </c>
      <c r="H65" s="140">
        <f>G65/F65</f>
        <v>3.4677002583979326</v>
      </c>
      <c r="I65" s="99">
        <f t="shared" si="2"/>
        <v>39.94047619047619</v>
      </c>
      <c r="J65" s="62">
        <f>K30/J30</f>
        <v>127.5</v>
      </c>
      <c r="K65" s="62">
        <f>L30/J30</f>
        <v>581.875</v>
      </c>
      <c r="L65" s="99">
        <f>K65/J65</f>
        <v>4.5637254901960782</v>
      </c>
      <c r="M65" s="112">
        <f t="shared" si="3"/>
        <v>51.953125</v>
      </c>
      <c r="N65" s="62">
        <f>O30/N30</f>
        <v>193.42857142857142</v>
      </c>
      <c r="O65" s="62">
        <f>P30/N30</f>
        <v>650.57142857142856</v>
      </c>
      <c r="P65" s="99">
        <f>O65/N65</f>
        <v>3.3633677991137372</v>
      </c>
      <c r="Q65" s="112">
        <f t="shared" si="4"/>
        <v>58.086734693877553</v>
      </c>
      <c r="R65" s="62">
        <f>S30/R30</f>
        <v>190.75</v>
      </c>
      <c r="S65" s="62">
        <f>T30/R30</f>
        <v>702.125</v>
      </c>
      <c r="T65" s="99">
        <f>S65/R65</f>
        <v>3.6808650065530801</v>
      </c>
      <c r="U65" s="112">
        <f t="shared" si="5"/>
        <v>62.689732142857146</v>
      </c>
    </row>
    <row r="66" spans="1:21" ht="15">
      <c r="A66" s="123">
        <f t="shared" si="1"/>
        <v>44832</v>
      </c>
      <c r="B66" s="124">
        <f>C31/B31</f>
        <v>121.92307692307692</v>
      </c>
      <c r="C66" s="62">
        <f>D31/B31</f>
        <v>485.30769230769232</v>
      </c>
      <c r="D66" s="99">
        <f>C66/B66</f>
        <v>3.9804416403785492</v>
      </c>
      <c r="E66" s="112">
        <f>(C66/1120)*100</f>
        <v>43.331043956043956</v>
      </c>
      <c r="F66" s="62">
        <f>G31/F31</f>
        <v>125.78947368421052</v>
      </c>
      <c r="G66" s="62">
        <f>H31/F31</f>
        <v>572.63157894736844</v>
      </c>
      <c r="H66" s="140">
        <f>G66/F66</f>
        <v>4.5523012552301259</v>
      </c>
      <c r="I66" s="99">
        <f t="shared" si="2"/>
        <v>51.127819548872175</v>
      </c>
      <c r="J66" s="62" t="e">
        <f>K31/J31</f>
        <v>#DIV/0!</v>
      </c>
      <c r="K66" s="62" t="e">
        <f>L31/J31</f>
        <v>#DIV/0!</v>
      </c>
      <c r="L66" s="99" t="e">
        <f>K66/J66</f>
        <v>#DIV/0!</v>
      </c>
      <c r="M66" s="112" t="e">
        <f t="shared" si="3"/>
        <v>#DIV/0!</v>
      </c>
      <c r="N66" s="62">
        <f>O31/N31</f>
        <v>104.2</v>
      </c>
      <c r="O66" s="62">
        <f>P31/N31</f>
        <v>449</v>
      </c>
      <c r="P66" s="99">
        <f>O66/N66</f>
        <v>4.3090211132437615</v>
      </c>
      <c r="Q66" s="112">
        <f t="shared" si="4"/>
        <v>40.089285714285715</v>
      </c>
      <c r="R66" s="62">
        <f>S31/R31</f>
        <v>128.1875</v>
      </c>
      <c r="S66" s="62">
        <f>T31/R31</f>
        <v>564.4375</v>
      </c>
      <c r="T66" s="99">
        <f>S66/R66</f>
        <v>4.403217942467089</v>
      </c>
      <c r="U66" s="112">
        <f t="shared" si="5"/>
        <v>50.396205357142854</v>
      </c>
    </row>
    <row r="67" spans="1:21" ht="15">
      <c r="A67" s="123">
        <f t="shared" si="1"/>
        <v>44833</v>
      </c>
      <c r="B67" s="124">
        <f>C32/B32</f>
        <v>160.83333333333334</v>
      </c>
      <c r="C67" s="62">
        <f>D32/B32</f>
        <v>766.5</v>
      </c>
      <c r="D67" s="99">
        <f>C67/B67</f>
        <v>4.7658031088082895</v>
      </c>
      <c r="E67" s="112">
        <f>(C67/1120)*100</f>
        <v>68.4375</v>
      </c>
      <c r="F67" s="62">
        <f>G32/F32</f>
        <v>118.33333333333333</v>
      </c>
      <c r="G67" s="62">
        <f>H32/F32</f>
        <v>525</v>
      </c>
      <c r="H67" s="140">
        <f>G67/F67</f>
        <v>4.436619718309859</v>
      </c>
      <c r="I67" s="99">
        <f t="shared" si="2"/>
        <v>46.875</v>
      </c>
      <c r="J67" s="62">
        <f>K32/J32</f>
        <v>142.92307692307693</v>
      </c>
      <c r="K67" s="62">
        <f>L32/J32</f>
        <v>704.38461538461536</v>
      </c>
      <c r="L67" s="99">
        <f>K67/J67</f>
        <v>4.928417653390742</v>
      </c>
      <c r="M67" s="112">
        <f t="shared" si="3"/>
        <v>62.891483516483518</v>
      </c>
      <c r="N67" s="62" t="e">
        <f>O32/N32</f>
        <v>#DIV/0!</v>
      </c>
      <c r="O67" s="62" t="e">
        <f>P32/N32</f>
        <v>#DIV/0!</v>
      </c>
      <c r="P67" s="99" t="e">
        <f>O67/N67</f>
        <v>#DIV/0!</v>
      </c>
      <c r="Q67" s="112" t="e">
        <f t="shared" si="4"/>
        <v>#DIV/0!</v>
      </c>
      <c r="R67" s="62">
        <f>S32/R32</f>
        <v>116.66666666666667</v>
      </c>
      <c r="S67" s="62">
        <f>T32/R32</f>
        <v>581.4</v>
      </c>
      <c r="T67" s="99">
        <f>S67/R67</f>
        <v>4.9834285714285711</v>
      </c>
      <c r="U67" s="112">
        <f t="shared" si="5"/>
        <v>51.910714285714285</v>
      </c>
    </row>
    <row r="68" spans="1:21" ht="15">
      <c r="A68" s="123">
        <f t="shared" si="1"/>
        <v>44834</v>
      </c>
      <c r="B68" s="124">
        <f>C33/B33</f>
        <v>147.66666666666666</v>
      </c>
      <c r="C68" s="62">
        <f>D33/B33</f>
        <v>713.91666666666663</v>
      </c>
      <c r="D68" s="99">
        <f>C68/B68</f>
        <v>4.8346501128668171</v>
      </c>
      <c r="E68" s="112">
        <f>(C68/1120)*100</f>
        <v>63.742559523809518</v>
      </c>
      <c r="F68" s="62">
        <f>G33/F33</f>
        <v>135.18181818181819</v>
      </c>
      <c r="G68" s="62">
        <f>H33/F33</f>
        <v>595.36363636363637</v>
      </c>
      <c r="H68" s="140">
        <f>G68/F68</f>
        <v>4.4041694687289841</v>
      </c>
      <c r="I68" s="99">
        <f t="shared" si="2"/>
        <v>53.157467532467528</v>
      </c>
      <c r="J68" s="62">
        <f>K33/J33</f>
        <v>143.80000000000001</v>
      </c>
      <c r="K68" s="62">
        <f>L33/J33</f>
        <v>707.2</v>
      </c>
      <c r="L68" s="99">
        <f>K68/J68</f>
        <v>4.9179415855354662</v>
      </c>
      <c r="M68" s="112">
        <f t="shared" si="3"/>
        <v>63.142857142857146</v>
      </c>
      <c r="N68" s="62" t="e">
        <f>O33/N33</f>
        <v>#DIV/0!</v>
      </c>
      <c r="O68" s="62" t="e">
        <f>P33/N33</f>
        <v>#DIV/0!</v>
      </c>
      <c r="P68" s="99" t="e">
        <f>O68/N68</f>
        <v>#DIV/0!</v>
      </c>
      <c r="Q68" s="112" t="e">
        <f t="shared" si="4"/>
        <v>#DIV/0!</v>
      </c>
      <c r="R68" s="62">
        <f>S33/R33</f>
        <v>119.64705882352941</v>
      </c>
      <c r="S68" s="62">
        <f>T33/R33</f>
        <v>552.88235294117646</v>
      </c>
      <c r="T68" s="99">
        <f>S68/R68</f>
        <v>4.6209439528023601</v>
      </c>
      <c r="U68" s="112">
        <f t="shared" si="5"/>
        <v>49.364495798319325</v>
      </c>
    </row>
    <row r="69" spans="1:21" ht="15">
      <c r="A69" s="137">
        <f t="shared" si="1"/>
        <v>0</v>
      </c>
      <c r="B69" s="128" t="e">
        <f>C34/B34</f>
        <v>#DIV/0!</v>
      </c>
      <c r="C69" s="126" t="e">
        <f>D34/B34</f>
        <v>#DIV/0!</v>
      </c>
      <c r="D69" s="139" t="e">
        <f>C69/B69</f>
        <v>#DIV/0!</v>
      </c>
      <c r="E69" s="127" t="e">
        <f>(C69/1120)*100</f>
        <v>#DIV/0!</v>
      </c>
      <c r="F69" s="126" t="e">
        <f>G34/F34</f>
        <v>#DIV/0!</v>
      </c>
      <c r="G69" s="62" t="e">
        <f>H34/F34</f>
        <v>#DIV/0!</v>
      </c>
      <c r="H69" s="140" t="e">
        <f>G69/F69</f>
        <v>#DIV/0!</v>
      </c>
      <c r="I69" s="99" t="e">
        <f t="shared" si="2"/>
        <v>#DIV/0!</v>
      </c>
      <c r="J69" s="62" t="e">
        <f>K34/J34</f>
        <v>#DIV/0!</v>
      </c>
      <c r="K69" s="62" t="e">
        <f>L34/J34</f>
        <v>#DIV/0!</v>
      </c>
      <c r="L69" s="99" t="e">
        <f>K69/J69</f>
        <v>#DIV/0!</v>
      </c>
      <c r="M69" s="112" t="e">
        <f t="shared" si="3"/>
        <v>#DIV/0!</v>
      </c>
      <c r="N69" s="62" t="e">
        <f>O34/N34</f>
        <v>#DIV/0!</v>
      </c>
      <c r="O69" s="62" t="e">
        <f>P34/N34</f>
        <v>#DIV/0!</v>
      </c>
      <c r="P69" s="99" t="e">
        <f>O69/N69</f>
        <v>#DIV/0!</v>
      </c>
      <c r="Q69" s="112" t="e">
        <f t="shared" si="4"/>
        <v>#DIV/0!</v>
      </c>
      <c r="R69" s="62" t="e">
        <f>S34/R34</f>
        <v>#DIV/0!</v>
      </c>
      <c r="S69" s="62" t="e">
        <f>T34/R34</f>
        <v>#DIV/0!</v>
      </c>
      <c r="T69" s="99" t="e">
        <f>S69/R69</f>
        <v>#DIV/0!</v>
      </c>
      <c r="U69" s="112" t="e">
        <f t="shared" si="5"/>
        <v>#DIV/0!</v>
      </c>
    </row>
    <row r="70" spans="1:21" ht="15">
      <c r="A70" s="175"/>
      <c r="B70" s="176"/>
      <c r="C70" s="176"/>
      <c r="D70" s="176"/>
      <c r="E70" s="176"/>
      <c r="F70" s="177"/>
    </row>
    <row r="71" spans="1:21" ht="59.25" customHeight="1">
      <c r="A71" s="67"/>
      <c r="B71" s="138" t="s">
        <v>81</v>
      </c>
      <c r="C71" s="138" t="s">
        <v>82</v>
      </c>
      <c r="D71" s="174" t="s">
        <v>83</v>
      </c>
      <c r="E71" s="221" t="s">
        <v>84</v>
      </c>
      <c r="F71" s="221"/>
    </row>
    <row r="72" spans="1:21" ht="15">
      <c r="A72" s="123">
        <f>A4</f>
        <v>44805</v>
      </c>
      <c r="B72" s="39">
        <f>'FS Seychelles'!B3</f>
        <v>60.5</v>
      </c>
      <c r="C72" s="52">
        <f>C4+G4+K4+O4+S4</f>
        <v>6884</v>
      </c>
      <c r="D72" s="116">
        <f>D5+H5+L5+P5+T5</f>
        <v>22659</v>
      </c>
      <c r="E72" s="224">
        <f>D72/10000</f>
        <v>2.2658999999999998</v>
      </c>
      <c r="F72" s="224"/>
    </row>
    <row r="73" spans="1:21" ht="15">
      <c r="A73" s="123">
        <f>A5</f>
        <v>44806</v>
      </c>
      <c r="B73" s="39">
        <f>'FS Seychelles'!B4</f>
        <v>67.099999999999994</v>
      </c>
      <c r="C73" s="52">
        <f>C5+G5+K5+O5+S5</f>
        <v>4847</v>
      </c>
      <c r="D73" s="116">
        <f>D6+H6+L6+P6+T6</f>
        <v>31176</v>
      </c>
      <c r="E73" s="224">
        <f t="shared" ref="E73:E102" si="6">D73/10000</f>
        <v>3.1175999999999999</v>
      </c>
      <c r="F73" s="224"/>
    </row>
    <row r="74" spans="1:21" ht="15">
      <c r="A74" s="123">
        <f>A6</f>
        <v>44807</v>
      </c>
      <c r="B74" s="39">
        <f>'FS Seychelles'!B5</f>
        <v>65.8</v>
      </c>
      <c r="C74" s="52">
        <f t="shared" ref="C73:C102" si="7">C6+G6+K6+O6+S6</f>
        <v>7114</v>
      </c>
      <c r="D74" s="116">
        <f>D7+H7+L7+P7+T7</f>
        <v>30298</v>
      </c>
      <c r="E74" s="224">
        <f t="shared" si="6"/>
        <v>3.0297999999999998</v>
      </c>
      <c r="F74" s="224"/>
    </row>
    <row r="75" spans="1:21" ht="15">
      <c r="A75" s="123">
        <f>A7</f>
        <v>44808</v>
      </c>
      <c r="B75" s="39">
        <f>'FS Seychelles'!B6</f>
        <v>63.2</v>
      </c>
      <c r="C75" s="52">
        <f t="shared" si="7"/>
        <v>6819</v>
      </c>
      <c r="D75" s="116">
        <f>D8+H8+L8+P8+T8</f>
        <v>32608</v>
      </c>
      <c r="E75" s="224">
        <f t="shared" si="6"/>
        <v>3.2608000000000001</v>
      </c>
      <c r="F75" s="224"/>
    </row>
    <row r="76" spans="1:21" ht="15">
      <c r="A76" s="123">
        <f>A8</f>
        <v>44809</v>
      </c>
      <c r="B76" s="39">
        <f>'FS Seychelles'!B7</f>
        <v>64.5</v>
      </c>
      <c r="C76" s="52">
        <f t="shared" si="7"/>
        <v>7251</v>
      </c>
      <c r="D76" s="116">
        <f>D9+H9+L9+P9+T9</f>
        <v>33181</v>
      </c>
      <c r="E76" s="224">
        <f t="shared" si="6"/>
        <v>3.3180999999999998</v>
      </c>
      <c r="F76" s="224"/>
    </row>
    <row r="77" spans="1:21" ht="15">
      <c r="A77" s="123">
        <f>A9</f>
        <v>44810</v>
      </c>
      <c r="B77" s="39">
        <f>'FS Seychelles'!B8</f>
        <v>63.2</v>
      </c>
      <c r="C77" s="52">
        <f t="shared" si="7"/>
        <v>7392</v>
      </c>
      <c r="D77" s="116">
        <f>D10+H10+L10+P10+T10</f>
        <v>28660</v>
      </c>
      <c r="E77" s="224">
        <f t="shared" si="6"/>
        <v>2.8660000000000001</v>
      </c>
      <c r="F77" s="224"/>
    </row>
    <row r="78" spans="1:21" ht="15">
      <c r="A78" s="123">
        <f>A10</f>
        <v>44811</v>
      </c>
      <c r="B78" s="39">
        <f>'FS Seychelles'!B9</f>
        <v>66.2</v>
      </c>
      <c r="C78" s="52">
        <f t="shared" si="7"/>
        <v>6050</v>
      </c>
      <c r="D78" s="116">
        <f>D11+H11+L11+P11+T11</f>
        <v>33093</v>
      </c>
      <c r="E78" s="224">
        <f t="shared" si="6"/>
        <v>3.3092999999999999</v>
      </c>
      <c r="F78" s="224"/>
    </row>
    <row r="79" spans="1:21" ht="15">
      <c r="A79" s="123">
        <f>A11</f>
        <v>44812</v>
      </c>
      <c r="B79" s="39">
        <f>'FS Seychelles'!B10</f>
        <v>66.2</v>
      </c>
      <c r="C79" s="52">
        <f t="shared" si="7"/>
        <v>7315</v>
      </c>
      <c r="D79" s="116">
        <f>D12+H12+L12+P12+T12</f>
        <v>31372</v>
      </c>
      <c r="E79" s="224">
        <f t="shared" si="6"/>
        <v>3.1372</v>
      </c>
      <c r="F79" s="224"/>
    </row>
    <row r="80" spans="1:21" ht="15">
      <c r="A80" s="123">
        <f>A12</f>
        <v>44813</v>
      </c>
      <c r="B80" s="39">
        <f>'FS Seychelles'!B11</f>
        <v>70.099999999999994</v>
      </c>
      <c r="C80" s="52">
        <f t="shared" si="7"/>
        <v>6632</v>
      </c>
      <c r="D80" s="116">
        <f>D13+H13+L13+P13+T13</f>
        <v>32510</v>
      </c>
      <c r="E80" s="224">
        <f t="shared" si="6"/>
        <v>3.2509999999999999</v>
      </c>
      <c r="F80" s="224"/>
    </row>
    <row r="81" spans="1:6" ht="15">
      <c r="A81" s="123">
        <f>A13</f>
        <v>44814</v>
      </c>
      <c r="B81" s="39">
        <f>'FS Seychelles'!B12</f>
        <v>57.1</v>
      </c>
      <c r="C81" s="52">
        <f t="shared" si="7"/>
        <v>7223</v>
      </c>
      <c r="D81" s="116">
        <f>D14+H14+L14+P14+T14</f>
        <v>23396</v>
      </c>
      <c r="E81" s="224">
        <f t="shared" si="6"/>
        <v>2.3395999999999999</v>
      </c>
      <c r="F81" s="224"/>
    </row>
    <row r="82" spans="1:6" ht="15">
      <c r="A82" s="123">
        <f>A14</f>
        <v>44815</v>
      </c>
      <c r="B82" s="39">
        <f>'FS Seychelles'!B13</f>
        <v>40.299999999999997</v>
      </c>
      <c r="C82" s="52">
        <f t="shared" si="7"/>
        <v>5114</v>
      </c>
      <c r="D82" s="116">
        <f>D15+H15+L15+P15+T15</f>
        <v>40382</v>
      </c>
      <c r="E82" s="224">
        <f t="shared" si="6"/>
        <v>4.0381999999999998</v>
      </c>
      <c r="F82" s="224"/>
    </row>
    <row r="83" spans="1:6" ht="15">
      <c r="A83" s="123">
        <f>A15</f>
        <v>44816</v>
      </c>
      <c r="B83" s="39">
        <f>'FS Seychelles'!B14</f>
        <v>26</v>
      </c>
      <c r="C83" s="52">
        <f t="shared" si="7"/>
        <v>8804</v>
      </c>
      <c r="D83" s="116">
        <f>D16+H16+L16+P16+T16</f>
        <v>29127</v>
      </c>
      <c r="E83" s="224">
        <f t="shared" si="6"/>
        <v>2.9127000000000001</v>
      </c>
      <c r="F83" s="224"/>
    </row>
    <row r="84" spans="1:6" ht="15">
      <c r="A84" s="123">
        <f>A16</f>
        <v>44817</v>
      </c>
      <c r="B84" s="39">
        <f>'FS Seychelles'!B15</f>
        <v>61</v>
      </c>
      <c r="C84" s="52">
        <f t="shared" si="7"/>
        <v>6336</v>
      </c>
      <c r="D84" s="116">
        <f>D17+H17+L17+P17+T17</f>
        <v>24137</v>
      </c>
      <c r="E84" s="224">
        <f t="shared" si="6"/>
        <v>2.4137</v>
      </c>
      <c r="F84" s="224"/>
    </row>
    <row r="85" spans="1:6" ht="15">
      <c r="A85" s="123">
        <f>A17</f>
        <v>44818</v>
      </c>
      <c r="B85" s="39">
        <f>'FS Seychelles'!B16</f>
        <v>62.3</v>
      </c>
      <c r="C85" s="52">
        <f t="shared" si="7"/>
        <v>5099</v>
      </c>
      <c r="D85" s="116">
        <f>D18+H18+L18+P18+T18</f>
        <v>31850</v>
      </c>
      <c r="E85" s="224">
        <f t="shared" si="6"/>
        <v>3.1850000000000001</v>
      </c>
      <c r="F85" s="224"/>
    </row>
    <row r="86" spans="1:6" ht="15">
      <c r="A86" s="123">
        <f>A18</f>
        <v>44819</v>
      </c>
      <c r="B86" s="39">
        <f>'FS Seychelles'!B17</f>
        <v>28.6</v>
      </c>
      <c r="C86" s="52">
        <f t="shared" si="7"/>
        <v>6924</v>
      </c>
      <c r="D86" s="116">
        <f>D19+H19+L19+P19+T19</f>
        <v>30717</v>
      </c>
      <c r="E86" s="224">
        <f t="shared" si="6"/>
        <v>3.0716999999999999</v>
      </c>
      <c r="F86" s="224"/>
    </row>
    <row r="87" spans="1:6" ht="15">
      <c r="A87" s="123">
        <f>A19</f>
        <v>44820</v>
      </c>
      <c r="B87" s="39">
        <f>'FS Seychelles'!B18</f>
        <v>39</v>
      </c>
      <c r="C87" s="52">
        <f t="shared" si="7"/>
        <v>6735</v>
      </c>
      <c r="D87" s="116">
        <f>D20+H20+L20+P20+T20</f>
        <v>31384</v>
      </c>
      <c r="E87" s="224">
        <f t="shared" si="6"/>
        <v>3.1383999999999999</v>
      </c>
      <c r="F87" s="224"/>
    </row>
    <row r="88" spans="1:6" ht="15">
      <c r="A88" s="123">
        <f>A20</f>
        <v>44821</v>
      </c>
      <c r="B88" s="39">
        <f>'FS Seychelles'!B19</f>
        <v>53.2</v>
      </c>
      <c r="C88" s="52">
        <f t="shared" si="7"/>
        <v>6968</v>
      </c>
      <c r="D88" s="116">
        <f>D21+H21+L21+P21+T21</f>
        <v>31640</v>
      </c>
      <c r="E88" s="224">
        <f t="shared" si="6"/>
        <v>3.1640000000000001</v>
      </c>
      <c r="F88" s="224"/>
    </row>
    <row r="89" spans="1:6" ht="15">
      <c r="A89" s="123">
        <f>A21</f>
        <v>44822</v>
      </c>
      <c r="B89" s="39">
        <f>'FS Seychelles'!B20</f>
        <v>76.599999999999994</v>
      </c>
      <c r="C89" s="52">
        <f t="shared" si="7"/>
        <v>6931</v>
      </c>
      <c r="D89" s="116">
        <f>D22+H22+L22+P22+T22</f>
        <v>30966</v>
      </c>
      <c r="E89" s="224">
        <f t="shared" si="6"/>
        <v>3.0966</v>
      </c>
      <c r="F89" s="224"/>
    </row>
    <row r="90" spans="1:6" ht="15">
      <c r="A90" s="123">
        <f>A22</f>
        <v>44823</v>
      </c>
      <c r="B90" s="39">
        <f>'FS Seychelles'!B21</f>
        <v>76.599999999999994</v>
      </c>
      <c r="C90" s="52">
        <f t="shared" si="7"/>
        <v>6673</v>
      </c>
      <c r="D90" s="116">
        <f>D23+H23+L23+P23+T23</f>
        <v>33133</v>
      </c>
      <c r="E90" s="224">
        <f t="shared" si="6"/>
        <v>3.3132999999999999</v>
      </c>
      <c r="F90" s="224"/>
    </row>
    <row r="91" spans="1:6" ht="15">
      <c r="A91" s="123">
        <f>A23</f>
        <v>44824</v>
      </c>
      <c r="B91" s="39">
        <f>'FS Seychelles'!B22</f>
        <v>76.599999999999994</v>
      </c>
      <c r="C91" s="52">
        <f t="shared" si="7"/>
        <v>7341</v>
      </c>
      <c r="D91" s="116">
        <f>D24+H24+L24+P24+T24</f>
        <v>29984</v>
      </c>
      <c r="E91" s="224">
        <f t="shared" si="6"/>
        <v>2.9984000000000002</v>
      </c>
      <c r="F91" s="224"/>
    </row>
    <row r="92" spans="1:6" ht="15">
      <c r="A92" s="123">
        <f>A24</f>
        <v>44825</v>
      </c>
      <c r="B92" s="39">
        <f>'FS Seychelles'!B23</f>
        <v>76.599999999999994</v>
      </c>
      <c r="C92" s="52">
        <f t="shared" si="7"/>
        <v>6722</v>
      </c>
      <c r="D92" s="116">
        <f>D25+H25+L25+P25+T25</f>
        <v>29065</v>
      </c>
      <c r="E92" s="224">
        <f t="shared" si="6"/>
        <v>2.9064999999999999</v>
      </c>
      <c r="F92" s="224"/>
    </row>
    <row r="93" spans="1:6" ht="15">
      <c r="A93" s="123">
        <f>A25</f>
        <v>44826</v>
      </c>
      <c r="B93" s="39">
        <f>'FS Seychelles'!B24</f>
        <v>77.900000000000006</v>
      </c>
      <c r="C93" s="52">
        <f t="shared" si="7"/>
        <v>6441</v>
      </c>
      <c r="D93" s="116">
        <f>D26+H26+L26+P26+T26</f>
        <v>34291</v>
      </c>
      <c r="E93" s="224">
        <f t="shared" si="6"/>
        <v>3.4291</v>
      </c>
      <c r="F93" s="224"/>
    </row>
    <row r="94" spans="1:6" ht="15">
      <c r="A94" s="123">
        <f>A26</f>
        <v>44827</v>
      </c>
      <c r="B94" s="39">
        <f>'FS Seychelles'!B25</f>
        <v>74</v>
      </c>
      <c r="C94" s="52">
        <f t="shared" si="7"/>
        <v>7438</v>
      </c>
      <c r="D94" s="116">
        <f>D27+H27+L27+P27+T27</f>
        <v>40270</v>
      </c>
      <c r="E94" s="224">
        <f t="shared" si="6"/>
        <v>4.0270000000000001</v>
      </c>
      <c r="F94" s="224"/>
    </row>
    <row r="95" spans="1:6" ht="15">
      <c r="A95" s="123">
        <f>A27</f>
        <v>44828</v>
      </c>
      <c r="B95" s="39">
        <f>'FS Seychelles'!B26</f>
        <v>75.3</v>
      </c>
      <c r="C95" s="52">
        <f t="shared" si="7"/>
        <v>8942</v>
      </c>
      <c r="D95" s="116">
        <f>D28+H28+L28+P28+T28</f>
        <v>27129</v>
      </c>
      <c r="E95" s="224">
        <f t="shared" si="6"/>
        <v>2.7128999999999999</v>
      </c>
      <c r="F95" s="224"/>
    </row>
    <row r="96" spans="1:6" ht="15">
      <c r="A96" s="123">
        <f>A28</f>
        <v>44829</v>
      </c>
      <c r="B96" s="39">
        <f>'FS Seychelles'!B27</f>
        <v>55.8</v>
      </c>
      <c r="C96" s="52">
        <f t="shared" si="7"/>
        <v>6040</v>
      </c>
      <c r="D96" s="116">
        <f>D29+H29+L29+P29+T29</f>
        <v>33732</v>
      </c>
      <c r="E96" s="224">
        <f t="shared" si="6"/>
        <v>3.3732000000000002</v>
      </c>
      <c r="F96" s="224"/>
    </row>
    <row r="97" spans="1:6" ht="15">
      <c r="A97" s="123">
        <f>A29</f>
        <v>44830</v>
      </c>
      <c r="B97" s="39">
        <f>'FS Seychelles'!B28</f>
        <v>51.9</v>
      </c>
      <c r="C97" s="52">
        <f t="shared" si="7"/>
        <v>7591</v>
      </c>
      <c r="D97" s="116">
        <f>D30+H30+L30+P30+T30</f>
        <v>21785</v>
      </c>
      <c r="E97" s="224">
        <f t="shared" si="6"/>
        <v>2.1785000000000001</v>
      </c>
      <c r="F97" s="224"/>
    </row>
    <row r="98" spans="1:6" ht="15">
      <c r="A98" s="123">
        <f>A30</f>
        <v>44831</v>
      </c>
      <c r="B98" s="39">
        <f>'FS Seychelles'!B29</f>
        <v>49.4</v>
      </c>
      <c r="C98" s="52">
        <f t="shared" si="7"/>
        <v>5813</v>
      </c>
      <c r="D98" s="116">
        <f>D31+H31+L31+P31+T31</f>
        <v>28465</v>
      </c>
      <c r="E98" s="224">
        <f t="shared" si="6"/>
        <v>2.8464999999999998</v>
      </c>
      <c r="F98" s="224"/>
    </row>
    <row r="99" spans="1:6" ht="15">
      <c r="A99" s="123">
        <f>A31</f>
        <v>44832</v>
      </c>
      <c r="B99" s="39">
        <f>'FS Seychelles'!B30</f>
        <v>57.1</v>
      </c>
      <c r="C99" s="52">
        <f t="shared" si="7"/>
        <v>6547</v>
      </c>
      <c r="D99" s="116">
        <f>D32+H32+L32+P32+T32</f>
        <v>33376</v>
      </c>
      <c r="E99" s="224">
        <f t="shared" si="6"/>
        <v>3.3376000000000001</v>
      </c>
      <c r="F99" s="224"/>
    </row>
    <row r="100" spans="1:6" ht="15">
      <c r="A100" s="123">
        <f>A32</f>
        <v>44833</v>
      </c>
      <c r="B100" s="39">
        <f>'FS Seychelles'!B31</f>
        <v>53.4</v>
      </c>
      <c r="C100" s="52">
        <f t="shared" si="7"/>
        <v>6958</v>
      </c>
      <c r="D100" s="116">
        <f>D33+H33+L33+P33+T33</f>
        <v>31587</v>
      </c>
      <c r="E100" s="224">
        <f t="shared" si="6"/>
        <v>3.1587000000000001</v>
      </c>
      <c r="F100" s="224"/>
    </row>
    <row r="101" spans="1:6" ht="15">
      <c r="A101" s="123">
        <f>A33</f>
        <v>44834</v>
      </c>
      <c r="B101" s="39">
        <f>'FS Seychelles'!B32</f>
        <v>0</v>
      </c>
      <c r="C101" s="52">
        <f t="shared" si="7"/>
        <v>6731</v>
      </c>
      <c r="D101" s="116">
        <f>D34+H34+L34+P34+T34</f>
        <v>0</v>
      </c>
      <c r="E101" s="224">
        <f t="shared" si="6"/>
        <v>0</v>
      </c>
      <c r="F101" s="224"/>
    </row>
    <row r="102" spans="1:6" ht="15">
      <c r="A102" s="137">
        <f>A34</f>
        <v>0</v>
      </c>
      <c r="B102" s="151" t="e">
        <f>'FS Seychelles'!#REF!</f>
        <v>#REF!</v>
      </c>
      <c r="C102" s="160">
        <f t="shared" si="7"/>
        <v>0</v>
      </c>
      <c r="D102" s="121">
        <f>D34+H34+L34+P34+T34</f>
        <v>0</v>
      </c>
      <c r="E102" s="225">
        <f t="shared" si="6"/>
        <v>0</v>
      </c>
      <c r="F102" s="225"/>
    </row>
    <row r="103" spans="1:6" ht="15">
      <c r="A103" s="123"/>
      <c r="B103" s="39" t="e">
        <f>SUM(B72:B102)</f>
        <v>#REF!</v>
      </c>
      <c r="C103" s="158">
        <f t="shared" ref="C103:F103" si="8">SUM(C72:C102)</f>
        <v>203675</v>
      </c>
      <c r="D103" s="158">
        <f t="shared" si="8"/>
        <v>891973</v>
      </c>
      <c r="E103" s="214">
        <f t="shared" si="8"/>
        <v>89.197299999999998</v>
      </c>
      <c r="F103" s="214"/>
    </row>
    <row r="104" spans="1:6" ht="15">
      <c r="A104" s="117"/>
    </row>
    <row r="105" spans="1:6" ht="15"/>
  </sheetData>
  <mergeCells count="43">
    <mergeCell ref="E101:F101"/>
    <mergeCell ref="E102:F102"/>
    <mergeCell ref="E96:F96"/>
    <mergeCell ref="E97:F97"/>
    <mergeCell ref="E98:F98"/>
    <mergeCell ref="E99:F99"/>
    <mergeCell ref="E100:F100"/>
    <mergeCell ref="E91:F91"/>
    <mergeCell ref="E92:F92"/>
    <mergeCell ref="E93:F93"/>
    <mergeCell ref="E94:F94"/>
    <mergeCell ref="E95:F95"/>
    <mergeCell ref="E86:F86"/>
    <mergeCell ref="E87:F87"/>
    <mergeCell ref="E88:F88"/>
    <mergeCell ref="E89:F89"/>
    <mergeCell ref="E90:F90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</mergeCells>
  <conditionalFormatting sqref="D39:D69 H39:H69 L39:L69 P39:P69 T39:T69">
    <cfRule type="cellIs" dxfId="3" priority="2" operator="greaterThan">
      <formula>5</formula>
    </cfRule>
  </conditionalFormatting>
  <conditionalFormatting sqref="D39:D69 H39:H69 L39:L69 P39:P69 T39:T69">
    <cfRule type="cellIs" dxfId="2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M43"/>
  <sheetViews>
    <sheetView workbookViewId="0">
      <pane ySplit="2" topLeftCell="A3" activePane="bottomLeft" state="frozen"/>
      <selection pane="bottomLeft" activeCell="B33" sqref="B33:M33"/>
    </sheetView>
  </sheetViews>
  <sheetFormatPr defaultRowHeight="15"/>
  <cols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2" max="12" width="6" customWidth="1"/>
  </cols>
  <sheetData>
    <row r="1" spans="1:13" ht="33.75" customHeight="1">
      <c r="A1" s="147" t="s">
        <v>85</v>
      </c>
      <c r="B1" s="147" t="s">
        <v>86</v>
      </c>
      <c r="C1" s="147" t="s">
        <v>87</v>
      </c>
      <c r="D1" s="147" t="s">
        <v>88</v>
      </c>
      <c r="E1" s="147" t="s">
        <v>89</v>
      </c>
      <c r="F1" s="147" t="s">
        <v>90</v>
      </c>
      <c r="G1" s="147" t="s">
        <v>91</v>
      </c>
      <c r="H1" s="147" t="s">
        <v>92</v>
      </c>
      <c r="I1" s="147" t="s">
        <v>86</v>
      </c>
      <c r="J1" s="147" t="s">
        <v>93</v>
      </c>
      <c r="K1" s="147" t="s">
        <v>93</v>
      </c>
      <c r="L1" s="179"/>
      <c r="M1" s="80" t="s">
        <v>94</v>
      </c>
    </row>
    <row r="2" spans="1:13" ht="51.75" customHeight="1">
      <c r="A2" s="145" t="s">
        <v>33</v>
      </c>
      <c r="B2" s="141" t="s">
        <v>51</v>
      </c>
      <c r="C2" s="141" t="s">
        <v>95</v>
      </c>
      <c r="D2" s="141" t="s">
        <v>96</v>
      </c>
      <c r="E2" s="141" t="s">
        <v>52</v>
      </c>
      <c r="F2" s="141" t="s">
        <v>53</v>
      </c>
      <c r="G2" s="141" t="s">
        <v>55</v>
      </c>
      <c r="H2" s="141" t="s">
        <v>97</v>
      </c>
      <c r="I2" s="141" t="s">
        <v>54</v>
      </c>
      <c r="J2" s="141" t="s">
        <v>98</v>
      </c>
      <c r="K2" s="141" t="s">
        <v>99</v>
      </c>
      <c r="L2" s="180"/>
      <c r="M2" s="150" t="s">
        <v>100</v>
      </c>
    </row>
    <row r="3" spans="1:13">
      <c r="A3" s="142">
        <v>44805</v>
      </c>
      <c r="B3" s="40">
        <v>59</v>
      </c>
      <c r="C3" s="143">
        <v>36</v>
      </c>
      <c r="D3" s="143">
        <v>74</v>
      </c>
      <c r="E3" s="56">
        <v>126</v>
      </c>
      <c r="F3" s="56">
        <v>50</v>
      </c>
      <c r="G3" s="102">
        <v>0</v>
      </c>
      <c r="H3" s="143">
        <v>0</v>
      </c>
      <c r="I3" s="40">
        <v>76</v>
      </c>
      <c r="J3" s="114">
        <v>7</v>
      </c>
      <c r="K3" s="148">
        <v>19</v>
      </c>
      <c r="L3" s="181"/>
      <c r="M3" s="143">
        <f>E3-J3-(K3+3)</f>
        <v>97</v>
      </c>
    </row>
    <row r="4" spans="1:13">
      <c r="A4" s="142">
        <v>44806</v>
      </c>
      <c r="B4" s="30">
        <v>52</v>
      </c>
      <c r="C4" s="52">
        <v>19</v>
      </c>
      <c r="D4" s="52">
        <v>69</v>
      </c>
      <c r="E4" s="20">
        <v>156</v>
      </c>
      <c r="F4" s="20">
        <v>77</v>
      </c>
      <c r="G4" s="95">
        <v>0</v>
      </c>
      <c r="H4" s="52">
        <v>0</v>
      </c>
      <c r="I4" s="30">
        <v>92</v>
      </c>
      <c r="J4" s="48">
        <v>8</v>
      </c>
      <c r="K4" s="116">
        <v>19</v>
      </c>
      <c r="L4" s="182"/>
      <c r="M4" s="143">
        <f>E4-J4-(K4+3)</f>
        <v>126</v>
      </c>
    </row>
    <row r="5" spans="1:13">
      <c r="A5" s="142">
        <v>44807</v>
      </c>
      <c r="B5" s="30">
        <v>36</v>
      </c>
      <c r="C5" s="52">
        <v>27</v>
      </c>
      <c r="D5" s="52">
        <v>88</v>
      </c>
      <c r="E5" s="30">
        <v>150</v>
      </c>
      <c r="F5" s="30">
        <v>67</v>
      </c>
      <c r="G5" s="95">
        <v>0</v>
      </c>
      <c r="H5" s="52">
        <v>0</v>
      </c>
      <c r="I5" s="30">
        <v>96</v>
      </c>
      <c r="J5" s="48">
        <v>6</v>
      </c>
      <c r="K5" s="116">
        <v>22</v>
      </c>
      <c r="L5" s="182"/>
      <c r="M5" s="143">
        <f t="shared" ref="M5:M33" si="0">E5-J5-(K5+3)</f>
        <v>119</v>
      </c>
    </row>
    <row r="6" spans="1:13">
      <c r="A6" s="142">
        <v>44808</v>
      </c>
      <c r="B6" s="30">
        <v>75</v>
      </c>
      <c r="C6" s="52">
        <v>26</v>
      </c>
      <c r="D6" s="52">
        <v>67</v>
      </c>
      <c r="E6" s="30">
        <v>256</v>
      </c>
      <c r="F6" s="30">
        <v>54</v>
      </c>
      <c r="G6" s="96">
        <v>0</v>
      </c>
      <c r="H6" s="52">
        <v>0</v>
      </c>
      <c r="I6" s="30">
        <v>92</v>
      </c>
      <c r="J6" s="48">
        <v>93</v>
      </c>
      <c r="K6" s="116">
        <v>24</v>
      </c>
      <c r="L6" s="182"/>
      <c r="M6" s="143">
        <f t="shared" si="0"/>
        <v>136</v>
      </c>
    </row>
    <row r="7" spans="1:13">
      <c r="A7" s="142">
        <v>44809</v>
      </c>
      <c r="B7" s="30">
        <v>45</v>
      </c>
      <c r="C7" s="52">
        <v>18</v>
      </c>
      <c r="D7" s="52">
        <v>83</v>
      </c>
      <c r="E7" s="30">
        <v>184</v>
      </c>
      <c r="F7" s="30">
        <v>75</v>
      </c>
      <c r="G7" s="52">
        <v>0</v>
      </c>
      <c r="H7" s="52">
        <v>0</v>
      </c>
      <c r="I7" s="30">
        <v>90</v>
      </c>
      <c r="J7" s="48">
        <v>32</v>
      </c>
      <c r="K7" s="116">
        <v>25</v>
      </c>
      <c r="L7" s="182"/>
      <c r="M7" s="143">
        <f t="shared" si="0"/>
        <v>124</v>
      </c>
    </row>
    <row r="8" spans="1:13">
      <c r="A8" s="142">
        <v>44810</v>
      </c>
      <c r="B8" s="38">
        <v>58</v>
      </c>
      <c r="C8" s="52">
        <v>25</v>
      </c>
      <c r="D8" s="52">
        <v>94</v>
      </c>
      <c r="E8" s="38">
        <v>173</v>
      </c>
      <c r="F8" s="38">
        <v>59</v>
      </c>
      <c r="G8" s="52">
        <v>0</v>
      </c>
      <c r="H8" s="52">
        <v>0</v>
      </c>
      <c r="I8" s="38">
        <v>65</v>
      </c>
      <c r="J8" s="48">
        <v>7</v>
      </c>
      <c r="K8" s="116">
        <v>36</v>
      </c>
      <c r="L8" s="182"/>
      <c r="M8" s="143">
        <f t="shared" si="0"/>
        <v>127</v>
      </c>
    </row>
    <row r="9" spans="1:13">
      <c r="A9" s="142">
        <v>44811</v>
      </c>
      <c r="B9" s="30">
        <v>57</v>
      </c>
      <c r="C9" s="52">
        <v>25</v>
      </c>
      <c r="D9" s="52">
        <v>152</v>
      </c>
      <c r="E9" s="20">
        <v>180</v>
      </c>
      <c r="F9" s="20">
        <v>46</v>
      </c>
      <c r="G9" s="52">
        <v>0</v>
      </c>
      <c r="H9" s="52">
        <v>0</v>
      </c>
      <c r="I9" s="30">
        <v>98</v>
      </c>
      <c r="J9" s="48">
        <v>8</v>
      </c>
      <c r="K9" s="116">
        <v>31</v>
      </c>
      <c r="L9" s="182"/>
      <c r="M9" s="143">
        <f t="shared" si="0"/>
        <v>138</v>
      </c>
    </row>
    <row r="10" spans="1:13">
      <c r="A10" s="142">
        <v>44812</v>
      </c>
      <c r="B10" s="30">
        <v>61</v>
      </c>
      <c r="C10" s="52">
        <v>37</v>
      </c>
      <c r="D10" s="52">
        <v>76</v>
      </c>
      <c r="E10" s="30">
        <v>184</v>
      </c>
      <c r="F10" s="30">
        <v>0</v>
      </c>
      <c r="G10" s="52">
        <v>38</v>
      </c>
      <c r="H10" s="52">
        <v>0</v>
      </c>
      <c r="I10" s="30">
        <v>112</v>
      </c>
      <c r="J10" s="48">
        <v>13</v>
      </c>
      <c r="K10" s="116">
        <v>25</v>
      </c>
      <c r="L10" s="182"/>
      <c r="M10" s="143">
        <f t="shared" si="0"/>
        <v>143</v>
      </c>
    </row>
    <row r="11" spans="1:13">
      <c r="A11" s="142">
        <v>44813</v>
      </c>
      <c r="B11" s="30">
        <v>59</v>
      </c>
      <c r="C11" s="52">
        <v>20</v>
      </c>
      <c r="D11" s="52">
        <v>50</v>
      </c>
      <c r="E11" s="20">
        <v>132</v>
      </c>
      <c r="F11" s="20">
        <v>67</v>
      </c>
      <c r="G11" s="52">
        <v>0</v>
      </c>
      <c r="H11" s="52">
        <v>0</v>
      </c>
      <c r="I11" s="30">
        <v>101</v>
      </c>
      <c r="J11" s="48">
        <v>10</v>
      </c>
      <c r="K11" s="116">
        <v>20</v>
      </c>
      <c r="L11" s="182"/>
      <c r="M11" s="143">
        <f t="shared" si="0"/>
        <v>99</v>
      </c>
    </row>
    <row r="12" spans="1:13">
      <c r="A12" s="142">
        <v>44814</v>
      </c>
      <c r="B12" s="30">
        <v>56</v>
      </c>
      <c r="C12" s="52">
        <v>39</v>
      </c>
      <c r="D12" s="52">
        <v>51</v>
      </c>
      <c r="E12" s="30">
        <v>142</v>
      </c>
      <c r="F12" s="30">
        <v>71</v>
      </c>
      <c r="G12" s="52">
        <v>0</v>
      </c>
      <c r="H12" s="52">
        <v>0</v>
      </c>
      <c r="I12" s="30">
        <v>74</v>
      </c>
      <c r="J12" s="48">
        <v>12</v>
      </c>
      <c r="K12" s="116">
        <v>21</v>
      </c>
      <c r="L12" s="182"/>
      <c r="M12" s="143">
        <f t="shared" si="0"/>
        <v>106</v>
      </c>
    </row>
    <row r="13" spans="1:13">
      <c r="A13" s="142">
        <v>44815</v>
      </c>
      <c r="B13" s="30">
        <v>49</v>
      </c>
      <c r="C13" s="52">
        <v>23</v>
      </c>
      <c r="D13" s="52">
        <v>66</v>
      </c>
      <c r="E13" s="30">
        <v>155</v>
      </c>
      <c r="F13" s="30">
        <v>54</v>
      </c>
      <c r="G13" s="52">
        <v>0</v>
      </c>
      <c r="H13" s="52">
        <v>0</v>
      </c>
      <c r="I13" s="30">
        <v>11</v>
      </c>
      <c r="J13" s="48">
        <v>13</v>
      </c>
      <c r="K13" s="116">
        <v>20</v>
      </c>
      <c r="L13" s="182"/>
      <c r="M13" s="143">
        <f t="shared" si="0"/>
        <v>119</v>
      </c>
    </row>
    <row r="14" spans="1:13">
      <c r="A14" s="142">
        <v>44816</v>
      </c>
      <c r="B14" s="30">
        <v>55</v>
      </c>
      <c r="C14" s="52">
        <v>23</v>
      </c>
      <c r="D14" s="52">
        <v>65</v>
      </c>
      <c r="E14" s="30">
        <v>143</v>
      </c>
      <c r="F14" s="30">
        <v>73</v>
      </c>
      <c r="G14" s="52">
        <v>0</v>
      </c>
      <c r="H14" s="52">
        <v>0</v>
      </c>
      <c r="I14" s="30">
        <v>3</v>
      </c>
      <c r="J14" s="48">
        <v>13</v>
      </c>
      <c r="K14" s="116">
        <v>20</v>
      </c>
      <c r="L14" s="182"/>
      <c r="M14" s="143">
        <f t="shared" si="0"/>
        <v>107</v>
      </c>
    </row>
    <row r="15" spans="1:13">
      <c r="A15" s="142">
        <v>44817</v>
      </c>
      <c r="B15" s="30">
        <v>54</v>
      </c>
      <c r="C15" s="52">
        <v>38</v>
      </c>
      <c r="D15" s="52">
        <v>78</v>
      </c>
      <c r="E15" s="20">
        <v>197</v>
      </c>
      <c r="F15" s="20">
        <v>52</v>
      </c>
      <c r="G15" s="52">
        <v>0</v>
      </c>
      <c r="H15" s="52">
        <v>0</v>
      </c>
      <c r="I15" s="20">
        <v>71</v>
      </c>
      <c r="J15" s="48">
        <v>14</v>
      </c>
      <c r="K15" s="116">
        <v>26</v>
      </c>
      <c r="L15" s="182"/>
      <c r="M15" s="143">
        <f t="shared" si="0"/>
        <v>154</v>
      </c>
    </row>
    <row r="16" spans="1:13">
      <c r="A16" s="142">
        <v>44818</v>
      </c>
      <c r="B16" s="30">
        <v>55</v>
      </c>
      <c r="C16" s="52">
        <v>15</v>
      </c>
      <c r="D16" s="52">
        <v>47</v>
      </c>
      <c r="E16" s="30">
        <v>131</v>
      </c>
      <c r="F16" s="30">
        <v>66</v>
      </c>
      <c r="G16" s="52">
        <v>0</v>
      </c>
      <c r="H16" s="52">
        <v>0</v>
      </c>
      <c r="I16" s="30">
        <v>107</v>
      </c>
      <c r="J16" s="48">
        <v>13</v>
      </c>
      <c r="K16" s="116">
        <v>23</v>
      </c>
      <c r="L16" s="182"/>
      <c r="M16" s="143">
        <f t="shared" si="0"/>
        <v>92</v>
      </c>
    </row>
    <row r="17" spans="1:13">
      <c r="A17" s="142">
        <v>44819</v>
      </c>
      <c r="B17" s="30">
        <v>56</v>
      </c>
      <c r="C17" s="52">
        <v>36</v>
      </c>
      <c r="D17" s="52">
        <v>65</v>
      </c>
      <c r="E17" s="30">
        <v>158</v>
      </c>
      <c r="F17" s="30">
        <v>55</v>
      </c>
      <c r="G17" s="52">
        <v>0</v>
      </c>
      <c r="H17" s="52">
        <v>0</v>
      </c>
      <c r="I17" s="30">
        <v>1</v>
      </c>
      <c r="J17" s="48">
        <v>16</v>
      </c>
      <c r="K17" s="116">
        <v>23</v>
      </c>
      <c r="L17" s="182"/>
      <c r="M17" s="143">
        <f t="shared" si="0"/>
        <v>116</v>
      </c>
    </row>
    <row r="18" spans="1:13">
      <c r="A18" s="142">
        <v>44820</v>
      </c>
      <c r="B18" s="19">
        <v>49</v>
      </c>
      <c r="C18" s="52">
        <v>34</v>
      </c>
      <c r="D18" s="52">
        <v>53</v>
      </c>
      <c r="E18" s="30">
        <v>121</v>
      </c>
      <c r="F18" s="30">
        <v>76</v>
      </c>
      <c r="G18" s="52">
        <v>0</v>
      </c>
      <c r="H18" s="52">
        <v>0</v>
      </c>
      <c r="I18" s="30">
        <v>0</v>
      </c>
      <c r="J18" s="48">
        <v>12</v>
      </c>
      <c r="K18" s="116">
        <v>21</v>
      </c>
      <c r="L18" s="182"/>
      <c r="M18" s="143">
        <f t="shared" si="0"/>
        <v>85</v>
      </c>
    </row>
    <row r="19" spans="1:13">
      <c r="A19" s="142">
        <v>44821</v>
      </c>
      <c r="B19" s="30">
        <v>49</v>
      </c>
      <c r="C19" s="52">
        <v>39</v>
      </c>
      <c r="D19" s="52">
        <v>54</v>
      </c>
      <c r="E19" s="30">
        <v>167</v>
      </c>
      <c r="F19" s="30">
        <v>44</v>
      </c>
      <c r="G19" s="52">
        <v>0</v>
      </c>
      <c r="H19" s="52">
        <v>0</v>
      </c>
      <c r="I19" s="30">
        <v>30</v>
      </c>
      <c r="J19" s="48">
        <v>13</v>
      </c>
      <c r="K19" s="116">
        <v>27</v>
      </c>
      <c r="L19" s="182"/>
      <c r="M19" s="143">
        <f t="shared" si="0"/>
        <v>124</v>
      </c>
    </row>
    <row r="20" spans="1:13">
      <c r="A20" s="142">
        <v>44822</v>
      </c>
      <c r="B20" s="52">
        <v>43</v>
      </c>
      <c r="C20" s="52">
        <v>27</v>
      </c>
      <c r="D20" s="52">
        <v>32</v>
      </c>
      <c r="E20" s="52">
        <v>127</v>
      </c>
      <c r="F20" s="48">
        <v>34</v>
      </c>
      <c r="G20" s="52">
        <v>0</v>
      </c>
      <c r="H20" s="52">
        <v>0</v>
      </c>
      <c r="I20" s="48">
        <v>89</v>
      </c>
      <c r="J20" s="48">
        <v>15</v>
      </c>
      <c r="K20" s="116">
        <v>20</v>
      </c>
      <c r="L20" s="182"/>
      <c r="M20" s="143">
        <f t="shared" si="0"/>
        <v>89</v>
      </c>
    </row>
    <row r="21" spans="1:13">
      <c r="A21" s="142">
        <v>44823</v>
      </c>
      <c r="B21" s="52">
        <v>53</v>
      </c>
      <c r="C21" s="52">
        <v>25</v>
      </c>
      <c r="D21" s="52">
        <v>63</v>
      </c>
      <c r="E21" s="52">
        <v>98</v>
      </c>
      <c r="F21" s="48">
        <v>38</v>
      </c>
      <c r="G21" s="52">
        <v>0</v>
      </c>
      <c r="H21" s="52">
        <v>0</v>
      </c>
      <c r="I21" s="48">
        <v>17</v>
      </c>
      <c r="J21" s="48">
        <v>14</v>
      </c>
      <c r="K21" s="116">
        <v>16</v>
      </c>
      <c r="L21" s="182"/>
      <c r="M21" s="143">
        <f t="shared" si="0"/>
        <v>65</v>
      </c>
    </row>
    <row r="22" spans="1:13">
      <c r="A22" s="142">
        <v>44824</v>
      </c>
      <c r="B22" s="52">
        <f t="shared" ref="B22:D22" si="1">AVERAGE(B8:B21)</f>
        <v>53.857142857142854</v>
      </c>
      <c r="C22" s="52">
        <f t="shared" si="1"/>
        <v>29</v>
      </c>
      <c r="D22" s="52">
        <f t="shared" si="1"/>
        <v>67.571428571428569</v>
      </c>
      <c r="E22" s="52">
        <f>AVERAGE(E8:E21)</f>
        <v>150.57142857142858</v>
      </c>
      <c r="F22" s="52">
        <f t="shared" ref="F22:K22" si="2">AVERAGE(F8:F21)</f>
        <v>52.5</v>
      </c>
      <c r="G22" s="52">
        <f t="shared" si="2"/>
        <v>2.7142857142857144</v>
      </c>
      <c r="H22" s="52">
        <f t="shared" si="2"/>
        <v>0</v>
      </c>
      <c r="I22" s="52">
        <f t="shared" si="2"/>
        <v>55.642857142857146</v>
      </c>
      <c r="J22" s="52">
        <f t="shared" si="2"/>
        <v>12.357142857142858</v>
      </c>
      <c r="K22" s="52">
        <f t="shared" si="2"/>
        <v>23.5</v>
      </c>
      <c r="L22" s="182"/>
      <c r="M22" s="143">
        <f t="shared" si="0"/>
        <v>111.71428571428572</v>
      </c>
    </row>
    <row r="23" spans="1:13">
      <c r="A23" s="142">
        <v>44825</v>
      </c>
      <c r="B23" s="52">
        <v>57</v>
      </c>
      <c r="C23" s="52">
        <v>32</v>
      </c>
      <c r="D23" s="52">
        <v>59</v>
      </c>
      <c r="E23" s="52">
        <v>159</v>
      </c>
      <c r="F23" s="48">
        <v>44</v>
      </c>
      <c r="G23" s="52">
        <v>0</v>
      </c>
      <c r="H23" s="52">
        <v>0</v>
      </c>
      <c r="I23" s="48">
        <v>43</v>
      </c>
      <c r="J23" s="48">
        <v>22</v>
      </c>
      <c r="K23" s="116">
        <v>22</v>
      </c>
      <c r="L23" s="182"/>
      <c r="M23" s="143">
        <f t="shared" si="0"/>
        <v>112</v>
      </c>
    </row>
    <row r="24" spans="1:13">
      <c r="A24" s="142">
        <v>44826</v>
      </c>
      <c r="B24" s="52">
        <v>58</v>
      </c>
      <c r="C24" s="52">
        <v>36</v>
      </c>
      <c r="D24" s="52">
        <v>75</v>
      </c>
      <c r="E24" s="52">
        <v>154</v>
      </c>
      <c r="F24" s="48">
        <v>48</v>
      </c>
      <c r="G24" s="52">
        <v>0</v>
      </c>
      <c r="H24" s="52">
        <v>0</v>
      </c>
      <c r="I24" s="48">
        <v>86</v>
      </c>
      <c r="J24" s="48">
        <v>15</v>
      </c>
      <c r="K24" s="116">
        <v>23</v>
      </c>
      <c r="L24" s="182"/>
      <c r="M24" s="143">
        <f t="shared" si="0"/>
        <v>113</v>
      </c>
    </row>
    <row r="25" spans="1:13">
      <c r="A25" s="142">
        <v>44827</v>
      </c>
      <c r="B25" s="52">
        <v>56</v>
      </c>
      <c r="C25" s="52">
        <v>33</v>
      </c>
      <c r="D25" s="52">
        <v>100</v>
      </c>
      <c r="E25" s="52">
        <v>151</v>
      </c>
      <c r="F25" s="48">
        <v>57</v>
      </c>
      <c r="G25" s="52">
        <v>0</v>
      </c>
      <c r="H25" s="52">
        <v>0</v>
      </c>
      <c r="I25" s="48">
        <v>41</v>
      </c>
      <c r="J25" s="48">
        <v>15</v>
      </c>
      <c r="K25" s="116">
        <v>29</v>
      </c>
      <c r="L25" s="182"/>
      <c r="M25" s="143">
        <f t="shared" si="0"/>
        <v>104</v>
      </c>
    </row>
    <row r="26" spans="1:13">
      <c r="A26" s="142">
        <v>44828</v>
      </c>
      <c r="B26" s="52">
        <v>45</v>
      </c>
      <c r="C26" s="52">
        <v>47</v>
      </c>
      <c r="D26" s="52">
        <v>85</v>
      </c>
      <c r="E26" s="52">
        <v>172</v>
      </c>
      <c r="F26" s="48">
        <v>57</v>
      </c>
      <c r="G26" s="52">
        <v>0</v>
      </c>
      <c r="H26" s="52">
        <v>0</v>
      </c>
      <c r="I26" s="48">
        <v>95</v>
      </c>
      <c r="J26" s="48">
        <v>52</v>
      </c>
      <c r="K26" s="116">
        <v>22</v>
      </c>
      <c r="L26" s="182"/>
      <c r="M26" s="143">
        <f t="shared" si="0"/>
        <v>95</v>
      </c>
    </row>
    <row r="27" spans="1:13">
      <c r="A27" s="142">
        <v>44829</v>
      </c>
      <c r="B27" s="30">
        <v>51</v>
      </c>
      <c r="C27" s="52">
        <v>23</v>
      </c>
      <c r="D27" s="52">
        <v>91</v>
      </c>
      <c r="E27" s="20">
        <v>296</v>
      </c>
      <c r="F27" s="20">
        <v>36</v>
      </c>
      <c r="G27" s="52">
        <v>0</v>
      </c>
      <c r="H27" s="52">
        <v>0</v>
      </c>
      <c r="I27" s="20">
        <v>115</v>
      </c>
      <c r="J27" s="50">
        <v>156</v>
      </c>
      <c r="K27" s="116">
        <v>35</v>
      </c>
      <c r="L27" s="182"/>
      <c r="M27" s="143">
        <f t="shared" si="0"/>
        <v>102</v>
      </c>
    </row>
    <row r="28" spans="1:13">
      <c r="A28" s="142">
        <v>44830</v>
      </c>
      <c r="B28" s="54">
        <v>57</v>
      </c>
      <c r="C28" s="52">
        <v>36</v>
      </c>
      <c r="D28" s="52">
        <v>84</v>
      </c>
      <c r="E28" s="55">
        <v>268</v>
      </c>
      <c r="F28" s="55">
        <v>53</v>
      </c>
      <c r="G28" s="52">
        <v>0</v>
      </c>
      <c r="H28" s="52">
        <v>0</v>
      </c>
      <c r="I28" s="55">
        <v>103</v>
      </c>
      <c r="J28" s="50">
        <v>124</v>
      </c>
      <c r="K28" s="116">
        <v>29</v>
      </c>
      <c r="L28" s="182"/>
      <c r="M28" s="143">
        <f t="shared" si="0"/>
        <v>112</v>
      </c>
    </row>
    <row r="29" spans="1:13">
      <c r="A29" s="142">
        <v>44831</v>
      </c>
      <c r="B29" s="48">
        <v>57</v>
      </c>
      <c r="C29" s="52">
        <v>1</v>
      </c>
      <c r="D29" s="52">
        <v>78</v>
      </c>
      <c r="E29" s="48">
        <v>226</v>
      </c>
      <c r="F29" s="48">
        <v>59</v>
      </c>
      <c r="G29" s="52">
        <v>0</v>
      </c>
      <c r="H29" s="52">
        <v>0</v>
      </c>
      <c r="I29" s="48">
        <v>111</v>
      </c>
      <c r="J29" s="48">
        <v>65</v>
      </c>
      <c r="K29" s="116">
        <v>27</v>
      </c>
      <c r="L29" s="182"/>
      <c r="M29" s="143">
        <f t="shared" si="0"/>
        <v>131</v>
      </c>
    </row>
    <row r="30" spans="1:13">
      <c r="A30" s="142">
        <v>44832</v>
      </c>
      <c r="B30" s="52">
        <v>46</v>
      </c>
      <c r="C30" s="52">
        <v>45</v>
      </c>
      <c r="D30" s="52">
        <v>89</v>
      </c>
      <c r="E30" s="52">
        <v>132</v>
      </c>
      <c r="F30" s="48">
        <v>96</v>
      </c>
      <c r="G30" s="52">
        <v>0</v>
      </c>
      <c r="H30" s="52">
        <v>0</v>
      </c>
      <c r="I30" s="48">
        <v>96</v>
      </c>
      <c r="J30" s="48">
        <v>21</v>
      </c>
      <c r="K30" s="116">
        <v>24</v>
      </c>
      <c r="L30" s="182"/>
      <c r="M30" s="143">
        <f t="shared" si="0"/>
        <v>84</v>
      </c>
    </row>
    <row r="31" spans="1:13">
      <c r="A31" s="142">
        <v>44833</v>
      </c>
      <c r="B31" s="52">
        <v>55</v>
      </c>
      <c r="C31" s="52">
        <v>38</v>
      </c>
      <c r="D31" s="52">
        <v>92</v>
      </c>
      <c r="E31" s="52">
        <v>139</v>
      </c>
      <c r="F31" s="48">
        <v>99</v>
      </c>
      <c r="G31" s="52">
        <v>0</v>
      </c>
      <c r="H31" s="52">
        <v>0</v>
      </c>
      <c r="I31" s="48">
        <v>107</v>
      </c>
      <c r="J31" s="48">
        <v>21</v>
      </c>
      <c r="K31" s="116">
        <v>27</v>
      </c>
      <c r="L31" s="182"/>
      <c r="M31" s="143">
        <f t="shared" si="0"/>
        <v>88</v>
      </c>
    </row>
    <row r="32" spans="1:13">
      <c r="A32" s="142">
        <v>44834</v>
      </c>
      <c r="B32" s="52">
        <v>59</v>
      </c>
      <c r="C32" s="52">
        <v>31</v>
      </c>
      <c r="D32" s="52">
        <v>112</v>
      </c>
      <c r="E32" s="52">
        <v>89</v>
      </c>
      <c r="F32" s="48">
        <v>48</v>
      </c>
      <c r="G32" s="52">
        <v>0</v>
      </c>
      <c r="H32" s="52">
        <v>0</v>
      </c>
      <c r="I32" s="48">
        <v>103</v>
      </c>
      <c r="J32" s="48">
        <v>31</v>
      </c>
      <c r="K32" s="116">
        <v>24</v>
      </c>
      <c r="L32" s="182"/>
      <c r="M32" s="143">
        <f t="shared" si="0"/>
        <v>31</v>
      </c>
    </row>
    <row r="33" spans="1:13">
      <c r="A33" s="142"/>
      <c r="B33" s="40">
        <v>59</v>
      </c>
      <c r="C33" s="143">
        <v>31</v>
      </c>
      <c r="D33" s="143">
        <v>112</v>
      </c>
      <c r="E33" s="56">
        <v>151</v>
      </c>
      <c r="F33" s="56">
        <v>48</v>
      </c>
      <c r="G33" s="102">
        <v>0</v>
      </c>
      <c r="H33" s="143">
        <v>0</v>
      </c>
      <c r="I33" s="40">
        <v>103</v>
      </c>
      <c r="J33" s="114">
        <v>24</v>
      </c>
      <c r="K33" s="148">
        <v>16</v>
      </c>
      <c r="L33" s="181"/>
      <c r="M33" s="143">
        <f>J33-K33</f>
        <v>8</v>
      </c>
    </row>
    <row r="34" spans="1:13" ht="45" customHeight="1">
      <c r="A34" s="146" t="s">
        <v>76</v>
      </c>
      <c r="B34" s="144">
        <f>SUM(B3:B33)</f>
        <v>1674.8571428571429</v>
      </c>
      <c r="C34" s="144">
        <f t="shared" ref="C34:K34" si="3">SUM(C3:C33)</f>
        <v>914</v>
      </c>
      <c r="D34" s="144">
        <f t="shared" si="3"/>
        <v>2371.5714285714284</v>
      </c>
      <c r="E34" s="144">
        <f t="shared" si="3"/>
        <v>5067.5714285714284</v>
      </c>
      <c r="F34" s="144">
        <f t="shared" si="3"/>
        <v>1755.5</v>
      </c>
      <c r="G34" s="144">
        <f t="shared" si="3"/>
        <v>40.714285714285715</v>
      </c>
      <c r="H34" s="144">
        <f t="shared" si="3"/>
        <v>0</v>
      </c>
      <c r="I34" s="144">
        <f t="shared" si="3"/>
        <v>2283.6428571428569</v>
      </c>
      <c r="J34" s="144">
        <f t="shared" si="3"/>
        <v>877.35714285714289</v>
      </c>
      <c r="K34" s="149">
        <f t="shared" si="3"/>
        <v>739.5</v>
      </c>
      <c r="L34" s="149"/>
      <c r="M34" s="144">
        <f t="shared" ref="M4:M34" si="4">E34-J34-(K34+3)</f>
        <v>3447.7142857142853</v>
      </c>
    </row>
    <row r="43" spans="1:13" hidden="1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2"/>
  <sheetViews>
    <sheetView topLeftCell="A11" workbookViewId="0">
      <selection activeCell="B2" sqref="B2:K22"/>
    </sheetView>
  </sheetViews>
  <sheetFormatPr defaultRowHeight="15"/>
  <sheetData>
    <row r="1" spans="1:11">
      <c r="A1" s="164" t="s">
        <v>101</v>
      </c>
      <c r="B1" s="164" t="s">
        <v>102</v>
      </c>
      <c r="C1" s="164" t="s">
        <v>103</v>
      </c>
      <c r="D1" s="164" t="s">
        <v>104</v>
      </c>
      <c r="E1" s="164" t="s">
        <v>105</v>
      </c>
      <c r="F1" s="164" t="s">
        <v>106</v>
      </c>
      <c r="G1" s="164" t="s">
        <v>107</v>
      </c>
      <c r="H1" s="164" t="s">
        <v>108</v>
      </c>
      <c r="I1" s="164" t="s">
        <v>109</v>
      </c>
      <c r="J1" s="164" t="s">
        <v>86</v>
      </c>
      <c r="K1" s="164" t="s">
        <v>110</v>
      </c>
    </row>
    <row r="2" spans="1:11">
      <c r="A2" s="164">
        <v>1</v>
      </c>
      <c r="B2" s="189">
        <v>2.6</v>
      </c>
      <c r="C2" s="190">
        <v>3.84</v>
      </c>
      <c r="D2" s="190">
        <v>4.71</v>
      </c>
      <c r="E2" s="190">
        <v>1.23</v>
      </c>
      <c r="F2" s="190">
        <v>2.12</v>
      </c>
      <c r="G2" s="190">
        <v>2.29</v>
      </c>
      <c r="H2" s="190">
        <v>1.32</v>
      </c>
      <c r="I2" s="190">
        <v>1.4</v>
      </c>
      <c r="J2" s="190">
        <v>3.86</v>
      </c>
      <c r="K2" s="190">
        <v>0</v>
      </c>
    </row>
    <row r="3" spans="1:11">
      <c r="A3" s="164">
        <v>2</v>
      </c>
      <c r="B3" s="191">
        <v>2.79</v>
      </c>
      <c r="C3" s="192">
        <v>4.04</v>
      </c>
      <c r="D3" s="192">
        <v>4.9800000000000004</v>
      </c>
      <c r="E3" s="192">
        <v>1.24</v>
      </c>
      <c r="F3" s="192">
        <v>2.34</v>
      </c>
      <c r="G3" s="192">
        <v>2.33</v>
      </c>
      <c r="H3" s="192">
        <v>1.19</v>
      </c>
      <c r="I3" s="192">
        <v>1.51</v>
      </c>
      <c r="J3" s="192">
        <v>3.67</v>
      </c>
      <c r="K3" s="192">
        <v>0</v>
      </c>
    </row>
    <row r="4" spans="1:11">
      <c r="A4" s="164">
        <v>3</v>
      </c>
      <c r="B4" s="191">
        <v>2.8</v>
      </c>
      <c r="C4" s="192">
        <v>3.9</v>
      </c>
      <c r="D4" s="192">
        <v>5.08</v>
      </c>
      <c r="E4" s="192">
        <v>1.18</v>
      </c>
      <c r="F4" s="192">
        <v>2.2000000000000002</v>
      </c>
      <c r="G4" s="192">
        <v>2.31</v>
      </c>
      <c r="H4" s="192">
        <v>1.22</v>
      </c>
      <c r="I4" s="192">
        <v>1.46</v>
      </c>
      <c r="J4" s="192">
        <v>3.56</v>
      </c>
      <c r="K4" s="192">
        <v>0</v>
      </c>
    </row>
    <row r="5" spans="1:11">
      <c r="A5" s="164">
        <v>4</v>
      </c>
      <c r="B5" s="191">
        <v>2.68</v>
      </c>
      <c r="C5" s="192">
        <v>3.97</v>
      </c>
      <c r="D5" s="192">
        <v>4.92</v>
      </c>
      <c r="E5" s="192">
        <v>1.1299999999999999</v>
      </c>
      <c r="F5" s="192">
        <v>2.19</v>
      </c>
      <c r="G5" s="192">
        <v>2.23</v>
      </c>
      <c r="H5" s="192">
        <v>1.25</v>
      </c>
      <c r="I5" s="192">
        <v>1.4</v>
      </c>
      <c r="J5" s="192">
        <v>3.55</v>
      </c>
      <c r="K5" s="192">
        <v>0</v>
      </c>
    </row>
    <row r="6" spans="1:11">
      <c r="A6" s="164">
        <v>5</v>
      </c>
      <c r="B6" s="191">
        <v>2.62</v>
      </c>
      <c r="C6" s="192">
        <v>4.03</v>
      </c>
      <c r="D6" s="192">
        <v>4.9400000000000004</v>
      </c>
      <c r="E6" s="192">
        <v>1.23</v>
      </c>
      <c r="F6" s="192">
        <v>2.2599999999999998</v>
      </c>
      <c r="G6" s="192">
        <v>2.69</v>
      </c>
      <c r="H6" s="192">
        <v>1.35</v>
      </c>
      <c r="I6" s="192">
        <v>1.37</v>
      </c>
      <c r="J6" s="192">
        <v>3.91</v>
      </c>
      <c r="K6" s="192">
        <v>0</v>
      </c>
    </row>
    <row r="7" spans="1:11">
      <c r="A7" s="164">
        <v>6</v>
      </c>
      <c r="B7" s="191">
        <v>2.84</v>
      </c>
      <c r="C7" s="192">
        <v>4.0199999999999996</v>
      </c>
      <c r="D7" s="192">
        <v>5.14</v>
      </c>
      <c r="E7" s="192">
        <v>1.21</v>
      </c>
      <c r="F7" s="192">
        <v>2.2400000000000002</v>
      </c>
      <c r="G7" s="192">
        <v>2.79</v>
      </c>
      <c r="H7" s="192">
        <v>1.35</v>
      </c>
      <c r="I7" s="192">
        <v>1.59</v>
      </c>
      <c r="J7" s="192">
        <v>4.05</v>
      </c>
      <c r="K7" s="192">
        <v>0</v>
      </c>
    </row>
    <row r="8" spans="1:11">
      <c r="A8" s="164">
        <v>7</v>
      </c>
      <c r="B8" s="191">
        <v>2.77</v>
      </c>
      <c r="C8" s="192">
        <v>3.94</v>
      </c>
      <c r="D8" s="192">
        <v>5.3</v>
      </c>
      <c r="E8" s="192">
        <v>1.1599999999999999</v>
      </c>
      <c r="F8" s="192">
        <v>2.16</v>
      </c>
      <c r="G8" s="192">
        <v>2.5299999999999998</v>
      </c>
      <c r="H8" s="192">
        <v>1.34</v>
      </c>
      <c r="I8" s="192">
        <v>1.53</v>
      </c>
      <c r="J8" s="192">
        <v>4.03</v>
      </c>
      <c r="K8" s="192">
        <v>0</v>
      </c>
    </row>
    <row r="9" spans="1:11">
      <c r="A9" s="164">
        <v>8</v>
      </c>
      <c r="B9" s="191">
        <v>2.61</v>
      </c>
      <c r="C9" s="192">
        <v>3.66</v>
      </c>
      <c r="D9" s="192">
        <v>5.19</v>
      </c>
      <c r="E9" s="192">
        <v>1.1599999999999999</v>
      </c>
      <c r="F9" s="192">
        <v>2.19</v>
      </c>
      <c r="G9" s="192">
        <v>2.5</v>
      </c>
      <c r="H9" s="192">
        <v>1.32</v>
      </c>
      <c r="I9" s="192">
        <v>1.54</v>
      </c>
      <c r="J9" s="192">
        <v>3.98</v>
      </c>
      <c r="K9" s="192">
        <v>0</v>
      </c>
    </row>
    <row r="10" spans="1:11">
      <c r="A10" s="164">
        <v>9</v>
      </c>
      <c r="B10" s="191">
        <v>2.6</v>
      </c>
      <c r="C10" s="192">
        <v>3.88</v>
      </c>
      <c r="D10" s="192">
        <v>4.9800000000000004</v>
      </c>
      <c r="E10" s="192">
        <v>1.1399999999999999</v>
      </c>
      <c r="F10" s="192">
        <v>2.13</v>
      </c>
      <c r="G10" s="192">
        <v>2.5</v>
      </c>
      <c r="H10" s="192">
        <v>1.31</v>
      </c>
      <c r="I10" s="192">
        <v>1.5</v>
      </c>
      <c r="J10" s="192">
        <v>3.85</v>
      </c>
      <c r="K10" s="192">
        <v>0</v>
      </c>
    </row>
    <row r="11" spans="1:11">
      <c r="A11" s="164">
        <v>10</v>
      </c>
      <c r="B11" s="191">
        <v>2.66</v>
      </c>
      <c r="C11" s="192">
        <v>4.33</v>
      </c>
      <c r="D11" s="192">
        <v>5.38</v>
      </c>
      <c r="E11" s="192">
        <v>1.17</v>
      </c>
      <c r="F11" s="192">
        <v>2.2400000000000002</v>
      </c>
      <c r="G11" s="192">
        <v>2.4900000000000002</v>
      </c>
      <c r="H11" s="192">
        <v>1.27</v>
      </c>
      <c r="I11" s="192">
        <v>1.6</v>
      </c>
      <c r="J11" s="192">
        <v>3.83</v>
      </c>
      <c r="K11" s="192">
        <v>0</v>
      </c>
    </row>
    <row r="12" spans="1:11">
      <c r="A12" s="164">
        <v>11</v>
      </c>
      <c r="B12" s="191">
        <v>2.08</v>
      </c>
      <c r="C12" s="192">
        <v>3.78</v>
      </c>
      <c r="D12" s="192">
        <v>4.84</v>
      </c>
      <c r="E12" s="192">
        <v>1.06</v>
      </c>
      <c r="F12" s="192">
        <v>1.94</v>
      </c>
      <c r="G12" s="192">
        <v>2.34</v>
      </c>
      <c r="H12" s="192">
        <v>1.22</v>
      </c>
      <c r="I12" s="192">
        <v>1.52</v>
      </c>
      <c r="J12" s="192">
        <v>3.58</v>
      </c>
      <c r="K12" s="192">
        <v>0</v>
      </c>
    </row>
    <row r="13" spans="1:11">
      <c r="A13" s="164">
        <v>12</v>
      </c>
      <c r="B13" s="191">
        <v>2.2000000000000002</v>
      </c>
      <c r="C13" s="192">
        <v>3.65</v>
      </c>
      <c r="D13" s="192">
        <v>4.75</v>
      </c>
      <c r="E13" s="192">
        <v>1.1399999999999999</v>
      </c>
      <c r="F13" s="192">
        <v>2.02</v>
      </c>
      <c r="G13" s="192">
        <v>2.4500000000000002</v>
      </c>
      <c r="H13" s="192">
        <v>1.31</v>
      </c>
      <c r="I13" s="192">
        <v>1.6</v>
      </c>
      <c r="J13" s="192">
        <v>3.81</v>
      </c>
      <c r="K13" s="192">
        <v>0</v>
      </c>
    </row>
    <row r="14" spans="1:11">
      <c r="A14" s="164">
        <v>13</v>
      </c>
      <c r="B14" s="191">
        <v>2.2200000000000002</v>
      </c>
      <c r="C14" s="192">
        <v>3.78</v>
      </c>
      <c r="D14" s="192">
        <v>4.9400000000000004</v>
      </c>
      <c r="E14" s="192">
        <v>1.23</v>
      </c>
      <c r="F14" s="192">
        <v>2.16</v>
      </c>
      <c r="G14" s="192">
        <v>2.59</v>
      </c>
      <c r="H14" s="192">
        <v>1.3</v>
      </c>
      <c r="I14" s="192">
        <v>1.57</v>
      </c>
      <c r="J14" s="192">
        <v>3.94</v>
      </c>
      <c r="K14" s="192">
        <v>0</v>
      </c>
    </row>
    <row r="15" spans="1:11">
      <c r="A15" s="164">
        <v>14</v>
      </c>
      <c r="B15" s="191">
        <v>2.2400000000000002</v>
      </c>
      <c r="C15" s="192">
        <v>3.92</v>
      </c>
      <c r="D15" s="192">
        <v>5.01</v>
      </c>
      <c r="E15" s="192">
        <v>1.1499999999999999</v>
      </c>
      <c r="F15" s="192">
        <v>2.21</v>
      </c>
      <c r="G15" s="192">
        <v>2.99</v>
      </c>
      <c r="H15" s="192">
        <v>1.37</v>
      </c>
      <c r="I15" s="192">
        <v>1.58</v>
      </c>
      <c r="J15" s="192">
        <v>3.9</v>
      </c>
      <c r="K15" s="192">
        <v>0</v>
      </c>
    </row>
    <row r="16" spans="1:11">
      <c r="A16" s="164">
        <v>15</v>
      </c>
      <c r="B16" s="191">
        <v>2.2799999999999998</v>
      </c>
      <c r="C16" s="192">
        <v>4.0199999999999996</v>
      </c>
      <c r="D16" s="192">
        <v>5.1100000000000003</v>
      </c>
      <c r="E16" s="192">
        <v>1.18</v>
      </c>
      <c r="F16" s="192">
        <v>2.31</v>
      </c>
      <c r="G16" s="192">
        <v>3.09</v>
      </c>
      <c r="H16" s="192">
        <v>1.19</v>
      </c>
      <c r="I16" s="192">
        <v>1.67</v>
      </c>
      <c r="J16" s="192">
        <v>3.75</v>
      </c>
      <c r="K16" s="192">
        <v>0</v>
      </c>
    </row>
    <row r="17" spans="1:11">
      <c r="A17" s="164">
        <v>16</v>
      </c>
      <c r="B17" s="191">
        <v>2.12</v>
      </c>
      <c r="C17" s="192">
        <v>3.73</v>
      </c>
      <c r="D17" s="192">
        <v>4.87</v>
      </c>
      <c r="E17" s="192">
        <v>1.23</v>
      </c>
      <c r="F17" s="192">
        <v>2.25</v>
      </c>
      <c r="G17" s="192">
        <v>2.81</v>
      </c>
      <c r="H17" s="192">
        <v>1.34</v>
      </c>
      <c r="I17" s="192">
        <v>1.68</v>
      </c>
      <c r="J17" s="192">
        <v>3.89</v>
      </c>
      <c r="K17" s="192">
        <v>0</v>
      </c>
    </row>
    <row r="18" spans="1:11">
      <c r="A18" s="164">
        <v>17</v>
      </c>
      <c r="B18" s="191">
        <v>2.14</v>
      </c>
      <c r="C18" s="192">
        <v>3.74</v>
      </c>
      <c r="D18" s="192">
        <v>5.0599999999999996</v>
      </c>
      <c r="E18" s="192">
        <v>1.18</v>
      </c>
      <c r="F18" s="192">
        <v>2.17</v>
      </c>
      <c r="G18" s="192">
        <v>2.58</v>
      </c>
      <c r="H18" s="192">
        <v>1.33</v>
      </c>
      <c r="I18" s="192">
        <v>1.65</v>
      </c>
      <c r="J18" s="192">
        <v>3.71</v>
      </c>
      <c r="K18" s="192">
        <v>0</v>
      </c>
    </row>
    <row r="19" spans="1:11">
      <c r="A19" s="164">
        <v>18</v>
      </c>
      <c r="B19" s="191">
        <v>2.68</v>
      </c>
      <c r="C19" s="192">
        <v>4.0999999999999996</v>
      </c>
      <c r="D19" s="192">
        <v>5.24</v>
      </c>
      <c r="E19" s="192">
        <v>1.33</v>
      </c>
      <c r="F19" s="192">
        <v>2.31</v>
      </c>
      <c r="G19" s="192">
        <v>2.42</v>
      </c>
      <c r="H19" s="192">
        <v>1.24</v>
      </c>
      <c r="I19" s="192">
        <v>1.74</v>
      </c>
      <c r="J19" s="192">
        <v>3.49</v>
      </c>
      <c r="K19" s="192">
        <v>0</v>
      </c>
    </row>
    <row r="20" spans="1:11">
      <c r="A20" s="164">
        <v>19</v>
      </c>
      <c r="B20" s="191">
        <v>2.38</v>
      </c>
      <c r="C20" s="192">
        <v>3.8</v>
      </c>
      <c r="D20" s="192">
        <v>4.9400000000000004</v>
      </c>
      <c r="E20" s="192">
        <v>1.22</v>
      </c>
      <c r="F20" s="192">
        <v>2.0699999999999998</v>
      </c>
      <c r="G20" s="192">
        <v>2.33</v>
      </c>
      <c r="H20" s="192">
        <v>1.26</v>
      </c>
      <c r="I20" s="192">
        <v>1.78</v>
      </c>
      <c r="J20" s="192">
        <v>3.56</v>
      </c>
      <c r="K20" s="192">
        <v>0</v>
      </c>
    </row>
    <row r="21" spans="1:11">
      <c r="A21" s="164">
        <v>20</v>
      </c>
      <c r="B21" s="191">
        <v>2.4900000000000002</v>
      </c>
      <c r="C21" s="192">
        <v>4.13</v>
      </c>
      <c r="D21" s="192">
        <v>5.25</v>
      </c>
      <c r="E21" s="192">
        <v>1.32</v>
      </c>
      <c r="F21" s="192">
        <v>2.29</v>
      </c>
      <c r="G21" s="192">
        <v>2.56</v>
      </c>
      <c r="H21" s="192">
        <v>1.33</v>
      </c>
      <c r="I21" s="192">
        <v>1.85</v>
      </c>
      <c r="J21" s="192">
        <v>3.9</v>
      </c>
      <c r="K21" s="192">
        <v>0</v>
      </c>
    </row>
    <row r="22" spans="1:11">
      <c r="A22" s="164">
        <v>21</v>
      </c>
      <c r="B22" s="191">
        <v>2.0099999999999998</v>
      </c>
      <c r="C22" s="192">
        <v>3.75</v>
      </c>
      <c r="D22" s="192">
        <v>5.13</v>
      </c>
      <c r="E22" s="192">
        <v>1.22</v>
      </c>
      <c r="F22" s="192">
        <v>2.0299999999999998</v>
      </c>
      <c r="G22" s="192">
        <v>2.2400000000000002</v>
      </c>
      <c r="H22" s="192">
        <v>1.32</v>
      </c>
      <c r="I22" s="192">
        <v>1.73</v>
      </c>
      <c r="J22" s="192">
        <v>3.89</v>
      </c>
      <c r="K22" s="192">
        <v>0</v>
      </c>
    </row>
    <row r="23" spans="1:11">
      <c r="A23" s="164">
        <v>22</v>
      </c>
      <c r="B23" s="191">
        <v>0.6</v>
      </c>
      <c r="C23" s="192">
        <v>1.1599999999999999</v>
      </c>
      <c r="D23" s="192">
        <v>1.83</v>
      </c>
      <c r="E23" s="192">
        <v>0.44</v>
      </c>
      <c r="F23" s="192">
        <v>0.67</v>
      </c>
      <c r="G23" s="192">
        <v>2.56</v>
      </c>
      <c r="H23" s="192">
        <v>0.53</v>
      </c>
      <c r="I23" s="192">
        <v>0.52</v>
      </c>
      <c r="J23" s="192">
        <v>1.46</v>
      </c>
      <c r="K23" s="192">
        <v>0</v>
      </c>
    </row>
    <row r="24" spans="1:11">
      <c r="A24" s="164">
        <v>23</v>
      </c>
      <c r="B24" s="191">
        <v>2.8</v>
      </c>
      <c r="C24" s="192">
        <v>4.6100000000000003</v>
      </c>
      <c r="D24" s="192">
        <v>5.37</v>
      </c>
      <c r="E24" s="192">
        <v>1.58</v>
      </c>
      <c r="F24" s="192">
        <v>2.27</v>
      </c>
      <c r="G24" s="192">
        <v>2.77</v>
      </c>
      <c r="H24" s="192">
        <v>1.1499999999999999</v>
      </c>
      <c r="I24" s="192">
        <v>1.64</v>
      </c>
      <c r="J24" s="192">
        <v>3.6</v>
      </c>
      <c r="K24" s="192">
        <v>0</v>
      </c>
    </row>
    <row r="25" spans="1:11">
      <c r="A25" s="164">
        <v>24</v>
      </c>
      <c r="B25" s="191">
        <v>3.09</v>
      </c>
      <c r="C25" s="192">
        <v>4.4000000000000004</v>
      </c>
      <c r="D25" s="192">
        <v>5.44</v>
      </c>
      <c r="E25" s="192">
        <v>1.71</v>
      </c>
      <c r="F25" s="192">
        <v>2.2999999999999998</v>
      </c>
      <c r="G25" s="192">
        <v>2.52</v>
      </c>
      <c r="H25" s="192">
        <v>1.35</v>
      </c>
      <c r="I25" s="192">
        <v>1.64</v>
      </c>
      <c r="J25" s="192">
        <v>3.8</v>
      </c>
      <c r="K25" s="192">
        <v>0</v>
      </c>
    </row>
    <row r="26" spans="1:11">
      <c r="A26" s="164">
        <v>25</v>
      </c>
      <c r="B26" s="191">
        <v>2.88</v>
      </c>
      <c r="C26" s="192">
        <v>4.21</v>
      </c>
      <c r="D26" s="192">
        <v>5.0999999999999996</v>
      </c>
      <c r="E26" s="192">
        <v>1.62</v>
      </c>
      <c r="F26" s="192">
        <v>2.31</v>
      </c>
      <c r="G26" s="192">
        <v>2.58</v>
      </c>
      <c r="H26" s="192">
        <v>1.38</v>
      </c>
      <c r="I26" s="192">
        <v>1.59</v>
      </c>
      <c r="J26" s="192">
        <v>3.66</v>
      </c>
      <c r="K26" s="192">
        <v>0</v>
      </c>
    </row>
    <row r="27" spans="1:11">
      <c r="A27" s="164">
        <v>26</v>
      </c>
      <c r="B27" s="191">
        <v>2.87</v>
      </c>
      <c r="C27" s="192">
        <v>4.33</v>
      </c>
      <c r="D27" s="192">
        <v>5.16</v>
      </c>
      <c r="E27" s="192">
        <v>1.75</v>
      </c>
      <c r="F27" s="192">
        <v>2.5</v>
      </c>
      <c r="G27" s="192">
        <v>2.76</v>
      </c>
      <c r="H27" s="192">
        <v>1.32</v>
      </c>
      <c r="I27" s="192">
        <v>1.71</v>
      </c>
      <c r="J27" s="192">
        <v>3.84</v>
      </c>
      <c r="K27" s="192">
        <v>0</v>
      </c>
    </row>
    <row r="28" spans="1:11">
      <c r="A28" s="164">
        <v>27</v>
      </c>
      <c r="B28" s="191">
        <v>2.48</v>
      </c>
      <c r="C28" s="192">
        <v>3.53</v>
      </c>
      <c r="D28" s="192">
        <v>5.07</v>
      </c>
      <c r="E28" s="192">
        <v>1.65</v>
      </c>
      <c r="F28" s="192">
        <v>2.04</v>
      </c>
      <c r="G28" s="192">
        <v>2.62</v>
      </c>
      <c r="H28" s="192">
        <v>1.39</v>
      </c>
      <c r="I28" s="192">
        <v>1.64</v>
      </c>
      <c r="J28" s="192">
        <v>3.75</v>
      </c>
      <c r="K28" s="192">
        <v>0</v>
      </c>
    </row>
    <row r="29" spans="1:11">
      <c r="A29" s="164">
        <v>28</v>
      </c>
      <c r="B29" s="191">
        <v>2.5499999999999998</v>
      </c>
      <c r="C29" s="192">
        <v>3.73</v>
      </c>
      <c r="D29" s="192">
        <v>4.95</v>
      </c>
      <c r="E29" s="192">
        <v>1.5</v>
      </c>
      <c r="F29" s="192">
        <v>2</v>
      </c>
      <c r="G29" s="192">
        <v>2.59</v>
      </c>
      <c r="H29" s="192">
        <v>1.33</v>
      </c>
      <c r="I29" s="192">
        <v>1.56</v>
      </c>
      <c r="J29" s="192">
        <v>3.65</v>
      </c>
      <c r="K29" s="192">
        <v>0</v>
      </c>
    </row>
    <row r="30" spans="1:11">
      <c r="A30" s="164">
        <v>29</v>
      </c>
      <c r="B30" s="191">
        <v>2.68</v>
      </c>
      <c r="C30" s="192">
        <v>4.1399999999999997</v>
      </c>
      <c r="D30" s="192">
        <v>5.1100000000000003</v>
      </c>
      <c r="E30" s="192">
        <v>1.59</v>
      </c>
      <c r="F30" s="192">
        <v>2.38</v>
      </c>
      <c r="G30" s="192">
        <v>3.12</v>
      </c>
      <c r="H30" s="192">
        <v>1.22</v>
      </c>
      <c r="I30" s="192">
        <v>1.66</v>
      </c>
      <c r="J30" s="192">
        <v>3.68</v>
      </c>
      <c r="K30" s="192">
        <v>0</v>
      </c>
    </row>
    <row r="31" spans="1:11">
      <c r="A31" s="164">
        <v>30</v>
      </c>
      <c r="B31" s="191">
        <v>2.87</v>
      </c>
      <c r="C31" s="192">
        <v>4.1100000000000003</v>
      </c>
      <c r="D31" s="192">
        <v>5.0999999999999996</v>
      </c>
      <c r="E31" s="192">
        <v>1.55</v>
      </c>
      <c r="F31" s="192">
        <v>2.41</v>
      </c>
      <c r="G31" s="192">
        <v>2.15</v>
      </c>
      <c r="H31" s="192">
        <v>1.27</v>
      </c>
      <c r="I31" s="192">
        <v>1.68</v>
      </c>
      <c r="J31" s="192">
        <v>3.69</v>
      </c>
      <c r="K31" s="192">
        <v>0</v>
      </c>
    </row>
    <row r="32" spans="1:11">
      <c r="A32" s="164">
        <v>31</v>
      </c>
      <c r="B32" s="165"/>
      <c r="C32" s="166"/>
      <c r="D32" s="166"/>
      <c r="E32" s="166"/>
      <c r="F32" s="166"/>
      <c r="G32" s="166"/>
      <c r="H32" s="166"/>
      <c r="I32" s="166"/>
      <c r="J32" s="166"/>
      <c r="K32" s="16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36" activePane="bottomLeft" state="frozen"/>
      <selection pane="bottomLeft" activeCell="I36" sqref="I3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</cols>
  <sheetData>
    <row r="1" spans="1:9">
      <c r="A1" s="85">
        <v>44743</v>
      </c>
      <c r="B1" s="222" t="s">
        <v>111</v>
      </c>
      <c r="C1" s="222"/>
      <c r="D1" s="222" t="s">
        <v>112</v>
      </c>
      <c r="E1" s="222"/>
      <c r="F1" s="222" t="s">
        <v>113</v>
      </c>
      <c r="G1" s="222"/>
      <c r="H1" s="222" t="s">
        <v>114</v>
      </c>
      <c r="I1" s="222"/>
    </row>
    <row r="2" spans="1:9">
      <c r="A2" s="81" t="s">
        <v>101</v>
      </c>
      <c r="B2" s="80">
        <v>2019</v>
      </c>
      <c r="C2" s="80">
        <v>2022</v>
      </c>
      <c r="D2" s="80">
        <v>2019</v>
      </c>
      <c r="E2" s="80">
        <v>2022</v>
      </c>
      <c r="F2" s="80">
        <v>2019</v>
      </c>
      <c r="G2" s="80">
        <v>2022</v>
      </c>
      <c r="H2" s="80">
        <v>2019</v>
      </c>
      <c r="I2" s="80">
        <v>2022</v>
      </c>
    </row>
    <row r="3" spans="1:9">
      <c r="A3" s="67">
        <v>1</v>
      </c>
      <c r="B3" s="76"/>
      <c r="C3" s="77">
        <f>'FS Seychelles'!B3</f>
        <v>60.5</v>
      </c>
      <c r="D3" s="78">
        <v>0</v>
      </c>
      <c r="E3" s="86">
        <f>SUM('FS Seychelles'!J3:N3)</f>
        <v>31417</v>
      </c>
      <c r="F3" s="78">
        <v>0</v>
      </c>
      <c r="G3" s="79">
        <f>'FS Seychelles'!O3</f>
        <v>6884</v>
      </c>
      <c r="H3" s="78">
        <v>0</v>
      </c>
      <c r="I3" s="79">
        <f>SUM('FS Seychelles'!S3:W3)</f>
        <v>282</v>
      </c>
    </row>
    <row r="4" spans="1:9">
      <c r="A4" s="50">
        <v>2</v>
      </c>
      <c r="B4" s="66"/>
      <c r="C4" s="77">
        <f>'FS Seychelles'!B4</f>
        <v>67.099999999999994</v>
      </c>
      <c r="D4" s="75">
        <v>12131</v>
      </c>
      <c r="E4" s="75">
        <f>SUM('FS Seychelles'!J4:N4)</f>
        <v>22659</v>
      </c>
      <c r="F4" s="75">
        <v>3140</v>
      </c>
      <c r="G4" s="88">
        <f>'FS Seychelles'!O4</f>
        <v>4847</v>
      </c>
      <c r="H4" s="75">
        <v>0</v>
      </c>
      <c r="I4" s="79">
        <f>SUM('FS Seychelles'!S4:W4)</f>
        <v>347</v>
      </c>
    </row>
    <row r="5" spans="1:9">
      <c r="A5" s="50">
        <v>3</v>
      </c>
      <c r="B5" s="66"/>
      <c r="C5" s="77">
        <f>'FS Seychelles'!B5</f>
        <v>65.8</v>
      </c>
      <c r="D5" s="75">
        <v>12788</v>
      </c>
      <c r="E5" s="75">
        <f>SUM('FS Seychelles'!J5:N5)</f>
        <v>31176</v>
      </c>
      <c r="F5" s="75">
        <v>2953</v>
      </c>
      <c r="G5" s="88">
        <f>'FS Seychelles'!O5</f>
        <v>7114</v>
      </c>
      <c r="H5" s="75">
        <v>567</v>
      </c>
      <c r="I5" s="79">
        <f>SUM('FS Seychelles'!S5:W5)</f>
        <v>318</v>
      </c>
    </row>
    <row r="6" spans="1:9">
      <c r="A6" s="50">
        <v>4</v>
      </c>
      <c r="B6" s="66"/>
      <c r="C6" s="77">
        <f>'FS Seychelles'!B6</f>
        <v>63.2</v>
      </c>
      <c r="D6" s="75">
        <v>14786</v>
      </c>
      <c r="E6" s="75">
        <f>SUM('FS Seychelles'!J6:N6)</f>
        <v>30298</v>
      </c>
      <c r="F6" s="75">
        <v>4089</v>
      </c>
      <c r="G6" s="88">
        <f>'FS Seychelles'!O6</f>
        <v>6819</v>
      </c>
      <c r="H6" s="75">
        <v>361</v>
      </c>
      <c r="I6" s="82">
        <f>SUM('FS Seychelles'!S6:W6)</f>
        <v>357</v>
      </c>
    </row>
    <row r="7" spans="1:9">
      <c r="A7" s="50">
        <v>5</v>
      </c>
      <c r="B7" s="66"/>
      <c r="C7" s="77">
        <f>'FS Seychelles'!B7</f>
        <v>64.5</v>
      </c>
      <c r="D7" s="75">
        <v>14523</v>
      </c>
      <c r="E7" s="75">
        <f>SUM('FS Seychelles'!J7:N7)</f>
        <v>32608</v>
      </c>
      <c r="F7" s="75">
        <v>4257</v>
      </c>
      <c r="G7" s="88">
        <f>'FS Seychelles'!O7</f>
        <v>7251</v>
      </c>
      <c r="H7" s="75">
        <v>284</v>
      </c>
      <c r="I7" s="82">
        <f>SUM('FS Seychelles'!S7:W7)</f>
        <v>334</v>
      </c>
    </row>
    <row r="8" spans="1:9">
      <c r="A8" s="50">
        <v>6</v>
      </c>
      <c r="B8" s="66"/>
      <c r="C8" s="77">
        <f>'FS Seychelles'!B8</f>
        <v>63.2</v>
      </c>
      <c r="D8" s="75">
        <v>15778</v>
      </c>
      <c r="E8" s="75">
        <f>SUM('FS Seychelles'!J8:N8)</f>
        <v>33181</v>
      </c>
      <c r="F8" s="75">
        <v>4323</v>
      </c>
      <c r="G8" s="65">
        <f>'FS Seychelles'!O8</f>
        <v>7392</v>
      </c>
      <c r="H8" s="75">
        <v>595</v>
      </c>
      <c r="I8" s="79">
        <f>SUM('FS Seychelles'!S8:W8)</f>
        <v>309</v>
      </c>
    </row>
    <row r="9" spans="1:9">
      <c r="A9" s="50">
        <v>7</v>
      </c>
      <c r="B9" s="66"/>
      <c r="C9" s="77">
        <f>'FS Seychelles'!B9</f>
        <v>66.2</v>
      </c>
      <c r="D9" s="75">
        <v>15518</v>
      </c>
      <c r="E9" s="75">
        <f>SUM('FS Seychelles'!J9:N9)</f>
        <v>28660</v>
      </c>
      <c r="F9" s="75">
        <v>4549</v>
      </c>
      <c r="G9" s="88">
        <f>'FS Seychelles'!O9</f>
        <v>6050</v>
      </c>
      <c r="H9" s="75">
        <v>564</v>
      </c>
      <c r="I9" s="79">
        <f>SUM('FS Seychelles'!S9:W9)</f>
        <v>339</v>
      </c>
    </row>
    <row r="10" spans="1:9">
      <c r="A10" s="50">
        <v>8</v>
      </c>
      <c r="B10" s="66"/>
      <c r="C10" s="77">
        <f>'FS Seychelles'!B10</f>
        <v>66.2</v>
      </c>
      <c r="D10" s="75">
        <v>17408</v>
      </c>
      <c r="E10" s="75">
        <f>SUM('FS Seychelles'!J10:N10)</f>
        <v>33093</v>
      </c>
      <c r="F10" s="75">
        <v>4675</v>
      </c>
      <c r="G10" s="65">
        <f>'FS Seychelles'!O10</f>
        <v>7315</v>
      </c>
      <c r="H10" s="75">
        <v>569</v>
      </c>
      <c r="I10" s="65">
        <f>SUM('FS Seychelles'!S10:W10)</f>
        <v>354</v>
      </c>
    </row>
    <row r="11" spans="1:9">
      <c r="A11" s="50">
        <v>9</v>
      </c>
      <c r="B11" s="66"/>
      <c r="C11" s="77">
        <f>'FS Seychelles'!B11</f>
        <v>70.099999999999994</v>
      </c>
      <c r="D11" s="75">
        <v>25133</v>
      </c>
      <c r="E11" s="75">
        <f>SUM('FS Seychelles'!J11:N11)</f>
        <v>31372</v>
      </c>
      <c r="F11" s="75">
        <v>7484</v>
      </c>
      <c r="G11" s="65">
        <f>'FS Seychelles'!O11</f>
        <v>6632</v>
      </c>
      <c r="H11" s="75">
        <v>759</v>
      </c>
      <c r="I11" s="65">
        <f>SUM('FS Seychelles'!S11:W11)</f>
        <v>326</v>
      </c>
    </row>
    <row r="12" spans="1:9">
      <c r="A12" s="50">
        <v>10</v>
      </c>
      <c r="B12" s="66"/>
      <c r="C12" s="77">
        <f>'FS Seychelles'!B12</f>
        <v>57.1</v>
      </c>
      <c r="D12" s="75">
        <v>10438</v>
      </c>
      <c r="E12" s="87">
        <f>SUM('FS Seychelles'!J12:N12)</f>
        <v>32510</v>
      </c>
      <c r="F12" s="75">
        <v>2955</v>
      </c>
      <c r="G12" s="88">
        <f>'FS Seychelles'!O12</f>
        <v>7223</v>
      </c>
      <c r="H12" s="75">
        <v>901</v>
      </c>
      <c r="I12" s="65">
        <f>SUM('FS Seychelles'!S12:W12)</f>
        <v>307</v>
      </c>
    </row>
    <row r="13" spans="1:9">
      <c r="A13" s="50">
        <v>11</v>
      </c>
      <c r="B13" s="66"/>
      <c r="C13" s="77">
        <f>'FS Seychelles'!B13</f>
        <v>40.299999999999997</v>
      </c>
      <c r="D13" s="75">
        <v>15086</v>
      </c>
      <c r="E13" s="75">
        <f>SUM('FS Seychelles'!J13:N13)</f>
        <v>23396</v>
      </c>
      <c r="F13" s="75">
        <v>4104</v>
      </c>
      <c r="G13" s="65">
        <f>'FS Seychelles'!O13</f>
        <v>5114</v>
      </c>
      <c r="H13" s="75">
        <v>738</v>
      </c>
      <c r="I13" s="65">
        <f>SUM('FS Seychelles'!S13:W13)</f>
        <v>233</v>
      </c>
    </row>
    <row r="14" spans="1:9">
      <c r="A14" s="50">
        <v>12</v>
      </c>
      <c r="B14" s="66"/>
      <c r="C14" s="77">
        <f>'FS Seychelles'!B14</f>
        <v>26</v>
      </c>
      <c r="D14" s="75">
        <v>16641</v>
      </c>
      <c r="E14" s="75">
        <f>SUM('FS Seychelles'!J14:N14)</f>
        <v>40382</v>
      </c>
      <c r="F14" s="75">
        <v>4719</v>
      </c>
      <c r="G14" s="88">
        <f>'FS Seychelles'!O14</f>
        <v>8804</v>
      </c>
      <c r="H14" s="75">
        <v>318</v>
      </c>
      <c r="I14" s="65">
        <f>SUM('FS Seychelles'!S14:W14)</f>
        <v>238</v>
      </c>
    </row>
    <row r="15" spans="1:9">
      <c r="A15" s="50">
        <v>13</v>
      </c>
      <c r="B15" s="66"/>
      <c r="C15" s="77">
        <f>'FS Seychelles'!B15</f>
        <v>61</v>
      </c>
      <c r="D15" s="75">
        <v>18204</v>
      </c>
      <c r="E15" s="75">
        <f>SUM('FS Seychelles'!J15:N15)</f>
        <v>29127</v>
      </c>
      <c r="F15" s="75">
        <v>4780</v>
      </c>
      <c r="G15" s="88">
        <f>'FS Seychelles'!O15</f>
        <v>6336</v>
      </c>
      <c r="H15" s="75">
        <v>393</v>
      </c>
      <c r="I15" s="65">
        <f>SUM('FS Seychelles'!S15:W15)</f>
        <v>331</v>
      </c>
    </row>
    <row r="16" spans="1:9">
      <c r="A16" s="50">
        <v>14</v>
      </c>
      <c r="B16" s="66"/>
      <c r="C16" s="77">
        <f>'FS Seychelles'!B16</f>
        <v>62.3</v>
      </c>
      <c r="D16" s="75">
        <v>17217</v>
      </c>
      <c r="E16" s="75">
        <f>SUM('FS Seychelles'!J16:N16)</f>
        <v>24137</v>
      </c>
      <c r="F16" s="75">
        <v>5202</v>
      </c>
      <c r="G16" s="88">
        <f>'FS Seychelles'!O16</f>
        <v>5099</v>
      </c>
      <c r="H16" s="75">
        <v>627</v>
      </c>
      <c r="I16" s="65">
        <f>SUM('FS Seychelles'!S16:W16)</f>
        <v>320</v>
      </c>
    </row>
    <row r="17" spans="1:9">
      <c r="A17" s="50">
        <v>15</v>
      </c>
      <c r="B17" s="66"/>
      <c r="C17" s="77">
        <f>'FS Seychelles'!B17</f>
        <v>28.6</v>
      </c>
      <c r="D17" s="75">
        <v>25307</v>
      </c>
      <c r="E17" s="75">
        <f>SUM('FS Seychelles'!J17:N17)</f>
        <v>31850</v>
      </c>
      <c r="F17" s="75">
        <v>5966</v>
      </c>
      <c r="G17" s="65">
        <f>'FS Seychelles'!O17</f>
        <v>6924</v>
      </c>
      <c r="H17" s="75">
        <v>0</v>
      </c>
      <c r="I17" s="65">
        <f>SUM('FS Seychelles'!S17:W17)</f>
        <v>228</v>
      </c>
    </row>
    <row r="18" spans="1:9">
      <c r="A18" s="50">
        <v>16</v>
      </c>
      <c r="B18" s="66"/>
      <c r="C18" s="77">
        <f>'FS Seychelles'!B18</f>
        <v>39</v>
      </c>
      <c r="D18" s="75">
        <v>10718</v>
      </c>
      <c r="E18" s="75">
        <f>SUM('FS Seychelles'!J18:N18)</f>
        <v>30717</v>
      </c>
      <c r="F18" s="75">
        <v>4534</v>
      </c>
      <c r="G18" s="65">
        <f>'FS Seychelles'!O18</f>
        <v>6735</v>
      </c>
      <c r="H18" s="75">
        <v>0</v>
      </c>
      <c r="I18" s="65">
        <f>SUM('FS Seychelles'!S18:W18)</f>
        <v>210</v>
      </c>
    </row>
    <row r="19" spans="1:9">
      <c r="A19" s="50">
        <v>17</v>
      </c>
      <c r="B19" s="66"/>
      <c r="C19" s="77">
        <f>'FS Seychelles'!B19</f>
        <v>53.2</v>
      </c>
      <c r="D19" s="75">
        <v>23234</v>
      </c>
      <c r="E19" s="75">
        <f>SUM('FS Seychelles'!J19:N19)</f>
        <v>31384</v>
      </c>
      <c r="F19" s="75">
        <v>7211</v>
      </c>
      <c r="G19" s="65">
        <f>'FS Seychelles'!O19</f>
        <v>6968</v>
      </c>
      <c r="H19" s="75">
        <v>0</v>
      </c>
      <c r="I19" s="65">
        <f>SUM('FS Seychelles'!S19:W19)</f>
        <v>247</v>
      </c>
    </row>
    <row r="20" spans="1:9">
      <c r="A20" s="50">
        <v>18</v>
      </c>
      <c r="B20" s="66"/>
      <c r="C20" s="77">
        <f>'FS Seychelles'!B20</f>
        <v>76.599999999999994</v>
      </c>
      <c r="D20" s="75">
        <v>22938</v>
      </c>
      <c r="E20" s="75">
        <f>SUM('FS Seychelles'!J20:N20)</f>
        <v>31640</v>
      </c>
      <c r="F20" s="75">
        <v>6164</v>
      </c>
      <c r="G20" s="65">
        <f>'FS Seychelles'!O20</f>
        <v>6931</v>
      </c>
      <c r="H20" s="75">
        <v>523</v>
      </c>
      <c r="I20" s="65">
        <f>SUM('FS Seychelles'!S20:W20)</f>
        <v>255</v>
      </c>
    </row>
    <row r="21" spans="1:9">
      <c r="A21" s="50">
        <v>19</v>
      </c>
      <c r="B21" s="66"/>
      <c r="C21" s="77">
        <f>'FS Seychelles'!B21</f>
        <v>76.599999999999994</v>
      </c>
      <c r="D21" s="75">
        <v>28283</v>
      </c>
      <c r="E21" s="75">
        <f>SUM('FS Seychelles'!J21:N21)</f>
        <v>30966</v>
      </c>
      <c r="F21" s="75">
        <v>7830</v>
      </c>
      <c r="G21" s="65">
        <f>'FS Seychelles'!O21</f>
        <v>6673</v>
      </c>
      <c r="H21" s="75">
        <v>0</v>
      </c>
      <c r="I21" s="65">
        <f>SUM('FS Seychelles'!S21:W21)</f>
        <v>173</v>
      </c>
    </row>
    <row r="22" spans="1:9">
      <c r="A22" s="50">
        <v>20</v>
      </c>
      <c r="B22" s="66"/>
      <c r="C22" s="77">
        <f>'FS Seychelles'!B22</f>
        <v>76.599999999999994</v>
      </c>
      <c r="D22" s="75">
        <v>36791</v>
      </c>
      <c r="E22" s="75">
        <f>SUM('FS Seychelles'!J22:N22)</f>
        <v>33133</v>
      </c>
      <c r="F22" s="75">
        <v>10181</v>
      </c>
      <c r="G22" s="65">
        <f>'FS Seychelles'!O22</f>
        <v>7341</v>
      </c>
      <c r="H22" s="75">
        <v>516</v>
      </c>
      <c r="I22" s="65">
        <f>SUM('FS Seychelles'!S22:W22)</f>
        <v>276.42857142857144</v>
      </c>
    </row>
    <row r="23" spans="1:9">
      <c r="A23" s="50">
        <v>21</v>
      </c>
      <c r="B23" s="66"/>
      <c r="C23" s="77">
        <f>'FS Seychelles'!B23</f>
        <v>76.599999999999994</v>
      </c>
      <c r="D23" s="75">
        <v>17459</v>
      </c>
      <c r="E23" s="75">
        <f>SUM('FS Seychelles'!J23:N23)</f>
        <v>29984</v>
      </c>
      <c r="F23" s="75">
        <v>4860</v>
      </c>
      <c r="G23" s="65">
        <f>'FS Seychelles'!O23</f>
        <v>6722</v>
      </c>
      <c r="H23" s="75">
        <v>764</v>
      </c>
      <c r="I23" s="65">
        <f>SUM('FS Seychelles'!S23:W23)</f>
        <v>256</v>
      </c>
    </row>
    <row r="24" spans="1:9">
      <c r="A24" s="50">
        <v>22</v>
      </c>
      <c r="B24" s="66"/>
      <c r="C24" s="77">
        <f>'FS Seychelles'!B24</f>
        <v>77.900000000000006</v>
      </c>
      <c r="D24" s="75">
        <v>31670</v>
      </c>
      <c r="E24" s="75">
        <f>SUM('FS Seychelles'!J24:N24)</f>
        <v>29065</v>
      </c>
      <c r="F24" s="75">
        <v>8136</v>
      </c>
      <c r="G24" s="65">
        <f>'FS Seychelles'!O24</f>
        <v>6441</v>
      </c>
      <c r="H24" s="75">
        <v>631</v>
      </c>
      <c r="I24" s="65">
        <f>SUM('FS Seychelles'!S24:W24)</f>
        <v>305</v>
      </c>
    </row>
    <row r="25" spans="1:9">
      <c r="A25" s="50">
        <v>23</v>
      </c>
      <c r="B25" s="66"/>
      <c r="C25" s="77">
        <f>'FS Seychelles'!B25</f>
        <v>74</v>
      </c>
      <c r="D25" s="75">
        <v>26631</v>
      </c>
      <c r="E25" s="75">
        <f>SUM('FS Seychelles'!J25:N25)</f>
        <v>34291</v>
      </c>
      <c r="F25" s="75">
        <v>7266</v>
      </c>
      <c r="G25" s="65">
        <f>'FS Seychelles'!O25</f>
        <v>7438</v>
      </c>
      <c r="H25" s="75">
        <v>359</v>
      </c>
      <c r="I25" s="65">
        <f>SUM('FS Seychelles'!S25:W25)</f>
        <v>258</v>
      </c>
    </row>
    <row r="26" spans="1:9">
      <c r="A26" s="50">
        <v>24</v>
      </c>
      <c r="B26" s="66"/>
      <c r="C26" s="77">
        <f>'FS Seychelles'!B26</f>
        <v>75.3</v>
      </c>
      <c r="D26" s="75">
        <v>24244</v>
      </c>
      <c r="E26" s="75">
        <f>SUM('FS Seychelles'!J26:N26)</f>
        <v>40270</v>
      </c>
      <c r="F26" s="75">
        <v>6462</v>
      </c>
      <c r="G26" s="65">
        <f>'FS Seychelles'!O26</f>
        <v>8942</v>
      </c>
      <c r="H26" s="75">
        <v>614</v>
      </c>
      <c r="I26" s="65">
        <f>SUM('FS Seychelles'!S26:W26)</f>
        <v>292</v>
      </c>
    </row>
    <row r="27" spans="1:9">
      <c r="A27" s="50">
        <v>25</v>
      </c>
      <c r="B27" s="66"/>
      <c r="C27" s="77">
        <f>'FS Seychelles'!B27</f>
        <v>55.8</v>
      </c>
      <c r="D27" s="75">
        <v>25253</v>
      </c>
      <c r="E27" s="75">
        <f>SUM('FS Seychelles'!J27:N27)</f>
        <v>27129</v>
      </c>
      <c r="F27" s="75">
        <v>6791</v>
      </c>
      <c r="G27" s="65">
        <f>'FS Seychelles'!O27</f>
        <v>6040</v>
      </c>
      <c r="H27" s="75">
        <v>466</v>
      </c>
      <c r="I27" s="65">
        <f>SUM('FS Seychelles'!S27:W27)</f>
        <v>304</v>
      </c>
    </row>
    <row r="28" spans="1:9">
      <c r="A28" s="50">
        <v>26</v>
      </c>
      <c r="B28" s="66"/>
      <c r="C28" s="77">
        <f>'FS Seychelles'!B28</f>
        <v>51.9</v>
      </c>
      <c r="D28" s="75">
        <v>32450</v>
      </c>
      <c r="E28" s="75">
        <f>SUM('FS Seychelles'!J28:N28)</f>
        <v>33732</v>
      </c>
      <c r="F28" s="75">
        <v>8828</v>
      </c>
      <c r="G28" s="65">
        <f>'FS Seychelles'!O28</f>
        <v>7591</v>
      </c>
      <c r="H28" s="75">
        <v>520</v>
      </c>
      <c r="I28" s="65">
        <f>SUM('FS Seychelles'!S29:W29)</f>
        <v>358</v>
      </c>
    </row>
    <row r="29" spans="1:9">
      <c r="A29" s="50">
        <v>27</v>
      </c>
      <c r="B29" s="66"/>
      <c r="C29" s="77">
        <f>'FS Seychelles'!B29</f>
        <v>49.4</v>
      </c>
      <c r="D29" s="75">
        <v>17746</v>
      </c>
      <c r="E29" s="75">
        <f>SUM('FS Seychelles'!J29:N29)</f>
        <v>21785</v>
      </c>
      <c r="F29" s="75">
        <v>4836</v>
      </c>
      <c r="G29" s="65">
        <f>'FS Seychelles'!O29</f>
        <v>5813</v>
      </c>
      <c r="H29" s="75">
        <v>0</v>
      </c>
      <c r="I29" s="65">
        <f>SUM('FS Seychelles'!S29:W29)</f>
        <v>358</v>
      </c>
    </row>
    <row r="30" spans="1:9">
      <c r="A30" s="50">
        <v>28</v>
      </c>
      <c r="B30" s="66"/>
      <c r="C30" s="77">
        <f>'FS Seychelles'!B30</f>
        <v>57.1</v>
      </c>
      <c r="D30" s="75">
        <v>34289</v>
      </c>
      <c r="E30" s="75">
        <f>SUM('FS Seychelles'!J30:N30)</f>
        <v>28465</v>
      </c>
      <c r="F30" s="75">
        <v>11717</v>
      </c>
      <c r="G30" s="65">
        <f>'FS Seychelles'!O30</f>
        <v>6547</v>
      </c>
      <c r="H30" s="75">
        <v>490</v>
      </c>
      <c r="I30" s="65">
        <f>SUM('FS Seychelles'!S30:W30)</f>
        <v>322</v>
      </c>
    </row>
    <row r="31" spans="1:9">
      <c r="A31" s="50">
        <v>29</v>
      </c>
      <c r="B31" s="66"/>
      <c r="C31" s="77">
        <f>'FS Seychelles'!B31</f>
        <v>53.4</v>
      </c>
      <c r="D31" s="75">
        <v>15723</v>
      </c>
      <c r="E31" s="75">
        <f>SUM('FS Seychelles'!J31:N31)</f>
        <v>33376</v>
      </c>
      <c r="F31" s="75">
        <v>4386</v>
      </c>
      <c r="G31" s="65">
        <f>'FS Seychelles'!O31</f>
        <v>6958</v>
      </c>
      <c r="H31" s="75">
        <v>413</v>
      </c>
      <c r="I31" s="65">
        <f>SUM('FS Seychelles'!S31:W31)</f>
        <v>349</v>
      </c>
    </row>
    <row r="32" spans="1:9">
      <c r="A32" s="50">
        <v>30</v>
      </c>
      <c r="B32" s="66"/>
      <c r="C32" s="77">
        <f>'FS Seychelles'!B32</f>
        <v>0</v>
      </c>
      <c r="D32" s="75">
        <v>28752</v>
      </c>
      <c r="E32" s="75">
        <f>SUM('FS Seychelles'!J32:N32)</f>
        <v>31587</v>
      </c>
      <c r="F32" s="75">
        <v>8369</v>
      </c>
      <c r="G32" s="65">
        <f>'FS Seychelles'!O32</f>
        <v>6731</v>
      </c>
      <c r="H32" s="75">
        <v>0</v>
      </c>
      <c r="I32" s="65">
        <f>SUM('FS Seychelles'!S32:W32)</f>
        <v>241</v>
      </c>
    </row>
    <row r="33" spans="1:9">
      <c r="A33" s="64">
        <v>31</v>
      </c>
      <c r="B33" s="69"/>
      <c r="C33" s="77" t="e">
        <f>'FS Seychelles'!#REF!</f>
        <v>#REF!</v>
      </c>
      <c r="D33" s="75">
        <v>28024</v>
      </c>
      <c r="E33" s="75" t="e">
        <f>SUM('FS Seychelles'!#REF!)</f>
        <v>#REF!</v>
      </c>
      <c r="F33" s="75">
        <v>15222</v>
      </c>
      <c r="G33" s="65" t="e">
        <f>'FS Seychelles'!#REF!</f>
        <v>#REF!</v>
      </c>
      <c r="H33" s="75">
        <v>0</v>
      </c>
      <c r="I33" s="65" t="e">
        <f>SUM('FS Seychelles'!#REF!)</f>
        <v>#REF!</v>
      </c>
    </row>
    <row r="34" spans="1:9">
      <c r="A34" s="63" t="s">
        <v>115</v>
      </c>
      <c r="B34" s="70"/>
      <c r="C34" s="70"/>
      <c r="D34" s="53">
        <f>SUM(D3:D33)</f>
        <v>635163</v>
      </c>
      <c r="E34" s="53" t="e">
        <f>SUM(E3:E33)</f>
        <v>#REF!</v>
      </c>
      <c r="F34" s="53">
        <f t="shared" ref="F34" si="0">SUM(F3:F33)</f>
        <v>185989</v>
      </c>
      <c r="G34" s="53" t="e">
        <f>SUM(G3:G33)</f>
        <v>#REF!</v>
      </c>
      <c r="H34" s="53">
        <f>SUM(H3:H33)</f>
        <v>11972</v>
      </c>
      <c r="I34" s="53" t="e">
        <f>SUM(I3:I33)</f>
        <v>#REF!</v>
      </c>
    </row>
    <row r="35" spans="1:9">
      <c r="A35" s="63" t="s">
        <v>116</v>
      </c>
      <c r="B35" s="70"/>
      <c r="C35" s="70"/>
      <c r="D35" s="53"/>
      <c r="E35" s="53"/>
      <c r="F35" s="53"/>
      <c r="G35" s="53">
        <f>SUM(F42:F46)</f>
        <v>274120</v>
      </c>
      <c r="H35" s="53"/>
      <c r="I35" s="53"/>
    </row>
    <row r="36" spans="1:9">
      <c r="A36" s="63" t="s">
        <v>117</v>
      </c>
      <c r="B36" s="70"/>
      <c r="C36" s="70"/>
      <c r="D36" s="50"/>
      <c r="E36" s="65"/>
      <c r="F36" s="50"/>
      <c r="G36" s="53">
        <v>270000</v>
      </c>
      <c r="H36" s="50"/>
      <c r="I36" s="50"/>
    </row>
    <row r="37" spans="1:9">
      <c r="A37" s="63" t="s">
        <v>118</v>
      </c>
      <c r="B37" s="70"/>
      <c r="C37" s="70"/>
      <c r="D37" s="50"/>
      <c r="E37" s="65"/>
      <c r="F37" s="50"/>
      <c r="G37" s="53">
        <v>268000</v>
      </c>
      <c r="H37" s="50"/>
      <c r="I37" s="50"/>
    </row>
    <row r="38" spans="1:9">
      <c r="A38" s="63" t="s">
        <v>119</v>
      </c>
      <c r="B38" s="70"/>
      <c r="C38" s="70"/>
      <c r="D38" s="50"/>
      <c r="E38" s="65"/>
      <c r="F38" s="50"/>
      <c r="G38" s="53">
        <f>20*3</f>
        <v>60</v>
      </c>
      <c r="H38" s="50"/>
      <c r="I38" s="50"/>
    </row>
    <row r="39" spans="1:9">
      <c r="A39" s="68" t="s">
        <v>120</v>
      </c>
      <c r="B39" s="71"/>
      <c r="C39" s="71"/>
      <c r="D39" s="50"/>
      <c r="E39" s="65"/>
      <c r="F39" s="50"/>
      <c r="G39" s="53">
        <f>G35-G36-G38</f>
        <v>4060</v>
      </c>
      <c r="H39" s="50"/>
      <c r="I39" s="50"/>
    </row>
    <row r="40" spans="1:9">
      <c r="E40" s="72"/>
      <c r="G40" s="73"/>
    </row>
    <row r="41" spans="1:9" ht="28.9">
      <c r="A41" s="9" t="s">
        <v>121</v>
      </c>
      <c r="B41" s="9" t="s">
        <v>122</v>
      </c>
      <c r="C41" s="9" t="s">
        <v>123</v>
      </c>
      <c r="D41" s="83" t="s">
        <v>124</v>
      </c>
      <c r="E41" s="83" t="s">
        <v>125</v>
      </c>
      <c r="F41" s="83" t="s">
        <v>126</v>
      </c>
      <c r="G41" s="97" t="s">
        <v>127</v>
      </c>
    </row>
    <row r="42" spans="1:9">
      <c r="A42" s="9" t="s">
        <v>128</v>
      </c>
      <c r="B42" s="74">
        <v>3783268</v>
      </c>
      <c r="C42">
        <v>3850968</v>
      </c>
      <c r="D42">
        <f>C42-B42</f>
        <v>67700</v>
      </c>
      <c r="E42">
        <v>3912962</v>
      </c>
      <c r="F42" s="84">
        <f>E42-C42</f>
        <v>61994</v>
      </c>
      <c r="G42">
        <v>3970363</v>
      </c>
      <c r="H42">
        <f>G42-E42</f>
        <v>57401</v>
      </c>
    </row>
    <row r="43" spans="1:9">
      <c r="A43" s="9" t="s">
        <v>129</v>
      </c>
      <c r="B43" s="74">
        <v>3912609</v>
      </c>
      <c r="C43">
        <v>3980358</v>
      </c>
      <c r="D43">
        <f t="shared" ref="D43:D46" si="1">C43-B43</f>
        <v>67749</v>
      </c>
      <c r="E43">
        <v>4035321</v>
      </c>
      <c r="F43" s="84">
        <f>E43-C43</f>
        <v>54963</v>
      </c>
      <c r="G43" s="98">
        <v>4085439</v>
      </c>
      <c r="H43">
        <f>G43-E43</f>
        <v>50118</v>
      </c>
    </row>
    <row r="44" spans="1:9">
      <c r="A44" s="9" t="s">
        <v>130</v>
      </c>
      <c r="B44" s="74">
        <v>4270083</v>
      </c>
      <c r="C44">
        <v>4316382</v>
      </c>
      <c r="D44">
        <f t="shared" si="1"/>
        <v>46299</v>
      </c>
      <c r="E44">
        <v>4365819</v>
      </c>
      <c r="F44" s="84">
        <f>E44-C44</f>
        <v>49437</v>
      </c>
      <c r="G44">
        <v>4399232</v>
      </c>
      <c r="H44">
        <f>G44-E44</f>
        <v>33413</v>
      </c>
    </row>
    <row r="45" spans="1:9">
      <c r="A45" s="9" t="s">
        <v>131</v>
      </c>
      <c r="B45" s="74">
        <v>1617768</v>
      </c>
      <c r="C45" s="74">
        <v>1664278</v>
      </c>
      <c r="D45">
        <f t="shared" si="1"/>
        <v>46510</v>
      </c>
      <c r="E45">
        <v>1719359</v>
      </c>
      <c r="F45" s="84">
        <f>E45-C45</f>
        <v>55081</v>
      </c>
      <c r="G45">
        <v>1740641</v>
      </c>
      <c r="H45">
        <f>G45-E45</f>
        <v>21282</v>
      </c>
    </row>
    <row r="46" spans="1:9">
      <c r="A46" s="9" t="s">
        <v>132</v>
      </c>
      <c r="B46" s="74">
        <v>2845368</v>
      </c>
      <c r="C46">
        <v>2900436</v>
      </c>
      <c r="D46">
        <f t="shared" si="1"/>
        <v>55068</v>
      </c>
      <c r="E46">
        <v>2953081</v>
      </c>
      <c r="F46" s="84">
        <f>E46-C46</f>
        <v>52645</v>
      </c>
      <c r="G46">
        <v>3003984</v>
      </c>
      <c r="H46">
        <f>G46-E46</f>
        <v>50903</v>
      </c>
    </row>
    <row r="48" spans="1:9" ht="15.6">
      <c r="A48" s="226" t="s">
        <v>133</v>
      </c>
      <c r="B48" s="226"/>
      <c r="C48" s="226"/>
      <c r="D48" s="226"/>
      <c r="E48" s="226"/>
      <c r="F48" s="226"/>
      <c r="G48" s="226"/>
      <c r="H48" s="226"/>
      <c r="I48" s="226"/>
    </row>
    <row r="49" spans="1:9">
      <c r="A49" s="227"/>
      <c r="B49" s="227"/>
      <c r="C49" s="227"/>
      <c r="D49" s="227"/>
      <c r="E49" s="227"/>
      <c r="F49" s="227"/>
      <c r="G49" s="227"/>
      <c r="H49" s="227"/>
      <c r="I49" s="227"/>
    </row>
    <row r="50" spans="1:9">
      <c r="A50" s="228" t="s">
        <v>134</v>
      </c>
      <c r="B50" s="228"/>
      <c r="C50" s="228"/>
      <c r="D50" s="228"/>
      <c r="E50" s="228"/>
      <c r="F50" s="228"/>
      <c r="G50" s="228"/>
      <c r="H50" s="228"/>
      <c r="I50" s="228"/>
    </row>
    <row r="51" spans="1:9">
      <c r="A51" s="227" t="s">
        <v>135</v>
      </c>
      <c r="B51" s="227"/>
      <c r="C51" s="227"/>
      <c r="D51" s="227"/>
      <c r="E51" s="227"/>
      <c r="F51" s="227"/>
      <c r="G51" s="227"/>
      <c r="H51" s="227"/>
      <c r="I51" s="227"/>
    </row>
    <row r="52" spans="1:9">
      <c r="A52" s="227" t="s">
        <v>136</v>
      </c>
      <c r="B52" s="227"/>
      <c r="C52" s="227"/>
      <c r="D52" s="227"/>
      <c r="E52" s="227"/>
      <c r="F52" s="227"/>
      <c r="G52" s="227"/>
      <c r="H52" s="227"/>
      <c r="I52" s="227"/>
    </row>
    <row r="53" spans="1:9">
      <c r="A53" s="227" t="s">
        <v>137</v>
      </c>
      <c r="B53" s="227"/>
      <c r="C53" s="227"/>
      <c r="D53" s="227"/>
      <c r="E53" s="227"/>
      <c r="F53" s="227"/>
      <c r="G53" s="227"/>
      <c r="H53" s="227"/>
      <c r="I53" s="227"/>
    </row>
    <row r="54" spans="1:9">
      <c r="A54" s="227"/>
      <c r="B54" s="227"/>
      <c r="C54" s="227"/>
      <c r="D54" s="227"/>
      <c r="E54" s="227"/>
      <c r="F54" s="227"/>
      <c r="G54" s="227"/>
      <c r="H54" s="227"/>
      <c r="I54" s="227"/>
    </row>
    <row r="55" spans="1:9">
      <c r="A55" s="229" t="s">
        <v>138</v>
      </c>
      <c r="B55" s="229"/>
      <c r="C55" s="229"/>
      <c r="D55" s="229"/>
      <c r="E55" s="229"/>
      <c r="F55" s="229"/>
      <c r="G55" s="229"/>
      <c r="H55" s="229"/>
      <c r="I55" s="229"/>
    </row>
    <row r="56" spans="1:9">
      <c r="A56" s="223"/>
      <c r="B56" s="223"/>
      <c r="C56" s="223"/>
      <c r="D56" s="223"/>
      <c r="E56" s="223"/>
      <c r="F56" s="223"/>
      <c r="G56" s="223"/>
      <c r="H56" s="223"/>
      <c r="I56" s="223"/>
    </row>
    <row r="57" spans="1:9">
      <c r="A57" s="230"/>
      <c r="B57" s="230"/>
      <c r="C57" s="230"/>
      <c r="D57" s="230"/>
      <c r="E57" s="230"/>
      <c r="F57" s="230"/>
      <c r="G57" s="230"/>
      <c r="H57" s="230"/>
      <c r="I57" s="230"/>
    </row>
    <row r="58" spans="1:9">
      <c r="A58" s="228"/>
      <c r="B58" s="228"/>
      <c r="C58" s="228"/>
      <c r="D58" s="228"/>
      <c r="E58" s="228"/>
      <c r="F58" s="228"/>
      <c r="G58" s="228"/>
      <c r="H58" s="228"/>
      <c r="I58" s="228"/>
    </row>
    <row r="59" spans="1:9">
      <c r="A59" s="231" t="s">
        <v>139</v>
      </c>
      <c r="B59" s="232"/>
      <c r="C59" s="232"/>
      <c r="D59" s="232"/>
      <c r="E59" s="232"/>
      <c r="F59" s="232"/>
      <c r="G59" s="232"/>
      <c r="H59" s="232"/>
      <c r="I59" s="232"/>
    </row>
    <row r="60" spans="1:9">
      <c r="A60" s="227"/>
      <c r="B60" s="227"/>
      <c r="C60" s="227"/>
      <c r="D60" s="227"/>
      <c r="E60" s="227"/>
      <c r="F60" s="227"/>
      <c r="G60" s="227"/>
      <c r="H60" s="227"/>
      <c r="I60" s="227"/>
    </row>
    <row r="61" spans="1:9">
      <c r="A61" s="227"/>
      <c r="B61" s="227"/>
      <c r="C61" s="227"/>
      <c r="D61" s="227"/>
      <c r="E61" s="227"/>
      <c r="F61" s="227"/>
      <c r="G61" s="227"/>
      <c r="H61" s="227"/>
      <c r="I61" s="227"/>
    </row>
    <row r="62" spans="1:9">
      <c r="A62" s="228" t="s">
        <v>120</v>
      </c>
      <c r="B62" s="228"/>
      <c r="C62" s="228"/>
      <c r="D62" s="228"/>
      <c r="E62" s="228"/>
      <c r="F62" s="228"/>
      <c r="G62" s="228"/>
      <c r="H62" s="228"/>
      <c r="I62" s="228"/>
    </row>
    <row r="63" spans="1:9">
      <c r="A63" s="227"/>
      <c r="B63" s="227"/>
      <c r="C63" s="227"/>
      <c r="D63" s="227"/>
      <c r="E63" s="227"/>
      <c r="F63" s="227"/>
      <c r="G63" s="227"/>
      <c r="H63" s="227"/>
      <c r="I63" s="227"/>
    </row>
    <row r="64" spans="1:9">
      <c r="A64" s="227"/>
      <c r="B64" s="227"/>
      <c r="C64" s="227"/>
      <c r="D64" s="227"/>
      <c r="E64" s="227"/>
      <c r="F64" s="227"/>
      <c r="G64" s="227"/>
      <c r="H64" s="227"/>
      <c r="I64" s="227"/>
    </row>
    <row r="65" spans="1:9">
      <c r="A65" s="227"/>
      <c r="B65" s="227"/>
      <c r="C65" s="227"/>
      <c r="D65" s="227"/>
      <c r="E65" s="227"/>
      <c r="F65" s="227"/>
      <c r="G65" s="227"/>
      <c r="H65" s="227"/>
      <c r="I65" s="227"/>
    </row>
  </sheetData>
  <mergeCells count="22">
    <mergeCell ref="A64:I64"/>
    <mergeCell ref="A65:I65"/>
    <mergeCell ref="A59:I59"/>
    <mergeCell ref="A60:I60"/>
    <mergeCell ref="A61:I61"/>
    <mergeCell ref="A62:I62"/>
    <mergeCell ref="A63:I63"/>
    <mergeCell ref="A54:I54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B1:C1"/>
    <mergeCell ref="D1:E1"/>
    <mergeCell ref="F1:G1"/>
    <mergeCell ref="H1:I1"/>
    <mergeCell ref="A48:I48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20818052-13F8-4E46-A0B5-936AA2DD285E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2022-10-07T09:27:50Z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