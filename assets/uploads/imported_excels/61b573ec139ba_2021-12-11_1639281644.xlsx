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C39C1860-7BF0-4E8A-999D-08E5E545A4BA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<sst xmlns="http://schemas.openxmlformats.org/spreadsheetml/2006/main" count="203" uniqueCount="130">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</sst>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-223914</c:v>
                </c:pt>
                <c:pt idx="3">
                  <c:v>1.1509447539938731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-7085</c:v>
                </c:pt>
                <c:pt idx="9">
                  <c:v>3.6417747805168904E-2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-7085</c:v>
                </c:pt>
                <c:pt idx="19">
                  <c:v>3.6417747805168904E-2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-402835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440896"/>
        <c:axId val="225442432"/>
      </c:barChart>
      <c:catAx>
        <c:axId val="225440896"/>
        <c:scaling>
          <c:orientation val="minMax"/>
        </c:scaling>
        <c:delete val="1"/>
        <c:axPos val="b"/>
        <c:majorTickMark val="none"/>
        <c:minorTickMark val="none"/>
        <c:tickLblPos val="nextTo"/>
        <c:crossAx val="225442432"/>
        <c:crosses val="autoZero"/>
        <c:auto val="1"/>
        <c:lblAlgn val="ctr"/>
        <c:lblOffset val="100"/>
        <c:noMultiLvlLbl val="0"/>
      </c:catAx>
      <c:valAx>
        <c:axId val="22544243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5440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11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0.9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0.9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0.9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0.9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0.9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0.9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/>
      <c r="L9" s="73">
        <v>0.9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0.9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0.18</v>
      </c>
      <c r="G11" s="104">
        <v>5474</v>
      </c>
      <c r="H11" s="117">
        <v>0.63500000000000001</v>
      </c>
      <c r="I11" s="63">
        <v>368</v>
      </c>
      <c r="J11" s="73">
        <v>1.8</v>
      </c>
      <c r="K11" s="101"/>
      <c r="L11" s="73">
        <v>0.9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220929.99999999936</v>
      </c>
      <c r="F33" s="97">
        <v>0</v>
      </c>
      <c r="G33" s="118">
        <f>SUM(G2:G32)</f>
        <v>58955</v>
      </c>
      <c r="H33" s="95">
        <v>0</v>
      </c>
      <c r="I33" s="96">
        <f>SUM(I2:I32)</f>
        <v>4095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357</v>
      </c>
      <c r="N33" s="99">
        <f t="shared" si="1"/>
        <v>874</v>
      </c>
      <c r="O33" s="99">
        <f t="shared" si="1"/>
        <v>2497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/>
      <c r="W14" s="103"/>
      <c r="X14" s="103"/>
      <c r="Y14" s="17"/>
    </row>
    <row r="15" spans="1:25" ht="21" customHeight="1" x14ac:dyDescent="0.25">
      <c r="A15" s="8">
        <v>44542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44543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44544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44545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44546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44547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44548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44549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44550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44551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44552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44553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44554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44555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44556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44557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44558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44559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44560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44561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357</v>
      </c>
      <c r="W35" s="75">
        <f>SUM(W4:W34)</f>
        <v>874</v>
      </c>
      <c r="X35" s="75">
        <f>SUM(X4:X34)</f>
        <v>2497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D42" sqref="D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0</v>
      </c>
      <c r="C14" s="4">
        <f>('Kwh Reading'!T15-'Kwh Reading'!T14)*1000</f>
        <v>-496040</v>
      </c>
      <c r="D14" s="2">
        <f>('Kwh Reading'!F15-'Kwh Reading'!F14)*1000000</f>
        <v>-2786200</v>
      </c>
      <c r="E14" s="2">
        <f>('Kwh Reading'!C15-'Kwh Reading'!C14)*1000</f>
        <v>-269880</v>
      </c>
      <c r="F14" s="2">
        <f>('Kwh Reading'!J15-'Kwh Reading'!J14)*1000</f>
        <v>-368350</v>
      </c>
      <c r="G14" s="2">
        <f>('Kwh Reading'!K15-'Kwh Reading'!K14)*1000</f>
        <v>-389630</v>
      </c>
      <c r="H14" s="2">
        <f>('Kwh Reading'!L15-'Kwh Reading'!L14)*1000</f>
        <v>-267680</v>
      </c>
      <c r="I14" s="2">
        <f>('Kwh Reading'!R15-'Kwh Reading'!R14)*1000</f>
        <v>-190150</v>
      </c>
      <c r="J14" s="2">
        <f>('Kwh Reading'!S15-'Kwh Reading'!S14)*1000</f>
        <v>-135420</v>
      </c>
      <c r="K14" s="2">
        <f>('Kwh Reading'!I15-'Kwh Reading'!I14)*1000</f>
        <v>-281650</v>
      </c>
      <c r="L14" s="2">
        <f>('Kwh Reading'!B15-'Kwh Reading'!B14)*1000000</f>
        <v>-1184600</v>
      </c>
      <c r="M14" s="2">
        <f>('Kwh Reading'!M15-'Kwh Reading'!M14)*1000</f>
        <v>-641780</v>
      </c>
      <c r="N14" s="2">
        <f>('Kwh Reading'!H15-'Kwh Reading'!H14)*1000</f>
        <v>-731680</v>
      </c>
      <c r="O14" s="2">
        <f>('Kwh Reading'!P15-'Kwh Reading'!P14)*1000</f>
        <v>-777880</v>
      </c>
      <c r="P14" s="2">
        <f>('Kwh Reading'!G15-'Kwh Reading'!G14)*1000</f>
        <v>-883800</v>
      </c>
      <c r="Q14" s="2">
        <f>('Kwh Reading'!Q15-'Kwh Reading'!Q14)*1000</f>
        <v>-573550</v>
      </c>
      <c r="R14" s="2">
        <f>('Kwh Reading'!N15-'Kwh Reading'!N14)*1000</f>
        <v>-596760</v>
      </c>
      <c r="S14" s="33">
        <f>'Kwh Reading'!E15-'Kwh Reading'!E14</f>
        <v>-8655766.2400000002</v>
      </c>
      <c r="T14" s="33">
        <f>'Kwh Reading'!D15-'Kwh Reading'!D14</f>
        <v>-7843692.5899999999</v>
      </c>
      <c r="U14" s="27">
        <f>('Kwh Reading'!O15-'Kwh Reading'!O14)*1000</f>
        <v>-184740</v>
      </c>
      <c r="V14" s="16">
        <f t="shared" si="1"/>
        <v>27259248.830000002</v>
      </c>
    </row>
    <row r="15" spans="1:22" x14ac:dyDescent="0.25">
      <c r="A15" s="3">
        <f>'Kwh Reading'!A15</f>
        <v>44542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44543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44544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44545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44546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44547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44548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44549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44550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44551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44552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44553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44554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44555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44556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44557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220929.99999999936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-134130</v>
      </c>
      <c r="K35" s="72">
        <f t="shared" si="6"/>
        <v>-279170.00000000006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-567200.00000000012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</v>
      </c>
      <c r="V35" s="72">
        <f>SUM(V4:V34)</f>
        <v>27327354.970000003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0</v>
      </c>
      <c r="C13" s="1">
        <f>'Kwh Consumption'!C14</f>
        <v>-496040</v>
      </c>
      <c r="D13" s="1">
        <f>'Kwh Consumption'!D14</f>
        <v>-2786200</v>
      </c>
      <c r="E13" s="1">
        <f>'Kwh Consumption'!E14</f>
        <v>-269880</v>
      </c>
      <c r="F13" s="1">
        <f>('Kwh Consumption'!F14+'Kwh Consumption'!G14+'Kwh Consumption'!H14)</f>
        <v>-1025660</v>
      </c>
      <c r="G13" s="16">
        <f>('Kwh Consumption'!I14+'Kwh Consumption'!J14)</f>
        <v>-325570</v>
      </c>
      <c r="H13" s="1">
        <f>('Kwh Consumption'!K14+'Kwh Consumption'!L14)</f>
        <v>-1466250</v>
      </c>
      <c r="I13" s="1">
        <f>('Kwh Consumption'!M14+'Kwh Consumption'!N14+'Kwh Consumption'!O14+'Kwh Consumption'!P14+'Kwh Consumption'!Q14+'Kwh Consumption'!R14)</f>
        <v>-4205450</v>
      </c>
      <c r="J13" s="1">
        <f>('Kwh Consumption'!S14+'Kwh Consumption'!T14)</f>
        <v>-16499458.83</v>
      </c>
      <c r="K13" s="1">
        <f>'Kwh Consumption'!U14</f>
        <v>-184740</v>
      </c>
      <c r="L13" s="31">
        <f t="shared" si="0"/>
        <v>27259248.829999998</v>
      </c>
    </row>
    <row r="14" spans="1:12" x14ac:dyDescent="0.25">
      <c r="A14" s="14">
        <f>'Kwh Reading'!A15</f>
        <v>44542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44543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44544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44545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44546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44547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44548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44549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44550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44551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44552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44553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44554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44555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44556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44557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220929.99999999936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-16455174.970000001</v>
      </c>
      <c r="K34" s="72">
        <f t="shared" si="1"/>
        <v>-182770</v>
      </c>
      <c r="L34" s="72">
        <f t="shared" si="1"/>
        <v>27327354.969999999</v>
      </c>
      <c r="M34" s="81">
        <f>C34+D34+E34+F34+G34+H34+I34+J34+K34+L34</f>
        <v>220930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</v>
      </c>
      <c r="L36" s="72">
        <f>L34*B36</f>
        <v>4918923.8945999993</v>
      </c>
      <c r="M36" s="81">
        <f>C36+D36+E36+F36+G36+H36+I36+J36+K36+L36</f>
        <v>39767.399999999441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3794.4000000000274</v>
      </c>
      <c r="D12" s="1">
        <f>'Kwh Consumption'!C13*' Kwh area wise $ '!B12</f>
        <v>41.400000000003274</v>
      </c>
      <c r="E12" s="1">
        <f>'Kwh Consumption'!D13*' Kwh area wise $ '!B12</f>
        <v>468.00000000002836</v>
      </c>
      <c r="F12" s="1">
        <f>'Kwh Consumption'!E13*' Kwh area wise $ '!B12</f>
        <v>50.399999999995089</v>
      </c>
      <c r="G12" s="1">
        <f>('Kwh Consumption'!F13+'Kwh Consumption'!G13+'Kwh Consumption'!H13)*' Kwh area wise $ '!B12</f>
        <v>158.40000000000941</v>
      </c>
      <c r="H12" s="16">
        <f>('Kwh Consumption'!I13+'Kwh Consumption'!J13)*' Kwh area wise $ '!B12</f>
        <v>21.599999999995703</v>
      </c>
      <c r="I12" s="1">
        <f>('Kwh Consumption'!K13+'Kwh Consumption'!L13)*' Kwh area wise $ '!B12</f>
        <v>221.40000000001316</v>
      </c>
      <c r="J12" s="1">
        <f>('Kwh Consumption'!M13+'Kwh Consumption'!N13+'Kwh Consumption'!O13+'Kwh Consumption'!P13+'Kwh Consumption'!Q13+'Kwh Consumption'!R13)*' Kwh area wise $ '!B12</f>
        <v>842.39999999995007</v>
      </c>
      <c r="K12" s="1">
        <f>('Kwh Consumption'!S13+'Kwh Consumption'!T13)*' Kwh area wise $ '!B12</f>
        <v>750.26880000002677</v>
      </c>
      <c r="L12" s="1">
        <f>'Kwh Consumption'!U13*' Kwh area wise $ '!B12</f>
        <v>36.00000000000307</v>
      </c>
      <c r="M12" s="1">
        <f>'Kwh Consumption'!V13*' Kwh area wise $ '!B12</f>
        <v>1204.5312000000022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-89287.2</v>
      </c>
      <c r="E13" s="1">
        <f>'Kwh Consumption'!D14*' Kwh area wise $ '!B13</f>
        <v>-501516</v>
      </c>
      <c r="F13" s="1">
        <f>'Kwh Consumption'!E14*' Kwh area wise $ '!B13</f>
        <v>-48578.400000000001</v>
      </c>
      <c r="G13" s="1">
        <f>('Kwh Consumption'!F14+'Kwh Consumption'!G14+'Kwh Consumption'!H14)*' Kwh area wise $ '!B13</f>
        <v>-184618.8</v>
      </c>
      <c r="H13" s="16">
        <f>('Kwh Consumption'!I14+'Kwh Consumption'!J14)*' Kwh area wise $ '!B13</f>
        <v>-58602.6</v>
      </c>
      <c r="I13" s="1">
        <f>('Kwh Consumption'!K14+'Kwh Consumption'!L14)*' Kwh area wise $ '!B13</f>
        <v>-263925</v>
      </c>
      <c r="J13" s="1">
        <f>('Kwh Consumption'!M14+'Kwh Consumption'!N14+'Kwh Consumption'!O14+'Kwh Consumption'!P14+'Kwh Consumption'!Q14+'Kwh Consumption'!R14)*' Kwh area wise $ '!B13</f>
        <v>-756981</v>
      </c>
      <c r="K13" s="1">
        <f>('Kwh Consumption'!S14+'Kwh Consumption'!T14)*' Kwh area wise $ '!B13</f>
        <v>-2969902.5893999999</v>
      </c>
      <c r="L13" s="1">
        <f>'Kwh Consumption'!U14*' Kwh area wise $ '!B13</f>
        <v>-33253.199999999997</v>
      </c>
      <c r="M13" s="1">
        <f>'Kwh Consumption'!V14*' Kwh area wise $ '!B13</f>
        <v>4906664.7894000001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39767.399999999892</v>
      </c>
      <c r="D34" s="72">
        <f t="shared" si="0"/>
        <v>-88446.599999999991</v>
      </c>
      <c r="E34" s="72">
        <f t="shared" si="0"/>
        <v>-496854</v>
      </c>
      <c r="F34" s="72">
        <f t="shared" si="0"/>
        <v>-48117.599999999999</v>
      </c>
      <c r="G34" s="72">
        <f t="shared" si="0"/>
        <v>-182906.99999999997</v>
      </c>
      <c r="H34" s="72">
        <f t="shared" si="0"/>
        <v>-58370.400000000001</v>
      </c>
      <c r="I34" s="72">
        <f t="shared" si="0"/>
        <v>-261480.59999999998</v>
      </c>
      <c r="J34" s="72">
        <f t="shared" si="0"/>
        <v>-748150.20000000007</v>
      </c>
      <c r="K34" s="72">
        <f t="shared" si="0"/>
        <v>-2961931.4945999999</v>
      </c>
      <c r="L34" s="72">
        <f t="shared" si="0"/>
        <v>-32898.6</v>
      </c>
      <c r="M34" s="72">
        <f>SUM(M3:M33)</f>
        <v>4918923.8946000002</v>
      </c>
      <c r="N34" s="81">
        <f>D34+E34+F34+G34+H34+I34+J34+K34+L34+M34</f>
        <v>39767.400000000373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22" sqref="D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196265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44543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44544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44545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44546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44547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44548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44549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44550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44551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44552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44553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44554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44555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44556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44557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44558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44559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44560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44561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10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416</v>
      </c>
      <c r="D11" s="65">
        <f t="shared" si="2"/>
        <v>1.0505050505050506</v>
      </c>
      <c r="E11" s="84">
        <f>'Water Reading'!H11-'Water Reading'!H10</f>
        <v>12</v>
      </c>
      <c r="F11" s="85">
        <f t="shared" si="3"/>
        <v>2.8846153846153848E-2</v>
      </c>
      <c r="G11" s="89">
        <f>('Water Reading'!D11-'Water Reading'!D10)-('Water Reading'!R11-'Water Reading'!R10)-('Water Reading'!Q11-'Water Reading'!Q10)</f>
        <v>308</v>
      </c>
      <c r="H11" s="85">
        <f t="shared" si="4"/>
        <v>0.74038461538461542</v>
      </c>
      <c r="I11" s="86">
        <f>'Water Reading'!P11-'Water Reading'!P10</f>
        <v>16</v>
      </c>
      <c r="J11" s="66">
        <f t="shared" si="5"/>
        <v>3.8461538461538464E-2</v>
      </c>
      <c r="K11" s="87">
        <f>('Water Reading'!I11-'Water Reading'!I10)-('Water Reading'!P11-'Water Reading'!P10)</f>
        <v>8</v>
      </c>
      <c r="L11" s="66">
        <f t="shared" si="6"/>
        <v>1.9230769230769232E-2</v>
      </c>
      <c r="M11" s="86">
        <f>'Water Reading'!R11-'Water Reading'!R10</f>
        <v>6</v>
      </c>
      <c r="N11" s="88">
        <f t="shared" si="7"/>
        <v>1.4423076923076924E-2</v>
      </c>
      <c r="O11" s="86">
        <f>'Water Reading'!Q11-'Water Reading'!Q10</f>
        <v>5</v>
      </c>
      <c r="P11" s="93">
        <f t="shared" si="8"/>
        <v>1.201923076923077E-2</v>
      </c>
      <c r="Q11" s="87">
        <f>'Water Reading'!N11-'Water Reading'!N10</f>
        <v>2</v>
      </c>
      <c r="R11" s="94">
        <f t="shared" si="9"/>
        <v>4.807692307692308E-3</v>
      </c>
      <c r="S11" s="86">
        <f>'Water Reading'!M11-'Water Reading'!M10</f>
        <v>8</v>
      </c>
      <c r="T11" s="94">
        <f t="shared" si="10"/>
        <v>1.9230769230769232E-2</v>
      </c>
      <c r="U11" s="86">
        <f>'Water Reading'!O11-'Water Reading'!O10</f>
        <v>1</v>
      </c>
      <c r="V11" s="94">
        <f t="shared" si="11"/>
        <v>2.403846153846154E-3</v>
      </c>
      <c r="W11" s="86">
        <f>'Water Reading'!R11-'Water Reading'!R10</f>
        <v>6</v>
      </c>
      <c r="X11" s="94">
        <f t="shared" si="12"/>
        <v>1.4423076923076924E-2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0</v>
      </c>
      <c r="D12" s="65">
        <f t="shared" si="2"/>
        <v>0</v>
      </c>
      <c r="E12" s="84">
        <f>'Water Reading'!H12-'Water Reading'!H11</f>
        <v>18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261</v>
      </c>
      <c r="H12" s="85" t="e">
        <f t="shared" si="4"/>
        <v>#DIV/0!</v>
      </c>
      <c r="I12" s="86">
        <f>'Water Reading'!P12-'Water Reading'!P11</f>
        <v>1</v>
      </c>
      <c r="J12" s="66" t="e">
        <f t="shared" si="5"/>
        <v>#DIV/0!</v>
      </c>
      <c r="K12" s="87">
        <f>('Water Reading'!I12-'Water Reading'!I11)-('Water Reading'!P12-'Water Reading'!P11)</f>
        <v>26</v>
      </c>
      <c r="L12" s="66" t="e">
        <f t="shared" si="6"/>
        <v>#DIV/0!</v>
      </c>
      <c r="M12" s="86">
        <f>'Water Reading'!R12-'Water Reading'!R11</f>
        <v>5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2</v>
      </c>
      <c r="R12" s="94" t="e">
        <f t="shared" si="9"/>
        <v>#DIV/0!</v>
      </c>
      <c r="S12" s="86">
        <f>'Water Reading'!M12-'Water Reading'!M11</f>
        <v>9</v>
      </c>
      <c r="T12" s="94" t="e">
        <f t="shared" si="10"/>
        <v>#DIV/0!</v>
      </c>
      <c r="U12" s="86">
        <f>'Water Reading'!O12-'Water Reading'!O11</f>
        <v>1</v>
      </c>
      <c r="V12" s="94" t="e">
        <f t="shared" si="11"/>
        <v>#DIV/0!</v>
      </c>
      <c r="W12" s="86">
        <f>'Water Reading'!R12-'Water Reading'!R11</f>
        <v>5</v>
      </c>
      <c r="X12" s="94" t="e">
        <f t="shared" si="12"/>
        <v>#DIV/0!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0</v>
      </c>
      <c r="C14" s="64">
        <f>('Water Reading'!B14-'Water Reading'!B13)+('Water Reading'!C14-'Water Reading'!C13)</f>
        <v>-196421</v>
      </c>
      <c r="D14" s="65" t="e">
        <f t="shared" si="2"/>
        <v>#DIV/0!</v>
      </c>
      <c r="E14" s="84">
        <f>'Water Reading'!H14-'Water Reading'!H13</f>
        <v>-59146</v>
      </c>
      <c r="F14" s="85">
        <f t="shared" si="3"/>
        <v>0.30111851584097421</v>
      </c>
      <c r="G14" s="89">
        <f>('Water Reading'!D14-'Water Reading'!D13)-('Water Reading'!R14-'Water Reading'!R13)-('Water Reading'!Q14-'Water Reading'!Q13)</f>
        <v>-226520</v>
      </c>
      <c r="H14" s="85">
        <f t="shared" si="4"/>
        <v>1.153237179324003</v>
      </c>
      <c r="I14" s="86">
        <f>'Water Reading'!P14-'Water Reading'!P13</f>
        <v>-28796</v>
      </c>
      <c r="J14" s="66">
        <f t="shared" si="5"/>
        <v>0.14660346907917177</v>
      </c>
      <c r="K14" s="87">
        <f>('Water Reading'!I14-'Water Reading'!I13)-('Water Reading'!P14-'Water Reading'!P13)</f>
        <v>-40064</v>
      </c>
      <c r="L14" s="66">
        <f t="shared" si="6"/>
        <v>0.20397004393623899</v>
      </c>
      <c r="M14" s="86">
        <f>'Water Reading'!R14-'Water Reading'!R13</f>
        <v>-7140</v>
      </c>
      <c r="N14" s="88">
        <f t="shared" si="7"/>
        <v>3.6350492055330134E-2</v>
      </c>
      <c r="O14" s="86">
        <f>'Water Reading'!Q14-'Water Reading'!Q13</f>
        <v>-1171</v>
      </c>
      <c r="P14" s="93">
        <f t="shared" si="8"/>
        <v>5.961684341287337E-3</v>
      </c>
      <c r="Q14" s="87">
        <f>'Water Reading'!N14-'Water Reading'!N13</f>
        <v>-8122</v>
      </c>
      <c r="R14" s="94">
        <f t="shared" si="9"/>
        <v>4.1349957489270499E-2</v>
      </c>
      <c r="S14" s="86">
        <f>'Water Reading'!M14-'Water Reading'!M13</f>
        <v>-26278</v>
      </c>
      <c r="T14" s="94">
        <f t="shared" si="10"/>
        <v>0.13378406585853855</v>
      </c>
      <c r="U14" s="86">
        <f>'Water Reading'!O14-'Water Reading'!O13</f>
        <v>-1863</v>
      </c>
      <c r="V14" s="94">
        <f t="shared" si="11"/>
        <v>9.4847292295630308E-3</v>
      </c>
      <c r="W14" s="86">
        <f>'Water Reading'!R14-'Water Reading'!R13</f>
        <v>-7140</v>
      </c>
      <c r="X14" s="94">
        <f t="shared" si="12"/>
        <v>3.6350492055330134E-2</v>
      </c>
      <c r="Y14" s="64">
        <f t="shared" si="0"/>
        <v>-406240</v>
      </c>
      <c r="Z14" s="65" t="e">
        <f t="shared" si="1"/>
        <v>#DIV/0!</v>
      </c>
    </row>
    <row r="15" spans="1:26" x14ac:dyDescent="0.25">
      <c r="A15" s="8">
        <f>'Water Reading'!A14</f>
        <v>44542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44543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44544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44545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44546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44547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44548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44549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44550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44551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44552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44553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44554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44555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44556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44557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4095</v>
      </c>
      <c r="C35" s="72">
        <f>SUM(C4:C34)</f>
        <v>-194548</v>
      </c>
      <c r="D35" s="91">
        <f>C35/B35</f>
        <v>-47.50866910866911</v>
      </c>
      <c r="E35" s="7">
        <f>SUM(E4:E34)</f>
        <v>-58917</v>
      </c>
      <c r="F35" s="90">
        <f>E35/C35</f>
        <v>0.30284043012521333</v>
      </c>
      <c r="G35" s="72">
        <f>SUM(G4:G34)</f>
        <v>-223914</v>
      </c>
      <c r="H35" s="90">
        <f>G35/C35</f>
        <v>1.1509447539938731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>
        <f>SUM(M4:M34)</f>
        <v>-7085</v>
      </c>
      <c r="N35" s="90">
        <f>M35/C35</f>
        <v>3.6417747805168904E-2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>
        <f>SUM(W4:W34)</f>
        <v>-7085</v>
      </c>
      <c r="X35" s="90">
        <f>W35/C35</f>
        <v>3.6417747805168904E-2</v>
      </c>
      <c r="Y35" s="72">
        <f>SUM(Y4:Y34)</f>
        <v>-402835</v>
      </c>
      <c r="Z35" s="90">
        <f t="shared" si="1"/>
        <v>-98.372405372405368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2021-12-12T03:59:00Z</dcterms:modified>
  <cp:category/>
  <cp:contentStatus/>
</cp:coreProperties>
</file>