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18" i="2" l="1"/>
  <c r="AG18" i="2"/>
  <c r="AF18" i="2"/>
  <c r="W18" i="2"/>
  <c r="V18" i="2"/>
  <c r="Q18" i="2" l="1"/>
  <c r="P18" i="2"/>
  <c r="O18" i="2"/>
  <c r="N18" i="2"/>
  <c r="M18" i="2"/>
  <c r="J18" i="2" l="1"/>
  <c r="I18" i="2"/>
  <c r="H18" i="2"/>
  <c r="G18" i="2"/>
  <c r="F18" i="2"/>
  <c r="E18" i="2"/>
  <c r="D18" i="2"/>
  <c r="C18" i="2"/>
  <c r="B18" i="2"/>
  <c r="AH17" i="2" l="1"/>
  <c r="AG17" i="2"/>
  <c r="AF17" i="2"/>
  <c r="W17" i="2"/>
  <c r="V17" i="2"/>
  <c r="Q17" i="2" l="1"/>
  <c r="P17" i="2"/>
  <c r="O17" i="2"/>
  <c r="N17" i="2"/>
  <c r="M17" i="2"/>
  <c r="J17" i="2" l="1"/>
  <c r="I17" i="2"/>
  <c r="H17" i="2"/>
  <c r="G17" i="2"/>
  <c r="F17" i="2"/>
  <c r="E17" i="2"/>
  <c r="D17" i="2"/>
  <c r="C17" i="2"/>
  <c r="B17" i="2"/>
  <c r="AH16" i="2" l="1"/>
  <c r="AG16" i="2"/>
  <c r="AF16" i="2"/>
  <c r="W16" i="2"/>
  <c r="V16" i="2"/>
  <c r="Q16" i="2" l="1"/>
  <c r="P16" i="2"/>
  <c r="O16" i="2"/>
  <c r="N16" i="2"/>
  <c r="M16" i="2"/>
  <c r="J16" i="2" l="1"/>
  <c r="I16" i="2"/>
  <c r="H16" i="2"/>
  <c r="G16" i="2"/>
  <c r="F16" i="2"/>
  <c r="E16" i="2"/>
  <c r="D16" i="2"/>
  <c r="C16" i="2"/>
  <c r="B16" i="2"/>
  <c r="AH15" i="2" l="1"/>
  <c r="AG15" i="2"/>
  <c r="AF15" i="2"/>
  <c r="W15" i="2"/>
  <c r="V15" i="2"/>
  <c r="Q15" i="2" l="1"/>
  <c r="P15" i="2"/>
  <c r="O15" i="2"/>
  <c r="N15" i="2"/>
  <c r="M15" i="2"/>
  <c r="J15" i="2" l="1"/>
  <c r="I15" i="2"/>
  <c r="H15" i="2"/>
  <c r="G15" i="2"/>
  <c r="F15" i="2"/>
  <c r="E15" i="2"/>
  <c r="D15" i="2"/>
  <c r="C15" i="2"/>
  <c r="B15" i="2"/>
  <c r="AH14" i="2" l="1"/>
  <c r="AG14" i="2"/>
  <c r="AF14" i="2"/>
  <c r="AH13" i="2"/>
  <c r="AG13" i="2"/>
  <c r="AF13" i="2"/>
  <c r="W14" i="2"/>
  <c r="V14" i="2"/>
  <c r="W13" i="2"/>
  <c r="V13" i="2"/>
  <c r="Q14" i="2" l="1"/>
  <c r="P14" i="2"/>
  <c r="Q13" i="2"/>
  <c r="P13" i="2"/>
  <c r="O14" i="2"/>
  <c r="N14" i="2"/>
  <c r="M14" i="2"/>
  <c r="O13" i="2"/>
  <c r="N13" i="2"/>
  <c r="M13" i="2"/>
  <c r="J14" i="2" l="1"/>
  <c r="I14" i="2"/>
  <c r="H14" i="2"/>
  <c r="G14" i="2"/>
  <c r="F14" i="2"/>
  <c r="E14" i="2"/>
  <c r="D14" i="2"/>
  <c r="C14" i="2"/>
  <c r="B14" i="2"/>
  <c r="J13" i="2"/>
  <c r="I13" i="2"/>
  <c r="H13" i="2"/>
  <c r="G13" i="2"/>
  <c r="F13" i="2"/>
  <c r="E13" i="2"/>
  <c r="D13" i="2"/>
  <c r="C13" i="2"/>
  <c r="B13" i="2"/>
  <c r="AH12" i="2" l="1"/>
  <c r="AG12" i="2"/>
  <c r="AF12" i="2"/>
  <c r="W12" i="2"/>
  <c r="V12" i="2"/>
  <c r="Q12" i="2" l="1"/>
  <c r="P12" i="2"/>
  <c r="O12" i="2"/>
  <c r="N12" i="2"/>
  <c r="M12" i="2"/>
  <c r="J12" i="2" l="1"/>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G10" i="2"/>
  <c r="AF10" i="2"/>
  <c r="W10" i="2"/>
  <c r="V10" i="2"/>
  <c r="Q10" i="2" l="1"/>
  <c r="P10" i="2"/>
  <c r="O10" i="2"/>
  <c r="N10" i="2"/>
  <c r="M10" i="2"/>
  <c r="J10" i="2" l="1"/>
  <c r="I10" i="2"/>
  <c r="H10" i="2"/>
  <c r="G10" i="2"/>
  <c r="F10" i="2"/>
  <c r="E10" i="2"/>
  <c r="D10" i="2"/>
  <c r="C10" i="2"/>
  <c r="B10" i="2"/>
  <c r="AH9" i="2" l="1"/>
  <c r="AG9" i="2"/>
  <c r="AF9" i="2"/>
  <c r="W9" i="2"/>
  <c r="V9" i="2"/>
  <c r="Q9" i="2" l="1"/>
  <c r="P9" i="2"/>
  <c r="O9" i="2"/>
  <c r="N9" i="2"/>
  <c r="M9" i="2"/>
  <c r="J9" i="2" l="1"/>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AH6" i="2"/>
  <c r="AG6" i="2"/>
  <c r="AF6" i="2"/>
  <c r="W7" i="2"/>
  <c r="V7" i="2"/>
  <c r="W6" i="2"/>
  <c r="V6" i="2"/>
  <c r="Q7" i="2" l="1"/>
  <c r="P7" i="2"/>
  <c r="Q6" i="2"/>
  <c r="P6" i="2"/>
  <c r="O7" i="2"/>
  <c r="N7" i="2"/>
  <c r="M7" i="2"/>
  <c r="O6" i="2"/>
  <c r="N6" i="2"/>
  <c r="M6" i="2"/>
  <c r="J7" i="2" l="1"/>
  <c r="I7" i="2"/>
  <c r="H7" i="2"/>
  <c r="G7" i="2"/>
  <c r="F7" i="2"/>
  <c r="E7" i="2"/>
  <c r="D7" i="2"/>
  <c r="C7" i="2"/>
  <c r="B7" i="2"/>
  <c r="J6" i="2"/>
  <c r="I6" i="2"/>
  <c r="H6" i="2"/>
  <c r="G6" i="2"/>
  <c r="F6" i="2"/>
  <c r="E6" i="2"/>
  <c r="D6" i="2"/>
  <c r="C6" i="2"/>
  <c r="B6" i="2"/>
  <c r="H37" i="2" l="1"/>
  <c r="J37" i="2"/>
  <c r="I37" i="2"/>
  <c r="M31" i="1" l="1"/>
  <c r="N31" i="1"/>
  <c r="M32" i="1"/>
  <c r="N32" i="1"/>
  <c r="B31" i="1"/>
  <c r="B32" i="1"/>
  <c r="U31" i="3"/>
  <c r="V31" i="3"/>
  <c r="W31" i="3"/>
  <c r="Y31" i="3"/>
  <c r="U32" i="3"/>
  <c r="V32" i="3"/>
  <c r="W32" i="3"/>
  <c r="Y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C36" i="2"/>
  <c r="AD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I32" i="1" s="1"/>
  <c r="AE36" i="2"/>
  <c r="T31" i="3"/>
  <c r="AE35" i="2"/>
  <c r="AO35" i="2" s="1"/>
  <c r="P32" i="3"/>
  <c r="G32" i="1" s="1"/>
  <c r="P31" i="3"/>
  <c r="G31" i="1" s="1"/>
  <c r="S32" i="3"/>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1" i="1" l="1"/>
  <c r="AI6" i="2"/>
  <c r="AC6" i="2"/>
  <c r="AN37" i="2" l="1"/>
  <c r="AH37" i="2"/>
  <c r="AG37" i="2"/>
  <c r="AF37" i="2"/>
  <c r="G37" i="2"/>
  <c r="D37" i="2"/>
  <c r="Z33" i="3"/>
  <c r="Z7" i="2"/>
  <c r="K6" i="2" l="1"/>
  <c r="L6" i="2" l="1"/>
  <c r="Y12" i="3"/>
  <c r="M12" i="1" s="1"/>
  <c r="Y13" i="3"/>
  <c r="M13" i="1" s="1"/>
  <c r="Y14" i="3"/>
  <c r="M14" i="1" s="1"/>
  <c r="Y15" i="3"/>
  <c r="M15" i="1" s="1"/>
  <c r="Y16" i="3"/>
  <c r="M16" i="1" s="1"/>
  <c r="Y17" i="3"/>
  <c r="M17" i="1" s="1"/>
  <c r="Y18" i="3"/>
  <c r="M18" i="1" s="1"/>
  <c r="Y19" i="3"/>
  <c r="M19" i="1" s="1"/>
  <c r="Y20" i="3"/>
  <c r="M20" i="1" s="1"/>
  <c r="Y21" i="3"/>
  <c r="M21" i="1" s="1"/>
  <c r="Y22" i="3"/>
  <c r="M22" i="1" s="1"/>
  <c r="Y23" i="3"/>
  <c r="M23" i="1" s="1"/>
  <c r="Y24" i="3"/>
  <c r="M24" i="1" s="1"/>
  <c r="Y25" i="3"/>
  <c r="M25" i="1" s="1"/>
  <c r="Y26" i="3"/>
  <c r="M26" i="1" s="1"/>
  <c r="Y27" i="3"/>
  <c r="Y28" i="3"/>
  <c r="M28" i="1" s="1"/>
  <c r="Y29" i="3"/>
  <c r="M29" i="1" s="1"/>
  <c r="Y30" i="3"/>
  <c r="M30" i="1" s="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27" i="1"/>
  <c r="N33" i="1" l="1"/>
  <c r="Z9" i="2"/>
  <c r="P5" i="3" s="1"/>
  <c r="G5" i="1" s="1"/>
  <c r="Z10" i="2"/>
  <c r="AA10" i="2" s="1"/>
  <c r="Z11" i="2"/>
  <c r="AA11" i="2" s="1"/>
  <c r="Z12" i="2"/>
  <c r="Z13" i="2"/>
  <c r="AA13" i="2" s="1"/>
  <c r="Z14" i="2"/>
  <c r="AA14" i="2" s="1"/>
  <c r="Z15" i="2"/>
  <c r="AA15" i="2" s="1"/>
  <c r="Z16" i="2"/>
  <c r="AA16" i="2" s="1"/>
  <c r="AD17" i="2"/>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24" i="3"/>
  <c r="N3" i="3"/>
  <c r="P28" i="3" l="1"/>
  <c r="G28" i="1" s="1"/>
  <c r="K28" i="1"/>
  <c r="U32" i="2"/>
  <c r="T23" i="3"/>
  <c r="AL25" i="2"/>
  <c r="AM25" i="2" s="1"/>
  <c r="P17" i="3"/>
  <c r="G17" i="1" s="1"/>
  <c r="U19" i="2"/>
  <c r="P15" i="3"/>
  <c r="S15" i="3" s="1"/>
  <c r="U15" i="2"/>
  <c r="P9" i="3"/>
  <c r="G9" i="1" s="1"/>
  <c r="P27" i="3"/>
  <c r="S27" i="3" s="1"/>
  <c r="P19" i="3"/>
  <c r="G19" i="1" s="1"/>
  <c r="T28" i="3"/>
  <c r="AE32" i="2"/>
  <c r="T27" i="3"/>
  <c r="N19" i="3"/>
  <c r="T12" i="3"/>
  <c r="T22" i="3"/>
  <c r="I22" i="1" s="1"/>
  <c r="T21" i="3"/>
  <c r="I21" i="1" s="1"/>
  <c r="AE25" i="2"/>
  <c r="T13" i="3"/>
  <c r="AE17" i="2"/>
  <c r="T30" i="3"/>
  <c r="P11" i="3"/>
  <c r="G11" i="1" s="1"/>
  <c r="X18" i="3"/>
  <c r="T17" i="3"/>
  <c r="I17" i="1" s="1"/>
  <c r="X9" i="3"/>
  <c r="N10" i="3"/>
  <c r="K10" i="1" s="1"/>
  <c r="U11" i="2"/>
  <c r="AO11" i="2" s="1"/>
  <c r="P26" i="3"/>
  <c r="G26" i="1" s="1"/>
  <c r="U17" i="2"/>
  <c r="T3" i="3"/>
  <c r="P24" i="3"/>
  <c r="G24" i="1" s="1"/>
  <c r="U16" i="2"/>
  <c r="AO16" i="2" s="1"/>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P29" i="3"/>
  <c r="AA9" i="2"/>
  <c r="S17" i="3"/>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G15" i="1" l="1"/>
  <c r="AO9" i="2"/>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<sst xmlns="http://schemas.openxmlformats.org/spreadsheetml/2006/main" count="220" uniqueCount="103">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</sst>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C28" sqref="C28"/>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1</v>
      </c>
      <c r="D2" s="107">
        <v>2022</v>
      </c>
      <c r="E2" s="101">
        <f>Submetering!E2+Submetering!F2+Submetering!G2+Submetering!H2+Submetering!I2+Submetering!J2+Submetering!K2</f>
        <v>32675</v>
      </c>
      <c r="F2" s="109">
        <v>0.2</v>
      </c>
      <c r="G2" s="101">
        <f>Submetering!P2</f>
        <v>851</v>
      </c>
      <c r="H2" s="109">
        <v>6.47</v>
      </c>
      <c r="I2" s="101">
        <f>Submetering!T2-Submetering!T2*15%-Submetering!X2</f>
        <v>13792.931799999998</v>
      </c>
      <c r="J2" s="100">
        <v>0.21</v>
      </c>
      <c r="K2" s="101">
        <f>Submetering!N2-Submetering!O2</f>
        <v>152.9799999999982</v>
      </c>
      <c r="L2" s="109">
        <v>7.84</v>
      </c>
      <c r="M2" s="101"/>
      <c r="N2" s="102">
        <f>Submetering!Z2</f>
        <v>126</v>
      </c>
    </row>
    <row r="3" spans="1:15" x14ac:dyDescent="0.25">
      <c r="A3" s="110" t="s">
        <v>80</v>
      </c>
      <c r="B3" s="72">
        <f>B2+1</f>
        <v>2</v>
      </c>
      <c r="C3" s="73">
        <v>1</v>
      </c>
      <c r="D3" s="72">
        <v>2022</v>
      </c>
      <c r="E3" s="71">
        <f>Submetering!E3+Submetering!F3+Submetering!G3+Submetering!H3+Submetering!I3+Submetering!J3+Submetering!K3</f>
        <v>30442</v>
      </c>
      <c r="F3" s="74">
        <v>0.2</v>
      </c>
      <c r="G3" s="71">
        <f>Submetering!P3</f>
        <v>707</v>
      </c>
      <c r="H3" s="74">
        <v>6.47</v>
      </c>
      <c r="I3" s="71">
        <f>Submetering!T3-Submetering!T3*15%-Submetering!X3</f>
        <v>14765.79820000437</v>
      </c>
      <c r="J3" s="70">
        <v>0.21</v>
      </c>
      <c r="K3" s="71">
        <f>Submetering!N3-Submetering!O3</f>
        <v>123.41300000000047</v>
      </c>
      <c r="L3" s="74">
        <v>7.84</v>
      </c>
      <c r="M3" s="71"/>
      <c r="N3" s="104">
        <f>Submetering!Z3</f>
        <v>132</v>
      </c>
    </row>
    <row r="4" spans="1:15" x14ac:dyDescent="0.25">
      <c r="A4" s="110" t="s">
        <v>80</v>
      </c>
      <c r="B4" s="72">
        <f t="shared" ref="B4:B32" si="0">B3+1</f>
        <v>3</v>
      </c>
      <c r="C4" s="73">
        <v>1</v>
      </c>
      <c r="D4" s="72">
        <v>2022</v>
      </c>
      <c r="E4" s="71">
        <f>Submetering!E4+Submetering!F4+Submetering!G4+Submetering!H4+Submetering!I4+Submetering!J4+Submetering!K4</f>
        <v>31170</v>
      </c>
      <c r="F4" s="74">
        <v>0.2</v>
      </c>
      <c r="G4" s="71">
        <f>Submetering!P4</f>
        <v>747</v>
      </c>
      <c r="H4" s="74">
        <v>6.47</v>
      </c>
      <c r="I4" s="71">
        <f>Submetering!T4-Submetering!T4*15%-Submetering!X4</f>
        <v>17983.852800000001</v>
      </c>
      <c r="J4" s="70">
        <v>0.21</v>
      </c>
      <c r="K4" s="71">
        <f>Submetering!N4-Submetering!O4</f>
        <v>124.27399999999852</v>
      </c>
      <c r="L4" s="74">
        <v>7.84</v>
      </c>
      <c r="M4" s="71"/>
      <c r="N4" s="104">
        <f>Submetering!Z4</f>
        <v>143</v>
      </c>
    </row>
    <row r="5" spans="1:15" x14ac:dyDescent="0.25">
      <c r="A5" s="110" t="s">
        <v>80</v>
      </c>
      <c r="B5" s="72">
        <f t="shared" si="0"/>
        <v>4</v>
      </c>
      <c r="C5" s="73">
        <v>1</v>
      </c>
      <c r="D5" s="72">
        <v>2022</v>
      </c>
      <c r="E5" s="71">
        <f>Submetering!E5+Submetering!F5+Submetering!G5+Submetering!H5+Submetering!I5+Submetering!J5+Submetering!K5</f>
        <v>31623</v>
      </c>
      <c r="F5" s="74">
        <v>0.2</v>
      </c>
      <c r="G5" s="71">
        <f>Submetering!P5</f>
        <v>763</v>
      </c>
      <c r="H5" s="74">
        <v>6.47</v>
      </c>
      <c r="I5" s="71">
        <f>Submetering!T5-Submetering!T5*15%-Submetering!X5</f>
        <v>11501.025000000001</v>
      </c>
      <c r="J5" s="70">
        <v>0.21</v>
      </c>
      <c r="K5" s="81">
        <f>Submetering!N5-Submetering!O5</f>
        <v>132.27199999999948</v>
      </c>
      <c r="L5" s="74">
        <v>7.84</v>
      </c>
      <c r="M5" s="71"/>
      <c r="N5" s="104">
        <f>Submetering!Z5</f>
        <v>190</v>
      </c>
    </row>
    <row r="6" spans="1:15" x14ac:dyDescent="0.25">
      <c r="A6" s="110" t="s">
        <v>80</v>
      </c>
      <c r="B6" s="72">
        <f t="shared" si="0"/>
        <v>5</v>
      </c>
      <c r="C6" s="73">
        <v>1</v>
      </c>
      <c r="D6" s="72">
        <v>2022</v>
      </c>
      <c r="E6" s="71">
        <f>Submetering!E6+Submetering!F6+Submetering!G6+Submetering!H6+Submetering!I6+Submetering!J6+Submetering!K6</f>
        <v>32801</v>
      </c>
      <c r="F6" s="74">
        <v>0.2</v>
      </c>
      <c r="G6" s="71">
        <f>Submetering!P6</f>
        <v>826</v>
      </c>
      <c r="H6" s="74">
        <v>6.47</v>
      </c>
      <c r="I6" s="71">
        <f>Submetering!T6-Submetering!T6*15%-Submetering!X6</f>
        <v>10352.693999998544</v>
      </c>
      <c r="J6" s="70">
        <v>0.21</v>
      </c>
      <c r="K6" s="71">
        <f>Submetering!N6-Submetering!O6</f>
        <v>142.90300000000025</v>
      </c>
      <c r="L6" s="74">
        <v>7.84</v>
      </c>
      <c r="M6" s="71"/>
      <c r="N6" s="104">
        <f>Submetering!Z6</f>
        <v>174</v>
      </c>
    </row>
    <row r="7" spans="1:15" x14ac:dyDescent="0.25">
      <c r="A7" s="110" t="s">
        <v>80</v>
      </c>
      <c r="B7" s="72">
        <f t="shared" si="0"/>
        <v>6</v>
      </c>
      <c r="C7" s="73">
        <v>1</v>
      </c>
      <c r="D7" s="72">
        <v>2022</v>
      </c>
      <c r="E7" s="71">
        <f>Submetering!E7+Submetering!F7+Submetering!G7+Submetering!H7+Submetering!I7+Submetering!J7+Submetering!K7</f>
        <v>32283</v>
      </c>
      <c r="F7" s="74">
        <v>0.2</v>
      </c>
      <c r="G7" s="71">
        <f>Submetering!P7</f>
        <v>755</v>
      </c>
      <c r="H7" s="74">
        <v>6.47</v>
      </c>
      <c r="I7" s="71">
        <f>Submetering!T7-Submetering!T7*15%-Submetering!X7</f>
        <v>9659.2978000014555</v>
      </c>
      <c r="J7" s="70">
        <v>0.21</v>
      </c>
      <c r="K7" s="71">
        <f>Submetering!N7-Submetering!O7</f>
        <v>154.99800000000141</v>
      </c>
      <c r="L7" s="74">
        <v>7.84</v>
      </c>
      <c r="M7" s="71"/>
      <c r="N7" s="104">
        <f>Submetering!Z7</f>
        <v>185</v>
      </c>
    </row>
    <row r="8" spans="1:15" x14ac:dyDescent="0.25">
      <c r="A8" s="110" t="s">
        <v>80</v>
      </c>
      <c r="B8" s="72">
        <f t="shared" si="0"/>
        <v>7</v>
      </c>
      <c r="C8" s="73">
        <v>1</v>
      </c>
      <c r="D8" s="72">
        <v>2022</v>
      </c>
      <c r="E8" s="71">
        <f>Submetering!E8+Submetering!F8+Submetering!G8+Submetering!H8+Submetering!I8+Submetering!J8+Submetering!K8</f>
        <v>32338</v>
      </c>
      <c r="F8" s="74">
        <v>0.2</v>
      </c>
      <c r="G8" s="71">
        <f>Submetering!P8</f>
        <v>789</v>
      </c>
      <c r="H8" s="74">
        <v>6.47</v>
      </c>
      <c r="I8" s="71">
        <f>Submetering!T8-Submetering!T8*15%-Submetering!X8</f>
        <v>9989.4199999999983</v>
      </c>
      <c r="J8" s="70">
        <v>0.21</v>
      </c>
      <c r="K8" s="71">
        <f>Submetering!N8-Submetering!O8</f>
        <v>118.99899999999934</v>
      </c>
      <c r="L8" s="74">
        <v>7.84</v>
      </c>
      <c r="M8" s="71"/>
      <c r="N8" s="104">
        <f>Submetering!Z8</f>
        <v>185</v>
      </c>
    </row>
    <row r="9" spans="1:15" x14ac:dyDescent="0.25">
      <c r="A9" s="110" t="s">
        <v>80</v>
      </c>
      <c r="B9" s="72">
        <f t="shared" si="0"/>
        <v>8</v>
      </c>
      <c r="C9" s="73">
        <v>1</v>
      </c>
      <c r="D9" s="72">
        <v>2022</v>
      </c>
      <c r="E9" s="71">
        <f>Submetering!E9+Submetering!F9+Submetering!G9+Submetering!H9+Submetering!I9+Submetering!J9+Submetering!K9</f>
        <v>29369</v>
      </c>
      <c r="F9" s="74">
        <v>0.2</v>
      </c>
      <c r="G9" s="71">
        <f>Submetering!P9</f>
        <v>815</v>
      </c>
      <c r="H9" s="74">
        <v>6.47</v>
      </c>
      <c r="I9" s="71">
        <f>Submetering!T9-Submetering!T9*15%-Submetering!X9</f>
        <v>9548.9557999970857</v>
      </c>
      <c r="J9" s="70">
        <v>0.21</v>
      </c>
      <c r="K9" s="71">
        <f>Submetering!N9-Submetering!O9</f>
        <v>120.63800000000174</v>
      </c>
      <c r="L9" s="74">
        <v>7.84</v>
      </c>
      <c r="M9" s="71"/>
      <c r="N9" s="104">
        <f>Submetering!Z9</f>
        <v>169</v>
      </c>
      <c r="O9" s="1" t="s">
        <v>12</v>
      </c>
    </row>
    <row r="10" spans="1:15" x14ac:dyDescent="0.25">
      <c r="A10" s="110" t="s">
        <v>80</v>
      </c>
      <c r="B10" s="72">
        <f t="shared" si="0"/>
        <v>9</v>
      </c>
      <c r="C10" s="73">
        <v>1</v>
      </c>
      <c r="D10" s="72">
        <v>2022</v>
      </c>
      <c r="E10" s="71">
        <f>Submetering!E10+Submetering!F10+Submetering!G10+Submetering!H10+Submetering!I10+Submetering!J10+Submetering!K10</f>
        <v>29445</v>
      </c>
      <c r="F10" s="74">
        <v>0.2</v>
      </c>
      <c r="G10" s="71">
        <f>Submetering!P10</f>
        <v>697</v>
      </c>
      <c r="H10" s="74">
        <v>6.47</v>
      </c>
      <c r="I10" s="71">
        <f>Submetering!T10-Submetering!T10*15%-Submetering!X10</f>
        <v>9515.8450000014527</v>
      </c>
      <c r="J10" s="70">
        <v>0.21</v>
      </c>
      <c r="K10" s="71">
        <f>Submetering!N10-Submetering!O10</f>
        <v>109.81899999999905</v>
      </c>
      <c r="L10" s="74">
        <v>7.84</v>
      </c>
      <c r="M10" s="71"/>
      <c r="N10" s="104">
        <f>Submetering!Z10</f>
        <v>130</v>
      </c>
    </row>
    <row r="11" spans="1:15" x14ac:dyDescent="0.25">
      <c r="A11" s="110" t="s">
        <v>80</v>
      </c>
      <c r="B11" s="72">
        <f t="shared" si="0"/>
        <v>10</v>
      </c>
      <c r="C11" s="73">
        <v>1</v>
      </c>
      <c r="D11" s="72">
        <v>2022</v>
      </c>
      <c r="E11" s="71">
        <f>Submetering!E11+Submetering!F11+Submetering!G11+Submetering!H11+Submetering!I11+Submetering!J11+Submetering!K11</f>
        <v>31469</v>
      </c>
      <c r="F11" s="74">
        <v>0.2</v>
      </c>
      <c r="G11" s="71">
        <f>Submetering!P11</f>
        <v>732</v>
      </c>
      <c r="H11" s="74">
        <v>6.47</v>
      </c>
      <c r="I11" s="71">
        <f>Submetering!T11-Submetering!T11*15%-Submetering!X11</f>
        <v>10004.445000001455</v>
      </c>
      <c r="J11" s="70">
        <v>0.21</v>
      </c>
      <c r="K11" s="71">
        <f>Submetering!N11-Submetering!O11</f>
        <v>158.78699999999981</v>
      </c>
      <c r="L11" s="74">
        <v>7.84</v>
      </c>
      <c r="M11" s="71"/>
      <c r="N11" s="104">
        <f>Submetering!Z11</f>
        <v>155</v>
      </c>
    </row>
    <row r="12" spans="1:15" x14ac:dyDescent="0.25">
      <c r="A12" s="110" t="s">
        <v>80</v>
      </c>
      <c r="B12" s="72">
        <f t="shared" si="0"/>
        <v>11</v>
      </c>
      <c r="C12" s="73">
        <v>1</v>
      </c>
      <c r="D12" s="72">
        <v>2022</v>
      </c>
      <c r="E12" s="71">
        <f>Submetering!E12+Submetering!F12+Submetering!G12+Submetering!H12+Submetering!I12+Submetering!J12+Submetering!K12</f>
        <v>30987</v>
      </c>
      <c r="F12" s="74">
        <v>0.2</v>
      </c>
      <c r="G12" s="71">
        <f>Submetering!P12</f>
        <v>775</v>
      </c>
      <c r="H12" s="74">
        <v>6.47</v>
      </c>
      <c r="I12" s="71">
        <f>Submetering!T12-Submetering!T12*15%-Submetering!X12</f>
        <v>8942.3519999985474</v>
      </c>
      <c r="J12" s="70">
        <v>0.21</v>
      </c>
      <c r="K12" s="71">
        <f>Submetering!N12-Submetering!O12</f>
        <v>111.40500000000065</v>
      </c>
      <c r="L12" s="74">
        <v>7.84</v>
      </c>
      <c r="M12" s="71">
        <f>Submetering!Y12</f>
        <v>0</v>
      </c>
      <c r="N12" s="104">
        <f>Submetering!Z12</f>
        <v>0</v>
      </c>
    </row>
    <row r="13" spans="1:15" x14ac:dyDescent="0.25">
      <c r="A13" s="110" t="s">
        <v>80</v>
      </c>
      <c r="B13" s="72">
        <f t="shared" si="0"/>
        <v>12</v>
      </c>
      <c r="C13" s="73">
        <v>1</v>
      </c>
      <c r="D13" s="72">
        <v>2022</v>
      </c>
      <c r="E13" s="71">
        <f>Submetering!E13+Submetering!F13+Submetering!G13+Submetering!H13+Submetering!I13+Submetering!J13+Submetering!K13</f>
        <v>32616</v>
      </c>
      <c r="F13" s="74">
        <v>0.2</v>
      </c>
      <c r="G13" s="71">
        <f>Submetering!P13</f>
        <v>761</v>
      </c>
      <c r="H13" s="74">
        <v>6.47</v>
      </c>
      <c r="I13" s="71">
        <f>Submetering!T13-Submetering!T13*15%-Submetering!X13</f>
        <v>10008.419399995633</v>
      </c>
      <c r="J13" s="70">
        <v>0.21</v>
      </c>
      <c r="K13" s="71">
        <f>Submetering!N13-Submetering!O13</f>
        <v>133.70900000000074</v>
      </c>
      <c r="L13" s="74">
        <v>7.84</v>
      </c>
      <c r="M13" s="71">
        <f>Submetering!Y13</f>
        <v>0</v>
      </c>
      <c r="N13" s="104">
        <f>Submetering!Z13</f>
        <v>0</v>
      </c>
    </row>
    <row r="14" spans="1:15" x14ac:dyDescent="0.25">
      <c r="A14" s="110" t="s">
        <v>80</v>
      </c>
      <c r="B14" s="72">
        <f t="shared" si="0"/>
        <v>13</v>
      </c>
      <c r="C14" s="73">
        <v>1</v>
      </c>
      <c r="D14" s="72">
        <v>2022</v>
      </c>
      <c r="E14" s="71">
        <f>Submetering!E14+Submetering!F14+Submetering!G14+Submetering!H14+Submetering!I14+Submetering!J14+Submetering!K14</f>
        <v>28340</v>
      </c>
      <c r="F14" s="74">
        <v>0.2</v>
      </c>
      <c r="G14" s="71">
        <f>Submetering!P14</f>
        <v>724</v>
      </c>
      <c r="H14" s="74">
        <v>6.47</v>
      </c>
      <c r="I14" s="71">
        <f>Submetering!T14-Submetering!T14*15%-Submetering!X14</f>
        <v>11037.442600000002</v>
      </c>
      <c r="J14" s="70">
        <v>0.21</v>
      </c>
      <c r="K14" s="71">
        <f>Submetering!N14-Submetering!O14</f>
        <v>123.93999999999687</v>
      </c>
      <c r="L14" s="74">
        <v>7.84</v>
      </c>
      <c r="M14" s="71">
        <f>Submetering!Y14</f>
        <v>0</v>
      </c>
      <c r="N14" s="104">
        <f>Submetering!Z14</f>
        <v>0</v>
      </c>
    </row>
    <row r="15" spans="1:15" x14ac:dyDescent="0.25">
      <c r="A15" s="110" t="s">
        <v>80</v>
      </c>
      <c r="B15" s="72">
        <f t="shared" si="0"/>
        <v>14</v>
      </c>
      <c r="C15" s="73">
        <v>1</v>
      </c>
      <c r="D15" s="72">
        <v>2022</v>
      </c>
      <c r="E15" s="71">
        <f>Submetering!E15+Submetering!F15+Submetering!G15+Submetering!H15+Submetering!I15+Submetering!J15+Submetering!K15</f>
        <v>0</v>
      </c>
      <c r="F15" s="74">
        <v>0.2</v>
      </c>
      <c r="G15" s="71" t="str">
        <f>Submetering!P15</f>
        <v>0</v>
      </c>
      <c r="H15" s="74">
        <v>6.47</v>
      </c>
      <c r="I15" s="71">
        <f>Submetering!T15-Submetering!T15*15%-Submetering!X15</f>
        <v>0</v>
      </c>
      <c r="J15" s="70">
        <v>0.21</v>
      </c>
      <c r="K15" s="81">
        <f>Submetering!N15-Submetering!O15</f>
        <v>0</v>
      </c>
      <c r="L15" s="74">
        <v>7.84</v>
      </c>
      <c r="M15" s="71">
        <f>Submetering!Y15</f>
        <v>0</v>
      </c>
      <c r="N15" s="104">
        <f>Submetering!Z15</f>
        <v>0</v>
      </c>
    </row>
    <row r="16" spans="1:15" x14ac:dyDescent="0.25">
      <c r="A16" s="110" t="s">
        <v>80</v>
      </c>
      <c r="B16" s="72">
        <f t="shared" si="0"/>
        <v>15</v>
      </c>
      <c r="C16" s="73">
        <v>1</v>
      </c>
      <c r="D16" s="72">
        <v>2022</v>
      </c>
      <c r="E16" s="71">
        <f>Submetering!E16+Submetering!F16+Submetering!G16+Submetering!H16+Submetering!I16+Submetering!J16+Submetering!K16</f>
        <v>0</v>
      </c>
      <c r="F16" s="74">
        <v>0.2</v>
      </c>
      <c r="G16" s="71">
        <f>Submetering!P16</f>
        <v>0</v>
      </c>
      <c r="H16" s="74">
        <v>6.47</v>
      </c>
      <c r="I16" s="71">
        <f>Submetering!T16-Submetering!T16*15%-Submetering!X16</f>
        <v>0</v>
      </c>
      <c r="J16" s="70">
        <v>0.21</v>
      </c>
      <c r="K16" s="71">
        <f>Submetering!N16-Submetering!O16</f>
        <v>0</v>
      </c>
      <c r="L16" s="74">
        <v>7.84</v>
      </c>
      <c r="M16" s="71">
        <f>Submetering!Y16</f>
        <v>0</v>
      </c>
      <c r="N16" s="104">
        <f>Submetering!Z16</f>
        <v>0</v>
      </c>
    </row>
    <row r="17" spans="1:14" x14ac:dyDescent="0.25">
      <c r="A17" s="110" t="s">
        <v>80</v>
      </c>
      <c r="B17" s="72">
        <f t="shared" si="0"/>
        <v>16</v>
      </c>
      <c r="C17" s="73">
        <v>1</v>
      </c>
      <c r="D17" s="72">
        <v>2022</v>
      </c>
      <c r="E17" s="71">
        <f>Submetering!E17+Submetering!F17+Submetering!G17+Submetering!H17+Submetering!I17+Submetering!J17+Submetering!K17</f>
        <v>0</v>
      </c>
      <c r="F17" s="74">
        <v>0.2</v>
      </c>
      <c r="G17" s="71">
        <f>Submetering!P17</f>
        <v>0</v>
      </c>
      <c r="H17" s="74">
        <v>6.47</v>
      </c>
      <c r="I17" s="71">
        <f>Submetering!T17-Submetering!T17*15%-Submetering!X17</f>
        <v>0</v>
      </c>
      <c r="J17" s="70">
        <v>0.21</v>
      </c>
      <c r="K17" s="71">
        <f>Submetering!N17-Submetering!O17</f>
        <v>0</v>
      </c>
      <c r="L17" s="74">
        <v>7.84</v>
      </c>
      <c r="M17" s="71">
        <f>Submetering!Y17</f>
        <v>0</v>
      </c>
      <c r="N17" s="104">
        <f>Submetering!Z17</f>
        <v>0</v>
      </c>
    </row>
    <row r="18" spans="1:14" x14ac:dyDescent="0.25">
      <c r="A18" s="110" t="s">
        <v>80</v>
      </c>
      <c r="B18" s="72">
        <f t="shared" si="0"/>
        <v>17</v>
      </c>
      <c r="C18" s="73">
        <v>1</v>
      </c>
      <c r="D18" s="72">
        <v>2022</v>
      </c>
      <c r="E18" s="71">
        <f>Submetering!E18+Submetering!F18+Submetering!G18+Submetering!H18+Submetering!I18+Submetering!J18+Submetering!K18</f>
        <v>0</v>
      </c>
      <c r="F18" s="74">
        <v>0.2</v>
      </c>
      <c r="G18" s="71">
        <f>Submetering!P18</f>
        <v>0</v>
      </c>
      <c r="H18" s="74">
        <v>6.47</v>
      </c>
      <c r="I18" s="71">
        <f>Submetering!T18-Submetering!T18*15%-Submetering!X18</f>
        <v>0</v>
      </c>
      <c r="J18" s="70">
        <v>0.21</v>
      </c>
      <c r="K18" s="71">
        <f>Submetering!N18-Submetering!O18</f>
        <v>0</v>
      </c>
      <c r="L18" s="74">
        <v>7.84</v>
      </c>
      <c r="M18" s="71">
        <f>Submetering!Y18</f>
        <v>0</v>
      </c>
      <c r="N18" s="104">
        <f>Submetering!Z18</f>
        <v>0</v>
      </c>
    </row>
    <row r="19" spans="1:14" x14ac:dyDescent="0.25">
      <c r="A19" s="110" t="s">
        <v>80</v>
      </c>
      <c r="B19" s="72">
        <f t="shared" si="0"/>
        <v>18</v>
      </c>
      <c r="C19" s="73">
        <v>1</v>
      </c>
      <c r="D19" s="72">
        <v>2022</v>
      </c>
      <c r="E19" s="71">
        <f>Submetering!E19+Submetering!F19+Submetering!G19+Submetering!H19+Submetering!I19+Submetering!J19+Submetering!K19</f>
        <v>0</v>
      </c>
      <c r="F19" s="74">
        <v>0.2</v>
      </c>
      <c r="G19" s="71">
        <f>Submetering!P19</f>
        <v>0</v>
      </c>
      <c r="H19" s="74">
        <v>6.47</v>
      </c>
      <c r="I19" s="71">
        <f>Submetering!T19-Submetering!T19*15%-Submetering!X19</f>
        <v>0</v>
      </c>
      <c r="J19" s="70">
        <v>0.21</v>
      </c>
      <c r="K19" s="71">
        <f>Submetering!N19-Submetering!O19</f>
        <v>0</v>
      </c>
      <c r="L19" s="74">
        <v>7.84</v>
      </c>
      <c r="M19" s="71">
        <f>Submetering!Y19</f>
        <v>0</v>
      </c>
      <c r="N19" s="104">
        <f>Submetering!Z19</f>
        <v>0</v>
      </c>
    </row>
    <row r="20" spans="1:14" x14ac:dyDescent="0.25">
      <c r="A20" s="110" t="s">
        <v>80</v>
      </c>
      <c r="B20" s="72">
        <f t="shared" si="0"/>
        <v>19</v>
      </c>
      <c r="C20" s="73">
        <v>1</v>
      </c>
      <c r="D20" s="72">
        <v>2022</v>
      </c>
      <c r="E20" s="71">
        <f>Submetering!E20+Submetering!F20+Submetering!G20+Submetering!H20+Submetering!I20+Submetering!J20+Submetering!K20</f>
        <v>0</v>
      </c>
      <c r="F20" s="74">
        <v>0.2</v>
      </c>
      <c r="G20" s="71">
        <f>Submetering!P20</f>
        <v>0</v>
      </c>
      <c r="H20" s="74">
        <v>6.47</v>
      </c>
      <c r="I20" s="71">
        <f>Submetering!T20-Submetering!T20*15%-Submetering!X20</f>
        <v>0</v>
      </c>
      <c r="J20" s="70">
        <v>0.21</v>
      </c>
      <c r="K20" s="71">
        <f>Submetering!N20-Submetering!O20</f>
        <v>0</v>
      </c>
      <c r="L20" s="74">
        <v>7.84</v>
      </c>
      <c r="M20" s="71">
        <f>Submetering!Y20</f>
        <v>0</v>
      </c>
      <c r="N20" s="104">
        <f>Submetering!Z20</f>
        <v>0</v>
      </c>
    </row>
    <row r="21" spans="1:14" x14ac:dyDescent="0.25">
      <c r="A21" s="110" t="s">
        <v>80</v>
      </c>
      <c r="B21" s="72">
        <f t="shared" si="0"/>
        <v>20</v>
      </c>
      <c r="C21" s="73">
        <v>1</v>
      </c>
      <c r="D21" s="72">
        <v>2022</v>
      </c>
      <c r="E21" s="71">
        <f>Submetering!E21+Submetering!F21+Submetering!G21+Submetering!H21+Submetering!I21+Submetering!J21+Submetering!K21</f>
        <v>0</v>
      </c>
      <c r="F21" s="74">
        <v>0.2</v>
      </c>
      <c r="G21" s="71">
        <f>Submetering!P21</f>
        <v>0</v>
      </c>
      <c r="H21" s="74">
        <v>6.47</v>
      </c>
      <c r="I21" s="71">
        <f>Submetering!T21-Submetering!T21*15%-Submetering!X21</f>
        <v>0</v>
      </c>
      <c r="J21" s="70">
        <v>0.21</v>
      </c>
      <c r="K21" s="71">
        <f>Submetering!N21-Submetering!O21</f>
        <v>0</v>
      </c>
      <c r="L21" s="74">
        <v>7.84</v>
      </c>
      <c r="M21" s="71">
        <f>Submetering!Y21</f>
        <v>0</v>
      </c>
      <c r="N21" s="104">
        <f>Submetering!Z21</f>
        <v>0</v>
      </c>
    </row>
    <row r="22" spans="1:14" x14ac:dyDescent="0.25">
      <c r="A22" s="110" t="s">
        <v>80</v>
      </c>
      <c r="B22" s="72">
        <f t="shared" si="0"/>
        <v>21</v>
      </c>
      <c r="C22" s="73">
        <v>1</v>
      </c>
      <c r="D22" s="72">
        <v>2022</v>
      </c>
      <c r="E22" s="71">
        <f>Submetering!E22+Submetering!F22+Submetering!G22+Submetering!H22+Submetering!I22+Submetering!J22+Submetering!K22</f>
        <v>0</v>
      </c>
      <c r="F22" s="74">
        <v>0.2</v>
      </c>
      <c r="G22" s="71">
        <f>Submetering!P22</f>
        <v>0</v>
      </c>
      <c r="H22" s="74">
        <v>6.47</v>
      </c>
      <c r="I22" s="71">
        <f>Submetering!T22-Submetering!T22*15%-Submetering!X22</f>
        <v>0</v>
      </c>
      <c r="J22" s="70">
        <v>0.21</v>
      </c>
      <c r="K22" s="71">
        <f>Submetering!N22-Submetering!O22</f>
        <v>0</v>
      </c>
      <c r="L22" s="74">
        <v>7.84</v>
      </c>
      <c r="M22" s="71">
        <f>Submetering!Y22</f>
        <v>0</v>
      </c>
      <c r="N22" s="104">
        <f>Submetering!Z22</f>
        <v>0</v>
      </c>
    </row>
    <row r="23" spans="1:14" x14ac:dyDescent="0.25">
      <c r="A23" s="110" t="s">
        <v>80</v>
      </c>
      <c r="B23" s="72">
        <f t="shared" si="0"/>
        <v>22</v>
      </c>
      <c r="C23" s="73">
        <v>1</v>
      </c>
      <c r="D23" s="72">
        <v>2022</v>
      </c>
      <c r="E23" s="71">
        <f>Submetering!E23+Submetering!F23+Submetering!G23+Submetering!H23+Submetering!I23+Submetering!J23+Submetering!K23</f>
        <v>0</v>
      </c>
      <c r="F23" s="74">
        <v>0.2</v>
      </c>
      <c r="G23" s="71">
        <f>Submetering!P23</f>
        <v>0</v>
      </c>
      <c r="H23" s="74">
        <v>6.47</v>
      </c>
      <c r="I23" s="71">
        <f>Submetering!T23-Submetering!T23*15%-Submetering!X23</f>
        <v>0</v>
      </c>
      <c r="J23" s="70">
        <v>0.21</v>
      </c>
      <c r="K23" s="71">
        <f>Submetering!N23-Submetering!O23</f>
        <v>0</v>
      </c>
      <c r="L23" s="74">
        <v>7.84</v>
      </c>
      <c r="M23" s="71">
        <f>Submetering!Y23</f>
        <v>0</v>
      </c>
      <c r="N23" s="104">
        <f>Submetering!Z23</f>
        <v>0</v>
      </c>
    </row>
    <row r="24" spans="1:14" x14ac:dyDescent="0.25">
      <c r="A24" s="110" t="s">
        <v>80</v>
      </c>
      <c r="B24" s="72">
        <f t="shared" si="0"/>
        <v>23</v>
      </c>
      <c r="C24" s="73">
        <v>1</v>
      </c>
      <c r="D24" s="72">
        <v>2022</v>
      </c>
      <c r="E24" s="71">
        <f>Submetering!E24+Submetering!F24+Submetering!G24+Submetering!H24+Submetering!I24+Submetering!J24+Submetering!K24</f>
        <v>0</v>
      </c>
      <c r="F24" s="74">
        <v>0.2</v>
      </c>
      <c r="G24" s="71">
        <f>Submetering!P24</f>
        <v>0</v>
      </c>
      <c r="H24" s="74">
        <v>6.47</v>
      </c>
      <c r="I24" s="71">
        <f>Submetering!T24-Submetering!T24*15%-Submetering!X24</f>
        <v>0</v>
      </c>
      <c r="J24" s="70">
        <v>0.21</v>
      </c>
      <c r="K24" s="71">
        <f>Submetering!N24-Submetering!O24</f>
        <v>0</v>
      </c>
      <c r="L24" s="74">
        <v>7.84</v>
      </c>
      <c r="M24" s="71">
        <f>Submetering!Y24</f>
        <v>0</v>
      </c>
      <c r="N24" s="104">
        <f>Submetering!Z24</f>
        <v>0</v>
      </c>
    </row>
    <row r="25" spans="1:14" x14ac:dyDescent="0.25">
      <c r="A25" s="110" t="s">
        <v>80</v>
      </c>
      <c r="B25" s="72">
        <f t="shared" si="0"/>
        <v>24</v>
      </c>
      <c r="C25" s="73">
        <v>1</v>
      </c>
      <c r="D25" s="72">
        <v>2022</v>
      </c>
      <c r="E25" s="71">
        <f>Submetering!E25+Submetering!F25+Submetering!G25+Submetering!H25+Submetering!I25+Submetering!J25+Submetering!K25</f>
        <v>0</v>
      </c>
      <c r="F25" s="74">
        <v>0.2</v>
      </c>
      <c r="G25" s="71">
        <f>Submetering!P25</f>
        <v>0</v>
      </c>
      <c r="H25" s="74">
        <v>6.47</v>
      </c>
      <c r="I25" s="71">
        <f>Submetering!T25-Submetering!T25*15%-Submetering!X25</f>
        <v>0</v>
      </c>
      <c r="J25" s="70">
        <v>0.21</v>
      </c>
      <c r="K25" s="71">
        <f>Submetering!N25-Submetering!O25</f>
        <v>0</v>
      </c>
      <c r="L25" s="74">
        <v>7.84</v>
      </c>
      <c r="M25" s="71">
        <f>Submetering!Y25</f>
        <v>0</v>
      </c>
      <c r="N25" s="104">
        <f>Submetering!Z25</f>
        <v>0</v>
      </c>
    </row>
    <row r="26" spans="1:14" x14ac:dyDescent="0.25">
      <c r="A26" s="110" t="s">
        <v>80</v>
      </c>
      <c r="B26" s="72">
        <f>B25+1</f>
        <v>25</v>
      </c>
      <c r="C26" s="73">
        <v>1</v>
      </c>
      <c r="D26" s="72">
        <v>2022</v>
      </c>
      <c r="E26" s="71">
        <f>Submetering!E26+Submetering!F26+Submetering!G26+Submetering!H26+Submetering!I26+Submetering!J26+Submetering!K26</f>
        <v>0</v>
      </c>
      <c r="F26" s="74">
        <v>0.2</v>
      </c>
      <c r="G26" s="71">
        <f>Submetering!P26</f>
        <v>0</v>
      </c>
      <c r="H26" s="74">
        <v>6.47</v>
      </c>
      <c r="I26" s="71">
        <f>Submetering!T26-Submetering!T26*15%-Submetering!X26</f>
        <v>0</v>
      </c>
      <c r="J26" s="70">
        <v>0.21</v>
      </c>
      <c r="K26" s="71">
        <f>Submetering!N26-Submetering!O26</f>
        <v>0</v>
      </c>
      <c r="L26" s="74">
        <v>7.84</v>
      </c>
      <c r="M26" s="71">
        <f>Submetering!Y26</f>
        <v>0</v>
      </c>
      <c r="N26" s="104">
        <f>Submetering!Z26</f>
        <v>0</v>
      </c>
    </row>
    <row r="27" spans="1:14" x14ac:dyDescent="0.25">
      <c r="A27" s="110" t="s">
        <v>80</v>
      </c>
      <c r="B27" s="72">
        <f t="shared" si="0"/>
        <v>26</v>
      </c>
      <c r="C27" s="73">
        <v>1</v>
      </c>
      <c r="D27" s="72">
        <v>2022</v>
      </c>
      <c r="E27" s="71">
        <f>Submetering!E27+Submetering!F27+Submetering!G27+Submetering!H27+Submetering!I27+Submetering!J27+Submetering!K27</f>
        <v>0</v>
      </c>
      <c r="F27" s="74">
        <v>0.2</v>
      </c>
      <c r="G27" s="71">
        <f>Submetering!P27</f>
        <v>0</v>
      </c>
      <c r="H27" s="74">
        <v>6.47</v>
      </c>
      <c r="I27" s="71">
        <f>Submetering!T27-Submetering!T27*15%-Submetering!X27</f>
        <v>0</v>
      </c>
      <c r="J27" s="70">
        <v>0.21</v>
      </c>
      <c r="K27" s="71">
        <f>Submetering!N27-Submetering!O27</f>
        <v>0</v>
      </c>
      <c r="L27" s="74">
        <v>7.84</v>
      </c>
      <c r="M27" s="71">
        <f>Submetering!Y27</f>
        <v>0</v>
      </c>
      <c r="N27" s="104">
        <f>Submetering!Z27</f>
        <v>0</v>
      </c>
    </row>
    <row r="28" spans="1:14" x14ac:dyDescent="0.25">
      <c r="A28" s="110" t="s">
        <v>80</v>
      </c>
      <c r="B28" s="72">
        <f t="shared" si="0"/>
        <v>27</v>
      </c>
      <c r="C28" s="73">
        <v>1</v>
      </c>
      <c r="D28" s="72">
        <v>2022</v>
      </c>
      <c r="E28" s="71">
        <f>Submetering!E28+Submetering!F28+Submetering!G28+Submetering!H28+Submetering!I28+Submetering!J28+Submetering!K28</f>
        <v>0</v>
      </c>
      <c r="F28" s="74">
        <v>0.2</v>
      </c>
      <c r="G28" s="71">
        <f>Submetering!P28</f>
        <v>0</v>
      </c>
      <c r="H28" s="74">
        <v>6.47</v>
      </c>
      <c r="I28" s="71">
        <f>Submetering!T28-Submetering!T28*15%-Submetering!X28</f>
        <v>0</v>
      </c>
      <c r="J28" s="70">
        <v>0.21</v>
      </c>
      <c r="K28" s="71">
        <f>Submetering!N28-Submetering!O28</f>
        <v>0</v>
      </c>
      <c r="L28" s="74">
        <v>7.84</v>
      </c>
      <c r="M28" s="71">
        <f>Submetering!Y28</f>
        <v>0</v>
      </c>
      <c r="N28" s="104">
        <f>Submetering!Z28</f>
        <v>0</v>
      </c>
    </row>
    <row r="29" spans="1:14" x14ac:dyDescent="0.25">
      <c r="A29" s="110" t="s">
        <v>80</v>
      </c>
      <c r="B29" s="72">
        <f t="shared" si="0"/>
        <v>28</v>
      </c>
      <c r="C29" s="73">
        <v>1</v>
      </c>
      <c r="D29" s="72">
        <v>2022</v>
      </c>
      <c r="E29" s="71">
        <f>Submetering!E29+Submetering!F29+Submetering!G29+Submetering!H29+Submetering!I29+Submetering!J29+Submetering!K29</f>
        <v>0</v>
      </c>
      <c r="F29" s="74">
        <v>0.2</v>
      </c>
      <c r="G29" s="71">
        <f>Submetering!P29</f>
        <v>0</v>
      </c>
      <c r="H29" s="74">
        <v>6.47</v>
      </c>
      <c r="I29" s="71">
        <f>Submetering!T29-Submetering!T29*15%-Submetering!X29</f>
        <v>0</v>
      </c>
      <c r="J29" s="70">
        <v>0.21</v>
      </c>
      <c r="K29" s="71">
        <f>Submetering!N29-Submetering!O29</f>
        <v>0</v>
      </c>
      <c r="L29" s="74">
        <v>7.84</v>
      </c>
      <c r="M29" s="71">
        <f>Submetering!Y29</f>
        <v>0</v>
      </c>
      <c r="N29" s="104">
        <f>Submetering!Z29</f>
        <v>0</v>
      </c>
    </row>
    <row r="30" spans="1:14" x14ac:dyDescent="0.25">
      <c r="A30" s="110" t="s">
        <v>80</v>
      </c>
      <c r="B30" s="72">
        <f t="shared" si="0"/>
        <v>29</v>
      </c>
      <c r="C30" s="73">
        <v>1</v>
      </c>
      <c r="D30" s="72">
        <v>2022</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x14ac:dyDescent="0.25">
      <c r="A31" s="110" t="s">
        <v>80</v>
      </c>
      <c r="B31" s="72">
        <f t="shared" si="0"/>
        <v>30</v>
      </c>
      <c r="C31" s="73">
        <v>1</v>
      </c>
      <c r="D31" s="72">
        <v>2022</v>
      </c>
      <c r="E31" s="71">
        <f>Submetering!E31+Submetering!F31+Submetering!G31+Submetering!H31+Submetering!I31+Submetering!J31+Submetering!K31</f>
        <v>0</v>
      </c>
      <c r="F31" s="74">
        <v>0.2</v>
      </c>
      <c r="G31" s="71">
        <f>Submetering!P31</f>
        <v>0</v>
      </c>
      <c r="H31" s="74">
        <v>6.47</v>
      </c>
      <c r="I31" s="71">
        <f>Submetering!T31-Submetering!T31*15%-Submetering!X31</f>
        <v>0</v>
      </c>
      <c r="J31" s="70">
        <v>0.21</v>
      </c>
      <c r="K31" s="71">
        <f>Submetering!N31-Submetering!O31</f>
        <v>0</v>
      </c>
      <c r="L31" s="74">
        <v>7.84</v>
      </c>
      <c r="M31" s="71">
        <f>Submetering!Y31</f>
        <v>0</v>
      </c>
      <c r="N31" s="104">
        <f>Submetering!Z31</f>
        <v>0</v>
      </c>
    </row>
    <row r="32" spans="1:14" x14ac:dyDescent="0.25">
      <c r="A32" s="110" t="s">
        <v>80</v>
      </c>
      <c r="B32" s="72">
        <f t="shared" si="0"/>
        <v>31</v>
      </c>
      <c r="C32" s="73">
        <v>1</v>
      </c>
      <c r="D32" s="72">
        <v>2022</v>
      </c>
      <c r="E32" s="71">
        <f>Submetering!E32+Submetering!F32+Submetering!G32+Submetering!H32+Submetering!I32+Submetering!J32+Submetering!K32</f>
        <v>0</v>
      </c>
      <c r="F32" s="74">
        <v>0.2</v>
      </c>
      <c r="G32" s="71">
        <f>Submetering!P32</f>
        <v>0</v>
      </c>
      <c r="H32" s="74">
        <v>6.47</v>
      </c>
      <c r="I32" s="71">
        <f>Submetering!T32-Submetering!T32*15%-Submetering!X32</f>
        <v>0</v>
      </c>
      <c r="J32" s="70">
        <v>0.21</v>
      </c>
      <c r="K32" s="71">
        <f>Submetering!N32-Submetering!O32</f>
        <v>0</v>
      </c>
      <c r="L32" s="74">
        <v>7.84</v>
      </c>
      <c r="M32" s="71">
        <f>Submetering!Y32</f>
        <v>0</v>
      </c>
      <c r="N32" s="104">
        <f>Submetering!Z32</f>
        <v>0</v>
      </c>
    </row>
    <row r="33" spans="13:14" x14ac:dyDescent="0.25">
      <c r="M33" s="4">
        <f>SUM(M2:M32)</f>
        <v>0</v>
      </c>
      <c r="N33" s="4">
        <f>SUM(N2:N32)</f>
        <v>1589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 sqref="Y2:Y1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1</v>
      </c>
      <c r="D2" s="99">
        <v>2022</v>
      </c>
      <c r="E2" s="101">
        <f>'FS-AD Daily '!B6</f>
        <v>6869</v>
      </c>
      <c r="F2" s="101">
        <f>'FS-AD Daily '!C6</f>
        <v>4273</v>
      </c>
      <c r="G2" s="101">
        <f>'FS-AD Daily '!D6</f>
        <v>975</v>
      </c>
      <c r="H2" s="101">
        <f>'FS-AD Daily '!E6</f>
        <v>7001</v>
      </c>
      <c r="I2" s="101">
        <f>'FS-AD Daily '!F6</f>
        <v>6587</v>
      </c>
      <c r="J2" s="101">
        <f>'FS-AD Daily '!G6</f>
        <v>3026</v>
      </c>
      <c r="K2" s="101">
        <f>'FS-AD Daily '!H6</f>
        <v>3944</v>
      </c>
      <c r="L2" s="101">
        <f>'FS-AD Daily '!I6</f>
        <v>2319</v>
      </c>
      <c r="M2" s="101">
        <f>'FS-AD Daily '!J6</f>
        <v>7399</v>
      </c>
      <c r="N2" s="101">
        <f>'FS-AD Daily '!T6</f>
        <v>223.80999999999858</v>
      </c>
      <c r="O2" s="101">
        <f>'FS-AD Daily '!R6</f>
        <v>70.830000000000382</v>
      </c>
      <c r="P2" s="101">
        <f>'FS-AD Daily '!Z6</f>
        <v>851</v>
      </c>
      <c r="Q2" s="101">
        <f>'FS-AD Daily '!V6</f>
        <v>268.70000000001164</v>
      </c>
      <c r="R2" s="101">
        <f>'FS-AD Daily '!W6</f>
        <v>198.27999999999884</v>
      </c>
      <c r="S2" s="101">
        <f>P2-Q2-R2</f>
        <v>384.01999999998952</v>
      </c>
      <c r="T2" s="101">
        <f>'FS-AD Daily '!AD6*3.516</f>
        <v>45050.508000000002</v>
      </c>
      <c r="U2" s="101">
        <f>('FS-AD Daily '!AF6)*1000</f>
        <v>23400.000000008731</v>
      </c>
      <c r="V2" s="101">
        <f>('FS-AD Daily '!AG6)*1000</f>
        <v>299.99999999563443</v>
      </c>
      <c r="W2" s="101">
        <f>'FS-AD Daily '!AH6*1000</f>
        <v>7100.0000000021828</v>
      </c>
      <c r="X2" s="101">
        <f>('FS-AD Daily '!AK6)*1000</f>
        <v>24500</v>
      </c>
      <c r="Y2" s="101">
        <v>77</v>
      </c>
      <c r="Z2" s="102">
        <v>126</v>
      </c>
    </row>
    <row r="3" spans="1:26" x14ac:dyDescent="0.25">
      <c r="A3" s="103" t="s">
        <v>80</v>
      </c>
      <c r="B3" s="69">
        <f>B2+1</f>
        <v>2</v>
      </c>
      <c r="C3" s="70">
        <v>1</v>
      </c>
      <c r="D3" s="69">
        <v>2022</v>
      </c>
      <c r="E3" s="71">
        <f>'FS-AD Daily '!B7</f>
        <v>6465</v>
      </c>
      <c r="F3" s="71">
        <f>'FS-AD Daily '!C7</f>
        <v>3748</v>
      </c>
      <c r="G3" s="71">
        <f>'FS-AD Daily '!D7</f>
        <v>938</v>
      </c>
      <c r="H3" s="71">
        <f>'FS-AD Daily '!E7</f>
        <v>6734</v>
      </c>
      <c r="I3" s="71">
        <f>'FS-AD Daily '!F7</f>
        <v>6121</v>
      </c>
      <c r="J3" s="71">
        <f>'FS-AD Daily '!G7</f>
        <v>2753</v>
      </c>
      <c r="K3" s="71">
        <f>'FS-AD Daily '!H7</f>
        <v>3683</v>
      </c>
      <c r="L3" s="71">
        <f>'FS-AD Daily '!I7</f>
        <v>2264</v>
      </c>
      <c r="M3" s="71">
        <f>'FS-AD Daily '!J7</f>
        <v>6718</v>
      </c>
      <c r="N3" s="71">
        <f>'FS-AD Daily '!T7</f>
        <v>190.10600000000068</v>
      </c>
      <c r="O3" s="71">
        <f>'FS-AD Daily '!R7</f>
        <v>66.693000000000211</v>
      </c>
      <c r="P3" s="71">
        <f>'FS-AD Daily '!Z7</f>
        <v>707</v>
      </c>
      <c r="Q3" s="71">
        <f>'FS-AD Daily '!V7</f>
        <v>202.5</v>
      </c>
      <c r="R3" s="71">
        <f>'FS-AD Daily '!W7</f>
        <v>179.19000000000233</v>
      </c>
      <c r="S3" s="71">
        <f t="shared" ref="S3:S30" si="0">P3-Q3-R3</f>
        <v>325.30999999999767</v>
      </c>
      <c r="T3" s="71">
        <f>'FS-AD Daily '!AD7*3.516</f>
        <v>44783.292000000001</v>
      </c>
      <c r="U3" s="71">
        <f>('FS-AD Daily '!AF7)*1000</f>
        <v>23000</v>
      </c>
      <c r="V3" s="71">
        <f>('FS-AD Daily '!AG7)*1000</f>
        <v>0</v>
      </c>
      <c r="W3" s="71">
        <f>'FS-AD Daily '!AH7*1000</f>
        <v>6599.9999999985448</v>
      </c>
      <c r="X3" s="71">
        <f>('FS-AD Daily '!AK7)*1000</f>
        <v>23299.999999995634</v>
      </c>
      <c r="Y3" s="71">
        <v>76</v>
      </c>
      <c r="Z3" s="104">
        <v>132</v>
      </c>
    </row>
    <row r="4" spans="1:26" x14ac:dyDescent="0.25">
      <c r="A4" s="103" t="s">
        <v>80</v>
      </c>
      <c r="B4" s="69">
        <f t="shared" ref="B4:B32" si="1">B3+1</f>
        <v>3</v>
      </c>
      <c r="C4" s="70">
        <v>1</v>
      </c>
      <c r="D4" s="69">
        <v>2022</v>
      </c>
      <c r="E4" s="71">
        <f>'FS-AD Daily '!B8</f>
        <v>6524</v>
      </c>
      <c r="F4" s="71">
        <f>'FS-AD Daily '!C8</f>
        <v>3731</v>
      </c>
      <c r="G4" s="71">
        <f>'FS-AD Daily '!D8</f>
        <v>940</v>
      </c>
      <c r="H4" s="71">
        <f>'FS-AD Daily '!E8</f>
        <v>6968</v>
      </c>
      <c r="I4" s="71">
        <f>'FS-AD Daily '!F8</f>
        <v>6323</v>
      </c>
      <c r="J4" s="71">
        <f>'FS-AD Daily '!G8</f>
        <v>2892</v>
      </c>
      <c r="K4" s="71">
        <f>'FS-AD Daily '!H8</f>
        <v>3792</v>
      </c>
      <c r="L4" s="71">
        <f>'FS-AD Daily '!I8</f>
        <v>2414</v>
      </c>
      <c r="M4" s="71">
        <f>'FS-AD Daily '!J8</f>
        <v>7338</v>
      </c>
      <c r="N4" s="71">
        <f>'FS-AD Daily '!T8</f>
        <v>185.13699999999881</v>
      </c>
      <c r="O4" s="71">
        <f>'FS-AD Daily '!R8</f>
        <v>60.863000000000284</v>
      </c>
      <c r="P4" s="71">
        <f>'FS-AD Daily '!Z8</f>
        <v>747</v>
      </c>
      <c r="Q4" s="71">
        <f>'FS-AD Daily '!V8</f>
        <v>209.59999999997672</v>
      </c>
      <c r="R4" s="71">
        <f>'FS-AD Daily '!W8</f>
        <v>178.59999999997672</v>
      </c>
      <c r="S4" s="71">
        <f t="shared" si="0"/>
        <v>358.80000000004657</v>
      </c>
      <c r="T4" s="71">
        <f>'FS-AD Daily '!AD8*3.516</f>
        <v>49392.768000000004</v>
      </c>
      <c r="U4" s="71">
        <f>('FS-AD Daily '!AF8)*1000</f>
        <v>25699.99999999709</v>
      </c>
      <c r="V4" s="71">
        <f>('FS-AD Daily '!AG8)*1000</f>
        <v>300.00000000291038</v>
      </c>
      <c r="W4" s="71">
        <f>'FS-AD Daily '!AH8*1000</f>
        <v>7299.9999999992724</v>
      </c>
      <c r="X4" s="71">
        <f>('FS-AD Daily '!AK8)*1000</f>
        <v>24000</v>
      </c>
      <c r="Y4" s="71">
        <v>87</v>
      </c>
      <c r="Z4" s="104">
        <v>143</v>
      </c>
    </row>
    <row r="5" spans="1:26" x14ac:dyDescent="0.25">
      <c r="A5" s="103" t="s">
        <v>80</v>
      </c>
      <c r="B5" s="69">
        <f t="shared" si="1"/>
        <v>4</v>
      </c>
      <c r="C5" s="70">
        <v>1</v>
      </c>
      <c r="D5" s="69">
        <v>2022</v>
      </c>
      <c r="E5" s="71">
        <f>'FS-AD Daily '!B9</f>
        <v>7835</v>
      </c>
      <c r="F5" s="71">
        <f>'FS-AD Daily '!C9</f>
        <v>3627</v>
      </c>
      <c r="G5" s="71">
        <f>'FS-AD Daily '!D9</f>
        <v>908</v>
      </c>
      <c r="H5" s="71">
        <f>'FS-AD Daily '!E9</f>
        <v>6700</v>
      </c>
      <c r="I5" s="71">
        <f>'FS-AD Daily '!F9</f>
        <v>6017</v>
      </c>
      <c r="J5" s="71">
        <f>'FS-AD Daily '!G9</f>
        <v>2856</v>
      </c>
      <c r="K5" s="71">
        <f>'FS-AD Daily '!H9</f>
        <v>3680</v>
      </c>
      <c r="L5" s="71">
        <f>'FS-AD Daily '!I9</f>
        <v>2234</v>
      </c>
      <c r="M5" s="71">
        <f>'FS-AD Daily '!J9</f>
        <v>7111</v>
      </c>
      <c r="N5" s="71">
        <f>'FS-AD Daily '!T9</f>
        <v>195.71399999999903</v>
      </c>
      <c r="O5" s="71">
        <f>'FS-AD Daily '!R9</f>
        <v>63.441999999999553</v>
      </c>
      <c r="P5" s="71">
        <f>'FS-AD Daily '!Z9</f>
        <v>763</v>
      </c>
      <c r="Q5" s="71">
        <f>'FS-AD Daily '!V9</f>
        <v>219.09999999997672</v>
      </c>
      <c r="R5" s="71">
        <f>'FS-AD Daily '!W9</f>
        <v>183.44000000000233</v>
      </c>
      <c r="S5" s="71">
        <f t="shared" si="0"/>
        <v>360.46000000002095</v>
      </c>
      <c r="T5" s="71">
        <f>'FS-AD Daily '!AD9*3.516</f>
        <v>38236.5</v>
      </c>
      <c r="U5" s="71">
        <f>('FS-AD Daily '!AF9)*1000</f>
        <v>19899.999999994179</v>
      </c>
      <c r="V5" s="71">
        <f>('FS-AD Daily '!AG9)*1000</f>
        <v>0</v>
      </c>
      <c r="W5" s="71">
        <f>'FS-AD Daily '!AH9*1000</f>
        <v>6100.0000000021828</v>
      </c>
      <c r="X5" s="71">
        <f>('FS-AD Daily '!AK9)*1000</f>
        <v>21000</v>
      </c>
      <c r="Y5" s="71">
        <v>113</v>
      </c>
      <c r="Z5" s="104">
        <v>190</v>
      </c>
    </row>
    <row r="6" spans="1:26" x14ac:dyDescent="0.25">
      <c r="A6" s="103" t="s">
        <v>80</v>
      </c>
      <c r="B6" s="69">
        <f t="shared" si="1"/>
        <v>5</v>
      </c>
      <c r="C6" s="70">
        <v>1</v>
      </c>
      <c r="D6" s="69">
        <v>2022</v>
      </c>
      <c r="E6" s="71">
        <f>'FS-AD Daily '!B10</f>
        <v>8571</v>
      </c>
      <c r="F6" s="71">
        <f>'FS-AD Daily '!C10</f>
        <v>3825</v>
      </c>
      <c r="G6" s="71">
        <f>'FS-AD Daily '!D10</f>
        <v>877</v>
      </c>
      <c r="H6" s="71">
        <f>'FS-AD Daily '!E10</f>
        <v>6819</v>
      </c>
      <c r="I6" s="71">
        <f>'FS-AD Daily '!F10</f>
        <v>6108</v>
      </c>
      <c r="J6" s="71">
        <f>'FS-AD Daily '!G10</f>
        <v>2872</v>
      </c>
      <c r="K6" s="71">
        <f>'FS-AD Daily '!H10</f>
        <v>3729</v>
      </c>
      <c r="L6" s="71">
        <f>'FS-AD Daily '!I10</f>
        <v>2218</v>
      </c>
      <c r="M6" s="71">
        <f>'FS-AD Daily '!J10</f>
        <v>7050</v>
      </c>
      <c r="N6" s="71">
        <f>'FS-AD Daily '!T10</f>
        <v>209.61499999999978</v>
      </c>
      <c r="O6" s="71">
        <f>'FS-AD Daily '!R10</f>
        <v>66.711999999999534</v>
      </c>
      <c r="P6" s="71">
        <f>'FS-AD Daily '!Z10</f>
        <v>826</v>
      </c>
      <c r="Q6" s="71">
        <f>'FS-AD Daily '!V10</f>
        <v>257.10000000003492</v>
      </c>
      <c r="R6" s="71">
        <f>'FS-AD Daily '!W10</f>
        <v>166.61999999999534</v>
      </c>
      <c r="S6" s="71">
        <f t="shared" si="0"/>
        <v>402.27999999996973</v>
      </c>
      <c r="T6" s="71">
        <f>'FS-AD Daily '!AD10*3.516</f>
        <v>36179.64</v>
      </c>
      <c r="U6" s="71">
        <f>('FS-AD Daily '!AF10)*1000</f>
        <v>18699.99999999709</v>
      </c>
      <c r="V6" s="71">
        <f>('FS-AD Daily '!AG10)*1000</f>
        <v>2299.9999999956344</v>
      </c>
      <c r="W6" s="71">
        <f>'FS-AD Daily '!AH10*1000</f>
        <v>6000</v>
      </c>
      <c r="X6" s="71">
        <f>('FS-AD Daily '!AK10)*1000</f>
        <v>20400.000000001455</v>
      </c>
      <c r="Y6" s="71">
        <v>110</v>
      </c>
      <c r="Z6" s="104">
        <v>174</v>
      </c>
    </row>
    <row r="7" spans="1:26" x14ac:dyDescent="0.25">
      <c r="A7" s="103" t="s">
        <v>80</v>
      </c>
      <c r="B7" s="69">
        <f t="shared" si="1"/>
        <v>6</v>
      </c>
      <c r="C7" s="70">
        <v>1</v>
      </c>
      <c r="D7" s="69">
        <v>2022</v>
      </c>
      <c r="E7" s="71">
        <f>'FS-AD Daily '!B11</f>
        <v>8519</v>
      </c>
      <c r="F7" s="71">
        <f>'FS-AD Daily '!C11</f>
        <v>3642</v>
      </c>
      <c r="G7" s="71">
        <f>'FS-AD Daily '!D11</f>
        <v>909</v>
      </c>
      <c r="H7" s="71">
        <f>'FS-AD Daily '!E11</f>
        <v>6692</v>
      </c>
      <c r="I7" s="71">
        <f>'FS-AD Daily '!F11</f>
        <v>6079</v>
      </c>
      <c r="J7" s="71">
        <f>'FS-AD Daily '!G11</f>
        <v>2754</v>
      </c>
      <c r="K7" s="71">
        <f>'FS-AD Daily '!H11</f>
        <v>3688</v>
      </c>
      <c r="L7" s="71">
        <f>'FS-AD Daily '!I11</f>
        <v>2240</v>
      </c>
      <c r="M7" s="71">
        <f>'FS-AD Daily '!J11</f>
        <v>7031</v>
      </c>
      <c r="N7" s="71">
        <f>'FS-AD Daily '!T11</f>
        <v>230.94100000000162</v>
      </c>
      <c r="O7" s="71">
        <f>'FS-AD Daily '!R11</f>
        <v>75.943000000000211</v>
      </c>
      <c r="P7" s="71">
        <f>'FS-AD Daily '!Z11</f>
        <v>755</v>
      </c>
      <c r="Q7" s="71">
        <f>'FS-AD Daily '!V11</f>
        <v>252.20000000001164</v>
      </c>
      <c r="R7" s="71">
        <f>'FS-AD Daily '!W11</f>
        <v>142.79000000000815</v>
      </c>
      <c r="S7" s="71">
        <f t="shared" si="0"/>
        <v>360.00999999998021</v>
      </c>
      <c r="T7" s="71">
        <f>'FS-AD Daily '!AD11*3.516</f>
        <v>33834.468000000001</v>
      </c>
      <c r="U7" s="71">
        <f>('FS-AD Daily '!AF11)*1000</f>
        <v>17400.000000008731</v>
      </c>
      <c r="V7" s="71">
        <f>('FS-AD Daily '!AG11)*1000</f>
        <v>1800.0000000029104</v>
      </c>
      <c r="W7" s="71">
        <f>'FS-AD Daily '!AH11*1000</f>
        <v>5799.9999999992724</v>
      </c>
      <c r="X7" s="71">
        <f>('FS-AD Daily '!AK11)*1000</f>
        <v>19099.999999998545</v>
      </c>
      <c r="Y7" s="71">
        <v>115</v>
      </c>
      <c r="Z7" s="104">
        <v>185</v>
      </c>
    </row>
    <row r="8" spans="1:26" x14ac:dyDescent="0.25">
      <c r="A8" s="103" t="s">
        <v>80</v>
      </c>
      <c r="B8" s="69">
        <f t="shared" si="1"/>
        <v>7</v>
      </c>
      <c r="C8" s="70">
        <v>1</v>
      </c>
      <c r="D8" s="69">
        <v>2022</v>
      </c>
      <c r="E8" s="71">
        <f>'FS-AD Daily '!B12</f>
        <v>8142</v>
      </c>
      <c r="F8" s="71">
        <f>'FS-AD Daily '!C12</f>
        <v>3715</v>
      </c>
      <c r="G8" s="71">
        <f>'FS-AD Daily '!D12</f>
        <v>890</v>
      </c>
      <c r="H8" s="71">
        <f>'FS-AD Daily '!E12</f>
        <v>6887</v>
      </c>
      <c r="I8" s="71">
        <f>'FS-AD Daily '!F12</f>
        <v>6165</v>
      </c>
      <c r="J8" s="71">
        <f>'FS-AD Daily '!G12</f>
        <v>2854</v>
      </c>
      <c r="K8" s="71">
        <f>'FS-AD Daily '!H12</f>
        <v>3685</v>
      </c>
      <c r="L8" s="71">
        <f>'FS-AD Daily '!I12</f>
        <v>2217</v>
      </c>
      <c r="M8" s="71">
        <f>'FS-AD Daily '!J12</f>
        <v>7290</v>
      </c>
      <c r="N8" s="71">
        <f>'FS-AD Daily '!T12</f>
        <v>197.86999999999989</v>
      </c>
      <c r="O8" s="71">
        <f>'FS-AD Daily '!R12</f>
        <v>78.871000000000549</v>
      </c>
      <c r="P8" s="71">
        <f>'FS-AD Daily '!Z12</f>
        <v>789</v>
      </c>
      <c r="Q8" s="71">
        <f>'FS-AD Daily '!V12</f>
        <v>240.09999999997672</v>
      </c>
      <c r="R8" s="71">
        <f>'FS-AD Daily '!W12</f>
        <v>182.17999999999302</v>
      </c>
      <c r="S8" s="71">
        <f t="shared" si="0"/>
        <v>366.72000000003027</v>
      </c>
      <c r="T8" s="71">
        <f>'FS-AD Daily '!AD12*3.516</f>
        <v>34105.199999999997</v>
      </c>
      <c r="U8" s="71">
        <f>('FS-AD Daily '!AF12)*1000</f>
        <v>16899.999999994179</v>
      </c>
      <c r="V8" s="71">
        <f>('FS-AD Daily '!AG12)*1000</f>
        <v>0</v>
      </c>
      <c r="W8" s="71">
        <f>'FS-AD Daily '!AH12*1000</f>
        <v>6000</v>
      </c>
      <c r="X8" s="71">
        <f>('FS-AD Daily '!AK12)*1000</f>
        <v>19000</v>
      </c>
      <c r="Y8" s="71">
        <v>117</v>
      </c>
      <c r="Z8" s="104">
        <v>185</v>
      </c>
    </row>
    <row r="9" spans="1:26" x14ac:dyDescent="0.25">
      <c r="A9" s="103" t="s">
        <v>80</v>
      </c>
      <c r="B9" s="69">
        <f t="shared" si="1"/>
        <v>8</v>
      </c>
      <c r="C9" s="70">
        <v>1</v>
      </c>
      <c r="D9" s="69">
        <v>2022</v>
      </c>
      <c r="E9" s="71">
        <f>'FS-AD Daily '!B13</f>
        <v>6176</v>
      </c>
      <c r="F9" s="71">
        <f>'FS-AD Daily '!C13</f>
        <v>3520</v>
      </c>
      <c r="G9" s="71">
        <f>'FS-AD Daily '!D13</f>
        <v>871</v>
      </c>
      <c r="H9" s="71">
        <f>'FS-AD Daily '!E13</f>
        <v>6516</v>
      </c>
      <c r="I9" s="71">
        <f>'FS-AD Daily '!F13</f>
        <v>5991</v>
      </c>
      <c r="J9" s="71">
        <f>'FS-AD Daily '!G13</f>
        <v>2792</v>
      </c>
      <c r="K9" s="71">
        <f>'FS-AD Daily '!H13</f>
        <v>3503</v>
      </c>
      <c r="L9" s="71">
        <f>'FS-AD Daily '!I13</f>
        <v>2175</v>
      </c>
      <c r="M9" s="71">
        <f>'FS-AD Daily '!J13</f>
        <v>6904</v>
      </c>
      <c r="N9" s="71">
        <f>'FS-AD Daily '!T13</f>
        <v>201.58800000000065</v>
      </c>
      <c r="O9" s="71">
        <f>'FS-AD Daily '!R13</f>
        <v>80.949999999998909</v>
      </c>
      <c r="P9" s="71">
        <f>'FS-AD Daily '!Z13</f>
        <v>815</v>
      </c>
      <c r="Q9" s="71">
        <f>'FS-AD Daily '!V13</f>
        <v>251.70000000001164</v>
      </c>
      <c r="R9" s="71">
        <f>'FS-AD Daily '!W13</f>
        <v>189.36000000001513</v>
      </c>
      <c r="S9" s="71">
        <f t="shared" si="0"/>
        <v>373.93999999997322</v>
      </c>
      <c r="T9" s="71">
        <f>'FS-AD Daily '!AD13*3.516</f>
        <v>33939.947999999997</v>
      </c>
      <c r="U9" s="71">
        <f>('FS-AD Daily '!AF13)*1000</f>
        <v>17100.000000005821</v>
      </c>
      <c r="V9" s="71">
        <f>('FS-AD Daily '!AG13)*1000</f>
        <v>0</v>
      </c>
      <c r="W9" s="71">
        <f>'FS-AD Daily '!AH13*1000</f>
        <v>5799.9999999992724</v>
      </c>
      <c r="X9" s="71">
        <f>('FS-AD Daily '!AK13)*1000</f>
        <v>19300.00000000291</v>
      </c>
      <c r="Y9" s="71">
        <v>110</v>
      </c>
      <c r="Z9" s="104">
        <v>169</v>
      </c>
    </row>
    <row r="10" spans="1:26" x14ac:dyDescent="0.25">
      <c r="A10" s="103" t="s">
        <v>80</v>
      </c>
      <c r="B10" s="69">
        <f t="shared" si="1"/>
        <v>9</v>
      </c>
      <c r="C10" s="70">
        <v>1</v>
      </c>
      <c r="D10" s="69">
        <v>2022</v>
      </c>
      <c r="E10" s="71">
        <f>'FS-AD Daily '!B14</f>
        <v>6396</v>
      </c>
      <c r="F10" s="71">
        <f>'FS-AD Daily '!C14</f>
        <v>3508</v>
      </c>
      <c r="G10" s="71">
        <f>'FS-AD Daily '!D14</f>
        <v>884</v>
      </c>
      <c r="H10" s="71">
        <f>'FS-AD Daily '!E14</f>
        <v>6521</v>
      </c>
      <c r="I10" s="71">
        <f>'FS-AD Daily '!F14</f>
        <v>5781</v>
      </c>
      <c r="J10" s="71">
        <f>'FS-AD Daily '!G14</f>
        <v>2759</v>
      </c>
      <c r="K10" s="71">
        <f>'FS-AD Daily '!H14</f>
        <v>3596</v>
      </c>
      <c r="L10" s="71">
        <f>'FS-AD Daily '!I14</f>
        <v>2209</v>
      </c>
      <c r="M10" s="71">
        <f>'FS-AD Daily '!J14</f>
        <v>7159</v>
      </c>
      <c r="N10" s="71">
        <f>'FS-AD Daily '!T14</f>
        <v>186.5600000000004</v>
      </c>
      <c r="O10" s="71">
        <f>'FS-AD Daily '!R14</f>
        <v>76.74100000000135</v>
      </c>
      <c r="P10" s="71">
        <f>'FS-AD Daily '!Z14</f>
        <v>697</v>
      </c>
      <c r="Q10" s="71">
        <f>'FS-AD Daily '!V14</f>
        <v>199.5</v>
      </c>
      <c r="R10" s="71">
        <f>'FS-AD Daily '!W14</f>
        <v>160.86999999999534</v>
      </c>
      <c r="S10" s="71">
        <f t="shared" si="0"/>
        <v>336.63000000000466</v>
      </c>
      <c r="T10" s="71">
        <f>'FS-AD Daily '!AD14*3.516</f>
        <v>33665.699999999997</v>
      </c>
      <c r="U10" s="71">
        <f>('FS-AD Daily '!AF14)*1000</f>
        <v>17300.00000000291</v>
      </c>
      <c r="V10" s="71">
        <f>('FS-AD Daily '!AG14)*1000</f>
        <v>0</v>
      </c>
      <c r="W10" s="71">
        <f>'FS-AD Daily '!AH14*1000</f>
        <v>5600.0000000021828</v>
      </c>
      <c r="X10" s="71">
        <f>('FS-AD Daily '!AK14)*1000</f>
        <v>19099.999999998545</v>
      </c>
      <c r="Y10" s="71">
        <v>89</v>
      </c>
      <c r="Z10" s="104">
        <v>130</v>
      </c>
    </row>
    <row r="11" spans="1:26" x14ac:dyDescent="0.25">
      <c r="A11" s="103" t="s">
        <v>80</v>
      </c>
      <c r="B11" s="69">
        <f t="shared" si="1"/>
        <v>10</v>
      </c>
      <c r="C11" s="70">
        <v>1</v>
      </c>
      <c r="D11" s="69">
        <v>2022</v>
      </c>
      <c r="E11" s="71">
        <f>'FS-AD Daily '!B15</f>
        <v>6701</v>
      </c>
      <c r="F11" s="71">
        <f>'FS-AD Daily '!C15</f>
        <v>3822</v>
      </c>
      <c r="G11" s="71">
        <f>'FS-AD Daily '!D15</f>
        <v>921</v>
      </c>
      <c r="H11" s="71">
        <f>'FS-AD Daily '!E15</f>
        <v>7030</v>
      </c>
      <c r="I11" s="71">
        <f>'FS-AD Daily '!F15</f>
        <v>6219</v>
      </c>
      <c r="J11" s="71">
        <f>'FS-AD Daily '!G15</f>
        <v>2965</v>
      </c>
      <c r="K11" s="71">
        <f>'FS-AD Daily '!H15</f>
        <v>3811</v>
      </c>
      <c r="L11" s="71">
        <f>'FS-AD Daily '!I15</f>
        <v>2393</v>
      </c>
      <c r="M11" s="71">
        <f>'FS-AD Daily '!J15</f>
        <v>7330</v>
      </c>
      <c r="N11" s="71">
        <f>'FS-AD Daily '!T15</f>
        <v>188.08999999999924</v>
      </c>
      <c r="O11" s="71">
        <f>'FS-AD Daily '!R15</f>
        <v>29.302999999999429</v>
      </c>
      <c r="P11" s="71">
        <f>'FS-AD Daily '!Z15</f>
        <v>732</v>
      </c>
      <c r="Q11" s="71">
        <f>'FS-AD Daily '!V15</f>
        <v>216.5</v>
      </c>
      <c r="R11" s="71">
        <f>'FS-AD Daily '!W15</f>
        <v>169.14000000001397</v>
      </c>
      <c r="S11" s="71">
        <f t="shared" si="0"/>
        <v>346.35999999998603</v>
      </c>
      <c r="T11" s="71">
        <f>'FS-AD Daily '!AD15*3.516</f>
        <v>37181.699999999997</v>
      </c>
      <c r="U11" s="71">
        <f>('FS-AD Daily '!AF15)*1000</f>
        <v>19199.99999999709</v>
      </c>
      <c r="V11" s="71">
        <f>('FS-AD Daily '!AG15)*1000</f>
        <v>0</v>
      </c>
      <c r="W11" s="71">
        <f>'FS-AD Daily '!AH15*1000</f>
        <v>6099.9999999985448</v>
      </c>
      <c r="X11" s="71">
        <f>('FS-AD Daily '!AK15)*1000</f>
        <v>21599.999999998545</v>
      </c>
      <c r="Y11" s="71">
        <v>112</v>
      </c>
      <c r="Z11" s="104">
        <v>155</v>
      </c>
    </row>
    <row r="12" spans="1:26" x14ac:dyDescent="0.25">
      <c r="A12" s="103" t="s">
        <v>80</v>
      </c>
      <c r="B12" s="69">
        <f t="shared" si="1"/>
        <v>11</v>
      </c>
      <c r="C12" s="70">
        <v>1</v>
      </c>
      <c r="D12" s="69">
        <v>2022</v>
      </c>
      <c r="E12" s="71">
        <f>'FS-AD Daily '!B16</f>
        <v>6562</v>
      </c>
      <c r="F12" s="71">
        <f>'FS-AD Daily '!C16</f>
        <v>4048</v>
      </c>
      <c r="G12" s="71">
        <f>'FS-AD Daily '!D16</f>
        <v>916</v>
      </c>
      <c r="H12" s="71">
        <f>'FS-AD Daily '!E16</f>
        <v>6835</v>
      </c>
      <c r="I12" s="71">
        <f>'FS-AD Daily '!F16</f>
        <v>6099</v>
      </c>
      <c r="J12" s="71">
        <f>'FS-AD Daily '!G16</f>
        <v>2766</v>
      </c>
      <c r="K12" s="71">
        <f>'FS-AD Daily '!H16</f>
        <v>3761</v>
      </c>
      <c r="L12" s="71">
        <f>'FS-AD Daily '!I16</f>
        <v>2333</v>
      </c>
      <c r="M12" s="71">
        <f>'FS-AD Daily '!J16</f>
        <v>7168</v>
      </c>
      <c r="N12" s="71">
        <f>'FS-AD Daily '!T16</f>
        <v>192.69700000000012</v>
      </c>
      <c r="O12" s="71">
        <f>'FS-AD Daily '!R16</f>
        <v>81.291999999999462</v>
      </c>
      <c r="P12" s="71">
        <f>'FS-AD Daily '!Z16</f>
        <v>775</v>
      </c>
      <c r="Q12" s="71">
        <f>'FS-AD Daily '!V16</f>
        <v>233.29999999998836</v>
      </c>
      <c r="R12" s="71">
        <f>'FS-AD Daily '!W16</f>
        <v>170.04999999998836</v>
      </c>
      <c r="S12" s="71">
        <f t="shared" si="0"/>
        <v>371.65000000002328</v>
      </c>
      <c r="T12" s="71">
        <f>'FS-AD Daily '!AD16*3.516</f>
        <v>36285.120000000003</v>
      </c>
      <c r="U12" s="71">
        <f>('FS-AD Daily '!AF16)*1000</f>
        <v>18500</v>
      </c>
      <c r="V12" s="71">
        <f>('FS-AD Daily '!AG16)*1000</f>
        <v>0</v>
      </c>
      <c r="W12" s="71">
        <f>'FS-AD Daily '!AH16*1000</f>
        <v>6000</v>
      </c>
      <c r="X12" s="71">
        <f>('FS-AD Daily '!AK16)*1000</f>
        <v>21900.000000001455</v>
      </c>
      <c r="Y12" s="71">
        <f>'FS-AD Daily '!AN16</f>
        <v>0</v>
      </c>
      <c r="Z12" s="104"/>
    </row>
    <row r="13" spans="1:26" x14ac:dyDescent="0.25">
      <c r="A13" s="103" t="s">
        <v>80</v>
      </c>
      <c r="B13" s="69">
        <f t="shared" si="1"/>
        <v>12</v>
      </c>
      <c r="C13" s="70">
        <v>1</v>
      </c>
      <c r="D13" s="69">
        <v>2022</v>
      </c>
      <c r="E13" s="71">
        <f>'FS-AD Daily '!B17</f>
        <v>7186</v>
      </c>
      <c r="F13" s="71">
        <f>'FS-AD Daily '!C17</f>
        <v>3956</v>
      </c>
      <c r="G13" s="71">
        <f>'FS-AD Daily '!D17</f>
        <v>924</v>
      </c>
      <c r="H13" s="71">
        <f>'FS-AD Daily '!E17</f>
        <v>7208</v>
      </c>
      <c r="I13" s="71">
        <f>'FS-AD Daily '!F17</f>
        <v>6487</v>
      </c>
      <c r="J13" s="71">
        <f>'FS-AD Daily '!G17</f>
        <v>2927</v>
      </c>
      <c r="K13" s="71">
        <f>'FS-AD Daily '!H17</f>
        <v>3928</v>
      </c>
      <c r="L13" s="71">
        <f>'FS-AD Daily '!I17</f>
        <v>2464</v>
      </c>
      <c r="M13" s="71">
        <f>'FS-AD Daily '!J17</f>
        <v>7554</v>
      </c>
      <c r="N13" s="71">
        <f>'FS-AD Daily '!T17</f>
        <v>212.24099999999999</v>
      </c>
      <c r="O13" s="71">
        <f>'FS-AD Daily '!R17</f>
        <v>78.531999999999243</v>
      </c>
      <c r="P13" s="71">
        <f>'FS-AD Daily '!Z17</f>
        <v>761</v>
      </c>
      <c r="Q13" s="71">
        <f>'FS-AD Daily '!V17</f>
        <v>226</v>
      </c>
      <c r="R13" s="71">
        <f>'FS-AD Daily '!W17</f>
        <v>169.67000000001281</v>
      </c>
      <c r="S13" s="71">
        <f t="shared" si="0"/>
        <v>365.32999999998719</v>
      </c>
      <c r="T13" s="71">
        <f>'FS-AD Daily '!AD17*3.516</f>
        <v>39656.964</v>
      </c>
      <c r="U13" s="71">
        <f>('FS-AD Daily '!AF17)*1000</f>
        <v>20000</v>
      </c>
      <c r="V13" s="71">
        <f>('FS-AD Daily '!AG17)*1000</f>
        <v>0</v>
      </c>
      <c r="W13" s="71">
        <f>'FS-AD Daily '!AH17*1000</f>
        <v>6700.0000000007276</v>
      </c>
      <c r="X13" s="71">
        <f>('FS-AD Daily '!AK17)*1000</f>
        <v>23700.000000004366</v>
      </c>
      <c r="Y13" s="71">
        <f>'FS-AD Daily '!AN17</f>
        <v>0</v>
      </c>
      <c r="Z13" s="104"/>
    </row>
    <row r="14" spans="1:26" x14ac:dyDescent="0.25">
      <c r="A14" s="103" t="s">
        <v>80</v>
      </c>
      <c r="B14" s="69">
        <f t="shared" si="1"/>
        <v>13</v>
      </c>
      <c r="C14" s="70">
        <v>1</v>
      </c>
      <c r="D14" s="69">
        <v>2022</v>
      </c>
      <c r="E14" s="71">
        <f>'FS-AD Daily '!B18</f>
        <v>6217</v>
      </c>
      <c r="F14" s="71">
        <f>'FS-AD Daily '!C18</f>
        <v>3396</v>
      </c>
      <c r="G14" s="71">
        <f>'FS-AD Daily '!D18</f>
        <v>882</v>
      </c>
      <c r="H14" s="71">
        <f>'FS-AD Daily '!E18</f>
        <v>6178</v>
      </c>
      <c r="I14" s="71">
        <f>'FS-AD Daily '!F18</f>
        <v>5578</v>
      </c>
      <c r="J14" s="71">
        <f>'FS-AD Daily '!G18</f>
        <v>2590</v>
      </c>
      <c r="K14" s="71">
        <f>'FS-AD Daily '!H18</f>
        <v>3499</v>
      </c>
      <c r="L14" s="71">
        <f>'FS-AD Daily '!I18</f>
        <v>2134</v>
      </c>
      <c r="M14" s="71">
        <f>'FS-AD Daily '!J18</f>
        <v>6758</v>
      </c>
      <c r="N14" s="71">
        <f>'FS-AD Daily '!T18</f>
        <v>193.61799999999857</v>
      </c>
      <c r="O14" s="71">
        <f>'FS-AD Daily '!R18</f>
        <v>69.678000000001703</v>
      </c>
      <c r="P14" s="71">
        <f>'FS-AD Daily '!Z18</f>
        <v>724</v>
      </c>
      <c r="Q14" s="71">
        <f>'FS-AD Daily '!V18</f>
        <v>212.59999999997672</v>
      </c>
      <c r="R14" s="71">
        <f>'FS-AD Daily '!W18</f>
        <v>168.75</v>
      </c>
      <c r="S14" s="71">
        <f t="shared" si="0"/>
        <v>342.65000000002328</v>
      </c>
      <c r="T14" s="71">
        <f>'FS-AD Daily '!AD18*3.516</f>
        <v>41808.756000000001</v>
      </c>
      <c r="U14" s="71">
        <f>('FS-AD Daily '!AF18)*1000</f>
        <v>21199.99999999709</v>
      </c>
      <c r="V14" s="71">
        <f>('FS-AD Daily '!AG18)*1000</f>
        <v>0</v>
      </c>
      <c r="W14" s="71">
        <f>'FS-AD Daily '!AH18*1000</f>
        <v>6599.9999999985448</v>
      </c>
      <c r="X14" s="71">
        <f>('FS-AD Daily '!AK18)*1000</f>
        <v>24500</v>
      </c>
      <c r="Y14" s="71">
        <f>'FS-AD Daily '!AN18</f>
        <v>0</v>
      </c>
      <c r="Z14" s="104"/>
    </row>
    <row r="15" spans="1:26" x14ac:dyDescent="0.25">
      <c r="A15" s="103" t="s">
        <v>80</v>
      </c>
      <c r="B15" s="69">
        <f t="shared" si="1"/>
        <v>14</v>
      </c>
      <c r="C15" s="70">
        <v>1</v>
      </c>
      <c r="D15" s="69">
        <v>2022</v>
      </c>
      <c r="E15" s="71">
        <f>'FS-AD Daily '!B19</f>
        <v>0</v>
      </c>
      <c r="F15" s="71">
        <f>'FS-AD Daily '!C19</f>
        <v>0</v>
      </c>
      <c r="G15" s="71">
        <f>'FS-AD Daily '!D19</f>
        <v>0</v>
      </c>
      <c r="H15" s="71">
        <f>'FS-AD Daily '!E19</f>
        <v>0</v>
      </c>
      <c r="I15" s="71">
        <f>'FS-AD Daily '!F19</f>
        <v>0</v>
      </c>
      <c r="J15" s="71">
        <f>'FS-AD Daily '!G19</f>
        <v>0</v>
      </c>
      <c r="K15" s="71">
        <f>'FS-AD Daily '!H19</f>
        <v>0</v>
      </c>
      <c r="L15" s="71">
        <f>'FS-AD Daily '!I19</f>
        <v>0</v>
      </c>
      <c r="M15" s="71">
        <f>'FS-AD Daily '!J19</f>
        <v>0</v>
      </c>
      <c r="N15" s="71">
        <f>'FS-AD Daily '!T19</f>
        <v>0</v>
      </c>
      <c r="O15" s="71">
        <f>'FS-AD Daily '!R19</f>
        <v>0</v>
      </c>
      <c r="P15" s="71" t="str">
        <f>'FS-AD Daily '!Z19</f>
        <v>0</v>
      </c>
      <c r="Q15" s="71">
        <f>'FS-AD Daily '!V19</f>
        <v>0</v>
      </c>
      <c r="R15" s="71">
        <f>'FS-AD Daily '!W19</f>
        <v>0</v>
      </c>
      <c r="S15" s="71">
        <f t="shared" si="0"/>
        <v>0</v>
      </c>
      <c r="T15" s="71">
        <f>'FS-AD Daily '!AD19*3.516</f>
        <v>0</v>
      </c>
      <c r="U15" s="71">
        <f>('FS-AD Daily '!AF19)*1000</f>
        <v>0</v>
      </c>
      <c r="V15" s="71">
        <f>('FS-AD Daily '!AG19)*1000</f>
        <v>0</v>
      </c>
      <c r="W15" s="71">
        <f>'FS-AD Daily '!AH19*1000</f>
        <v>0</v>
      </c>
      <c r="X15" s="71">
        <f>('FS-AD Daily '!AK19)*1000</f>
        <v>0</v>
      </c>
      <c r="Y15" s="71">
        <f>'FS-AD Daily '!AN19</f>
        <v>0</v>
      </c>
      <c r="Z15" s="104"/>
    </row>
    <row r="16" spans="1:26" x14ac:dyDescent="0.25">
      <c r="A16" s="103" t="s">
        <v>80</v>
      </c>
      <c r="B16" s="69">
        <f t="shared" si="1"/>
        <v>15</v>
      </c>
      <c r="C16" s="70">
        <v>1</v>
      </c>
      <c r="D16" s="69">
        <v>2022</v>
      </c>
      <c r="E16" s="71">
        <f>'FS-AD Daily '!B20</f>
        <v>0</v>
      </c>
      <c r="F16" s="71">
        <f>'FS-AD Daily '!C20</f>
        <v>0</v>
      </c>
      <c r="G16" s="71">
        <f>'FS-AD Daily '!D20</f>
        <v>0</v>
      </c>
      <c r="H16" s="71">
        <f>'FS-AD Daily '!E20</f>
        <v>0</v>
      </c>
      <c r="I16" s="71">
        <f>'FS-AD Daily '!F20</f>
        <v>0</v>
      </c>
      <c r="J16" s="71">
        <f>'FS-AD Daily '!G20</f>
        <v>0</v>
      </c>
      <c r="K16" s="71">
        <f>'FS-AD Daily '!H20</f>
        <v>0</v>
      </c>
      <c r="L16" s="71">
        <f>'FS-AD Daily '!I20</f>
        <v>0</v>
      </c>
      <c r="M16" s="71">
        <f>'FS-AD Daily '!J20</f>
        <v>0</v>
      </c>
      <c r="N16" s="71">
        <f>'FS-AD Daily '!T20</f>
        <v>0</v>
      </c>
      <c r="O16" s="71">
        <f>'FS-AD Daily '!R20</f>
        <v>0</v>
      </c>
      <c r="P16" s="71">
        <f>'FS-AD Daily '!Z20</f>
        <v>0</v>
      </c>
      <c r="Q16" s="71">
        <f>'FS-AD Daily '!V20</f>
        <v>0</v>
      </c>
      <c r="R16" s="71">
        <f>'FS-AD Daily '!W20</f>
        <v>0</v>
      </c>
      <c r="S16" s="71">
        <f t="shared" si="0"/>
        <v>0</v>
      </c>
      <c r="T16" s="71">
        <f>'FS-AD Daily '!AD20*3.516</f>
        <v>0</v>
      </c>
      <c r="U16" s="71">
        <f>('FS-AD Daily '!AF20)*1000</f>
        <v>0</v>
      </c>
      <c r="V16" s="71">
        <f>('FS-AD Daily '!AG20)*1000</f>
        <v>0</v>
      </c>
      <c r="W16" s="71">
        <f>'FS-AD Daily '!AH20*1000</f>
        <v>0</v>
      </c>
      <c r="X16" s="71">
        <f>('FS-AD Daily '!AK20)*1000</f>
        <v>0</v>
      </c>
      <c r="Y16" s="71">
        <f>'FS-AD Daily '!AN20</f>
        <v>0</v>
      </c>
      <c r="Z16" s="104"/>
    </row>
    <row r="17" spans="1:26" x14ac:dyDescent="0.25">
      <c r="A17" s="103" t="s">
        <v>80</v>
      </c>
      <c r="B17" s="69">
        <f t="shared" si="1"/>
        <v>16</v>
      </c>
      <c r="C17" s="70">
        <v>1</v>
      </c>
      <c r="D17" s="69">
        <v>2022</v>
      </c>
      <c r="E17" s="71">
        <f>'FS-AD Daily '!B21</f>
        <v>0</v>
      </c>
      <c r="F17" s="71">
        <f>'FS-AD Daily '!C21</f>
        <v>0</v>
      </c>
      <c r="G17" s="71">
        <f>'FS-AD Daily '!D21</f>
        <v>0</v>
      </c>
      <c r="H17" s="71">
        <f>'FS-AD Daily '!E21</f>
        <v>0</v>
      </c>
      <c r="I17" s="71">
        <f>'FS-AD Daily '!F21</f>
        <v>0</v>
      </c>
      <c r="J17" s="71">
        <f>'FS-AD Daily '!G21</f>
        <v>0</v>
      </c>
      <c r="K17" s="71">
        <f>'FS-AD Daily '!H21</f>
        <v>0</v>
      </c>
      <c r="L17" s="71">
        <f>'FS-AD Daily '!I21</f>
        <v>0</v>
      </c>
      <c r="M17" s="71">
        <f>'FS-AD Daily '!J21</f>
        <v>0</v>
      </c>
      <c r="N17" s="71">
        <f>'FS-AD Daily '!T21</f>
        <v>0</v>
      </c>
      <c r="O17" s="71">
        <f>'FS-AD Daily '!R21</f>
        <v>0</v>
      </c>
      <c r="P17" s="71">
        <f>'FS-AD Daily '!Z21</f>
        <v>0</v>
      </c>
      <c r="Q17" s="71">
        <f>'FS-AD Daily '!V21</f>
        <v>0</v>
      </c>
      <c r="R17" s="71">
        <f>'FS-AD Daily '!W21</f>
        <v>0</v>
      </c>
      <c r="S17" s="71">
        <f t="shared" si="0"/>
        <v>0</v>
      </c>
      <c r="T17" s="71">
        <f>'FS-AD Daily '!AD21*3.516</f>
        <v>0</v>
      </c>
      <c r="U17" s="71">
        <f>('FS-AD Daily '!AF21)*1000</f>
        <v>0</v>
      </c>
      <c r="V17" s="71">
        <f>('FS-AD Daily '!AG21)*1000</f>
        <v>0</v>
      </c>
      <c r="W17" s="71">
        <f>'FS-AD Daily '!AH21*1000</f>
        <v>0</v>
      </c>
      <c r="X17" s="71">
        <f>('FS-AD Daily '!AK21)*1000</f>
        <v>0</v>
      </c>
      <c r="Y17" s="71">
        <f>'FS-AD Daily '!AN21</f>
        <v>0</v>
      </c>
      <c r="Z17" s="104"/>
    </row>
    <row r="18" spans="1:26" x14ac:dyDescent="0.25">
      <c r="A18" s="103" t="s">
        <v>80</v>
      </c>
      <c r="B18" s="69">
        <f t="shared" si="1"/>
        <v>17</v>
      </c>
      <c r="C18" s="70">
        <v>1</v>
      </c>
      <c r="D18" s="69">
        <v>2022</v>
      </c>
      <c r="E18" s="71">
        <f>'FS-AD Daily '!B22</f>
        <v>0</v>
      </c>
      <c r="F18" s="71">
        <f>'FS-AD Daily '!C22</f>
        <v>0</v>
      </c>
      <c r="G18" s="71">
        <f>'FS-AD Daily '!D22</f>
        <v>0</v>
      </c>
      <c r="H18" s="71">
        <f>'FS-AD Daily '!E22</f>
        <v>0</v>
      </c>
      <c r="I18" s="71">
        <f>'FS-AD Daily '!F22</f>
        <v>0</v>
      </c>
      <c r="J18" s="71">
        <f>'FS-AD Daily '!G22</f>
        <v>0</v>
      </c>
      <c r="K18" s="71">
        <f>'FS-AD Daily '!H22</f>
        <v>0</v>
      </c>
      <c r="L18" s="71">
        <f>'FS-AD Daily '!I22</f>
        <v>0</v>
      </c>
      <c r="M18" s="71">
        <f>'FS-AD Daily '!J22</f>
        <v>0</v>
      </c>
      <c r="N18" s="71">
        <f>'FS-AD Daily '!T22</f>
        <v>0</v>
      </c>
      <c r="O18" s="71">
        <f>'FS-AD Daily '!R22</f>
        <v>0</v>
      </c>
      <c r="P18" s="71">
        <f>'FS-AD Daily '!Z22</f>
        <v>0</v>
      </c>
      <c r="Q18" s="71">
        <f>'FS-AD Daily '!V22</f>
        <v>0</v>
      </c>
      <c r="R18" s="71">
        <f>'FS-AD Daily '!W22</f>
        <v>0</v>
      </c>
      <c r="S18" s="71">
        <f t="shared" si="0"/>
        <v>0</v>
      </c>
      <c r="T18" s="71">
        <f>'FS-AD Daily '!AD22*3.516</f>
        <v>0</v>
      </c>
      <c r="U18" s="71">
        <f>('FS-AD Daily '!AF22)*1000</f>
        <v>0</v>
      </c>
      <c r="V18" s="71">
        <f>('FS-AD Daily '!AG22)*1000</f>
        <v>0</v>
      </c>
      <c r="W18" s="71">
        <f>'FS-AD Daily '!AH22*1000</f>
        <v>0</v>
      </c>
      <c r="X18" s="71">
        <f>('FS-AD Daily '!AK22)*1000</f>
        <v>0</v>
      </c>
      <c r="Y18" s="71">
        <f>'FS-AD Daily '!AN22</f>
        <v>0</v>
      </c>
      <c r="Z18" s="104"/>
    </row>
    <row r="19" spans="1:26" x14ac:dyDescent="0.25">
      <c r="A19" s="103" t="s">
        <v>80</v>
      </c>
      <c r="B19" s="69">
        <f t="shared" si="1"/>
        <v>18</v>
      </c>
      <c r="C19" s="70">
        <v>1</v>
      </c>
      <c r="D19" s="69">
        <v>2022</v>
      </c>
      <c r="E19" s="71">
        <f>'FS-AD Daily '!B23</f>
        <v>0</v>
      </c>
      <c r="F19" s="71">
        <f>'FS-AD Daily '!C23</f>
        <v>0</v>
      </c>
      <c r="G19" s="71">
        <f>'FS-AD Daily '!D23</f>
        <v>0</v>
      </c>
      <c r="H19" s="71">
        <f>'FS-AD Daily '!E23</f>
        <v>0</v>
      </c>
      <c r="I19" s="71">
        <f>'FS-AD Daily '!F23</f>
        <v>0</v>
      </c>
      <c r="J19" s="71">
        <f>'FS-AD Daily '!G23</f>
        <v>0</v>
      </c>
      <c r="K19" s="71">
        <f>'FS-AD Daily '!H23</f>
        <v>0</v>
      </c>
      <c r="L19" s="71">
        <f>'FS-AD Daily '!I23</f>
        <v>0</v>
      </c>
      <c r="M19" s="71">
        <f>'FS-AD Daily '!J23</f>
        <v>0</v>
      </c>
      <c r="N19" s="71">
        <f>'FS-AD Daily '!T23</f>
        <v>0</v>
      </c>
      <c r="O19" s="71">
        <f>'FS-AD Daily '!R23</f>
        <v>0</v>
      </c>
      <c r="P19" s="71">
        <f>'FS-AD Daily '!Z23</f>
        <v>0</v>
      </c>
      <c r="Q19" s="71">
        <f>'FS-AD Daily '!V23</f>
        <v>0</v>
      </c>
      <c r="R19" s="71">
        <f>'FS-AD Daily '!W23</f>
        <v>0</v>
      </c>
      <c r="S19" s="71">
        <f t="shared" si="0"/>
        <v>0</v>
      </c>
      <c r="T19" s="71">
        <f>'FS-AD Daily '!AD23*3.516</f>
        <v>0</v>
      </c>
      <c r="U19" s="71">
        <f>('FS-AD Daily '!AF23)*1000</f>
        <v>0</v>
      </c>
      <c r="V19" s="71">
        <f>('FS-AD Daily '!AG23)*1000</f>
        <v>0</v>
      </c>
      <c r="W19" s="71">
        <f>'FS-AD Daily '!AH23*1000</f>
        <v>0</v>
      </c>
      <c r="X19" s="71">
        <f>('FS-AD Daily '!AK23)*1000</f>
        <v>0</v>
      </c>
      <c r="Y19" s="71">
        <f>'FS-AD Daily '!AN23</f>
        <v>0</v>
      </c>
      <c r="Z19" s="104"/>
    </row>
    <row r="20" spans="1:26" x14ac:dyDescent="0.25">
      <c r="A20" s="103" t="s">
        <v>80</v>
      </c>
      <c r="B20" s="69">
        <f t="shared" si="1"/>
        <v>19</v>
      </c>
      <c r="C20" s="70">
        <v>1</v>
      </c>
      <c r="D20" s="69">
        <v>2022</v>
      </c>
      <c r="E20" s="71">
        <f>'FS-AD Daily '!B24</f>
        <v>0</v>
      </c>
      <c r="F20" s="71">
        <f>'FS-AD Daily '!C24</f>
        <v>0</v>
      </c>
      <c r="G20" s="71">
        <f>'FS-AD Daily '!D24</f>
        <v>0</v>
      </c>
      <c r="H20" s="71">
        <f>'FS-AD Daily '!E24</f>
        <v>0</v>
      </c>
      <c r="I20" s="71">
        <f>'FS-AD Daily '!F24</f>
        <v>0</v>
      </c>
      <c r="J20" s="71">
        <f>'FS-AD Daily '!G24</f>
        <v>0</v>
      </c>
      <c r="K20" s="71">
        <f>'FS-AD Daily '!H24</f>
        <v>0</v>
      </c>
      <c r="L20" s="71">
        <f>'FS-AD Daily '!I24</f>
        <v>0</v>
      </c>
      <c r="M20" s="71">
        <f>'FS-AD Daily '!J24</f>
        <v>0</v>
      </c>
      <c r="N20" s="71">
        <f>'FS-AD Daily '!T24</f>
        <v>0</v>
      </c>
      <c r="O20" s="71">
        <f>'FS-AD Daily '!R24</f>
        <v>0</v>
      </c>
      <c r="P20" s="71">
        <f>'FS-AD Daily '!Z24</f>
        <v>0</v>
      </c>
      <c r="Q20" s="71">
        <f>'FS-AD Daily '!V24</f>
        <v>0</v>
      </c>
      <c r="R20" s="71">
        <f>'FS-AD Daily '!W24</f>
        <v>0</v>
      </c>
      <c r="S20" s="71">
        <f t="shared" si="0"/>
        <v>0</v>
      </c>
      <c r="T20" s="71">
        <f>'FS-AD Daily '!AD24*3.516</f>
        <v>0</v>
      </c>
      <c r="U20" s="71">
        <f>('FS-AD Daily '!AF24)*1000</f>
        <v>0</v>
      </c>
      <c r="V20" s="71">
        <f>('FS-AD Daily '!AG24)*1000</f>
        <v>0</v>
      </c>
      <c r="W20" s="71">
        <f>'FS-AD Daily '!AH24*1000</f>
        <v>0</v>
      </c>
      <c r="X20" s="71">
        <f>('FS-AD Daily '!AK24)*1000</f>
        <v>0</v>
      </c>
      <c r="Y20" s="71">
        <f>'FS-AD Daily '!AN24</f>
        <v>0</v>
      </c>
      <c r="Z20" s="104"/>
    </row>
    <row r="21" spans="1:26" x14ac:dyDescent="0.25">
      <c r="A21" s="103" t="s">
        <v>80</v>
      </c>
      <c r="B21" s="69">
        <f t="shared" si="1"/>
        <v>20</v>
      </c>
      <c r="C21" s="70">
        <v>1</v>
      </c>
      <c r="D21" s="69">
        <v>2022</v>
      </c>
      <c r="E21" s="71">
        <f>'FS-AD Daily '!B25</f>
        <v>0</v>
      </c>
      <c r="F21" s="71">
        <f>'FS-AD Daily '!C25</f>
        <v>0</v>
      </c>
      <c r="G21" s="71">
        <f>'FS-AD Daily '!D25</f>
        <v>0</v>
      </c>
      <c r="H21" s="71">
        <f>'FS-AD Daily '!E25</f>
        <v>0</v>
      </c>
      <c r="I21" s="71">
        <f>'FS-AD Daily '!F25</f>
        <v>0</v>
      </c>
      <c r="J21" s="71">
        <f>'FS-AD Daily '!G25</f>
        <v>0</v>
      </c>
      <c r="K21" s="71">
        <f>'FS-AD Daily '!H25</f>
        <v>0</v>
      </c>
      <c r="L21" s="71">
        <f>'FS-AD Daily '!I25</f>
        <v>0</v>
      </c>
      <c r="M21" s="71">
        <f>'FS-AD Daily '!J25</f>
        <v>0</v>
      </c>
      <c r="N21" s="71">
        <f>'FS-AD Daily '!T25</f>
        <v>0</v>
      </c>
      <c r="O21" s="71">
        <f>'FS-AD Daily '!R25</f>
        <v>0</v>
      </c>
      <c r="P21" s="71">
        <f>'FS-AD Daily '!Z25</f>
        <v>0</v>
      </c>
      <c r="Q21" s="71">
        <f>'FS-AD Daily '!V25</f>
        <v>0</v>
      </c>
      <c r="R21" s="71">
        <f>'FS-AD Daily '!W25</f>
        <v>0</v>
      </c>
      <c r="S21" s="71">
        <f t="shared" si="0"/>
        <v>0</v>
      </c>
      <c r="T21" s="71">
        <f>'FS-AD Daily '!AD25*3.516</f>
        <v>0</v>
      </c>
      <c r="U21" s="71">
        <f>('FS-AD Daily '!AF25)*1000</f>
        <v>0</v>
      </c>
      <c r="V21" s="71">
        <f>('FS-AD Daily '!AG25)*1000</f>
        <v>0</v>
      </c>
      <c r="W21" s="71">
        <f>'FS-AD Daily '!AH25*1000</f>
        <v>0</v>
      </c>
      <c r="X21" s="71">
        <f>('FS-AD Daily '!AK25)*1000</f>
        <v>0</v>
      </c>
      <c r="Y21" s="71">
        <f>'FS-AD Daily '!AN25</f>
        <v>0</v>
      </c>
      <c r="Z21" s="104"/>
    </row>
    <row r="22" spans="1:26" x14ac:dyDescent="0.25">
      <c r="A22" s="103" t="s">
        <v>80</v>
      </c>
      <c r="B22" s="69">
        <f t="shared" si="1"/>
        <v>21</v>
      </c>
      <c r="C22" s="70">
        <v>1</v>
      </c>
      <c r="D22" s="69">
        <v>2022</v>
      </c>
      <c r="E22" s="71">
        <f>'FS-AD Daily '!B26</f>
        <v>0</v>
      </c>
      <c r="F22" s="71">
        <f>'FS-AD Daily '!C26</f>
        <v>0</v>
      </c>
      <c r="G22" s="71">
        <f>'FS-AD Daily '!D26</f>
        <v>0</v>
      </c>
      <c r="H22" s="71">
        <f>'FS-AD Daily '!E26</f>
        <v>0</v>
      </c>
      <c r="I22" s="71">
        <f>'FS-AD Daily '!F26</f>
        <v>0</v>
      </c>
      <c r="J22" s="71">
        <f>'FS-AD Daily '!G26</f>
        <v>0</v>
      </c>
      <c r="K22" s="71">
        <f>'FS-AD Daily '!H26</f>
        <v>0</v>
      </c>
      <c r="L22" s="71">
        <f>'FS-AD Daily '!I26</f>
        <v>0</v>
      </c>
      <c r="M22" s="71">
        <f>'FS-AD Daily '!J26</f>
        <v>0</v>
      </c>
      <c r="N22" s="71">
        <f>'FS-AD Daily '!T26</f>
        <v>0</v>
      </c>
      <c r="O22" s="71">
        <f>'FS-AD Daily '!R26</f>
        <v>0</v>
      </c>
      <c r="P22" s="71">
        <f>'FS-AD Daily '!Z26</f>
        <v>0</v>
      </c>
      <c r="Q22" s="71">
        <f>'FS-AD Daily '!V26</f>
        <v>0</v>
      </c>
      <c r="R22" s="71">
        <f>'FS-AD Daily '!W26</f>
        <v>0</v>
      </c>
      <c r="S22" s="71">
        <f t="shared" si="0"/>
        <v>0</v>
      </c>
      <c r="T22" s="71">
        <f>'FS-AD Daily '!AD26*3.516</f>
        <v>0</v>
      </c>
      <c r="U22" s="71">
        <f>('FS-AD Daily '!AF26)*1000</f>
        <v>0</v>
      </c>
      <c r="V22" s="71">
        <f>('FS-AD Daily '!AG26)*1000</f>
        <v>0</v>
      </c>
      <c r="W22" s="71">
        <f>'FS-AD Daily '!AH26*1000</f>
        <v>0</v>
      </c>
      <c r="X22" s="71">
        <f>('FS-AD Daily '!AK26)*1000</f>
        <v>0</v>
      </c>
      <c r="Y22" s="71">
        <f>'FS-AD Daily '!AN26</f>
        <v>0</v>
      </c>
      <c r="Z22" s="104"/>
    </row>
    <row r="23" spans="1:26" x14ac:dyDescent="0.25">
      <c r="A23" s="103" t="s">
        <v>80</v>
      </c>
      <c r="B23" s="69">
        <f t="shared" si="1"/>
        <v>22</v>
      </c>
      <c r="C23" s="70">
        <v>1</v>
      </c>
      <c r="D23" s="69">
        <v>2022</v>
      </c>
      <c r="E23" s="71">
        <f>'FS-AD Daily '!B27</f>
        <v>0</v>
      </c>
      <c r="F23" s="71">
        <f>'FS-AD Daily '!C27</f>
        <v>0</v>
      </c>
      <c r="G23" s="71">
        <f>'FS-AD Daily '!D27</f>
        <v>0</v>
      </c>
      <c r="H23" s="71">
        <f>'FS-AD Daily '!E27</f>
        <v>0</v>
      </c>
      <c r="I23" s="71">
        <f>'FS-AD Daily '!F27</f>
        <v>0</v>
      </c>
      <c r="J23" s="71">
        <f>'FS-AD Daily '!G27</f>
        <v>0</v>
      </c>
      <c r="K23" s="71">
        <f>'FS-AD Daily '!H27</f>
        <v>0</v>
      </c>
      <c r="L23" s="71">
        <f>'FS-AD Daily '!I27</f>
        <v>0</v>
      </c>
      <c r="M23" s="71">
        <f>'FS-AD Daily '!J27</f>
        <v>0</v>
      </c>
      <c r="N23" s="71">
        <f>'FS-AD Daily '!T27</f>
        <v>0</v>
      </c>
      <c r="O23" s="71">
        <f>'FS-AD Daily '!R27</f>
        <v>0</v>
      </c>
      <c r="P23" s="71">
        <f>'FS-AD Daily '!Z27</f>
        <v>0</v>
      </c>
      <c r="Q23" s="71">
        <f>'FS-AD Daily '!V27</f>
        <v>0</v>
      </c>
      <c r="R23" s="71">
        <f>'FS-AD Daily '!W27</f>
        <v>0</v>
      </c>
      <c r="S23" s="71">
        <f t="shared" si="0"/>
        <v>0</v>
      </c>
      <c r="T23" s="71">
        <f>'FS-AD Daily '!AD27*3.516</f>
        <v>0</v>
      </c>
      <c r="U23" s="71">
        <f>('FS-AD Daily '!AF27)*1000</f>
        <v>0</v>
      </c>
      <c r="V23" s="71">
        <f>('FS-AD Daily '!AG27)*1000</f>
        <v>0</v>
      </c>
      <c r="W23" s="71">
        <f>'FS-AD Daily '!AH27*1000</f>
        <v>0</v>
      </c>
      <c r="X23" s="71">
        <f>('FS-AD Daily '!AK27)*1000</f>
        <v>0</v>
      </c>
      <c r="Y23" s="71">
        <f>'FS-AD Daily '!AN27</f>
        <v>0</v>
      </c>
      <c r="Z23" s="104"/>
    </row>
    <row r="24" spans="1:26" x14ac:dyDescent="0.25">
      <c r="A24" s="103" t="s">
        <v>80</v>
      </c>
      <c r="B24" s="69">
        <f t="shared" si="1"/>
        <v>23</v>
      </c>
      <c r="C24" s="70">
        <v>1</v>
      </c>
      <c r="D24" s="69">
        <v>2022</v>
      </c>
      <c r="E24" s="71">
        <f>'FS-AD Daily '!B28</f>
        <v>0</v>
      </c>
      <c r="F24" s="71">
        <f>'FS-AD Daily '!C28</f>
        <v>0</v>
      </c>
      <c r="G24" s="71">
        <f>'FS-AD Daily '!D28</f>
        <v>0</v>
      </c>
      <c r="H24" s="71">
        <f>'FS-AD Daily '!E28</f>
        <v>0</v>
      </c>
      <c r="I24" s="71">
        <f>'FS-AD Daily '!F28</f>
        <v>0</v>
      </c>
      <c r="J24" s="71">
        <f>'FS-AD Daily '!G28</f>
        <v>0</v>
      </c>
      <c r="K24" s="71">
        <f>'FS-AD Daily '!H28</f>
        <v>0</v>
      </c>
      <c r="L24" s="71">
        <f>'FS-AD Daily '!I28</f>
        <v>0</v>
      </c>
      <c r="M24" s="71">
        <f>'FS-AD Daily '!J28</f>
        <v>0</v>
      </c>
      <c r="N24" s="71">
        <f>'FS-AD Daily '!T28</f>
        <v>0</v>
      </c>
      <c r="O24" s="71">
        <f>'FS-AD Daily '!R28</f>
        <v>0</v>
      </c>
      <c r="P24" s="71">
        <f>'FS-AD Daily '!Z28</f>
        <v>0</v>
      </c>
      <c r="Q24" s="71">
        <f>'FS-AD Daily '!V28</f>
        <v>0</v>
      </c>
      <c r="R24" s="71">
        <f>'FS-AD Daily '!W28</f>
        <v>0</v>
      </c>
      <c r="S24" s="71">
        <f t="shared" si="0"/>
        <v>0</v>
      </c>
      <c r="T24" s="71">
        <f>'FS-AD Daily '!AD28*3.516</f>
        <v>0</v>
      </c>
      <c r="U24" s="71">
        <f>('FS-AD Daily '!AF28)*1000</f>
        <v>0</v>
      </c>
      <c r="V24" s="71">
        <f>('FS-AD Daily '!AG28)*1000</f>
        <v>0</v>
      </c>
      <c r="W24" s="71">
        <f>'FS-AD Daily '!AH28*1000</f>
        <v>0</v>
      </c>
      <c r="X24" s="71">
        <f>('FS-AD Daily '!AK28)*1000</f>
        <v>0</v>
      </c>
      <c r="Y24" s="71">
        <f>'FS-AD Daily '!AN28</f>
        <v>0</v>
      </c>
      <c r="Z24" s="104"/>
    </row>
    <row r="25" spans="1:26" x14ac:dyDescent="0.25">
      <c r="A25" s="103" t="s">
        <v>80</v>
      </c>
      <c r="B25" s="69">
        <f t="shared" si="1"/>
        <v>24</v>
      </c>
      <c r="C25" s="70">
        <v>1</v>
      </c>
      <c r="D25" s="69">
        <v>2022</v>
      </c>
      <c r="E25" s="71">
        <f>'FS-AD Daily '!B29</f>
        <v>0</v>
      </c>
      <c r="F25" s="71">
        <f>'FS-AD Daily '!C29</f>
        <v>0</v>
      </c>
      <c r="G25" s="71">
        <f>'FS-AD Daily '!D29</f>
        <v>0</v>
      </c>
      <c r="H25" s="71">
        <f>'FS-AD Daily '!E29</f>
        <v>0</v>
      </c>
      <c r="I25" s="71">
        <f>'FS-AD Daily '!F29</f>
        <v>0</v>
      </c>
      <c r="J25" s="71">
        <f>'FS-AD Daily '!G29</f>
        <v>0</v>
      </c>
      <c r="K25" s="71">
        <f>'FS-AD Daily '!H29</f>
        <v>0</v>
      </c>
      <c r="L25" s="71">
        <f>'FS-AD Daily '!I29</f>
        <v>0</v>
      </c>
      <c r="M25" s="71">
        <f>'FS-AD Daily '!J29</f>
        <v>0</v>
      </c>
      <c r="N25" s="71">
        <f>'FS-AD Daily '!T29</f>
        <v>0</v>
      </c>
      <c r="O25" s="71">
        <f>'FS-AD Daily '!R29</f>
        <v>0</v>
      </c>
      <c r="P25" s="71">
        <f>'FS-AD Daily '!Z29</f>
        <v>0</v>
      </c>
      <c r="Q25" s="71">
        <f>'FS-AD Daily '!V29</f>
        <v>0</v>
      </c>
      <c r="R25" s="71">
        <f>'FS-AD Daily '!W29</f>
        <v>0</v>
      </c>
      <c r="S25" s="71">
        <f t="shared" si="0"/>
        <v>0</v>
      </c>
      <c r="T25" s="71">
        <f>'FS-AD Daily '!AD29*3.516</f>
        <v>0</v>
      </c>
      <c r="U25" s="71">
        <f>('FS-AD Daily '!AF29)*1000</f>
        <v>0</v>
      </c>
      <c r="V25" s="71">
        <f>('FS-AD Daily '!AG29)*1000</f>
        <v>0</v>
      </c>
      <c r="W25" s="71">
        <f>'FS-AD Daily '!AH29*1000</f>
        <v>0</v>
      </c>
      <c r="X25" s="71">
        <f>('FS-AD Daily '!AK29)*1000</f>
        <v>0</v>
      </c>
      <c r="Y25" s="71">
        <f>'FS-AD Daily '!AN29</f>
        <v>0</v>
      </c>
      <c r="Z25" s="104"/>
    </row>
    <row r="26" spans="1:26" x14ac:dyDescent="0.25">
      <c r="A26" s="103" t="s">
        <v>80</v>
      </c>
      <c r="B26" s="69">
        <f>B25+1</f>
        <v>25</v>
      </c>
      <c r="C26" s="70">
        <v>1</v>
      </c>
      <c r="D26" s="69">
        <v>2022</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71">
        <f>'FS-AD Daily '!AN30</f>
        <v>0</v>
      </c>
      <c r="Z26" s="104"/>
    </row>
    <row r="27" spans="1:26" x14ac:dyDescent="0.25">
      <c r="A27" s="103" t="s">
        <v>80</v>
      </c>
      <c r="B27" s="69">
        <f t="shared" si="1"/>
        <v>26</v>
      </c>
      <c r="C27" s="70">
        <v>1</v>
      </c>
      <c r="D27" s="69">
        <v>2022</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71">
        <f>'FS-AD Daily '!AN31</f>
        <v>0</v>
      </c>
      <c r="Z27" s="104"/>
    </row>
    <row r="28" spans="1:26" x14ac:dyDescent="0.25">
      <c r="A28" s="103" t="s">
        <v>80</v>
      </c>
      <c r="B28" s="69">
        <f t="shared" si="1"/>
        <v>27</v>
      </c>
      <c r="C28" s="70">
        <v>1</v>
      </c>
      <c r="D28" s="69">
        <v>2022</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71">
        <f>'FS-AD Daily '!AN32</f>
        <v>0</v>
      </c>
      <c r="Z28" s="104"/>
    </row>
    <row r="29" spans="1:26" x14ac:dyDescent="0.25">
      <c r="A29" s="103" t="s">
        <v>80</v>
      </c>
      <c r="B29" s="69">
        <f t="shared" si="1"/>
        <v>28</v>
      </c>
      <c r="C29" s="70">
        <v>1</v>
      </c>
      <c r="D29" s="69">
        <v>2022</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4"/>
    </row>
    <row r="30" spans="1:26" x14ac:dyDescent="0.25">
      <c r="A30" s="103" t="s">
        <v>80</v>
      </c>
      <c r="B30" s="69">
        <f t="shared" si="1"/>
        <v>29</v>
      </c>
      <c r="C30" s="70">
        <v>1</v>
      </c>
      <c r="D30" s="69">
        <v>2022</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x14ac:dyDescent="0.25">
      <c r="A31" s="103" t="s">
        <v>80</v>
      </c>
      <c r="B31" s="69">
        <f t="shared" si="1"/>
        <v>30</v>
      </c>
      <c r="C31" s="70">
        <v>1</v>
      </c>
      <c r="D31" s="69">
        <v>2022</v>
      </c>
      <c r="E31" s="71">
        <f>'FS-AD Daily '!B35</f>
        <v>0</v>
      </c>
      <c r="F31" s="71">
        <f>'FS-AD Daily '!C35</f>
        <v>0</v>
      </c>
      <c r="G31" s="71">
        <f>'FS-AD Daily '!D35</f>
        <v>0</v>
      </c>
      <c r="H31" s="71">
        <f>'FS-AD Daily '!E35</f>
        <v>0</v>
      </c>
      <c r="I31" s="71">
        <f>'FS-AD Daily '!F35</f>
        <v>0</v>
      </c>
      <c r="J31" s="71">
        <f>'FS-AD Daily '!G35</f>
        <v>0</v>
      </c>
      <c r="K31" s="71">
        <f>'FS-AD Daily '!H35</f>
        <v>0</v>
      </c>
      <c r="L31" s="71">
        <f>'FS-AD Daily '!I35</f>
        <v>0</v>
      </c>
      <c r="M31" s="71">
        <f>'FS-AD Daily '!J35</f>
        <v>0</v>
      </c>
      <c r="N31" s="71">
        <f>'FS-AD Daily '!T35</f>
        <v>0</v>
      </c>
      <c r="O31" s="71">
        <f>'FS-AD Daily '!R35</f>
        <v>0</v>
      </c>
      <c r="P31" s="71">
        <f>'FS-AD Daily '!Z35</f>
        <v>0</v>
      </c>
      <c r="Q31" s="71">
        <f>'FS-AD Daily '!V35</f>
        <v>0</v>
      </c>
      <c r="R31" s="71">
        <f>'FS-AD Daily '!W35</f>
        <v>0</v>
      </c>
      <c r="S31" s="71">
        <f t="shared" ref="S31:S32" si="2">P31-Q31-R31</f>
        <v>0</v>
      </c>
      <c r="T31" s="71">
        <f>'FS-AD Daily '!AD35*3.516</f>
        <v>0</v>
      </c>
      <c r="U31" s="71">
        <f>('FS-AD Daily '!AF35)*1000</f>
        <v>0</v>
      </c>
      <c r="V31" s="71">
        <f>('FS-AD Daily '!AG35)*1000</f>
        <v>0</v>
      </c>
      <c r="W31" s="71">
        <f>'FS-AD Daily '!AH35*1000</f>
        <v>0</v>
      </c>
      <c r="X31" s="71">
        <f>('FS-AD Daily '!AK35)*1000</f>
        <v>0</v>
      </c>
      <c r="Y31" s="71">
        <f>'FS-AD Daily '!AN35</f>
        <v>0</v>
      </c>
      <c r="Z31" s="121"/>
    </row>
    <row r="32" spans="1:26" ht="15.75" thickBot="1" x14ac:dyDescent="0.3">
      <c r="A32" s="103" t="s">
        <v>80</v>
      </c>
      <c r="B32" s="69">
        <f t="shared" si="1"/>
        <v>31</v>
      </c>
      <c r="C32" s="70">
        <v>1</v>
      </c>
      <c r="D32" s="69">
        <v>2022</v>
      </c>
      <c r="E32" s="71">
        <f>'FS-AD Daily '!B36</f>
        <v>0</v>
      </c>
      <c r="F32" s="71">
        <f>'FS-AD Daily '!C36</f>
        <v>0</v>
      </c>
      <c r="G32" s="71">
        <f>'FS-AD Daily '!D36</f>
        <v>0</v>
      </c>
      <c r="H32" s="71">
        <f>'FS-AD Daily '!E36</f>
        <v>0</v>
      </c>
      <c r="I32" s="71">
        <f>'FS-AD Daily '!F36</f>
        <v>0</v>
      </c>
      <c r="J32" s="71">
        <f>'FS-AD Daily '!G36</f>
        <v>0</v>
      </c>
      <c r="K32" s="71">
        <f>'FS-AD Daily '!H36</f>
        <v>0</v>
      </c>
      <c r="L32" s="71">
        <f>'FS-AD Daily '!I36</f>
        <v>0</v>
      </c>
      <c r="M32" s="71">
        <f>'FS-AD Daily '!J36</f>
        <v>0</v>
      </c>
      <c r="N32" s="71">
        <f>'FS-AD Daily '!T36</f>
        <v>0</v>
      </c>
      <c r="O32" s="71">
        <f>'FS-AD Daily '!R36</f>
        <v>0</v>
      </c>
      <c r="P32" s="71">
        <f>'FS-AD Daily '!Z36</f>
        <v>0</v>
      </c>
      <c r="Q32" s="71">
        <f>'FS-AD Daily '!V36</f>
        <v>0</v>
      </c>
      <c r="R32" s="71">
        <f>'FS-AD Daily '!W36</f>
        <v>0</v>
      </c>
      <c r="S32" s="71">
        <f t="shared" si="2"/>
        <v>0</v>
      </c>
      <c r="T32" s="71">
        <f>'FS-AD Daily '!AD36*3.516</f>
        <v>0</v>
      </c>
      <c r="U32" s="71">
        <f>('FS-AD Daily '!AF36)*1000</f>
        <v>0</v>
      </c>
      <c r="V32" s="71">
        <f>('FS-AD Daily '!AG36)*1000</f>
        <v>0</v>
      </c>
      <c r="W32" s="71">
        <f>'FS-AD Daily '!AH36*1000</f>
        <v>0</v>
      </c>
      <c r="X32" s="71">
        <f>('FS-AD Daily '!AK36)*1000</f>
        <v>0</v>
      </c>
      <c r="Y32" s="71">
        <f>'FS-AD Daily '!AN36</f>
        <v>0</v>
      </c>
      <c r="Z32" s="105"/>
    </row>
    <row r="33" spans="9:26" x14ac:dyDescent="0.25">
      <c r="I33" s="4">
        <f t="shared" ref="I33:W33" si="3">SUM(I2:I32)</f>
        <v>79555</v>
      </c>
      <c r="J33" s="4">
        <f t="shared" si="3"/>
        <v>36806</v>
      </c>
      <c r="K33" s="4">
        <f t="shared" si="3"/>
        <v>48299</v>
      </c>
      <c r="L33" s="4">
        <f t="shared" si="3"/>
        <v>29614</v>
      </c>
      <c r="M33" s="4">
        <f t="shared" si="3"/>
        <v>92810</v>
      </c>
      <c r="N33" s="4">
        <f t="shared" si="3"/>
        <v>2607.9869999999974</v>
      </c>
      <c r="O33" s="4">
        <f t="shared" si="3"/>
        <v>899.85000000000082</v>
      </c>
      <c r="P33" s="4">
        <f t="shared" si="3"/>
        <v>9942</v>
      </c>
      <c r="Q33" s="4">
        <f t="shared" si="3"/>
        <v>2988.8999999999651</v>
      </c>
      <c r="R33" s="4">
        <f t="shared" si="3"/>
        <v>2258.9400000000023</v>
      </c>
      <c r="S33" s="4">
        <f t="shared" si="3"/>
        <v>4694.1600000000326</v>
      </c>
      <c r="T33" s="4">
        <f t="shared" si="3"/>
        <v>504120.56399999995</v>
      </c>
      <c r="U33" s="4">
        <f t="shared" si="3"/>
        <v>258300.00000000291</v>
      </c>
      <c r="V33" s="4">
        <f t="shared" si="3"/>
        <v>4699.9999999970896</v>
      </c>
      <c r="W33" s="4">
        <f t="shared" si="3"/>
        <v>81700.000000000728</v>
      </c>
      <c r="X33" s="4">
        <f>'FS-AD Daily '!U38</f>
        <v>13391.794079999972</v>
      </c>
      <c r="Y33" s="4">
        <f>SUM(Y2:Y32)</f>
        <v>1006</v>
      </c>
      <c r="Z33" s="4">
        <f>SUM(Z2:Z32)</f>
        <v>1589</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topLeftCell="AE1" zoomScale="85" zoomScaleNormal="85" workbookViewId="0">
      <pane ySplit="5" topLeftCell="A6" activePane="bottomLeft" state="frozen"/>
      <selection pane="bottomLeft" activeCell="AV11" sqref="AV11"/>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3" t="s">
        <v>14</v>
      </c>
      <c r="C1" s="123"/>
      <c r="D1" s="123"/>
      <c r="E1" s="123"/>
      <c r="F1" s="123"/>
      <c r="G1" s="123"/>
      <c r="H1" s="123"/>
      <c r="I1" s="123"/>
      <c r="J1" s="123"/>
      <c r="K1" s="25" t="s">
        <v>15</v>
      </c>
      <c r="L1" s="26" t="s">
        <v>16</v>
      </c>
      <c r="M1" s="27" t="s">
        <v>17</v>
      </c>
      <c r="N1" s="28" t="s">
        <v>18</v>
      </c>
      <c r="O1" s="28" t="s">
        <v>19</v>
      </c>
      <c r="P1" s="65" t="s">
        <v>20</v>
      </c>
      <c r="Q1" s="30" t="s">
        <v>21</v>
      </c>
      <c r="R1" s="31" t="s">
        <v>22</v>
      </c>
      <c r="S1" s="29" t="s">
        <v>23</v>
      </c>
      <c r="T1" s="32" t="s">
        <v>24</v>
      </c>
      <c r="U1" s="33" t="s">
        <v>25</v>
      </c>
      <c r="V1" s="32" t="s">
        <v>26</v>
      </c>
      <c r="W1" s="32" t="s">
        <v>27</v>
      </c>
      <c r="X1" s="124" t="s">
        <v>28</v>
      </c>
      <c r="Y1" s="124"/>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5" t="s">
        <v>41</v>
      </c>
      <c r="L2" s="127" t="s">
        <v>42</v>
      </c>
      <c r="M2" s="10"/>
      <c r="N2" s="10"/>
      <c r="O2" s="10"/>
      <c r="P2" s="10"/>
      <c r="Q2" s="10"/>
      <c r="R2" s="10"/>
      <c r="S2" s="129"/>
      <c r="T2" s="47"/>
      <c r="U2" s="130"/>
      <c r="V2" s="45"/>
      <c r="W2" s="45"/>
      <c r="X2" s="22">
        <v>1</v>
      </c>
      <c r="Y2" s="22">
        <v>2</v>
      </c>
      <c r="Z2" s="23"/>
      <c r="AA2" s="127" t="s">
        <v>100</v>
      </c>
      <c r="AB2" s="43"/>
      <c r="AC2" s="125" t="s">
        <v>43</v>
      </c>
      <c r="AD2" s="132"/>
      <c r="AE2" s="130" t="s">
        <v>102</v>
      </c>
      <c r="AF2" s="45"/>
      <c r="AG2" s="45"/>
      <c r="AH2" s="45"/>
      <c r="AI2" s="44"/>
      <c r="AJ2" s="44"/>
      <c r="AK2" s="44"/>
      <c r="AL2" s="44"/>
      <c r="AM2" s="130" t="s">
        <v>102</v>
      </c>
      <c r="AN2" s="133"/>
      <c r="AO2" s="131"/>
    </row>
    <row r="3" spans="1:44" ht="15" customHeight="1" x14ac:dyDescent="0.25">
      <c r="A3" s="9"/>
      <c r="B3" s="11" t="s">
        <v>44</v>
      </c>
      <c r="C3" s="11" t="s">
        <v>45</v>
      </c>
      <c r="D3" s="11" t="s">
        <v>46</v>
      </c>
      <c r="E3" s="11" t="s">
        <v>47</v>
      </c>
      <c r="F3" s="11" t="s">
        <v>48</v>
      </c>
      <c r="G3" s="11" t="s">
        <v>49</v>
      </c>
      <c r="H3" s="11" t="s">
        <v>50</v>
      </c>
      <c r="I3" s="11" t="s">
        <v>51</v>
      </c>
      <c r="J3" s="11" t="s">
        <v>52</v>
      </c>
      <c r="K3" s="126"/>
      <c r="L3" s="128"/>
      <c r="M3" s="10"/>
      <c r="N3" s="10"/>
      <c r="O3" s="10"/>
      <c r="P3" s="10"/>
      <c r="Q3" s="10"/>
      <c r="R3" s="10"/>
      <c r="S3" s="129"/>
      <c r="T3" s="47"/>
      <c r="U3" s="130"/>
      <c r="V3" s="45"/>
      <c r="W3" s="45"/>
      <c r="X3" s="11"/>
      <c r="Y3" s="11"/>
      <c r="Z3" s="12"/>
      <c r="AA3" s="127"/>
      <c r="AB3" s="43"/>
      <c r="AC3" s="125"/>
      <c r="AD3" s="132"/>
      <c r="AE3" s="130"/>
      <c r="AF3" s="45"/>
      <c r="AG3" s="45"/>
      <c r="AH3" s="45"/>
      <c r="AI3" s="13"/>
      <c r="AJ3" s="44"/>
      <c r="AK3" s="44"/>
      <c r="AL3" s="44"/>
      <c r="AM3" s="130"/>
      <c r="AN3" s="133"/>
      <c r="AO3" s="131"/>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29"/>
      <c r="T4" s="47"/>
      <c r="U4" s="130"/>
      <c r="V4" s="45"/>
      <c r="W4" s="45"/>
      <c r="X4" s="52"/>
      <c r="Y4" s="87">
        <v>967013</v>
      </c>
      <c r="Z4" s="12"/>
      <c r="AA4" s="127"/>
      <c r="AB4" s="86">
        <v>10661961</v>
      </c>
      <c r="AC4" s="125"/>
      <c r="AD4" s="132"/>
      <c r="AE4" s="130"/>
      <c r="AF4" s="45"/>
      <c r="AG4" s="45"/>
      <c r="AH4" s="45"/>
      <c r="AI4" s="43">
        <v>50230.9</v>
      </c>
      <c r="AJ4" s="43"/>
      <c r="AK4" s="43"/>
      <c r="AL4" s="43"/>
      <c r="AM4" s="130"/>
      <c r="AN4" s="133"/>
      <c r="AO4" s="131"/>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44562</v>
      </c>
      <c r="B6" s="86">
        <f>13196045-13189176</f>
        <v>6869</v>
      </c>
      <c r="C6" s="86">
        <f>8455635-8451362</f>
        <v>4273</v>
      </c>
      <c r="D6" s="86">
        <f>1672753-1671778</f>
        <v>975</v>
      </c>
      <c r="E6" s="86">
        <f>12646440-12639439</f>
        <v>7001</v>
      </c>
      <c r="F6" s="86">
        <f>12546721-12540134</f>
        <v>6587</v>
      </c>
      <c r="G6" s="86">
        <f>8855108-8852082</f>
        <v>3026</v>
      </c>
      <c r="H6" s="86">
        <f>9652130-9648186</f>
        <v>3944</v>
      </c>
      <c r="I6" s="86">
        <f>5622839-5620520</f>
        <v>2319</v>
      </c>
      <c r="J6" s="86">
        <f>12788160-12780761</f>
        <v>7399</v>
      </c>
      <c r="K6" s="63">
        <f>SUM(B6:H6)</f>
        <v>32675</v>
      </c>
      <c r="L6" s="40">
        <f>K6*0.2</f>
        <v>6535</v>
      </c>
      <c r="M6" s="83">
        <f>5995.586-5784.234</f>
        <v>211.35199999999986</v>
      </c>
      <c r="N6" s="83">
        <f>4638.886-4635.995</f>
        <v>2.8910000000005311</v>
      </c>
      <c r="O6" s="83">
        <f>10464.231-10463.481</f>
        <v>0.75</v>
      </c>
      <c r="P6" s="82">
        <f>3408.361-3341.172</f>
        <v>67.188999999999851</v>
      </c>
      <c r="Q6" s="83">
        <f>26898.911-26886.453</f>
        <v>12.457999999998719</v>
      </c>
      <c r="R6" s="84">
        <f t="shared" ref="R6:R34" si="0">N6+O6+P6</f>
        <v>70.830000000000382</v>
      </c>
      <c r="S6" s="84">
        <f t="shared" ref="S6:S34" si="1">(N6+O6+P6)*7.84</f>
        <v>555.30720000000304</v>
      </c>
      <c r="T6" s="64">
        <f t="shared" ref="T6:T34" si="2">M6+Q6</f>
        <v>223.80999999999858</v>
      </c>
      <c r="U6" s="84">
        <f>T6*7.84</f>
        <v>1754.6703999999888</v>
      </c>
      <c r="V6" s="84">
        <f>391286.4-391017.7</f>
        <v>268.70000000001164</v>
      </c>
      <c r="W6" s="84">
        <f>143298.73-143100.45</f>
        <v>198.27999999999884</v>
      </c>
      <c r="X6" s="85" t="s">
        <v>63</v>
      </c>
      <c r="Y6" s="85">
        <v>967864</v>
      </c>
      <c r="Z6" s="61">
        <f>IF((Y6-Y5&lt;0), "0",Y6-Y4)</f>
        <v>851</v>
      </c>
      <c r="AA6" s="90">
        <f>Z6*6.47</f>
        <v>5505.9699999999993</v>
      </c>
      <c r="AB6" s="75">
        <v>10674774</v>
      </c>
      <c r="AC6" s="75">
        <f>AB4</f>
        <v>10661961</v>
      </c>
      <c r="AD6" s="41">
        <f t="shared" ref="AD6:AD34" si="3">IF((AB6-AC6&lt;0), "0",AB6-AC6)</f>
        <v>12813</v>
      </c>
      <c r="AE6" s="84">
        <f>AD6*0.332195</f>
        <v>4256.4145349999999</v>
      </c>
      <c r="AF6" s="84">
        <f>95769.1-95745.7</f>
        <v>23.400000000008731</v>
      </c>
      <c r="AG6" s="84">
        <f>50688.1-50687.8</f>
        <v>0.29999999999563443</v>
      </c>
      <c r="AH6" s="84">
        <f>30254.7-30247.6</f>
        <v>7.1000000000021828</v>
      </c>
      <c r="AI6" s="75">
        <f>AI4</f>
        <v>50230.9</v>
      </c>
      <c r="AJ6" s="75">
        <v>50255.4</v>
      </c>
      <c r="AK6" s="59">
        <f>IF((AJ6-AI6)&lt;0, "0",AJ6-AI6)</f>
        <v>24.5</v>
      </c>
      <c r="AL6" s="120">
        <f t="shared" ref="AL6:AL34" si="4">AK6*(284.34513609)</f>
        <v>6966.4558342049995</v>
      </c>
      <c r="AM6" s="84">
        <f>AL6*0.332195</f>
        <v>2314.22179584373</v>
      </c>
      <c r="AN6" s="101">
        <v>77</v>
      </c>
      <c r="AO6" s="77">
        <f t="shared" ref="AO6:AO36" si="5">L6+U6+AA6+AE6</f>
        <v>18052.054934999986</v>
      </c>
    </row>
    <row r="7" spans="1:44" x14ac:dyDescent="0.25">
      <c r="A7" s="79">
        <v>44563</v>
      </c>
      <c r="B7" s="86">
        <f>13202510-13196045</f>
        <v>6465</v>
      </c>
      <c r="C7" s="86">
        <f>8459383-8455635</f>
        <v>3748</v>
      </c>
      <c r="D7" s="86">
        <f>1673691-1672753</f>
        <v>938</v>
      </c>
      <c r="E7" s="86">
        <f>12653174-12646440</f>
        <v>6734</v>
      </c>
      <c r="F7" s="86">
        <f>12552842-12546721</f>
        <v>6121</v>
      </c>
      <c r="G7" s="86">
        <f>8857861-8855108</f>
        <v>2753</v>
      </c>
      <c r="H7" s="86">
        <f>9655813-9652130</f>
        <v>3683</v>
      </c>
      <c r="I7" s="86">
        <f>5625103-5622839</f>
        <v>2264</v>
      </c>
      <c r="J7" s="86">
        <f>12794878-12788160</f>
        <v>6718</v>
      </c>
      <c r="K7" s="86">
        <f>SUM(B7:H7)</f>
        <v>30442</v>
      </c>
      <c r="L7" s="14">
        <f>K7*0.2</f>
        <v>6088.4000000000005</v>
      </c>
      <c r="M7" s="83">
        <f>6174.168-5995.586</f>
        <v>178.58199999999943</v>
      </c>
      <c r="N7" s="83">
        <f>4640.621-4638.886</f>
        <v>1.7349999999996726</v>
      </c>
      <c r="O7" s="83">
        <f>10464.385-10464.231</f>
        <v>0.15400000000045111</v>
      </c>
      <c r="P7" s="82">
        <f>3473.165-3408.361</f>
        <v>64.804000000000087</v>
      </c>
      <c r="Q7" s="83">
        <f>26910.435-26898.911</f>
        <v>11.524000000001251</v>
      </c>
      <c r="R7" s="83">
        <f t="shared" si="0"/>
        <v>66.693000000000211</v>
      </c>
      <c r="S7" s="83">
        <f>(N7+O7+P7)*7.84</f>
        <v>522.87312000000168</v>
      </c>
      <c r="T7" s="83">
        <f>M7+Q7</f>
        <v>190.10600000000068</v>
      </c>
      <c r="U7" s="83">
        <f>T7*7.84</f>
        <v>1490.4310400000052</v>
      </c>
      <c r="V7" s="83">
        <f>391488.9-391286.4</f>
        <v>202.5</v>
      </c>
      <c r="W7" s="83">
        <f>143477.92-143298.73</f>
        <v>179.19000000000233</v>
      </c>
      <c r="X7" s="86" t="s">
        <v>63</v>
      </c>
      <c r="Y7" s="86">
        <v>968571</v>
      </c>
      <c r="Z7" s="5">
        <f>IF((Y7-Y6&lt;0), "0",Y7-Y6)</f>
        <v>707</v>
      </c>
      <c r="AA7" s="14">
        <f t="shared" ref="AA7:AA34" si="6">Z7*6.47</f>
        <v>4574.29</v>
      </c>
      <c r="AB7" s="87">
        <v>10687511</v>
      </c>
      <c r="AC7" s="87">
        <f>AB6</f>
        <v>10674774</v>
      </c>
      <c r="AD7" s="5">
        <f t="shared" si="3"/>
        <v>12737</v>
      </c>
      <c r="AE7" s="83">
        <f>AD7*0.332195</f>
        <v>4231.1677150000005</v>
      </c>
      <c r="AF7" s="83">
        <f>95792.1-95769.1</f>
        <v>23</v>
      </c>
      <c r="AG7" s="83">
        <f>50688.1-50688.1</f>
        <v>0</v>
      </c>
      <c r="AH7" s="83">
        <f>30261.3-30254.7</f>
        <v>6.5999999999985448</v>
      </c>
      <c r="AI7" s="87">
        <f>AJ6</f>
        <v>50255.4</v>
      </c>
      <c r="AJ7" s="86">
        <v>50278.7</v>
      </c>
      <c r="AK7" s="48">
        <f t="shared" ref="AK7:AK34" si="7">IF((AJ7-AI7)&lt;0, "0",AJ7-AI7)</f>
        <v>23.299999999995634</v>
      </c>
      <c r="AL7" s="89">
        <f t="shared" si="4"/>
        <v>6625.241670895758</v>
      </c>
      <c r="AM7" s="83">
        <f>AL7*0.332195</f>
        <v>2200.8721568632163</v>
      </c>
      <c r="AN7" s="71">
        <v>76</v>
      </c>
      <c r="AO7" s="78">
        <f t="shared" si="5"/>
        <v>16384.288755000005</v>
      </c>
    </row>
    <row r="8" spans="1:44" x14ac:dyDescent="0.25">
      <c r="A8" s="79">
        <v>44564</v>
      </c>
      <c r="B8" s="86">
        <f>13209034-13202510</f>
        <v>6524</v>
      </c>
      <c r="C8" s="86">
        <f>8463114-8459383</f>
        <v>3731</v>
      </c>
      <c r="D8" s="86">
        <f>1674631-1673691</f>
        <v>940</v>
      </c>
      <c r="E8" s="86">
        <f>12660142-12653174</f>
        <v>6968</v>
      </c>
      <c r="F8" s="86">
        <f>12559165-12552842</f>
        <v>6323</v>
      </c>
      <c r="G8" s="86">
        <f>8860753-8857861</f>
        <v>2892</v>
      </c>
      <c r="H8" s="86">
        <f>9659605-9655813</f>
        <v>3792</v>
      </c>
      <c r="I8" s="86">
        <f>5627517-5625103</f>
        <v>2414</v>
      </c>
      <c r="J8" s="86">
        <f>12802216-12794878</f>
        <v>7338</v>
      </c>
      <c r="K8" s="86">
        <f>SUM(B8:H8)</f>
        <v>31170</v>
      </c>
      <c r="L8" s="14">
        <f t="shared" ref="L8:L34" si="8">K8*0.2</f>
        <v>6234</v>
      </c>
      <c r="M8" s="83">
        <f>6348.545-6174.168</f>
        <v>174.37700000000041</v>
      </c>
      <c r="N8" s="83">
        <f>4642.318-4640.621</f>
        <v>1.6970000000001164</v>
      </c>
      <c r="O8" s="83">
        <f>10464.601-10464.385</f>
        <v>0.21600000000034925</v>
      </c>
      <c r="P8" s="82">
        <f>3532.115-3473.165</f>
        <v>58.949999999999818</v>
      </c>
      <c r="Q8" s="83">
        <f>26921.195-26910.435</f>
        <v>10.759999999998399</v>
      </c>
      <c r="R8" s="83">
        <f t="shared" si="0"/>
        <v>60.863000000000284</v>
      </c>
      <c r="S8" s="83">
        <f>(N8+O8+P8)*7.84</f>
        <v>477.16592000000219</v>
      </c>
      <c r="T8" s="83">
        <f>M8+Q8</f>
        <v>185.13699999999881</v>
      </c>
      <c r="U8" s="83">
        <f>T8*7.84</f>
        <v>1451.4740799999906</v>
      </c>
      <c r="V8" s="83">
        <f>391698.5-391488.9</f>
        <v>209.59999999997672</v>
      </c>
      <c r="W8" s="83">
        <f>143656.52-143477.92</f>
        <v>178.59999999997672</v>
      </c>
      <c r="X8" s="86" t="s">
        <v>63</v>
      </c>
      <c r="Y8" s="86">
        <v>969318</v>
      </c>
      <c r="Z8" s="5">
        <f t="shared" ref="Z8:Z34" si="9">IF((Y8-Y7&lt;0), "0",Y8-Y7)</f>
        <v>747</v>
      </c>
      <c r="AA8" s="14">
        <f t="shared" si="6"/>
        <v>4833.09</v>
      </c>
      <c r="AB8" s="87">
        <v>10701559</v>
      </c>
      <c r="AC8" s="87">
        <f t="shared" ref="AC8:AC34" si="10">AB7</f>
        <v>10687511</v>
      </c>
      <c r="AD8" s="5">
        <f t="shared" si="3"/>
        <v>14048</v>
      </c>
      <c r="AE8" s="83">
        <f t="shared" ref="AE8:AE36" si="11">AD8*0.332195</f>
        <v>4666.6753600000002</v>
      </c>
      <c r="AF8" s="83">
        <f>95817.8-95792.1</f>
        <v>25.69999999999709</v>
      </c>
      <c r="AG8" s="83">
        <f>50688.4-50688.1</f>
        <v>0.30000000000291038</v>
      </c>
      <c r="AH8" s="83">
        <f>30268.6-30261.3</f>
        <v>7.2999999999992724</v>
      </c>
      <c r="AI8" s="87">
        <f t="shared" ref="AI8:AI36" si="12">AJ7</f>
        <v>50278.7</v>
      </c>
      <c r="AJ8" s="86">
        <v>50302.7</v>
      </c>
      <c r="AK8" s="48">
        <f t="shared" si="7"/>
        <v>24</v>
      </c>
      <c r="AL8" s="89">
        <f t="shared" si="4"/>
        <v>6824.2832661599996</v>
      </c>
      <c r="AM8" s="83">
        <f t="shared" ref="AM8:AM34" si="13">AL8*0.332195</f>
        <v>2266.9927796020211</v>
      </c>
      <c r="AN8" s="71">
        <v>87</v>
      </c>
      <c r="AO8" s="78">
        <f t="shared" si="5"/>
        <v>17185.23943999999</v>
      </c>
    </row>
    <row r="9" spans="1:44" x14ac:dyDescent="0.25">
      <c r="A9" s="79">
        <v>44565</v>
      </c>
      <c r="B9" s="86">
        <f>13216869-13209034</f>
        <v>7835</v>
      </c>
      <c r="C9" s="86">
        <f>8466741-8463114</f>
        <v>3627</v>
      </c>
      <c r="D9" s="86">
        <f>1675539-1674631</f>
        <v>908</v>
      </c>
      <c r="E9" s="86">
        <f>12666842-12660142</f>
        <v>6700</v>
      </c>
      <c r="F9" s="86">
        <f>12565182-12559165</f>
        <v>6017</v>
      </c>
      <c r="G9" s="86">
        <f>8863609-8860753</f>
        <v>2856</v>
      </c>
      <c r="H9" s="86">
        <f>9663285-9659605</f>
        <v>3680</v>
      </c>
      <c r="I9" s="86">
        <f>5629751-5627517</f>
        <v>2234</v>
      </c>
      <c r="J9" s="86">
        <f>12809327-12802216</f>
        <v>7111</v>
      </c>
      <c r="K9" s="86">
        <f t="shared" ref="K9:K34" si="14">SUM(B9:H9)</f>
        <v>31623</v>
      </c>
      <c r="L9" s="14">
        <f t="shared" si="8"/>
        <v>6324.6</v>
      </c>
      <c r="M9" s="83">
        <f>6536.656-6348.545</f>
        <v>188.11099999999988</v>
      </c>
      <c r="N9" s="83">
        <f>4644.507-4642.318</f>
        <v>2.1889999999993961</v>
      </c>
      <c r="O9" s="83">
        <f>10464.859-10464.601</f>
        <v>0.25799999999981083</v>
      </c>
      <c r="P9" s="82">
        <f>3593.11-3532.115</f>
        <v>60.995000000000346</v>
      </c>
      <c r="Q9" s="83">
        <f>26928.798-26921.195</f>
        <v>7.602999999999156</v>
      </c>
      <c r="R9" s="83">
        <f t="shared" si="0"/>
        <v>63.441999999999553</v>
      </c>
      <c r="S9" s="83">
        <f t="shared" si="1"/>
        <v>497.3852799999965</v>
      </c>
      <c r="T9" s="83">
        <f t="shared" si="2"/>
        <v>195.71399999999903</v>
      </c>
      <c r="U9" s="83">
        <f t="shared" ref="U9:U37" si="15">T9*7.84</f>
        <v>1534.3977599999923</v>
      </c>
      <c r="V9" s="83">
        <f>391917.6-391698.5</f>
        <v>219.09999999997672</v>
      </c>
      <c r="W9" s="83">
        <f>143839.96-143656.52</f>
        <v>183.44000000000233</v>
      </c>
      <c r="X9" s="86" t="s">
        <v>63</v>
      </c>
      <c r="Y9" s="86">
        <v>970081</v>
      </c>
      <c r="Z9" s="5">
        <f t="shared" si="9"/>
        <v>763</v>
      </c>
      <c r="AA9" s="14">
        <f t="shared" si="6"/>
        <v>4936.6099999999997</v>
      </c>
      <c r="AB9" s="87">
        <v>10712434</v>
      </c>
      <c r="AC9" s="87">
        <f t="shared" si="10"/>
        <v>10701559</v>
      </c>
      <c r="AD9" s="5">
        <f t="shared" si="3"/>
        <v>10875</v>
      </c>
      <c r="AE9" s="83">
        <f t="shared" si="11"/>
        <v>3612.620625</v>
      </c>
      <c r="AF9" s="83">
        <f>95837.7-95817.8</f>
        <v>19.899999999994179</v>
      </c>
      <c r="AG9" s="83">
        <f>50688.4-50688.4</f>
        <v>0</v>
      </c>
      <c r="AH9" s="83">
        <f>30274.7-30268.6</f>
        <v>6.1000000000021828</v>
      </c>
      <c r="AI9" s="87">
        <f t="shared" si="12"/>
        <v>50302.7</v>
      </c>
      <c r="AJ9" s="86">
        <v>50323.7</v>
      </c>
      <c r="AK9" s="48">
        <f t="shared" si="7"/>
        <v>21</v>
      </c>
      <c r="AL9" s="89">
        <f t="shared" si="4"/>
        <v>5971.24785789</v>
      </c>
      <c r="AM9" s="83">
        <f t="shared" si="13"/>
        <v>1983.6186821517686</v>
      </c>
      <c r="AN9" s="71">
        <v>113</v>
      </c>
      <c r="AO9" s="78">
        <f t="shared" si="5"/>
        <v>16408.228384999991</v>
      </c>
    </row>
    <row r="10" spans="1:44" x14ac:dyDescent="0.25">
      <c r="A10" s="79">
        <v>44566</v>
      </c>
      <c r="B10" s="86">
        <f>13225440-13216869</f>
        <v>8571</v>
      </c>
      <c r="C10" s="86">
        <f>8470566-8466741</f>
        <v>3825</v>
      </c>
      <c r="D10" s="86">
        <f>1676416-1675539</f>
        <v>877</v>
      </c>
      <c r="E10" s="86">
        <f>12673661-12666842</f>
        <v>6819</v>
      </c>
      <c r="F10" s="86">
        <f>12571290-12565182</f>
        <v>6108</v>
      </c>
      <c r="G10" s="86">
        <f>8866481-8863609</f>
        <v>2872</v>
      </c>
      <c r="H10" s="86">
        <f>9667014-9663285</f>
        <v>3729</v>
      </c>
      <c r="I10" s="86">
        <f>5631969-5629751</f>
        <v>2218</v>
      </c>
      <c r="J10" s="86">
        <f>12816377-12809327</f>
        <v>7050</v>
      </c>
      <c r="K10" s="86">
        <f t="shared" si="14"/>
        <v>32801</v>
      </c>
      <c r="L10" s="14">
        <f t="shared" si="8"/>
        <v>6560.2000000000007</v>
      </c>
      <c r="M10" s="83">
        <f>6746.271-6536.656</f>
        <v>209.61499999999978</v>
      </c>
      <c r="N10" s="83">
        <f>4646.28-4644.507</f>
        <v>1.7730000000001382</v>
      </c>
      <c r="O10" s="83">
        <f>10464.927-10464.859</f>
        <v>6.7999999999301508E-2</v>
      </c>
      <c r="P10" s="82">
        <f>3657.981-3593.11</f>
        <v>64.871000000000095</v>
      </c>
      <c r="Q10" s="83">
        <f>26928.798-26928.798</f>
        <v>0</v>
      </c>
      <c r="R10" s="83">
        <f t="shared" si="0"/>
        <v>66.711999999999534</v>
      </c>
      <c r="S10" s="83">
        <f t="shared" si="1"/>
        <v>523.02207999999632</v>
      </c>
      <c r="T10" s="83">
        <f t="shared" si="2"/>
        <v>209.61499999999978</v>
      </c>
      <c r="U10" s="83">
        <f t="shared" si="15"/>
        <v>1643.3815999999983</v>
      </c>
      <c r="V10" s="83">
        <f>392174.7-391917.6</f>
        <v>257.10000000003492</v>
      </c>
      <c r="W10" s="83">
        <f>144006.58-143839.96</f>
        <v>166.61999999999534</v>
      </c>
      <c r="X10" s="86" t="s">
        <v>63</v>
      </c>
      <c r="Y10" s="86">
        <v>970907</v>
      </c>
      <c r="Z10" s="5">
        <f t="shared" si="9"/>
        <v>826</v>
      </c>
      <c r="AA10" s="14">
        <f t="shared" si="6"/>
        <v>5344.2199999999993</v>
      </c>
      <c r="AB10" s="87">
        <v>10722724</v>
      </c>
      <c r="AC10" s="87">
        <f t="shared" si="10"/>
        <v>10712434</v>
      </c>
      <c r="AD10" s="5">
        <f t="shared" si="3"/>
        <v>10290</v>
      </c>
      <c r="AE10" s="83">
        <f t="shared" si="11"/>
        <v>3418.2865500000003</v>
      </c>
      <c r="AF10" s="83">
        <f>95856.4-95837.7</f>
        <v>18.69999999999709</v>
      </c>
      <c r="AG10" s="83">
        <f>50690.7-50688.4</f>
        <v>2.2999999999956344</v>
      </c>
      <c r="AH10" s="83">
        <f>30280.7-30274.7</f>
        <v>6</v>
      </c>
      <c r="AI10" s="87">
        <f t="shared" si="12"/>
        <v>50323.7</v>
      </c>
      <c r="AJ10" s="87">
        <v>50344.1</v>
      </c>
      <c r="AK10" s="48">
        <f t="shared" si="7"/>
        <v>20.400000000001455</v>
      </c>
      <c r="AL10" s="89">
        <f t="shared" si="4"/>
        <v>5800.6407762364133</v>
      </c>
      <c r="AM10" s="83">
        <f t="shared" si="13"/>
        <v>1926.9438626618555</v>
      </c>
      <c r="AN10" s="71">
        <v>110</v>
      </c>
      <c r="AO10" s="78">
        <f t="shared" si="5"/>
        <v>16966.08815</v>
      </c>
    </row>
    <row r="11" spans="1:44" x14ac:dyDescent="0.25">
      <c r="A11" s="79">
        <v>44567</v>
      </c>
      <c r="B11" s="86">
        <f>13233959-13225440</f>
        <v>8519</v>
      </c>
      <c r="C11" s="86">
        <f>8474208-8470566</f>
        <v>3642</v>
      </c>
      <c r="D11" s="86">
        <f>1677325-1676416</f>
        <v>909</v>
      </c>
      <c r="E11" s="86">
        <f>12680353-12673661</f>
        <v>6692</v>
      </c>
      <c r="F11" s="86">
        <f>12577369-12571290</f>
        <v>6079</v>
      </c>
      <c r="G11" s="86">
        <f>8869235-8866481</f>
        <v>2754</v>
      </c>
      <c r="H11" s="86">
        <f>9670702-9667014</f>
        <v>3688</v>
      </c>
      <c r="I11" s="86">
        <f>5634209-5631969</f>
        <v>2240</v>
      </c>
      <c r="J11" s="86">
        <f>12823408-12816377</f>
        <v>7031</v>
      </c>
      <c r="K11" s="86">
        <f t="shared" si="14"/>
        <v>32283</v>
      </c>
      <c r="L11" s="14">
        <f t="shared" si="8"/>
        <v>6456.6</v>
      </c>
      <c r="M11" s="83">
        <f>6957.777-6746.271</f>
        <v>211.50600000000031</v>
      </c>
      <c r="N11" s="83">
        <f>4648.036-4646.28</f>
        <v>1.7560000000003129</v>
      </c>
      <c r="O11" s="83">
        <f>10465.098-10464.927</f>
        <v>0.17100000000027649</v>
      </c>
      <c r="P11" s="82">
        <f>3731.997-3657.981</f>
        <v>74.015999999999622</v>
      </c>
      <c r="Q11" s="83">
        <f>26948.233-26928.798</f>
        <v>19.43500000000131</v>
      </c>
      <c r="R11" s="83">
        <f t="shared" si="0"/>
        <v>75.943000000000211</v>
      </c>
      <c r="S11" s="83">
        <f t="shared" si="1"/>
        <v>595.39312000000166</v>
      </c>
      <c r="T11" s="83">
        <f t="shared" si="2"/>
        <v>230.94100000000162</v>
      </c>
      <c r="U11" s="83">
        <f t="shared" si="15"/>
        <v>1810.5774400000128</v>
      </c>
      <c r="V11" s="83">
        <f>392426.9-392174.7</f>
        <v>252.20000000001164</v>
      </c>
      <c r="W11" s="83">
        <f>144149.37-144006.58</f>
        <v>142.79000000000815</v>
      </c>
      <c r="X11" s="86" t="s">
        <v>63</v>
      </c>
      <c r="Y11" s="86">
        <v>971662</v>
      </c>
      <c r="Z11" s="5">
        <f t="shared" si="9"/>
        <v>755</v>
      </c>
      <c r="AA11" s="14">
        <f t="shared" si="6"/>
        <v>4884.8499999999995</v>
      </c>
      <c r="AB11" s="87">
        <v>10732347</v>
      </c>
      <c r="AC11" s="86">
        <f t="shared" si="10"/>
        <v>10722724</v>
      </c>
      <c r="AD11" s="5">
        <f t="shared" si="3"/>
        <v>9623</v>
      </c>
      <c r="AE11" s="83">
        <f t="shared" si="11"/>
        <v>3196.712485</v>
      </c>
      <c r="AF11" s="83">
        <f>95873.8-95856.4</f>
        <v>17.400000000008731</v>
      </c>
      <c r="AG11" s="83">
        <f>50692.5-50690.7</f>
        <v>1.8000000000029104</v>
      </c>
      <c r="AH11" s="83">
        <f>30286.5-30280.7</f>
        <v>5.7999999999992724</v>
      </c>
      <c r="AI11" s="87">
        <f t="shared" si="12"/>
        <v>50344.1</v>
      </c>
      <c r="AJ11" s="87">
        <v>50363.199999999997</v>
      </c>
      <c r="AK11" s="48">
        <f t="shared" si="7"/>
        <v>19.099999999998545</v>
      </c>
      <c r="AL11" s="89">
        <f t="shared" si="4"/>
        <v>5430.992099318586</v>
      </c>
      <c r="AM11" s="83">
        <f t="shared" si="13"/>
        <v>1804.1484204331377</v>
      </c>
      <c r="AN11" s="71">
        <v>115</v>
      </c>
      <c r="AO11" s="78">
        <f t="shared" si="5"/>
        <v>16348.739925000013</v>
      </c>
    </row>
    <row r="12" spans="1:44" x14ac:dyDescent="0.25">
      <c r="A12" s="79">
        <v>44568</v>
      </c>
      <c r="B12" s="86">
        <f>13242101-13233959</f>
        <v>8142</v>
      </c>
      <c r="C12" s="86">
        <f>8477923-8474208</f>
        <v>3715</v>
      </c>
      <c r="D12" s="86">
        <f>1678215-1677325</f>
        <v>890</v>
      </c>
      <c r="E12" s="86">
        <f>12687240-12680353</f>
        <v>6887</v>
      </c>
      <c r="F12" s="86">
        <f>12583534-12577369</f>
        <v>6165</v>
      </c>
      <c r="G12" s="86">
        <f>8872089-8869235</f>
        <v>2854</v>
      </c>
      <c r="H12" s="86">
        <f>9674387-9670702</f>
        <v>3685</v>
      </c>
      <c r="I12" s="86">
        <f>5636426-5634209</f>
        <v>2217</v>
      </c>
      <c r="J12" s="86">
        <f>12830698-12823408</f>
        <v>7290</v>
      </c>
      <c r="K12" s="86">
        <f t="shared" si="14"/>
        <v>32338</v>
      </c>
      <c r="L12" s="14">
        <f t="shared" si="8"/>
        <v>6467.6</v>
      </c>
      <c r="M12" s="83">
        <f>7155.647-6957.777</f>
        <v>197.86999999999989</v>
      </c>
      <c r="N12" s="83">
        <f>4649.605-4648.036</f>
        <v>1.5689999999995052</v>
      </c>
      <c r="O12" s="83">
        <f>10465.307-10465.098</f>
        <v>0.20900000000074215</v>
      </c>
      <c r="P12" s="82">
        <f>3809.09-3731.997</f>
        <v>77.093000000000302</v>
      </c>
      <c r="Q12" s="83">
        <f>26948.233-26948.233</f>
        <v>0</v>
      </c>
      <c r="R12" s="83">
        <f t="shared" si="0"/>
        <v>78.871000000000549</v>
      </c>
      <c r="S12" s="83">
        <f t="shared" si="1"/>
        <v>618.34864000000425</v>
      </c>
      <c r="T12" s="83">
        <f t="shared" si="2"/>
        <v>197.86999999999989</v>
      </c>
      <c r="U12" s="83">
        <f t="shared" si="15"/>
        <v>1551.3007999999991</v>
      </c>
      <c r="V12" s="83">
        <f>392667-392426.9</f>
        <v>240.09999999997672</v>
      </c>
      <c r="W12" s="83">
        <f>144331.55-144149.37</f>
        <v>182.17999999999302</v>
      </c>
      <c r="X12" s="86" t="s">
        <v>63</v>
      </c>
      <c r="Y12" s="86">
        <v>972451</v>
      </c>
      <c r="Z12" s="5">
        <f t="shared" si="9"/>
        <v>789</v>
      </c>
      <c r="AA12" s="14">
        <f t="shared" si="6"/>
        <v>5104.83</v>
      </c>
      <c r="AB12" s="87">
        <v>10742047</v>
      </c>
      <c r="AC12" s="86">
        <f t="shared" si="10"/>
        <v>10732347</v>
      </c>
      <c r="AD12" s="5">
        <f t="shared" si="3"/>
        <v>9700</v>
      </c>
      <c r="AE12" s="83">
        <f t="shared" si="11"/>
        <v>3222.2915000000003</v>
      </c>
      <c r="AF12" s="83">
        <f>95890.7-95873.8</f>
        <v>16.899999999994179</v>
      </c>
      <c r="AG12" s="83">
        <f t="shared" ref="AG12:AG17" si="16">50692.5-50692.5</f>
        <v>0</v>
      </c>
      <c r="AH12" s="83">
        <f>30292.5-30286.5</f>
        <v>6</v>
      </c>
      <c r="AI12" s="87">
        <f t="shared" si="12"/>
        <v>50363.199999999997</v>
      </c>
      <c r="AJ12" s="87">
        <v>50382.2</v>
      </c>
      <c r="AK12" s="48">
        <f t="shared" si="7"/>
        <v>19</v>
      </c>
      <c r="AL12" s="89">
        <f t="shared" si="4"/>
        <v>5402.5575857099993</v>
      </c>
      <c r="AM12" s="83">
        <f t="shared" si="13"/>
        <v>1794.7026171849334</v>
      </c>
      <c r="AN12" s="71">
        <v>117</v>
      </c>
      <c r="AO12" s="78">
        <f t="shared" si="5"/>
        <v>16346.022300000001</v>
      </c>
    </row>
    <row r="13" spans="1:44" x14ac:dyDescent="0.25">
      <c r="A13" s="79">
        <v>44569</v>
      </c>
      <c r="B13" s="86">
        <f>13248277-13242101</f>
        <v>6176</v>
      </c>
      <c r="C13" s="86">
        <f>8481443-8477923</f>
        <v>3520</v>
      </c>
      <c r="D13" s="86">
        <f>1679086-1678215</f>
        <v>871</v>
      </c>
      <c r="E13" s="86">
        <f>12693756-12687240</f>
        <v>6516</v>
      </c>
      <c r="F13" s="86">
        <f>12589525-12583534</f>
        <v>5991</v>
      </c>
      <c r="G13" s="86">
        <f>8874881-8872089</f>
        <v>2792</v>
      </c>
      <c r="H13" s="86">
        <f>9677890-9674387</f>
        <v>3503</v>
      </c>
      <c r="I13" s="86">
        <f>5638601-5636426</f>
        <v>2175</v>
      </c>
      <c r="J13" s="86">
        <f>12837602-12830698</f>
        <v>6904</v>
      </c>
      <c r="K13" s="86">
        <f t="shared" si="14"/>
        <v>29369</v>
      </c>
      <c r="L13" s="14">
        <f t="shared" si="8"/>
        <v>5873.8</v>
      </c>
      <c r="M13" s="83">
        <f>7341.393-7155.647</f>
        <v>185.74600000000009</v>
      </c>
      <c r="N13" s="83">
        <f>4650.702-4649.605</f>
        <v>1.0970000000006621</v>
      </c>
      <c r="O13" s="83">
        <f>10465.55-10465.307</f>
        <v>0.24299999999857391</v>
      </c>
      <c r="P13" s="82">
        <f>3888.7-3809.09</f>
        <v>79.609999999999673</v>
      </c>
      <c r="Q13" s="83">
        <f>26964.075-26948.233</f>
        <v>15.842000000000553</v>
      </c>
      <c r="R13" s="83">
        <f t="shared" si="0"/>
        <v>80.949999999998909</v>
      </c>
      <c r="S13" s="83">
        <f t="shared" si="1"/>
        <v>634.64799999999138</v>
      </c>
      <c r="T13" s="83">
        <f t="shared" si="2"/>
        <v>201.58800000000065</v>
      </c>
      <c r="U13" s="83">
        <f t="shared" si="15"/>
        <v>1580.449920000005</v>
      </c>
      <c r="V13" s="83">
        <f>392918.7-392667</f>
        <v>251.70000000001164</v>
      </c>
      <c r="W13" s="83">
        <f>144520.91-144331.55</f>
        <v>189.36000000001513</v>
      </c>
      <c r="X13" s="86" t="s">
        <v>63</v>
      </c>
      <c r="Y13" s="86">
        <v>973266</v>
      </c>
      <c r="Z13" s="5">
        <f t="shared" si="9"/>
        <v>815</v>
      </c>
      <c r="AA13" s="14">
        <f t="shared" si="6"/>
        <v>5273.05</v>
      </c>
      <c r="AB13" s="87">
        <v>10751700</v>
      </c>
      <c r="AC13" s="86">
        <f t="shared" si="10"/>
        <v>10742047</v>
      </c>
      <c r="AD13" s="5">
        <f t="shared" si="3"/>
        <v>9653</v>
      </c>
      <c r="AE13" s="83">
        <f t="shared" si="11"/>
        <v>3206.6783350000001</v>
      </c>
      <c r="AF13" s="83">
        <f>95907.8-95890.7</f>
        <v>17.100000000005821</v>
      </c>
      <c r="AG13" s="83">
        <f t="shared" si="16"/>
        <v>0</v>
      </c>
      <c r="AH13" s="83">
        <f>30298.3-30292.5</f>
        <v>5.7999999999992724</v>
      </c>
      <c r="AI13" s="87">
        <f t="shared" si="12"/>
        <v>50382.2</v>
      </c>
      <c r="AJ13" s="87">
        <v>50401.5</v>
      </c>
      <c r="AK13" s="48">
        <f t="shared" si="7"/>
        <v>19.30000000000291</v>
      </c>
      <c r="AL13" s="89">
        <f t="shared" si="4"/>
        <v>5487.8611265378277</v>
      </c>
      <c r="AM13" s="83">
        <f t="shared" si="13"/>
        <v>1823.0400269302338</v>
      </c>
      <c r="AN13" s="71">
        <v>110</v>
      </c>
      <c r="AO13" s="78">
        <f t="shared" si="5"/>
        <v>15933.978255000005</v>
      </c>
    </row>
    <row r="14" spans="1:44" x14ac:dyDescent="0.25">
      <c r="A14" s="79">
        <v>44570</v>
      </c>
      <c r="B14" s="86">
        <f>13254673-13248277</f>
        <v>6396</v>
      </c>
      <c r="C14" s="86">
        <f>8484951-8481443</f>
        <v>3508</v>
      </c>
      <c r="D14" s="86">
        <f>1679970-1679086</f>
        <v>884</v>
      </c>
      <c r="E14" s="86">
        <f>12700277-12693756</f>
        <v>6521</v>
      </c>
      <c r="F14" s="86">
        <f>12595306-12589525</f>
        <v>5781</v>
      </c>
      <c r="G14" s="86">
        <f>8877640-8874881</f>
        <v>2759</v>
      </c>
      <c r="H14" s="86">
        <f>9681486-9677890</f>
        <v>3596</v>
      </c>
      <c r="I14" s="86">
        <f>5640810-5638601</f>
        <v>2209</v>
      </c>
      <c r="J14" s="86">
        <f>12844761-12837602</f>
        <v>7159</v>
      </c>
      <c r="K14" s="86">
        <f t="shared" si="14"/>
        <v>29445</v>
      </c>
      <c r="L14" s="14">
        <f t="shared" si="8"/>
        <v>5889</v>
      </c>
      <c r="M14" s="83">
        <f>7517.896-7341.393</f>
        <v>176.5029999999997</v>
      </c>
      <c r="N14" s="83">
        <f>4652.943-4650.702</f>
        <v>2.2409999999999854</v>
      </c>
      <c r="O14" s="83">
        <f>10466.609-10465.55</f>
        <v>1.0590000000011059</v>
      </c>
      <c r="P14" s="82">
        <f>3962.141-3888.7</f>
        <v>73.441000000000258</v>
      </c>
      <c r="Q14" s="83">
        <f>26974.132-26964.075</f>
        <v>10.057000000000698</v>
      </c>
      <c r="R14" s="83">
        <f>N14+O14+P14</f>
        <v>76.74100000000135</v>
      </c>
      <c r="S14" s="83">
        <f t="shared" si="1"/>
        <v>601.6494400000106</v>
      </c>
      <c r="T14" s="83">
        <f t="shared" si="2"/>
        <v>186.5600000000004</v>
      </c>
      <c r="U14" s="83">
        <f t="shared" si="15"/>
        <v>1462.6304000000032</v>
      </c>
      <c r="V14" s="83">
        <f>393118.2-392918.7</f>
        <v>199.5</v>
      </c>
      <c r="W14" s="83">
        <f>144681.78-144520.91</f>
        <v>160.86999999999534</v>
      </c>
      <c r="X14" s="86" t="s">
        <v>63</v>
      </c>
      <c r="Y14" s="87">
        <v>973963</v>
      </c>
      <c r="Z14" s="5">
        <f>IF((Y14-Y13&lt;0), "0",Y14-Y13)</f>
        <v>697</v>
      </c>
      <c r="AA14" s="14">
        <f t="shared" si="6"/>
        <v>4509.59</v>
      </c>
      <c r="AB14" s="87">
        <v>10761275</v>
      </c>
      <c r="AC14" s="86">
        <f t="shared" si="10"/>
        <v>10751700</v>
      </c>
      <c r="AD14" s="5">
        <f t="shared" si="3"/>
        <v>9575</v>
      </c>
      <c r="AE14" s="83">
        <f t="shared" si="11"/>
        <v>3180.7671250000003</v>
      </c>
      <c r="AF14" s="83">
        <f>95925.1-95907.8</f>
        <v>17.30000000000291</v>
      </c>
      <c r="AG14" s="83">
        <f t="shared" si="16"/>
        <v>0</v>
      </c>
      <c r="AH14" s="83">
        <f>30303.9-30298.3</f>
        <v>5.6000000000021828</v>
      </c>
      <c r="AI14" s="87">
        <f t="shared" si="12"/>
        <v>50401.5</v>
      </c>
      <c r="AJ14" s="87">
        <v>50420.6</v>
      </c>
      <c r="AK14" s="48">
        <f t="shared" si="7"/>
        <v>19.099999999998545</v>
      </c>
      <c r="AL14" s="89">
        <f t="shared" si="4"/>
        <v>5430.992099318586</v>
      </c>
      <c r="AM14" s="83">
        <f t="shared" si="13"/>
        <v>1804.1484204331377</v>
      </c>
      <c r="AN14" s="71">
        <v>89</v>
      </c>
      <c r="AO14" s="78">
        <f t="shared" si="5"/>
        <v>15041.987525000004</v>
      </c>
    </row>
    <row r="15" spans="1:44" x14ac:dyDescent="0.25">
      <c r="A15" s="79">
        <v>44571</v>
      </c>
      <c r="B15" s="86">
        <f>13261374-13254673</f>
        <v>6701</v>
      </c>
      <c r="C15" s="86">
        <f>8488773-8484951</f>
        <v>3822</v>
      </c>
      <c r="D15" s="86">
        <f>1680891-1679970</f>
        <v>921</v>
      </c>
      <c r="E15" s="86">
        <f>12707307-12700277</f>
        <v>7030</v>
      </c>
      <c r="F15" s="86">
        <f>12601525-12595306</f>
        <v>6219</v>
      </c>
      <c r="G15" s="86">
        <f>8880605-8877640</f>
        <v>2965</v>
      </c>
      <c r="H15" s="86">
        <f>9685297-9681486</f>
        <v>3811</v>
      </c>
      <c r="I15" s="86">
        <f>5643203-5640810</f>
        <v>2393</v>
      </c>
      <c r="J15" s="86">
        <f>12852091-12844761</f>
        <v>7330</v>
      </c>
      <c r="K15" s="86">
        <f t="shared" si="14"/>
        <v>31469</v>
      </c>
      <c r="L15" s="14">
        <f t="shared" si="8"/>
        <v>6293.8</v>
      </c>
      <c r="M15" s="83">
        <f>7690.832-7517.896</f>
        <v>172.9360000000006</v>
      </c>
      <c r="N15" s="83">
        <f>4654.483-4652.943</f>
        <v>1.5399999999999636</v>
      </c>
      <c r="O15" s="83">
        <f>10466.821-10466.609</f>
        <v>0.21199999999953434</v>
      </c>
      <c r="P15" s="82">
        <f>3989.692-3962.141</f>
        <v>27.550999999999931</v>
      </c>
      <c r="Q15" s="83">
        <f>26989.286-26974.132</f>
        <v>15.153999999998632</v>
      </c>
      <c r="R15" s="83">
        <f t="shared" si="0"/>
        <v>29.302999999999429</v>
      </c>
      <c r="S15" s="83">
        <f t="shared" si="1"/>
        <v>229.73551999999552</v>
      </c>
      <c r="T15" s="83">
        <f t="shared" si="2"/>
        <v>188.08999999999924</v>
      </c>
      <c r="U15" s="83">
        <f t="shared" si="15"/>
        <v>1474.6255999999939</v>
      </c>
      <c r="V15" s="83">
        <f>393334.7-393118.2</f>
        <v>216.5</v>
      </c>
      <c r="W15" s="83">
        <f>144850.92-144681.78</f>
        <v>169.14000000001397</v>
      </c>
      <c r="X15" s="86" t="s">
        <v>63</v>
      </c>
      <c r="Y15" s="87">
        <v>974695</v>
      </c>
      <c r="Z15" s="5">
        <f t="shared" si="9"/>
        <v>732</v>
      </c>
      <c r="AA15" s="14">
        <f t="shared" si="6"/>
        <v>4736.04</v>
      </c>
      <c r="AB15" s="87">
        <v>10771850</v>
      </c>
      <c r="AC15" s="86">
        <f t="shared" si="10"/>
        <v>10761275</v>
      </c>
      <c r="AD15" s="5">
        <f t="shared" si="3"/>
        <v>10575</v>
      </c>
      <c r="AE15" s="83">
        <f t="shared" si="11"/>
        <v>3512.962125</v>
      </c>
      <c r="AF15" s="83">
        <f>95944.3-95925.1</f>
        <v>19.19999999999709</v>
      </c>
      <c r="AG15" s="83">
        <f t="shared" si="16"/>
        <v>0</v>
      </c>
      <c r="AH15" s="83">
        <f>30310-30303.9</f>
        <v>6.0999999999985448</v>
      </c>
      <c r="AI15" s="87">
        <f t="shared" si="12"/>
        <v>50420.6</v>
      </c>
      <c r="AJ15" s="87">
        <v>50442.2</v>
      </c>
      <c r="AK15" s="48">
        <f t="shared" si="7"/>
        <v>21.599999999998545</v>
      </c>
      <c r="AL15" s="89">
        <f t="shared" si="4"/>
        <v>6141.8549395435857</v>
      </c>
      <c r="AM15" s="83">
        <f t="shared" si="13"/>
        <v>2040.2935016416816</v>
      </c>
      <c r="AN15" s="71">
        <v>112</v>
      </c>
      <c r="AO15" s="88">
        <f t="shared" si="5"/>
        <v>16017.427724999994</v>
      </c>
    </row>
    <row r="16" spans="1:44" x14ac:dyDescent="0.25">
      <c r="A16" s="79">
        <v>44572</v>
      </c>
      <c r="B16" s="86">
        <f>13267936-13261374</f>
        <v>6562</v>
      </c>
      <c r="C16" s="86">
        <f>8492821-8488773</f>
        <v>4048</v>
      </c>
      <c r="D16" s="86">
        <f>1681807-1680891</f>
        <v>916</v>
      </c>
      <c r="E16" s="86">
        <f>12714142-12707307</f>
        <v>6835</v>
      </c>
      <c r="F16" s="86">
        <f>12607624-12601525</f>
        <v>6099</v>
      </c>
      <c r="G16" s="86">
        <f>8883371-8880605</f>
        <v>2766</v>
      </c>
      <c r="H16" s="86">
        <f>9689058-9685297</f>
        <v>3761</v>
      </c>
      <c r="I16" s="86">
        <f>5645536-5643203</f>
        <v>2333</v>
      </c>
      <c r="J16" s="86">
        <f>12859259-12852091</f>
        <v>7168</v>
      </c>
      <c r="K16" s="86">
        <f t="shared" si="14"/>
        <v>30987</v>
      </c>
      <c r="L16" s="14">
        <f t="shared" si="8"/>
        <v>6197.4000000000005</v>
      </c>
      <c r="M16" s="83">
        <f>7873.33-7690.832</f>
        <v>182.49799999999959</v>
      </c>
      <c r="N16" s="83">
        <f>4656.318-4654.483</f>
        <v>1.8350000000000364</v>
      </c>
      <c r="O16" s="83">
        <f>10467.042-10466.821</f>
        <v>0.22099999999954889</v>
      </c>
      <c r="P16" s="82">
        <f>4068.928-3989.692</f>
        <v>79.235999999999876</v>
      </c>
      <c r="Q16" s="83">
        <f>26999.485-26989.286</f>
        <v>10.199000000000524</v>
      </c>
      <c r="R16" s="83">
        <f t="shared" si="0"/>
        <v>81.291999999999462</v>
      </c>
      <c r="S16" s="83">
        <f t="shared" si="1"/>
        <v>637.32927999999572</v>
      </c>
      <c r="T16" s="83">
        <f t="shared" si="2"/>
        <v>192.69700000000012</v>
      </c>
      <c r="U16" s="83">
        <f t="shared" si="15"/>
        <v>1510.744480000001</v>
      </c>
      <c r="V16" s="83">
        <f>393568-393334.7</f>
        <v>233.29999999998836</v>
      </c>
      <c r="W16" s="83">
        <f>145020.97-144850.92</f>
        <v>170.04999999998836</v>
      </c>
      <c r="X16" s="86" t="s">
        <v>63</v>
      </c>
      <c r="Y16" s="87">
        <v>975470</v>
      </c>
      <c r="Z16" s="5">
        <f t="shared" si="9"/>
        <v>775</v>
      </c>
      <c r="AA16" s="14">
        <f t="shared" si="6"/>
        <v>5014.25</v>
      </c>
      <c r="AB16" s="87">
        <v>10782170</v>
      </c>
      <c r="AC16" s="86">
        <f t="shared" si="10"/>
        <v>10771850</v>
      </c>
      <c r="AD16" s="5">
        <f t="shared" si="3"/>
        <v>10320</v>
      </c>
      <c r="AE16" s="83">
        <f t="shared" si="11"/>
        <v>3428.2524000000003</v>
      </c>
      <c r="AF16" s="83">
        <f>95962.8-95944.3</f>
        <v>18.5</v>
      </c>
      <c r="AG16" s="83">
        <f t="shared" si="16"/>
        <v>0</v>
      </c>
      <c r="AH16" s="83">
        <f>30316-30310</f>
        <v>6</v>
      </c>
      <c r="AI16" s="87">
        <f t="shared" si="12"/>
        <v>50442.2</v>
      </c>
      <c r="AJ16" s="87">
        <v>50464.1</v>
      </c>
      <c r="AK16" s="48">
        <f t="shared" si="7"/>
        <v>21.900000000001455</v>
      </c>
      <c r="AL16" s="89">
        <f t="shared" si="4"/>
        <v>6227.1584803714131</v>
      </c>
      <c r="AM16" s="83">
        <f t="shared" si="13"/>
        <v>2068.6309113869816</v>
      </c>
      <c r="AN16" s="5"/>
      <c r="AO16" s="78">
        <f t="shared" si="5"/>
        <v>16150.646880000004</v>
      </c>
    </row>
    <row r="17" spans="1:41" x14ac:dyDescent="0.25">
      <c r="A17" s="79">
        <v>44573</v>
      </c>
      <c r="B17" s="86">
        <f>13275122-13267936</f>
        <v>7186</v>
      </c>
      <c r="C17" s="86">
        <f>8496777-8492821</f>
        <v>3956</v>
      </c>
      <c r="D17" s="86">
        <f>1682731-1681807</f>
        <v>924</v>
      </c>
      <c r="E17" s="86">
        <f>12721350-12714142</f>
        <v>7208</v>
      </c>
      <c r="F17" s="86">
        <f>12614111-12607624</f>
        <v>6487</v>
      </c>
      <c r="G17" s="86">
        <f>8886298-8883371</f>
        <v>2927</v>
      </c>
      <c r="H17" s="86">
        <f>9692986-9689058</f>
        <v>3928</v>
      </c>
      <c r="I17" s="86">
        <f>5648000-5645536</f>
        <v>2464</v>
      </c>
      <c r="J17" s="86">
        <f>12866813-12859259</f>
        <v>7554</v>
      </c>
      <c r="K17" s="86">
        <f t="shared" si="14"/>
        <v>32616</v>
      </c>
      <c r="L17" s="14">
        <f t="shared" si="8"/>
        <v>6523.2000000000007</v>
      </c>
      <c r="M17" s="83">
        <f>8073.393-7873.33</f>
        <v>200.0630000000001</v>
      </c>
      <c r="N17" s="83">
        <f>4658.288-4656.318</f>
        <v>1.9699999999993452</v>
      </c>
      <c r="O17" s="83">
        <f>10467.132-10467.042</f>
        <v>9.0000000000145519E-2</v>
      </c>
      <c r="P17" s="82">
        <f>4145.4-4068.928</f>
        <v>76.471999999999753</v>
      </c>
      <c r="Q17" s="83">
        <f>27011.663-26999.485</f>
        <v>12.177999999999884</v>
      </c>
      <c r="R17" s="83">
        <f t="shared" si="0"/>
        <v>78.531999999999243</v>
      </c>
      <c r="S17" s="83">
        <f t="shared" si="1"/>
        <v>615.69087999999408</v>
      </c>
      <c r="T17" s="83">
        <f t="shared" si="2"/>
        <v>212.24099999999999</v>
      </c>
      <c r="U17" s="83">
        <f t="shared" si="15"/>
        <v>1663.9694399999998</v>
      </c>
      <c r="V17" s="83">
        <f>393794-393568</f>
        <v>226</v>
      </c>
      <c r="W17" s="83">
        <f>145190.64-145020.97</f>
        <v>169.67000000001281</v>
      </c>
      <c r="X17" s="86" t="s">
        <v>63</v>
      </c>
      <c r="Y17" s="87">
        <v>976231</v>
      </c>
      <c r="Z17" s="5">
        <f t="shared" si="9"/>
        <v>761</v>
      </c>
      <c r="AA17" s="14">
        <f t="shared" si="6"/>
        <v>4923.67</v>
      </c>
      <c r="AB17" s="87">
        <v>10793449</v>
      </c>
      <c r="AC17" s="86">
        <f t="shared" si="10"/>
        <v>10782170</v>
      </c>
      <c r="AD17" s="5">
        <f t="shared" si="3"/>
        <v>11279</v>
      </c>
      <c r="AE17" s="83">
        <f t="shared" si="11"/>
        <v>3746.827405</v>
      </c>
      <c r="AF17" s="83">
        <f>95982.8-95962.8</f>
        <v>20</v>
      </c>
      <c r="AG17" s="83">
        <f t="shared" si="16"/>
        <v>0</v>
      </c>
      <c r="AH17" s="83">
        <f>30322.7-30316</f>
        <v>6.7000000000007276</v>
      </c>
      <c r="AI17" s="87">
        <f t="shared" si="12"/>
        <v>50464.1</v>
      </c>
      <c r="AJ17" s="87">
        <v>50487.8</v>
      </c>
      <c r="AK17" s="48">
        <f t="shared" si="7"/>
        <v>23.700000000004366</v>
      </c>
      <c r="AL17" s="89">
        <f t="shared" si="4"/>
        <v>6738.9797253342413</v>
      </c>
      <c r="AM17" s="83">
        <f t="shared" si="13"/>
        <v>2238.6553698574085</v>
      </c>
      <c r="AN17" s="5"/>
      <c r="AO17" s="78">
        <f t="shared" si="5"/>
        <v>16857.666845</v>
      </c>
    </row>
    <row r="18" spans="1:41" x14ac:dyDescent="0.25">
      <c r="A18" s="79">
        <v>44574</v>
      </c>
      <c r="B18" s="86">
        <f>13281339-13275122</f>
        <v>6217</v>
      </c>
      <c r="C18" s="86">
        <f>8500173-8496777</f>
        <v>3396</v>
      </c>
      <c r="D18" s="86">
        <f>1683613-1682731</f>
        <v>882</v>
      </c>
      <c r="E18" s="86">
        <f>12727528-12721350</f>
        <v>6178</v>
      </c>
      <c r="F18" s="86">
        <f>12619689-12614111</f>
        <v>5578</v>
      </c>
      <c r="G18" s="86">
        <f>8888888-8886298</f>
        <v>2590</v>
      </c>
      <c r="H18" s="86">
        <f>9696485-9692986</f>
        <v>3499</v>
      </c>
      <c r="I18" s="86">
        <f>5650134-5648000</f>
        <v>2134</v>
      </c>
      <c r="J18" s="86">
        <f>12873571-12866813</f>
        <v>6758</v>
      </c>
      <c r="K18" s="86">
        <f t="shared" si="14"/>
        <v>28340</v>
      </c>
      <c r="L18" s="14">
        <f t="shared" si="8"/>
        <v>5668</v>
      </c>
      <c r="M18" s="83">
        <f>8254.839-8073.393</f>
        <v>181.44599999999991</v>
      </c>
      <c r="N18" s="83">
        <f>4662.229-4658.288</f>
        <v>3.941000000000713</v>
      </c>
      <c r="O18" s="83">
        <f>10467.251-10467.132</f>
        <v>0.11900000000059663</v>
      </c>
      <c r="P18" s="82">
        <f>4211.018-4145.4</f>
        <v>65.618000000000393</v>
      </c>
      <c r="Q18" s="83">
        <f>27023.833-27011.661</f>
        <v>12.171999999998661</v>
      </c>
      <c r="R18" s="83">
        <f t="shared" si="0"/>
        <v>69.678000000001703</v>
      </c>
      <c r="S18" s="83">
        <f t="shared" si="1"/>
        <v>546.27552000001333</v>
      </c>
      <c r="T18" s="83">
        <f t="shared" si="2"/>
        <v>193.61799999999857</v>
      </c>
      <c r="U18" s="83">
        <f t="shared" si="15"/>
        <v>1517.9651199999887</v>
      </c>
      <c r="V18" s="83">
        <f>394006.6-393794</f>
        <v>212.59999999997672</v>
      </c>
      <c r="W18" s="83">
        <f>145359.39-145190.64</f>
        <v>168.75</v>
      </c>
      <c r="X18" s="86" t="s">
        <v>63</v>
      </c>
      <c r="Y18" s="87">
        <v>976955</v>
      </c>
      <c r="Z18" s="5">
        <f t="shared" si="9"/>
        <v>724</v>
      </c>
      <c r="AA18" s="14">
        <f t="shared" si="6"/>
        <v>4684.28</v>
      </c>
      <c r="AB18" s="87">
        <v>10805340</v>
      </c>
      <c r="AC18" s="86">
        <f t="shared" si="10"/>
        <v>10793449</v>
      </c>
      <c r="AD18" s="5">
        <f t="shared" si="3"/>
        <v>11891</v>
      </c>
      <c r="AE18" s="83">
        <f t="shared" si="11"/>
        <v>3950.1307450000004</v>
      </c>
      <c r="AF18" s="82">
        <f>96004-95982.8</f>
        <v>21.19999999999709</v>
      </c>
      <c r="AG18" s="82">
        <f>50692.5-50692.5</f>
        <v>0</v>
      </c>
      <c r="AH18" s="82">
        <f>30329.3-30322.7</f>
        <v>6.5999999999985448</v>
      </c>
      <c r="AI18" s="87">
        <f t="shared" si="12"/>
        <v>50487.8</v>
      </c>
      <c r="AJ18" s="87">
        <v>50512.3</v>
      </c>
      <c r="AK18" s="48">
        <f t="shared" si="7"/>
        <v>24.5</v>
      </c>
      <c r="AL18" s="89">
        <f t="shared" si="4"/>
        <v>6966.4558342049995</v>
      </c>
      <c r="AM18" s="83">
        <f t="shared" si="13"/>
        <v>2314.22179584373</v>
      </c>
      <c r="AN18" s="5"/>
      <c r="AO18" s="78">
        <f t="shared" si="5"/>
        <v>15820.375864999989</v>
      </c>
    </row>
    <row r="19" spans="1:41" x14ac:dyDescent="0.25">
      <c r="A19" s="79">
        <v>44575</v>
      </c>
      <c r="B19" s="86"/>
      <c r="C19" s="86"/>
      <c r="D19" s="86"/>
      <c r="E19" s="86"/>
      <c r="F19" s="86"/>
      <c r="G19" s="86"/>
      <c r="H19" s="86"/>
      <c r="I19" s="86"/>
      <c r="J19" s="86"/>
      <c r="K19" s="86">
        <f t="shared" si="14"/>
        <v>0</v>
      </c>
      <c r="L19" s="14">
        <f t="shared" si="8"/>
        <v>0</v>
      </c>
      <c r="M19" s="83"/>
      <c r="N19" s="83"/>
      <c r="O19" s="83"/>
      <c r="P19" s="82"/>
      <c r="Q19" s="83"/>
      <c r="R19" s="83">
        <f t="shared" si="0"/>
        <v>0</v>
      </c>
      <c r="S19" s="83">
        <f t="shared" si="1"/>
        <v>0</v>
      </c>
      <c r="T19" s="83">
        <f t="shared" si="2"/>
        <v>0</v>
      </c>
      <c r="U19" s="83">
        <f t="shared" si="15"/>
        <v>0</v>
      </c>
      <c r="V19" s="83"/>
      <c r="W19" s="83"/>
      <c r="X19" s="86" t="s">
        <v>63</v>
      </c>
      <c r="Y19" s="87"/>
      <c r="Z19" s="5" t="str">
        <f t="shared" si="9"/>
        <v>0</v>
      </c>
      <c r="AA19" s="14">
        <f t="shared" si="6"/>
        <v>0</v>
      </c>
      <c r="AB19" s="87"/>
      <c r="AC19" s="86">
        <f t="shared" si="10"/>
        <v>10805340</v>
      </c>
      <c r="AD19" s="5" t="str">
        <f t="shared" si="3"/>
        <v>0</v>
      </c>
      <c r="AE19" s="83">
        <f t="shared" si="11"/>
        <v>0</v>
      </c>
      <c r="AF19" s="83"/>
      <c r="AG19" s="83"/>
      <c r="AH19" s="83"/>
      <c r="AI19" s="87">
        <f t="shared" si="12"/>
        <v>50512.3</v>
      </c>
      <c r="AJ19" s="87"/>
      <c r="AK19" s="48" t="str">
        <f t="shared" si="7"/>
        <v>0</v>
      </c>
      <c r="AL19" s="89">
        <f t="shared" si="4"/>
        <v>0</v>
      </c>
      <c r="AM19" s="83">
        <f t="shared" si="13"/>
        <v>0</v>
      </c>
      <c r="AN19" s="5"/>
      <c r="AO19" s="78">
        <f t="shared" si="5"/>
        <v>0</v>
      </c>
    </row>
    <row r="20" spans="1:41" x14ac:dyDescent="0.25">
      <c r="A20" s="79">
        <v>44576</v>
      </c>
      <c r="B20" s="86"/>
      <c r="C20" s="86"/>
      <c r="D20" s="86"/>
      <c r="E20" s="86"/>
      <c r="F20" s="86"/>
      <c r="G20" s="86"/>
      <c r="H20" s="86"/>
      <c r="I20" s="86"/>
      <c r="J20" s="86"/>
      <c r="K20" s="86">
        <f t="shared" si="14"/>
        <v>0</v>
      </c>
      <c r="L20" s="14">
        <f t="shared" si="8"/>
        <v>0</v>
      </c>
      <c r="M20" s="83"/>
      <c r="N20" s="83"/>
      <c r="O20" s="83"/>
      <c r="P20" s="82"/>
      <c r="Q20" s="83"/>
      <c r="R20" s="83">
        <f t="shared" si="0"/>
        <v>0</v>
      </c>
      <c r="S20" s="83">
        <f t="shared" si="1"/>
        <v>0</v>
      </c>
      <c r="T20" s="83">
        <f t="shared" si="2"/>
        <v>0</v>
      </c>
      <c r="U20" s="83">
        <f t="shared" si="15"/>
        <v>0</v>
      </c>
      <c r="V20" s="83"/>
      <c r="W20" s="83"/>
      <c r="X20" s="86" t="s">
        <v>63</v>
      </c>
      <c r="Y20" s="87"/>
      <c r="Z20" s="5">
        <f t="shared" si="9"/>
        <v>0</v>
      </c>
      <c r="AA20" s="14">
        <f t="shared" si="6"/>
        <v>0</v>
      </c>
      <c r="AB20" s="87"/>
      <c r="AC20" s="86">
        <f t="shared" si="10"/>
        <v>0</v>
      </c>
      <c r="AD20" s="5">
        <f t="shared" si="3"/>
        <v>0</v>
      </c>
      <c r="AE20" s="83">
        <f t="shared" si="11"/>
        <v>0</v>
      </c>
      <c r="AF20" s="83"/>
      <c r="AG20" s="83"/>
      <c r="AH20" s="83"/>
      <c r="AI20" s="87">
        <f t="shared" si="12"/>
        <v>0</v>
      </c>
      <c r="AJ20" s="87"/>
      <c r="AK20" s="48">
        <f t="shared" si="7"/>
        <v>0</v>
      </c>
      <c r="AL20" s="89">
        <f t="shared" si="4"/>
        <v>0</v>
      </c>
      <c r="AM20" s="83">
        <f t="shared" si="13"/>
        <v>0</v>
      </c>
      <c r="AN20" s="5"/>
      <c r="AO20" s="78">
        <f t="shared" si="5"/>
        <v>0</v>
      </c>
    </row>
    <row r="21" spans="1:41" x14ac:dyDescent="0.25">
      <c r="A21" s="79">
        <v>44577</v>
      </c>
      <c r="B21" s="86"/>
      <c r="C21" s="86"/>
      <c r="D21" s="86"/>
      <c r="E21" s="86"/>
      <c r="F21" s="86"/>
      <c r="G21" s="86"/>
      <c r="H21" s="86"/>
      <c r="I21" s="86"/>
      <c r="J21" s="86"/>
      <c r="K21" s="86">
        <f t="shared" si="14"/>
        <v>0</v>
      </c>
      <c r="L21" s="14">
        <f t="shared" si="8"/>
        <v>0</v>
      </c>
      <c r="M21" s="83"/>
      <c r="N21" s="83"/>
      <c r="O21" s="83"/>
      <c r="P21" s="82"/>
      <c r="Q21" s="83"/>
      <c r="R21" s="83">
        <f t="shared" si="0"/>
        <v>0</v>
      </c>
      <c r="S21" s="83">
        <f t="shared" si="1"/>
        <v>0</v>
      </c>
      <c r="T21" s="83">
        <f t="shared" si="2"/>
        <v>0</v>
      </c>
      <c r="U21" s="83">
        <f t="shared" si="15"/>
        <v>0</v>
      </c>
      <c r="V21" s="83"/>
      <c r="W21" s="83"/>
      <c r="X21" s="86" t="s">
        <v>63</v>
      </c>
      <c r="Y21" s="87"/>
      <c r="Z21" s="5">
        <f t="shared" si="9"/>
        <v>0</v>
      </c>
      <c r="AA21" s="14">
        <f t="shared" si="6"/>
        <v>0</v>
      </c>
      <c r="AB21" s="87"/>
      <c r="AC21" s="86">
        <f t="shared" si="10"/>
        <v>0</v>
      </c>
      <c r="AD21" s="5">
        <f t="shared" si="3"/>
        <v>0</v>
      </c>
      <c r="AE21" s="83">
        <f t="shared" si="11"/>
        <v>0</v>
      </c>
      <c r="AF21" s="83"/>
      <c r="AG21" s="83"/>
      <c r="AH21" s="83"/>
      <c r="AI21" s="87">
        <f t="shared" si="12"/>
        <v>0</v>
      </c>
      <c r="AJ21" s="87"/>
      <c r="AK21" s="48">
        <f t="shared" si="7"/>
        <v>0</v>
      </c>
      <c r="AL21" s="89">
        <f t="shared" si="4"/>
        <v>0</v>
      </c>
      <c r="AM21" s="83">
        <f t="shared" si="13"/>
        <v>0</v>
      </c>
      <c r="AN21" s="5"/>
      <c r="AO21" s="78">
        <f t="shared" si="5"/>
        <v>0</v>
      </c>
    </row>
    <row r="22" spans="1:41" x14ac:dyDescent="0.25">
      <c r="A22" s="79">
        <v>44578</v>
      </c>
      <c r="B22" s="86"/>
      <c r="C22" s="86"/>
      <c r="D22" s="86"/>
      <c r="E22" s="86"/>
      <c r="F22" s="86"/>
      <c r="G22" s="86"/>
      <c r="H22" s="86"/>
      <c r="I22" s="86"/>
      <c r="J22" s="86"/>
      <c r="K22" s="86">
        <f t="shared" si="14"/>
        <v>0</v>
      </c>
      <c r="L22" s="14">
        <f t="shared" si="8"/>
        <v>0</v>
      </c>
      <c r="M22" s="83"/>
      <c r="N22" s="83"/>
      <c r="O22" s="83"/>
      <c r="P22" s="82"/>
      <c r="Q22" s="83"/>
      <c r="R22" s="83">
        <f t="shared" si="0"/>
        <v>0</v>
      </c>
      <c r="S22" s="83">
        <f t="shared" si="1"/>
        <v>0</v>
      </c>
      <c r="T22" s="83">
        <f t="shared" si="2"/>
        <v>0</v>
      </c>
      <c r="U22" s="83">
        <f t="shared" si="15"/>
        <v>0</v>
      </c>
      <c r="V22" s="83"/>
      <c r="W22" s="83"/>
      <c r="X22" s="86" t="s">
        <v>63</v>
      </c>
      <c r="Y22" s="87"/>
      <c r="Z22" s="5">
        <f t="shared" si="9"/>
        <v>0</v>
      </c>
      <c r="AA22" s="14">
        <f t="shared" si="6"/>
        <v>0</v>
      </c>
      <c r="AB22" s="87"/>
      <c r="AC22" s="86">
        <f t="shared" si="10"/>
        <v>0</v>
      </c>
      <c r="AD22" s="5">
        <f t="shared" si="3"/>
        <v>0</v>
      </c>
      <c r="AE22" s="83">
        <f t="shared" si="11"/>
        <v>0</v>
      </c>
      <c r="AF22" s="83"/>
      <c r="AG22" s="83"/>
      <c r="AH22" s="83"/>
      <c r="AI22" s="87">
        <f t="shared" si="12"/>
        <v>0</v>
      </c>
      <c r="AJ22" s="87"/>
      <c r="AK22" s="48">
        <f t="shared" si="7"/>
        <v>0</v>
      </c>
      <c r="AL22" s="89">
        <f t="shared" si="4"/>
        <v>0</v>
      </c>
      <c r="AM22" s="83">
        <f t="shared" si="13"/>
        <v>0</v>
      </c>
      <c r="AN22" s="5"/>
      <c r="AO22" s="78">
        <f t="shared" si="5"/>
        <v>0</v>
      </c>
    </row>
    <row r="23" spans="1:41" x14ac:dyDescent="0.25">
      <c r="A23" s="79">
        <v>44579</v>
      </c>
      <c r="B23" s="86"/>
      <c r="C23" s="86"/>
      <c r="D23" s="86"/>
      <c r="E23" s="86"/>
      <c r="F23" s="86"/>
      <c r="G23" s="86"/>
      <c r="H23" s="86"/>
      <c r="I23" s="86"/>
      <c r="J23" s="86"/>
      <c r="K23" s="86">
        <f t="shared" si="14"/>
        <v>0</v>
      </c>
      <c r="L23" s="14">
        <f t="shared" si="8"/>
        <v>0</v>
      </c>
      <c r="M23" s="83"/>
      <c r="N23" s="83"/>
      <c r="O23" s="83"/>
      <c r="P23" s="82"/>
      <c r="Q23" s="83"/>
      <c r="R23" s="83">
        <f t="shared" si="0"/>
        <v>0</v>
      </c>
      <c r="S23" s="83">
        <f t="shared" si="1"/>
        <v>0</v>
      </c>
      <c r="T23" s="83">
        <f t="shared" si="2"/>
        <v>0</v>
      </c>
      <c r="U23" s="83">
        <f t="shared" si="15"/>
        <v>0</v>
      </c>
      <c r="V23" s="83"/>
      <c r="W23" s="83"/>
      <c r="X23" s="86" t="s">
        <v>63</v>
      </c>
      <c r="Y23" s="87"/>
      <c r="Z23" s="5">
        <f t="shared" si="9"/>
        <v>0</v>
      </c>
      <c r="AA23" s="14">
        <f t="shared" si="6"/>
        <v>0</v>
      </c>
      <c r="AB23" s="87"/>
      <c r="AC23" s="86">
        <f t="shared" si="10"/>
        <v>0</v>
      </c>
      <c r="AD23" s="5">
        <f t="shared" si="3"/>
        <v>0</v>
      </c>
      <c r="AE23" s="83">
        <f t="shared" si="11"/>
        <v>0</v>
      </c>
      <c r="AF23" s="83"/>
      <c r="AG23" s="83"/>
      <c r="AH23" s="83"/>
      <c r="AI23" s="87">
        <f t="shared" si="12"/>
        <v>0</v>
      </c>
      <c r="AJ23" s="87"/>
      <c r="AK23" s="48">
        <f t="shared" si="7"/>
        <v>0</v>
      </c>
      <c r="AL23" s="89">
        <f t="shared" si="4"/>
        <v>0</v>
      </c>
      <c r="AM23" s="83">
        <f t="shared" si="13"/>
        <v>0</v>
      </c>
      <c r="AN23" s="5"/>
      <c r="AO23" s="78">
        <f t="shared" si="5"/>
        <v>0</v>
      </c>
    </row>
    <row r="24" spans="1:41" x14ac:dyDescent="0.25">
      <c r="A24" s="79">
        <v>44580</v>
      </c>
      <c r="B24" s="86"/>
      <c r="C24" s="86"/>
      <c r="D24" s="86"/>
      <c r="E24" s="86"/>
      <c r="F24" s="86"/>
      <c r="G24" s="86"/>
      <c r="H24" s="86"/>
      <c r="I24" s="86"/>
      <c r="J24" s="86"/>
      <c r="K24" s="86">
        <f t="shared" si="14"/>
        <v>0</v>
      </c>
      <c r="L24" s="14">
        <f t="shared" si="8"/>
        <v>0</v>
      </c>
      <c r="M24" s="83"/>
      <c r="N24" s="83"/>
      <c r="O24" s="83"/>
      <c r="P24" s="82"/>
      <c r="Q24" s="83"/>
      <c r="R24" s="83">
        <f t="shared" si="0"/>
        <v>0</v>
      </c>
      <c r="S24" s="83">
        <f t="shared" si="1"/>
        <v>0</v>
      </c>
      <c r="T24" s="83">
        <f t="shared" si="2"/>
        <v>0</v>
      </c>
      <c r="U24" s="83">
        <f t="shared" si="15"/>
        <v>0</v>
      </c>
      <c r="V24" s="83"/>
      <c r="W24" s="83"/>
      <c r="X24" s="86" t="s">
        <v>63</v>
      </c>
      <c r="Y24" s="87"/>
      <c r="Z24" s="5">
        <f t="shared" si="9"/>
        <v>0</v>
      </c>
      <c r="AA24" s="14">
        <f t="shared" si="6"/>
        <v>0</v>
      </c>
      <c r="AB24" s="87"/>
      <c r="AC24" s="86">
        <f t="shared" si="10"/>
        <v>0</v>
      </c>
      <c r="AD24" s="5">
        <f t="shared" si="3"/>
        <v>0</v>
      </c>
      <c r="AE24" s="83">
        <f t="shared" si="11"/>
        <v>0</v>
      </c>
      <c r="AF24" s="83"/>
      <c r="AG24" s="83"/>
      <c r="AH24" s="83"/>
      <c r="AI24" s="87">
        <f t="shared" si="12"/>
        <v>0</v>
      </c>
      <c r="AJ24" s="87"/>
      <c r="AK24" s="48">
        <f t="shared" si="7"/>
        <v>0</v>
      </c>
      <c r="AL24" s="89">
        <f t="shared" si="4"/>
        <v>0</v>
      </c>
      <c r="AM24" s="83">
        <f t="shared" si="13"/>
        <v>0</v>
      </c>
      <c r="AN24" s="5"/>
      <c r="AO24" s="78">
        <f t="shared" si="5"/>
        <v>0</v>
      </c>
    </row>
    <row r="25" spans="1:41" x14ac:dyDescent="0.25">
      <c r="A25" s="79">
        <v>44581</v>
      </c>
      <c r="B25" s="86"/>
      <c r="C25" s="86"/>
      <c r="D25" s="86"/>
      <c r="E25" s="86"/>
      <c r="F25" s="86"/>
      <c r="G25" s="86"/>
      <c r="H25" s="86"/>
      <c r="I25" s="86"/>
      <c r="J25" s="86"/>
      <c r="K25" s="86">
        <f t="shared" si="14"/>
        <v>0</v>
      </c>
      <c r="L25" s="14">
        <f t="shared" si="8"/>
        <v>0</v>
      </c>
      <c r="M25" s="83"/>
      <c r="N25" s="83"/>
      <c r="O25" s="83"/>
      <c r="P25" s="82"/>
      <c r="Q25" s="83"/>
      <c r="R25" s="83">
        <f t="shared" si="0"/>
        <v>0</v>
      </c>
      <c r="S25" s="83">
        <f t="shared" si="1"/>
        <v>0</v>
      </c>
      <c r="T25" s="83">
        <f t="shared" si="2"/>
        <v>0</v>
      </c>
      <c r="U25" s="83">
        <f t="shared" si="15"/>
        <v>0</v>
      </c>
      <c r="V25" s="83"/>
      <c r="W25" s="83"/>
      <c r="X25" s="86" t="s">
        <v>63</v>
      </c>
      <c r="Y25" s="87"/>
      <c r="Z25" s="5">
        <f t="shared" si="9"/>
        <v>0</v>
      </c>
      <c r="AA25" s="14">
        <f t="shared" si="6"/>
        <v>0</v>
      </c>
      <c r="AB25" s="87"/>
      <c r="AC25" s="86">
        <f t="shared" si="10"/>
        <v>0</v>
      </c>
      <c r="AD25" s="5">
        <f t="shared" si="3"/>
        <v>0</v>
      </c>
      <c r="AE25" s="83">
        <f t="shared" si="11"/>
        <v>0</v>
      </c>
      <c r="AF25" s="83"/>
      <c r="AG25" s="83"/>
      <c r="AH25" s="83"/>
      <c r="AI25" s="87">
        <f t="shared" si="12"/>
        <v>0</v>
      </c>
      <c r="AJ25" s="87"/>
      <c r="AK25" s="48">
        <f t="shared" si="7"/>
        <v>0</v>
      </c>
      <c r="AL25" s="89">
        <f t="shared" si="4"/>
        <v>0</v>
      </c>
      <c r="AM25" s="83">
        <f t="shared" si="13"/>
        <v>0</v>
      </c>
      <c r="AN25" s="5"/>
      <c r="AO25" s="78">
        <f t="shared" si="5"/>
        <v>0</v>
      </c>
    </row>
    <row r="26" spans="1:41" x14ac:dyDescent="0.25">
      <c r="A26" s="79">
        <v>44582</v>
      </c>
      <c r="B26" s="86"/>
      <c r="C26" s="86"/>
      <c r="D26" s="86"/>
      <c r="E26" s="86"/>
      <c r="F26" s="86"/>
      <c r="G26" s="86"/>
      <c r="H26" s="86"/>
      <c r="I26" s="86"/>
      <c r="J26" s="86"/>
      <c r="K26" s="86">
        <f t="shared" si="14"/>
        <v>0</v>
      </c>
      <c r="L26" s="14">
        <f t="shared" si="8"/>
        <v>0</v>
      </c>
      <c r="M26" s="83"/>
      <c r="N26" s="83"/>
      <c r="O26" s="83"/>
      <c r="P26" s="82"/>
      <c r="Q26" s="83"/>
      <c r="R26" s="83">
        <f t="shared" si="0"/>
        <v>0</v>
      </c>
      <c r="S26" s="83">
        <f t="shared" si="1"/>
        <v>0</v>
      </c>
      <c r="T26" s="83">
        <f t="shared" si="2"/>
        <v>0</v>
      </c>
      <c r="U26" s="83">
        <f t="shared" si="15"/>
        <v>0</v>
      </c>
      <c r="V26" s="83"/>
      <c r="W26" s="83"/>
      <c r="X26" s="86" t="s">
        <v>63</v>
      </c>
      <c r="Y26" s="87"/>
      <c r="Z26" s="5">
        <f t="shared" si="9"/>
        <v>0</v>
      </c>
      <c r="AA26" s="14">
        <f t="shared" si="6"/>
        <v>0</v>
      </c>
      <c r="AB26" s="87"/>
      <c r="AC26" s="86">
        <f t="shared" si="10"/>
        <v>0</v>
      </c>
      <c r="AD26" s="5">
        <f t="shared" si="3"/>
        <v>0</v>
      </c>
      <c r="AE26" s="83">
        <f t="shared" si="11"/>
        <v>0</v>
      </c>
      <c r="AF26" s="83"/>
      <c r="AG26" s="83"/>
      <c r="AH26" s="83"/>
      <c r="AI26" s="87">
        <f t="shared" si="12"/>
        <v>0</v>
      </c>
      <c r="AJ26" s="87"/>
      <c r="AK26" s="48">
        <f t="shared" si="7"/>
        <v>0</v>
      </c>
      <c r="AL26" s="89">
        <f t="shared" si="4"/>
        <v>0</v>
      </c>
      <c r="AM26" s="83">
        <f t="shared" si="13"/>
        <v>0</v>
      </c>
      <c r="AN26" s="5"/>
      <c r="AO26" s="78">
        <f t="shared" si="5"/>
        <v>0</v>
      </c>
    </row>
    <row r="27" spans="1:41" x14ac:dyDescent="0.25">
      <c r="A27" s="79">
        <v>44583</v>
      </c>
      <c r="B27" s="86"/>
      <c r="C27" s="86"/>
      <c r="D27" s="86"/>
      <c r="E27" s="86"/>
      <c r="F27" s="86"/>
      <c r="G27" s="86"/>
      <c r="H27" s="86"/>
      <c r="I27" s="86"/>
      <c r="J27" s="86"/>
      <c r="K27" s="86">
        <f t="shared" si="14"/>
        <v>0</v>
      </c>
      <c r="L27" s="14">
        <f t="shared" si="8"/>
        <v>0</v>
      </c>
      <c r="M27" s="83"/>
      <c r="N27" s="83"/>
      <c r="O27" s="83"/>
      <c r="P27" s="82"/>
      <c r="Q27" s="83"/>
      <c r="R27" s="83">
        <f t="shared" si="0"/>
        <v>0</v>
      </c>
      <c r="S27" s="83">
        <f t="shared" si="1"/>
        <v>0</v>
      </c>
      <c r="T27" s="83">
        <f t="shared" si="2"/>
        <v>0</v>
      </c>
      <c r="U27" s="83">
        <f t="shared" si="15"/>
        <v>0</v>
      </c>
      <c r="V27" s="83"/>
      <c r="W27" s="83"/>
      <c r="X27" s="86" t="s">
        <v>63</v>
      </c>
      <c r="Y27" s="87"/>
      <c r="Z27" s="5">
        <f t="shared" si="9"/>
        <v>0</v>
      </c>
      <c r="AA27" s="14">
        <f t="shared" si="6"/>
        <v>0</v>
      </c>
      <c r="AB27" s="87"/>
      <c r="AC27" s="86">
        <f t="shared" si="10"/>
        <v>0</v>
      </c>
      <c r="AD27" s="5">
        <f t="shared" si="3"/>
        <v>0</v>
      </c>
      <c r="AE27" s="83">
        <f t="shared" si="11"/>
        <v>0</v>
      </c>
      <c r="AF27" s="83"/>
      <c r="AG27" s="83"/>
      <c r="AH27" s="83"/>
      <c r="AI27" s="87">
        <f t="shared" si="12"/>
        <v>0</v>
      </c>
      <c r="AJ27" s="87"/>
      <c r="AK27" s="48">
        <f t="shared" si="7"/>
        <v>0</v>
      </c>
      <c r="AL27" s="89">
        <f t="shared" si="4"/>
        <v>0</v>
      </c>
      <c r="AM27" s="83">
        <f t="shared" si="13"/>
        <v>0</v>
      </c>
      <c r="AN27" s="5"/>
      <c r="AO27" s="78">
        <f t="shared" si="5"/>
        <v>0</v>
      </c>
    </row>
    <row r="28" spans="1:41" x14ac:dyDescent="0.25">
      <c r="A28" s="79">
        <v>44584</v>
      </c>
      <c r="B28" s="86"/>
      <c r="C28" s="86"/>
      <c r="D28" s="86"/>
      <c r="E28" s="86"/>
      <c r="F28" s="86"/>
      <c r="G28" s="86"/>
      <c r="H28" s="86"/>
      <c r="I28" s="86"/>
      <c r="J28" s="86"/>
      <c r="K28" s="86">
        <f t="shared" si="14"/>
        <v>0</v>
      </c>
      <c r="L28" s="14">
        <f t="shared" si="8"/>
        <v>0</v>
      </c>
      <c r="M28" s="83"/>
      <c r="N28" s="83"/>
      <c r="O28" s="83"/>
      <c r="P28" s="82"/>
      <c r="Q28" s="83"/>
      <c r="R28" s="83">
        <f t="shared" si="0"/>
        <v>0</v>
      </c>
      <c r="S28" s="83">
        <f t="shared" si="1"/>
        <v>0</v>
      </c>
      <c r="T28" s="83">
        <f t="shared" si="2"/>
        <v>0</v>
      </c>
      <c r="U28" s="83">
        <f t="shared" si="15"/>
        <v>0</v>
      </c>
      <c r="V28" s="83"/>
      <c r="W28" s="83"/>
      <c r="X28" s="86" t="s">
        <v>63</v>
      </c>
      <c r="Y28" s="87"/>
      <c r="Z28" s="5">
        <f t="shared" si="9"/>
        <v>0</v>
      </c>
      <c r="AA28" s="14">
        <f t="shared" si="6"/>
        <v>0</v>
      </c>
      <c r="AB28" s="87"/>
      <c r="AC28" s="86">
        <f t="shared" si="10"/>
        <v>0</v>
      </c>
      <c r="AD28" s="5">
        <f t="shared" si="3"/>
        <v>0</v>
      </c>
      <c r="AE28" s="83">
        <f t="shared" si="11"/>
        <v>0</v>
      </c>
      <c r="AF28" s="83"/>
      <c r="AG28" s="83"/>
      <c r="AH28" s="83"/>
      <c r="AI28" s="87">
        <f t="shared" si="12"/>
        <v>0</v>
      </c>
      <c r="AJ28" s="87"/>
      <c r="AK28" s="48">
        <f t="shared" si="7"/>
        <v>0</v>
      </c>
      <c r="AL28" s="89">
        <f t="shared" si="4"/>
        <v>0</v>
      </c>
      <c r="AM28" s="83">
        <f t="shared" si="13"/>
        <v>0</v>
      </c>
      <c r="AN28" s="5"/>
      <c r="AO28" s="78">
        <f t="shared" si="5"/>
        <v>0</v>
      </c>
    </row>
    <row r="29" spans="1:41" x14ac:dyDescent="0.25">
      <c r="A29" s="79">
        <v>44585</v>
      </c>
      <c r="B29" s="86"/>
      <c r="C29" s="86"/>
      <c r="D29" s="86"/>
      <c r="E29" s="86"/>
      <c r="F29" s="86"/>
      <c r="G29" s="86"/>
      <c r="H29" s="86"/>
      <c r="I29" s="86"/>
      <c r="J29" s="86"/>
      <c r="K29" s="86">
        <f t="shared" si="14"/>
        <v>0</v>
      </c>
      <c r="L29" s="14">
        <f t="shared" si="8"/>
        <v>0</v>
      </c>
      <c r="M29" s="83"/>
      <c r="N29" s="83"/>
      <c r="O29" s="83"/>
      <c r="P29" s="82"/>
      <c r="Q29" s="83"/>
      <c r="R29" s="83">
        <f t="shared" si="0"/>
        <v>0</v>
      </c>
      <c r="S29" s="83">
        <f t="shared" si="1"/>
        <v>0</v>
      </c>
      <c r="T29" s="83">
        <f t="shared" si="2"/>
        <v>0</v>
      </c>
      <c r="U29" s="83">
        <f t="shared" si="15"/>
        <v>0</v>
      </c>
      <c r="V29" s="83"/>
      <c r="W29" s="83"/>
      <c r="X29" s="86" t="s">
        <v>63</v>
      </c>
      <c r="Y29" s="87"/>
      <c r="Z29" s="5">
        <f t="shared" si="9"/>
        <v>0</v>
      </c>
      <c r="AA29" s="14">
        <f t="shared" si="6"/>
        <v>0</v>
      </c>
      <c r="AB29" s="87"/>
      <c r="AC29" s="86">
        <f t="shared" si="10"/>
        <v>0</v>
      </c>
      <c r="AD29" s="5">
        <f t="shared" si="3"/>
        <v>0</v>
      </c>
      <c r="AE29" s="83">
        <f t="shared" si="11"/>
        <v>0</v>
      </c>
      <c r="AF29" s="83"/>
      <c r="AG29" s="83"/>
      <c r="AH29" s="83"/>
      <c r="AI29" s="87">
        <f t="shared" si="12"/>
        <v>0</v>
      </c>
      <c r="AJ29" s="87"/>
      <c r="AK29" s="48">
        <f t="shared" si="7"/>
        <v>0</v>
      </c>
      <c r="AL29" s="89">
        <f t="shared" si="4"/>
        <v>0</v>
      </c>
      <c r="AM29" s="83">
        <f t="shared" si="13"/>
        <v>0</v>
      </c>
      <c r="AN29" s="5"/>
      <c r="AO29" s="78">
        <f t="shared" si="5"/>
        <v>0</v>
      </c>
    </row>
    <row r="30" spans="1:41" x14ac:dyDescent="0.25">
      <c r="A30" s="79">
        <v>44586</v>
      </c>
      <c r="B30" s="86"/>
      <c r="C30" s="86"/>
      <c r="D30" s="86"/>
      <c r="E30" s="86"/>
      <c r="F30" s="86"/>
      <c r="G30" s="86"/>
      <c r="H30" s="86"/>
      <c r="I30" s="86"/>
      <c r="J30" s="86"/>
      <c r="K30" s="86">
        <f t="shared" si="14"/>
        <v>0</v>
      </c>
      <c r="L30" s="14">
        <f t="shared" si="8"/>
        <v>0</v>
      </c>
      <c r="M30" s="83"/>
      <c r="N30" s="83"/>
      <c r="O30" s="83"/>
      <c r="P30" s="82"/>
      <c r="Q30" s="83"/>
      <c r="R30" s="83">
        <f t="shared" si="0"/>
        <v>0</v>
      </c>
      <c r="S30" s="83">
        <f t="shared" si="1"/>
        <v>0</v>
      </c>
      <c r="T30" s="83">
        <f t="shared" si="2"/>
        <v>0</v>
      </c>
      <c r="U30" s="83">
        <f t="shared" si="15"/>
        <v>0</v>
      </c>
      <c r="V30" s="83"/>
      <c r="W30" s="83"/>
      <c r="X30" s="86" t="s">
        <v>63</v>
      </c>
      <c r="Y30" s="87"/>
      <c r="Z30" s="5">
        <f t="shared" si="9"/>
        <v>0</v>
      </c>
      <c r="AA30" s="14">
        <f t="shared" si="6"/>
        <v>0</v>
      </c>
      <c r="AB30" s="87"/>
      <c r="AC30" s="86">
        <f t="shared" si="10"/>
        <v>0</v>
      </c>
      <c r="AD30" s="5">
        <f t="shared" si="3"/>
        <v>0</v>
      </c>
      <c r="AE30" s="83">
        <f t="shared" si="11"/>
        <v>0</v>
      </c>
      <c r="AF30" s="83"/>
      <c r="AG30" s="83"/>
      <c r="AH30" s="83"/>
      <c r="AI30" s="87">
        <f t="shared" si="12"/>
        <v>0</v>
      </c>
      <c r="AJ30" s="87"/>
      <c r="AK30" s="48">
        <f t="shared" si="7"/>
        <v>0</v>
      </c>
      <c r="AL30" s="89">
        <f t="shared" si="4"/>
        <v>0</v>
      </c>
      <c r="AM30" s="83">
        <f t="shared" si="13"/>
        <v>0</v>
      </c>
      <c r="AN30" s="5"/>
      <c r="AO30" s="78">
        <f t="shared" si="5"/>
        <v>0</v>
      </c>
    </row>
    <row r="31" spans="1:41" x14ac:dyDescent="0.25">
      <c r="A31" s="79">
        <v>44587</v>
      </c>
      <c r="B31" s="86"/>
      <c r="C31" s="86"/>
      <c r="D31" s="86"/>
      <c r="E31" s="86"/>
      <c r="F31" s="86"/>
      <c r="G31" s="86"/>
      <c r="H31" s="86"/>
      <c r="I31" s="86"/>
      <c r="J31" s="86"/>
      <c r="K31" s="86">
        <f t="shared" si="14"/>
        <v>0</v>
      </c>
      <c r="L31" s="14">
        <f t="shared" si="8"/>
        <v>0</v>
      </c>
      <c r="M31" s="83"/>
      <c r="N31" s="83"/>
      <c r="O31" s="83"/>
      <c r="P31" s="83"/>
      <c r="Q31" s="83"/>
      <c r="R31" s="83">
        <f t="shared" si="0"/>
        <v>0</v>
      </c>
      <c r="S31" s="83">
        <f t="shared" si="1"/>
        <v>0</v>
      </c>
      <c r="T31" s="83">
        <f t="shared" si="2"/>
        <v>0</v>
      </c>
      <c r="U31" s="83">
        <f t="shared" si="15"/>
        <v>0</v>
      </c>
      <c r="V31" s="122"/>
      <c r="W31" s="122"/>
      <c r="X31" s="86" t="s">
        <v>63</v>
      </c>
      <c r="Y31" s="87"/>
      <c r="Z31" s="5">
        <f t="shared" si="9"/>
        <v>0</v>
      </c>
      <c r="AA31" s="14">
        <f t="shared" si="6"/>
        <v>0</v>
      </c>
      <c r="AB31" s="87"/>
      <c r="AC31" s="86">
        <f t="shared" si="10"/>
        <v>0</v>
      </c>
      <c r="AD31" s="5">
        <f t="shared" si="3"/>
        <v>0</v>
      </c>
      <c r="AE31" s="83">
        <f t="shared" si="11"/>
        <v>0</v>
      </c>
      <c r="AF31" s="83"/>
      <c r="AG31" s="83"/>
      <c r="AH31" s="83"/>
      <c r="AI31" s="87">
        <f t="shared" si="12"/>
        <v>0</v>
      </c>
      <c r="AJ31" s="87"/>
      <c r="AK31" s="48">
        <f t="shared" si="7"/>
        <v>0</v>
      </c>
      <c r="AL31" s="89">
        <f t="shared" si="4"/>
        <v>0</v>
      </c>
      <c r="AM31" s="83">
        <f t="shared" si="13"/>
        <v>0</v>
      </c>
      <c r="AN31" s="5"/>
      <c r="AO31" s="78">
        <f t="shared" si="5"/>
        <v>0</v>
      </c>
    </row>
    <row r="32" spans="1:41" x14ac:dyDescent="0.25">
      <c r="A32" s="79">
        <v>44588</v>
      </c>
      <c r="B32" s="86"/>
      <c r="C32" s="86"/>
      <c r="D32" s="86"/>
      <c r="E32" s="86"/>
      <c r="F32" s="86"/>
      <c r="G32" s="86"/>
      <c r="H32" s="86"/>
      <c r="I32" s="86"/>
      <c r="J32" s="86"/>
      <c r="K32" s="86">
        <f t="shared" si="14"/>
        <v>0</v>
      </c>
      <c r="L32" s="14">
        <f t="shared" si="8"/>
        <v>0</v>
      </c>
      <c r="M32" s="83"/>
      <c r="N32" s="83"/>
      <c r="O32" s="83"/>
      <c r="P32" s="82"/>
      <c r="Q32" s="83"/>
      <c r="R32" s="83">
        <f t="shared" si="0"/>
        <v>0</v>
      </c>
      <c r="S32" s="83">
        <f t="shared" si="1"/>
        <v>0</v>
      </c>
      <c r="T32" s="83">
        <f t="shared" si="2"/>
        <v>0</v>
      </c>
      <c r="U32" s="83">
        <f t="shared" si="15"/>
        <v>0</v>
      </c>
      <c r="V32" s="122"/>
      <c r="W32" s="122"/>
      <c r="X32" s="86" t="s">
        <v>63</v>
      </c>
      <c r="Y32" s="87"/>
      <c r="Z32" s="5">
        <f t="shared" si="9"/>
        <v>0</v>
      </c>
      <c r="AA32" s="14">
        <f t="shared" si="6"/>
        <v>0</v>
      </c>
      <c r="AB32" s="87"/>
      <c r="AC32" s="86">
        <f t="shared" si="10"/>
        <v>0</v>
      </c>
      <c r="AD32" s="5">
        <f t="shared" si="3"/>
        <v>0</v>
      </c>
      <c r="AE32" s="83">
        <f t="shared" si="11"/>
        <v>0</v>
      </c>
      <c r="AF32" s="83"/>
      <c r="AG32" s="83"/>
      <c r="AH32" s="83"/>
      <c r="AI32" s="87">
        <f t="shared" si="12"/>
        <v>0</v>
      </c>
      <c r="AJ32" s="87"/>
      <c r="AK32" s="48">
        <f t="shared" si="7"/>
        <v>0</v>
      </c>
      <c r="AL32" s="89">
        <f t="shared" si="4"/>
        <v>0</v>
      </c>
      <c r="AM32" s="83">
        <f t="shared" si="13"/>
        <v>0</v>
      </c>
      <c r="AN32" s="5"/>
      <c r="AO32" s="78">
        <f t="shared" si="5"/>
        <v>0</v>
      </c>
    </row>
    <row r="33" spans="1:41" x14ac:dyDescent="0.25">
      <c r="A33" s="79">
        <v>44589</v>
      </c>
      <c r="B33" s="86"/>
      <c r="C33" s="86"/>
      <c r="D33" s="86"/>
      <c r="E33" s="86"/>
      <c r="F33" s="86"/>
      <c r="G33" s="86"/>
      <c r="H33" s="86"/>
      <c r="I33" s="86"/>
      <c r="J33" s="86"/>
      <c r="K33" s="86">
        <f t="shared" si="14"/>
        <v>0</v>
      </c>
      <c r="L33" s="14">
        <f t="shared" si="8"/>
        <v>0</v>
      </c>
      <c r="M33" s="83"/>
      <c r="N33" s="83"/>
      <c r="O33" s="83"/>
      <c r="P33" s="82"/>
      <c r="Q33" s="83"/>
      <c r="R33" s="83">
        <f t="shared" si="0"/>
        <v>0</v>
      </c>
      <c r="S33" s="83">
        <f t="shared" si="1"/>
        <v>0</v>
      </c>
      <c r="T33" s="83">
        <f t="shared" si="2"/>
        <v>0</v>
      </c>
      <c r="U33" s="83">
        <f t="shared" si="15"/>
        <v>0</v>
      </c>
      <c r="V33" s="122"/>
      <c r="W33" s="122"/>
      <c r="X33" s="86" t="s">
        <v>63</v>
      </c>
      <c r="Y33" s="87"/>
      <c r="Z33" s="5">
        <f t="shared" si="9"/>
        <v>0</v>
      </c>
      <c r="AA33" s="14">
        <f t="shared" si="6"/>
        <v>0</v>
      </c>
      <c r="AB33" s="87"/>
      <c r="AC33" s="86">
        <f t="shared" si="10"/>
        <v>0</v>
      </c>
      <c r="AD33" s="5">
        <f t="shared" si="3"/>
        <v>0</v>
      </c>
      <c r="AE33" s="83">
        <f t="shared" si="11"/>
        <v>0</v>
      </c>
      <c r="AF33" s="83"/>
      <c r="AG33" s="83"/>
      <c r="AH33" s="83"/>
      <c r="AI33" s="87">
        <f t="shared" si="12"/>
        <v>0</v>
      </c>
      <c r="AJ33" s="87"/>
      <c r="AK33" s="48">
        <f t="shared" si="7"/>
        <v>0</v>
      </c>
      <c r="AL33" s="89">
        <f t="shared" si="4"/>
        <v>0</v>
      </c>
      <c r="AM33" s="83">
        <f t="shared" si="13"/>
        <v>0</v>
      </c>
      <c r="AN33" s="5"/>
      <c r="AO33" s="78">
        <f t="shared" si="5"/>
        <v>0</v>
      </c>
    </row>
    <row r="34" spans="1:41" x14ac:dyDescent="0.25">
      <c r="A34" s="79">
        <v>44590</v>
      </c>
      <c r="B34" s="86"/>
      <c r="C34" s="86"/>
      <c r="D34" s="86"/>
      <c r="E34" s="86"/>
      <c r="F34" s="86"/>
      <c r="G34" s="86"/>
      <c r="H34" s="86"/>
      <c r="I34" s="86"/>
      <c r="J34" s="86"/>
      <c r="K34" s="86">
        <f t="shared" si="14"/>
        <v>0</v>
      </c>
      <c r="L34" s="14">
        <f t="shared" si="8"/>
        <v>0</v>
      </c>
      <c r="M34" s="83"/>
      <c r="N34" s="83"/>
      <c r="O34" s="83"/>
      <c r="P34" s="82"/>
      <c r="Q34" s="83"/>
      <c r="R34" s="83">
        <f t="shared" si="0"/>
        <v>0</v>
      </c>
      <c r="S34" s="83">
        <f t="shared" si="1"/>
        <v>0</v>
      </c>
      <c r="T34" s="83">
        <f t="shared" si="2"/>
        <v>0</v>
      </c>
      <c r="U34" s="83">
        <f t="shared" si="15"/>
        <v>0</v>
      </c>
      <c r="V34" s="122"/>
      <c r="W34" s="122"/>
      <c r="X34" s="86" t="s">
        <v>63</v>
      </c>
      <c r="Y34" s="87"/>
      <c r="Z34" s="5">
        <f t="shared" si="9"/>
        <v>0</v>
      </c>
      <c r="AA34" s="14">
        <f t="shared" si="6"/>
        <v>0</v>
      </c>
      <c r="AB34" s="87"/>
      <c r="AC34" s="86">
        <f t="shared" si="10"/>
        <v>0</v>
      </c>
      <c r="AD34" s="5">
        <f t="shared" si="3"/>
        <v>0</v>
      </c>
      <c r="AE34" s="83">
        <f t="shared" si="11"/>
        <v>0</v>
      </c>
      <c r="AF34" s="83"/>
      <c r="AG34" s="83"/>
      <c r="AH34" s="83"/>
      <c r="AI34" s="87">
        <f t="shared" si="12"/>
        <v>0</v>
      </c>
      <c r="AJ34" s="87"/>
      <c r="AK34" s="48">
        <f t="shared" si="7"/>
        <v>0</v>
      </c>
      <c r="AL34" s="89">
        <f t="shared" si="4"/>
        <v>0</v>
      </c>
      <c r="AM34" s="83">
        <f t="shared" si="13"/>
        <v>0</v>
      </c>
      <c r="AN34" s="5"/>
      <c r="AO34" s="78">
        <f t="shared" si="5"/>
        <v>0</v>
      </c>
    </row>
    <row r="35" spans="1:41" x14ac:dyDescent="0.25">
      <c r="A35" s="79">
        <v>44591</v>
      </c>
      <c r="B35" s="86"/>
      <c r="C35" s="86"/>
      <c r="D35" s="86"/>
      <c r="E35" s="86"/>
      <c r="F35" s="86"/>
      <c r="G35" s="86"/>
      <c r="H35" s="86"/>
      <c r="I35" s="86"/>
      <c r="J35" s="86"/>
      <c r="K35" s="86">
        <f t="shared" ref="K35:K36" si="17">SUM(B35:H35)</f>
        <v>0</v>
      </c>
      <c r="L35" s="14">
        <f t="shared" ref="L35:L36" si="18">K35*0.2</f>
        <v>0</v>
      </c>
      <c r="M35" s="83"/>
      <c r="N35" s="83"/>
      <c r="O35" s="83"/>
      <c r="P35" s="82"/>
      <c r="Q35" s="83"/>
      <c r="R35" s="83">
        <f t="shared" ref="R35:R36" si="19">N35+O35+P35</f>
        <v>0</v>
      </c>
      <c r="S35" s="83">
        <f t="shared" ref="S35:S36" si="20">(N35+O35+P35)*7.84</f>
        <v>0</v>
      </c>
      <c r="T35" s="83">
        <f t="shared" ref="T35:T36" si="21">M35+Q35</f>
        <v>0</v>
      </c>
      <c r="U35" s="83">
        <f t="shared" ref="U35:U36" si="22">T35*7.84</f>
        <v>0</v>
      </c>
      <c r="V35" s="122"/>
      <c r="W35" s="122"/>
      <c r="X35" s="86" t="s">
        <v>63</v>
      </c>
      <c r="Y35" s="87"/>
      <c r="Z35" s="5">
        <f t="shared" ref="Z35:Z36" si="23">IF((Y35-Y34&lt;0), "0",Y35-Y34)</f>
        <v>0</v>
      </c>
      <c r="AA35" s="14">
        <f t="shared" ref="AA35:AA36" si="24">Z35*6.47</f>
        <v>0</v>
      </c>
      <c r="AB35" s="87"/>
      <c r="AC35" s="86">
        <f t="shared" ref="AC35:AC36" si="25">AB34</f>
        <v>0</v>
      </c>
      <c r="AD35" s="5">
        <f t="shared" ref="AD35:AD36" si="26">IF((AB35-AC35&lt;0), "0",AB35-AC35)</f>
        <v>0</v>
      </c>
      <c r="AE35" s="83">
        <f t="shared" si="11"/>
        <v>0</v>
      </c>
      <c r="AF35" s="83"/>
      <c r="AG35" s="83"/>
      <c r="AH35" s="83"/>
      <c r="AI35" s="87">
        <f t="shared" si="12"/>
        <v>0</v>
      </c>
      <c r="AJ35" s="87"/>
      <c r="AK35" s="48">
        <f t="shared" ref="AK35:AK36" si="27">IF((AJ35-AI35)&lt;0, "0",AJ35-AI35)</f>
        <v>0</v>
      </c>
      <c r="AL35" s="89">
        <f t="shared" ref="AL35:AL36" si="28">AK35*(284.34513609)</f>
        <v>0</v>
      </c>
      <c r="AM35" s="83">
        <f t="shared" ref="AM35:AM36" si="29">AL35*0.332195</f>
        <v>0</v>
      </c>
      <c r="AN35" s="5"/>
      <c r="AO35" s="78">
        <f t="shared" si="5"/>
        <v>0</v>
      </c>
    </row>
    <row r="36" spans="1:41" x14ac:dyDescent="0.25">
      <c r="A36" s="79">
        <v>44592</v>
      </c>
      <c r="B36" s="86"/>
      <c r="C36" s="86"/>
      <c r="D36" s="86"/>
      <c r="E36" s="86"/>
      <c r="F36" s="86"/>
      <c r="G36" s="86"/>
      <c r="H36" s="86"/>
      <c r="I36" s="86"/>
      <c r="J36" s="86"/>
      <c r="K36" s="86">
        <f t="shared" si="17"/>
        <v>0</v>
      </c>
      <c r="L36" s="14">
        <f t="shared" si="18"/>
        <v>0</v>
      </c>
      <c r="M36" s="83"/>
      <c r="N36" s="83"/>
      <c r="O36" s="83"/>
      <c r="P36" s="82"/>
      <c r="Q36" s="83"/>
      <c r="R36" s="83">
        <f t="shared" si="19"/>
        <v>0</v>
      </c>
      <c r="S36" s="83">
        <f t="shared" si="20"/>
        <v>0</v>
      </c>
      <c r="T36" s="83">
        <f t="shared" si="21"/>
        <v>0</v>
      </c>
      <c r="U36" s="83">
        <f t="shared" si="22"/>
        <v>0</v>
      </c>
      <c r="V36" s="122"/>
      <c r="W36" s="122"/>
      <c r="X36" s="86" t="s">
        <v>63</v>
      </c>
      <c r="Y36" s="87"/>
      <c r="Z36" s="5">
        <f t="shared" si="23"/>
        <v>0</v>
      </c>
      <c r="AA36" s="14">
        <f t="shared" si="24"/>
        <v>0</v>
      </c>
      <c r="AB36" s="87"/>
      <c r="AC36" s="86">
        <f t="shared" si="25"/>
        <v>0</v>
      </c>
      <c r="AD36" s="5">
        <f t="shared" si="26"/>
        <v>0</v>
      </c>
      <c r="AE36" s="83">
        <f t="shared" si="11"/>
        <v>0</v>
      </c>
      <c r="AF36" s="83"/>
      <c r="AG36" s="83"/>
      <c r="AH36" s="83"/>
      <c r="AI36" s="87">
        <f t="shared" si="12"/>
        <v>0</v>
      </c>
      <c r="AJ36" s="87"/>
      <c r="AK36" s="48">
        <f t="shared" si="27"/>
        <v>0</v>
      </c>
      <c r="AL36" s="89">
        <f t="shared" si="28"/>
        <v>0</v>
      </c>
      <c r="AM36" s="83">
        <f t="shared" si="29"/>
        <v>0</v>
      </c>
      <c r="AN36" s="5"/>
      <c r="AO36" s="78">
        <f t="shared" si="5"/>
        <v>0</v>
      </c>
    </row>
    <row r="37" spans="1:41" x14ac:dyDescent="0.25">
      <c r="A37" s="76"/>
      <c r="D37" s="6">
        <f>SUM(D6:D36)</f>
        <v>11835</v>
      </c>
      <c r="E37" s="6" t="s">
        <v>93</v>
      </c>
      <c r="G37" s="6">
        <f t="shared" ref="G37:L37" si="30">SUM(G6:G36)</f>
        <v>36806</v>
      </c>
      <c r="H37" s="6">
        <f t="shared" si="30"/>
        <v>48299</v>
      </c>
      <c r="I37" s="6">
        <f t="shared" si="30"/>
        <v>29614</v>
      </c>
      <c r="J37" s="6">
        <f t="shared" si="30"/>
        <v>92810</v>
      </c>
      <c r="K37" s="6">
        <f t="shared" si="30"/>
        <v>405558</v>
      </c>
      <c r="L37" s="15">
        <f t="shared" si="30"/>
        <v>81111.600000000006</v>
      </c>
      <c r="R37" s="16">
        <f>SUM(R6:R36)</f>
        <v>899.85000000000082</v>
      </c>
      <c r="T37" s="16">
        <f>SUM(T6:T36)</f>
        <v>2607.9869999999974</v>
      </c>
      <c r="U37" s="16">
        <f t="shared" si="15"/>
        <v>20446.618079999978</v>
      </c>
      <c r="Z37" s="17">
        <f>SUM(Z6:Z36)</f>
        <v>9942</v>
      </c>
      <c r="AA37" s="17">
        <f>SUM(AA6:AA36)</f>
        <v>64324.74</v>
      </c>
      <c r="AD37" s="17">
        <f>SUM(AD6:AD36)</f>
        <v>143379</v>
      </c>
      <c r="AE37" s="16">
        <f>AD37*0.334569</f>
        <v>47970.168651</v>
      </c>
      <c r="AF37" s="16">
        <f>SUM(AF6:AF36)</f>
        <v>258.30000000000291</v>
      </c>
      <c r="AG37" s="16">
        <f>SUM(AG6:AG36)</f>
        <v>4.6999999999970896</v>
      </c>
      <c r="AH37" s="16">
        <f>SUM(AH6:AH36)</f>
        <v>81.700000000000728</v>
      </c>
      <c r="AK37" s="42">
        <f>SUM(AK6:AK36)</f>
        <v>281.40000000000146</v>
      </c>
      <c r="AL37" s="42">
        <f>SUM(AL6:AL36)</f>
        <v>80014.721295726413</v>
      </c>
      <c r="AM37" s="42">
        <f>SUM(AM6:AM36)</f>
        <v>26580.490340833836</v>
      </c>
      <c r="AN37" s="42">
        <f>SUM(AN6:AN36)</f>
        <v>1006</v>
      </c>
      <c r="AO37" s="42">
        <f>SUM(AO6:AO36)</f>
        <v>213512.74498499997</v>
      </c>
    </row>
    <row r="38" spans="1:41" x14ac:dyDescent="0.25">
      <c r="D38" s="6" t="e">
        <f>#REF!*24</f>
        <v>#REF!</v>
      </c>
      <c r="E38" s="6" t="s">
        <v>1</v>
      </c>
      <c r="R38" s="16">
        <v>7.84</v>
      </c>
      <c r="T38" s="16" t="s">
        <v>99</v>
      </c>
      <c r="U38" s="16">
        <f>U37-R39</f>
        <v>13391.794079999972</v>
      </c>
    </row>
    <row r="39" spans="1:41" x14ac:dyDescent="0.25">
      <c r="D39" s="6" t="e">
        <f>D38*31</f>
        <v>#REF!</v>
      </c>
      <c r="E39" s="6" t="s">
        <v>2</v>
      </c>
      <c r="F39" s="6" t="s">
        <v>94</v>
      </c>
      <c r="G39" s="6" t="e">
        <f>D39*0.2</f>
        <v>#REF!</v>
      </c>
      <c r="R39" s="16">
        <f>R37*R38</f>
        <v>7054.824000000006</v>
      </c>
      <c r="U39" s="16">
        <f>U38/R38</f>
        <v>1708.1369999999965</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4EB0F865-9138-4E1D-8771-8D60B0AC9DE3}">
  <ds:schemaRefs>
    <ds:schemaRef ds:uri="999013b5-db2e-47f1-85a9-df7f954d7a13"/>
    <ds:schemaRef ds:uri="http://purl.org/dc/term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a21bcabd-71d1-4587-a317-3c23b4e73213"/>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2022-01-14T06:34:25Z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