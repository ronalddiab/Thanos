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0\11. November 2020\"/>
    </mc:Choice>
  </mc:AlternateContent>
  <bookViews>
    <workbookView xWindow="0" yWindow="0" windowWidth="28800" windowHeight="12435" activeTab="2"/>
  </bookViews>
  <sheets>
    <sheet name="TOTAL" sheetId="11" r:id="rId1"/>
    <sheet name="FS Jimbaran November 2020" sheetId="8" r:id="rId2"/>
    <sheet name="RNs &amp; Covers November 2020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46" i="8" l="1"/>
  <c r="AG46" i="8"/>
  <c r="AH46" i="8"/>
  <c r="AI46" i="8"/>
  <c r="AJ46" i="8"/>
  <c r="AK46" i="8"/>
  <c r="AL46" i="8"/>
  <c r="W46" i="8"/>
  <c r="X46" i="8"/>
  <c r="Y46" i="8"/>
  <c r="Z46" i="8"/>
  <c r="AA46" i="8"/>
  <c r="AB46" i="8"/>
  <c r="J3" i="11" l="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B4" i="1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" i="11"/>
  <c r="AD55" i="8" l="1"/>
  <c r="AG41" i="8" l="1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I36" i="8" l="1"/>
  <c r="H26" i="11"/>
  <c r="G26" i="11"/>
  <c r="AI41" i="8"/>
  <c r="G31" i="11"/>
  <c r="H31" i="11"/>
  <c r="AI35" i="8"/>
  <c r="H25" i="11"/>
  <c r="G25" i="11"/>
  <c r="AI30" i="8"/>
  <c r="H20" i="11"/>
  <c r="G20" i="11"/>
  <c r="AI38" i="8"/>
  <c r="G28" i="11"/>
  <c r="H28" i="11"/>
  <c r="AI34" i="8"/>
  <c r="G24" i="11"/>
  <c r="H24" i="11"/>
  <c r="AI28" i="8"/>
  <c r="H18" i="11"/>
  <c r="G18" i="11"/>
  <c r="AI29" i="8"/>
  <c r="H19" i="11"/>
  <c r="G19" i="11"/>
  <c r="AI31" i="8"/>
  <c r="G21" i="11"/>
  <c r="H21" i="11"/>
  <c r="AI39" i="8"/>
  <c r="G29" i="11"/>
  <c r="H29" i="11"/>
  <c r="AI33" i="8"/>
  <c r="G23" i="11"/>
  <c r="H23" i="11"/>
  <c r="AI27" i="8"/>
  <c r="H17" i="11"/>
  <c r="G17" i="11"/>
  <c r="AI37" i="8"/>
  <c r="H27" i="11"/>
  <c r="G27" i="11"/>
  <c r="AI32" i="8"/>
  <c r="G22" i="11"/>
  <c r="H22" i="11"/>
  <c r="AI40" i="8"/>
  <c r="G30" i="11"/>
  <c r="H30" i="11"/>
  <c r="C37" i="10" l="1"/>
  <c r="B37" i="10"/>
  <c r="A8" i="10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A41" i="8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V41" i="8"/>
  <c r="K31" i="11" s="1"/>
  <c r="V40" i="8"/>
  <c r="K30" i="11" s="1"/>
  <c r="V39" i="8"/>
  <c r="K29" i="11" s="1"/>
  <c r="V38" i="8"/>
  <c r="K28" i="11" s="1"/>
  <c r="V37" i="8"/>
  <c r="K27" i="11" s="1"/>
  <c r="V36" i="8"/>
  <c r="K26" i="11" s="1"/>
  <c r="V35" i="8"/>
  <c r="K25" i="11" s="1"/>
  <c r="V34" i="8"/>
  <c r="K24" i="11" s="1"/>
  <c r="V33" i="8"/>
  <c r="K23" i="11" s="1"/>
  <c r="V32" i="8"/>
  <c r="K22" i="11" s="1"/>
  <c r="V31" i="8"/>
  <c r="K21" i="11" s="1"/>
  <c r="V30" i="8"/>
  <c r="K20" i="11" s="1"/>
  <c r="V29" i="8"/>
  <c r="K19" i="11" s="1"/>
  <c r="V28" i="8"/>
  <c r="K18" i="11" s="1"/>
  <c r="V27" i="8"/>
  <c r="K17" i="11" s="1"/>
  <c r="AB30" i="8" l="1"/>
  <c r="L20" i="11"/>
  <c r="AB40" i="8"/>
  <c r="L30" i="11"/>
  <c r="AB37" i="8"/>
  <c r="L27" i="11"/>
  <c r="AB38" i="8"/>
  <c r="L28" i="11"/>
  <c r="AB33" i="8"/>
  <c r="L23" i="11"/>
  <c r="AB41" i="8"/>
  <c r="L31" i="11"/>
  <c r="AB31" i="8"/>
  <c r="L21" i="11"/>
  <c r="AB34" i="8"/>
  <c r="L24" i="11"/>
  <c r="AB29" i="8"/>
  <c r="L19" i="11"/>
  <c r="AB39" i="8"/>
  <c r="L29" i="11"/>
  <c r="AB32" i="8"/>
  <c r="L22" i="11"/>
  <c r="AB27" i="8"/>
  <c r="L17" i="11"/>
  <c r="AB35" i="8"/>
  <c r="L25" i="11"/>
  <c r="AB28" i="8"/>
  <c r="L18" i="11"/>
  <c r="AB36" i="8"/>
  <c r="L26" i="11"/>
  <c r="G46" i="8"/>
  <c r="L46" i="8"/>
  <c r="J46" i="8"/>
  <c r="D46" i="8"/>
  <c r="C46" i="8"/>
  <c r="P41" i="8"/>
  <c r="E31" i="11" s="1"/>
  <c r="P40" i="8"/>
  <c r="E30" i="11" s="1"/>
  <c r="P39" i="8"/>
  <c r="E29" i="11" s="1"/>
  <c r="P38" i="8"/>
  <c r="E28" i="11" s="1"/>
  <c r="P37" i="8"/>
  <c r="E27" i="11" s="1"/>
  <c r="P35" i="8"/>
  <c r="E25" i="11" s="1"/>
  <c r="P34" i="8"/>
  <c r="E24" i="11" s="1"/>
  <c r="P33" i="8"/>
  <c r="E23" i="11" s="1"/>
  <c r="P32" i="8"/>
  <c r="E22" i="11" s="1"/>
  <c r="P31" i="8"/>
  <c r="E21" i="11" s="1"/>
  <c r="P30" i="8"/>
  <c r="E20" i="11" s="1"/>
  <c r="P27" i="8"/>
  <c r="E17" i="11" s="1"/>
  <c r="P26" i="8"/>
  <c r="E16" i="11" s="1"/>
  <c r="P25" i="8"/>
  <c r="E15" i="11" s="1"/>
  <c r="P24" i="8"/>
  <c r="E14" i="11" s="1"/>
  <c r="P23" i="8"/>
  <c r="E13" i="11" s="1"/>
  <c r="P22" i="8"/>
  <c r="E12" i="11" s="1"/>
  <c r="P21" i="8"/>
  <c r="E11" i="11" s="1"/>
  <c r="P20" i="8"/>
  <c r="E10" i="11" s="1"/>
  <c r="P19" i="8"/>
  <c r="E9" i="11" s="1"/>
  <c r="P18" i="8"/>
  <c r="E8" i="11" s="1"/>
  <c r="P17" i="8"/>
  <c r="E7" i="11" s="1"/>
  <c r="P16" i="8"/>
  <c r="E6" i="11" s="1"/>
  <c r="P15" i="8"/>
  <c r="E5" i="11" s="1"/>
  <c r="P14" i="8"/>
  <c r="E4" i="11" s="1"/>
  <c r="P13" i="8"/>
  <c r="E3" i="11" s="1"/>
  <c r="P12" i="8"/>
  <c r="E2" i="11" s="1"/>
  <c r="K46" i="8" l="1"/>
  <c r="H46" i="8"/>
  <c r="N14" i="8"/>
  <c r="N38" i="8"/>
  <c r="N22" i="8"/>
  <c r="N30" i="8"/>
  <c r="M46" i="8"/>
  <c r="N18" i="8"/>
  <c r="N26" i="8"/>
  <c r="N34" i="8"/>
  <c r="N23" i="8"/>
  <c r="N24" i="8"/>
  <c r="N32" i="8"/>
  <c r="N17" i="8"/>
  <c r="N25" i="8"/>
  <c r="N33" i="8"/>
  <c r="N41" i="8"/>
  <c r="N31" i="8"/>
  <c r="N16" i="8"/>
  <c r="N15" i="8"/>
  <c r="N40" i="8"/>
  <c r="N39" i="8"/>
  <c r="N19" i="8"/>
  <c r="N27" i="8"/>
  <c r="N35" i="8"/>
  <c r="N12" i="8"/>
  <c r="N20" i="8"/>
  <c r="N28" i="8"/>
  <c r="N36" i="8"/>
  <c r="N13" i="8"/>
  <c r="N21" i="8"/>
  <c r="N29" i="8"/>
  <c r="N37" i="8"/>
  <c r="N46" i="8" l="1"/>
  <c r="I26" i="8" l="1"/>
  <c r="O26" i="8" s="1"/>
  <c r="F16" i="11" s="1"/>
  <c r="I12" i="8"/>
  <c r="I24" i="8"/>
  <c r="O24" i="8" s="1"/>
  <c r="F14" i="11" s="1"/>
  <c r="I18" i="8"/>
  <c r="O18" i="8" s="1"/>
  <c r="F8" i="11" s="1"/>
  <c r="I16" i="8"/>
  <c r="O16" i="8" s="1"/>
  <c r="F6" i="11" s="1"/>
  <c r="E46" i="8" l="1"/>
  <c r="P28" i="8"/>
  <c r="E18" i="11" s="1"/>
  <c r="I29" i="8"/>
  <c r="O29" i="8" s="1"/>
  <c r="P29" i="8"/>
  <c r="E19" i="11" s="1"/>
  <c r="I36" i="8"/>
  <c r="O36" i="8" s="1"/>
  <c r="P36" i="8"/>
  <c r="E26" i="11" s="1"/>
  <c r="I20" i="8"/>
  <c r="O20" i="8" s="1"/>
  <c r="F10" i="11" s="1"/>
  <c r="I21" i="8"/>
  <c r="O21" i="8" s="1"/>
  <c r="F11" i="11" s="1"/>
  <c r="I13" i="8"/>
  <c r="O13" i="8" s="1"/>
  <c r="F3" i="11" s="1"/>
  <c r="I25" i="8"/>
  <c r="O25" i="8" s="1"/>
  <c r="F15" i="11" s="1"/>
  <c r="I17" i="8"/>
  <c r="O17" i="8" s="1"/>
  <c r="F7" i="11" s="1"/>
  <c r="I40" i="8"/>
  <c r="O40" i="8" s="1"/>
  <c r="F30" i="11" s="1"/>
  <c r="I28" i="8"/>
  <c r="O28" i="8" s="1"/>
  <c r="F18" i="11" s="1"/>
  <c r="I37" i="8"/>
  <c r="O37" i="8" s="1"/>
  <c r="F27" i="11" s="1"/>
  <c r="I30" i="8"/>
  <c r="O30" i="8" s="1"/>
  <c r="F20" i="11" s="1"/>
  <c r="I39" i="8"/>
  <c r="O39" i="8" s="1"/>
  <c r="F29" i="11" s="1"/>
  <c r="I19" i="8"/>
  <c r="O19" i="8" s="1"/>
  <c r="F9" i="11" s="1"/>
  <c r="I38" i="8"/>
  <c r="O38" i="8" s="1"/>
  <c r="F28" i="11" s="1"/>
  <c r="I31" i="8"/>
  <c r="O31" i="8" s="1"/>
  <c r="F21" i="11" s="1"/>
  <c r="I22" i="8"/>
  <c r="O22" i="8" s="1"/>
  <c r="F12" i="11" s="1"/>
  <c r="I15" i="8"/>
  <c r="O15" i="8" s="1"/>
  <c r="F5" i="11" s="1"/>
  <c r="I23" i="8"/>
  <c r="O23" i="8" s="1"/>
  <c r="F13" i="11" s="1"/>
  <c r="I33" i="8"/>
  <c r="O33" i="8" s="1"/>
  <c r="F23" i="11" s="1"/>
  <c r="I41" i="8"/>
  <c r="O41" i="8" s="1"/>
  <c r="F31" i="11" s="1"/>
  <c r="I14" i="8"/>
  <c r="O14" i="8" s="1"/>
  <c r="F4" i="11" s="1"/>
  <c r="I34" i="8"/>
  <c r="O34" i="8" s="1"/>
  <c r="F24" i="11" s="1"/>
  <c r="I32" i="8"/>
  <c r="O32" i="8" s="1"/>
  <c r="F22" i="11" s="1"/>
  <c r="I27" i="8"/>
  <c r="O27" i="8" s="1"/>
  <c r="F17" i="11" s="1"/>
  <c r="I35" i="8"/>
  <c r="O35" i="8" s="1"/>
  <c r="F25" i="11" s="1"/>
  <c r="F26" i="11" l="1"/>
  <c r="F19" i="11"/>
  <c r="F46" i="8"/>
  <c r="I46" i="8"/>
  <c r="V13" i="8" l="1"/>
  <c r="K3" i="11" s="1"/>
  <c r="V14" i="8"/>
  <c r="K4" i="11" s="1"/>
  <c r="V15" i="8"/>
  <c r="K5" i="11" s="1"/>
  <c r="V16" i="8"/>
  <c r="K6" i="11" s="1"/>
  <c r="V17" i="8"/>
  <c r="K7" i="11" s="1"/>
  <c r="V18" i="8"/>
  <c r="K8" i="11" s="1"/>
  <c r="V19" i="8"/>
  <c r="K9" i="11" s="1"/>
  <c r="V20" i="8"/>
  <c r="K10" i="11" s="1"/>
  <c r="V21" i="8"/>
  <c r="K11" i="11" s="1"/>
  <c r="V22" i="8"/>
  <c r="K12" i="11" s="1"/>
  <c r="V23" i="8"/>
  <c r="K13" i="11" s="1"/>
  <c r="V24" i="8"/>
  <c r="K14" i="11" s="1"/>
  <c r="V25" i="8"/>
  <c r="K15" i="11" s="1"/>
  <c r="V26" i="8"/>
  <c r="K16" i="11" s="1"/>
  <c r="V12" i="8"/>
  <c r="K2" i="11" s="1"/>
  <c r="AE46" i="8"/>
  <c r="AD46" i="8"/>
  <c r="AC46" i="8"/>
  <c r="S43" i="8"/>
  <c r="AL26" i="8"/>
  <c r="AG26" i="8"/>
  <c r="AG25" i="8"/>
  <c r="AG24" i="8"/>
  <c r="AL23" i="8"/>
  <c r="AG23" i="8"/>
  <c r="AG22" i="8"/>
  <c r="AL21" i="8"/>
  <c r="AG21" i="8"/>
  <c r="AL20" i="8"/>
  <c r="AG20" i="8"/>
  <c r="AL19" i="8"/>
  <c r="AG19" i="8"/>
  <c r="AG18" i="8"/>
  <c r="AL17" i="8"/>
  <c r="AG17" i="8"/>
  <c r="AL16" i="8"/>
  <c r="AG16" i="8"/>
  <c r="AL15" i="8"/>
  <c r="AG15" i="8"/>
  <c r="AL14" i="8"/>
  <c r="AG14" i="8"/>
  <c r="AL13" i="8"/>
  <c r="AG13" i="8"/>
  <c r="O12" i="8"/>
  <c r="AL12" i="8"/>
  <c r="AG12" i="8"/>
  <c r="AI26" i="8" l="1"/>
  <c r="G16" i="11"/>
  <c r="H16" i="11"/>
  <c r="AI15" i="8"/>
  <c r="G5" i="11"/>
  <c r="H5" i="11"/>
  <c r="AI25" i="8"/>
  <c r="G15" i="11"/>
  <c r="H15" i="11"/>
  <c r="AI22" i="8"/>
  <c r="H12" i="11"/>
  <c r="G12" i="11"/>
  <c r="AI20" i="8"/>
  <c r="G10" i="11"/>
  <c r="H10" i="11"/>
  <c r="AI21" i="8"/>
  <c r="H11" i="11"/>
  <c r="G11" i="11"/>
  <c r="AI17" i="8"/>
  <c r="G7" i="11"/>
  <c r="H7" i="11"/>
  <c r="AI14" i="8"/>
  <c r="G4" i="11"/>
  <c r="H4" i="11"/>
  <c r="AI18" i="8"/>
  <c r="G8" i="11"/>
  <c r="H8" i="11"/>
  <c r="AI23" i="8"/>
  <c r="G13" i="11"/>
  <c r="H13" i="11"/>
  <c r="AI12" i="8"/>
  <c r="G2" i="11"/>
  <c r="H2" i="11"/>
  <c r="AI16" i="8"/>
  <c r="G6" i="11"/>
  <c r="H6" i="11"/>
  <c r="AI13" i="8"/>
  <c r="H3" i="11"/>
  <c r="G3" i="11"/>
  <c r="AI19" i="8"/>
  <c r="G9" i="11"/>
  <c r="H9" i="11"/>
  <c r="AI24" i="8"/>
  <c r="G14" i="11"/>
  <c r="H14" i="11"/>
  <c r="O46" i="8"/>
  <c r="F2" i="11"/>
  <c r="AL22" i="8"/>
  <c r="AL24" i="8"/>
  <c r="AL25" i="8"/>
  <c r="V46" i="8"/>
  <c r="AA14" i="8"/>
  <c r="AA22" i="8"/>
  <c r="AA18" i="8"/>
  <c r="AA13" i="8"/>
  <c r="AA23" i="8"/>
  <c r="AA19" i="8"/>
  <c r="AA20" i="8"/>
  <c r="AA24" i="8"/>
  <c r="AA26" i="8"/>
  <c r="AA17" i="8"/>
  <c r="AA16" i="8"/>
  <c r="AA21" i="8"/>
  <c r="AA15" i="8"/>
  <c r="AA25" i="8"/>
  <c r="AA12" i="8"/>
  <c r="L2" i="11" s="1"/>
  <c r="AL18" i="8"/>
  <c r="P46" i="8"/>
  <c r="AB22" i="8" l="1"/>
  <c r="L12" i="11"/>
  <c r="AB24" i="8"/>
  <c r="L14" i="11"/>
  <c r="AB14" i="8"/>
  <c r="L4" i="11"/>
  <c r="AB17" i="8"/>
  <c r="L7" i="11"/>
  <c r="AB26" i="8"/>
  <c r="L16" i="11"/>
  <c r="AB20" i="8"/>
  <c r="L10" i="11"/>
  <c r="AB25" i="8"/>
  <c r="L15" i="11"/>
  <c r="AB19" i="8"/>
  <c r="L9" i="11"/>
  <c r="AB15" i="8"/>
  <c r="L5" i="11"/>
  <c r="AB23" i="8"/>
  <c r="L13" i="11"/>
  <c r="AB21" i="8"/>
  <c r="L11" i="11"/>
  <c r="AB13" i="8"/>
  <c r="L3" i="11"/>
  <c r="AB16" i="8"/>
  <c r="L6" i="11"/>
  <c r="AB18" i="8"/>
  <c r="L8" i="11"/>
  <c r="AB12" i="8"/>
  <c r="Q46" i="8" l="1"/>
  <c r="S46" i="8" s="1"/>
  <c r="R46" i="8"/>
  <c r="T46" i="8" s="1"/>
  <c r="U46" i="8" s="1"/>
  <c r="U47" i="8" l="1"/>
</calcChain>
</file>

<file path=xl/sharedStrings.xml><?xml version="1.0" encoding="utf-8"?>
<sst xmlns="http://schemas.openxmlformats.org/spreadsheetml/2006/main" count="100" uniqueCount="55">
  <si>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</si>
  <si>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</si>
  <si>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</si>
  <si>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</si>
  <si>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</si>
  <si>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</si>
  <si>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</si>
  <si>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</si>
  <si>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</si>
  <si>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</si>
  <si>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</si>
  <si>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</si>
  <si>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</si>
  <si>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</si>
  <si>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Residences- Electricity KWh (daily reading N/A), monthly report</t>
  </si>
  <si>
    <t>Resort Cost  (IDR)</t>
  </si>
  <si>
    <t>Sundara Cost  (IDR)</t>
  </si>
  <si>
    <t>IDR</t>
  </si>
  <si>
    <t>USD</t>
  </si>
  <si>
    <t>TOTAL  Electricity cost</t>
  </si>
  <si>
    <t>WATER</t>
  </si>
  <si>
    <t>`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</si>
  <si>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</si>
  <si>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</si>
  <si>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</si>
  <si>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</si>
  <si>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</si>
  <si>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</si>
  <si>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</si>
  <si>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</si>
  <si>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</si>
  <si>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</si>
  <si>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</si>
  <si>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</si>
  <si>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NOVEMBER 2020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</si>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</sst>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_-;\-* #,##0.00_-;_-* &quot;-&quot;??_-;_-@_-"/>
    <numFmt numFmtId="164" formatCode="&quot;$&quot;#,##0.00_);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_-;\-* #,##0_-;_-* &quot;-&quot;??_-;_-@_-"/>
    <numFmt numFmtId="168" formatCode="_(* #,##0_);_(* \(#,##0\);_(* &quot;-&quot;??_);_(@_)"/>
    <numFmt numFmtId="169" formatCode="&quot;$&quot;#,##0"/>
    <numFmt numFmtId="170" formatCode="_-* #,##0.0_-;\-* #,##0.0_-;_-* &quot;-&quot;??_-;_-@_-"/>
    <numFmt numFmtId="171" formatCode="_-* #,##0.000_-;\-* #,##0.000_-;_-* &quot;-&quot;??_-;_-@_-"/>
    <numFmt numFmtId="172" formatCode="_-* #,##0.00000_-;\-* #,##0.00000_-;_-* &quot;-&quot;??_-;_-@_-"/>
    <numFmt numFmtId="173" formatCode="_-* #,##0.000000_-;\-* #,##0.000000_-;_-* &quot;-&quot;??_-;_-@_-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166" fontId="2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</cellStyleXfs>
  <cellXfs count="269">
    <xf numFmtId="0" fontId="0" fillId="0" borderId="0" xfId="0"/>
    <xf numFmtId="0" fontId="0" fillId="0" borderId="0" xfId="0" applyBorder="1"/>
    <xf numFmtId="0" fontId="0" fillId="0" borderId="8" xfId="0" applyBorder="1"/>
    <xf numFmtId="167" fontId="0" fillId="0" borderId="8" xfId="2" applyNumberFormat="1" applyFont="1" applyBorder="1"/>
    <xf numFmtId="167" fontId="0" fillId="0" borderId="0" xfId="2" applyNumberFormat="1" applyFont="1"/>
    <xf numFmtId="167" fontId="0" fillId="0" borderId="0" xfId="2" applyNumberFormat="1" applyFont="1" applyBorder="1"/>
    <xf numFmtId="167" fontId="1" fillId="0" borderId="0" xfId="2" applyNumberFormat="1" applyFont="1"/>
    <xf numFmtId="167" fontId="0" fillId="3" borderId="0" xfId="2" applyNumberFormat="1" applyFont="1" applyFill="1" applyBorder="1"/>
    <xf numFmtId="167" fontId="2" fillId="0" borderId="0" xfId="2" applyNumberFormat="1" applyFont="1" applyBorder="1"/>
    <xf numFmtId="43" fontId="0" fillId="0" borderId="0" xfId="2" applyFont="1" applyBorder="1"/>
    <xf numFmtId="0" fontId="0" fillId="3" borderId="0" xfId="0" applyFill="1"/>
    <xf numFmtId="167" fontId="3" fillId="0" borderId="0" xfId="2" applyNumberFormat="1" applyFont="1" applyBorder="1"/>
    <xf numFmtId="43" fontId="5" fillId="0" borderId="0" xfId="2" applyFont="1" applyBorder="1"/>
    <xf numFmtId="43" fontId="5" fillId="0" borderId="0" xfId="0" applyNumberFormat="1" applyFont="1" applyBorder="1"/>
    <xf numFmtId="167" fontId="0" fillId="0" borderId="0" xfId="0" applyNumberFormat="1" applyBorder="1"/>
    <xf numFmtId="43" fontId="0" fillId="3" borderId="12" xfId="2" applyFont="1" applyFill="1" applyBorder="1"/>
    <xf numFmtId="43" fontId="0" fillId="3" borderId="15" xfId="2" applyFont="1" applyFill="1" applyBorder="1"/>
    <xf numFmtId="43" fontId="0" fillId="3" borderId="24" xfId="2" applyFont="1" applyFill="1" applyBorder="1"/>
    <xf numFmtId="43" fontId="0" fillId="3" borderId="11" xfId="2" applyFont="1" applyFill="1" applyBorder="1"/>
    <xf numFmtId="0" fontId="9" fillId="0" borderId="0" xfId="0" applyFont="1"/>
    <xf numFmtId="0" fontId="0" fillId="0" borderId="22" xfId="0" applyBorder="1"/>
    <xf numFmtId="0" fontId="0" fillId="0" borderId="34" xfId="0" applyBorder="1" applyAlignment="1">
      <alignment horizontal="center" vertical="center" wrapText="1"/>
    </xf>
    <xf numFmtId="43" fontId="0" fillId="0" borderId="0" xfId="2" applyFont="1"/>
    <xf numFmtId="165" fontId="5" fillId="0" borderId="0" xfId="1" applyNumberFormat="1" applyFont="1" applyBorder="1"/>
    <xf numFmtId="0" fontId="5" fillId="0" borderId="0" xfId="0" applyFont="1" applyBorder="1" applyAlignment="1">
      <alignment horizontal="right"/>
    </xf>
    <xf numFmtId="166" fontId="0" fillId="0" borderId="0" xfId="0" applyNumberFormat="1"/>
    <xf numFmtId="167" fontId="0" fillId="0" borderId="0" xfId="0" applyNumberFormat="1"/>
    <xf numFmtId="0" fontId="0" fillId="3" borderId="0" xfId="0" applyFill="1" applyBorder="1"/>
    <xf numFmtId="43" fontId="0" fillId="3" borderId="0" xfId="0" applyNumberFormat="1" applyFill="1" applyBorder="1"/>
    <xf numFmtId="167" fontId="5" fillId="0" borderId="0" xfId="2" applyNumberFormat="1" applyFont="1" applyBorder="1"/>
    <xf numFmtId="167" fontId="5" fillId="0" borderId="0" xfId="2" applyNumberFormat="1" applyFont="1" applyBorder="1" applyAlignment="1">
      <alignment horizontal="right"/>
    </xf>
    <xf numFmtId="0" fontId="0" fillId="0" borderId="9" xfId="0" applyBorder="1"/>
    <xf numFmtId="167" fontId="0" fillId="0" borderId="12" xfId="2" applyNumberFormat="1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167" fontId="0" fillId="0" borderId="35" xfId="2" applyNumberFormat="1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3" fontId="0" fillId="3" borderId="41" xfId="2" applyFont="1" applyFill="1" applyBorder="1"/>
    <xf numFmtId="43" fontId="0" fillId="3" borderId="5" xfId="2" applyFont="1" applyFill="1" applyBorder="1"/>
    <xf numFmtId="167" fontId="3" fillId="3" borderId="0" xfId="2" applyNumberFormat="1" applyFont="1" applyFill="1" applyBorder="1"/>
    <xf numFmtId="167" fontId="0" fillId="3" borderId="0" xfId="0" applyNumberFormat="1" applyFill="1" applyBorder="1"/>
    <xf numFmtId="0" fontId="7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10" fillId="3" borderId="0" xfId="0" applyFont="1" applyFill="1" applyBorder="1" applyAlignment="1"/>
    <xf numFmtId="167" fontId="0" fillId="0" borderId="9" xfId="0" applyNumberFormat="1" applyBorder="1"/>
    <xf numFmtId="0" fontId="0" fillId="3" borderId="5" xfId="0" applyFill="1" applyBorder="1"/>
    <xf numFmtId="167" fontId="0" fillId="3" borderId="0" xfId="2" applyNumberFormat="1" applyFont="1" applyFill="1" applyBorder="1" applyAlignment="1">
      <alignment horizontal="right"/>
    </xf>
    <xf numFmtId="167" fontId="7" fillId="3" borderId="0" xfId="2" applyNumberFormat="1" applyFont="1" applyFill="1" applyBorder="1" applyAlignment="1"/>
    <xf numFmtId="168" fontId="0" fillId="0" borderId="8" xfId="2" applyNumberFormat="1" applyFont="1" applyBorder="1"/>
    <xf numFmtId="165" fontId="5" fillId="0" borderId="0" xfId="1" applyFont="1" applyBorder="1"/>
    <xf numFmtId="0" fontId="1" fillId="4" borderId="39" xfId="0" applyFont="1" applyFill="1" applyBorder="1" applyAlignment="1">
      <alignment horizontal="center" vertical="center"/>
    </xf>
    <xf numFmtId="169" fontId="0" fillId="0" borderId="0" xfId="0" applyNumberFormat="1" applyBorder="1"/>
    <xf numFmtId="169" fontId="3" fillId="0" borderId="0" xfId="2" applyNumberFormat="1" applyFont="1" applyBorder="1"/>
    <xf numFmtId="169" fontId="7" fillId="3" borderId="0" xfId="0" applyNumberFormat="1" applyFont="1" applyFill="1" applyBorder="1" applyAlignment="1"/>
    <xf numFmtId="169" fontId="1" fillId="4" borderId="4" xfId="0" applyNumberFormat="1" applyFont="1" applyFill="1" applyBorder="1" applyAlignment="1">
      <alignment horizontal="center" vertical="center"/>
    </xf>
    <xf numFmtId="169" fontId="0" fillId="0" borderId="21" xfId="2" applyNumberFormat="1" applyFont="1" applyBorder="1"/>
    <xf numFmtId="169" fontId="0" fillId="3" borderId="5" xfId="0" applyNumberFormat="1" applyFill="1" applyBorder="1"/>
    <xf numFmtId="169" fontId="0" fillId="0" borderId="0" xfId="0" applyNumberFormat="1"/>
    <xf numFmtId="166" fontId="0" fillId="0" borderId="0" xfId="2" applyNumberFormat="1" applyFont="1"/>
    <xf numFmtId="0" fontId="0" fillId="0" borderId="13" xfId="0" applyBorder="1" applyAlignment="1">
      <alignment horizontal="center" vertical="center" wrapText="1"/>
    </xf>
    <xf numFmtId="169" fontId="0" fillId="0" borderId="9" xfId="2" applyNumberFormat="1" applyFont="1" applyBorder="1"/>
    <xf numFmtId="43" fontId="0" fillId="3" borderId="23" xfId="0" applyNumberFormat="1" applyFill="1" applyBorder="1"/>
    <xf numFmtId="167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167" fontId="0" fillId="0" borderId="46" xfId="2" applyNumberFormat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9" fontId="0" fillId="0" borderId="27" xfId="0" applyNumberFormat="1" applyBorder="1" applyAlignment="1">
      <alignment horizontal="center" vertical="center" wrapText="1"/>
    </xf>
    <xf numFmtId="169" fontId="0" fillId="0" borderId="47" xfId="0" applyNumberFormat="1" applyBorder="1" applyAlignment="1">
      <alignment horizontal="center" vertical="center" wrapText="1"/>
    </xf>
    <xf numFmtId="167" fontId="1" fillId="3" borderId="6" xfId="0" applyNumberFormat="1" applyFont="1" applyFill="1" applyBorder="1"/>
    <xf numFmtId="0" fontId="0" fillId="5" borderId="18" xfId="0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0" fontId="0" fillId="5" borderId="35" xfId="0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13" fillId="11" borderId="48" xfId="0" applyFont="1" applyFill="1" applyBorder="1" applyAlignment="1">
      <alignment horizontal="center" vertical="center" shrinkToFit="1"/>
    </xf>
    <xf numFmtId="0" fontId="13" fillId="11" borderId="49" xfId="0" applyFont="1" applyFill="1" applyBorder="1" applyAlignment="1">
      <alignment horizontal="center" vertical="center" shrinkToFit="1"/>
    </xf>
    <xf numFmtId="43" fontId="10" fillId="3" borderId="0" xfId="2" applyFont="1" applyFill="1" applyBorder="1" applyAlignment="1"/>
    <xf numFmtId="43" fontId="9" fillId="0" borderId="16" xfId="2" applyFont="1" applyBorder="1" applyAlignment="1">
      <alignment horizontal="center" vertical="center" wrapText="1"/>
    </xf>
    <xf numFmtId="43" fontId="9" fillId="0" borderId="29" xfId="2" applyFont="1" applyBorder="1" applyAlignment="1">
      <alignment horizontal="center" vertical="center" wrapText="1"/>
    </xf>
    <xf numFmtId="43" fontId="9" fillId="0" borderId="8" xfId="2" applyFont="1" applyBorder="1"/>
    <xf numFmtId="43" fontId="9" fillId="3" borderId="0" xfId="2" applyFont="1" applyFill="1" applyBorder="1"/>
    <xf numFmtId="43" fontId="14" fillId="0" borderId="0" xfId="2" applyFont="1" applyBorder="1"/>
    <xf numFmtId="43" fontId="9" fillId="0" borderId="0" xfId="2" applyFont="1"/>
    <xf numFmtId="167" fontId="10" fillId="3" borderId="0" xfId="2" applyNumberFormat="1" applyFont="1" applyFill="1" applyBorder="1" applyAlignment="1"/>
    <xf numFmtId="167" fontId="9" fillId="3" borderId="0" xfId="2" applyNumberFormat="1" applyFont="1" applyFill="1" applyBorder="1"/>
    <xf numFmtId="167" fontId="14" fillId="0" borderId="0" xfId="2" applyNumberFormat="1" applyFont="1" applyBorder="1"/>
    <xf numFmtId="167" fontId="9" fillId="0" borderId="0" xfId="2" applyNumberFormat="1" applyFont="1"/>
    <xf numFmtId="167" fontId="0" fillId="3" borderId="43" xfId="0" applyNumberFormat="1" applyFill="1" applyBorder="1"/>
    <xf numFmtId="167" fontId="1" fillId="0" borderId="43" xfId="0" applyNumberFormat="1" applyFont="1" applyBorder="1"/>
    <xf numFmtId="0" fontId="0" fillId="3" borderId="50" xfId="0" applyFill="1" applyBorder="1"/>
    <xf numFmtId="167" fontId="0" fillId="3" borderId="50" xfId="2" applyNumberFormat="1" applyFont="1" applyFill="1" applyBorder="1"/>
    <xf numFmtId="43" fontId="9" fillId="3" borderId="50" xfId="2" applyFont="1" applyFill="1" applyBorder="1"/>
    <xf numFmtId="167" fontId="9" fillId="3" borderId="50" xfId="2" applyNumberFormat="1" applyFont="1" applyFill="1" applyBorder="1"/>
    <xf numFmtId="43" fontId="0" fillId="3" borderId="50" xfId="0" applyNumberFormat="1" applyFill="1" applyBorder="1"/>
    <xf numFmtId="0" fontId="0" fillId="3" borderId="52" xfId="0" applyFill="1" applyBorder="1"/>
    <xf numFmtId="166" fontId="0" fillId="3" borderId="50" xfId="0" applyNumberFormat="1" applyFill="1" applyBorder="1"/>
    <xf numFmtId="167" fontId="0" fillId="3" borderId="50" xfId="0" applyNumberFormat="1" applyFill="1" applyBorder="1"/>
    <xf numFmtId="167" fontId="0" fillId="0" borderId="50" xfId="2" applyNumberFormat="1" applyFont="1" applyBorder="1"/>
    <xf numFmtId="169" fontId="0" fillId="3" borderId="52" xfId="0" applyNumberFormat="1" applyFill="1" applyBorder="1"/>
    <xf numFmtId="167" fontId="0" fillId="0" borderId="0" xfId="2" applyNumberFormat="1" applyFont="1" applyBorder="1" applyAlignment="1">
      <alignment horizontal="right"/>
    </xf>
    <xf numFmtId="167" fontId="10" fillId="6" borderId="23" xfId="2" applyNumberFormat="1" applyFont="1" applyFill="1" applyBorder="1"/>
    <xf numFmtId="167" fontId="1" fillId="6" borderId="23" xfId="0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3" fontId="0" fillId="0" borderId="0" xfId="0" applyNumberFormat="1"/>
    <xf numFmtId="3" fontId="15" fillId="0" borderId="0" xfId="0" applyNumberFormat="1" applyFont="1"/>
    <xf numFmtId="4" fontId="0" fillId="0" borderId="0" xfId="0" applyNumberFormat="1"/>
    <xf numFmtId="170" fontId="7" fillId="3" borderId="0" xfId="2" applyNumberFormat="1" applyFont="1" applyFill="1" applyBorder="1" applyAlignment="1"/>
    <xf numFmtId="170" fontId="0" fillId="3" borderId="0" xfId="2" applyNumberFormat="1" applyFont="1" applyFill="1" applyBorder="1"/>
    <xf numFmtId="170" fontId="0" fillId="3" borderId="50" xfId="2" applyNumberFormat="1" applyFont="1" applyFill="1" applyBorder="1"/>
    <xf numFmtId="170" fontId="0" fillId="0" borderId="0" xfId="2" applyNumberFormat="1" applyFont="1" applyBorder="1"/>
    <xf numFmtId="170" fontId="3" fillId="0" borderId="0" xfId="2" applyNumberFormat="1" applyFont="1" applyBorder="1"/>
    <xf numFmtId="170" fontId="0" fillId="0" borderId="0" xfId="2" applyNumberFormat="1" applyFont="1"/>
    <xf numFmtId="167" fontId="15" fillId="0" borderId="0" xfId="2" applyNumberFormat="1" applyFont="1"/>
    <xf numFmtId="167" fontId="0" fillId="0" borderId="19" xfId="2" applyNumberFormat="1" applyFont="1" applyBorder="1" applyAlignment="1">
      <alignment horizontal="center" vertical="center" wrapText="1"/>
    </xf>
    <xf numFmtId="167" fontId="6" fillId="0" borderId="0" xfId="2" applyNumberFormat="1" applyFont="1"/>
    <xf numFmtId="0" fontId="0" fillId="0" borderId="55" xfId="0" applyBorder="1" applyAlignment="1">
      <alignment horizontal="center" vertical="center" wrapText="1"/>
    </xf>
    <xf numFmtId="167" fontId="10" fillId="0" borderId="57" xfId="2" applyNumberFormat="1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167" fontId="9" fillId="0" borderId="59" xfId="2" applyNumberFormat="1" applyFont="1" applyBorder="1" applyAlignment="1">
      <alignment horizontal="center" vertical="center" wrapText="1"/>
    </xf>
    <xf numFmtId="167" fontId="9" fillId="0" borderId="21" xfId="2" applyNumberFormat="1" applyFont="1" applyBorder="1"/>
    <xf numFmtId="0" fontId="0" fillId="0" borderId="31" xfId="0" applyBorder="1"/>
    <xf numFmtId="167" fontId="0" fillId="0" borderId="31" xfId="2" applyNumberFormat="1" applyFont="1" applyBorder="1"/>
    <xf numFmtId="43" fontId="9" fillId="0" borderId="31" xfId="2" applyFont="1" applyBorder="1"/>
    <xf numFmtId="167" fontId="9" fillId="0" borderId="34" xfId="2" applyNumberFormat="1" applyFont="1" applyBorder="1"/>
    <xf numFmtId="0" fontId="1" fillId="0" borderId="56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167" fontId="0" fillId="0" borderId="18" xfId="2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43" fontId="0" fillId="0" borderId="21" xfId="0" applyNumberFormat="1" applyBorder="1"/>
    <xf numFmtId="167" fontId="0" fillId="0" borderId="61" xfId="2" applyNumberFormat="1" applyFont="1" applyBorder="1"/>
    <xf numFmtId="0" fontId="0" fillId="0" borderId="34" xfId="0" applyBorder="1"/>
    <xf numFmtId="167" fontId="0" fillId="0" borderId="10" xfId="2" applyNumberFormat="1" applyFont="1" applyBorder="1"/>
    <xf numFmtId="167" fontId="0" fillId="3" borderId="10" xfId="2" applyNumberFormat="1" applyFont="1" applyFill="1" applyBorder="1"/>
    <xf numFmtId="0" fontId="0" fillId="0" borderId="62" xfId="0" applyBorder="1"/>
    <xf numFmtId="172" fontId="9" fillId="0" borderId="0" xfId="2" applyNumberFormat="1" applyFont="1"/>
    <xf numFmtId="172" fontId="0" fillId="0" borderId="0" xfId="2" applyNumberFormat="1" applyFont="1" applyBorder="1"/>
    <xf numFmtId="171" fontId="15" fillId="0" borderId="0" xfId="2" applyNumberFormat="1" applyFont="1"/>
    <xf numFmtId="173" fontId="0" fillId="0" borderId="0" xfId="2" applyNumberFormat="1" applyFont="1"/>
    <xf numFmtId="43" fontId="0" fillId="0" borderId="49" xfId="2" applyFont="1" applyBorder="1"/>
    <xf numFmtId="43" fontId="0" fillId="0" borderId="63" xfId="2" applyFont="1" applyBorder="1"/>
    <xf numFmtId="0" fontId="0" fillId="0" borderId="39" xfId="0" applyBorder="1" applyAlignment="1">
      <alignment horizontal="center" vertical="center" wrapText="1"/>
    </xf>
    <xf numFmtId="167" fontId="9" fillId="0" borderId="48" xfId="2" applyNumberFormat="1" applyFont="1" applyBorder="1" applyAlignment="1">
      <alignment horizontal="center" vertical="center" wrapText="1"/>
    </xf>
    <xf numFmtId="167" fontId="9" fillId="0" borderId="49" xfId="2" applyNumberFormat="1" applyFont="1" applyBorder="1"/>
    <xf numFmtId="167" fontId="9" fillId="0" borderId="63" xfId="2" applyNumberFormat="1" applyFont="1" applyBorder="1"/>
    <xf numFmtId="167" fontId="11" fillId="0" borderId="23" xfId="0" applyNumberFormat="1" applyFont="1" applyBorder="1"/>
    <xf numFmtId="170" fontId="0" fillId="0" borderId="36" xfId="2" applyNumberFormat="1" applyFont="1" applyBorder="1" applyAlignment="1">
      <alignment horizontal="center" vertical="center" wrapText="1"/>
    </xf>
    <xf numFmtId="170" fontId="5" fillId="0" borderId="0" xfId="2" applyNumberFormat="1" applyFont="1" applyBorder="1"/>
    <xf numFmtId="167" fontId="10" fillId="6" borderId="23" xfId="0" applyNumberFormat="1" applyFont="1" applyFill="1" applyBorder="1"/>
    <xf numFmtId="167" fontId="0" fillId="3" borderId="14" xfId="2" applyNumberFormat="1" applyFont="1" applyFill="1" applyBorder="1"/>
    <xf numFmtId="0" fontId="0" fillId="3" borderId="65" xfId="0" applyFill="1" applyBorder="1"/>
    <xf numFmtId="0" fontId="0" fillId="3" borderId="15" xfId="0" applyFill="1" applyBorder="1"/>
    <xf numFmtId="0" fontId="0" fillId="3" borderId="66" xfId="0" applyFill="1" applyBorder="1"/>
    <xf numFmtId="0" fontId="0" fillId="3" borderId="67" xfId="0" applyFill="1" applyBorder="1"/>
    <xf numFmtId="167" fontId="0" fillId="3" borderId="51" xfId="2" applyNumberFormat="1" applyFont="1" applyFill="1" applyBorder="1"/>
    <xf numFmtId="0" fontId="13" fillId="11" borderId="63" xfId="0" applyFont="1" applyFill="1" applyBorder="1" applyAlignment="1">
      <alignment horizontal="center" vertical="center" shrinkToFit="1"/>
    </xf>
    <xf numFmtId="167" fontId="1" fillId="0" borderId="23" xfId="2" applyNumberFormat="1" applyFont="1" applyBorder="1"/>
    <xf numFmtId="0" fontId="0" fillId="0" borderId="68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0" xfId="0" applyBorder="1"/>
    <xf numFmtId="167" fontId="0" fillId="0" borderId="21" xfId="0" applyNumberFormat="1" applyBorder="1"/>
    <xf numFmtId="0" fontId="0" fillId="0" borderId="21" xfId="0" applyBorder="1"/>
    <xf numFmtId="0" fontId="0" fillId="3" borderId="53" xfId="0" applyFill="1" applyBorder="1"/>
    <xf numFmtId="166" fontId="0" fillId="3" borderId="5" xfId="0" applyNumberFormat="1" applyFill="1" applyBorder="1"/>
    <xf numFmtId="0" fontId="0" fillId="3" borderId="69" xfId="0" applyFill="1" applyBorder="1"/>
    <xf numFmtId="167" fontId="1" fillId="0" borderId="12" xfId="2" applyNumberFormat="1" applyFont="1" applyBorder="1" applyAlignment="1">
      <alignment horizontal="center" vertical="center" wrapText="1"/>
    </xf>
    <xf numFmtId="170" fontId="0" fillId="0" borderId="24" xfId="2" applyNumberFormat="1" applyFont="1" applyBorder="1"/>
    <xf numFmtId="167" fontId="1" fillId="0" borderId="22" xfId="2" applyNumberFormat="1" applyFont="1" applyBorder="1"/>
    <xf numFmtId="167" fontId="16" fillId="3" borderId="8" xfId="2" applyNumberFormat="1" applyFont="1" applyFill="1" applyBorder="1" applyProtection="1">
      <protection locked="0"/>
    </xf>
    <xf numFmtId="170" fontId="0" fillId="3" borderId="11" xfId="2" applyNumberFormat="1" applyFont="1" applyFill="1" applyBorder="1"/>
    <xf numFmtId="170" fontId="8" fillId="3" borderId="11" xfId="2" applyNumberFormat="1" applyFont="1" applyFill="1" applyBorder="1" applyAlignment="1">
      <alignment vertical="top" wrapText="1"/>
    </xf>
    <xf numFmtId="170" fontId="8" fillId="3" borderId="0" xfId="2" applyNumberFormat="1" applyFont="1" applyFill="1" applyBorder="1" applyAlignment="1">
      <alignment vertical="top" wrapText="1"/>
    </xf>
    <xf numFmtId="0" fontId="8" fillId="3" borderId="65" xfId="4" applyFill="1" applyBorder="1" applyAlignment="1">
      <alignment vertical="top" wrapText="1"/>
    </xf>
    <xf numFmtId="0" fontId="0" fillId="3" borderId="65" xfId="0" applyFill="1" applyBorder="1" applyAlignment="1"/>
    <xf numFmtId="0" fontId="0" fillId="3" borderId="56" xfId="0" applyFill="1" applyBorder="1" applyAlignment="1">
      <alignment wrapText="1"/>
    </xf>
    <xf numFmtId="0" fontId="0" fillId="3" borderId="65" xfId="0" applyFill="1" applyBorder="1" applyAlignment="1">
      <alignment wrapText="1"/>
    </xf>
    <xf numFmtId="0" fontId="8" fillId="3" borderId="53" xfId="4" applyFill="1" applyBorder="1" applyAlignment="1">
      <alignment vertical="top" wrapText="1"/>
    </xf>
    <xf numFmtId="0" fontId="8" fillId="3" borderId="15" xfId="4" applyFill="1" applyBorder="1" applyAlignment="1">
      <alignment vertical="top" wrapText="1"/>
    </xf>
    <xf numFmtId="43" fontId="5" fillId="0" borderId="0" xfId="2" applyNumberFormat="1" applyFont="1" applyBorder="1"/>
    <xf numFmtId="165" fontId="10" fillId="12" borderId="7" xfId="1" applyFont="1" applyFill="1" applyBorder="1"/>
    <xf numFmtId="167" fontId="0" fillId="3" borderId="23" xfId="2" applyNumberFormat="1" applyFont="1" applyFill="1" applyBorder="1"/>
    <xf numFmtId="166" fontId="0" fillId="0" borderId="0" xfId="0" applyNumberFormat="1" applyBorder="1"/>
    <xf numFmtId="170" fontId="1" fillId="4" borderId="3" xfId="2" applyNumberFormat="1" applyFont="1" applyFill="1" applyBorder="1" applyAlignment="1">
      <alignment horizontal="center" vertical="center"/>
    </xf>
    <xf numFmtId="170" fontId="0" fillId="0" borderId="45" xfId="2" applyNumberFormat="1" applyFont="1" applyBorder="1" applyAlignment="1">
      <alignment horizontal="center" vertical="center" wrapText="1"/>
    </xf>
    <xf numFmtId="170" fontId="0" fillId="0" borderId="26" xfId="2" applyNumberFormat="1" applyFont="1" applyBorder="1" applyAlignment="1">
      <alignment horizontal="center" vertical="center" wrapText="1"/>
    </xf>
    <xf numFmtId="170" fontId="0" fillId="0" borderId="22" xfId="2" applyNumberFormat="1" applyFont="1" applyBorder="1"/>
    <xf numFmtId="170" fontId="0" fillId="0" borderId="50" xfId="2" applyNumberFormat="1" applyFont="1" applyBorder="1"/>
    <xf numFmtId="43" fontId="6" fillId="0" borderId="0" xfId="2" applyFont="1" applyBorder="1"/>
    <xf numFmtId="43" fontId="0" fillId="3" borderId="33" xfId="2" applyFont="1" applyFill="1" applyBorder="1"/>
    <xf numFmtId="43" fontId="0" fillId="3" borderId="54" xfId="2" applyFont="1" applyFill="1" applyBorder="1"/>
    <xf numFmtId="43" fontId="0" fillId="3" borderId="7" xfId="2" applyFont="1" applyFill="1" applyBorder="1"/>
    <xf numFmtId="0" fontId="8" fillId="0" borderId="6" xfId="4" quotePrefix="1" applyBorder="1"/>
    <xf numFmtId="0" fontId="8" fillId="0" borderId="23" xfId="4" quotePrefix="1" applyBorder="1"/>
    <xf numFmtId="167" fontId="2" fillId="0" borderId="10" xfId="2" applyNumberFormat="1" applyFont="1" applyBorder="1"/>
    <xf numFmtId="167" fontId="16" fillId="3" borderId="70" xfId="2" applyNumberFormat="1" applyFont="1" applyFill="1" applyBorder="1" applyProtection="1">
      <protection locked="0"/>
    </xf>
    <xf numFmtId="168" fontId="0" fillId="0" borderId="60" xfId="2" applyNumberFormat="1" applyFont="1" applyBorder="1"/>
    <xf numFmtId="167" fontId="16" fillId="3" borderId="49" xfId="2" applyNumberFormat="1" applyFont="1" applyFill="1" applyBorder="1" applyProtection="1">
      <protection locked="0"/>
    </xf>
    <xf numFmtId="167" fontId="0" fillId="0" borderId="63" xfId="2" applyNumberFormat="1" applyFont="1" applyBorder="1"/>
    <xf numFmtId="164" fontId="5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2" fontId="15" fillId="0" borderId="8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9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8" borderId="39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center"/>
    </xf>
    <xf numFmtId="49" fontId="10" fillId="2" borderId="1" xfId="0" applyNumberFormat="1" applyFont="1" applyFill="1" applyBorder="1" applyAlignment="1">
      <alignment horizontal="left"/>
    </xf>
    <xf numFmtId="49" fontId="10" fillId="2" borderId="44" xfId="0" applyNumberFormat="1" applyFont="1" applyFill="1" applyBorder="1" applyAlignment="1">
      <alignment horizontal="left"/>
    </xf>
    <xf numFmtId="49" fontId="10" fillId="2" borderId="2" xfId="0" applyNumberFormat="1" applyFont="1" applyFill="1" applyBorder="1" applyAlignment="1">
      <alignment horizontal="left"/>
    </xf>
    <xf numFmtId="167" fontId="10" fillId="0" borderId="28" xfId="2" applyNumberFormat="1" applyFont="1" applyBorder="1" applyAlignment="1">
      <alignment horizontal="center" vertical="center" wrapText="1"/>
    </xf>
    <xf numFmtId="167" fontId="10" fillId="0" borderId="43" xfId="2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70" fontId="1" fillId="0" borderId="12" xfId="2" applyNumberFormat="1" applyFont="1" applyBorder="1" applyAlignment="1">
      <alignment horizontal="center" vertical="center" wrapText="1"/>
    </xf>
    <xf numFmtId="170" fontId="1" fillId="0" borderId="33" xfId="2" applyNumberFormat="1" applyFont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12" fillId="10" borderId="28" xfId="0" applyFont="1" applyFill="1" applyBorder="1" applyAlignment="1">
      <alignment horizontal="center" vertical="center" wrapText="1"/>
    </xf>
    <xf numFmtId="0" fontId="12" fillId="10" borderId="42" xfId="0" applyFont="1" applyFill="1" applyBorder="1" applyAlignment="1">
      <alignment horizontal="center" vertical="center" wrapText="1"/>
    </xf>
    <xf numFmtId="0" fontId="12" fillId="10" borderId="43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17" fontId="7" fillId="3" borderId="64" xfId="0" applyNumberFormat="1" applyFont="1" applyFill="1" applyBorder="1" applyAlignment="1">
      <alignment horizontal="center"/>
    </xf>
    <xf numFmtId="0" fontId="7" fillId="3" borderId="64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2" fillId="10" borderId="8" xfId="0" applyFont="1" applyFill="1" applyBorder="1" applyAlignment="1">
      <alignment horizontal="center" vertical="center" wrapText="1"/>
    </xf>
  </cellXfs>
  <cellStyles count="7">
    <cellStyle name="Comma" xfId="2" builtinId="3"/>
    <cellStyle name="Comma 10" xfId="3"/>
    <cellStyle name="Comma 2" xfId="5"/>
    <cellStyle name="Currency" xfId="1" builtinId="4"/>
    <cellStyle name="Hyperlink" xfId="4" builtinId="8"/>
    <cellStyle name="Hyperlink 2" xfId="6"/>
    <cellStyle name="Normal" xfId="0" builtinId="0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524" y="76814"/>
          <a:ext cx="1311886" cy="860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1"/>
  <sheetViews>
    <sheetView workbookViewId="0">
      <selection activeCell="M2" sqref="M2"/>
    </sheetView>
  </sheetViews>
  <sheetFormatPr defaultColWidth="11.5703125" defaultRowHeight="15" x14ac:dyDescent="0.25"/>
  <cols>
    <col min="1" max="1" width="18.42578125" style="222" customWidth="1"/>
    <col min="2" max="2" width="11.5703125" style="223"/>
    <col min="3" max="3" width="11.5703125" style="224"/>
    <col min="4" max="4" width="13.42578125" style="223" customWidth="1"/>
    <col min="5" max="5" width="12.5703125" style="221" customWidth="1"/>
    <col min="6" max="6" width="12.5703125" style="225" customWidth="1"/>
    <col min="7" max="7" width="11.5703125" style="221"/>
    <col min="8" max="8" width="11.5703125" style="225"/>
    <col min="9" max="9" width="11.5703125" style="226"/>
    <col min="10" max="10" width="11.5703125" style="227"/>
    <col min="11" max="11" width="11.5703125" style="221"/>
    <col min="12" max="12" width="11.5703125" style="227"/>
    <col min="13" max="26" width="11.5703125" style="221"/>
  </cols>
  <sheetData>
    <row r="1" spans="1:15" s="215" customFormat="1" ht="60" x14ac:dyDescent="0.25">
      <c r="A1" s="211" t="s">
        <v>40</v>
      </c>
      <c r="B1" s="211" t="s">
        <v>41</v>
      </c>
      <c r="C1" s="212" t="s">
        <v>42</v>
      </c>
      <c r="D1" s="211" t="s">
        <v>43</v>
      </c>
      <c r="E1" s="210" t="s">
        <v>44</v>
      </c>
      <c r="F1" s="213" t="s">
        <v>45</v>
      </c>
      <c r="G1" s="210" t="s">
        <v>50</v>
      </c>
      <c r="H1" s="213" t="s">
        <v>51</v>
      </c>
      <c r="I1" s="229" t="s">
        <v>53</v>
      </c>
      <c r="J1" s="213" t="s">
        <v>54</v>
      </c>
      <c r="K1" s="210" t="s">
        <v>46</v>
      </c>
      <c r="L1" s="214" t="s">
        <v>47</v>
      </c>
      <c r="M1" s="210" t="s">
        <v>48</v>
      </c>
      <c r="N1" s="210" t="s">
        <v>3</v>
      </c>
    </row>
    <row r="2" spans="1:15" x14ac:dyDescent="0.25">
      <c r="A2" s="216" t="s">
        <v>52</v>
      </c>
      <c r="B2" s="217">
        <v>1</v>
      </c>
      <c r="C2" s="218">
        <v>11</v>
      </c>
      <c r="D2" s="217">
        <v>2020</v>
      </c>
      <c r="E2" s="219">
        <f>'FS Jimbaran November 2020'!P12</f>
        <v>14859.999999999811</v>
      </c>
      <c r="F2" s="228">
        <f>'FS Jimbaran November 2020'!O12/'FS Jimbaran November 2020'!P12</f>
        <v>1150.7892193808896</v>
      </c>
      <c r="G2" s="219">
        <f>'FS Jimbaran November 2020'!AG12</f>
        <v>12</v>
      </c>
      <c r="H2" s="228">
        <f>'FS Jimbaran November 2020'!AH12/'FS Jimbaran November 2020'!AG12</f>
        <v>11458.333333333334</v>
      </c>
      <c r="I2" s="219">
        <f>'FS Jimbaran November 2020'!AJ12</f>
        <v>160.58999999999651</v>
      </c>
      <c r="J2" s="220">
        <f>'FS Jimbaran November 2020'!AK12/'FS Jimbaran November 2020'!AJ12</f>
        <v>8400</v>
      </c>
      <c r="K2" s="219">
        <f>'FS Jimbaran November 2020'!V12</f>
        <v>146.85000000000002</v>
      </c>
      <c r="L2" s="228">
        <f>'FS Jimbaran November 2020'!AA12/'FS Jimbaran November 2020'!V12</f>
        <v>10650.329333333333</v>
      </c>
      <c r="M2" s="219">
        <f>'FS Jimbaran November 2020'!C12</f>
        <v>6</v>
      </c>
      <c r="N2" s="219">
        <f>'FS Jimbaran November 2020'!D12</f>
        <v>175</v>
      </c>
    </row>
    <row r="3" spans="1:15" x14ac:dyDescent="0.25">
      <c r="A3" s="216" t="s">
        <v>52</v>
      </c>
      <c r="B3" s="217">
        <f>B2+1</f>
        <v>2</v>
      </c>
      <c r="C3" s="218">
        <v>11</v>
      </c>
      <c r="D3" s="217">
        <v>2020</v>
      </c>
      <c r="E3" s="219">
        <f>'FS Jimbaran November 2020'!P13</f>
        <v>13920.000000000193</v>
      </c>
      <c r="F3" s="228">
        <f>'FS Jimbaran November 2020'!O13/'FS Jimbaran November 2020'!P13</f>
        <v>1122.8390948275833</v>
      </c>
      <c r="G3" s="230">
        <f>'FS Jimbaran November 2020'!AG13</f>
        <v>412</v>
      </c>
      <c r="H3" s="228">
        <f>'FS Jimbaran November 2020'!AH13/'FS Jimbaran November 2020'!AG13</f>
        <v>10683.252427184467</v>
      </c>
      <c r="I3" s="230">
        <f>'FS Jimbaran November 2020'!AJ13</f>
        <v>94.25</v>
      </c>
      <c r="J3" s="220">
        <f>'FS Jimbaran November 2020'!AK13/'FS Jimbaran November 2020'!AJ13</f>
        <v>8400</v>
      </c>
      <c r="K3" s="219">
        <f>'FS Jimbaran November 2020'!V13</f>
        <v>189.57</v>
      </c>
      <c r="L3" s="228">
        <f>'FS Jimbaran November 2020'!AA13/'FS Jimbaran November 2020'!V13</f>
        <v>10624.554084507043</v>
      </c>
      <c r="M3" s="219">
        <f>'FS Jimbaran November 2020'!C13</f>
        <v>4</v>
      </c>
      <c r="N3" s="219">
        <f>'FS Jimbaran November 2020'!D13</f>
        <v>72</v>
      </c>
    </row>
    <row r="4" spans="1:15" x14ac:dyDescent="0.25">
      <c r="A4" s="216" t="s">
        <v>52</v>
      </c>
      <c r="B4" s="217">
        <f t="shared" ref="B4:B31" si="0">B3+1</f>
        <v>3</v>
      </c>
      <c r="C4" s="218">
        <v>11</v>
      </c>
      <c r="D4" s="217">
        <v>2020</v>
      </c>
      <c r="E4" s="219">
        <f>'FS Jimbaran November 2020'!P14</f>
        <v>13919.999999999647</v>
      </c>
      <c r="F4" s="228">
        <f>'FS Jimbaran November 2020'!O14/'FS Jimbaran November 2020'!P14</f>
        <v>1120.6068103448288</v>
      </c>
      <c r="G4" s="230">
        <f>'FS Jimbaran November 2020'!AG14</f>
        <v>24</v>
      </c>
      <c r="H4" s="228">
        <f>'FS Jimbaran November 2020'!AH14/'FS Jimbaran November 2020'!AG14</f>
        <v>11458.333333333334</v>
      </c>
      <c r="I4" s="230">
        <f>'FS Jimbaran November 2020'!AJ14</f>
        <v>80.150000000008731</v>
      </c>
      <c r="J4" s="220">
        <f>'FS Jimbaran November 2020'!AK14/'FS Jimbaran November 2020'!AJ14</f>
        <v>8400</v>
      </c>
      <c r="K4" s="219">
        <f>'FS Jimbaran November 2020'!V14</f>
        <v>178</v>
      </c>
      <c r="L4" s="228">
        <f>'FS Jimbaran November 2020'!AA14/'FS Jimbaran November 2020'!V14</f>
        <v>10970.586799999999</v>
      </c>
      <c r="M4" s="219">
        <f>'FS Jimbaran November 2020'!C14</f>
        <v>3</v>
      </c>
      <c r="N4" s="219">
        <f>'FS Jimbaran November 2020'!D14</f>
        <v>36</v>
      </c>
    </row>
    <row r="5" spans="1:15" x14ac:dyDescent="0.25">
      <c r="A5" s="216" t="s">
        <v>52</v>
      </c>
      <c r="B5" s="217">
        <f t="shared" si="0"/>
        <v>4</v>
      </c>
      <c r="C5" s="218">
        <v>11</v>
      </c>
      <c r="D5" s="217">
        <v>2020</v>
      </c>
      <c r="E5" s="219">
        <f>'FS Jimbaran November 2020'!P15</f>
        <v>14099.9999999997</v>
      </c>
      <c r="F5" s="228">
        <f>'FS Jimbaran November 2020'!O15/'FS Jimbaran November 2020'!P15</f>
        <v>1121.7277021276611</v>
      </c>
      <c r="G5" s="230">
        <f>'FS Jimbaran November 2020'!AG15</f>
        <v>62</v>
      </c>
      <c r="H5" s="228">
        <f>'FS Jimbaran November 2020'!AH15/'FS Jimbaran November 2020'!AG15</f>
        <v>10814.516129032258</v>
      </c>
      <c r="I5" s="230">
        <f>'FS Jimbaran November 2020'!AJ15</f>
        <v>122.54999999998836</v>
      </c>
      <c r="J5" s="220">
        <f>'FS Jimbaran November 2020'!AK15/'FS Jimbaran November 2020'!AJ15</f>
        <v>8400</v>
      </c>
      <c r="K5" s="219">
        <f>'FS Jimbaran November 2020'!V15</f>
        <v>194.91000000000003</v>
      </c>
      <c r="L5" s="228">
        <f>'FS Jimbaran November 2020'!AA15/'FS Jimbaran November 2020'!V15</f>
        <v>9823.0497716894988</v>
      </c>
      <c r="M5" s="219">
        <f>'FS Jimbaran November 2020'!C15</f>
        <v>5</v>
      </c>
      <c r="N5" s="219">
        <f>'FS Jimbaran November 2020'!D15</f>
        <v>0</v>
      </c>
    </row>
    <row r="6" spans="1:15" x14ac:dyDescent="0.25">
      <c r="A6" s="216" t="s">
        <v>52</v>
      </c>
      <c r="B6" s="217">
        <f t="shared" si="0"/>
        <v>5</v>
      </c>
      <c r="C6" s="218">
        <v>11</v>
      </c>
      <c r="D6" s="217">
        <v>2020</v>
      </c>
      <c r="E6" s="219">
        <f>'FS Jimbaran November 2020'!P16</f>
        <v>14020.000000000167</v>
      </c>
      <c r="F6" s="228">
        <f>'FS Jimbaran November 2020'!O16/'FS Jimbaran November 2020'!P16</f>
        <v>1122.9569186875872</v>
      </c>
      <c r="G6" s="230">
        <f>'FS Jimbaran November 2020'!AG16</f>
        <v>0</v>
      </c>
      <c r="H6" s="228" t="e">
        <f>'FS Jimbaran November 2020'!AH16/'FS Jimbaran November 2020'!AG16</f>
        <v>#DIV/0!</v>
      </c>
      <c r="I6" s="230">
        <f>'FS Jimbaran November 2020'!AJ16</f>
        <v>99.010000000009313</v>
      </c>
      <c r="J6" s="220">
        <f>'FS Jimbaran November 2020'!AK16/'FS Jimbaran November 2020'!AJ16</f>
        <v>8400</v>
      </c>
      <c r="K6" s="219">
        <f>'FS Jimbaran November 2020'!V16</f>
        <v>159.31</v>
      </c>
      <c r="L6" s="228">
        <f>'FS Jimbaran November 2020'!AA16/'FS Jimbaran November 2020'!V16</f>
        <v>10302.723463687151</v>
      </c>
      <c r="M6" s="219">
        <f>'FS Jimbaran November 2020'!C16</f>
        <v>4</v>
      </c>
      <c r="N6" s="219">
        <f>'FS Jimbaran November 2020'!D16</f>
        <v>77</v>
      </c>
    </row>
    <row r="7" spans="1:15" x14ac:dyDescent="0.25">
      <c r="A7" s="216" t="s">
        <v>52</v>
      </c>
      <c r="B7" s="217">
        <f t="shared" si="0"/>
        <v>6</v>
      </c>
      <c r="C7" s="218">
        <v>11</v>
      </c>
      <c r="D7" s="217">
        <v>2020</v>
      </c>
      <c r="E7" s="219">
        <f>'FS Jimbaran November 2020'!P17</f>
        <v>14620.000000000104</v>
      </c>
      <c r="F7" s="228">
        <f>'FS Jimbaran November 2020'!O17/'FS Jimbaran November 2020'!P17</f>
        <v>1119.3792065663458</v>
      </c>
      <c r="G7" s="230">
        <f>'FS Jimbaran November 2020'!AG17</f>
        <v>74</v>
      </c>
      <c r="H7" s="228">
        <f>'FS Jimbaran November 2020'!AH17/'FS Jimbaran November 2020'!AG17</f>
        <v>10918.918918918918</v>
      </c>
      <c r="I7" s="230">
        <f>'FS Jimbaran November 2020'!AJ17</f>
        <v>160.26999999998952</v>
      </c>
      <c r="J7" s="220">
        <f>'FS Jimbaran November 2020'!AK17/'FS Jimbaran November 2020'!AJ17</f>
        <v>8400</v>
      </c>
      <c r="K7" s="219">
        <f>'FS Jimbaran November 2020'!V17</f>
        <v>251.87</v>
      </c>
      <c r="L7" s="228">
        <f>'FS Jimbaran November 2020'!AA17/'FS Jimbaran November 2020'!V17</f>
        <v>8270.627208480566</v>
      </c>
      <c r="M7" s="219">
        <f>'FS Jimbaran November 2020'!C17</f>
        <v>7</v>
      </c>
      <c r="N7" s="219">
        <f>'FS Jimbaran November 2020'!D17</f>
        <v>65</v>
      </c>
    </row>
    <row r="8" spans="1:15" x14ac:dyDescent="0.25">
      <c r="A8" s="216" t="s">
        <v>52</v>
      </c>
      <c r="B8" s="217">
        <f t="shared" si="0"/>
        <v>7</v>
      </c>
      <c r="C8" s="218">
        <v>11</v>
      </c>
      <c r="D8" s="217">
        <v>2020</v>
      </c>
      <c r="E8" s="219">
        <f>'FS Jimbaran November 2020'!P18</f>
        <v>13439.999999999856</v>
      </c>
      <c r="F8" s="228">
        <f>'FS Jimbaran November 2020'!O18/'FS Jimbaran November 2020'!P18</f>
        <v>1125.177678571436</v>
      </c>
      <c r="G8" s="230">
        <f>'FS Jimbaran November 2020'!AG18</f>
        <v>0</v>
      </c>
      <c r="H8" s="228" t="e">
        <f>'FS Jimbaran November 2020'!AH18/'FS Jimbaran November 2020'!AG18</f>
        <v>#DIV/0!</v>
      </c>
      <c r="I8" s="230">
        <f>'FS Jimbaran November 2020'!AJ18</f>
        <v>90.369999999995343</v>
      </c>
      <c r="J8" s="220">
        <f>'FS Jimbaran November 2020'!AK18/'FS Jimbaran November 2020'!AJ18</f>
        <v>8400</v>
      </c>
      <c r="K8" s="219">
        <f>'FS Jimbaran November 2020'!V18</f>
        <v>194.91</v>
      </c>
      <c r="L8" s="228">
        <f>'FS Jimbaran November 2020'!AA18/'FS Jimbaran November 2020'!V18</f>
        <v>10199.085936073059</v>
      </c>
      <c r="M8" s="219">
        <f>'FS Jimbaran November 2020'!C18</f>
        <v>9</v>
      </c>
      <c r="N8" s="219">
        <f>'FS Jimbaran November 2020'!D18</f>
        <v>88</v>
      </c>
    </row>
    <row r="9" spans="1:15" x14ac:dyDescent="0.25">
      <c r="A9" s="216" t="s">
        <v>52</v>
      </c>
      <c r="B9" s="217">
        <f t="shared" si="0"/>
        <v>8</v>
      </c>
      <c r="C9" s="218">
        <v>11</v>
      </c>
      <c r="D9" s="217">
        <v>2020</v>
      </c>
      <c r="E9" s="219">
        <f>'FS Jimbaran November 2020'!P19</f>
        <v>13880.000000000593</v>
      </c>
      <c r="F9" s="228">
        <f>'FS Jimbaran November 2020'!O19/'FS Jimbaran November 2020'!P19</f>
        <v>1125.328703170024</v>
      </c>
      <c r="G9" s="230">
        <f>'FS Jimbaran November 2020'!AG19</f>
        <v>412</v>
      </c>
      <c r="H9" s="228">
        <f>'FS Jimbaran November 2020'!AH19/'FS Jimbaran November 2020'!AG19</f>
        <v>10683.252427184467</v>
      </c>
      <c r="I9" s="230">
        <f>'FS Jimbaran November 2020'!AJ19</f>
        <v>192.27000000000407</v>
      </c>
      <c r="J9" s="220">
        <f>'FS Jimbaran November 2020'!AK19/'FS Jimbaran November 2020'!AJ19</f>
        <v>8400</v>
      </c>
      <c r="K9" s="219">
        <f>'FS Jimbaran November 2020'!V19</f>
        <v>181.56</v>
      </c>
      <c r="L9" s="228">
        <f>'FS Jimbaran November 2020'!AA19/'FS Jimbaran November 2020'!V19</f>
        <v>9896.7823529411762</v>
      </c>
      <c r="M9" s="219">
        <f>'FS Jimbaran November 2020'!C19</f>
        <v>10</v>
      </c>
      <c r="N9" s="219">
        <f>'FS Jimbaran November 2020'!D19</f>
        <v>133</v>
      </c>
      <c r="O9" s="221" t="s">
        <v>49</v>
      </c>
    </row>
    <row r="10" spans="1:15" x14ac:dyDescent="0.25">
      <c r="A10" s="216" t="s">
        <v>52</v>
      </c>
      <c r="B10" s="217">
        <f t="shared" si="0"/>
        <v>9</v>
      </c>
      <c r="C10" s="218">
        <v>11</v>
      </c>
      <c r="D10" s="217">
        <v>2020</v>
      </c>
      <c r="E10" s="219">
        <f>'FS Jimbaran November 2020'!P20</f>
        <v>14459.999999999212</v>
      </c>
      <c r="F10" s="228">
        <f>'FS Jimbaran November 2020'!O20/'FS Jimbaran November 2020'!P20</f>
        <v>1123.1694605809164</v>
      </c>
      <c r="G10" s="230">
        <f>'FS Jimbaran November 2020'!AG20</f>
        <v>12</v>
      </c>
      <c r="H10" s="228">
        <f>'FS Jimbaran November 2020'!AH20/'FS Jimbaran November 2020'!AG20</f>
        <v>11458.333333333334</v>
      </c>
      <c r="I10" s="230">
        <f>'FS Jimbaran November 2020'!AJ20</f>
        <v>136.85000000000582</v>
      </c>
      <c r="J10" s="220">
        <f>'FS Jimbaran November 2020'!AK20/'FS Jimbaran November 2020'!AJ20</f>
        <v>8400</v>
      </c>
      <c r="K10" s="219">
        <f>'FS Jimbaran November 2020'!V20</f>
        <v>195.8</v>
      </c>
      <c r="L10" s="228">
        <f>'FS Jimbaran November 2020'!AA20/'FS Jimbaran November 2020'!V20</f>
        <v>10483.961818181817</v>
      </c>
      <c r="M10" s="219">
        <f>'FS Jimbaran November 2020'!C20</f>
        <v>7</v>
      </c>
      <c r="N10" s="219">
        <f>'FS Jimbaran November 2020'!D20</f>
        <v>69</v>
      </c>
    </row>
    <row r="11" spans="1:15" x14ac:dyDescent="0.25">
      <c r="A11" s="216" t="s">
        <v>52</v>
      </c>
      <c r="B11" s="217">
        <f t="shared" si="0"/>
        <v>10</v>
      </c>
      <c r="C11" s="218">
        <v>11</v>
      </c>
      <c r="D11" s="217">
        <v>2020</v>
      </c>
      <c r="E11" s="219">
        <f>'FS Jimbaran November 2020'!P21</f>
        <v>14749.999999999976</v>
      </c>
      <c r="F11" s="228">
        <f>'FS Jimbaran November 2020'!O21/'FS Jimbaran November 2020'!P21</f>
        <v>1121.8024067796612</v>
      </c>
      <c r="G11" s="230">
        <f>'FS Jimbaran November 2020'!AG21</f>
        <v>0</v>
      </c>
      <c r="H11" s="228" t="e">
        <f>'FS Jimbaran November 2020'!AH21/'FS Jimbaran November 2020'!AG21</f>
        <v>#DIV/0!</v>
      </c>
      <c r="I11" s="230">
        <f>'FS Jimbaran November 2020'!AJ21</f>
        <v>107.54000000000815</v>
      </c>
      <c r="J11" s="220">
        <f>'FS Jimbaran November 2020'!AK21/'FS Jimbaran November 2020'!AJ21</f>
        <v>8400</v>
      </c>
      <c r="K11" s="219">
        <f>'FS Jimbaran November 2020'!V21</f>
        <v>183.34</v>
      </c>
      <c r="L11" s="228">
        <f>'FS Jimbaran November 2020'!AA21/'FS Jimbaran November 2020'!V21</f>
        <v>9375.5180582524263</v>
      </c>
      <c r="M11" s="219">
        <f>'FS Jimbaran November 2020'!C21</f>
        <v>5</v>
      </c>
      <c r="N11" s="219">
        <f>'FS Jimbaran November 2020'!D21</f>
        <v>139</v>
      </c>
    </row>
    <row r="12" spans="1:15" x14ac:dyDescent="0.25">
      <c r="A12" s="216" t="s">
        <v>52</v>
      </c>
      <c r="B12" s="217">
        <f t="shared" si="0"/>
        <v>11</v>
      </c>
      <c r="C12" s="218">
        <v>11</v>
      </c>
      <c r="D12" s="217">
        <v>2020</v>
      </c>
      <c r="E12" s="219">
        <f>'FS Jimbaran November 2020'!P22</f>
        <v>14340.000000000011</v>
      </c>
      <c r="F12" s="228">
        <f>'FS Jimbaran November 2020'!O22/'FS Jimbaran November 2020'!P22</f>
        <v>1115.2331380753137</v>
      </c>
      <c r="G12" s="230">
        <f>'FS Jimbaran November 2020'!AG22</f>
        <v>48</v>
      </c>
      <c r="H12" s="228">
        <f>'FS Jimbaran November 2020'!AH22/'FS Jimbaran November 2020'!AG22</f>
        <v>11458.333333333334</v>
      </c>
      <c r="I12" s="230">
        <f>'FS Jimbaran November 2020'!AJ22</f>
        <v>125.66999999999825</v>
      </c>
      <c r="J12" s="220">
        <f>'FS Jimbaran November 2020'!AK22/'FS Jimbaran November 2020'!AJ22</f>
        <v>8400</v>
      </c>
      <c r="K12" s="219">
        <f>'FS Jimbaran November 2020'!V22</f>
        <v>168.20999999999998</v>
      </c>
      <c r="L12" s="228">
        <f>'FS Jimbaran November 2020'!AA22/'FS Jimbaran November 2020'!V22</f>
        <v>10926.288148148149</v>
      </c>
      <c r="M12" s="219">
        <f>'FS Jimbaran November 2020'!C22</f>
        <v>4</v>
      </c>
      <c r="N12" s="219">
        <f>'FS Jimbaran November 2020'!D22</f>
        <v>30</v>
      </c>
    </row>
    <row r="13" spans="1:15" x14ac:dyDescent="0.25">
      <c r="A13" s="216" t="s">
        <v>52</v>
      </c>
      <c r="B13" s="217">
        <f t="shared" si="0"/>
        <v>12</v>
      </c>
      <c r="C13" s="218">
        <v>11</v>
      </c>
      <c r="D13" s="217">
        <v>2020</v>
      </c>
      <c r="E13" s="219">
        <f>'FS Jimbaran November 2020'!P23</f>
        <v>13879.999999999996</v>
      </c>
      <c r="F13" s="228">
        <f>'FS Jimbaran November 2020'!O23/'FS Jimbaran November 2020'!P23</f>
        <v>1124.5824639769453</v>
      </c>
      <c r="G13" s="230">
        <f>'FS Jimbaran November 2020'!AG23</f>
        <v>0</v>
      </c>
      <c r="H13" s="228" t="e">
        <f>'FS Jimbaran November 2020'!AH23/'FS Jimbaran November 2020'!AG23</f>
        <v>#DIV/0!</v>
      </c>
      <c r="I13" s="230">
        <f>'FS Jimbaran November 2020'!AJ23</f>
        <v>158.77000000000407</v>
      </c>
      <c r="J13" s="220">
        <f>'FS Jimbaran November 2020'!AK23/'FS Jimbaran November 2020'!AJ23</f>
        <v>8400</v>
      </c>
      <c r="K13" s="219">
        <f>'FS Jimbaran November 2020'!V23</f>
        <v>194.02</v>
      </c>
      <c r="L13" s="228">
        <f>'FS Jimbaran November 2020'!AA23/'FS Jimbaran November 2020'!V23</f>
        <v>9344.9548623853207</v>
      </c>
      <c r="M13" s="219">
        <f>'FS Jimbaran November 2020'!C23</f>
        <v>6</v>
      </c>
      <c r="N13" s="219">
        <f>'FS Jimbaran November 2020'!D23</f>
        <v>48</v>
      </c>
    </row>
    <row r="14" spans="1:15" x14ac:dyDescent="0.25">
      <c r="A14" s="216" t="s">
        <v>52</v>
      </c>
      <c r="B14" s="217">
        <f t="shared" si="0"/>
        <v>13</v>
      </c>
      <c r="C14" s="218">
        <v>11</v>
      </c>
      <c r="D14" s="217">
        <v>2020</v>
      </c>
      <c r="E14" s="219">
        <f>'FS Jimbaran November 2020'!P24</f>
        <v>14680.000000000004</v>
      </c>
      <c r="F14" s="228">
        <f>'FS Jimbaran November 2020'!O24/'FS Jimbaran November 2020'!P24</f>
        <v>1124.6820980926432</v>
      </c>
      <c r="G14" s="230">
        <f>'FS Jimbaran November 2020'!AG24</f>
        <v>62</v>
      </c>
      <c r="H14" s="228">
        <f>'FS Jimbaran November 2020'!AH24/'FS Jimbaran November 2020'!AG24</f>
        <v>10814.516129032258</v>
      </c>
      <c r="I14" s="230">
        <f>'FS Jimbaran November 2020'!AJ24</f>
        <v>309</v>
      </c>
      <c r="J14" s="220">
        <f>'FS Jimbaran November 2020'!AK24/'FS Jimbaran November 2020'!AJ24</f>
        <v>8400</v>
      </c>
      <c r="K14" s="219">
        <f>'FS Jimbaran November 2020'!V24</f>
        <v>162.87</v>
      </c>
      <c r="L14" s="228">
        <f>'FS Jimbaran November 2020'!AA24/'FS Jimbaran November 2020'!V24</f>
        <v>9870.3111475409842</v>
      </c>
      <c r="M14" s="219">
        <f>'FS Jimbaran November 2020'!C24</f>
        <v>15</v>
      </c>
      <c r="N14" s="219">
        <f>'FS Jimbaran November 2020'!D24</f>
        <v>94</v>
      </c>
    </row>
    <row r="15" spans="1:15" x14ac:dyDescent="0.25">
      <c r="A15" s="216" t="s">
        <v>52</v>
      </c>
      <c r="B15" s="217">
        <f t="shared" si="0"/>
        <v>14</v>
      </c>
      <c r="C15" s="218">
        <v>11</v>
      </c>
      <c r="D15" s="217">
        <v>2020</v>
      </c>
      <c r="E15" s="219">
        <f>'FS Jimbaran November 2020'!P25</f>
        <v>14660.000000000007</v>
      </c>
      <c r="F15" s="228">
        <f>'FS Jimbaran November 2020'!O25/'FS Jimbaran November 2020'!P25</f>
        <v>1122.68377899045</v>
      </c>
      <c r="G15" s="230">
        <f>'FS Jimbaran November 2020'!AG25</f>
        <v>412</v>
      </c>
      <c r="H15" s="228">
        <f>'FS Jimbaran November 2020'!AH25/'FS Jimbaran November 2020'!AG25</f>
        <v>10683.252427184467</v>
      </c>
      <c r="I15" s="230">
        <f>'FS Jimbaran November 2020'!AJ25</f>
        <v>255.72999999999593</v>
      </c>
      <c r="J15" s="220">
        <f>'FS Jimbaran November 2020'!AK25/'FS Jimbaran November 2020'!AJ25</f>
        <v>8399.9999999999982</v>
      </c>
      <c r="K15" s="219">
        <f>'FS Jimbaran November 2020'!V25</f>
        <v>172.66000000000003</v>
      </c>
      <c r="L15" s="228">
        <f>'FS Jimbaran November 2020'!AA25/'FS Jimbaran November 2020'!V25</f>
        <v>12098.327010309278</v>
      </c>
      <c r="M15" s="219">
        <f>'FS Jimbaran November 2020'!C25</f>
        <v>12</v>
      </c>
      <c r="N15" s="219">
        <f>'FS Jimbaran November 2020'!D25</f>
        <v>158</v>
      </c>
    </row>
    <row r="16" spans="1:15" x14ac:dyDescent="0.25">
      <c r="A16" s="216" t="s">
        <v>52</v>
      </c>
      <c r="B16" s="217">
        <f t="shared" si="0"/>
        <v>15</v>
      </c>
      <c r="C16" s="218">
        <v>11</v>
      </c>
      <c r="D16" s="217">
        <v>2020</v>
      </c>
      <c r="E16" s="219">
        <f>'FS Jimbaran November 2020'!P26</f>
        <v>13299.999999999975</v>
      </c>
      <c r="F16" s="228">
        <f>'FS Jimbaran November 2020'!O26/'FS Jimbaran November 2020'!P26</f>
        <v>1123.782360902256</v>
      </c>
      <c r="G16" s="230">
        <f>'FS Jimbaran November 2020'!AG26</f>
        <v>24</v>
      </c>
      <c r="H16" s="228">
        <f>'FS Jimbaran November 2020'!AH26/'FS Jimbaran November 2020'!AG26</f>
        <v>11458.333333333334</v>
      </c>
      <c r="I16" s="230">
        <f>'FS Jimbaran November 2020'!AJ26</f>
        <v>118.02000000000407</v>
      </c>
      <c r="J16" s="220">
        <f>'FS Jimbaran November 2020'!AK26/'FS Jimbaran November 2020'!AJ26</f>
        <v>8400</v>
      </c>
      <c r="K16" s="219">
        <f>'FS Jimbaran November 2020'!V26</f>
        <v>167.32</v>
      </c>
      <c r="L16" s="228">
        <f>'FS Jimbaran November 2020'!AA26/'FS Jimbaran November 2020'!V26</f>
        <v>10596.790851063832</v>
      </c>
      <c r="M16" s="219">
        <f>'FS Jimbaran November 2020'!C26</f>
        <v>2</v>
      </c>
      <c r="N16" s="219">
        <f>'FS Jimbaran November 2020'!D26</f>
        <v>123</v>
      </c>
    </row>
    <row r="17" spans="1:14" x14ac:dyDescent="0.25">
      <c r="A17" s="216" t="s">
        <v>52</v>
      </c>
      <c r="B17" s="217">
        <f t="shared" si="0"/>
        <v>16</v>
      </c>
      <c r="C17" s="218">
        <v>11</v>
      </c>
      <c r="D17" s="217">
        <v>2020</v>
      </c>
      <c r="E17" s="219">
        <f>'FS Jimbaran November 2020'!P27</f>
        <v>14340.000000000047</v>
      </c>
      <c r="F17" s="228">
        <f>'FS Jimbaran November 2020'!O27/'FS Jimbaran November 2020'!P27</f>
        <v>1120.2892468619243</v>
      </c>
      <c r="G17" s="230">
        <f>'FS Jimbaran November 2020'!AG27</f>
        <v>12</v>
      </c>
      <c r="H17" s="228">
        <f>'FS Jimbaran November 2020'!AH27/'FS Jimbaran November 2020'!AG27</f>
        <v>11458.333333333334</v>
      </c>
      <c r="I17" s="230">
        <f>'FS Jimbaran November 2020'!AJ27</f>
        <v>211</v>
      </c>
      <c r="J17" s="220">
        <f>'FS Jimbaran November 2020'!AK27/'FS Jimbaran November 2020'!AJ27</f>
        <v>8400</v>
      </c>
      <c r="K17" s="219">
        <f>'FS Jimbaran November 2020'!V27</f>
        <v>162.87</v>
      </c>
      <c r="L17" s="228">
        <f>'FS Jimbaran November 2020'!AA27/'FS Jimbaran November 2020'!V27</f>
        <v>9795.309398907104</v>
      </c>
      <c r="M17" s="219">
        <f>'FS Jimbaran November 2020'!C27</f>
        <v>5</v>
      </c>
      <c r="N17" s="219">
        <f>'FS Jimbaran November 2020'!D27</f>
        <v>32</v>
      </c>
    </row>
    <row r="18" spans="1:14" x14ac:dyDescent="0.25">
      <c r="A18" s="216" t="s">
        <v>52</v>
      </c>
      <c r="B18" s="217">
        <f t="shared" si="0"/>
        <v>17</v>
      </c>
      <c r="C18" s="218">
        <v>11</v>
      </c>
      <c r="D18" s="217">
        <v>2020</v>
      </c>
      <c r="E18" s="219">
        <f>'FS Jimbaran November 2020'!P28</f>
        <v>13879.999999999964</v>
      </c>
      <c r="F18" s="228">
        <f>'FS Jimbaran November 2020'!O28/'FS Jimbaran November 2020'!P28</f>
        <v>1124.5824639769453</v>
      </c>
      <c r="G18" s="230">
        <f>'FS Jimbaran November 2020'!AG28</f>
        <v>24</v>
      </c>
      <c r="H18" s="228">
        <f>'FS Jimbaran November 2020'!AH28/'FS Jimbaran November 2020'!AG28</f>
        <v>11458.333333333334</v>
      </c>
      <c r="I18" s="230">
        <f>'FS Jimbaran November 2020'!AJ28</f>
        <v>185.59999999999127</v>
      </c>
      <c r="J18" s="220">
        <f>'FS Jimbaran November 2020'!AK28/'FS Jimbaran November 2020'!AJ28</f>
        <v>8400</v>
      </c>
      <c r="K18" s="219">
        <f>'FS Jimbaran November 2020'!V28</f>
        <v>172.66000000000003</v>
      </c>
      <c r="L18" s="228">
        <f>'FS Jimbaran November 2020'!AA28/'FS Jimbaran November 2020'!V28</f>
        <v>10471.098350515464</v>
      </c>
      <c r="M18" s="219">
        <f>'FS Jimbaran November 2020'!C28</f>
        <v>4</v>
      </c>
      <c r="N18" s="219">
        <f>'FS Jimbaran November 2020'!D28</f>
        <v>29</v>
      </c>
    </row>
    <row r="19" spans="1:14" x14ac:dyDescent="0.25">
      <c r="A19" s="216" t="s">
        <v>52</v>
      </c>
      <c r="B19" s="217">
        <f t="shared" si="0"/>
        <v>18</v>
      </c>
      <c r="C19" s="218">
        <v>11</v>
      </c>
      <c r="D19" s="217">
        <v>2020</v>
      </c>
      <c r="E19" s="219">
        <f>'FS Jimbaran November 2020'!P29</f>
        <v>14920.000000000029</v>
      </c>
      <c r="F19" s="228">
        <f>'FS Jimbaran November 2020'!O29/'FS Jimbaran November 2020'!P29</f>
        <v>1127.4173726541553</v>
      </c>
      <c r="G19" s="230">
        <f>'FS Jimbaran November 2020'!AG29</f>
        <v>24</v>
      </c>
      <c r="H19" s="228">
        <f>'FS Jimbaran November 2020'!AH29/'FS Jimbaran November 2020'!AG29</f>
        <v>11458.333333333334</v>
      </c>
      <c r="I19" s="230">
        <f>'FS Jimbaran November 2020'!AJ29</f>
        <v>234.58000000000175</v>
      </c>
      <c r="J19" s="220">
        <f>'FS Jimbaran November 2020'!AK29/'FS Jimbaran November 2020'!AJ29</f>
        <v>8400</v>
      </c>
      <c r="K19" s="219">
        <f>'FS Jimbaran November 2020'!V29</f>
        <v>169.10000000000002</v>
      </c>
      <c r="L19" s="228">
        <f>'FS Jimbaran November 2020'!AA29/'FS Jimbaran November 2020'!V29</f>
        <v>10024.262105263157</v>
      </c>
      <c r="M19" s="219">
        <f>'FS Jimbaran November 2020'!C29</f>
        <v>4</v>
      </c>
      <c r="N19" s="219">
        <f>'FS Jimbaran November 2020'!D29</f>
        <v>34</v>
      </c>
    </row>
    <row r="20" spans="1:14" x14ac:dyDescent="0.25">
      <c r="A20" s="216" t="s">
        <v>52</v>
      </c>
      <c r="B20" s="217">
        <f t="shared" si="0"/>
        <v>19</v>
      </c>
      <c r="C20" s="218">
        <v>11</v>
      </c>
      <c r="D20" s="217">
        <v>2020</v>
      </c>
      <c r="E20" s="219">
        <f>'FS Jimbaran November 2020'!P30</f>
        <v>13459.999999999956</v>
      </c>
      <c r="F20" s="228">
        <f>'FS Jimbaran November 2020'!O30/'FS Jimbaran November 2020'!P30</f>
        <v>1128.8924665676079</v>
      </c>
      <c r="G20" s="230">
        <f>'FS Jimbaran November 2020'!AG30</f>
        <v>62</v>
      </c>
      <c r="H20" s="228">
        <f>'FS Jimbaran November 2020'!AH30/'FS Jimbaran November 2020'!AG30</f>
        <v>10814.516129032258</v>
      </c>
      <c r="I20" s="230">
        <f>'FS Jimbaran November 2020'!AJ30</f>
        <v>254.97000000000116</v>
      </c>
      <c r="J20" s="220">
        <f>'FS Jimbaran November 2020'!AK30/'FS Jimbaran November 2020'!AJ30</f>
        <v>8400</v>
      </c>
      <c r="K20" s="219">
        <f>'FS Jimbaran November 2020'!V30</f>
        <v>136.17000000000002</v>
      </c>
      <c r="L20" s="228">
        <f>'FS Jimbaran November 2020'!AA30/'FS Jimbaran November 2020'!V30</f>
        <v>10435.030196078431</v>
      </c>
      <c r="M20" s="219">
        <f>'FS Jimbaran November 2020'!C30</f>
        <v>7</v>
      </c>
      <c r="N20" s="219">
        <f>'FS Jimbaran November 2020'!D30</f>
        <v>59</v>
      </c>
    </row>
    <row r="21" spans="1:14" x14ac:dyDescent="0.25">
      <c r="A21" s="216" t="s">
        <v>52</v>
      </c>
      <c r="B21" s="217">
        <f t="shared" si="0"/>
        <v>20</v>
      </c>
      <c r="C21" s="218">
        <v>11</v>
      </c>
      <c r="D21" s="217">
        <v>2020</v>
      </c>
      <c r="E21" s="219">
        <f>'FS Jimbaran November 2020'!P31</f>
        <v>13440.000000000013</v>
      </c>
      <c r="F21" s="228">
        <f>'FS Jimbaran November 2020'!O31/'FS Jimbaran November 2020'!P31</f>
        <v>1129.8016964285712</v>
      </c>
      <c r="G21" s="230">
        <f>'FS Jimbaran November 2020'!AG31</f>
        <v>400</v>
      </c>
      <c r="H21" s="228">
        <f>'FS Jimbaran November 2020'!AH31/'FS Jimbaran November 2020'!AG31</f>
        <v>10660</v>
      </c>
      <c r="I21" s="230">
        <f>'FS Jimbaran November 2020'!AJ31</f>
        <v>232.94999999998254</v>
      </c>
      <c r="J21" s="220">
        <f>'FS Jimbaran November 2020'!AK31/'FS Jimbaran November 2020'!AJ31</f>
        <v>8400</v>
      </c>
      <c r="K21" s="219">
        <f>'FS Jimbaran November 2020'!V31</f>
        <v>185.12</v>
      </c>
      <c r="L21" s="228">
        <f>'FS Jimbaran November 2020'!AA31/'FS Jimbaran November 2020'!V31</f>
        <v>11503.762692307691</v>
      </c>
      <c r="M21" s="219">
        <f>'FS Jimbaran November 2020'!C31</f>
        <v>7</v>
      </c>
      <c r="N21" s="219">
        <f>'FS Jimbaran November 2020'!D31</f>
        <v>134</v>
      </c>
    </row>
    <row r="22" spans="1:14" x14ac:dyDescent="0.25">
      <c r="A22" s="216" t="s">
        <v>52</v>
      </c>
      <c r="B22" s="217">
        <f t="shared" si="0"/>
        <v>21</v>
      </c>
      <c r="C22" s="218">
        <v>11</v>
      </c>
      <c r="D22" s="217">
        <v>2020</v>
      </c>
      <c r="E22" s="219">
        <f>'FS Jimbaran November 2020'!P32</f>
        <v>15060.000000000042</v>
      </c>
      <c r="F22" s="228">
        <f>'FS Jimbaran November 2020'!O32/'FS Jimbaran November 2020'!P32</f>
        <v>1128.6288047808766</v>
      </c>
      <c r="G22" s="230">
        <f>'FS Jimbaran November 2020'!AG32</f>
        <v>12</v>
      </c>
      <c r="H22" s="228">
        <f>'FS Jimbaran November 2020'!AH32/'FS Jimbaran November 2020'!AG32</f>
        <v>11458.333333333334</v>
      </c>
      <c r="I22" s="230">
        <f>'FS Jimbaran November 2020'!AJ32</f>
        <v>126.30999999999767</v>
      </c>
      <c r="J22" s="220">
        <f>'FS Jimbaran November 2020'!AK32/'FS Jimbaran November 2020'!AJ32</f>
        <v>8400</v>
      </c>
      <c r="K22" s="219">
        <f>'FS Jimbaran November 2020'!V32</f>
        <v>131.72</v>
      </c>
      <c r="L22" s="228">
        <f>'FS Jimbaran November 2020'!AA32/'FS Jimbaran November 2020'!V32</f>
        <v>12591.658378378377</v>
      </c>
      <c r="M22" s="219">
        <f>'FS Jimbaran November 2020'!C32</f>
        <v>8</v>
      </c>
      <c r="N22" s="219">
        <f>'FS Jimbaran November 2020'!D32</f>
        <v>175</v>
      </c>
    </row>
    <row r="23" spans="1:14" x14ac:dyDescent="0.25">
      <c r="A23" s="216" t="s">
        <v>52</v>
      </c>
      <c r="B23" s="217">
        <f t="shared" si="0"/>
        <v>22</v>
      </c>
      <c r="C23" s="218">
        <v>11</v>
      </c>
      <c r="D23" s="217">
        <v>2020</v>
      </c>
      <c r="E23" s="219">
        <f>'FS Jimbaran November 2020'!P33</f>
        <v>14119.999999999958</v>
      </c>
      <c r="F23" s="228">
        <f>'FS Jimbaran November 2020'!O33/'FS Jimbaran November 2020'!P33</f>
        <v>1116.471076487252</v>
      </c>
      <c r="G23" s="230">
        <f>'FS Jimbaran November 2020'!AG33</f>
        <v>0</v>
      </c>
      <c r="H23" s="228" t="e">
        <f>'FS Jimbaran November 2020'!AH33/'FS Jimbaran November 2020'!AG33</f>
        <v>#DIV/0!</v>
      </c>
      <c r="I23" s="230">
        <f>'FS Jimbaran November 2020'!AJ33</f>
        <v>177.13000000000466</v>
      </c>
      <c r="J23" s="220">
        <f>'FS Jimbaran November 2020'!AK33/'FS Jimbaran November 2020'!AJ33</f>
        <v>8400</v>
      </c>
      <c r="K23" s="219">
        <f>'FS Jimbaran November 2020'!V33</f>
        <v>121.93</v>
      </c>
      <c r="L23" s="228">
        <f>'FS Jimbaran November 2020'!AA33/'FS Jimbaran November 2020'!V33</f>
        <v>12560.519854014599</v>
      </c>
      <c r="M23" s="219">
        <f>'FS Jimbaran November 2020'!C33</f>
        <v>3</v>
      </c>
      <c r="N23" s="219">
        <f>'FS Jimbaran November 2020'!D33</f>
        <v>93</v>
      </c>
    </row>
    <row r="24" spans="1:14" x14ac:dyDescent="0.25">
      <c r="A24" s="216" t="s">
        <v>52</v>
      </c>
      <c r="B24" s="217">
        <f t="shared" si="0"/>
        <v>23</v>
      </c>
      <c r="C24" s="218">
        <v>11</v>
      </c>
      <c r="D24" s="217">
        <v>2020</v>
      </c>
      <c r="E24" s="219">
        <f>'FS Jimbaran November 2020'!P34</f>
        <v>13280.000000000004</v>
      </c>
      <c r="F24" s="228">
        <f>'FS Jimbaran November 2020'!O34/'FS Jimbaran November 2020'!P34</f>
        <v>1122.3549849397589</v>
      </c>
      <c r="G24" s="230">
        <f>'FS Jimbaran November 2020'!AG34</f>
        <v>510</v>
      </c>
      <c r="H24" s="228">
        <f>'FS Jimbaran November 2020'!AH34/'FS Jimbaran November 2020'!AG34</f>
        <v>10753.921568627451</v>
      </c>
      <c r="I24" s="230">
        <f>'FS Jimbaran November 2020'!AJ34</f>
        <v>219.55999999999767</v>
      </c>
      <c r="J24" s="220">
        <f>'FS Jimbaran November 2020'!AK34/'FS Jimbaran November 2020'!AJ34</f>
        <v>8400</v>
      </c>
      <c r="K24" s="219">
        <f>'FS Jimbaran November 2020'!V34</f>
        <v>200.25</v>
      </c>
      <c r="L24" s="228">
        <f>'FS Jimbaran November 2020'!AA34/'FS Jimbaran November 2020'!V34</f>
        <v>10162.317955555554</v>
      </c>
      <c r="M24" s="219">
        <f>'FS Jimbaran November 2020'!C34</f>
        <v>6</v>
      </c>
      <c r="N24" s="219">
        <f>'FS Jimbaran November 2020'!D34</f>
        <v>50</v>
      </c>
    </row>
    <row r="25" spans="1:14" x14ac:dyDescent="0.25">
      <c r="A25" s="216" t="s">
        <v>52</v>
      </c>
      <c r="B25" s="217">
        <f t="shared" si="0"/>
        <v>24</v>
      </c>
      <c r="C25" s="218">
        <v>11</v>
      </c>
      <c r="D25" s="217">
        <v>2020</v>
      </c>
      <c r="E25" s="219">
        <f>'FS Jimbaran November 2020'!P35</f>
        <v>13619.999999999989</v>
      </c>
      <c r="F25" s="228">
        <f>'FS Jimbaran November 2020'!O35/'FS Jimbaran November 2020'!P35</f>
        <v>1117.1518502202644</v>
      </c>
      <c r="G25" s="230">
        <f>'FS Jimbaran November 2020'!AG35</f>
        <v>12</v>
      </c>
      <c r="H25" s="228">
        <f>'FS Jimbaran November 2020'!AH35/'FS Jimbaran November 2020'!AG35</f>
        <v>11458.333333333334</v>
      </c>
      <c r="I25" s="230">
        <f>'FS Jimbaran November 2020'!AJ35</f>
        <v>209.69999999999709</v>
      </c>
      <c r="J25" s="220">
        <f>'FS Jimbaran November 2020'!AK35/'FS Jimbaran November 2020'!AJ35</f>
        <v>8400</v>
      </c>
      <c r="K25" s="219">
        <f>'FS Jimbaran November 2020'!V35</f>
        <v>331.97</v>
      </c>
      <c r="L25" s="228">
        <f>'FS Jimbaran November 2020'!AA35/'FS Jimbaran November 2020'!V35</f>
        <v>6784.1802144772118</v>
      </c>
      <c r="M25" s="219">
        <f>'FS Jimbaran November 2020'!C35</f>
        <v>5</v>
      </c>
      <c r="N25" s="219">
        <f>'FS Jimbaran November 2020'!D35</f>
        <v>30</v>
      </c>
    </row>
    <row r="26" spans="1:14" x14ac:dyDescent="0.25">
      <c r="A26" s="216" t="s">
        <v>52</v>
      </c>
      <c r="B26" s="217">
        <f>B25+1</f>
        <v>25</v>
      </c>
      <c r="C26" s="218">
        <v>11</v>
      </c>
      <c r="D26" s="217">
        <v>2020</v>
      </c>
      <c r="E26" s="219">
        <f>'FS Jimbaran November 2020'!P36</f>
        <v>21520.000000000051</v>
      </c>
      <c r="F26" s="228">
        <f>'FS Jimbaran November 2020'!O36/'FS Jimbaran November 2020'!P36</f>
        <v>1087.7615241635685</v>
      </c>
      <c r="G26" s="230">
        <f>'FS Jimbaran November 2020'!AG36</f>
        <v>12</v>
      </c>
      <c r="H26" s="228">
        <f>'FS Jimbaran November 2020'!AH36/'FS Jimbaran November 2020'!AG36</f>
        <v>11458.333333333334</v>
      </c>
      <c r="I26" s="230">
        <f>'FS Jimbaran November 2020'!AJ36</f>
        <v>189.94999999999709</v>
      </c>
      <c r="J26" s="220">
        <f>'FS Jimbaran November 2020'!AK36/'FS Jimbaran November 2020'!AJ36</f>
        <v>8400</v>
      </c>
      <c r="K26" s="219">
        <f>'FS Jimbaran November 2020'!V36</f>
        <v>355.911</v>
      </c>
      <c r="L26" s="228">
        <f>'FS Jimbaran November 2020'!AA36/'FS Jimbaran November 2020'!V36</f>
        <v>7505.7586446611658</v>
      </c>
      <c r="M26" s="219">
        <f>'FS Jimbaran November 2020'!C36</f>
        <v>3</v>
      </c>
      <c r="N26" s="219">
        <f>'FS Jimbaran November 2020'!D36</f>
        <v>66</v>
      </c>
    </row>
    <row r="27" spans="1:14" x14ac:dyDescent="0.25">
      <c r="A27" s="216" t="s">
        <v>52</v>
      </c>
      <c r="B27" s="217">
        <f t="shared" si="0"/>
        <v>26</v>
      </c>
      <c r="C27" s="218">
        <v>11</v>
      </c>
      <c r="D27" s="217">
        <v>2020</v>
      </c>
      <c r="E27" s="219">
        <f>'FS Jimbaran November 2020'!P37</f>
        <v>5399.9999999999582</v>
      </c>
      <c r="F27" s="228">
        <f>'FS Jimbaran November 2020'!O37/'FS Jimbaran November 2020'!P37</f>
        <v>1254.4446666666684</v>
      </c>
      <c r="G27" s="230">
        <f>'FS Jimbaran November 2020'!AG37</f>
        <v>0</v>
      </c>
      <c r="H27" s="228" t="e">
        <f>'FS Jimbaran November 2020'!AH37/'FS Jimbaran November 2020'!AG37</f>
        <v>#DIV/0!</v>
      </c>
      <c r="I27" s="230">
        <f>'FS Jimbaran November 2020'!AJ37</f>
        <v>179.97000000000116</v>
      </c>
      <c r="J27" s="220">
        <f>'FS Jimbaran November 2020'!AK37/'FS Jimbaran November 2020'!AJ37</f>
        <v>8400</v>
      </c>
      <c r="K27" s="219">
        <f>'FS Jimbaran November 2020'!V37</f>
        <v>365.96800000000007</v>
      </c>
      <c r="L27" s="228">
        <f>'FS Jimbaran November 2020'!AA37/'FS Jimbaran November 2020'!V37</f>
        <v>7282.6413813229565</v>
      </c>
      <c r="M27" s="219">
        <f>'FS Jimbaran November 2020'!C37</f>
        <v>9</v>
      </c>
      <c r="N27" s="219">
        <f>'FS Jimbaran November 2020'!D37</f>
        <v>69</v>
      </c>
    </row>
    <row r="28" spans="1:14" x14ac:dyDescent="0.25">
      <c r="A28" s="216" t="s">
        <v>52</v>
      </c>
      <c r="B28" s="217">
        <f t="shared" si="0"/>
        <v>27</v>
      </c>
      <c r="C28" s="218">
        <v>11</v>
      </c>
      <c r="D28" s="217">
        <v>2020</v>
      </c>
      <c r="E28" s="219">
        <f>'FS Jimbaran November 2020'!P38</f>
        <v>12440.000000000004</v>
      </c>
      <c r="F28" s="228">
        <f>'FS Jimbaran November 2020'!O38/'FS Jimbaran November 2020'!P38</f>
        <v>1126.5356430868167</v>
      </c>
      <c r="G28" s="230">
        <f>'FS Jimbaran November 2020'!AG38</f>
        <v>400</v>
      </c>
      <c r="H28" s="228">
        <f>'FS Jimbaran November 2020'!AH38/'FS Jimbaran November 2020'!AG38</f>
        <v>10660</v>
      </c>
      <c r="I28" s="230">
        <f>'FS Jimbaran November 2020'!AJ38</f>
        <v>185.72000000000116</v>
      </c>
      <c r="J28" s="220">
        <f>'FS Jimbaran November 2020'!AK38/'FS Jimbaran November 2020'!AJ38</f>
        <v>8400</v>
      </c>
      <c r="K28" s="219">
        <f>'FS Jimbaran November 2020'!V38</f>
        <v>321.64599999999996</v>
      </c>
      <c r="L28" s="228">
        <f>'FS Jimbaran November 2020'!AA38/'FS Jimbaran November 2020'!V38</f>
        <v>7777.1522191477588</v>
      </c>
      <c r="M28" s="219">
        <f>'FS Jimbaran November 2020'!C38</f>
        <v>6</v>
      </c>
      <c r="N28" s="219">
        <f>'FS Jimbaran November 2020'!D38</f>
        <v>68</v>
      </c>
    </row>
    <row r="29" spans="1:14" x14ac:dyDescent="0.25">
      <c r="A29" s="216" t="s">
        <v>52</v>
      </c>
      <c r="B29" s="217">
        <f t="shared" si="0"/>
        <v>28</v>
      </c>
      <c r="C29" s="218">
        <v>11</v>
      </c>
      <c r="D29" s="217">
        <v>2020</v>
      </c>
      <c r="E29" s="219">
        <f>'FS Jimbaran November 2020'!P39</f>
        <v>12559.999999999987</v>
      </c>
      <c r="F29" s="228">
        <f>'FS Jimbaran November 2020'!O39/'FS Jimbaran November 2020'!P39</f>
        <v>1122.3698885350318</v>
      </c>
      <c r="G29" s="230">
        <f>'FS Jimbaran November 2020'!AG39</f>
        <v>0</v>
      </c>
      <c r="H29" s="228" t="e">
        <f>'FS Jimbaran November 2020'!AH39/'FS Jimbaran November 2020'!AG39</f>
        <v>#DIV/0!</v>
      </c>
      <c r="I29" s="230">
        <f>'FS Jimbaran November 2020'!AJ39</f>
        <v>174.00999999999476</v>
      </c>
      <c r="J29" s="220">
        <f>'FS Jimbaran November 2020'!AK39/'FS Jimbaran November 2020'!AJ39</f>
        <v>8400</v>
      </c>
      <c r="K29" s="219">
        <f>'FS Jimbaran November 2020'!V39</f>
        <v>236.11699999999996</v>
      </c>
      <c r="L29" s="228">
        <f>'FS Jimbaran November 2020'!AA39/'FS Jimbaran November 2020'!V39</f>
        <v>9108.2786807387874</v>
      </c>
      <c r="M29" s="219">
        <f>'FS Jimbaran November 2020'!C39</f>
        <v>7</v>
      </c>
      <c r="N29" s="219">
        <f>'FS Jimbaran November 2020'!D39</f>
        <v>150</v>
      </c>
    </row>
    <row r="30" spans="1:14" x14ac:dyDescent="0.25">
      <c r="A30" s="216" t="s">
        <v>52</v>
      </c>
      <c r="B30" s="217">
        <f t="shared" si="0"/>
        <v>29</v>
      </c>
      <c r="C30" s="218">
        <v>11</v>
      </c>
      <c r="D30" s="217">
        <v>2020</v>
      </c>
      <c r="E30" s="219">
        <f>'FS Jimbaran November 2020'!P40</f>
        <v>13220.000000000013</v>
      </c>
      <c r="F30" s="228">
        <f>'FS Jimbaran November 2020'!O40/'FS Jimbaran November 2020'!P40</f>
        <v>1123.5314069591532</v>
      </c>
      <c r="G30" s="230">
        <f>'FS Jimbaran November 2020'!AG40</f>
        <v>12</v>
      </c>
      <c r="H30" s="228">
        <f>'FS Jimbaran November 2020'!AH40/'FS Jimbaran November 2020'!AG40</f>
        <v>11458.333333333334</v>
      </c>
      <c r="I30" s="230">
        <f>'FS Jimbaran November 2020'!AJ40</f>
        <v>86.55000000000291</v>
      </c>
      <c r="J30" s="220">
        <f>'FS Jimbaran November 2020'!AK40/'FS Jimbaran November 2020'!AJ40</f>
        <v>8400</v>
      </c>
      <c r="K30" s="219">
        <f>'FS Jimbaran November 2020'!V40</f>
        <v>237.63</v>
      </c>
      <c r="L30" s="228">
        <f>'FS Jimbaran November 2020'!AA40/'FS Jimbaran November 2020'!V40</f>
        <v>9385.749288389512</v>
      </c>
      <c r="M30" s="219">
        <f>'FS Jimbaran November 2020'!C40</f>
        <v>8</v>
      </c>
      <c r="N30" s="219">
        <f>'FS Jimbaran November 2020'!D40</f>
        <v>109</v>
      </c>
    </row>
    <row r="31" spans="1:14" x14ac:dyDescent="0.25">
      <c r="A31" s="216" t="s">
        <v>52</v>
      </c>
      <c r="B31" s="217">
        <f t="shared" si="0"/>
        <v>30</v>
      </c>
      <c r="C31" s="218">
        <v>11</v>
      </c>
      <c r="D31" s="217">
        <v>2020</v>
      </c>
      <c r="E31" s="219">
        <f>'FS Jimbaran November 2020'!P41</f>
        <v>12599.999999999989</v>
      </c>
      <c r="F31" s="228">
        <f>'FS Jimbaran November 2020'!O41/'FS Jimbaran November 2020'!P41</f>
        <v>1119.6288571428572</v>
      </c>
      <c r="G31" s="230">
        <f>'FS Jimbaran November 2020'!AG41</f>
        <v>462</v>
      </c>
      <c r="H31" s="228">
        <f>'FS Jimbaran November 2020'!AH41/'FS Jimbaran November 2020'!AG41</f>
        <v>10680.735930735931</v>
      </c>
      <c r="I31" s="230">
        <f>'FS Jimbaran November 2020'!AJ41</f>
        <v>166.93000000000757</v>
      </c>
      <c r="J31" s="220">
        <f>'FS Jimbaran November 2020'!AK41/'FS Jimbaran November 2020'!AJ41</f>
        <v>8400</v>
      </c>
      <c r="K31" s="219">
        <f>'FS Jimbaran November 2020'!V41</f>
        <v>148.54100000000008</v>
      </c>
      <c r="L31" s="228">
        <f>'FS Jimbaran November 2020'!AA41/'FS Jimbaran November 2020'!V41</f>
        <v>10659.649502696222</v>
      </c>
      <c r="M31" s="219">
        <f>'FS Jimbaran November 2020'!C41</f>
        <v>1</v>
      </c>
      <c r="N31" s="219">
        <f>'FS Jimbaran November 2020'!D41</f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M56"/>
  <sheetViews>
    <sheetView zoomScale="62" zoomScaleNormal="62" workbookViewId="0">
      <pane xSplit="4" ySplit="10" topLeftCell="V11" activePane="bottomRight" state="frozen"/>
      <selection pane="topRight" activeCell="E1" sqref="E1"/>
      <selection pane="bottomLeft" activeCell="A11" sqref="A11"/>
      <selection pane="bottomRight" activeCell="C46" sqref="C46:D46"/>
    </sheetView>
  </sheetViews>
  <sheetFormatPr defaultRowHeight="15.75" x14ac:dyDescent="0.25"/>
  <cols>
    <col min="1" max="1" width="3.7109375" style="27" customWidth="1"/>
    <col min="2" max="2" width="8.7109375" style="27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92" bestFit="1" customWidth="1"/>
    <col min="14" max="14" width="20.42578125" style="96" customWidth="1"/>
    <col min="15" max="15" width="18.85546875" customWidth="1"/>
    <col min="16" max="16" width="15.140625" style="96" customWidth="1"/>
    <col min="17" max="17" width="19.7109375" customWidth="1"/>
    <col min="18" max="18" width="18.140625" style="123" customWidth="1"/>
    <col min="19" max="19" width="22.85546875" customWidth="1"/>
    <col min="20" max="20" width="17.140625" customWidth="1"/>
    <col min="21" max="21" width="18.85546875" customWidth="1"/>
    <col min="22" max="22" width="17.42578125" bestFit="1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6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bestFit="1" customWidth="1"/>
    <col min="32" max="32" width="12.28515625" bestFit="1" customWidth="1"/>
    <col min="33" max="33" width="10.7109375" bestFit="1" customWidth="1"/>
    <col min="34" max="34" width="19" style="4" customWidth="1"/>
    <col min="35" max="35" width="10.5703125" customWidth="1"/>
    <col min="36" max="36" width="13.28515625" style="123" bestFit="1" customWidth="1"/>
    <col min="37" max="37" width="16.42578125" customWidth="1"/>
    <col min="38" max="38" width="9.42578125" style="65" bestFit="1" customWidth="1"/>
    <col min="39" max="39" width="2.28515625" style="27" customWidth="1"/>
  </cols>
  <sheetData>
    <row r="6" spans="1:39" s="46" customFormat="1" ht="19.5" thickBot="1" x14ac:dyDescent="0.35">
      <c r="B6" s="46" t="s">
        <v>30</v>
      </c>
      <c r="C6" s="55"/>
      <c r="E6" s="55"/>
      <c r="F6" s="55"/>
      <c r="H6" s="55"/>
      <c r="L6" s="55"/>
      <c r="M6" s="86"/>
      <c r="N6" s="93"/>
      <c r="P6" s="93"/>
      <c r="R6" s="118"/>
      <c r="AD6" s="55"/>
      <c r="AH6" s="55"/>
      <c r="AJ6" s="118"/>
      <c r="AL6" s="61"/>
    </row>
    <row r="7" spans="1:39" s="19" customFormat="1" ht="16.5" thickBot="1" x14ac:dyDescent="0.3">
      <c r="A7" s="51"/>
      <c r="B7" s="239" t="s">
        <v>34</v>
      </c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1"/>
      <c r="AM7" s="51"/>
    </row>
    <row r="8" spans="1:39" s="10" customFormat="1" ht="15.75" customHeight="1" thickBot="1" x14ac:dyDescent="0.3">
      <c r="A8" s="47"/>
      <c r="B8" s="254" t="s">
        <v>1</v>
      </c>
      <c r="C8" s="257" t="s">
        <v>2</v>
      </c>
      <c r="D8" s="257" t="s">
        <v>3</v>
      </c>
      <c r="E8" s="236" t="s">
        <v>37</v>
      </c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7"/>
      <c r="R8" s="237"/>
      <c r="S8" s="237"/>
      <c r="T8" s="237"/>
      <c r="U8" s="238"/>
      <c r="V8" s="231" t="s">
        <v>20</v>
      </c>
      <c r="W8" s="232"/>
      <c r="X8" s="232"/>
      <c r="Y8" s="232"/>
      <c r="Z8" s="232"/>
      <c r="AA8" s="232"/>
      <c r="AB8" s="233"/>
      <c r="AC8" s="234" t="s">
        <v>26</v>
      </c>
      <c r="AD8" s="234"/>
      <c r="AE8" s="234"/>
      <c r="AF8" s="234"/>
      <c r="AG8" s="234"/>
      <c r="AH8" s="234"/>
      <c r="AI8" s="234"/>
      <c r="AJ8" s="234"/>
      <c r="AK8" s="234"/>
      <c r="AL8" s="235"/>
      <c r="AM8" s="49"/>
    </row>
    <row r="9" spans="1:39" ht="15" customHeight="1" thickBot="1" x14ac:dyDescent="0.3">
      <c r="A9" s="50"/>
      <c r="B9" s="255"/>
      <c r="C9" s="258"/>
      <c r="D9" s="258"/>
      <c r="E9" s="262" t="s">
        <v>36</v>
      </c>
      <c r="F9" s="263"/>
      <c r="G9" s="263"/>
      <c r="H9" s="263"/>
      <c r="I9" s="264"/>
      <c r="J9" s="260" t="s">
        <v>5</v>
      </c>
      <c r="K9" s="260"/>
      <c r="L9" s="260"/>
      <c r="M9" s="260"/>
      <c r="N9" s="261"/>
      <c r="O9" s="257" t="s">
        <v>12</v>
      </c>
      <c r="P9" s="242" t="s">
        <v>35</v>
      </c>
      <c r="Q9" s="244" t="s">
        <v>14</v>
      </c>
      <c r="R9" s="246" t="s">
        <v>23</v>
      </c>
      <c r="S9" s="248" t="s">
        <v>13</v>
      </c>
      <c r="T9" s="250" t="s">
        <v>19</v>
      </c>
      <c r="U9" s="251"/>
      <c r="V9" s="78"/>
      <c r="W9" s="79" t="s">
        <v>4</v>
      </c>
      <c r="X9" s="79"/>
      <c r="Y9" s="80"/>
      <c r="Z9" s="113"/>
      <c r="AA9" s="252" t="s">
        <v>29</v>
      </c>
      <c r="AB9" s="253"/>
      <c r="AC9" s="234" t="s">
        <v>24</v>
      </c>
      <c r="AD9" s="234"/>
      <c r="AE9" s="234"/>
      <c r="AF9" s="234"/>
      <c r="AG9" s="234"/>
      <c r="AH9" s="234"/>
      <c r="AI9" s="235"/>
      <c r="AJ9" s="193" t="s">
        <v>22</v>
      </c>
      <c r="AK9" s="58"/>
      <c r="AL9" s="62"/>
      <c r="AM9" s="50"/>
    </row>
    <row r="10" spans="1:39" ht="61.5" customHeight="1" thickBot="1" x14ac:dyDescent="0.3">
      <c r="A10" s="48"/>
      <c r="B10" s="256"/>
      <c r="C10" s="259"/>
      <c r="D10" s="259"/>
      <c r="E10" s="136" t="s">
        <v>38</v>
      </c>
      <c r="F10" s="112" t="s">
        <v>6</v>
      </c>
      <c r="G10" s="176" t="s">
        <v>39</v>
      </c>
      <c r="H10" s="32" t="s">
        <v>6</v>
      </c>
      <c r="I10" s="137" t="s">
        <v>15</v>
      </c>
      <c r="J10" s="136" t="s">
        <v>38</v>
      </c>
      <c r="K10" s="114" t="s">
        <v>6</v>
      </c>
      <c r="L10" s="176" t="s">
        <v>39</v>
      </c>
      <c r="M10" s="87" t="s">
        <v>6</v>
      </c>
      <c r="N10" s="128" t="s">
        <v>16</v>
      </c>
      <c r="O10" s="259"/>
      <c r="P10" s="243"/>
      <c r="Q10" s="245"/>
      <c r="R10" s="247"/>
      <c r="S10" s="249"/>
      <c r="T10" s="38" t="s">
        <v>17</v>
      </c>
      <c r="U10" s="40" t="s">
        <v>18</v>
      </c>
      <c r="V10" s="82" t="s">
        <v>8</v>
      </c>
      <c r="W10" s="81" t="s">
        <v>0</v>
      </c>
      <c r="X10" s="81" t="s">
        <v>28</v>
      </c>
      <c r="Y10" s="39" t="s">
        <v>10</v>
      </c>
      <c r="Z10" s="39" t="s">
        <v>32</v>
      </c>
      <c r="AA10" s="39" t="s">
        <v>17</v>
      </c>
      <c r="AB10" s="21" t="s">
        <v>18</v>
      </c>
      <c r="AC10" s="168" t="s">
        <v>7</v>
      </c>
      <c r="AD10" s="73" t="s">
        <v>33</v>
      </c>
      <c r="AE10" s="72" t="s">
        <v>11</v>
      </c>
      <c r="AF10" s="72" t="s">
        <v>9</v>
      </c>
      <c r="AG10" s="72" t="s">
        <v>27</v>
      </c>
      <c r="AH10" s="73" t="s">
        <v>17</v>
      </c>
      <c r="AI10" s="74" t="s">
        <v>18</v>
      </c>
      <c r="AJ10" s="194" t="s">
        <v>25</v>
      </c>
      <c r="AK10" s="72" t="s">
        <v>17</v>
      </c>
      <c r="AL10" s="76" t="s">
        <v>18</v>
      </c>
      <c r="AM10" s="48"/>
    </row>
    <row r="11" spans="1:39" x14ac:dyDescent="0.25">
      <c r="A11" s="48"/>
      <c r="B11" s="84"/>
      <c r="C11" s="138"/>
      <c r="D11" s="83" t="s">
        <v>21</v>
      </c>
      <c r="E11" s="125"/>
      <c r="F11" s="125"/>
      <c r="G11" s="33"/>
      <c r="H11" s="34"/>
      <c r="I11" s="139"/>
      <c r="J11" s="127"/>
      <c r="K11" s="33"/>
      <c r="L11" s="34"/>
      <c r="M11" s="88"/>
      <c r="N11" s="130"/>
      <c r="O11" s="83"/>
      <c r="P11" s="153"/>
      <c r="Q11" s="152"/>
      <c r="R11" s="157"/>
      <c r="S11" s="36"/>
      <c r="T11" s="37"/>
      <c r="U11" s="41"/>
      <c r="V11" s="129"/>
      <c r="W11" s="33"/>
      <c r="X11" s="33"/>
      <c r="Y11" s="35"/>
      <c r="Z11" s="35"/>
      <c r="AA11" s="35"/>
      <c r="AB11" s="139"/>
      <c r="AC11" s="169"/>
      <c r="AD11" s="70"/>
      <c r="AE11" s="67"/>
      <c r="AF11" s="67"/>
      <c r="AG11" s="67"/>
      <c r="AH11" s="70"/>
      <c r="AI11" s="71"/>
      <c r="AJ11" s="195"/>
      <c r="AK11" s="67"/>
      <c r="AL11" s="75"/>
      <c r="AM11" s="48"/>
    </row>
    <row r="12" spans="1:39" ht="24" customHeight="1" x14ac:dyDescent="0.25">
      <c r="A12" s="54"/>
      <c r="B12" s="85">
        <v>1</v>
      </c>
      <c r="C12" s="205">
        <v>6</v>
      </c>
      <c r="D12" s="207">
        <v>175</v>
      </c>
      <c r="E12" s="143">
        <v>10360</v>
      </c>
      <c r="F12" s="3">
        <v>10730680.799999999</v>
      </c>
      <c r="G12" s="56">
        <v>3040.0000000000027</v>
      </c>
      <c r="H12" s="3">
        <v>4723156.8000000045</v>
      </c>
      <c r="I12" s="140">
        <f>H12+F12</f>
        <v>15453837.600000003</v>
      </c>
      <c r="J12" s="143">
        <v>1199.9999999998181</v>
      </c>
      <c r="K12" s="3">
        <v>1242935.9999998116</v>
      </c>
      <c r="L12" s="3">
        <v>259.99999999999091</v>
      </c>
      <c r="M12" s="89">
        <v>403954.19999998587</v>
      </c>
      <c r="N12" s="131">
        <f t="shared" ref="N12:N41" si="0">M12+K12</f>
        <v>1646890.1999997976</v>
      </c>
      <c r="O12" s="150">
        <f>N12+I12</f>
        <v>17100727.7999998</v>
      </c>
      <c r="P12" s="154">
        <f>L12+J12+G12+E12</f>
        <v>14859.999999999811</v>
      </c>
      <c r="Q12" s="185"/>
      <c r="R12" s="177"/>
      <c r="S12" s="15"/>
      <c r="T12" s="17"/>
      <c r="U12" s="42"/>
      <c r="V12" s="178">
        <f t="shared" ref="V12:V26" si="1">W12+Y12</f>
        <v>146.85000000000002</v>
      </c>
      <c r="W12" s="3">
        <v>68.53</v>
      </c>
      <c r="X12" s="3">
        <v>1231518.365</v>
      </c>
      <c r="Y12" s="52">
        <v>78.320000000000007</v>
      </c>
      <c r="Z12" s="52">
        <v>332482.49760000006</v>
      </c>
      <c r="AA12" s="52">
        <f t="shared" ref="AA12:AA26" si="2">Z12+X12</f>
        <v>1564000.8626000001</v>
      </c>
      <c r="AB12" s="171">
        <f t="shared" ref="AB12:AB41" si="3">AA12/$AL$47</f>
        <v>120.5294401163987</v>
      </c>
      <c r="AC12" s="179">
        <v>0</v>
      </c>
      <c r="AD12" s="3">
        <v>0</v>
      </c>
      <c r="AE12" s="3">
        <v>0</v>
      </c>
      <c r="AF12" s="3">
        <v>12</v>
      </c>
      <c r="AG12" s="3">
        <f>SUM(AC12:AF12)</f>
        <v>12</v>
      </c>
      <c r="AH12" s="3">
        <v>137500</v>
      </c>
      <c r="AI12" s="68">
        <f>AH12/$AL$47</f>
        <v>10.596412324513778</v>
      </c>
      <c r="AJ12" s="196">
        <v>160.58999999999651</v>
      </c>
      <c r="AK12" s="3">
        <v>1348955.9999999707</v>
      </c>
      <c r="AL12" s="63">
        <f t="shared" ref="AL12:AL41" si="4">AK12/$AL$47</f>
        <v>103.95704715364725</v>
      </c>
      <c r="AM12" s="7"/>
    </row>
    <row r="13" spans="1:39" x14ac:dyDescent="0.25">
      <c r="A13" s="54"/>
      <c r="B13" s="85">
        <v>2</v>
      </c>
      <c r="C13" s="205">
        <v>4</v>
      </c>
      <c r="D13" s="207">
        <v>72</v>
      </c>
      <c r="E13" s="143">
        <v>10359.999999999985</v>
      </c>
      <c r="F13" s="3">
        <v>10730680.799999984</v>
      </c>
      <c r="G13" s="56">
        <v>2039.9999999999991</v>
      </c>
      <c r="H13" s="3">
        <v>3169486.7999999989</v>
      </c>
      <c r="I13" s="140">
        <f t="shared" ref="I13:I41" si="5">H13+F13</f>
        <v>13900167.599999983</v>
      </c>
      <c r="J13" s="143">
        <v>1220.0000000002547</v>
      </c>
      <c r="K13" s="3">
        <v>1263651.6000002637</v>
      </c>
      <c r="L13" s="3">
        <v>299.99999999995453</v>
      </c>
      <c r="M13" s="89">
        <v>466100.99999992939</v>
      </c>
      <c r="N13" s="131">
        <f t="shared" si="0"/>
        <v>1729752.6000001931</v>
      </c>
      <c r="O13" s="150">
        <f t="shared" ref="O13:O41" si="6">N13+I13</f>
        <v>15629920.200000176</v>
      </c>
      <c r="P13" s="154">
        <f t="shared" ref="P13:P41" si="7">L13+J13+G13+E13</f>
        <v>13920.000000000193</v>
      </c>
      <c r="Q13" s="186"/>
      <c r="R13" s="180"/>
      <c r="S13" s="16"/>
      <c r="T13" s="18"/>
      <c r="U13" s="43"/>
      <c r="V13" s="178">
        <f t="shared" si="1"/>
        <v>189.57</v>
      </c>
      <c r="W13" s="3">
        <v>88.11</v>
      </c>
      <c r="X13" s="3">
        <v>1583380.7549999999</v>
      </c>
      <c r="Y13" s="52">
        <v>101.46000000000001</v>
      </c>
      <c r="Z13" s="52">
        <v>430715.96280000004</v>
      </c>
      <c r="AA13" s="52">
        <f t="shared" si="2"/>
        <v>2014096.7178</v>
      </c>
      <c r="AB13" s="171">
        <f t="shared" si="3"/>
        <v>155.21599478733577</v>
      </c>
      <c r="AC13" s="179">
        <v>0</v>
      </c>
      <c r="AD13" s="3">
        <v>0</v>
      </c>
      <c r="AE13" s="3">
        <v>400</v>
      </c>
      <c r="AF13" s="3">
        <v>12</v>
      </c>
      <c r="AG13" s="3">
        <f t="shared" ref="AG13:AG41" si="8">SUM(AC13:AF13)</f>
        <v>412</v>
      </c>
      <c r="AH13" s="3">
        <v>4401500</v>
      </c>
      <c r="AI13" s="68">
        <f t="shared" ref="AI13:AI41" si="9">AH13/$AL$47</f>
        <v>339.20079160979924</v>
      </c>
      <c r="AJ13" s="196">
        <v>94.25</v>
      </c>
      <c r="AK13" s="3">
        <v>791700</v>
      </c>
      <c r="AL13" s="63">
        <f t="shared" si="4"/>
        <v>61.012215544127699</v>
      </c>
      <c r="AM13" s="7"/>
    </row>
    <row r="14" spans="1:39" x14ac:dyDescent="0.25">
      <c r="A14" s="54"/>
      <c r="B14" s="85">
        <v>3</v>
      </c>
      <c r="C14" s="205">
        <v>3</v>
      </c>
      <c r="D14" s="207">
        <v>36</v>
      </c>
      <c r="E14" s="143">
        <v>10280.000000000002</v>
      </c>
      <c r="F14" s="3">
        <v>10647818.400000002</v>
      </c>
      <c r="G14" s="56">
        <v>2000</v>
      </c>
      <c r="H14" s="3">
        <v>3107340</v>
      </c>
      <c r="I14" s="140">
        <f t="shared" si="5"/>
        <v>13755158.400000002</v>
      </c>
      <c r="J14" s="143">
        <v>1359.9999999996726</v>
      </c>
      <c r="K14" s="3">
        <v>1408660.7999996608</v>
      </c>
      <c r="L14" s="3">
        <v>279.99999999997272</v>
      </c>
      <c r="M14" s="89">
        <v>435027.5999999576</v>
      </c>
      <c r="N14" s="131">
        <f t="shared" si="0"/>
        <v>1843688.3999996185</v>
      </c>
      <c r="O14" s="150">
        <f t="shared" si="6"/>
        <v>15598846.799999621</v>
      </c>
      <c r="P14" s="154">
        <f t="shared" si="7"/>
        <v>13919.999999999647</v>
      </c>
      <c r="Q14" s="186"/>
      <c r="R14" s="180"/>
      <c r="S14" s="16"/>
      <c r="T14" s="18"/>
      <c r="U14" s="43"/>
      <c r="V14" s="178">
        <f t="shared" si="1"/>
        <v>178</v>
      </c>
      <c r="W14" s="3">
        <v>87.22</v>
      </c>
      <c r="X14" s="3">
        <v>1567387.01</v>
      </c>
      <c r="Y14" s="52">
        <v>90.78</v>
      </c>
      <c r="Z14" s="52">
        <v>385377.44040000002</v>
      </c>
      <c r="AA14" s="52">
        <f t="shared" si="2"/>
        <v>1952764.4504</v>
      </c>
      <c r="AB14" s="171">
        <f t="shared" si="3"/>
        <v>150.48943482975227</v>
      </c>
      <c r="AC14" s="179">
        <v>0</v>
      </c>
      <c r="AD14" s="3">
        <v>0</v>
      </c>
      <c r="AE14" s="3">
        <v>0</v>
      </c>
      <c r="AF14" s="3">
        <v>24</v>
      </c>
      <c r="AG14" s="3">
        <f t="shared" si="8"/>
        <v>24</v>
      </c>
      <c r="AH14" s="3">
        <v>275000</v>
      </c>
      <c r="AI14" s="68">
        <f t="shared" si="9"/>
        <v>21.192824649027557</v>
      </c>
      <c r="AJ14" s="196">
        <v>80.150000000008731</v>
      </c>
      <c r="AK14" s="3">
        <v>673260.00000007334</v>
      </c>
      <c r="AL14" s="63">
        <f t="shared" si="4"/>
        <v>51.884658629839443</v>
      </c>
      <c r="AM14" s="7"/>
    </row>
    <row r="15" spans="1:39" x14ac:dyDescent="0.25">
      <c r="A15" s="54"/>
      <c r="B15" s="85">
        <v>4</v>
      </c>
      <c r="C15" s="205">
        <v>5</v>
      </c>
      <c r="D15" s="207">
        <v>0</v>
      </c>
      <c r="E15" s="143">
        <v>10439.999999999998</v>
      </c>
      <c r="F15" s="3">
        <v>10813543.199999997</v>
      </c>
      <c r="G15" s="56">
        <v>2080.0000000000018</v>
      </c>
      <c r="H15" s="3">
        <v>3231633.6000000029</v>
      </c>
      <c r="I15" s="140">
        <f t="shared" si="5"/>
        <v>14045176.800000001</v>
      </c>
      <c r="J15" s="143">
        <v>1319.999999999709</v>
      </c>
      <c r="K15" s="3">
        <v>1367229.5999996986</v>
      </c>
      <c r="L15" s="3">
        <v>259.99999999999091</v>
      </c>
      <c r="M15" s="89">
        <v>403954.19999998587</v>
      </c>
      <c r="N15" s="131">
        <f t="shared" si="0"/>
        <v>1771183.7999996846</v>
      </c>
      <c r="O15" s="150">
        <f t="shared" si="6"/>
        <v>15816360.599999685</v>
      </c>
      <c r="P15" s="154">
        <f t="shared" si="7"/>
        <v>14099.9999999997</v>
      </c>
      <c r="Q15" s="186"/>
      <c r="R15" s="180"/>
      <c r="S15" s="16"/>
      <c r="T15" s="18"/>
      <c r="U15" s="43"/>
      <c r="V15" s="178">
        <f t="shared" si="1"/>
        <v>194.91000000000003</v>
      </c>
      <c r="W15" s="3">
        <v>79.210000000000008</v>
      </c>
      <c r="X15" s="3">
        <v>1423443.3050000002</v>
      </c>
      <c r="Y15" s="52">
        <v>115.7</v>
      </c>
      <c r="Z15" s="52">
        <v>491167.32600000006</v>
      </c>
      <c r="AA15" s="52">
        <f t="shared" si="2"/>
        <v>1914610.6310000003</v>
      </c>
      <c r="AB15" s="171">
        <f t="shared" si="3"/>
        <v>147.54911772344369</v>
      </c>
      <c r="AC15" s="179">
        <v>0</v>
      </c>
      <c r="AD15" s="3">
        <v>0</v>
      </c>
      <c r="AE15" s="3">
        <v>50</v>
      </c>
      <c r="AF15" s="3">
        <v>12</v>
      </c>
      <c r="AG15" s="3">
        <f t="shared" si="8"/>
        <v>62</v>
      </c>
      <c r="AH15" s="3">
        <v>670500</v>
      </c>
      <c r="AI15" s="68">
        <f t="shared" si="9"/>
        <v>51.671959735174461</v>
      </c>
      <c r="AJ15" s="196">
        <v>122.54999999998836</v>
      </c>
      <c r="AK15" s="3">
        <v>1029419.9999999022</v>
      </c>
      <c r="AL15" s="63">
        <f t="shared" si="4"/>
        <v>79.332063818908637</v>
      </c>
      <c r="AM15" s="7"/>
    </row>
    <row r="16" spans="1:39" x14ac:dyDescent="0.25">
      <c r="A16" s="54"/>
      <c r="B16" s="85">
        <v>5</v>
      </c>
      <c r="C16" s="205">
        <v>4</v>
      </c>
      <c r="D16" s="207">
        <v>77</v>
      </c>
      <c r="E16" s="143">
        <v>10360.000000000015</v>
      </c>
      <c r="F16" s="3">
        <v>10730680.800000016</v>
      </c>
      <c r="G16" s="56">
        <v>2079.9999999999982</v>
      </c>
      <c r="H16" s="3">
        <v>3231633.5999999973</v>
      </c>
      <c r="I16" s="140">
        <f t="shared" si="5"/>
        <v>13962314.400000013</v>
      </c>
      <c r="J16" s="143">
        <v>1300.0000000001819</v>
      </c>
      <c r="K16" s="3">
        <v>1346514.0000001884</v>
      </c>
      <c r="L16" s="3">
        <v>279.99999999997272</v>
      </c>
      <c r="M16" s="89">
        <v>435027.5999999576</v>
      </c>
      <c r="N16" s="131">
        <f t="shared" si="0"/>
        <v>1781541.6000001458</v>
      </c>
      <c r="O16" s="150">
        <f t="shared" si="6"/>
        <v>15743856.00000016</v>
      </c>
      <c r="P16" s="154">
        <f t="shared" si="7"/>
        <v>14020.000000000167</v>
      </c>
      <c r="Q16" s="186"/>
      <c r="R16" s="180"/>
      <c r="S16" s="16"/>
      <c r="T16" s="18"/>
      <c r="U16" s="43"/>
      <c r="V16" s="178">
        <f t="shared" si="1"/>
        <v>159.31</v>
      </c>
      <c r="W16" s="3">
        <v>70.31</v>
      </c>
      <c r="X16" s="3">
        <v>1263505.855</v>
      </c>
      <c r="Y16" s="52">
        <v>89</v>
      </c>
      <c r="Z16" s="52">
        <v>377821.02</v>
      </c>
      <c r="AA16" s="52">
        <f t="shared" si="2"/>
        <v>1641326.875</v>
      </c>
      <c r="AB16" s="171">
        <f t="shared" si="3"/>
        <v>126.48855510404135</v>
      </c>
      <c r="AC16" s="179">
        <v>0</v>
      </c>
      <c r="AD16" s="3">
        <v>0</v>
      </c>
      <c r="AE16" s="3">
        <v>0</v>
      </c>
      <c r="AF16" s="3">
        <v>0</v>
      </c>
      <c r="AG16" s="3">
        <f t="shared" si="8"/>
        <v>0</v>
      </c>
      <c r="AH16" s="3">
        <v>0</v>
      </c>
      <c r="AI16" s="68">
        <f t="shared" si="9"/>
        <v>0</v>
      </c>
      <c r="AJ16" s="196">
        <v>99.010000000009313</v>
      </c>
      <c r="AK16" s="3">
        <v>831684.00000007823</v>
      </c>
      <c r="AL16" s="63">
        <f t="shared" si="4"/>
        <v>64.093575183285424</v>
      </c>
      <c r="AM16" s="7"/>
    </row>
    <row r="17" spans="1:39" x14ac:dyDescent="0.25">
      <c r="A17" s="54"/>
      <c r="B17" s="85">
        <v>6</v>
      </c>
      <c r="C17" s="205">
        <v>7</v>
      </c>
      <c r="D17" s="207">
        <v>65</v>
      </c>
      <c r="E17" s="143">
        <v>10919.999999999987</v>
      </c>
      <c r="F17" s="3">
        <v>11310717.599999987</v>
      </c>
      <c r="G17" s="56">
        <v>2079.9999999999982</v>
      </c>
      <c r="H17" s="3">
        <v>3231633.5999999973</v>
      </c>
      <c r="I17" s="140">
        <f t="shared" si="5"/>
        <v>14542351.199999984</v>
      </c>
      <c r="J17" s="143">
        <v>1340.0000000001455</v>
      </c>
      <c r="K17" s="3">
        <v>1387945.2000001506</v>
      </c>
      <c r="L17" s="3">
        <v>279.99999999997272</v>
      </c>
      <c r="M17" s="89">
        <v>435027.5999999576</v>
      </c>
      <c r="N17" s="131">
        <f t="shared" si="0"/>
        <v>1822972.8000001083</v>
      </c>
      <c r="O17" s="150">
        <f t="shared" si="6"/>
        <v>16365324.000000093</v>
      </c>
      <c r="P17" s="154">
        <f t="shared" si="7"/>
        <v>14620.000000000104</v>
      </c>
      <c r="Q17" s="186"/>
      <c r="R17" s="180"/>
      <c r="S17" s="16"/>
      <c r="T17" s="18"/>
      <c r="U17" s="43"/>
      <c r="V17" s="178">
        <f t="shared" si="1"/>
        <v>251.87</v>
      </c>
      <c r="W17" s="3">
        <v>73.87</v>
      </c>
      <c r="X17" s="3">
        <v>1327480.8350000002</v>
      </c>
      <c r="Y17" s="52">
        <v>178</v>
      </c>
      <c r="Z17" s="52">
        <v>755642.04</v>
      </c>
      <c r="AA17" s="52">
        <f t="shared" si="2"/>
        <v>2083122.8750000002</v>
      </c>
      <c r="AB17" s="171">
        <f t="shared" si="3"/>
        <v>160.53548295364783</v>
      </c>
      <c r="AC17" s="179">
        <v>0</v>
      </c>
      <c r="AD17" s="3">
        <v>0</v>
      </c>
      <c r="AE17" s="3">
        <v>50</v>
      </c>
      <c r="AF17" s="3">
        <v>24</v>
      </c>
      <c r="AG17" s="3">
        <f t="shared" si="8"/>
        <v>74</v>
      </c>
      <c r="AH17" s="3">
        <v>808000</v>
      </c>
      <c r="AI17" s="68">
        <f t="shared" si="9"/>
        <v>62.26837205968824</v>
      </c>
      <c r="AJ17" s="196">
        <v>160.26999999998952</v>
      </c>
      <c r="AK17" s="3">
        <v>1346267.999999912</v>
      </c>
      <c r="AL17" s="63">
        <f t="shared" si="4"/>
        <v>103.7498969258006</v>
      </c>
      <c r="AM17" s="7"/>
    </row>
    <row r="18" spans="1:39" x14ac:dyDescent="0.25">
      <c r="A18" s="54"/>
      <c r="B18" s="85">
        <v>7</v>
      </c>
      <c r="C18" s="205">
        <v>9</v>
      </c>
      <c r="D18" s="207">
        <v>88</v>
      </c>
      <c r="E18" s="143">
        <v>9760.00000000002</v>
      </c>
      <c r="F18" s="3">
        <v>10109212.800000021</v>
      </c>
      <c r="G18" s="56">
        <v>2000</v>
      </c>
      <c r="H18" s="3">
        <v>3107340</v>
      </c>
      <c r="I18" s="140">
        <f t="shared" si="5"/>
        <v>13216552.800000021</v>
      </c>
      <c r="J18" s="143">
        <v>1359.9999999996726</v>
      </c>
      <c r="K18" s="3">
        <v>1408660.7999996608</v>
      </c>
      <c r="L18" s="3">
        <v>320.00000000016371</v>
      </c>
      <c r="M18" s="89">
        <v>497174.40000025439</v>
      </c>
      <c r="N18" s="131">
        <f t="shared" si="0"/>
        <v>1905835.1999999152</v>
      </c>
      <c r="O18" s="150">
        <f t="shared" si="6"/>
        <v>15122387.999999937</v>
      </c>
      <c r="P18" s="154">
        <f t="shared" si="7"/>
        <v>13439.999999999856</v>
      </c>
      <c r="Q18" s="186"/>
      <c r="R18" s="180"/>
      <c r="S18" s="16"/>
      <c r="T18" s="18"/>
      <c r="U18" s="43"/>
      <c r="V18" s="178">
        <f t="shared" si="1"/>
        <v>194.91</v>
      </c>
      <c r="W18" s="3">
        <v>84.55</v>
      </c>
      <c r="X18" s="3">
        <v>1519405.7749999999</v>
      </c>
      <c r="Y18" s="52">
        <v>110.36</v>
      </c>
      <c r="Z18" s="52">
        <v>468498.06480000005</v>
      </c>
      <c r="AA18" s="52">
        <f t="shared" si="2"/>
        <v>1987903.8398</v>
      </c>
      <c r="AB18" s="171">
        <f t="shared" si="3"/>
        <v>153.19744544003623</v>
      </c>
      <c r="AC18" s="179">
        <v>0</v>
      </c>
      <c r="AD18" s="3">
        <v>0</v>
      </c>
      <c r="AE18" s="3">
        <v>0</v>
      </c>
      <c r="AF18" s="3">
        <v>0</v>
      </c>
      <c r="AG18" s="3">
        <f t="shared" si="8"/>
        <v>0</v>
      </c>
      <c r="AH18" s="3">
        <v>0</v>
      </c>
      <c r="AI18" s="68">
        <f t="shared" si="9"/>
        <v>0</v>
      </c>
      <c r="AJ18" s="196">
        <v>90.369999999995343</v>
      </c>
      <c r="AK18" s="3">
        <v>759107.99999996088</v>
      </c>
      <c r="AL18" s="63">
        <f t="shared" si="4"/>
        <v>58.500519031538843</v>
      </c>
      <c r="AM18" s="7"/>
    </row>
    <row r="19" spans="1:39" x14ac:dyDescent="0.25">
      <c r="A19" s="54"/>
      <c r="B19" s="85">
        <v>8</v>
      </c>
      <c r="C19" s="205">
        <v>10</v>
      </c>
      <c r="D19" s="207">
        <v>133</v>
      </c>
      <c r="E19" s="143">
        <v>10159.999999999996</v>
      </c>
      <c r="F19" s="3">
        <v>10523524.799999995</v>
      </c>
      <c r="G19" s="56">
        <v>2120.0000000000045</v>
      </c>
      <c r="H19" s="3">
        <v>3293780.4000000074</v>
      </c>
      <c r="I19" s="140">
        <f t="shared" si="5"/>
        <v>13817305.200000003</v>
      </c>
      <c r="J19" s="143">
        <v>1320.0000000006185</v>
      </c>
      <c r="K19" s="3">
        <v>1367229.6000006406</v>
      </c>
      <c r="L19" s="3">
        <v>279.99999999997272</v>
      </c>
      <c r="M19" s="89">
        <v>435027.5999999576</v>
      </c>
      <c r="N19" s="131">
        <f t="shared" si="0"/>
        <v>1802257.2000005981</v>
      </c>
      <c r="O19" s="150">
        <f t="shared" si="6"/>
        <v>15619562.400000602</v>
      </c>
      <c r="P19" s="154">
        <f t="shared" si="7"/>
        <v>13880.000000000593</v>
      </c>
      <c r="Q19" s="183"/>
      <c r="R19" s="180"/>
      <c r="S19" s="16"/>
      <c r="T19" s="18"/>
      <c r="U19" s="43"/>
      <c r="V19" s="178">
        <f t="shared" si="1"/>
        <v>181.56</v>
      </c>
      <c r="W19" s="3">
        <v>74.760000000000005</v>
      </c>
      <c r="X19" s="3">
        <v>1343474.58</v>
      </c>
      <c r="Y19" s="52">
        <v>106.8</v>
      </c>
      <c r="Z19" s="52">
        <v>453385.22400000005</v>
      </c>
      <c r="AA19" s="52">
        <f t="shared" si="2"/>
        <v>1796859.804</v>
      </c>
      <c r="AB19" s="171">
        <f t="shared" si="3"/>
        <v>138.47467180021101</v>
      </c>
      <c r="AC19" s="179">
        <v>0</v>
      </c>
      <c r="AD19" s="3">
        <v>0</v>
      </c>
      <c r="AE19" s="3">
        <v>400</v>
      </c>
      <c r="AF19" s="3">
        <v>12</v>
      </c>
      <c r="AG19" s="3">
        <f t="shared" si="8"/>
        <v>412</v>
      </c>
      <c r="AH19" s="3">
        <v>4401500</v>
      </c>
      <c r="AI19" s="68">
        <f t="shared" si="9"/>
        <v>339.20079160979924</v>
      </c>
      <c r="AJ19" s="196">
        <v>192.27000000000407</v>
      </c>
      <c r="AK19" s="3">
        <v>1615068.0000000342</v>
      </c>
      <c r="AL19" s="63">
        <f t="shared" si="4"/>
        <v>124.46491971002314</v>
      </c>
      <c r="AM19" s="7"/>
    </row>
    <row r="20" spans="1:39" x14ac:dyDescent="0.25">
      <c r="A20" s="54"/>
      <c r="B20" s="85">
        <v>9</v>
      </c>
      <c r="C20" s="205">
        <v>7</v>
      </c>
      <c r="D20" s="207">
        <v>69</v>
      </c>
      <c r="E20" s="143">
        <v>10680.000000000007</v>
      </c>
      <c r="F20" s="3">
        <v>11062130.400000008</v>
      </c>
      <c r="G20" s="56">
        <v>2159.9999999999964</v>
      </c>
      <c r="H20" s="3">
        <v>3355927.1999999946</v>
      </c>
      <c r="I20" s="140">
        <f t="shared" si="5"/>
        <v>14418057.600000001</v>
      </c>
      <c r="J20" s="143">
        <v>1339.999999999236</v>
      </c>
      <c r="K20" s="3">
        <v>1387945.1999992086</v>
      </c>
      <c r="L20" s="3">
        <v>279.99999999997272</v>
      </c>
      <c r="M20" s="89">
        <v>435027.5999999576</v>
      </c>
      <c r="N20" s="131">
        <f t="shared" si="0"/>
        <v>1822972.7999991663</v>
      </c>
      <c r="O20" s="150">
        <f t="shared" si="6"/>
        <v>16241030.399999168</v>
      </c>
      <c r="P20" s="154">
        <f t="shared" si="7"/>
        <v>14459.999999999212</v>
      </c>
      <c r="Q20" s="183"/>
      <c r="R20" s="180"/>
      <c r="S20" s="16"/>
      <c r="T20" s="18"/>
      <c r="U20" s="43"/>
      <c r="V20" s="178">
        <f t="shared" si="1"/>
        <v>195.8</v>
      </c>
      <c r="W20" s="3">
        <v>89</v>
      </c>
      <c r="X20" s="3">
        <v>1599374.5</v>
      </c>
      <c r="Y20" s="52">
        <v>106.8</v>
      </c>
      <c r="Z20" s="52">
        <v>453385.22400000005</v>
      </c>
      <c r="AA20" s="52">
        <f t="shared" si="2"/>
        <v>2052759.7239999999</v>
      </c>
      <c r="AB20" s="171">
        <f t="shared" si="3"/>
        <v>158.19555228115709</v>
      </c>
      <c r="AC20" s="179">
        <v>0</v>
      </c>
      <c r="AD20" s="3">
        <v>0</v>
      </c>
      <c r="AE20" s="3">
        <v>0</v>
      </c>
      <c r="AF20" s="3">
        <v>12</v>
      </c>
      <c r="AG20" s="3">
        <f t="shared" si="8"/>
        <v>12</v>
      </c>
      <c r="AH20" s="3">
        <v>137500</v>
      </c>
      <c r="AI20" s="68">
        <f t="shared" si="9"/>
        <v>10.596412324513778</v>
      </c>
      <c r="AJ20" s="196">
        <v>136.85000000000582</v>
      </c>
      <c r="AK20" s="3">
        <v>1149540.0000000489</v>
      </c>
      <c r="AL20" s="63">
        <f t="shared" si="4"/>
        <v>88.589089625615173</v>
      </c>
      <c r="AM20" s="7"/>
    </row>
    <row r="21" spans="1:39" x14ac:dyDescent="0.25">
      <c r="A21" s="54"/>
      <c r="B21" s="85">
        <v>10</v>
      </c>
      <c r="C21" s="205">
        <v>5</v>
      </c>
      <c r="D21" s="207">
        <v>139</v>
      </c>
      <c r="E21" s="143">
        <v>10679.999999999978</v>
      </c>
      <c r="F21" s="3">
        <v>11062130.399999978</v>
      </c>
      <c r="G21" s="56">
        <v>2079.9999999999982</v>
      </c>
      <c r="H21" s="3">
        <v>3231633.5999999973</v>
      </c>
      <c r="I21" s="140">
        <f t="shared" si="5"/>
        <v>14293763.999999976</v>
      </c>
      <c r="J21" s="143">
        <v>1619.9999999999998</v>
      </c>
      <c r="K21" s="3">
        <v>1677963.5999999996</v>
      </c>
      <c r="L21" s="3">
        <v>370</v>
      </c>
      <c r="M21" s="89">
        <v>574857.9</v>
      </c>
      <c r="N21" s="131">
        <f t="shared" si="0"/>
        <v>2252821.4999999995</v>
      </c>
      <c r="O21" s="150">
        <f t="shared" si="6"/>
        <v>16546585.499999976</v>
      </c>
      <c r="P21" s="154">
        <f t="shared" si="7"/>
        <v>14749.999999999976</v>
      </c>
      <c r="Q21" s="183"/>
      <c r="R21" s="180"/>
      <c r="S21" s="16"/>
      <c r="T21" s="18"/>
      <c r="U21" s="43"/>
      <c r="V21" s="178">
        <f t="shared" si="1"/>
        <v>183.34</v>
      </c>
      <c r="W21" s="3">
        <v>68.53</v>
      </c>
      <c r="X21" s="3">
        <v>1231518.365</v>
      </c>
      <c r="Y21" s="52">
        <v>114.81</v>
      </c>
      <c r="Z21" s="52">
        <v>487389.11580000003</v>
      </c>
      <c r="AA21" s="52">
        <f t="shared" si="2"/>
        <v>1718907.4808</v>
      </c>
      <c r="AB21" s="171">
        <f t="shared" si="3"/>
        <v>132.46729028544038</v>
      </c>
      <c r="AC21" s="179">
        <v>0</v>
      </c>
      <c r="AD21" s="3">
        <v>0</v>
      </c>
      <c r="AE21" s="3">
        <v>0</v>
      </c>
      <c r="AF21" s="3">
        <v>0</v>
      </c>
      <c r="AG21" s="3">
        <f t="shared" si="8"/>
        <v>0</v>
      </c>
      <c r="AH21" s="3">
        <v>0</v>
      </c>
      <c r="AI21" s="68">
        <f t="shared" si="9"/>
        <v>0</v>
      </c>
      <c r="AJ21" s="196">
        <v>107.54000000000815</v>
      </c>
      <c r="AK21" s="3">
        <v>903336.00000006845</v>
      </c>
      <c r="AL21" s="63">
        <f t="shared" si="4"/>
        <v>69.615423444201483</v>
      </c>
      <c r="AM21" s="7"/>
    </row>
    <row r="22" spans="1:39" x14ac:dyDescent="0.25">
      <c r="A22" s="54"/>
      <c r="B22" s="85">
        <v>11</v>
      </c>
      <c r="C22" s="205">
        <v>4</v>
      </c>
      <c r="D22" s="207">
        <v>30</v>
      </c>
      <c r="E22" s="143">
        <v>9960.0000000000073</v>
      </c>
      <c r="F22" s="3">
        <v>10316368.800000008</v>
      </c>
      <c r="G22" s="56">
        <v>1880.0000000000025</v>
      </c>
      <c r="H22" s="3">
        <v>2920899.6000000038</v>
      </c>
      <c r="I22" s="140">
        <f t="shared" si="5"/>
        <v>13237268.400000012</v>
      </c>
      <c r="J22" s="143">
        <v>2180</v>
      </c>
      <c r="K22" s="3">
        <v>2258000.4</v>
      </c>
      <c r="L22" s="3">
        <v>320</v>
      </c>
      <c r="M22" s="89">
        <v>497174.4</v>
      </c>
      <c r="N22" s="131">
        <f t="shared" si="0"/>
        <v>2755174.8</v>
      </c>
      <c r="O22" s="150">
        <f t="shared" si="6"/>
        <v>15992443.20000001</v>
      </c>
      <c r="P22" s="154">
        <f t="shared" si="7"/>
        <v>14340.000000000011</v>
      </c>
      <c r="Q22" s="183"/>
      <c r="R22" s="180"/>
      <c r="S22" s="16"/>
      <c r="T22" s="18"/>
      <c r="U22" s="43"/>
      <c r="V22" s="178">
        <f t="shared" si="1"/>
        <v>168.20999999999998</v>
      </c>
      <c r="W22" s="3">
        <v>81.88</v>
      </c>
      <c r="X22" s="3">
        <v>1471424.5399999998</v>
      </c>
      <c r="Y22" s="52">
        <v>86.33</v>
      </c>
      <c r="Z22" s="52">
        <v>366486.38940000004</v>
      </c>
      <c r="AA22" s="52">
        <f t="shared" si="2"/>
        <v>1837910.9293999998</v>
      </c>
      <c r="AB22" s="171">
        <f t="shared" si="3"/>
        <v>141.63826926292896</v>
      </c>
      <c r="AC22" s="179">
        <v>0</v>
      </c>
      <c r="AD22" s="3">
        <v>0</v>
      </c>
      <c r="AE22" s="3">
        <v>0</v>
      </c>
      <c r="AF22" s="3">
        <v>48</v>
      </c>
      <c r="AG22" s="3">
        <f t="shared" si="8"/>
        <v>48</v>
      </c>
      <c r="AH22" s="3">
        <v>550000</v>
      </c>
      <c r="AI22" s="68">
        <f t="shared" si="9"/>
        <v>42.385649298055114</v>
      </c>
      <c r="AJ22" s="196">
        <v>125.66999999999825</v>
      </c>
      <c r="AK22" s="3">
        <v>1055627.9999999853</v>
      </c>
      <c r="AL22" s="63">
        <f t="shared" si="4"/>
        <v>81.351778540375818</v>
      </c>
      <c r="AM22" s="7"/>
    </row>
    <row r="23" spans="1:39" x14ac:dyDescent="0.25">
      <c r="A23" s="54"/>
      <c r="B23" s="85">
        <v>12</v>
      </c>
      <c r="C23" s="205">
        <v>6</v>
      </c>
      <c r="D23" s="207">
        <v>48</v>
      </c>
      <c r="E23" s="143">
        <v>10439.999999999998</v>
      </c>
      <c r="F23" s="3">
        <v>10813543.199999997</v>
      </c>
      <c r="G23" s="56">
        <v>2039.9999999999991</v>
      </c>
      <c r="H23" s="3">
        <v>3169486.7999999989</v>
      </c>
      <c r="I23" s="140">
        <f t="shared" si="5"/>
        <v>13983029.999999996</v>
      </c>
      <c r="J23" s="144">
        <v>1060</v>
      </c>
      <c r="K23" s="3">
        <v>1097926.8</v>
      </c>
      <c r="L23" s="3">
        <v>339.99999999999994</v>
      </c>
      <c r="M23" s="89">
        <v>528247.79999999993</v>
      </c>
      <c r="N23" s="131">
        <f t="shared" si="0"/>
        <v>1626174.6</v>
      </c>
      <c r="O23" s="150">
        <f t="shared" si="6"/>
        <v>15609204.599999996</v>
      </c>
      <c r="P23" s="154">
        <f t="shared" si="7"/>
        <v>13879.999999999996</v>
      </c>
      <c r="Q23" s="183"/>
      <c r="R23" s="181"/>
      <c r="S23" s="16"/>
      <c r="T23" s="18"/>
      <c r="U23" s="43"/>
      <c r="V23" s="178">
        <f t="shared" si="1"/>
        <v>194.02</v>
      </c>
      <c r="W23" s="3">
        <v>72.09</v>
      </c>
      <c r="X23" s="3">
        <v>1295493.345</v>
      </c>
      <c r="Y23" s="52">
        <v>121.93</v>
      </c>
      <c r="Z23" s="52">
        <v>517614.79740000004</v>
      </c>
      <c r="AA23" s="52">
        <f t="shared" si="2"/>
        <v>1813108.1424</v>
      </c>
      <c r="AB23" s="171">
        <f t="shared" si="3"/>
        <v>139.72684702402648</v>
      </c>
      <c r="AC23" s="179">
        <v>0</v>
      </c>
      <c r="AD23" s="3">
        <v>0</v>
      </c>
      <c r="AE23" s="3">
        <v>0</v>
      </c>
      <c r="AF23" s="3">
        <v>0</v>
      </c>
      <c r="AG23" s="3">
        <f t="shared" si="8"/>
        <v>0</v>
      </c>
      <c r="AH23" s="3">
        <v>0</v>
      </c>
      <c r="AI23" s="68">
        <f t="shared" si="9"/>
        <v>0</v>
      </c>
      <c r="AJ23" s="196">
        <v>158.77000000000407</v>
      </c>
      <c r="AK23" s="3">
        <v>1333668.0000000342</v>
      </c>
      <c r="AL23" s="63">
        <f t="shared" si="4"/>
        <v>102.77888023280003</v>
      </c>
      <c r="AM23" s="7"/>
    </row>
    <row r="24" spans="1:39" x14ac:dyDescent="0.25">
      <c r="A24" s="54"/>
      <c r="B24" s="85">
        <v>13</v>
      </c>
      <c r="C24" s="205">
        <v>15</v>
      </c>
      <c r="D24" s="207">
        <v>94</v>
      </c>
      <c r="E24" s="143">
        <v>11000</v>
      </c>
      <c r="F24" s="3">
        <v>11393580</v>
      </c>
      <c r="G24" s="56">
        <v>2200.0000000000027</v>
      </c>
      <c r="H24" s="3">
        <v>3418074.0000000042</v>
      </c>
      <c r="I24" s="140">
        <f t="shared" si="5"/>
        <v>14811654.000000004</v>
      </c>
      <c r="J24" s="143">
        <v>1160.0000000000002</v>
      </c>
      <c r="K24" s="3">
        <v>1201504.8000000003</v>
      </c>
      <c r="L24" s="3">
        <v>320.00000000000006</v>
      </c>
      <c r="M24" s="89">
        <v>497174.40000000014</v>
      </c>
      <c r="N24" s="131">
        <f t="shared" si="0"/>
        <v>1698679.2000000004</v>
      </c>
      <c r="O24" s="150">
        <f t="shared" si="6"/>
        <v>16510333.200000005</v>
      </c>
      <c r="P24" s="154">
        <f t="shared" si="7"/>
        <v>14680.000000000004</v>
      </c>
      <c r="Q24" s="183"/>
      <c r="R24" s="182"/>
      <c r="S24" s="16"/>
      <c r="T24" s="18"/>
      <c r="U24" s="43"/>
      <c r="V24" s="178">
        <f t="shared" si="1"/>
        <v>162.87</v>
      </c>
      <c r="W24" s="3">
        <v>66.75</v>
      </c>
      <c r="X24" s="3">
        <v>1199530.875</v>
      </c>
      <c r="Y24" s="52">
        <v>96.12</v>
      </c>
      <c r="Z24" s="52">
        <v>408046.70160000003</v>
      </c>
      <c r="AA24" s="52">
        <f t="shared" si="2"/>
        <v>1607577.5766</v>
      </c>
      <c r="AB24" s="171">
        <f t="shared" si="3"/>
        <v>123.88767160215443</v>
      </c>
      <c r="AC24" s="179">
        <v>0</v>
      </c>
      <c r="AD24" s="3">
        <v>0</v>
      </c>
      <c r="AE24" s="3">
        <v>50</v>
      </c>
      <c r="AF24" s="3">
        <v>12</v>
      </c>
      <c r="AG24" s="3">
        <f t="shared" si="8"/>
        <v>62</v>
      </c>
      <c r="AH24" s="3">
        <v>670500</v>
      </c>
      <c r="AI24" s="68">
        <f t="shared" si="9"/>
        <v>51.671959735174461</v>
      </c>
      <c r="AJ24" s="196">
        <v>309</v>
      </c>
      <c r="AK24" s="3">
        <v>2595600</v>
      </c>
      <c r="AL24" s="63">
        <f t="shared" si="4"/>
        <v>200.02943876005793</v>
      </c>
      <c r="AM24" s="7"/>
    </row>
    <row r="25" spans="1:39" x14ac:dyDescent="0.25">
      <c r="A25" s="54"/>
      <c r="B25" s="85">
        <v>14</v>
      </c>
      <c r="C25" s="205">
        <v>12</v>
      </c>
      <c r="D25" s="207">
        <v>158</v>
      </c>
      <c r="E25" s="143">
        <v>10240.000000000009</v>
      </c>
      <c r="F25" s="3">
        <v>10606387.200000009</v>
      </c>
      <c r="G25" s="56">
        <v>2119.9999999999973</v>
      </c>
      <c r="H25" s="3">
        <v>3293780.3999999957</v>
      </c>
      <c r="I25" s="140">
        <f t="shared" si="5"/>
        <v>13900167.600000005</v>
      </c>
      <c r="J25" s="143">
        <v>1960</v>
      </c>
      <c r="K25" s="3">
        <v>2030128.8</v>
      </c>
      <c r="L25" s="3">
        <v>339.99999999999989</v>
      </c>
      <c r="M25" s="89">
        <v>528247.79999999981</v>
      </c>
      <c r="N25" s="131">
        <f t="shared" si="0"/>
        <v>2558376.5999999996</v>
      </c>
      <c r="O25" s="150">
        <f t="shared" si="6"/>
        <v>16458544.200000005</v>
      </c>
      <c r="P25" s="154">
        <f t="shared" si="7"/>
        <v>14660.000000000007</v>
      </c>
      <c r="Q25" s="183"/>
      <c r="R25" s="182"/>
      <c r="S25" s="16"/>
      <c r="T25" s="18"/>
      <c r="U25" s="43"/>
      <c r="V25" s="178">
        <f t="shared" si="1"/>
        <v>172.66000000000003</v>
      </c>
      <c r="W25" s="3">
        <v>98.79</v>
      </c>
      <c r="X25" s="3">
        <v>1775305.6950000001</v>
      </c>
      <c r="Y25" s="52">
        <v>73.87</v>
      </c>
      <c r="Z25" s="52">
        <v>313591.44660000002</v>
      </c>
      <c r="AA25" s="52">
        <f t="shared" si="2"/>
        <v>2088897.1416000002</v>
      </c>
      <c r="AB25" s="171">
        <f t="shared" si="3"/>
        <v>160.9804757519407</v>
      </c>
      <c r="AC25" s="179">
        <v>0</v>
      </c>
      <c r="AD25" s="3">
        <v>0</v>
      </c>
      <c r="AE25" s="3">
        <v>400</v>
      </c>
      <c r="AF25" s="3">
        <v>12</v>
      </c>
      <c r="AG25" s="3">
        <f t="shared" si="8"/>
        <v>412</v>
      </c>
      <c r="AH25" s="3">
        <v>4401500</v>
      </c>
      <c r="AI25" s="68">
        <f t="shared" si="9"/>
        <v>339.20079160979924</v>
      </c>
      <c r="AJ25" s="196">
        <v>255.72999999999593</v>
      </c>
      <c r="AK25" s="3">
        <v>2148131.9999999655</v>
      </c>
      <c r="AL25" s="63">
        <f t="shared" si="4"/>
        <v>165.54539926896049</v>
      </c>
      <c r="AM25" s="7"/>
    </row>
    <row r="26" spans="1:39" x14ac:dyDescent="0.25">
      <c r="A26" s="54"/>
      <c r="B26" s="85">
        <v>15</v>
      </c>
      <c r="C26" s="205">
        <v>2</v>
      </c>
      <c r="D26" s="207">
        <v>123</v>
      </c>
      <c r="E26" s="204">
        <v>10279.999999999973</v>
      </c>
      <c r="F26" s="3">
        <v>10647818.399999971</v>
      </c>
      <c r="G26" s="56">
        <v>1920.0000000000018</v>
      </c>
      <c r="H26" s="3">
        <v>2983046.4000000032</v>
      </c>
      <c r="I26" s="140">
        <f t="shared" si="5"/>
        <v>13630864.799999975</v>
      </c>
      <c r="J26" s="143">
        <v>759.99999999999886</v>
      </c>
      <c r="K26" s="3">
        <v>787192.79999999877</v>
      </c>
      <c r="L26" s="3">
        <v>340.00000000000006</v>
      </c>
      <c r="M26" s="89">
        <v>528247.80000000016</v>
      </c>
      <c r="N26" s="131">
        <f t="shared" si="0"/>
        <v>1315440.5999999989</v>
      </c>
      <c r="O26" s="150">
        <f t="shared" si="6"/>
        <v>14946305.399999974</v>
      </c>
      <c r="P26" s="154">
        <f t="shared" si="7"/>
        <v>13299.999999999975</v>
      </c>
      <c r="Q26" s="183"/>
      <c r="R26" s="182"/>
      <c r="S26" s="16"/>
      <c r="T26" s="18"/>
      <c r="U26" s="43"/>
      <c r="V26" s="178">
        <f t="shared" si="1"/>
        <v>167.32</v>
      </c>
      <c r="W26" s="3">
        <v>77.430000000000007</v>
      </c>
      <c r="X26" s="3">
        <v>1391455.8150000002</v>
      </c>
      <c r="Y26" s="52">
        <v>89.89</v>
      </c>
      <c r="Z26" s="52">
        <v>381599.23020000005</v>
      </c>
      <c r="AA26" s="52">
        <f t="shared" si="2"/>
        <v>1773055.0452000003</v>
      </c>
      <c r="AB26" s="171">
        <f t="shared" si="3"/>
        <v>136.64016242180813</v>
      </c>
      <c r="AC26" s="179">
        <v>0</v>
      </c>
      <c r="AD26" s="3">
        <v>0</v>
      </c>
      <c r="AE26" s="3">
        <v>0</v>
      </c>
      <c r="AF26" s="3">
        <v>24</v>
      </c>
      <c r="AG26" s="3">
        <f t="shared" si="8"/>
        <v>24</v>
      </c>
      <c r="AH26" s="3">
        <v>275000</v>
      </c>
      <c r="AI26" s="68">
        <f t="shared" si="9"/>
        <v>21.192824649027557</v>
      </c>
      <c r="AJ26" s="196">
        <v>118.02000000000407</v>
      </c>
      <c r="AK26" s="3">
        <v>991368.00000003423</v>
      </c>
      <c r="AL26" s="63">
        <f t="shared" si="4"/>
        <v>76.399593406028643</v>
      </c>
      <c r="AM26" s="7"/>
    </row>
    <row r="27" spans="1:39" x14ac:dyDescent="0.25">
      <c r="A27" s="54"/>
      <c r="B27" s="85">
        <v>16</v>
      </c>
      <c r="C27" s="205">
        <v>5</v>
      </c>
      <c r="D27" s="207">
        <v>32</v>
      </c>
      <c r="E27" s="143">
        <v>9760.0000000000473</v>
      </c>
      <c r="F27" s="3">
        <v>10109212.800000049</v>
      </c>
      <c r="G27" s="56">
        <v>2000</v>
      </c>
      <c r="H27" s="3">
        <v>3107340</v>
      </c>
      <c r="I27" s="140">
        <f t="shared" si="5"/>
        <v>13216552.800000049</v>
      </c>
      <c r="J27" s="143">
        <v>2240</v>
      </c>
      <c r="K27" s="3">
        <v>2320147.1999999997</v>
      </c>
      <c r="L27" s="3">
        <v>339.99999999999989</v>
      </c>
      <c r="M27" s="89">
        <v>528247.79999999981</v>
      </c>
      <c r="N27" s="131">
        <f t="shared" si="0"/>
        <v>2848394.9999999995</v>
      </c>
      <c r="O27" s="150">
        <f t="shared" si="6"/>
        <v>16064947.800000049</v>
      </c>
      <c r="P27" s="154">
        <f t="shared" si="7"/>
        <v>14340.000000000047</v>
      </c>
      <c r="Q27" s="183"/>
      <c r="R27" s="182"/>
      <c r="S27" s="16"/>
      <c r="T27" s="18"/>
      <c r="U27" s="43"/>
      <c r="V27" s="178">
        <f t="shared" ref="V27:V41" si="10">W27+Y27</f>
        <v>162.87</v>
      </c>
      <c r="W27" s="3">
        <v>65.86</v>
      </c>
      <c r="X27" s="3">
        <v>1183537.1299999999</v>
      </c>
      <c r="Y27" s="52">
        <v>97.01</v>
      </c>
      <c r="Z27" s="52">
        <v>411824.91180000006</v>
      </c>
      <c r="AA27" s="52">
        <f t="shared" ref="AA27:AA41" si="11">Z27+X27</f>
        <v>1595362.0418</v>
      </c>
      <c r="AB27" s="171">
        <f t="shared" si="3"/>
        <v>122.94628364938899</v>
      </c>
      <c r="AC27" s="179">
        <v>0</v>
      </c>
      <c r="AD27" s="3">
        <v>0</v>
      </c>
      <c r="AE27" s="3">
        <v>0</v>
      </c>
      <c r="AF27" s="3">
        <v>12</v>
      </c>
      <c r="AG27" s="3">
        <f t="shared" si="8"/>
        <v>12</v>
      </c>
      <c r="AH27" s="3">
        <v>137500</v>
      </c>
      <c r="AI27" s="68">
        <f t="shared" si="9"/>
        <v>10.596412324513778</v>
      </c>
      <c r="AJ27" s="196">
        <v>211</v>
      </c>
      <c r="AK27" s="3">
        <v>1772400</v>
      </c>
      <c r="AL27" s="63">
        <f t="shared" si="4"/>
        <v>136.58968148340526</v>
      </c>
      <c r="AM27" s="7"/>
    </row>
    <row r="28" spans="1:39" x14ac:dyDescent="0.25">
      <c r="A28" s="54"/>
      <c r="B28" s="85">
        <v>17</v>
      </c>
      <c r="C28" s="205">
        <v>4</v>
      </c>
      <c r="D28" s="207">
        <v>29</v>
      </c>
      <c r="E28" s="143">
        <v>10479.999999999962</v>
      </c>
      <c r="F28" s="3">
        <v>10854974.399999959</v>
      </c>
      <c r="G28" s="56">
        <v>2039.9999999999991</v>
      </c>
      <c r="H28" s="3">
        <v>3169486.7999999989</v>
      </c>
      <c r="I28" s="140">
        <f t="shared" si="5"/>
        <v>14024461.199999958</v>
      </c>
      <c r="J28" s="143">
        <v>1020.0000000000014</v>
      </c>
      <c r="K28" s="3">
        <v>1056495.6000000015</v>
      </c>
      <c r="L28" s="3">
        <v>340.00000000000028</v>
      </c>
      <c r="M28" s="89">
        <v>528247.80000000051</v>
      </c>
      <c r="N28" s="131">
        <f t="shared" si="0"/>
        <v>1584743.400000002</v>
      </c>
      <c r="O28" s="150">
        <f t="shared" si="6"/>
        <v>15609204.599999961</v>
      </c>
      <c r="P28" s="154">
        <f t="shared" si="7"/>
        <v>13879.999999999964</v>
      </c>
      <c r="Q28" s="183"/>
      <c r="R28" s="182"/>
      <c r="S28" s="16"/>
      <c r="T28" s="18"/>
      <c r="U28" s="43"/>
      <c r="V28" s="178">
        <f t="shared" si="10"/>
        <v>172.66000000000003</v>
      </c>
      <c r="W28" s="3">
        <v>78.320000000000007</v>
      </c>
      <c r="X28" s="3">
        <v>1407449.56</v>
      </c>
      <c r="Y28" s="52">
        <v>94.34</v>
      </c>
      <c r="Z28" s="52">
        <v>400490.28120000003</v>
      </c>
      <c r="AA28" s="52">
        <f t="shared" si="11"/>
        <v>1807939.8412000001</v>
      </c>
      <c r="AB28" s="171">
        <f t="shared" si="3"/>
        <v>139.32855283833575</v>
      </c>
      <c r="AC28" s="179">
        <v>0</v>
      </c>
      <c r="AD28" s="3">
        <v>0</v>
      </c>
      <c r="AE28" s="3">
        <v>0</v>
      </c>
      <c r="AF28" s="3">
        <v>24</v>
      </c>
      <c r="AG28" s="3">
        <f t="shared" si="8"/>
        <v>24</v>
      </c>
      <c r="AH28" s="3">
        <v>275000</v>
      </c>
      <c r="AI28" s="68">
        <f t="shared" si="9"/>
        <v>21.192824649027557</v>
      </c>
      <c r="AJ28" s="196">
        <v>185.59999999999127</v>
      </c>
      <c r="AK28" s="3">
        <v>1559039.9999999267</v>
      </c>
      <c r="AL28" s="63">
        <f t="shared" si="4"/>
        <v>120.14713214843043</v>
      </c>
      <c r="AM28" s="7"/>
    </row>
    <row r="29" spans="1:39" x14ac:dyDescent="0.25">
      <c r="A29" s="54"/>
      <c r="B29" s="85">
        <v>18</v>
      </c>
      <c r="C29" s="205">
        <v>4</v>
      </c>
      <c r="D29" s="207">
        <v>34</v>
      </c>
      <c r="E29" s="143">
        <v>11280.000000000029</v>
      </c>
      <c r="F29" s="3">
        <v>11683598.40000003</v>
      </c>
      <c r="G29" s="56">
        <v>2359.9999999999995</v>
      </c>
      <c r="H29" s="3">
        <v>3666661.1999999993</v>
      </c>
      <c r="I29" s="140">
        <f t="shared" si="5"/>
        <v>15350259.600000029</v>
      </c>
      <c r="J29" s="143">
        <v>1000</v>
      </c>
      <c r="K29" s="3">
        <v>1035780</v>
      </c>
      <c r="L29" s="3">
        <v>279.99999999999983</v>
      </c>
      <c r="M29" s="89">
        <v>435027.59999999974</v>
      </c>
      <c r="N29" s="131">
        <f t="shared" si="0"/>
        <v>1470807.5999999996</v>
      </c>
      <c r="O29" s="150">
        <f t="shared" si="6"/>
        <v>16821067.200000029</v>
      </c>
      <c r="P29" s="154">
        <f t="shared" si="7"/>
        <v>14920.000000000029</v>
      </c>
      <c r="Q29" s="183"/>
      <c r="R29" s="182"/>
      <c r="S29" s="16"/>
      <c r="T29" s="18"/>
      <c r="U29" s="43"/>
      <c r="V29" s="178">
        <f t="shared" si="10"/>
        <v>169.10000000000002</v>
      </c>
      <c r="W29" s="3">
        <v>71.2</v>
      </c>
      <c r="X29" s="3">
        <v>1279499.6000000001</v>
      </c>
      <c r="Y29" s="52">
        <v>97.9</v>
      </c>
      <c r="Z29" s="52">
        <v>415603.12200000003</v>
      </c>
      <c r="AA29" s="52">
        <f t="shared" si="11"/>
        <v>1695102.7220000001</v>
      </c>
      <c r="AB29" s="171">
        <f t="shared" si="3"/>
        <v>130.6327809070375</v>
      </c>
      <c r="AC29" s="179">
        <v>0</v>
      </c>
      <c r="AD29" s="3">
        <v>0</v>
      </c>
      <c r="AE29" s="3">
        <v>0</v>
      </c>
      <c r="AF29" s="3">
        <v>24</v>
      </c>
      <c r="AG29" s="3">
        <f t="shared" si="8"/>
        <v>24</v>
      </c>
      <c r="AH29" s="3">
        <v>275000</v>
      </c>
      <c r="AI29" s="68">
        <f t="shared" si="9"/>
        <v>21.192824649027557</v>
      </c>
      <c r="AJ29" s="196">
        <v>234.58000000000175</v>
      </c>
      <c r="AK29" s="3">
        <v>1970472.0000000147</v>
      </c>
      <c r="AL29" s="63">
        <f t="shared" si="4"/>
        <v>151.85406389752342</v>
      </c>
      <c r="AM29" s="7"/>
    </row>
    <row r="30" spans="1:39" x14ac:dyDescent="0.25">
      <c r="A30" s="54"/>
      <c r="B30" s="85">
        <v>19</v>
      </c>
      <c r="C30" s="205">
        <v>7</v>
      </c>
      <c r="D30" s="207">
        <v>59</v>
      </c>
      <c r="E30" s="143">
        <v>9919.99999999996</v>
      </c>
      <c r="F30" s="3">
        <v>10274937.599999959</v>
      </c>
      <c r="G30" s="56">
        <v>2119.9999999999973</v>
      </c>
      <c r="H30" s="3">
        <v>3293780.3999999957</v>
      </c>
      <c r="I30" s="140">
        <f t="shared" si="5"/>
        <v>13568717.999999955</v>
      </c>
      <c r="J30" s="143">
        <v>1119.9999999999993</v>
      </c>
      <c r="K30" s="3">
        <v>1160073.5999999992</v>
      </c>
      <c r="L30" s="3">
        <v>300.00000000000028</v>
      </c>
      <c r="M30" s="89">
        <v>466101.00000000047</v>
      </c>
      <c r="N30" s="131">
        <f t="shared" si="0"/>
        <v>1626174.5999999996</v>
      </c>
      <c r="O30" s="150">
        <f t="shared" si="6"/>
        <v>15194892.599999955</v>
      </c>
      <c r="P30" s="154">
        <f t="shared" si="7"/>
        <v>13459.999999999956</v>
      </c>
      <c r="Q30" s="183"/>
      <c r="R30" s="182"/>
      <c r="S30" s="16"/>
      <c r="T30" s="18"/>
      <c r="U30" s="43"/>
      <c r="V30" s="178">
        <f t="shared" si="10"/>
        <v>136.17000000000002</v>
      </c>
      <c r="W30" s="3">
        <v>61.410000000000004</v>
      </c>
      <c r="X30" s="3">
        <v>1103568.405</v>
      </c>
      <c r="Y30" s="3">
        <v>74.760000000000005</v>
      </c>
      <c r="Z30" s="52">
        <v>317369.65680000006</v>
      </c>
      <c r="AA30" s="52">
        <f t="shared" si="11"/>
        <v>1420938.0618</v>
      </c>
      <c r="AB30" s="171">
        <f t="shared" si="3"/>
        <v>109.50433156675085</v>
      </c>
      <c r="AC30" s="179">
        <v>0</v>
      </c>
      <c r="AD30" s="3">
        <v>0</v>
      </c>
      <c r="AE30" s="3">
        <v>50</v>
      </c>
      <c r="AF30" s="3">
        <v>12</v>
      </c>
      <c r="AG30" s="3">
        <f t="shared" si="8"/>
        <v>62</v>
      </c>
      <c r="AH30" s="3">
        <v>670500</v>
      </c>
      <c r="AI30" s="68">
        <f t="shared" si="9"/>
        <v>51.671959735174461</v>
      </c>
      <c r="AJ30" s="196">
        <v>254.97000000000116</v>
      </c>
      <c r="AK30" s="3">
        <v>2141748.0000000098</v>
      </c>
      <c r="AL30" s="63">
        <f t="shared" si="4"/>
        <v>165.05341747783885</v>
      </c>
      <c r="AM30" s="7"/>
    </row>
    <row r="31" spans="1:39" x14ac:dyDescent="0.25">
      <c r="A31" s="54"/>
      <c r="B31" s="85">
        <v>20</v>
      </c>
      <c r="C31" s="205">
        <v>7</v>
      </c>
      <c r="D31" s="207">
        <v>134</v>
      </c>
      <c r="E31" s="143">
        <v>10360.000000000015</v>
      </c>
      <c r="F31" s="3">
        <v>10730680.800000016</v>
      </c>
      <c r="G31" s="56">
        <v>2119.9999999999973</v>
      </c>
      <c r="H31" s="3">
        <v>3293780.3999999957</v>
      </c>
      <c r="I31" s="140">
        <f t="shared" si="5"/>
        <v>14024461.20000001</v>
      </c>
      <c r="J31" s="143">
        <v>640.00000000000057</v>
      </c>
      <c r="K31" s="3">
        <v>662899.20000000054</v>
      </c>
      <c r="L31" s="3">
        <v>319.99999999999983</v>
      </c>
      <c r="M31" s="89">
        <v>497174.39999999973</v>
      </c>
      <c r="N31" s="131">
        <f t="shared" si="0"/>
        <v>1160073.6000000003</v>
      </c>
      <c r="O31" s="150">
        <f t="shared" si="6"/>
        <v>15184534.80000001</v>
      </c>
      <c r="P31" s="154">
        <f t="shared" si="7"/>
        <v>13440.000000000013</v>
      </c>
      <c r="Q31" s="183"/>
      <c r="R31" s="182"/>
      <c r="S31" s="16"/>
      <c r="T31" s="18"/>
      <c r="U31" s="43"/>
      <c r="V31" s="178">
        <f t="shared" si="10"/>
        <v>185.12</v>
      </c>
      <c r="W31" s="3">
        <v>97.9</v>
      </c>
      <c r="X31" s="3">
        <v>1759311.9500000002</v>
      </c>
      <c r="Y31" s="3">
        <v>87.22</v>
      </c>
      <c r="Z31" s="52">
        <v>370264.59960000002</v>
      </c>
      <c r="AA31" s="52">
        <f t="shared" si="11"/>
        <v>2129576.5496</v>
      </c>
      <c r="AB31" s="171">
        <f t="shared" si="3"/>
        <v>164.11542688128705</v>
      </c>
      <c r="AC31" s="179">
        <v>0</v>
      </c>
      <c r="AD31" s="3">
        <v>0</v>
      </c>
      <c r="AE31" s="3">
        <v>400</v>
      </c>
      <c r="AF31" s="3">
        <v>0</v>
      </c>
      <c r="AG31" s="3">
        <f t="shared" si="8"/>
        <v>400</v>
      </c>
      <c r="AH31" s="3">
        <v>4264000</v>
      </c>
      <c r="AI31" s="68">
        <f t="shared" si="9"/>
        <v>328.60437928528546</v>
      </c>
      <c r="AJ31" s="196">
        <v>232.94999999998254</v>
      </c>
      <c r="AK31" s="3">
        <v>1956779.9999998533</v>
      </c>
      <c r="AL31" s="63">
        <f t="shared" si="4"/>
        <v>150.79889242444014</v>
      </c>
      <c r="AM31" s="7"/>
    </row>
    <row r="32" spans="1:39" x14ac:dyDescent="0.25">
      <c r="A32" s="54"/>
      <c r="B32" s="85">
        <v>21</v>
      </c>
      <c r="C32" s="205">
        <v>8</v>
      </c>
      <c r="D32" s="207">
        <v>175</v>
      </c>
      <c r="E32" s="143">
        <v>10960.000000000036</v>
      </c>
      <c r="F32" s="3">
        <v>11352148.800000038</v>
      </c>
      <c r="G32" s="56">
        <v>2400.0000000000055</v>
      </c>
      <c r="H32" s="3">
        <v>3728808.0000000088</v>
      </c>
      <c r="I32" s="140">
        <f t="shared" si="5"/>
        <v>15080956.800000047</v>
      </c>
      <c r="J32" s="143">
        <v>1400.0000000000005</v>
      </c>
      <c r="K32" s="3">
        <v>1450092.0000000005</v>
      </c>
      <c r="L32" s="3">
        <v>299.99999999999983</v>
      </c>
      <c r="M32" s="89">
        <v>466100.99999999977</v>
      </c>
      <c r="N32" s="131">
        <f t="shared" si="0"/>
        <v>1916193.0000000002</v>
      </c>
      <c r="O32" s="150">
        <f t="shared" si="6"/>
        <v>16997149.800000049</v>
      </c>
      <c r="P32" s="154">
        <f t="shared" si="7"/>
        <v>15060.000000000042</v>
      </c>
      <c r="Q32" s="183"/>
      <c r="R32" s="182"/>
      <c r="S32" s="16"/>
      <c r="T32" s="18"/>
      <c r="U32" s="43"/>
      <c r="V32" s="178">
        <f t="shared" si="10"/>
        <v>131.72</v>
      </c>
      <c r="W32" s="3">
        <v>80.099999999999994</v>
      </c>
      <c r="X32" s="3">
        <v>1439437.0499999998</v>
      </c>
      <c r="Y32" s="3">
        <v>51.62</v>
      </c>
      <c r="Z32" s="52">
        <v>219136.19159999999</v>
      </c>
      <c r="AA32" s="52">
        <f t="shared" si="11"/>
        <v>1658573.2415999998</v>
      </c>
      <c r="AB32" s="171">
        <f t="shared" si="3"/>
        <v>127.81764318835641</v>
      </c>
      <c r="AC32" s="179">
        <v>0</v>
      </c>
      <c r="AD32" s="3">
        <v>0</v>
      </c>
      <c r="AE32" s="3">
        <v>0</v>
      </c>
      <c r="AF32" s="3">
        <v>12</v>
      </c>
      <c r="AG32" s="3">
        <f t="shared" si="8"/>
        <v>12</v>
      </c>
      <c r="AH32" s="3">
        <v>137500</v>
      </c>
      <c r="AI32" s="68">
        <f t="shared" si="9"/>
        <v>10.596412324513778</v>
      </c>
      <c r="AJ32" s="196">
        <v>126.30999999999767</v>
      </c>
      <c r="AK32" s="3">
        <v>1061003.9999999804</v>
      </c>
      <c r="AL32" s="63">
        <f t="shared" si="4"/>
        <v>81.766078996059704</v>
      </c>
      <c r="AM32" s="7"/>
    </row>
    <row r="33" spans="1:39" x14ac:dyDescent="0.25">
      <c r="A33" s="54"/>
      <c r="B33" s="85">
        <v>22</v>
      </c>
      <c r="C33" s="205">
        <v>3</v>
      </c>
      <c r="D33" s="207">
        <v>93</v>
      </c>
      <c r="E33" s="143">
        <v>10159.999999999967</v>
      </c>
      <c r="F33" s="3">
        <v>10523524.799999965</v>
      </c>
      <c r="G33" s="56">
        <v>1959.9999999999936</v>
      </c>
      <c r="H33" s="3">
        <v>3045193.1999999904</v>
      </c>
      <c r="I33" s="140">
        <f t="shared" si="5"/>
        <v>13568717.999999955</v>
      </c>
      <c r="J33" s="143">
        <v>1759.999999999998</v>
      </c>
      <c r="K33" s="3">
        <v>1822972.7999999977</v>
      </c>
      <c r="L33" s="3">
        <v>239.99999999999977</v>
      </c>
      <c r="M33" s="89">
        <v>372880.79999999964</v>
      </c>
      <c r="N33" s="131">
        <f t="shared" si="0"/>
        <v>2195853.5999999973</v>
      </c>
      <c r="O33" s="150">
        <f t="shared" si="6"/>
        <v>15764571.599999953</v>
      </c>
      <c r="P33" s="154">
        <f t="shared" si="7"/>
        <v>14119.999999999958</v>
      </c>
      <c r="Q33" s="183"/>
      <c r="R33" s="182"/>
      <c r="S33" s="16"/>
      <c r="T33" s="18"/>
      <c r="U33" s="43"/>
      <c r="V33" s="178">
        <f t="shared" si="10"/>
        <v>121.93</v>
      </c>
      <c r="W33" s="3">
        <v>73.87</v>
      </c>
      <c r="X33" s="3">
        <v>1327480.8350000002</v>
      </c>
      <c r="Y33" s="3">
        <v>48.06</v>
      </c>
      <c r="Z33" s="52">
        <v>204023.35080000001</v>
      </c>
      <c r="AA33" s="52">
        <f t="shared" si="11"/>
        <v>1531504.1858000001</v>
      </c>
      <c r="AB33" s="171">
        <f t="shared" si="3"/>
        <v>118.02508966876772</v>
      </c>
      <c r="AC33" s="179">
        <v>0</v>
      </c>
      <c r="AD33" s="3">
        <v>0</v>
      </c>
      <c r="AE33" s="3">
        <v>0</v>
      </c>
      <c r="AF33" s="3">
        <v>0</v>
      </c>
      <c r="AG33" s="3">
        <f t="shared" si="8"/>
        <v>0</v>
      </c>
      <c r="AH33" s="3">
        <v>0</v>
      </c>
      <c r="AI33" s="68">
        <f t="shared" si="9"/>
        <v>0</v>
      </c>
      <c r="AJ33" s="196">
        <v>177.13000000000466</v>
      </c>
      <c r="AK33" s="3">
        <v>1487892.0000000391</v>
      </c>
      <c r="AL33" s="63">
        <f t="shared" si="4"/>
        <v>114.66412455524269</v>
      </c>
      <c r="AM33" s="7"/>
    </row>
    <row r="34" spans="1:39" x14ac:dyDescent="0.25">
      <c r="A34" s="54"/>
      <c r="B34" s="85">
        <v>23</v>
      </c>
      <c r="C34" s="205">
        <v>6</v>
      </c>
      <c r="D34" s="207">
        <v>50</v>
      </c>
      <c r="E34" s="143">
        <v>10000</v>
      </c>
      <c r="F34" s="3">
        <v>10357800</v>
      </c>
      <c r="G34" s="56">
        <v>2000</v>
      </c>
      <c r="H34" s="3">
        <v>3107340</v>
      </c>
      <c r="I34" s="140">
        <f t="shared" si="5"/>
        <v>13465140</v>
      </c>
      <c r="J34" s="143">
        <v>1060.0000000000023</v>
      </c>
      <c r="K34" s="3">
        <v>1097926.8000000024</v>
      </c>
      <c r="L34" s="3">
        <v>220.00000000000063</v>
      </c>
      <c r="M34" s="89">
        <v>341807.40000000101</v>
      </c>
      <c r="N34" s="131">
        <f t="shared" si="0"/>
        <v>1439734.2000000034</v>
      </c>
      <c r="O34" s="150">
        <f t="shared" si="6"/>
        <v>14904874.200000003</v>
      </c>
      <c r="P34" s="154">
        <f t="shared" si="7"/>
        <v>13280.000000000004</v>
      </c>
      <c r="Q34" s="184"/>
      <c r="R34" s="182"/>
      <c r="S34" s="16"/>
      <c r="T34" s="18"/>
      <c r="U34" s="43"/>
      <c r="V34" s="178">
        <f t="shared" si="10"/>
        <v>200.25</v>
      </c>
      <c r="W34" s="3">
        <v>86.33</v>
      </c>
      <c r="X34" s="3">
        <v>1551393.2649999999</v>
      </c>
      <c r="Y34" s="3">
        <v>113.92</v>
      </c>
      <c r="Z34" s="52">
        <v>483610.90560000006</v>
      </c>
      <c r="AA34" s="52">
        <f t="shared" si="11"/>
        <v>2035004.1705999998</v>
      </c>
      <c r="AB34" s="171">
        <f t="shared" si="3"/>
        <v>156.8272238093293</v>
      </c>
      <c r="AC34" s="179">
        <v>0</v>
      </c>
      <c r="AD34" s="3">
        <v>0</v>
      </c>
      <c r="AE34" s="3">
        <v>450</v>
      </c>
      <c r="AF34" s="3">
        <v>60</v>
      </c>
      <c r="AG34" s="3">
        <f t="shared" si="8"/>
        <v>510</v>
      </c>
      <c r="AH34" s="3">
        <v>5484500</v>
      </c>
      <c r="AI34" s="68">
        <f t="shared" si="9"/>
        <v>422.66198831851506</v>
      </c>
      <c r="AJ34" s="196">
        <v>219.55999999999767</v>
      </c>
      <c r="AK34" s="3">
        <v>1844303.9999999804</v>
      </c>
      <c r="AL34" s="63">
        <f t="shared" si="4"/>
        <v>142.13095007818075</v>
      </c>
      <c r="AM34" s="7"/>
    </row>
    <row r="35" spans="1:39" x14ac:dyDescent="0.25">
      <c r="A35" s="54"/>
      <c r="B35" s="85">
        <v>24</v>
      </c>
      <c r="C35" s="205">
        <v>5</v>
      </c>
      <c r="D35" s="207">
        <v>30</v>
      </c>
      <c r="E35" s="143">
        <v>10199.999999999989</v>
      </c>
      <c r="F35" s="3">
        <v>10564955.999999989</v>
      </c>
      <c r="G35" s="56">
        <v>1920.0000000000018</v>
      </c>
      <c r="H35" s="3">
        <v>2983046.4000000032</v>
      </c>
      <c r="I35" s="140">
        <f t="shared" si="5"/>
        <v>13548002.399999991</v>
      </c>
      <c r="J35" s="143">
        <v>1279.9999999999975</v>
      </c>
      <c r="K35" s="3">
        <v>1325798.3999999973</v>
      </c>
      <c r="L35" s="3">
        <v>219.99999999999974</v>
      </c>
      <c r="M35" s="89">
        <v>341807.39999999962</v>
      </c>
      <c r="N35" s="131">
        <f t="shared" si="0"/>
        <v>1667605.799999997</v>
      </c>
      <c r="O35" s="150">
        <f t="shared" si="6"/>
        <v>15215608.199999988</v>
      </c>
      <c r="P35" s="154">
        <f t="shared" si="7"/>
        <v>13619.999999999989</v>
      </c>
      <c r="Q35" s="184"/>
      <c r="R35" s="182"/>
      <c r="S35" s="16"/>
      <c r="T35" s="18"/>
      <c r="U35" s="43"/>
      <c r="V35" s="178">
        <f t="shared" si="10"/>
        <v>331.97</v>
      </c>
      <c r="W35" s="3">
        <v>61.410000000000004</v>
      </c>
      <c r="X35" s="3">
        <v>1103568.405</v>
      </c>
      <c r="Y35" s="3">
        <v>270.56</v>
      </c>
      <c r="Z35" s="52">
        <v>1148575.9008000002</v>
      </c>
      <c r="AA35" s="52">
        <f t="shared" si="11"/>
        <v>2252144.3058000002</v>
      </c>
      <c r="AB35" s="171">
        <f t="shared" si="3"/>
        <v>173.56108857136473</v>
      </c>
      <c r="AC35" s="179">
        <v>0</v>
      </c>
      <c r="AD35" s="3">
        <v>0</v>
      </c>
      <c r="AE35" s="3">
        <v>0</v>
      </c>
      <c r="AF35" s="3">
        <v>12</v>
      </c>
      <c r="AG35" s="3">
        <f t="shared" si="8"/>
        <v>12</v>
      </c>
      <c r="AH35" s="3">
        <v>137500</v>
      </c>
      <c r="AI35" s="68">
        <f t="shared" si="9"/>
        <v>10.596412324513778</v>
      </c>
      <c r="AJ35" s="196">
        <v>209.69999999999709</v>
      </c>
      <c r="AK35" s="3">
        <v>1761479.9999999756</v>
      </c>
      <c r="AL35" s="63">
        <f t="shared" si="4"/>
        <v>135.7481336827947</v>
      </c>
      <c r="AM35" s="7"/>
    </row>
    <row r="36" spans="1:39" x14ac:dyDescent="0.25">
      <c r="A36" s="54"/>
      <c r="B36" s="85">
        <v>25</v>
      </c>
      <c r="C36" s="205">
        <v>3</v>
      </c>
      <c r="D36" s="207">
        <v>66</v>
      </c>
      <c r="E36" s="143">
        <v>17640.000000000044</v>
      </c>
      <c r="F36" s="3">
        <v>18271159.200000044</v>
      </c>
      <c r="G36" s="56">
        <v>1840.0000000000034</v>
      </c>
      <c r="H36" s="3">
        <v>2858752.8000000054</v>
      </c>
      <c r="I36" s="140">
        <f t="shared" si="5"/>
        <v>21129912.000000048</v>
      </c>
      <c r="J36" s="143">
        <v>1720.0000000000025</v>
      </c>
      <c r="K36" s="3">
        <v>1781541.6000000027</v>
      </c>
      <c r="L36" s="3">
        <v>320.00000000000028</v>
      </c>
      <c r="M36" s="89">
        <v>497174.40000000049</v>
      </c>
      <c r="N36" s="131">
        <f t="shared" si="0"/>
        <v>2278716.0000000033</v>
      </c>
      <c r="O36" s="150">
        <f t="shared" si="6"/>
        <v>23408628.000000052</v>
      </c>
      <c r="P36" s="154">
        <f t="shared" si="7"/>
        <v>21520.000000000051</v>
      </c>
      <c r="Q36" s="184"/>
      <c r="R36" s="182"/>
      <c r="S36" s="16"/>
      <c r="T36" s="18"/>
      <c r="U36" s="43"/>
      <c r="V36" s="178">
        <f t="shared" si="10"/>
        <v>355.911</v>
      </c>
      <c r="W36" s="3">
        <v>84.55</v>
      </c>
      <c r="X36" s="3">
        <v>1519405.7749999999</v>
      </c>
      <c r="Y36" s="3">
        <v>271.36099999999999</v>
      </c>
      <c r="Z36" s="52">
        <v>1151976.2899800001</v>
      </c>
      <c r="AA36" s="52">
        <f t="shared" si="11"/>
        <v>2671382.0649800003</v>
      </c>
      <c r="AB36" s="171">
        <f t="shared" si="3"/>
        <v>205.86956972246648</v>
      </c>
      <c r="AC36" s="179">
        <v>0</v>
      </c>
      <c r="AD36" s="3">
        <v>0</v>
      </c>
      <c r="AE36" s="3">
        <v>0</v>
      </c>
      <c r="AF36" s="3">
        <v>12</v>
      </c>
      <c r="AG36" s="3">
        <f t="shared" si="8"/>
        <v>12</v>
      </c>
      <c r="AH36" s="3">
        <v>137500</v>
      </c>
      <c r="AI36" s="68">
        <f t="shared" si="9"/>
        <v>10.596412324513778</v>
      </c>
      <c r="AJ36" s="196">
        <v>189.94999999999709</v>
      </c>
      <c r="AK36" s="3">
        <v>1595579.9999999756</v>
      </c>
      <c r="AL36" s="63">
        <f t="shared" si="4"/>
        <v>122.96308055816317</v>
      </c>
      <c r="AM36" s="7"/>
    </row>
    <row r="37" spans="1:39" x14ac:dyDescent="0.25">
      <c r="A37" s="54"/>
      <c r="B37" s="85">
        <v>26</v>
      </c>
      <c r="C37" s="205">
        <v>9</v>
      </c>
      <c r="D37" s="207">
        <v>69</v>
      </c>
      <c r="E37" s="143">
        <v>1919.9999999999591</v>
      </c>
      <c r="F37" s="3">
        <v>1988697.5999999575</v>
      </c>
      <c r="G37" s="56">
        <v>2000</v>
      </c>
      <c r="H37" s="3">
        <v>3107340</v>
      </c>
      <c r="I37" s="140">
        <f t="shared" si="5"/>
        <v>5096037.5999999577</v>
      </c>
      <c r="J37" s="143">
        <v>1199.9999999999993</v>
      </c>
      <c r="K37" s="3">
        <v>1242935.9999999993</v>
      </c>
      <c r="L37" s="3">
        <v>279.99999999999937</v>
      </c>
      <c r="M37" s="89">
        <v>435027.59999999905</v>
      </c>
      <c r="N37" s="131">
        <f t="shared" si="0"/>
        <v>1677963.5999999982</v>
      </c>
      <c r="O37" s="150">
        <f t="shared" si="6"/>
        <v>6774001.1999999564</v>
      </c>
      <c r="P37" s="154">
        <f t="shared" si="7"/>
        <v>5399.9999999999582</v>
      </c>
      <c r="Q37" s="184"/>
      <c r="R37" s="182"/>
      <c r="S37" s="16"/>
      <c r="T37" s="18"/>
      <c r="U37" s="43"/>
      <c r="V37" s="178">
        <f t="shared" si="10"/>
        <v>365.96800000000007</v>
      </c>
      <c r="W37" s="3">
        <v>80.989999999999995</v>
      </c>
      <c r="X37" s="3">
        <v>1455430.7949999999</v>
      </c>
      <c r="Y37" s="3">
        <v>284.97800000000007</v>
      </c>
      <c r="Z37" s="52">
        <v>1209782.9060400003</v>
      </c>
      <c r="AA37" s="52">
        <f t="shared" si="11"/>
        <v>2665213.7010400002</v>
      </c>
      <c r="AB37" s="171">
        <f t="shared" si="3"/>
        <v>205.39420588482355</v>
      </c>
      <c r="AC37" s="179">
        <v>0</v>
      </c>
      <c r="AD37" s="3">
        <v>0</v>
      </c>
      <c r="AE37" s="3">
        <v>0</v>
      </c>
      <c r="AF37" s="3">
        <v>0</v>
      </c>
      <c r="AG37" s="3">
        <f t="shared" si="8"/>
        <v>0</v>
      </c>
      <c r="AH37" s="3">
        <v>0</v>
      </c>
      <c r="AI37" s="68">
        <f t="shared" si="9"/>
        <v>0</v>
      </c>
      <c r="AJ37" s="196">
        <v>179.97000000000116</v>
      </c>
      <c r="AK37" s="3">
        <v>1511748.0000000098</v>
      </c>
      <c r="AL37" s="63">
        <f t="shared" si="4"/>
        <v>116.50258282733934</v>
      </c>
      <c r="AM37" s="7"/>
    </row>
    <row r="38" spans="1:39" x14ac:dyDescent="0.25">
      <c r="A38" s="54"/>
      <c r="B38" s="85">
        <v>27</v>
      </c>
      <c r="C38" s="205">
        <v>6</v>
      </c>
      <c r="D38" s="207">
        <v>68</v>
      </c>
      <c r="E38" s="143">
        <v>9560.0000000000018</v>
      </c>
      <c r="F38" s="3">
        <v>9902056.8000000007</v>
      </c>
      <c r="G38" s="56">
        <v>1920.0000000000018</v>
      </c>
      <c r="H38" s="3">
        <v>2983046.4000000032</v>
      </c>
      <c r="I38" s="140">
        <f t="shared" si="5"/>
        <v>12885103.200000003</v>
      </c>
      <c r="J38" s="143">
        <v>699.99999999999932</v>
      </c>
      <c r="K38" s="3">
        <v>725045.9999999993</v>
      </c>
      <c r="L38" s="3">
        <v>260.00000000000068</v>
      </c>
      <c r="M38" s="89">
        <v>403954.20000000106</v>
      </c>
      <c r="N38" s="131">
        <f t="shared" si="0"/>
        <v>1129000.2000000004</v>
      </c>
      <c r="O38" s="150">
        <f t="shared" si="6"/>
        <v>14014103.400000004</v>
      </c>
      <c r="P38" s="154">
        <f t="shared" si="7"/>
        <v>12440.000000000004</v>
      </c>
      <c r="Q38" s="184"/>
      <c r="R38" s="182"/>
      <c r="S38" s="16"/>
      <c r="T38" s="18"/>
      <c r="U38" s="43"/>
      <c r="V38" s="178">
        <f t="shared" si="10"/>
        <v>321.64599999999996</v>
      </c>
      <c r="W38" s="3">
        <v>82.77</v>
      </c>
      <c r="X38" s="3">
        <v>1487418.2849999999</v>
      </c>
      <c r="Y38" s="3">
        <v>238.87599999999998</v>
      </c>
      <c r="Z38" s="52">
        <v>1014071.61768</v>
      </c>
      <c r="AA38" s="52">
        <f t="shared" si="11"/>
        <v>2501489.9026799998</v>
      </c>
      <c r="AB38" s="171">
        <f t="shared" si="3"/>
        <v>192.77686134112815</v>
      </c>
      <c r="AC38" s="179">
        <v>0</v>
      </c>
      <c r="AD38" s="3">
        <v>0</v>
      </c>
      <c r="AE38" s="3">
        <v>400</v>
      </c>
      <c r="AF38" s="3">
        <v>0</v>
      </c>
      <c r="AG38" s="3">
        <f t="shared" si="8"/>
        <v>400</v>
      </c>
      <c r="AH38" s="3">
        <v>4264000</v>
      </c>
      <c r="AI38" s="68">
        <f t="shared" si="9"/>
        <v>328.60437928528546</v>
      </c>
      <c r="AJ38" s="196">
        <v>185.72000000000116</v>
      </c>
      <c r="AK38" s="3">
        <v>1560048.0000000098</v>
      </c>
      <c r="AL38" s="63">
        <f t="shared" si="4"/>
        <v>120.22481348387764</v>
      </c>
      <c r="AM38" s="7"/>
    </row>
    <row r="39" spans="1:39" x14ac:dyDescent="0.25">
      <c r="A39" s="54"/>
      <c r="B39" s="85">
        <v>28</v>
      </c>
      <c r="C39" s="205">
        <v>7</v>
      </c>
      <c r="D39" s="207">
        <v>150</v>
      </c>
      <c r="E39" s="143">
        <v>9199.9999999999891</v>
      </c>
      <c r="F39" s="3">
        <v>9529175.9999999888</v>
      </c>
      <c r="G39" s="56">
        <v>1799.9999999999973</v>
      </c>
      <c r="H39" s="3">
        <v>2796605.9999999958</v>
      </c>
      <c r="I39" s="140">
        <f t="shared" si="5"/>
        <v>12325781.999999985</v>
      </c>
      <c r="J39" s="143">
        <v>1260.0000000000016</v>
      </c>
      <c r="K39" s="3">
        <v>1305082.8000000017</v>
      </c>
      <c r="L39" s="3">
        <v>299.99999999999983</v>
      </c>
      <c r="M39" s="89">
        <v>466100.99999999977</v>
      </c>
      <c r="N39" s="131">
        <f t="shared" si="0"/>
        <v>1771183.8000000014</v>
      </c>
      <c r="O39" s="150">
        <f t="shared" si="6"/>
        <v>14096965.799999986</v>
      </c>
      <c r="P39" s="154">
        <f t="shared" si="7"/>
        <v>12559.999999999987</v>
      </c>
      <c r="Q39" s="184"/>
      <c r="R39" s="182"/>
      <c r="S39" s="16"/>
      <c r="T39" s="18"/>
      <c r="U39" s="43"/>
      <c r="V39" s="178">
        <f t="shared" si="10"/>
        <v>236.11699999999996</v>
      </c>
      <c r="W39" s="3">
        <v>83.66</v>
      </c>
      <c r="X39" s="3">
        <v>1503412.03</v>
      </c>
      <c r="Y39" s="3">
        <v>152.45699999999997</v>
      </c>
      <c r="Z39" s="52">
        <v>647207.40725999989</v>
      </c>
      <c r="AA39" s="52">
        <f t="shared" si="11"/>
        <v>2150619.43726</v>
      </c>
      <c r="AB39" s="171">
        <f t="shared" si="3"/>
        <v>165.7370931659691</v>
      </c>
      <c r="AC39" s="179">
        <v>0</v>
      </c>
      <c r="AD39" s="3">
        <v>0</v>
      </c>
      <c r="AE39" s="3">
        <v>0</v>
      </c>
      <c r="AF39" s="3">
        <v>0</v>
      </c>
      <c r="AG39" s="3">
        <f t="shared" si="8"/>
        <v>0</v>
      </c>
      <c r="AH39" s="3">
        <v>0</v>
      </c>
      <c r="AI39" s="68">
        <f t="shared" si="9"/>
        <v>0</v>
      </c>
      <c r="AJ39" s="196">
        <v>174.00999999999476</v>
      </c>
      <c r="AK39" s="3">
        <v>1461683.999999956</v>
      </c>
      <c r="AL39" s="63">
        <f t="shared" si="4"/>
        <v>112.6444098337755</v>
      </c>
      <c r="AM39" s="7"/>
    </row>
    <row r="40" spans="1:39" x14ac:dyDescent="0.25">
      <c r="A40" s="54"/>
      <c r="B40" s="85">
        <v>29</v>
      </c>
      <c r="C40" s="205">
        <v>8</v>
      </c>
      <c r="D40" s="207">
        <v>109</v>
      </c>
      <c r="E40" s="143">
        <v>9680.0000000000073</v>
      </c>
      <c r="F40" s="3">
        <v>10026350.400000008</v>
      </c>
      <c r="G40" s="56">
        <v>1960.000000000008</v>
      </c>
      <c r="H40" s="3">
        <v>3045193.2000000123</v>
      </c>
      <c r="I40" s="140">
        <f t="shared" si="5"/>
        <v>13071543.60000002</v>
      </c>
      <c r="J40" s="143">
        <v>1299.9999999999973</v>
      </c>
      <c r="K40" s="3">
        <v>1346513.9999999972</v>
      </c>
      <c r="L40" s="3">
        <v>280.00000000000023</v>
      </c>
      <c r="M40" s="89">
        <v>435027.60000000038</v>
      </c>
      <c r="N40" s="131">
        <f t="shared" si="0"/>
        <v>1781541.5999999975</v>
      </c>
      <c r="O40" s="150">
        <f t="shared" si="6"/>
        <v>14853085.200000018</v>
      </c>
      <c r="P40" s="154">
        <f t="shared" si="7"/>
        <v>13220.000000000013</v>
      </c>
      <c r="Q40" s="183"/>
      <c r="R40" s="182"/>
      <c r="S40" s="16"/>
      <c r="T40" s="18"/>
      <c r="U40" s="43"/>
      <c r="V40" s="178">
        <f t="shared" si="10"/>
        <v>237.63</v>
      </c>
      <c r="W40" s="3">
        <v>89</v>
      </c>
      <c r="X40" s="3">
        <v>1599374.5</v>
      </c>
      <c r="Y40" s="3">
        <v>148.63</v>
      </c>
      <c r="Z40" s="52">
        <v>630961.10340000002</v>
      </c>
      <c r="AA40" s="52">
        <f t="shared" si="11"/>
        <v>2230335.6033999999</v>
      </c>
      <c r="AB40" s="171">
        <f t="shared" si="3"/>
        <v>171.88040491396097</v>
      </c>
      <c r="AC40" s="179">
        <v>0</v>
      </c>
      <c r="AD40" s="3">
        <v>0</v>
      </c>
      <c r="AE40" s="3">
        <v>0</v>
      </c>
      <c r="AF40" s="3">
        <v>12</v>
      </c>
      <c r="AG40" s="3">
        <f t="shared" si="8"/>
        <v>12</v>
      </c>
      <c r="AH40" s="3">
        <v>137500</v>
      </c>
      <c r="AI40" s="68">
        <f t="shared" si="9"/>
        <v>10.596412324513778</v>
      </c>
      <c r="AJ40" s="196">
        <v>86.55000000000291</v>
      </c>
      <c r="AK40" s="3">
        <v>727020.00000002445</v>
      </c>
      <c r="AL40" s="63">
        <f t="shared" si="4"/>
        <v>56.027663186678303</v>
      </c>
      <c r="AM40" s="7"/>
    </row>
    <row r="41" spans="1:39" x14ac:dyDescent="0.25">
      <c r="A41" s="54"/>
      <c r="B41" s="85">
        <v>30</v>
      </c>
      <c r="C41" s="205">
        <v>1</v>
      </c>
      <c r="D41" s="207">
        <v>16</v>
      </c>
      <c r="E41" s="143">
        <v>8759.9999999999909</v>
      </c>
      <c r="F41" s="3">
        <v>9073432.7999999896</v>
      </c>
      <c r="G41" s="56">
        <v>1719.9999999999989</v>
      </c>
      <c r="H41" s="3">
        <v>2672312.3999999985</v>
      </c>
      <c r="I41" s="140">
        <f t="shared" si="5"/>
        <v>11745745.199999988</v>
      </c>
      <c r="J41" s="143">
        <v>1800.0000000000007</v>
      </c>
      <c r="K41" s="3">
        <v>1864404.0000000007</v>
      </c>
      <c r="L41" s="3">
        <v>319.99999999999937</v>
      </c>
      <c r="M41" s="89">
        <v>497174.39999999903</v>
      </c>
      <c r="N41" s="131">
        <f t="shared" si="0"/>
        <v>2361578.4</v>
      </c>
      <c r="O41" s="150">
        <f t="shared" si="6"/>
        <v>14107323.599999988</v>
      </c>
      <c r="P41" s="154">
        <f t="shared" si="7"/>
        <v>12599.999999999989</v>
      </c>
      <c r="Q41" s="187"/>
      <c r="R41" s="188"/>
      <c r="S41" s="16"/>
      <c r="T41" s="18"/>
      <c r="U41" s="43"/>
      <c r="V41" s="178">
        <f t="shared" si="10"/>
        <v>148.54100000000008</v>
      </c>
      <c r="W41" s="56">
        <v>69.42</v>
      </c>
      <c r="X41" s="3">
        <v>1247512.1100000001</v>
      </c>
      <c r="Y41" s="52">
        <v>79.12100000000008</v>
      </c>
      <c r="Z41" s="52">
        <v>335882.88678000035</v>
      </c>
      <c r="AA41" s="52">
        <f t="shared" si="11"/>
        <v>1583394.9967800004</v>
      </c>
      <c r="AB41" s="171">
        <f t="shared" si="3"/>
        <v>122.02404551602218</v>
      </c>
      <c r="AC41" s="179">
        <v>0</v>
      </c>
      <c r="AD41" s="3">
        <v>0</v>
      </c>
      <c r="AE41" s="3">
        <v>450</v>
      </c>
      <c r="AF41" s="3">
        <v>12</v>
      </c>
      <c r="AG41" s="3">
        <f t="shared" si="8"/>
        <v>462</v>
      </c>
      <c r="AH41" s="3">
        <v>4934500</v>
      </c>
      <c r="AI41" s="68">
        <f t="shared" si="9"/>
        <v>380.27633902045994</v>
      </c>
      <c r="AJ41" s="196">
        <v>166.93000000000757</v>
      </c>
      <c r="AK41" s="3">
        <v>1402212.0000000636</v>
      </c>
      <c r="AL41" s="63">
        <f t="shared" si="4"/>
        <v>108.06121104277665</v>
      </c>
      <c r="AM41" s="7"/>
    </row>
    <row r="42" spans="1:39" ht="16.5" thickBot="1" x14ac:dyDescent="0.3">
      <c r="A42" s="54"/>
      <c r="B42" s="166"/>
      <c r="C42" s="206"/>
      <c r="D42" s="208"/>
      <c r="E42" s="141"/>
      <c r="F42" s="141"/>
      <c r="G42" s="132"/>
      <c r="H42" s="133"/>
      <c r="I42" s="142"/>
      <c r="J42" s="145"/>
      <c r="K42" s="132"/>
      <c r="L42" s="133"/>
      <c r="M42" s="134"/>
      <c r="N42" s="135"/>
      <c r="O42" s="151"/>
      <c r="P42" s="155"/>
      <c r="Q42" s="202"/>
      <c r="R42" s="203"/>
      <c r="S42" s="199"/>
      <c r="T42" s="200"/>
      <c r="U42" s="201"/>
      <c r="V42" s="20"/>
      <c r="W42" s="2"/>
      <c r="X42" s="2"/>
      <c r="Y42" s="31"/>
      <c r="Z42" s="31"/>
      <c r="AA42" s="31"/>
      <c r="AB42" s="172"/>
      <c r="AC42" s="170"/>
      <c r="AD42" s="3"/>
      <c r="AE42" s="2"/>
      <c r="AF42" s="2"/>
      <c r="AG42" s="2"/>
      <c r="AH42" s="3"/>
      <c r="AI42" s="68"/>
      <c r="AJ42" s="196"/>
      <c r="AK42" s="3"/>
      <c r="AL42" s="63"/>
      <c r="AM42" s="7"/>
    </row>
    <row r="43" spans="1:39" s="10" customFormat="1" ht="6" customHeight="1" x14ac:dyDescent="0.25">
      <c r="A43" s="27"/>
      <c r="B43" s="161"/>
      <c r="C43" s="162"/>
      <c r="D43" s="162"/>
      <c r="E43" s="160"/>
      <c r="F43" s="7"/>
      <c r="G43" s="27"/>
      <c r="H43" s="7"/>
      <c r="I43" s="27"/>
      <c r="J43" s="27"/>
      <c r="K43" s="27"/>
      <c r="L43" s="7"/>
      <c r="M43" s="90"/>
      <c r="N43" s="94"/>
      <c r="O43" s="27"/>
      <c r="P43" s="94"/>
      <c r="Q43" s="27"/>
      <c r="R43" s="119"/>
      <c r="S43" s="28">
        <f>SUM(S12:S41)</f>
        <v>0</v>
      </c>
      <c r="T43" s="27"/>
      <c r="U43" s="53"/>
      <c r="V43" s="173"/>
      <c r="W43" s="27"/>
      <c r="X43" s="27"/>
      <c r="Y43" s="27"/>
      <c r="Z43" s="27"/>
      <c r="AA43" s="27"/>
      <c r="AB43" s="53"/>
      <c r="AC43" s="27"/>
      <c r="AD43" s="7"/>
      <c r="AE43" s="27"/>
      <c r="AF43" s="27"/>
      <c r="AG43" s="27"/>
      <c r="AH43" s="27"/>
      <c r="AI43" s="27"/>
      <c r="AJ43" s="119"/>
      <c r="AK43" s="27"/>
      <c r="AL43" s="53"/>
      <c r="AM43" s="27"/>
    </row>
    <row r="44" spans="1:39" s="10" customFormat="1" ht="9.75" customHeight="1" x14ac:dyDescent="0.25">
      <c r="A44" s="27"/>
      <c r="B44" s="161"/>
      <c r="C44" s="162"/>
      <c r="D44" s="162"/>
      <c r="E44" s="160"/>
      <c r="F44" s="7"/>
      <c r="G44" s="27"/>
      <c r="H44" s="7"/>
      <c r="I44" s="27"/>
      <c r="J44" s="27"/>
      <c r="K44" s="27"/>
      <c r="L44" s="7"/>
      <c r="M44" s="90"/>
      <c r="N44" s="94"/>
      <c r="O44" s="27"/>
      <c r="P44" s="94"/>
      <c r="Q44" s="27"/>
      <c r="R44" s="119"/>
      <c r="S44" s="28"/>
      <c r="T44" s="27"/>
      <c r="U44" s="53"/>
      <c r="V44" s="173"/>
      <c r="W44" s="27"/>
      <c r="X44" s="27"/>
      <c r="Y44" s="27"/>
      <c r="Z44" s="27"/>
      <c r="AA44" s="27"/>
      <c r="AB44" s="174"/>
      <c r="AC44" s="27"/>
      <c r="AD44" s="7"/>
      <c r="AE44" s="27"/>
      <c r="AF44" s="27"/>
      <c r="AG44" s="27"/>
      <c r="AH44" s="7"/>
      <c r="AI44" s="27"/>
      <c r="AJ44" s="121"/>
      <c r="AK44" s="5"/>
      <c r="AL44" s="64"/>
      <c r="AM44" s="27"/>
    </row>
    <row r="45" spans="1:39" s="10" customFormat="1" ht="16.5" thickBot="1" x14ac:dyDescent="0.3">
      <c r="A45" s="27"/>
      <c r="B45" s="163"/>
      <c r="C45" s="164"/>
      <c r="D45" s="164"/>
      <c r="E45" s="165"/>
      <c r="F45" s="100"/>
      <c r="G45" s="99"/>
      <c r="H45" s="100"/>
      <c r="I45" s="99"/>
      <c r="J45" s="99"/>
      <c r="K45" s="99"/>
      <c r="L45" s="100"/>
      <c r="M45" s="101"/>
      <c r="N45" s="102"/>
      <c r="O45" s="99"/>
      <c r="P45" s="102"/>
      <c r="Q45" s="99"/>
      <c r="R45" s="120"/>
      <c r="S45" s="103"/>
      <c r="T45" s="99"/>
      <c r="U45" s="104"/>
      <c r="V45" s="175"/>
      <c r="W45" s="105"/>
      <c r="X45" s="99"/>
      <c r="Y45" s="99"/>
      <c r="Z45" s="99"/>
      <c r="AA45" s="99"/>
      <c r="AB45" s="104"/>
      <c r="AC45" s="106"/>
      <c r="AD45" s="100"/>
      <c r="AE45" s="106"/>
      <c r="AF45" s="106"/>
      <c r="AG45" s="106"/>
      <c r="AH45" s="100"/>
      <c r="AI45" s="99"/>
      <c r="AJ45" s="197"/>
      <c r="AK45" s="107"/>
      <c r="AL45" s="108"/>
      <c r="AM45" s="27"/>
    </row>
    <row r="46" spans="1:39" ht="17.25" thickTop="1" thickBot="1" x14ac:dyDescent="0.3">
      <c r="A46" s="45"/>
      <c r="B46" s="97"/>
      <c r="C46" s="98">
        <f>SUM(C12:C42)</f>
        <v>182</v>
      </c>
      <c r="D46" s="98">
        <f>SUM(D12:D42)</f>
        <v>2421</v>
      </c>
      <c r="E46" s="98">
        <f t="shared" ref="E46:O46" si="12">SUM(E12:E42)</f>
        <v>305800</v>
      </c>
      <c r="F46" s="98">
        <f>SUM(F12:F42)</f>
        <v>316741524.00000006</v>
      </c>
      <c r="G46" s="98">
        <f>SUM(G12:G42)</f>
        <v>62000.000000000015</v>
      </c>
      <c r="H46" s="98">
        <f t="shared" si="12"/>
        <v>96327540.00000006</v>
      </c>
      <c r="I46" s="98">
        <f t="shared" si="12"/>
        <v>413069063.99999994</v>
      </c>
      <c r="J46" s="98">
        <f t="shared" si="12"/>
        <v>39999.999999999309</v>
      </c>
      <c r="K46" s="98">
        <f t="shared" si="12"/>
        <v>41431199.999999285</v>
      </c>
      <c r="L46" s="98">
        <f t="shared" si="12"/>
        <v>8889.9999999999636</v>
      </c>
      <c r="M46" s="98">
        <f t="shared" si="12"/>
        <v>13812126.299999945</v>
      </c>
      <c r="N46" s="98">
        <f t="shared" si="12"/>
        <v>55243326.29999923</v>
      </c>
      <c r="O46" s="98">
        <f t="shared" si="12"/>
        <v>468312390.29999918</v>
      </c>
      <c r="P46" s="110">
        <f>SUM(P12:P42)</f>
        <v>416689.99999999924</v>
      </c>
      <c r="Q46" s="111" t="e">
        <f>#REF!</f>
        <v>#REF!</v>
      </c>
      <c r="R46" s="167" t="e">
        <f>#REF!</f>
        <v>#REF!</v>
      </c>
      <c r="S46" s="159" t="e">
        <f>Q46+P46</f>
        <v>#REF!</v>
      </c>
      <c r="T46" s="156" t="e">
        <f>R46+O46</f>
        <v>#REF!</v>
      </c>
      <c r="U46" s="190" t="e">
        <f>T46/AL47</f>
        <v>#REF!</v>
      </c>
      <c r="V46" s="77">
        <f>SUM(V12:V41)</f>
        <v>6018.8029999999999</v>
      </c>
      <c r="W46" s="77">
        <f t="shared" ref="W46:AB46" si="13">SUM(W12:W41)</f>
        <v>2347.8200000000002</v>
      </c>
      <c r="X46" s="77">
        <f t="shared" si="13"/>
        <v>42191499.310000002</v>
      </c>
      <c r="Y46" s="77">
        <f t="shared" si="13"/>
        <v>3670.9829999999997</v>
      </c>
      <c r="Z46" s="77">
        <f t="shared" si="13"/>
        <v>15583983.611940004</v>
      </c>
      <c r="AA46" s="77">
        <f t="shared" si="13"/>
        <v>57775482.921940006</v>
      </c>
      <c r="AB46" s="77">
        <f t="shared" si="13"/>
        <v>4452.4570130093107</v>
      </c>
      <c r="AC46" s="69">
        <f>SUM(AC12:AC41)</f>
        <v>0</v>
      </c>
      <c r="AD46" s="191">
        <f>SUM(AD12:AD41)</f>
        <v>0</v>
      </c>
      <c r="AE46" s="69">
        <f>SUM(AE12:AE41)</f>
        <v>3100</v>
      </c>
      <c r="AF46" s="69">
        <f t="shared" ref="AF46:AL46" si="14">SUM(AF12:AF41)</f>
        <v>396</v>
      </c>
      <c r="AG46" s="69">
        <f t="shared" si="14"/>
        <v>3496</v>
      </c>
      <c r="AH46" s="69">
        <f t="shared" si="14"/>
        <v>37583500</v>
      </c>
      <c r="AI46" s="69">
        <f t="shared" si="14"/>
        <v>2896.3655461699173</v>
      </c>
      <c r="AJ46" s="69">
        <f t="shared" si="14"/>
        <v>5045.9699999999866</v>
      </c>
      <c r="AK46" s="69">
        <f t="shared" si="14"/>
        <v>42386147.999999888</v>
      </c>
      <c r="AL46" s="69">
        <f t="shared" si="14"/>
        <v>3266.4807349517368</v>
      </c>
      <c r="AM46" s="45"/>
    </row>
    <row r="47" spans="1:39" s="1" customFormat="1" x14ac:dyDescent="0.25">
      <c r="A47" s="45"/>
      <c r="B47" s="45"/>
      <c r="C47" s="5"/>
      <c r="D47" s="14"/>
      <c r="E47" s="5"/>
      <c r="F47" s="5"/>
      <c r="G47" s="14"/>
      <c r="H47" s="5"/>
      <c r="I47" s="12"/>
      <c r="J47" s="12"/>
      <c r="K47" s="12"/>
      <c r="L47" s="29"/>
      <c r="M47" s="91"/>
      <c r="N47" s="95"/>
      <c r="O47" s="13"/>
      <c r="P47" s="95"/>
      <c r="Q47" s="13"/>
      <c r="R47" s="158"/>
      <c r="S47" s="24"/>
      <c r="T47" s="109" t="s">
        <v>31</v>
      </c>
      <c r="U47" s="209" t="e">
        <f>U46/S46</f>
        <v>#REF!</v>
      </c>
      <c r="V47" s="14"/>
      <c r="W47" s="14"/>
      <c r="X47" s="14"/>
      <c r="Y47" s="14"/>
      <c r="Z47" s="14"/>
      <c r="AA47" s="14"/>
      <c r="AB47" s="14"/>
      <c r="AC47" s="28"/>
      <c r="AD47" s="7"/>
      <c r="AE47" s="28"/>
      <c r="AF47" s="28"/>
      <c r="AG47" s="7"/>
      <c r="AH47" s="5"/>
      <c r="AI47" s="14"/>
      <c r="AJ47" s="121"/>
      <c r="AK47" s="14"/>
      <c r="AL47" s="198">
        <v>12976.09</v>
      </c>
      <c r="AM47" s="45"/>
    </row>
    <row r="48" spans="1:39" s="1" customFormat="1" x14ac:dyDescent="0.25">
      <c r="A48" s="45"/>
      <c r="B48" s="45"/>
      <c r="C48" s="5"/>
      <c r="D48" s="14"/>
      <c r="E48" s="5"/>
      <c r="F48" s="5"/>
      <c r="G48" s="14"/>
      <c r="H48" s="147"/>
      <c r="I48" s="12"/>
      <c r="J48" s="12"/>
      <c r="K48" s="12"/>
      <c r="L48" s="29"/>
      <c r="M48" s="91"/>
      <c r="N48" s="95"/>
      <c r="O48" s="13"/>
      <c r="P48" s="95"/>
      <c r="Q48" s="13"/>
      <c r="R48" s="158"/>
      <c r="S48" s="24"/>
      <c r="T48" s="8"/>
      <c r="U48" s="23"/>
      <c r="V48" s="14"/>
      <c r="W48" s="14"/>
      <c r="X48" s="14"/>
      <c r="Y48" s="14"/>
      <c r="Z48" s="14"/>
      <c r="AA48" s="14"/>
      <c r="AB48" s="14"/>
      <c r="AC48" s="14"/>
      <c r="AD48" s="5"/>
      <c r="AE48" s="14"/>
      <c r="AF48" s="14"/>
      <c r="AG48" s="192"/>
      <c r="AH48" s="5"/>
      <c r="AI48" s="14"/>
      <c r="AJ48" s="121"/>
      <c r="AK48" s="14"/>
      <c r="AL48" s="59"/>
      <c r="AM48" s="45"/>
    </row>
    <row r="49" spans="1:39" s="5" customFormat="1" x14ac:dyDescent="0.25">
      <c r="A49" s="7"/>
      <c r="B49" s="7"/>
      <c r="E49" s="124"/>
      <c r="F49" s="148"/>
      <c r="G49" s="116"/>
      <c r="I49" s="115"/>
      <c r="J49" s="117"/>
      <c r="K49" s="115"/>
      <c r="L49" s="117"/>
      <c r="M49" s="115"/>
      <c r="N49" s="115"/>
      <c r="O49" s="57"/>
      <c r="P49" s="95"/>
      <c r="Q49" s="29"/>
      <c r="R49" s="158"/>
      <c r="S49" s="30"/>
      <c r="T49" s="8"/>
      <c r="V49" s="11"/>
      <c r="W49" s="11"/>
      <c r="X49" s="29"/>
      <c r="Y49" s="11"/>
      <c r="Z49" s="189"/>
      <c r="AA49" s="11"/>
      <c r="AB49"/>
      <c r="AC49" s="11"/>
      <c r="AD49" s="11"/>
      <c r="AE49" s="29"/>
      <c r="AF49" s="11"/>
      <c r="AG49" s="11"/>
      <c r="AI49" s="11"/>
      <c r="AJ49" s="122"/>
      <c r="AK49" s="11"/>
      <c r="AL49" s="60"/>
      <c r="AM49" s="7"/>
    </row>
    <row r="50" spans="1:39" s="1" customFormat="1" x14ac:dyDescent="0.25">
      <c r="A50" s="44"/>
      <c r="B50" s="44"/>
      <c r="C50" s="11"/>
      <c r="D50" s="11"/>
      <c r="E50" s="11"/>
      <c r="F50" s="29"/>
      <c r="G50" s="11"/>
      <c r="H50" s="147"/>
      <c r="I50" s="29"/>
      <c r="J50" s="29"/>
      <c r="K50" s="29"/>
      <c r="M50" s="29"/>
      <c r="N50" s="95"/>
      <c r="P50" s="95"/>
      <c r="Q50" s="13"/>
      <c r="R50" s="158"/>
      <c r="S50" s="24"/>
      <c r="T50" s="8"/>
      <c r="U50" s="29"/>
      <c r="V50" s="14"/>
      <c r="W50" s="14"/>
      <c r="X50" s="14"/>
      <c r="Y50" s="14"/>
      <c r="Z50" s="9"/>
      <c r="AA50" s="9"/>
      <c r="AB50" s="14"/>
      <c r="AC50" s="14"/>
      <c r="AD50" s="5"/>
      <c r="AE50" s="14"/>
      <c r="AF50" s="14"/>
      <c r="AG50" s="14"/>
      <c r="AH50" s="5"/>
      <c r="AI50" s="14"/>
      <c r="AJ50" s="121"/>
      <c r="AK50" s="14"/>
      <c r="AL50" s="59"/>
      <c r="AM50" s="45"/>
    </row>
    <row r="51" spans="1:39" s="1" customFormat="1" ht="15" hidden="1" customHeight="1" x14ac:dyDescent="0.25">
      <c r="A51" s="45"/>
      <c r="B51" s="45"/>
      <c r="C51" s="5"/>
      <c r="D51" s="14"/>
      <c r="E51" s="5"/>
      <c r="F51" s="5"/>
      <c r="G51" s="14"/>
      <c r="H51" s="5"/>
      <c r="I51" s="12"/>
      <c r="J51" s="12"/>
      <c r="K51" s="12"/>
      <c r="L51" s="29"/>
      <c r="M51" s="91"/>
      <c r="N51" s="95"/>
      <c r="O51" s="13"/>
      <c r="P51" s="95"/>
      <c r="Q51" s="13"/>
      <c r="R51" s="158"/>
      <c r="S51" s="24"/>
      <c r="T51" s="8"/>
      <c r="U51" s="23"/>
      <c r="V51" s="14"/>
      <c r="W51" s="14"/>
      <c r="X51" s="14"/>
      <c r="Y51" s="14"/>
      <c r="Z51" s="14"/>
      <c r="AA51" s="14"/>
      <c r="AB51" s="14"/>
      <c r="AC51" s="14"/>
      <c r="AD51" s="5"/>
      <c r="AE51" s="14"/>
      <c r="AF51" s="14"/>
      <c r="AG51" s="14"/>
      <c r="AH51" s="5"/>
      <c r="AI51" s="14"/>
      <c r="AJ51" s="121"/>
      <c r="AK51" s="14"/>
      <c r="AL51" s="59"/>
      <c r="AM51" s="45"/>
    </row>
    <row r="52" spans="1:39" s="1" customFormat="1" ht="15" hidden="1" customHeight="1" x14ac:dyDescent="0.25">
      <c r="A52" s="45"/>
      <c r="B52" s="45"/>
      <c r="C52" s="5"/>
      <c r="D52" s="14"/>
      <c r="E52" s="5"/>
      <c r="F52" s="5"/>
      <c r="G52" s="14"/>
      <c r="H52" s="5"/>
      <c r="I52" s="12"/>
      <c r="J52" s="12"/>
      <c r="K52" s="12"/>
      <c r="L52" s="29"/>
      <c r="M52" s="91"/>
      <c r="N52" s="95"/>
      <c r="O52" s="13"/>
      <c r="P52" s="95"/>
      <c r="Q52" s="13"/>
      <c r="R52" s="158"/>
      <c r="S52" s="24"/>
      <c r="T52" s="8"/>
      <c r="U52" s="23"/>
      <c r="V52" s="14"/>
      <c r="W52" s="14"/>
      <c r="X52" s="14"/>
      <c r="Y52" s="14"/>
      <c r="Z52" s="14"/>
      <c r="AA52" s="14"/>
      <c r="AB52" s="14"/>
      <c r="AC52" s="14"/>
      <c r="AD52" s="5"/>
      <c r="AE52" s="14"/>
      <c r="AF52" s="14"/>
      <c r="AG52" s="14"/>
      <c r="AH52" s="5"/>
      <c r="AI52" s="14"/>
      <c r="AJ52" s="121"/>
      <c r="AK52" s="14"/>
      <c r="AL52" s="59"/>
      <c r="AM52" s="45"/>
    </row>
    <row r="53" spans="1:39" s="1" customFormat="1" ht="15" hidden="1" customHeight="1" x14ac:dyDescent="0.25">
      <c r="A53" s="45"/>
      <c r="B53" s="45"/>
      <c r="C53" s="5"/>
      <c r="D53" s="14"/>
      <c r="E53" s="5"/>
      <c r="F53" s="5"/>
      <c r="H53" s="5"/>
      <c r="I53" s="12"/>
      <c r="J53" s="12"/>
      <c r="K53" s="12"/>
      <c r="L53" s="29"/>
      <c r="M53" s="91"/>
      <c r="N53" s="95"/>
      <c r="O53" s="13"/>
      <c r="P53" s="95"/>
      <c r="Q53" s="13"/>
      <c r="R53" s="158"/>
      <c r="S53" s="24"/>
      <c r="T53" s="8"/>
      <c r="U53" s="23"/>
      <c r="V53" s="14"/>
      <c r="W53" s="14"/>
      <c r="X53" s="14"/>
      <c r="Y53" s="14"/>
      <c r="Z53" s="14"/>
      <c r="AA53" s="14"/>
      <c r="AB53" s="14"/>
      <c r="AC53" s="14"/>
      <c r="AD53" s="5"/>
      <c r="AE53" s="14"/>
      <c r="AF53" s="14"/>
      <c r="AG53" s="14"/>
      <c r="AH53" s="5"/>
      <c r="AI53" s="14"/>
      <c r="AJ53" s="121"/>
      <c r="AK53" s="14"/>
      <c r="AL53" s="59"/>
      <c r="AM53" s="45"/>
    </row>
    <row r="54" spans="1:39" x14ac:dyDescent="0.25">
      <c r="F54" s="149"/>
      <c r="M54" s="146"/>
      <c r="AK54" s="22"/>
    </row>
    <row r="55" spans="1:39" x14ac:dyDescent="0.25">
      <c r="Y55" s="26"/>
      <c r="AD55" s="4">
        <f>AD47/31</f>
        <v>0</v>
      </c>
      <c r="AH55" s="66"/>
      <c r="AK55" s="25"/>
    </row>
    <row r="56" spans="1:39" x14ac:dyDescent="0.25">
      <c r="H56" s="126"/>
      <c r="I56" s="25"/>
    </row>
  </sheetData>
  <mergeCells count="17">
    <mergeCell ref="O9:O10"/>
    <mergeCell ref="V8:AB8"/>
    <mergeCell ref="AC8:AL8"/>
    <mergeCell ref="AC9:AI9"/>
    <mergeCell ref="E8:U8"/>
    <mergeCell ref="B7:AL7"/>
    <mergeCell ref="P9:P10"/>
    <mergeCell ref="Q9:Q10"/>
    <mergeCell ref="R9:R10"/>
    <mergeCell ref="S9:S10"/>
    <mergeCell ref="T9:U9"/>
    <mergeCell ref="AA9:AB9"/>
    <mergeCell ref="B8:B10"/>
    <mergeCell ref="C8:C10"/>
    <mergeCell ref="D8:D10"/>
    <mergeCell ref="J9:N9"/>
    <mergeCell ref="E9:I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C35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46" t="s">
        <v>30</v>
      </c>
    </row>
    <row r="2" spans="1:3" ht="18.75" x14ac:dyDescent="0.3">
      <c r="A2" s="265">
        <v>44136</v>
      </c>
      <c r="B2" s="266"/>
      <c r="C2" s="266"/>
    </row>
    <row r="3" spans="1:3" x14ac:dyDescent="0.25">
      <c r="A3" s="268" t="s">
        <v>1</v>
      </c>
      <c r="B3" s="267" t="s">
        <v>2</v>
      </c>
      <c r="C3" s="267" t="s">
        <v>3</v>
      </c>
    </row>
    <row r="4" spans="1:3" x14ac:dyDescent="0.25">
      <c r="A4" s="268"/>
      <c r="B4" s="267"/>
      <c r="C4" s="267"/>
    </row>
    <row r="5" spans="1:3" x14ac:dyDescent="0.25">
      <c r="A5" s="268"/>
      <c r="B5" s="267"/>
      <c r="C5" s="267"/>
    </row>
    <row r="6" spans="1:3" x14ac:dyDescent="0.25">
      <c r="A6" s="2">
        <v>1</v>
      </c>
      <c r="B6" s="2">
        <v>6</v>
      </c>
      <c r="C6" s="2">
        <v>175</v>
      </c>
    </row>
    <row r="7" spans="1:3" x14ac:dyDescent="0.25">
      <c r="A7" s="2">
        <v>2</v>
      </c>
      <c r="B7" s="2">
        <v>4</v>
      </c>
      <c r="C7" s="2">
        <v>72</v>
      </c>
    </row>
    <row r="8" spans="1:3" x14ac:dyDescent="0.25">
      <c r="A8" s="2">
        <f>A7+1</f>
        <v>3</v>
      </c>
      <c r="B8" s="2">
        <v>3</v>
      </c>
      <c r="C8" s="2">
        <v>36</v>
      </c>
    </row>
    <row r="9" spans="1:3" x14ac:dyDescent="0.25">
      <c r="A9" s="2">
        <f>A8+1</f>
        <v>4</v>
      </c>
      <c r="B9" s="2">
        <v>5</v>
      </c>
      <c r="C9" s="2">
        <v>0</v>
      </c>
    </row>
    <row r="10" spans="1:3" x14ac:dyDescent="0.25">
      <c r="A10" s="2">
        <f t="shared" ref="A10:A35" si="0">A9+1</f>
        <v>5</v>
      </c>
      <c r="B10" s="2">
        <v>4</v>
      </c>
      <c r="C10" s="2">
        <v>77</v>
      </c>
    </row>
    <row r="11" spans="1:3" x14ac:dyDescent="0.25">
      <c r="A11" s="2">
        <f t="shared" si="0"/>
        <v>6</v>
      </c>
      <c r="B11" s="2">
        <v>7</v>
      </c>
      <c r="C11" s="2">
        <v>65</v>
      </c>
    </row>
    <row r="12" spans="1:3" x14ac:dyDescent="0.25">
      <c r="A12" s="2">
        <f t="shared" si="0"/>
        <v>7</v>
      </c>
      <c r="B12" s="2">
        <v>9</v>
      </c>
      <c r="C12" s="2">
        <v>88</v>
      </c>
    </row>
    <row r="13" spans="1:3" x14ac:dyDescent="0.25">
      <c r="A13" s="2">
        <f t="shared" si="0"/>
        <v>8</v>
      </c>
      <c r="B13" s="2">
        <v>10</v>
      </c>
      <c r="C13" s="2">
        <v>133</v>
      </c>
    </row>
    <row r="14" spans="1:3" x14ac:dyDescent="0.25">
      <c r="A14" s="2">
        <f t="shared" si="0"/>
        <v>9</v>
      </c>
      <c r="B14" s="2">
        <v>7</v>
      </c>
      <c r="C14" s="2">
        <v>69</v>
      </c>
    </row>
    <row r="15" spans="1:3" x14ac:dyDescent="0.25">
      <c r="A15" s="2">
        <f t="shared" si="0"/>
        <v>10</v>
      </c>
      <c r="B15" s="2">
        <v>5</v>
      </c>
      <c r="C15" s="2">
        <v>139</v>
      </c>
    </row>
    <row r="16" spans="1:3" x14ac:dyDescent="0.25">
      <c r="A16" s="2">
        <f t="shared" si="0"/>
        <v>11</v>
      </c>
      <c r="B16" s="2">
        <v>4</v>
      </c>
      <c r="C16" s="2">
        <v>30</v>
      </c>
    </row>
    <row r="17" spans="1:3" x14ac:dyDescent="0.25">
      <c r="A17" s="2">
        <f t="shared" si="0"/>
        <v>12</v>
      </c>
      <c r="B17" s="2">
        <v>6</v>
      </c>
      <c r="C17" s="2">
        <v>48</v>
      </c>
    </row>
    <row r="18" spans="1:3" x14ac:dyDescent="0.25">
      <c r="A18" s="2">
        <f t="shared" si="0"/>
        <v>13</v>
      </c>
      <c r="B18" s="2">
        <v>15</v>
      </c>
      <c r="C18" s="2">
        <v>94</v>
      </c>
    </row>
    <row r="19" spans="1:3" x14ac:dyDescent="0.25">
      <c r="A19" s="2">
        <f t="shared" si="0"/>
        <v>14</v>
      </c>
      <c r="B19" s="2">
        <v>12</v>
      </c>
      <c r="C19" s="2">
        <v>158</v>
      </c>
    </row>
    <row r="20" spans="1:3" x14ac:dyDescent="0.25">
      <c r="A20" s="2">
        <f t="shared" si="0"/>
        <v>15</v>
      </c>
      <c r="B20" s="2">
        <v>2</v>
      </c>
      <c r="C20" s="2">
        <v>123</v>
      </c>
    </row>
    <row r="21" spans="1:3" x14ac:dyDescent="0.25">
      <c r="A21" s="2">
        <f t="shared" si="0"/>
        <v>16</v>
      </c>
      <c r="B21" s="2">
        <v>5</v>
      </c>
      <c r="C21" s="2">
        <v>32</v>
      </c>
    </row>
    <row r="22" spans="1:3" x14ac:dyDescent="0.25">
      <c r="A22" s="2">
        <f t="shared" si="0"/>
        <v>17</v>
      </c>
      <c r="B22" s="2">
        <v>4</v>
      </c>
      <c r="C22" s="2">
        <v>29</v>
      </c>
    </row>
    <row r="23" spans="1:3" x14ac:dyDescent="0.25">
      <c r="A23" s="2">
        <f t="shared" si="0"/>
        <v>18</v>
      </c>
      <c r="B23" s="2">
        <v>4</v>
      </c>
      <c r="C23" s="2">
        <v>34</v>
      </c>
    </row>
    <row r="24" spans="1:3" x14ac:dyDescent="0.25">
      <c r="A24" s="2">
        <f t="shared" si="0"/>
        <v>19</v>
      </c>
      <c r="B24" s="2">
        <v>7</v>
      </c>
      <c r="C24" s="2">
        <v>59</v>
      </c>
    </row>
    <row r="25" spans="1:3" x14ac:dyDescent="0.25">
      <c r="A25" s="2">
        <f t="shared" si="0"/>
        <v>20</v>
      </c>
      <c r="B25" s="2">
        <v>7</v>
      </c>
      <c r="C25" s="2">
        <v>134</v>
      </c>
    </row>
    <row r="26" spans="1:3" x14ac:dyDescent="0.25">
      <c r="A26" s="2">
        <f t="shared" si="0"/>
        <v>21</v>
      </c>
      <c r="B26" s="2">
        <v>8</v>
      </c>
      <c r="C26" s="2">
        <v>175</v>
      </c>
    </row>
    <row r="27" spans="1:3" x14ac:dyDescent="0.25">
      <c r="A27" s="2">
        <f t="shared" si="0"/>
        <v>22</v>
      </c>
      <c r="B27" s="2">
        <v>3</v>
      </c>
      <c r="C27" s="2">
        <v>93</v>
      </c>
    </row>
    <row r="28" spans="1:3" x14ac:dyDescent="0.25">
      <c r="A28" s="2">
        <f t="shared" si="0"/>
        <v>23</v>
      </c>
      <c r="B28" s="2">
        <v>6</v>
      </c>
      <c r="C28" s="2">
        <v>50</v>
      </c>
    </row>
    <row r="29" spans="1:3" x14ac:dyDescent="0.25">
      <c r="A29" s="2">
        <f t="shared" si="0"/>
        <v>24</v>
      </c>
      <c r="B29" s="2">
        <v>5</v>
      </c>
      <c r="C29" s="2">
        <v>30</v>
      </c>
    </row>
    <row r="30" spans="1:3" x14ac:dyDescent="0.25">
      <c r="A30" s="2">
        <f t="shared" si="0"/>
        <v>25</v>
      </c>
      <c r="B30" s="2">
        <v>3</v>
      </c>
      <c r="C30" s="2">
        <v>66</v>
      </c>
    </row>
    <row r="31" spans="1:3" x14ac:dyDescent="0.25">
      <c r="A31" s="2">
        <f t="shared" si="0"/>
        <v>26</v>
      </c>
      <c r="B31" s="2">
        <v>9</v>
      </c>
      <c r="C31" s="2">
        <v>69</v>
      </c>
    </row>
    <row r="32" spans="1:3" x14ac:dyDescent="0.25">
      <c r="A32" s="2">
        <f t="shared" si="0"/>
        <v>27</v>
      </c>
      <c r="B32" s="2">
        <v>6</v>
      </c>
      <c r="C32" s="2">
        <v>68</v>
      </c>
    </row>
    <row r="33" spans="1:3" x14ac:dyDescent="0.25">
      <c r="A33" s="2">
        <f t="shared" si="0"/>
        <v>28</v>
      </c>
      <c r="B33" s="2">
        <v>7</v>
      </c>
      <c r="C33" s="2">
        <v>150</v>
      </c>
    </row>
    <row r="34" spans="1:3" x14ac:dyDescent="0.25">
      <c r="A34" s="2">
        <f t="shared" si="0"/>
        <v>29</v>
      </c>
      <c r="B34" s="2">
        <v>8</v>
      </c>
      <c r="C34" s="2">
        <v>109</v>
      </c>
    </row>
    <row r="35" spans="1:3" x14ac:dyDescent="0.25">
      <c r="A35" s="2">
        <f t="shared" si="0"/>
        <v>30</v>
      </c>
      <c r="B35" s="2">
        <v>1</v>
      </c>
      <c r="C35" s="2">
        <v>16</v>
      </c>
    </row>
    <row r="37" spans="1:3" x14ac:dyDescent="0.25">
      <c r="B37" s="6">
        <f>SUM(B6:B36)</f>
        <v>182</v>
      </c>
      <c r="C37" s="6">
        <f>SUM(C6:C36)</f>
        <v>2421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ed2f2222-2bff-489f-89bb-9539c67e7b9c"/>
    <ds:schemaRef ds:uri="http://schemas.microsoft.com/office/infopath/2007/PartnerControls"/>
    <ds:schemaRef ds:uri="77842aba-bda6-4832-96cd-e75cb532429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November 2020</vt:lpstr>
      <vt:lpstr>RNs &amp; Covers November 2020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2022-04-30T11:14:46Z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