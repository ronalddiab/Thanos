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sablanca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M2" i="1" l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3" i="1"/>
  <c r="F4" i="1" s="1"/>
  <c r="F5" i="1" s="1"/>
  <c r="F6" i="1" s="1"/>
  <c r="F7" i="1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M3" i="1" l="1"/>
  <c r="M4" i="1"/>
  <c r="F8" i="1"/>
  <c r="M7" i="1"/>
  <c r="M5" i="1"/>
  <c r="M6" i="1"/>
  <c r="M8" i="1" l="1"/>
  <c r="F9" i="1"/>
  <c r="F10" i="1" l="1"/>
  <c r="M9" i="1"/>
  <c r="F11" i="1" l="1"/>
  <c r="M10" i="1"/>
  <c r="M11" i="1" l="1"/>
  <c r="F12" i="1"/>
  <c r="M12" i="1" l="1"/>
  <c r="F13" i="1"/>
  <c r="F14" i="1" l="1"/>
  <c r="M13" i="1"/>
  <c r="F15" i="1" l="1"/>
  <c r="M14" i="1"/>
  <c r="F16" i="1" l="1"/>
  <c r="M15" i="1"/>
  <c r="M16" i="1" l="1"/>
  <c r="F17" i="1"/>
  <c r="F18" i="1" l="1"/>
  <c r="M17" i="1"/>
  <c r="F19" i="1" l="1"/>
  <c r="M18" i="1"/>
  <c r="M19" i="1" l="1"/>
  <c r="F20" i="1"/>
  <c r="F21" i="1" l="1"/>
  <c r="M20" i="1"/>
  <c r="F22" i="1" l="1"/>
  <c r="M21" i="1"/>
  <c r="F23" i="1" l="1"/>
  <c r="M22" i="1"/>
  <c r="M23" i="1" l="1"/>
  <c r="F24" i="1"/>
  <c r="M24" i="1" l="1"/>
  <c r="F25" i="1"/>
  <c r="F26" i="1" l="1"/>
  <c r="M25" i="1"/>
  <c r="F27" i="1" l="1"/>
  <c r="M26" i="1"/>
  <c r="M27" i="1" l="1"/>
  <c r="F28" i="1"/>
  <c r="M28" i="1" l="1"/>
  <c r="F29" i="1"/>
  <c r="M29" i="1" l="1"/>
</calcChain>
</file>

<file path=xl/sharedStrings.xml><?xml version="1.0" encoding="utf-8"?>
<sst xmlns="http://schemas.openxmlformats.org/spreadsheetml/2006/main" count="41" uniqueCount="14">
  <si>
    <t>Site Name</t>
  </si>
  <si>
    <t>Day</t>
  </si>
  <si>
    <t>Month</t>
  </si>
  <si>
    <t>Year</t>
  </si>
  <si>
    <t xml:space="preserve">Room Nights </t>
  </si>
  <si>
    <t xml:space="preserve">Total Guests </t>
  </si>
  <si>
    <t>Utilities day cost dh</t>
  </si>
  <si>
    <t>Casablanca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</si>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</sst>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P4" sqref="P4"/>
    </sheetView>
  </sheetViews>
  <sheetFormatPr defaultColWidth="11.5703125" defaultRowHeight="15" x14ac:dyDescent="0.25"/>
  <cols>
    <col min="1" max="1" width="12.42578125" style="12" customWidth="1"/>
    <col min="2" max="3" width="11.5703125" style="8"/>
    <col min="4" max="4" width="13.42578125" style="9" customWidth="1"/>
    <col min="5" max="5" width="12.5703125" style="10" customWidth="1"/>
    <col min="6" max="6" width="12.5703125" style="12" customWidth="1"/>
    <col min="7" max="10" width="11.5703125" style="12"/>
    <col min="11" max="12" width="11.5703125" style="10"/>
    <col min="13" max="13" width="0" hidden="1" customWidth="1"/>
  </cols>
  <sheetData>
    <row r="1" spans="1:13" s="6" customFormat="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4" t="s">
        <v>4</v>
      </c>
      <c r="L1" s="14" t="s">
        <v>5</v>
      </c>
      <c r="M1" s="5" t="s">
        <v>6</v>
      </c>
    </row>
    <row r="2" spans="1:13" x14ac:dyDescent="0.25">
      <c r="A2" s="7" t="s">
        <v>7</v>
      </c>
      <c r="B2" s="8">
        <v>1</v>
      </c>
      <c r="C2" s="8">
        <v>2</v>
      </c>
      <c r="D2" s="9">
        <v>2019</v>
      </c>
      <c r="E2" s="10">
        <f>407737/28</f>
        <v>14562.035714285714</v>
      </c>
      <c r="F2" s="13">
        <v>1.079</v>
      </c>
      <c r="G2" s="13">
        <f>26603/28</f>
        <v>950.10714285714289</v>
      </c>
      <c r="H2" s="13">
        <v>8.6999999999999993</v>
      </c>
      <c r="I2" s="13">
        <f>6442/28</f>
        <v>230.07142857142858</v>
      </c>
      <c r="J2" s="13">
        <v>11.4</v>
      </c>
      <c r="K2" s="10">
        <f>3621/28</f>
        <v>129.32142857142858</v>
      </c>
      <c r="L2" s="10">
        <v>0</v>
      </c>
      <c r="M2" s="11" t="e">
        <f>E2*F2+G2*H2+#REF!*#REF!+I2*J2</f>
        <v>#REF!</v>
      </c>
    </row>
    <row r="3" spans="1:13" x14ac:dyDescent="0.25">
      <c r="A3" s="7" t="s">
        <v>7</v>
      </c>
      <c r="B3" s="8">
        <f>B2+1</f>
        <v>2</v>
      </c>
      <c r="C3" s="8">
        <v>2</v>
      </c>
      <c r="D3" s="9">
        <v>2019</v>
      </c>
      <c r="E3" s="10">
        <f t="shared" ref="E3:E29" si="0">407737/28</f>
        <v>14562.035714285714</v>
      </c>
      <c r="F3" s="13">
        <f>F2</f>
        <v>1.079</v>
      </c>
      <c r="G3" s="13">
        <f t="shared" ref="G3:G29" si="1">26603/28</f>
        <v>950.10714285714289</v>
      </c>
      <c r="H3" s="13">
        <f>H2</f>
        <v>8.6999999999999993</v>
      </c>
      <c r="I3" s="13">
        <f t="shared" ref="I3:I29" si="2">6442/28</f>
        <v>230.07142857142858</v>
      </c>
      <c r="J3" s="13">
        <f>J2</f>
        <v>11.4</v>
      </c>
      <c r="K3" s="10">
        <f t="shared" ref="K3:K29" si="3">3621/28</f>
        <v>129.32142857142858</v>
      </c>
      <c r="L3" s="10">
        <v>0</v>
      </c>
      <c r="M3" s="11" t="e">
        <f>E3*F3+G3*H3+#REF!*#REF!+I3*J3</f>
        <v>#REF!</v>
      </c>
    </row>
    <row r="4" spans="1:13" x14ac:dyDescent="0.25">
      <c r="A4" s="7" t="s">
        <v>7</v>
      </c>
      <c r="B4" s="8">
        <f t="shared" ref="B4:B29" si="4">B3+1</f>
        <v>3</v>
      </c>
      <c r="C4" s="8">
        <v>2</v>
      </c>
      <c r="D4" s="9">
        <v>2019</v>
      </c>
      <c r="E4" s="10">
        <f t="shared" si="0"/>
        <v>14562.035714285714</v>
      </c>
      <c r="F4" s="13">
        <f t="shared" ref="F4:F29" si="5">F3</f>
        <v>1.079</v>
      </c>
      <c r="G4" s="13">
        <f t="shared" si="1"/>
        <v>950.10714285714289</v>
      </c>
      <c r="H4" s="13">
        <f t="shared" ref="H4:H29" si="6">H3</f>
        <v>8.6999999999999993</v>
      </c>
      <c r="I4" s="13">
        <f t="shared" si="2"/>
        <v>230.07142857142858</v>
      </c>
      <c r="J4" s="13">
        <f t="shared" ref="J4:J29" si="7">J3</f>
        <v>11.4</v>
      </c>
      <c r="K4" s="10">
        <f t="shared" si="3"/>
        <v>129.32142857142858</v>
      </c>
      <c r="L4" s="10">
        <v>0</v>
      </c>
      <c r="M4" s="11" t="e">
        <f>E4*F4+G4*H4+#REF!*#REF!+I4*J4</f>
        <v>#REF!</v>
      </c>
    </row>
    <row r="5" spans="1:13" x14ac:dyDescent="0.25">
      <c r="A5" s="7" t="s">
        <v>7</v>
      </c>
      <c r="B5" s="8">
        <f t="shared" si="4"/>
        <v>4</v>
      </c>
      <c r="C5" s="8">
        <v>2</v>
      </c>
      <c r="D5" s="9">
        <v>2019</v>
      </c>
      <c r="E5" s="10">
        <f t="shared" si="0"/>
        <v>14562.035714285714</v>
      </c>
      <c r="F5" s="13">
        <f t="shared" si="5"/>
        <v>1.079</v>
      </c>
      <c r="G5" s="13">
        <f t="shared" si="1"/>
        <v>950.10714285714289</v>
      </c>
      <c r="H5" s="13">
        <f t="shared" si="6"/>
        <v>8.6999999999999993</v>
      </c>
      <c r="I5" s="13">
        <f t="shared" si="2"/>
        <v>230.07142857142858</v>
      </c>
      <c r="J5" s="13">
        <f t="shared" si="7"/>
        <v>11.4</v>
      </c>
      <c r="K5" s="10">
        <f t="shared" si="3"/>
        <v>129.32142857142858</v>
      </c>
      <c r="L5" s="10">
        <v>0</v>
      </c>
      <c r="M5" s="11" t="e">
        <f>E5*F5+G5*H5+#REF!*#REF!+I5*J5</f>
        <v>#REF!</v>
      </c>
    </row>
    <row r="6" spans="1:13" x14ac:dyDescent="0.25">
      <c r="A6" s="7" t="s">
        <v>7</v>
      </c>
      <c r="B6" s="8">
        <f t="shared" si="4"/>
        <v>5</v>
      </c>
      <c r="C6" s="8">
        <v>2</v>
      </c>
      <c r="D6" s="9">
        <v>2019</v>
      </c>
      <c r="E6" s="10">
        <f t="shared" si="0"/>
        <v>14562.035714285714</v>
      </c>
      <c r="F6" s="13">
        <f t="shared" si="5"/>
        <v>1.079</v>
      </c>
      <c r="G6" s="13">
        <f t="shared" si="1"/>
        <v>950.10714285714289</v>
      </c>
      <c r="H6" s="13">
        <f t="shared" si="6"/>
        <v>8.6999999999999993</v>
      </c>
      <c r="I6" s="13">
        <f t="shared" si="2"/>
        <v>230.07142857142858</v>
      </c>
      <c r="J6" s="13">
        <f t="shared" si="7"/>
        <v>11.4</v>
      </c>
      <c r="K6" s="10">
        <f t="shared" si="3"/>
        <v>129.32142857142858</v>
      </c>
      <c r="L6" s="10">
        <v>0</v>
      </c>
      <c r="M6" s="11" t="e">
        <f>E6*F6+G6*H6+#REF!*#REF!+I6*J6</f>
        <v>#REF!</v>
      </c>
    </row>
    <row r="7" spans="1:13" x14ac:dyDescent="0.25">
      <c r="A7" s="7" t="s">
        <v>7</v>
      </c>
      <c r="B7" s="8">
        <f t="shared" si="4"/>
        <v>6</v>
      </c>
      <c r="C7" s="8">
        <v>2</v>
      </c>
      <c r="D7" s="9">
        <v>2019</v>
      </c>
      <c r="E7" s="10">
        <f t="shared" si="0"/>
        <v>14562.035714285714</v>
      </c>
      <c r="F7" s="13">
        <f t="shared" si="5"/>
        <v>1.079</v>
      </c>
      <c r="G7" s="13">
        <f t="shared" si="1"/>
        <v>950.10714285714289</v>
      </c>
      <c r="H7" s="13">
        <f t="shared" si="6"/>
        <v>8.6999999999999993</v>
      </c>
      <c r="I7" s="13">
        <f t="shared" si="2"/>
        <v>230.07142857142858</v>
      </c>
      <c r="J7" s="13">
        <f t="shared" si="7"/>
        <v>11.4</v>
      </c>
      <c r="K7" s="10">
        <f t="shared" si="3"/>
        <v>129.32142857142858</v>
      </c>
      <c r="L7" s="10">
        <v>0</v>
      </c>
      <c r="M7" s="11" t="e">
        <f>E7*F7+G7*H7+#REF!*#REF!+I7*J7</f>
        <v>#REF!</v>
      </c>
    </row>
    <row r="8" spans="1:13" x14ac:dyDescent="0.25">
      <c r="A8" s="7" t="s">
        <v>7</v>
      </c>
      <c r="B8" s="8">
        <f t="shared" si="4"/>
        <v>7</v>
      </c>
      <c r="C8" s="8">
        <v>2</v>
      </c>
      <c r="D8" s="9">
        <v>2019</v>
      </c>
      <c r="E8" s="10">
        <f t="shared" si="0"/>
        <v>14562.035714285714</v>
      </c>
      <c r="F8" s="13">
        <f t="shared" si="5"/>
        <v>1.079</v>
      </c>
      <c r="G8" s="13">
        <f t="shared" si="1"/>
        <v>950.10714285714289</v>
      </c>
      <c r="H8" s="13">
        <f t="shared" si="6"/>
        <v>8.6999999999999993</v>
      </c>
      <c r="I8" s="13">
        <f t="shared" si="2"/>
        <v>230.07142857142858</v>
      </c>
      <c r="J8" s="13">
        <f t="shared" si="7"/>
        <v>11.4</v>
      </c>
      <c r="K8" s="10">
        <f t="shared" si="3"/>
        <v>129.32142857142858</v>
      </c>
      <c r="L8" s="10">
        <v>0</v>
      </c>
      <c r="M8" s="11" t="e">
        <f>E8*F8+G8*H8+#REF!*#REF!+I8*J8</f>
        <v>#REF!</v>
      </c>
    </row>
    <row r="9" spans="1:13" x14ac:dyDescent="0.25">
      <c r="A9" s="7" t="s">
        <v>7</v>
      </c>
      <c r="B9" s="8">
        <f t="shared" si="4"/>
        <v>8</v>
      </c>
      <c r="C9" s="8">
        <v>2</v>
      </c>
      <c r="D9" s="9">
        <v>2019</v>
      </c>
      <c r="E9" s="10">
        <f t="shared" si="0"/>
        <v>14562.035714285714</v>
      </c>
      <c r="F9" s="13">
        <f t="shared" si="5"/>
        <v>1.079</v>
      </c>
      <c r="G9" s="13">
        <f t="shared" si="1"/>
        <v>950.10714285714289</v>
      </c>
      <c r="H9" s="13">
        <f t="shared" si="6"/>
        <v>8.6999999999999993</v>
      </c>
      <c r="I9" s="13">
        <f t="shared" si="2"/>
        <v>230.07142857142858</v>
      </c>
      <c r="J9" s="13">
        <f t="shared" si="7"/>
        <v>11.4</v>
      </c>
      <c r="K9" s="10">
        <f t="shared" si="3"/>
        <v>129.32142857142858</v>
      </c>
      <c r="L9" s="10">
        <v>0</v>
      </c>
      <c r="M9" s="11" t="e">
        <f>E9*F9+G9*H9+#REF!*#REF!+I9*J9</f>
        <v>#REF!</v>
      </c>
    </row>
    <row r="10" spans="1:13" x14ac:dyDescent="0.25">
      <c r="A10" s="7" t="s">
        <v>7</v>
      </c>
      <c r="B10" s="8">
        <f t="shared" si="4"/>
        <v>9</v>
      </c>
      <c r="C10" s="8">
        <v>2</v>
      </c>
      <c r="D10" s="9">
        <v>2019</v>
      </c>
      <c r="E10" s="10">
        <f t="shared" si="0"/>
        <v>14562.035714285714</v>
      </c>
      <c r="F10" s="13">
        <f t="shared" si="5"/>
        <v>1.079</v>
      </c>
      <c r="G10" s="13">
        <f t="shared" si="1"/>
        <v>950.10714285714289</v>
      </c>
      <c r="H10" s="13">
        <f t="shared" si="6"/>
        <v>8.6999999999999993</v>
      </c>
      <c r="I10" s="13">
        <f t="shared" si="2"/>
        <v>230.07142857142858</v>
      </c>
      <c r="J10" s="13">
        <f t="shared" si="7"/>
        <v>11.4</v>
      </c>
      <c r="K10" s="10">
        <f t="shared" si="3"/>
        <v>129.32142857142858</v>
      </c>
      <c r="L10" s="10">
        <v>0</v>
      </c>
      <c r="M10" s="11" t="e">
        <f>E10*F10+G10*H10+#REF!*#REF!+I10*J10</f>
        <v>#REF!</v>
      </c>
    </row>
    <row r="11" spans="1:13" x14ac:dyDescent="0.25">
      <c r="A11" s="7" t="s">
        <v>7</v>
      </c>
      <c r="B11" s="8">
        <f t="shared" si="4"/>
        <v>10</v>
      </c>
      <c r="C11" s="8">
        <v>2</v>
      </c>
      <c r="D11" s="9">
        <v>2019</v>
      </c>
      <c r="E11" s="10">
        <f t="shared" si="0"/>
        <v>14562.035714285714</v>
      </c>
      <c r="F11" s="13">
        <f t="shared" si="5"/>
        <v>1.079</v>
      </c>
      <c r="G11" s="13">
        <f t="shared" si="1"/>
        <v>950.10714285714289</v>
      </c>
      <c r="H11" s="13">
        <f t="shared" si="6"/>
        <v>8.6999999999999993</v>
      </c>
      <c r="I11" s="13">
        <f t="shared" si="2"/>
        <v>230.07142857142858</v>
      </c>
      <c r="J11" s="13">
        <f t="shared" si="7"/>
        <v>11.4</v>
      </c>
      <c r="K11" s="10">
        <f t="shared" si="3"/>
        <v>129.32142857142858</v>
      </c>
      <c r="L11" s="10">
        <v>0</v>
      </c>
      <c r="M11" s="11" t="e">
        <f>E11*F11+G11*H11+#REF!*#REF!+I11*J11</f>
        <v>#REF!</v>
      </c>
    </row>
    <row r="12" spans="1:13" x14ac:dyDescent="0.25">
      <c r="A12" s="7" t="s">
        <v>7</v>
      </c>
      <c r="B12" s="8">
        <f t="shared" si="4"/>
        <v>11</v>
      </c>
      <c r="C12" s="8">
        <v>2</v>
      </c>
      <c r="D12" s="9">
        <v>2019</v>
      </c>
      <c r="E12" s="10">
        <f t="shared" si="0"/>
        <v>14562.035714285714</v>
      </c>
      <c r="F12" s="13">
        <f t="shared" si="5"/>
        <v>1.079</v>
      </c>
      <c r="G12" s="13">
        <f t="shared" si="1"/>
        <v>950.10714285714289</v>
      </c>
      <c r="H12" s="13">
        <f t="shared" si="6"/>
        <v>8.6999999999999993</v>
      </c>
      <c r="I12" s="13">
        <f t="shared" si="2"/>
        <v>230.07142857142858</v>
      </c>
      <c r="J12" s="13">
        <f t="shared" si="7"/>
        <v>11.4</v>
      </c>
      <c r="K12" s="10">
        <f t="shared" si="3"/>
        <v>129.32142857142858</v>
      </c>
      <c r="L12" s="10">
        <v>0</v>
      </c>
      <c r="M12" s="11" t="e">
        <f>E12*F12+G12*H12+#REF!*#REF!+I12*J12</f>
        <v>#REF!</v>
      </c>
    </row>
    <row r="13" spans="1:13" x14ac:dyDescent="0.25">
      <c r="A13" s="7" t="s">
        <v>7</v>
      </c>
      <c r="B13" s="8">
        <f t="shared" si="4"/>
        <v>12</v>
      </c>
      <c r="C13" s="8">
        <v>2</v>
      </c>
      <c r="D13" s="9">
        <v>2019</v>
      </c>
      <c r="E13" s="10">
        <f t="shared" si="0"/>
        <v>14562.035714285714</v>
      </c>
      <c r="F13" s="13">
        <f t="shared" si="5"/>
        <v>1.079</v>
      </c>
      <c r="G13" s="13">
        <f t="shared" si="1"/>
        <v>950.10714285714289</v>
      </c>
      <c r="H13" s="13">
        <f t="shared" si="6"/>
        <v>8.6999999999999993</v>
      </c>
      <c r="I13" s="13">
        <f t="shared" si="2"/>
        <v>230.07142857142858</v>
      </c>
      <c r="J13" s="13">
        <f t="shared" si="7"/>
        <v>11.4</v>
      </c>
      <c r="K13" s="10">
        <f t="shared" si="3"/>
        <v>129.32142857142858</v>
      </c>
      <c r="L13" s="10">
        <v>0</v>
      </c>
      <c r="M13" s="11" t="e">
        <f>E13*F13+G13*H13+#REF!*#REF!+I13*J13</f>
        <v>#REF!</v>
      </c>
    </row>
    <row r="14" spans="1:13" x14ac:dyDescent="0.25">
      <c r="A14" s="7" t="s">
        <v>7</v>
      </c>
      <c r="B14" s="8">
        <f t="shared" si="4"/>
        <v>13</v>
      </c>
      <c r="C14" s="8">
        <v>2</v>
      </c>
      <c r="D14" s="9">
        <v>2019</v>
      </c>
      <c r="E14" s="10">
        <f t="shared" si="0"/>
        <v>14562.035714285714</v>
      </c>
      <c r="F14" s="13">
        <f t="shared" si="5"/>
        <v>1.079</v>
      </c>
      <c r="G14" s="13">
        <f t="shared" si="1"/>
        <v>950.10714285714289</v>
      </c>
      <c r="H14" s="13">
        <f t="shared" si="6"/>
        <v>8.6999999999999993</v>
      </c>
      <c r="I14" s="13">
        <f t="shared" si="2"/>
        <v>230.07142857142858</v>
      </c>
      <c r="J14" s="13">
        <f t="shared" si="7"/>
        <v>11.4</v>
      </c>
      <c r="K14" s="10">
        <f t="shared" si="3"/>
        <v>129.32142857142858</v>
      </c>
      <c r="L14" s="10">
        <v>0</v>
      </c>
      <c r="M14" s="11" t="e">
        <f>E14*F14+G14*H14+#REF!*#REF!+I14*J14</f>
        <v>#REF!</v>
      </c>
    </row>
    <row r="15" spans="1:13" x14ac:dyDescent="0.25">
      <c r="A15" s="7" t="s">
        <v>7</v>
      </c>
      <c r="B15" s="8">
        <f t="shared" si="4"/>
        <v>14</v>
      </c>
      <c r="C15" s="8">
        <v>2</v>
      </c>
      <c r="D15" s="9">
        <v>2019</v>
      </c>
      <c r="E15" s="10">
        <f t="shared" si="0"/>
        <v>14562.035714285714</v>
      </c>
      <c r="F15" s="13">
        <f t="shared" si="5"/>
        <v>1.079</v>
      </c>
      <c r="G15" s="13">
        <f t="shared" si="1"/>
        <v>950.10714285714289</v>
      </c>
      <c r="H15" s="13">
        <f t="shared" si="6"/>
        <v>8.6999999999999993</v>
      </c>
      <c r="I15" s="13">
        <f t="shared" si="2"/>
        <v>230.07142857142858</v>
      </c>
      <c r="J15" s="13">
        <f t="shared" si="7"/>
        <v>11.4</v>
      </c>
      <c r="K15" s="10">
        <f t="shared" si="3"/>
        <v>129.32142857142858</v>
      </c>
      <c r="L15" s="10">
        <v>0</v>
      </c>
      <c r="M15" s="11" t="e">
        <f>E15*F15+G15*H15+#REF!*#REF!+I15*J15</f>
        <v>#REF!</v>
      </c>
    </row>
    <row r="16" spans="1:13" x14ac:dyDescent="0.25">
      <c r="A16" s="7" t="s">
        <v>7</v>
      </c>
      <c r="B16" s="8">
        <f t="shared" si="4"/>
        <v>15</v>
      </c>
      <c r="C16" s="8">
        <v>2</v>
      </c>
      <c r="D16" s="9">
        <v>2019</v>
      </c>
      <c r="E16" s="10">
        <f t="shared" si="0"/>
        <v>14562.035714285714</v>
      </c>
      <c r="F16" s="13">
        <f t="shared" si="5"/>
        <v>1.079</v>
      </c>
      <c r="G16" s="13">
        <f t="shared" si="1"/>
        <v>950.10714285714289</v>
      </c>
      <c r="H16" s="13">
        <f t="shared" si="6"/>
        <v>8.6999999999999993</v>
      </c>
      <c r="I16" s="13">
        <f t="shared" si="2"/>
        <v>230.07142857142858</v>
      </c>
      <c r="J16" s="13">
        <f t="shared" si="7"/>
        <v>11.4</v>
      </c>
      <c r="K16" s="10">
        <f t="shared" si="3"/>
        <v>129.32142857142858</v>
      </c>
      <c r="L16" s="10">
        <v>0</v>
      </c>
      <c r="M16" s="11" t="e">
        <f>E16*F16+G16*H16+#REF!*#REF!+I16*J16</f>
        <v>#REF!</v>
      </c>
    </row>
    <row r="17" spans="1:13" x14ac:dyDescent="0.25">
      <c r="A17" s="7" t="s">
        <v>7</v>
      </c>
      <c r="B17" s="8">
        <f t="shared" si="4"/>
        <v>16</v>
      </c>
      <c r="C17" s="8">
        <v>2</v>
      </c>
      <c r="D17" s="9">
        <v>2019</v>
      </c>
      <c r="E17" s="10">
        <f t="shared" si="0"/>
        <v>14562.035714285714</v>
      </c>
      <c r="F17" s="13">
        <f t="shared" si="5"/>
        <v>1.079</v>
      </c>
      <c r="G17" s="13">
        <f t="shared" si="1"/>
        <v>950.10714285714289</v>
      </c>
      <c r="H17" s="13">
        <f t="shared" si="6"/>
        <v>8.6999999999999993</v>
      </c>
      <c r="I17" s="13">
        <f t="shared" si="2"/>
        <v>230.07142857142858</v>
      </c>
      <c r="J17" s="13">
        <f t="shared" si="7"/>
        <v>11.4</v>
      </c>
      <c r="K17" s="10">
        <f t="shared" si="3"/>
        <v>129.32142857142858</v>
      </c>
      <c r="L17" s="10">
        <v>0</v>
      </c>
      <c r="M17" s="11" t="e">
        <f>E17*F17+G17*H17+#REF!*#REF!+I17*J17</f>
        <v>#REF!</v>
      </c>
    </row>
    <row r="18" spans="1:13" x14ac:dyDescent="0.25">
      <c r="A18" s="7" t="s">
        <v>7</v>
      </c>
      <c r="B18" s="8">
        <f t="shared" si="4"/>
        <v>17</v>
      </c>
      <c r="C18" s="8">
        <v>2</v>
      </c>
      <c r="D18" s="9">
        <v>2019</v>
      </c>
      <c r="E18" s="10">
        <f t="shared" si="0"/>
        <v>14562.035714285714</v>
      </c>
      <c r="F18" s="13">
        <f t="shared" si="5"/>
        <v>1.079</v>
      </c>
      <c r="G18" s="13">
        <f t="shared" si="1"/>
        <v>950.10714285714289</v>
      </c>
      <c r="H18" s="13">
        <f t="shared" si="6"/>
        <v>8.6999999999999993</v>
      </c>
      <c r="I18" s="13">
        <f t="shared" si="2"/>
        <v>230.07142857142858</v>
      </c>
      <c r="J18" s="13">
        <f t="shared" si="7"/>
        <v>11.4</v>
      </c>
      <c r="K18" s="10">
        <f t="shared" si="3"/>
        <v>129.32142857142858</v>
      </c>
      <c r="L18" s="10">
        <v>0</v>
      </c>
      <c r="M18" s="11" t="e">
        <f>E18*F18+G18*H18+#REF!*#REF!+I18*J18</f>
        <v>#REF!</v>
      </c>
    </row>
    <row r="19" spans="1:13" x14ac:dyDescent="0.25">
      <c r="A19" s="7" t="s">
        <v>7</v>
      </c>
      <c r="B19" s="8">
        <f t="shared" si="4"/>
        <v>18</v>
      </c>
      <c r="C19" s="8">
        <v>2</v>
      </c>
      <c r="D19" s="9">
        <v>2019</v>
      </c>
      <c r="E19" s="10">
        <f t="shared" si="0"/>
        <v>14562.035714285714</v>
      </c>
      <c r="F19" s="13">
        <f t="shared" si="5"/>
        <v>1.079</v>
      </c>
      <c r="G19" s="13">
        <f t="shared" si="1"/>
        <v>950.10714285714289</v>
      </c>
      <c r="H19" s="13">
        <f t="shared" si="6"/>
        <v>8.6999999999999993</v>
      </c>
      <c r="I19" s="13">
        <f t="shared" si="2"/>
        <v>230.07142857142858</v>
      </c>
      <c r="J19" s="13">
        <f t="shared" si="7"/>
        <v>11.4</v>
      </c>
      <c r="K19" s="10">
        <f t="shared" si="3"/>
        <v>129.32142857142858</v>
      </c>
      <c r="L19" s="10">
        <v>0</v>
      </c>
      <c r="M19" s="11" t="e">
        <f>E19*F19+G19*H19+#REF!*#REF!+I19*J19</f>
        <v>#REF!</v>
      </c>
    </row>
    <row r="20" spans="1:13" x14ac:dyDescent="0.25">
      <c r="A20" s="7" t="s">
        <v>7</v>
      </c>
      <c r="B20" s="8">
        <f t="shared" si="4"/>
        <v>19</v>
      </c>
      <c r="C20" s="8">
        <v>2</v>
      </c>
      <c r="D20" s="9">
        <v>2019</v>
      </c>
      <c r="E20" s="10">
        <f t="shared" si="0"/>
        <v>14562.035714285714</v>
      </c>
      <c r="F20" s="13">
        <f t="shared" si="5"/>
        <v>1.079</v>
      </c>
      <c r="G20" s="13">
        <f t="shared" si="1"/>
        <v>950.10714285714289</v>
      </c>
      <c r="H20" s="13">
        <f t="shared" si="6"/>
        <v>8.6999999999999993</v>
      </c>
      <c r="I20" s="13">
        <f t="shared" si="2"/>
        <v>230.07142857142858</v>
      </c>
      <c r="J20" s="13">
        <f t="shared" si="7"/>
        <v>11.4</v>
      </c>
      <c r="K20" s="10">
        <f t="shared" si="3"/>
        <v>129.32142857142858</v>
      </c>
      <c r="L20" s="10">
        <v>0</v>
      </c>
      <c r="M20" s="11" t="e">
        <f>E20*F20+G20*H20+#REF!*#REF!+I20*J20</f>
        <v>#REF!</v>
      </c>
    </row>
    <row r="21" spans="1:13" x14ac:dyDescent="0.25">
      <c r="A21" s="7" t="s">
        <v>7</v>
      </c>
      <c r="B21" s="8">
        <f t="shared" si="4"/>
        <v>20</v>
      </c>
      <c r="C21" s="8">
        <v>2</v>
      </c>
      <c r="D21" s="9">
        <v>2019</v>
      </c>
      <c r="E21" s="10">
        <f t="shared" si="0"/>
        <v>14562.035714285714</v>
      </c>
      <c r="F21" s="13">
        <f t="shared" si="5"/>
        <v>1.079</v>
      </c>
      <c r="G21" s="13">
        <f t="shared" si="1"/>
        <v>950.10714285714289</v>
      </c>
      <c r="H21" s="13">
        <f t="shared" si="6"/>
        <v>8.6999999999999993</v>
      </c>
      <c r="I21" s="13">
        <f t="shared" si="2"/>
        <v>230.07142857142858</v>
      </c>
      <c r="J21" s="13">
        <f t="shared" si="7"/>
        <v>11.4</v>
      </c>
      <c r="K21" s="10">
        <f t="shared" si="3"/>
        <v>129.32142857142858</v>
      </c>
      <c r="L21" s="10">
        <v>0</v>
      </c>
      <c r="M21" s="11" t="e">
        <f>E21*F21+G21*H21+#REF!*#REF!+I21*J21</f>
        <v>#REF!</v>
      </c>
    </row>
    <row r="22" spans="1:13" x14ac:dyDescent="0.25">
      <c r="A22" s="7" t="s">
        <v>7</v>
      </c>
      <c r="B22" s="8">
        <f t="shared" si="4"/>
        <v>21</v>
      </c>
      <c r="C22" s="8">
        <v>2</v>
      </c>
      <c r="D22" s="9">
        <v>2019</v>
      </c>
      <c r="E22" s="10">
        <f t="shared" si="0"/>
        <v>14562.035714285714</v>
      </c>
      <c r="F22" s="13">
        <f t="shared" si="5"/>
        <v>1.079</v>
      </c>
      <c r="G22" s="13">
        <f t="shared" si="1"/>
        <v>950.10714285714289</v>
      </c>
      <c r="H22" s="13">
        <f t="shared" si="6"/>
        <v>8.6999999999999993</v>
      </c>
      <c r="I22" s="13">
        <f t="shared" si="2"/>
        <v>230.07142857142858</v>
      </c>
      <c r="J22" s="13">
        <f t="shared" si="7"/>
        <v>11.4</v>
      </c>
      <c r="K22" s="10">
        <f t="shared" si="3"/>
        <v>129.32142857142858</v>
      </c>
      <c r="L22" s="10">
        <v>0</v>
      </c>
      <c r="M22" s="11" t="e">
        <f>E22*F22+G22*H22+#REF!*#REF!+I22*J22</f>
        <v>#REF!</v>
      </c>
    </row>
    <row r="23" spans="1:13" x14ac:dyDescent="0.25">
      <c r="A23" s="7" t="s">
        <v>7</v>
      </c>
      <c r="B23" s="8">
        <f t="shared" si="4"/>
        <v>22</v>
      </c>
      <c r="C23" s="8">
        <v>2</v>
      </c>
      <c r="D23" s="9">
        <v>2019</v>
      </c>
      <c r="E23" s="10">
        <f t="shared" si="0"/>
        <v>14562.035714285714</v>
      </c>
      <c r="F23" s="13">
        <f t="shared" si="5"/>
        <v>1.079</v>
      </c>
      <c r="G23" s="13">
        <f t="shared" si="1"/>
        <v>950.10714285714289</v>
      </c>
      <c r="H23" s="13">
        <f t="shared" si="6"/>
        <v>8.6999999999999993</v>
      </c>
      <c r="I23" s="13">
        <f t="shared" si="2"/>
        <v>230.07142857142858</v>
      </c>
      <c r="J23" s="13">
        <f t="shared" si="7"/>
        <v>11.4</v>
      </c>
      <c r="K23" s="10">
        <f t="shared" si="3"/>
        <v>129.32142857142858</v>
      </c>
      <c r="L23" s="10">
        <v>0</v>
      </c>
      <c r="M23" s="11" t="e">
        <f>E23*F23+G23*H23+#REF!*#REF!+I23*J23</f>
        <v>#REF!</v>
      </c>
    </row>
    <row r="24" spans="1:13" x14ac:dyDescent="0.25">
      <c r="A24" s="7" t="s">
        <v>7</v>
      </c>
      <c r="B24" s="8">
        <f t="shared" si="4"/>
        <v>23</v>
      </c>
      <c r="C24" s="8">
        <v>2</v>
      </c>
      <c r="D24" s="9">
        <v>2019</v>
      </c>
      <c r="E24" s="10">
        <f t="shared" si="0"/>
        <v>14562.035714285714</v>
      </c>
      <c r="F24" s="13">
        <f t="shared" si="5"/>
        <v>1.079</v>
      </c>
      <c r="G24" s="13">
        <f t="shared" si="1"/>
        <v>950.10714285714289</v>
      </c>
      <c r="H24" s="13">
        <f t="shared" si="6"/>
        <v>8.6999999999999993</v>
      </c>
      <c r="I24" s="13">
        <f t="shared" si="2"/>
        <v>230.07142857142858</v>
      </c>
      <c r="J24" s="13">
        <f t="shared" si="7"/>
        <v>11.4</v>
      </c>
      <c r="K24" s="10">
        <f t="shared" si="3"/>
        <v>129.32142857142858</v>
      </c>
      <c r="L24" s="10">
        <v>0</v>
      </c>
      <c r="M24" s="11" t="e">
        <f>E24*F24+G24*H24+#REF!*#REF!+I24*J24</f>
        <v>#REF!</v>
      </c>
    </row>
    <row r="25" spans="1:13" x14ac:dyDescent="0.25">
      <c r="A25" s="7" t="s">
        <v>7</v>
      </c>
      <c r="B25" s="8">
        <f t="shared" si="4"/>
        <v>24</v>
      </c>
      <c r="C25" s="8">
        <v>2</v>
      </c>
      <c r="D25" s="9">
        <v>2019</v>
      </c>
      <c r="E25" s="10">
        <f t="shared" si="0"/>
        <v>14562.035714285714</v>
      </c>
      <c r="F25" s="13">
        <f t="shared" si="5"/>
        <v>1.079</v>
      </c>
      <c r="G25" s="13">
        <f t="shared" si="1"/>
        <v>950.10714285714289</v>
      </c>
      <c r="H25" s="13">
        <f t="shared" si="6"/>
        <v>8.6999999999999993</v>
      </c>
      <c r="I25" s="13">
        <f t="shared" si="2"/>
        <v>230.07142857142858</v>
      </c>
      <c r="J25" s="13">
        <f t="shared" si="7"/>
        <v>11.4</v>
      </c>
      <c r="K25" s="10">
        <f t="shared" si="3"/>
        <v>129.32142857142858</v>
      </c>
      <c r="L25" s="10">
        <v>0</v>
      </c>
      <c r="M25" s="11" t="e">
        <f>E25*F25+G25*H25+#REF!*#REF!+I25*J25</f>
        <v>#REF!</v>
      </c>
    </row>
    <row r="26" spans="1:13" x14ac:dyDescent="0.25">
      <c r="A26" s="7" t="s">
        <v>7</v>
      </c>
      <c r="B26" s="8">
        <f>B25+1</f>
        <v>25</v>
      </c>
      <c r="C26" s="8">
        <v>2</v>
      </c>
      <c r="D26" s="9">
        <v>2019</v>
      </c>
      <c r="E26" s="10">
        <f t="shared" si="0"/>
        <v>14562.035714285714</v>
      </c>
      <c r="F26" s="13">
        <f t="shared" si="5"/>
        <v>1.079</v>
      </c>
      <c r="G26" s="13">
        <f t="shared" si="1"/>
        <v>950.10714285714289</v>
      </c>
      <c r="H26" s="13">
        <f t="shared" si="6"/>
        <v>8.6999999999999993</v>
      </c>
      <c r="I26" s="13">
        <f t="shared" si="2"/>
        <v>230.07142857142858</v>
      </c>
      <c r="J26" s="13">
        <f t="shared" si="7"/>
        <v>11.4</v>
      </c>
      <c r="K26" s="10">
        <f t="shared" si="3"/>
        <v>129.32142857142858</v>
      </c>
      <c r="L26" s="10">
        <v>0</v>
      </c>
      <c r="M26" s="11" t="e">
        <f>E26*F26+G26*H26+#REF!*#REF!+I26*J26</f>
        <v>#REF!</v>
      </c>
    </row>
    <row r="27" spans="1:13" x14ac:dyDescent="0.25">
      <c r="A27" s="7" t="s">
        <v>7</v>
      </c>
      <c r="B27" s="8">
        <f t="shared" si="4"/>
        <v>26</v>
      </c>
      <c r="C27" s="8">
        <v>2</v>
      </c>
      <c r="D27" s="9">
        <v>2019</v>
      </c>
      <c r="E27" s="10">
        <f t="shared" si="0"/>
        <v>14562.035714285714</v>
      </c>
      <c r="F27" s="13">
        <f t="shared" si="5"/>
        <v>1.079</v>
      </c>
      <c r="G27" s="13">
        <f t="shared" si="1"/>
        <v>950.10714285714289</v>
      </c>
      <c r="H27" s="13">
        <f t="shared" si="6"/>
        <v>8.6999999999999993</v>
      </c>
      <c r="I27" s="13">
        <f t="shared" si="2"/>
        <v>230.07142857142858</v>
      </c>
      <c r="J27" s="13">
        <f t="shared" si="7"/>
        <v>11.4</v>
      </c>
      <c r="K27" s="10">
        <f t="shared" si="3"/>
        <v>129.32142857142858</v>
      </c>
      <c r="L27" s="10">
        <v>0</v>
      </c>
      <c r="M27" s="11" t="e">
        <f>E27*F27+G27*H27+#REF!*#REF!+I27*J27</f>
        <v>#REF!</v>
      </c>
    </row>
    <row r="28" spans="1:13" x14ac:dyDescent="0.25">
      <c r="A28" s="7" t="s">
        <v>7</v>
      </c>
      <c r="B28" s="8">
        <f t="shared" si="4"/>
        <v>27</v>
      </c>
      <c r="C28" s="8">
        <v>2</v>
      </c>
      <c r="D28" s="9">
        <v>2019</v>
      </c>
      <c r="E28" s="10">
        <f t="shared" si="0"/>
        <v>14562.035714285714</v>
      </c>
      <c r="F28" s="13">
        <f t="shared" si="5"/>
        <v>1.079</v>
      </c>
      <c r="G28" s="13">
        <f t="shared" si="1"/>
        <v>950.10714285714289</v>
      </c>
      <c r="H28" s="13">
        <f t="shared" si="6"/>
        <v>8.6999999999999993</v>
      </c>
      <c r="I28" s="13">
        <f t="shared" si="2"/>
        <v>230.07142857142858</v>
      </c>
      <c r="J28" s="13">
        <f t="shared" si="7"/>
        <v>11.4</v>
      </c>
      <c r="K28" s="10">
        <f t="shared" si="3"/>
        <v>129.32142857142858</v>
      </c>
      <c r="L28" s="10">
        <v>0</v>
      </c>
      <c r="M28" s="11" t="e">
        <f>E28*F28+G28*H28+#REF!*#REF!+I28*J28</f>
        <v>#REF!</v>
      </c>
    </row>
    <row r="29" spans="1:13" x14ac:dyDescent="0.25">
      <c r="A29" s="7" t="s">
        <v>7</v>
      </c>
      <c r="B29" s="8">
        <f t="shared" si="4"/>
        <v>28</v>
      </c>
      <c r="C29" s="8">
        <v>2</v>
      </c>
      <c r="D29" s="9">
        <v>2019</v>
      </c>
      <c r="E29" s="10">
        <f t="shared" si="0"/>
        <v>14562.035714285714</v>
      </c>
      <c r="F29" s="13">
        <f t="shared" si="5"/>
        <v>1.079</v>
      </c>
      <c r="G29" s="13">
        <f t="shared" si="1"/>
        <v>950.10714285714289</v>
      </c>
      <c r="H29" s="13">
        <f t="shared" si="6"/>
        <v>8.6999999999999993</v>
      </c>
      <c r="I29" s="13">
        <f t="shared" si="2"/>
        <v>230.07142857142858</v>
      </c>
      <c r="J29" s="13">
        <f t="shared" si="7"/>
        <v>11.4</v>
      </c>
      <c r="K29" s="10">
        <f t="shared" si="3"/>
        <v>129.32142857142858</v>
      </c>
      <c r="L29" s="10">
        <v>0</v>
      </c>
      <c r="M29" s="11" t="e">
        <f>E29*F29+G29*H29+#REF!*#REF!+I29*J29</f>
        <v>#REF!</v>
      </c>
    </row>
    <row r="30" spans="1:13" x14ac:dyDescent="0.25">
      <c r="F30" s="13"/>
      <c r="G30" s="13"/>
      <c r="H30" s="13"/>
      <c r="I30" s="13"/>
      <c r="J30" s="13"/>
    </row>
    <row r="31" spans="1:13" x14ac:dyDescent="0.25">
      <c r="F31" s="13"/>
      <c r="G31" s="13"/>
      <c r="H31" s="13"/>
      <c r="I31" s="13"/>
      <c r="J31" s="13"/>
    </row>
    <row r="32" spans="1:13" x14ac:dyDescent="0.25">
      <c r="F32" s="13"/>
      <c r="G32" s="13"/>
      <c r="H32" s="13"/>
      <c r="I32" s="13"/>
      <c r="J32" s="13"/>
    </row>
    <row r="33" spans="6:10" x14ac:dyDescent="0.25">
      <c r="F33" s="13"/>
      <c r="G33" s="13"/>
      <c r="H33" s="13"/>
      <c r="I33" s="13"/>
      <c r="J33" s="13"/>
    </row>
    <row r="34" spans="6:10" x14ac:dyDescent="0.25">
      <c r="F34" s="13"/>
      <c r="G34" s="13"/>
      <c r="H34" s="13"/>
      <c r="I34" s="13"/>
      <c r="J34" s="13"/>
    </row>
    <row r="35" spans="6:10" x14ac:dyDescent="0.25">
      <c r="F35" s="13"/>
      <c r="G35" s="13"/>
      <c r="H35" s="13"/>
      <c r="I35" s="13"/>
      <c r="J35" s="13"/>
    </row>
    <row r="36" spans="6:10" x14ac:dyDescent="0.25">
      <c r="F36" s="13"/>
      <c r="G36" s="13"/>
      <c r="H36" s="13"/>
      <c r="I36" s="13"/>
      <c r="J3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2019-04-13T09:08:09Z</dcterms:created>
  <dcterms:modified xsi:type="dcterms:W3CDTF">2020-02-11T08:09:04Z</dcterms:modified>
</cp:coreProperties>
</file>