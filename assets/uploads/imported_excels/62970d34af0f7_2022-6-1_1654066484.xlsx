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90" yWindow="60" windowWidth="14325" windowHeight="1180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5" i="76"/>
  <c r="B6" s="1"/>
  <c r="B8"/>
  <c r="B9" s="1"/>
  <c r="B10" s="1"/>
  <c r="B16"/>
  <c r="B17" s="1"/>
  <c r="B20"/>
  <c r="B21"/>
  <c r="B23"/>
  <c r="B24" s="1"/>
  <c r="B25" s="1"/>
  <c r="B26" s="1"/>
  <c r="B27" s="1"/>
  <c r="B28" s="1"/>
  <c r="B30"/>
  <c r="B31"/>
  <c r="B32" s="1"/>
  <c r="B33" s="1"/>
  <c r="B4"/>
  <c r="H4"/>
  <c r="J4"/>
  <c r="D23" i="2" l="1"/>
  <c r="D24" s="1"/>
  <c r="D30" s="1"/>
  <c r="D31" s="1"/>
  <c r="H7" i="3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6"/>
  <c r="B2"/>
  <c r="B3" s="1"/>
  <c r="B4" s="1"/>
  <c r="C5" s="1"/>
  <c r="B9"/>
  <c r="B15"/>
  <c r="B16" s="1"/>
  <c r="B22" s="1"/>
  <c r="B23" s="1"/>
  <c r="B29" s="1"/>
  <c r="B30" s="1"/>
  <c r="Q7" i="2"/>
  <c r="M7"/>
  <c r="K7"/>
  <c r="I7"/>
  <c r="G7"/>
  <c r="E7"/>
  <c r="H23" i="3" l="1"/>
  <c r="H24" s="1"/>
  <c r="H25" s="1"/>
  <c r="H26" s="1"/>
  <c r="H27" s="1"/>
  <c r="H28" s="1"/>
  <c r="H29" s="1"/>
  <c r="H30" s="1"/>
  <c r="H31" s="1"/>
  <c r="H32" s="1"/>
  <c r="H33" s="1"/>
  <c r="H22"/>
  <c r="N7" i="2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9" s="1"/>
  <c r="F20" s="1"/>
  <c r="F21" s="1"/>
  <c r="F22" s="1"/>
  <c r="F23" s="1"/>
  <c r="F24" s="1"/>
  <c r="F25" s="1"/>
  <c r="F26" s="1"/>
  <c r="F27" s="1"/>
  <c r="F28" s="1"/>
  <c r="F30" s="1"/>
  <c r="F31" s="1"/>
  <c r="F32" s="1"/>
  <c r="F33" s="1"/>
  <c r="F34" s="1"/>
  <c r="H5"/>
  <c r="H6" s="1"/>
  <c r="H8" s="1"/>
  <c r="H9" s="1"/>
  <c r="H10" s="1"/>
  <c r="H16" s="1"/>
  <c r="H17" s="1"/>
  <c r="H20" s="1"/>
  <c r="H21" s="1"/>
  <c r="H23" s="1"/>
  <c r="H24" s="1"/>
  <c r="H25" s="1"/>
  <c r="H26" s="1"/>
  <c r="H27" s="1"/>
  <c r="H28" s="1"/>
  <c r="H30" s="1"/>
  <c r="H31" s="1"/>
  <c r="H32" s="1"/>
  <c r="H33" s="1"/>
  <c r="H34" s="1"/>
  <c r="J5"/>
  <c r="J6" s="1"/>
  <c r="J7" s="1"/>
  <c r="J8" s="1"/>
  <c r="J10" s="1"/>
  <c r="AT37" i="7"/>
  <c r="AJ31" i="3"/>
  <c r="AJ32"/>
  <c r="AJ33"/>
  <c r="J3"/>
  <c r="J4" s="1"/>
  <c r="J7" s="1"/>
  <c r="J8" s="1"/>
  <c r="J9" s="1"/>
  <c r="J10" s="1"/>
  <c r="J11" s="1"/>
  <c r="J12" s="1"/>
  <c r="J14" s="1"/>
  <c r="J15" s="1"/>
  <c r="J16" s="1"/>
  <c r="J17" s="1"/>
  <c r="J18" s="1"/>
  <c r="J19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5" s="1"/>
  <c r="R26" s="1"/>
  <c r="R27" s="1"/>
  <c r="R28" s="1"/>
  <c r="R29" s="1"/>
  <c r="R30" s="1"/>
  <c r="R31" s="1"/>
  <c r="R32" s="1"/>
  <c r="AT6" i="5"/>
  <c r="AT7" s="1"/>
  <c r="AT8" s="1"/>
  <c r="AT11" s="1"/>
  <c r="AT12" s="1"/>
  <c r="AT13" s="1"/>
  <c r="AT17" s="1"/>
  <c r="AT18" s="1"/>
  <c r="AT19" s="1"/>
  <c r="AT21" s="1"/>
  <c r="AT25" s="1"/>
  <c r="AT26" s="1"/>
  <c r="AT28" s="1"/>
  <c r="AT32" s="1"/>
  <c r="AT33" s="1"/>
  <c r="AV6"/>
  <c r="AV7" s="1"/>
  <c r="AV8" s="1"/>
  <c r="AV11" s="1"/>
  <c r="AV12" s="1"/>
  <c r="AV18" s="1"/>
  <c r="AV19" s="1"/>
  <c r="AV25" s="1"/>
  <c r="AV26" s="1"/>
  <c r="AV32" s="1"/>
  <c r="AV33" s="1"/>
  <c r="AX6"/>
  <c r="AX7" s="1"/>
  <c r="AX8" s="1"/>
  <c r="AX11" s="1"/>
  <c r="AX12" s="1"/>
  <c r="AX18" s="1"/>
  <c r="AX19" s="1"/>
  <c r="AX25" s="1"/>
  <c r="AX26" s="1"/>
  <c r="AX27" s="1"/>
  <c r="AX32" s="1"/>
  <c r="AX33" s="1"/>
  <c r="G6"/>
  <c r="G7" s="1"/>
  <c r="G8" s="1"/>
  <c r="G9" s="1"/>
  <c r="G11" s="1"/>
  <c r="G12" s="1"/>
  <c r="G13" s="1"/>
  <c r="G14" s="1"/>
  <c r="G17" s="1"/>
  <c r="G18" s="1"/>
  <c r="G19" s="1"/>
  <c r="G22" s="1"/>
  <c r="G23" s="1"/>
  <c r="G24" s="1"/>
  <c r="G25" s="1"/>
  <c r="G26" s="1"/>
  <c r="G28" s="1"/>
  <c r="G29" s="1"/>
  <c r="G30" s="1"/>
  <c r="G31" s="1"/>
  <c r="G32" s="1"/>
  <c r="G33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5"/>
  <c r="K6" s="1"/>
  <c r="K9" s="1"/>
  <c r="K10" s="1"/>
  <c r="K11" s="1"/>
  <c r="K17" s="1"/>
  <c r="K18" s="1"/>
  <c r="K20" s="1"/>
  <c r="K21" s="1"/>
  <c r="K22" s="1"/>
  <c r="K23" s="1"/>
  <c r="K24" s="1"/>
  <c r="K25" s="1"/>
  <c r="K26" s="1"/>
  <c r="K27" s="1"/>
  <c r="K28" s="1"/>
  <c r="K31" s="1"/>
  <c r="K32" s="1"/>
  <c r="K35" s="1"/>
  <c r="M5"/>
  <c r="M6" s="1"/>
  <c r="M10" s="1"/>
  <c r="M11" s="1"/>
  <c r="M17" s="1"/>
  <c r="M18" s="1"/>
  <c r="M20" s="1"/>
  <c r="M21" s="1"/>
  <c r="M22" s="1"/>
  <c r="M23" s="1"/>
  <c r="M24" s="1"/>
  <c r="M25" s="1"/>
  <c r="M26" s="1"/>
  <c r="M27" s="1"/>
  <c r="M31" s="1"/>
  <c r="M32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24" s="1"/>
  <c r="P25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24" s="1"/>
  <c r="Q25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5"/>
  <c r="B6" s="1"/>
  <c r="B10" s="1"/>
  <c r="B11" s="1"/>
  <c r="B17" s="1"/>
  <c r="B18" s="1"/>
  <c r="B24" s="1"/>
  <c r="B31" s="1"/>
  <c r="B32" s="1"/>
  <c r="F4" i="2"/>
  <c r="F5" s="1"/>
  <c r="H4"/>
  <c r="H5" s="1"/>
  <c r="J4"/>
  <c r="J5" s="1"/>
  <c r="L4"/>
  <c r="L5" s="1"/>
  <c r="P4"/>
  <c r="P5" s="1"/>
  <c r="D4"/>
  <c r="D5" s="1"/>
  <c r="C7" i="76" l="1"/>
  <c r="J16"/>
  <c r="J17" s="1"/>
  <c r="J20" s="1"/>
  <c r="J21" s="1"/>
  <c r="J23" s="1"/>
  <c r="J24" s="1"/>
  <c r="J25" s="1"/>
  <c r="J26" s="1"/>
  <c r="J27" s="1"/>
  <c r="J28" s="1"/>
  <c r="J30" s="1"/>
  <c r="J31" s="1"/>
  <c r="J32" s="1"/>
  <c r="J33" s="1"/>
  <c r="J34" s="1"/>
  <c r="W26" s="1"/>
  <c r="AA26" s="1"/>
  <c r="AB26" s="1"/>
  <c r="D9" i="2"/>
  <c r="D10" s="1"/>
  <c r="D16" s="1"/>
  <c r="D17" s="1"/>
  <c r="E6"/>
  <c r="P9"/>
  <c r="P10" s="1"/>
  <c r="P16" s="1"/>
  <c r="P17" s="1"/>
  <c r="P23" s="1"/>
  <c r="P24" s="1"/>
  <c r="P30" s="1"/>
  <c r="P31" s="1"/>
  <c r="Q6"/>
  <c r="J9"/>
  <c r="J10" s="1"/>
  <c r="J16" s="1"/>
  <c r="J17" s="1"/>
  <c r="J23" s="1"/>
  <c r="J24" s="1"/>
  <c r="J30" s="1"/>
  <c r="J31" s="1"/>
  <c r="K6"/>
  <c r="H9"/>
  <c r="H10" s="1"/>
  <c r="H16" s="1"/>
  <c r="H17" s="1"/>
  <c r="H23" s="1"/>
  <c r="H24" s="1"/>
  <c r="H30" s="1"/>
  <c r="H31" s="1"/>
  <c r="I6"/>
  <c r="L9"/>
  <c r="L10" s="1"/>
  <c r="L16" s="1"/>
  <c r="L17" s="1"/>
  <c r="L23" s="1"/>
  <c r="L24" s="1"/>
  <c r="L30" s="1"/>
  <c r="L31" s="1"/>
  <c r="M6"/>
  <c r="F9"/>
  <c r="F10" s="1"/>
  <c r="F16" s="1"/>
  <c r="F17" s="1"/>
  <c r="F23" s="1"/>
  <c r="F24" s="1"/>
  <c r="F30" s="1"/>
  <c r="F31" s="1"/>
  <c r="G6"/>
  <c r="C24" i="1"/>
  <c r="C31" s="1"/>
  <c r="C32" s="1"/>
  <c r="K6" i="5"/>
  <c r="C11" i="76" l="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R33" i="2"/>
  <c r="AD33" i="3"/>
  <c r="AI33" s="1"/>
  <c r="Y10"/>
  <c r="X12"/>
  <c r="Y11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R34" i="2" l="1"/>
  <c r="X13" i="3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E31" i="81"/>
  <c r="S33" i="76"/>
  <c r="L35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X5" i="1" l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3" s="1"/>
  <c r="Z24" s="1"/>
  <c r="Z25" s="1"/>
  <c r="Z26" s="1"/>
  <c r="Z27" s="1"/>
  <c r="Z28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E7" s="1"/>
  <c r="D11"/>
  <c r="E11" s="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G25" s="1"/>
  <c r="AG26" s="1"/>
  <c r="AG27" s="1"/>
  <c r="AG28" s="1"/>
  <c r="AG29" s="1"/>
  <c r="AG31" s="1"/>
  <c r="AG32" s="1"/>
  <c r="AG33" s="1"/>
  <c r="AG34" s="1"/>
  <c r="AG35" s="1"/>
  <c r="AG36" s="1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H36" i="5"/>
  <c r="AH35"/>
  <c r="AG33" i="1"/>
  <c r="AM33"/>
  <c r="AD34"/>
  <c r="AD35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V21" i="5"/>
  <c r="W20"/>
  <c r="AL20" s="1"/>
  <c r="AG4" i="3" l="1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V26" s="1"/>
  <c r="V27" s="1"/>
  <c r="V28" s="1"/>
  <c r="V29" s="1"/>
  <c r="V30" s="1"/>
  <c r="V31" s="1"/>
  <c r="V32" s="1"/>
  <c r="V33" s="1"/>
  <c r="V34" s="1"/>
  <c r="V35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F3" i="3" l="1"/>
  <c r="AB3" s="1"/>
  <c r="F4" l="1"/>
  <c r="AB4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8" s="1"/>
  <c r="AB29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T33" s="1"/>
  <c r="F31" i="81" s="1"/>
  <c r="O20" i="76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T34" s="1"/>
  <c r="F32" i="81" s="1"/>
  <c r="O11" i="76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s="1"/>
  <c r="AC3" s="1"/>
  <c r="AH3" s="1"/>
  <c r="I6" l="1"/>
  <c r="D7"/>
  <c r="I7"/>
  <c r="L28"/>
  <c r="M27"/>
  <c r="E4"/>
  <c r="AA4" s="1"/>
  <c r="AC4" s="1"/>
  <c r="AH4" s="1"/>
  <c r="D8" l="1"/>
  <c r="D9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  <c r="C18" i="77" l="1"/>
  <c r="E18" s="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<sst xmlns="http://schemas.openxmlformats.org/spreadsheetml/2006/main" count="666" uniqueCount="418">
  <si>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</si>
  <si>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</si>
  <si>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</si>
  <si>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</si>
  <si>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</si>
  <si>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</si>
  <si>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</si>
  <si>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</si>
  <si>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</si>
  <si>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</si>
  <si>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</si>
  <si>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</si>
  <si>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</si>
  <si>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</si>
  <si>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</si>
  <si>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</si>
  <si>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</si>
  <si>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</si>
  <si>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</si>
  <si>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</si>
  <si>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</si>
  <si>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</si>
  <si>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</si>
  <si>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</si>
  <si>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</si>
  <si>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</si>
  <si>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</si>
  <si>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</si>
  <si>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</si>
  <si>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</si>
  <si>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</si>
  <si>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</si>
  <si>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</si>
  <si>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</si>
  <si>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</si>
  <si>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</si>
  <si>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</si>
  <si>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</si>
  <si>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</si>
  <si>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</si>
  <si>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</si>
  <si>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</si>
  <si>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</si>
  <si>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</si>
  <si>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</si>
  <si>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</si>
  <si>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</si>
  <si>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</si>
  <si>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</si>
  <si>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</si>
  <si>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</si>
  <si>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</si>
  <si>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</si>
  <si>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</si>
  <si>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</si>
  <si>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</si>
  <si>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</si>
  <si>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</si>
  <si>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</si>
  <si>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</si>
  <si>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</si>
  <si>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</si>
  <si>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</si>
  <si>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</si>
  <si>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</si>
  <si>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</si>
  <si>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</si>
  <si>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</si>
  <si>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</si>
  <si>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</si>
  <si>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</si>
  <si>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</si>
  <si>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</si>
  <si>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</si>
  <si>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</si>
  <si>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</si>
  <si>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</si>
  <si>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</si>
  <si>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</si>
  <si>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</si>
  <si>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</si>
  <si>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</si>
  <si>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</si>
  <si>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</si>
  <si>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</si>
  <si>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</si>
  <si>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</si>
  <si>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</si>
  <si>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</si>
  <si>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</si>
  <si>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</si>
  <si>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</si>
  <si>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</si>
  <si>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</si>
  <si>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</si>
  <si>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</si>
  <si>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</si>
  <si>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</si>
  <si>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</si>
  <si>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</si>
  <si>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</si>
  <si>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</si>
  <si>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</si>
  <si>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</si>
  <si>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</si>
  <si>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</si>
  <si>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</si>
  <si>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</si>
  <si>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</si>
  <si>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</si>
  <si>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</si>
  <si>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</si>
  <si>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</si>
  <si>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</si>
  <si>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</si>
  <si>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</si>
  <si>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</si>
  <si>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</si>
  <si>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</si>
  <si>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</si>
  <si>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</si>
  <si>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</si>
  <si>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</si>
  <si>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</si>
  <si>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</si>
  <si>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</si>
  <si>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</si>
  <si>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</si>
  <si>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</si>
  <si>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</si>
  <si>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</si>
  <si>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</si>
  <si>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</si>
  <si>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</si>
  <si>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</si>
  <si>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</si>
  <si>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</si>
  <si>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</si>
  <si>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</si>
  <si>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</si>
  <si>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</si>
  <si>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</si>
  <si>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</si>
  <si>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</si>
  <si>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</si>
  <si>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</si>
  <si>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</si>
  <si>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</si>
  <si>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</si>
  <si>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</si>
  <si>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</si>
  <si>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</si>
  <si>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</si>
  <si>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</si>
  <si>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</si>
  <si>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</si>
  <si>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</si>
  <si>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</si>
  <si>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</si>
  <si>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</si>
  <si>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</si>
  <si>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</si>
  <si>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</si>
  <si>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</si>
  <si>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</si>
  <si>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</si>
  <si>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</si>
  <si>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</si>
  <si>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</si>
  <si>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</si>
  <si>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</si>
  <si>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</si>
  <si>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</si>
  <si>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</si>
  <si>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</si>
  <si>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</si>
  <si>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</si>
  <si>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</si>
  <si>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</si>
  <si>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</si>
  <si>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</si>
  <si>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</si>
  <si>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</si>
  <si>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</si>
  <si>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</si>
  <si>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</si>
  <si>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</si>
  <si>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</si>
  <si>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</si>
  <si>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</si>
  <si>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</si>
  <si>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</si>
  <si>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</si>
  <si>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</si>
  <si>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</si>
  <si>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</si>
  <si>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</si>
  <si>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</si>
  <si>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</si>
  <si>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</si>
  <si>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</si>
  <si>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</si>
  <si>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</si>
  <si>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</si>
  <si>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</si>
  <si>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</si>
  <si>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</si>
  <si>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</si>
  <si>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</si>
  <si>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</si>
  <si>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</si>
  <si>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</si>
  <si>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</si>
  <si>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</si>
  <si>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</si>
  <si>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</si>
  <si>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</si>
  <si>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</si>
  <si>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</si>
  <si>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</si>
  <si>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</si>
  <si>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</si>
  <si>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</si>
  <si>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</si>
  <si>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</si>
  <si>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</si>
  <si>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</si>
  <si>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</si>
  <si>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</si>
  <si>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</si>
  <si>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</si>
  <si>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</si>
  <si>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</si>
  <si>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</si>
  <si>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</si>
  <si>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</si>
  <si>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</si>
  <si>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</si>
  <si>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</si>
  <si>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</si>
  <si>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</si>
  <si>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</si>
  <si>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</si>
  <si>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</si>
  <si>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</si>
  <si>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</si>
  <si>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</si>
  <si>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</si>
  <si>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</si>
  <si>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</si>
  <si>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</si>
  <si>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</si>
  <si>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</si>
  <si>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</si>
  <si>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</si>
  <si>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</si>
  <si>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</si>
  <si>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</si>
  <si>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</si>
  <si>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</si>
  <si>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</si>
  <si>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</si>
  <si>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</si>
  <si>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</si>
  <si>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</si>
  <si>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</si>
  <si>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</si>
  <si>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</si>
  <si>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</si>
  <si>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</si>
  <si>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</si>
  <si>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</si>
  <si>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</si>
  <si>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</si>
  <si>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</si>
  <si>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</si>
  <si>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</si>
  <si>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</si>
  <si>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</si>
  <si>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</si>
  <si>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</si>
  <si>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</si>
  <si>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</si>
  <si>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</si>
  <si>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</si>
  <si>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</si>
  <si>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</si>
  <si>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</si>
  <si>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</si>
  <si>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</si>
  <si>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</si>
  <si>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</si>
  <si>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</si>
  <si>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</si>
  <si>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</si>
  <si>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</si>
  <si>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</si>
  <si>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</si>
  <si>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</si>
  <si>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</si>
  <si>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</si>
  <si>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</si>
  <si>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</si>
  <si>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</si>
  <si>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</si>
  <si>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</si>
  <si>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</si>
  <si>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</si>
  <si>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</si>
  <si>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</si>
  <si>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</si>
  <si>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</si>
  <si>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</si>
  <si>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</si>
  <si>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</si>
  <si>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</si>
  <si>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</si>
  <si>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</si>
  <si>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</si>
  <si>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</si>
  <si>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</si>
  <si>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</si>
  <si>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</si>
  <si>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</si>
  <si>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</si>
  <si>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</si>
  <si>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</si>
  <si>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</si>
  <si>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</si>
  <si>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</si>
  <si>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</si>
  <si>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</si>
  <si>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</si>
  <si>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</si>
  <si>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</si>
  <si>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</si>
  <si>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</si>
  <si>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</si>
  <si>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</si>
  <si>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</si>
  <si>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</si>
  <si>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</si>
  <si>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</si>
  <si>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</si>
  <si>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</si>
  <si>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</si>
  <si>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</si>
  <si>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</si>
  <si>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</si>
  <si>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</si>
  <si>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</si>
  <si>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</si>
  <si>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</si>
  <si>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</si>
  <si>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</si>
  <si>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</si>
  <si>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</si>
  <si>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</si>
  <si>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</si>
  <si>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</si>
  <si>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</si>
  <si>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</si>
  <si>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</si>
  <si>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</si>
  <si>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</si>
  <si>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</si>
  <si>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</si>
  <si>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</si>
  <si>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</si>
  <si>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</si>
  <si>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</si>
  <si>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</si>
  <si>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</si>
  <si>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</si>
  <si>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</si>
  <si>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</si>
  <si>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</si>
  <si>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</si>
  <si>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</si>
  <si>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</si>
  <si>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</si>
  <si>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</si>
  <si>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</si>
  <si>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</si>
  <si>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</si>
  <si>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</si>
  <si>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</si>
  <si>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</si>
  <si>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</si>
  <si>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</si>
  <si>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</si>
  <si>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</si>
  <si>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</si>
  <si>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</si>
  <si>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</si>
  <si>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</si>
  <si>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</si>
  <si>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</si>
  <si>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</si>
  <si>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</si>
  <si>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</si>
  <si>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</si>
  <si>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</si>
  <si>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</si>
  <si>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</si>
  <si>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</si>
  <si>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</si>
  <si>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</si>
  <si>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</si>
  <si>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</si>
  <si>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</si>
  <si>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</si>
  <si>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</si>
  <si>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</si>
  <si>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</si>
  <si>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</si>
  <si>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</si>
  <si>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 xml:space="preserve">Empty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</si>
</sst>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3361</c:v>
                </c:pt>
                <c:pt idx="26">
                  <c:v>3536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8924288"/>
        <c:axId val="148925824"/>
      </c:lineChart>
      <c:catAx>
        <c:axId val="14892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25824"/>
        <c:crosses val="autoZero"/>
        <c:auto val="1"/>
        <c:lblAlgn val="ctr"/>
        <c:lblOffset val="100"/>
      </c:catAx>
      <c:valAx>
        <c:axId val="148925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2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7652608"/>
        <c:axId val="147654144"/>
      </c:lineChart>
      <c:catAx>
        <c:axId val="14765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54144"/>
        <c:crosses val="autoZero"/>
        <c:auto val="1"/>
        <c:lblAlgn val="ctr"/>
        <c:lblOffset val="100"/>
      </c:catAx>
      <c:valAx>
        <c:axId val="14765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5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7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452"/>
          <c:w val="0.77663126001868865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7686912"/>
        <c:axId val="147688448"/>
      </c:lineChart>
      <c:catAx>
        <c:axId val="14768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88448"/>
        <c:crosses val="autoZero"/>
        <c:auto val="1"/>
        <c:lblAlgn val="ctr"/>
        <c:lblOffset val="100"/>
      </c:catAx>
      <c:valAx>
        <c:axId val="1476884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8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7704832"/>
        <c:axId val="147714816"/>
      </c:lineChart>
      <c:catAx>
        <c:axId val="14770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14816"/>
        <c:crosses val="autoZero"/>
        <c:auto val="1"/>
        <c:lblAlgn val="ctr"/>
        <c:lblOffset val="100"/>
      </c:catAx>
      <c:valAx>
        <c:axId val="147714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0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50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9521152"/>
        <c:axId val="149522688"/>
      </c:lineChart>
      <c:catAx>
        <c:axId val="1495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22688"/>
        <c:crosses val="autoZero"/>
        <c:auto val="1"/>
        <c:lblAlgn val="ctr"/>
        <c:lblOffset val="100"/>
      </c:catAx>
      <c:valAx>
        <c:axId val="1495226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2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40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9850752"/>
        <c:axId val="149864832"/>
      </c:lineChart>
      <c:catAx>
        <c:axId val="14985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64832"/>
        <c:crosses val="autoZero"/>
        <c:auto val="1"/>
        <c:lblAlgn val="ctr"/>
        <c:lblOffset val="100"/>
      </c:catAx>
      <c:valAx>
        <c:axId val="14986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5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9688704"/>
        <c:axId val="149690240"/>
      </c:lineChart>
      <c:catAx>
        <c:axId val="14968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90240"/>
        <c:crosses val="autoZero"/>
        <c:auto val="1"/>
        <c:lblAlgn val="ctr"/>
        <c:lblOffset val="100"/>
      </c:catAx>
      <c:valAx>
        <c:axId val="14969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8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9722624"/>
        <c:axId val="149724160"/>
      </c:lineChart>
      <c:catAx>
        <c:axId val="14972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24160"/>
        <c:crosses val="autoZero"/>
        <c:auto val="1"/>
        <c:lblAlgn val="ctr"/>
        <c:lblOffset val="100"/>
      </c:catAx>
      <c:valAx>
        <c:axId val="149724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2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9957632"/>
        <c:axId val="149959424"/>
      </c:lineChart>
      <c:catAx>
        <c:axId val="14995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59424"/>
        <c:crosses val="autoZero"/>
        <c:auto val="1"/>
        <c:lblAlgn val="ctr"/>
        <c:lblOffset val="100"/>
      </c:catAx>
      <c:valAx>
        <c:axId val="1499594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5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1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0000384"/>
        <c:axId val="150001920"/>
      </c:lineChart>
      <c:catAx>
        <c:axId val="15000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01920"/>
        <c:crosses val="autoZero"/>
        <c:auto val="1"/>
        <c:lblAlgn val="ctr"/>
        <c:lblOffset val="100"/>
      </c:catAx>
      <c:valAx>
        <c:axId val="15000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0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7327232"/>
        <c:axId val="147341312"/>
      </c:lineChart>
      <c:catAx>
        <c:axId val="14732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41312"/>
        <c:crosses val="autoZero"/>
        <c:auto val="1"/>
        <c:lblAlgn val="ctr"/>
        <c:lblOffset val="100"/>
      </c:catAx>
      <c:valAx>
        <c:axId val="147341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2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  <c:pt idx="15">
                  <c:v>223</c:v>
                </c:pt>
                <c:pt idx="16">
                  <c:v>0</c:v>
                </c:pt>
                <c:pt idx="17">
                  <c:v>0</c:v>
                </c:pt>
                <c:pt idx="18">
                  <c:v>439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0716800"/>
        <c:axId val="150718336"/>
      </c:lineChart>
      <c:catAx>
        <c:axId val="15071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18336"/>
        <c:crosses val="autoZero"/>
        <c:auto val="1"/>
        <c:lblAlgn val="ctr"/>
        <c:lblOffset val="100"/>
      </c:catAx>
      <c:valAx>
        <c:axId val="15071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1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82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157</c:v>
                </c:pt>
                <c:pt idx="16">
                  <c:v>113</c:v>
                </c:pt>
                <c:pt idx="17">
                  <c:v>126</c:v>
                </c:pt>
                <c:pt idx="18">
                  <c:v>213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136</c:v>
                </c:pt>
                <c:pt idx="23">
                  <c:v>201</c:v>
                </c:pt>
                <c:pt idx="24">
                  <c:v>64</c:v>
                </c:pt>
                <c:pt idx="25">
                  <c:v>141</c:v>
                </c:pt>
                <c:pt idx="26">
                  <c:v>55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0628608"/>
        <c:axId val="150654976"/>
      </c:lineChart>
      <c:catAx>
        <c:axId val="15062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54976"/>
        <c:crosses val="autoZero"/>
        <c:auto val="1"/>
        <c:lblAlgn val="ctr"/>
        <c:lblOffset val="100"/>
      </c:catAx>
      <c:valAx>
        <c:axId val="15065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2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3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0761472"/>
        <c:axId val="150763008"/>
      </c:lineChart>
      <c:catAx>
        <c:axId val="15076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63008"/>
        <c:crosses val="autoZero"/>
        <c:auto val="1"/>
        <c:lblAlgn val="ctr"/>
        <c:lblOffset val="100"/>
      </c:catAx>
      <c:valAx>
        <c:axId val="150763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6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3361</c:v>
                </c:pt>
                <c:pt idx="26">
                  <c:v>3536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0792064"/>
        <c:axId val="150793600"/>
      </c:lineChart>
      <c:catAx>
        <c:axId val="15079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93600"/>
        <c:crosses val="autoZero"/>
        <c:auto val="1"/>
        <c:lblAlgn val="ctr"/>
        <c:lblOffset val="100"/>
      </c:catAx>
      <c:valAx>
        <c:axId val="150793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9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50814080"/>
        <c:axId val="150824064"/>
      </c:lineChart>
      <c:catAx>
        <c:axId val="15081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24064"/>
        <c:crosses val="autoZero"/>
        <c:auto val="1"/>
        <c:lblAlgn val="ctr"/>
        <c:lblOffset val="100"/>
      </c:catAx>
      <c:valAx>
        <c:axId val="15082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1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3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50860928"/>
        <c:axId val="150862464"/>
      </c:lineChart>
      <c:catAx>
        <c:axId val="1508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62464"/>
        <c:crosses val="autoZero"/>
        <c:auto val="1"/>
        <c:lblAlgn val="ctr"/>
        <c:lblOffset val="100"/>
      </c:catAx>
      <c:valAx>
        <c:axId val="150862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3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-920.03225806451519</c:v>
                </c:pt>
                <c:pt idx="15">
                  <c:v>-990.03225806450064</c:v>
                </c:pt>
                <c:pt idx="16">
                  <c:v>-850.03225806454429</c:v>
                </c:pt>
                <c:pt idx="17">
                  <c:v>-1463.3870967741823</c:v>
                </c:pt>
                <c:pt idx="18">
                  <c:v>-920.03225806451519</c:v>
                </c:pt>
                <c:pt idx="19">
                  <c:v>0</c:v>
                </c:pt>
                <c:pt idx="20">
                  <c:v>4376.8225806451519</c:v>
                </c:pt>
                <c:pt idx="21">
                  <c:v>-5090</c:v>
                </c:pt>
                <c:pt idx="22">
                  <c:v>-1226.7096774193342</c:v>
                </c:pt>
                <c:pt idx="23">
                  <c:v>-1073.3709677419538</c:v>
                </c:pt>
                <c:pt idx="24">
                  <c:v>-920.03225806452974</c:v>
                </c:pt>
                <c:pt idx="25">
                  <c:v>-700.51612903224304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50882944"/>
        <c:axId val="150905216"/>
      </c:lineChart>
      <c:catAx>
        <c:axId val="1508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05216"/>
        <c:crosses val="autoZero"/>
        <c:auto val="1"/>
        <c:lblAlgn val="ctr"/>
        <c:lblOffset val="100"/>
      </c:catAx>
      <c:valAx>
        <c:axId val="150905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50938368"/>
        <c:axId val="150939904"/>
      </c:lineChart>
      <c:catAx>
        <c:axId val="15093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39904"/>
        <c:crosses val="autoZero"/>
        <c:auto val="1"/>
        <c:lblAlgn val="ctr"/>
        <c:lblOffset val="100"/>
      </c:catAx>
      <c:valAx>
        <c:axId val="15093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3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9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50989056"/>
        <c:axId val="150990848"/>
      </c:lineChart>
      <c:catAx>
        <c:axId val="15098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90848"/>
        <c:crosses val="autoZero"/>
        <c:auto val="1"/>
        <c:lblAlgn val="ctr"/>
        <c:lblOffset val="100"/>
      </c:catAx>
      <c:valAx>
        <c:axId val="1509908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8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51007232"/>
        <c:axId val="151008768"/>
      </c:lineChart>
      <c:catAx>
        <c:axId val="15100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08768"/>
        <c:crosses val="autoZero"/>
        <c:auto val="1"/>
        <c:lblAlgn val="ctr"/>
        <c:lblOffset val="100"/>
      </c:catAx>
      <c:valAx>
        <c:axId val="1510087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0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51045632"/>
        <c:axId val="151047168"/>
      </c:lineChart>
      <c:catAx>
        <c:axId val="15104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47168"/>
        <c:crosses val="autoZero"/>
        <c:auto val="1"/>
        <c:lblAlgn val="ctr"/>
        <c:lblOffset val="100"/>
      </c:catAx>
      <c:valAx>
        <c:axId val="15104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4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35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51063552"/>
        <c:axId val="151089920"/>
      </c:lineChart>
      <c:catAx>
        <c:axId val="15106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89920"/>
        <c:crosses val="autoZero"/>
        <c:auto val="1"/>
        <c:lblAlgn val="ctr"/>
        <c:lblOffset val="100"/>
      </c:catAx>
      <c:valAx>
        <c:axId val="15108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6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51266048"/>
        <c:axId val="151267584"/>
      </c:lineChart>
      <c:catAx>
        <c:axId val="15126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7584"/>
        <c:crosses val="autoZero"/>
        <c:auto val="1"/>
        <c:lblAlgn val="ctr"/>
        <c:lblOffset val="100"/>
      </c:catAx>
      <c:valAx>
        <c:axId val="15126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505"/>
          <c:w val="0.123431181980946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51293312"/>
        <c:axId val="151307392"/>
      </c:lineChart>
      <c:catAx>
        <c:axId val="1512933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07392"/>
        <c:crosses val="autoZero"/>
        <c:auto val="1"/>
        <c:lblAlgn val="ctr"/>
        <c:lblOffset val="100"/>
      </c:catAx>
      <c:valAx>
        <c:axId val="1513073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404"/>
          <c:w val="0.1569039853282479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1397120"/>
        <c:axId val="151398656"/>
      </c:lineChart>
      <c:catAx>
        <c:axId val="15139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98656"/>
        <c:crosses val="autoZero"/>
        <c:auto val="1"/>
        <c:lblAlgn val="ctr"/>
        <c:lblOffset val="100"/>
      </c:catAx>
      <c:valAx>
        <c:axId val="151398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9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7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51362176"/>
        <c:axId val="151363968"/>
      </c:lineChart>
      <c:catAx>
        <c:axId val="15136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3968"/>
        <c:crosses val="autoZero"/>
        <c:auto val="1"/>
        <c:lblAlgn val="ctr"/>
        <c:lblOffset val="100"/>
      </c:catAx>
      <c:valAx>
        <c:axId val="151363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43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1844736"/>
        <c:axId val="151846272"/>
      </c:lineChart>
      <c:catAx>
        <c:axId val="151844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46272"/>
        <c:crosses val="autoZero"/>
        <c:auto val="1"/>
        <c:lblAlgn val="ctr"/>
        <c:lblOffset val="100"/>
      </c:catAx>
      <c:valAx>
        <c:axId val="1518462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4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40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6" sqref="K2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0.35248805377915832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0.34670652272959512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0.28798660523727276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-0.1067961795522355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0.32721189200461953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0.28438645034913079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0.33843565728919744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0.3956219483923295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2817</v>
      </c>
      <c r="F16" s="315">
        <f>SUM('EDl log'!T18)</f>
        <v>0.28779895477209871</v>
      </c>
      <c r="G16" s="203">
        <f>-tanks!AW20</f>
        <v>157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89</v>
      </c>
      <c r="L16" s="316">
        <f>SUM(WATER!J20)</f>
        <v>2.7183762232693005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2812</v>
      </c>
      <c r="F17" s="315">
        <f>SUM('EDl log'!T19)</f>
        <v>0.32401960935163726</v>
      </c>
      <c r="G17" s="203">
        <f>-tanks!AW21</f>
        <v>113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3010</v>
      </c>
      <c r="F18" s="315">
        <f>SUM('EDl log'!T20)</f>
        <v>0.25492834846949913</v>
      </c>
      <c r="G18" s="203">
        <f>-tanks!AW22</f>
        <v>126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3148</v>
      </c>
      <c r="F19" s="315">
        <f>SUM('EDl log'!T21)</f>
        <v>0.38520664626478596</v>
      </c>
      <c r="G19" s="203">
        <f>-tanks!AW23</f>
        <v>213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3248</v>
      </c>
      <c r="F20" s="315">
        <f>SUM('EDl log'!T22)</f>
        <v>0.28142376700374372</v>
      </c>
      <c r="G20" s="203">
        <f>-tanks!AW24</f>
        <v>61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3609</v>
      </c>
      <c r="F23" s="315">
        <f>SUM('EDl log'!T25)</f>
        <v>1.2041803930647239</v>
      </c>
      <c r="G23" s="203">
        <f>-tanks!AW27</f>
        <v>136</v>
      </c>
      <c r="H23" s="315">
        <f>tanks!AV27</f>
        <v>0</v>
      </c>
      <c r="I23" s="10">
        <f>('B5'!AU26)*0.51</f>
        <v>107.10000000000001</v>
      </c>
      <c r="J23" s="296">
        <f>'B5'!AX26/0.51</f>
        <v>1.5686274509803921</v>
      </c>
      <c r="K23" s="203">
        <f>WATER!I27</f>
        <v>244</v>
      </c>
      <c r="L23" s="316">
        <f>SUM(WATER!J27)</f>
        <v>0.99153886832363824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3279</v>
      </c>
      <c r="F24" s="315">
        <f>SUM('EDl log'!T26)</f>
        <v>0.31184916915747013</v>
      </c>
      <c r="G24" s="203">
        <f>-tanks!AW28</f>
        <v>201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3094</v>
      </c>
      <c r="F25" s="315">
        <f>SUM('EDl log'!T27)</f>
        <v>0.32602807927610888</v>
      </c>
      <c r="G25" s="203">
        <f>-tanks!AW29</f>
        <v>64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3361</v>
      </c>
      <c r="F26" s="315">
        <f>SUM('EDl log'!T28)</f>
        <v>0.24214945816518299</v>
      </c>
      <c r="G26" s="203">
        <f>-tanks!AW30</f>
        <v>141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3536</v>
      </c>
      <c r="F27" s="315">
        <f>SUM('EDl log'!T29)</f>
        <v>0.20044823923853347</v>
      </c>
      <c r="G27" s="203">
        <f>-tanks!AW31</f>
        <v>55</v>
      </c>
      <c r="H27" s="315">
        <f>tanks!AV31</f>
        <v>1.0349999999999999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1.0349999999999999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1.0349999999999999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3869</v>
      </c>
      <c r="F30" s="315">
        <f>SUM('EDl log'!T32)</f>
        <v>0.34141083547209777</v>
      </c>
      <c r="G30" s="203">
        <f>-tanks!AW34</f>
        <v>155</v>
      </c>
      <c r="H30" s="315">
        <f>tanks!AV34</f>
        <v>1.0349999999999999</v>
      </c>
      <c r="I30" s="10">
        <f>('B5'!AU33)*0.51</f>
        <v>0</v>
      </c>
      <c r="J30" s="296">
        <f>'B5'!AX33/0.51</f>
        <v>1.5686274509803921</v>
      </c>
      <c r="K30" s="203">
        <f>WATER!I34</f>
        <v>74</v>
      </c>
      <c r="L30" s="316">
        <f>SUM(WATER!J34)</f>
        <v>3.2693984306887534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3259</v>
      </c>
      <c r="F31" s="315">
        <f>SUM('EDl log'!T33)</f>
        <v>6.4155719602174657E-2</v>
      </c>
      <c r="G31" s="203">
        <f>-tanks!AW35</f>
        <v>99</v>
      </c>
      <c r="H31" s="315">
        <f>tanks!AV35</f>
        <v>1.04</v>
      </c>
      <c r="I31" s="10">
        <f>('B5'!AU34)*0.51</f>
        <v>0</v>
      </c>
      <c r="J31" s="296">
        <f>'B5'!AX34/0.51</f>
        <v>1.5686274509803921</v>
      </c>
      <c r="K31" s="203">
        <f>WATER!I35</f>
        <v>37</v>
      </c>
      <c r="L31" s="316">
        <f>SUM(WATER!J35)</f>
        <v>6.5387968613775067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4238</v>
      </c>
      <c r="F32" s="315">
        <f>SUM('EDl log'!T34)</f>
        <v>0.36691543634161111</v>
      </c>
      <c r="G32" s="203">
        <f>-tanks!AW36</f>
        <v>115</v>
      </c>
      <c r="H32" s="315">
        <f>tanks!AV36</f>
        <v>1.04</v>
      </c>
      <c r="I32" s="10">
        <f>('B5'!AU35)*0.51</f>
        <v>0</v>
      </c>
      <c r="J32" s="296">
        <f>'B5'!AX35/0.51</f>
        <v>1.5686274509803921</v>
      </c>
      <c r="K32" s="203">
        <f>WATER!I36</f>
        <v>21</v>
      </c>
      <c r="L32" s="316">
        <f>SUM(WATER!J36)</f>
        <v>11.52073732718894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832</v>
      </c>
      <c r="F16" s="203">
        <f>ELEC!K18</f>
        <v>560</v>
      </c>
      <c r="G16" s="203">
        <f>ELEC!I18</f>
        <v>424</v>
      </c>
      <c r="H16" s="203">
        <f>ELEC!E18</f>
        <v>720</v>
      </c>
      <c r="I16" s="203">
        <f>ELEC!G18</f>
        <v>281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904</v>
      </c>
      <c r="F17" s="203">
        <f>ELEC!K19</f>
        <v>606</v>
      </c>
      <c r="G17" s="203">
        <f>ELEC!I19</f>
        <v>404</v>
      </c>
      <c r="H17" s="203">
        <f>ELEC!E19</f>
        <v>620</v>
      </c>
      <c r="I17" s="203">
        <f>ELEC!G19</f>
        <v>278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870</v>
      </c>
      <c r="F18" s="203">
        <f>ELEC!K20</f>
        <v>768</v>
      </c>
      <c r="G18" s="203">
        <f>ELEC!I20</f>
        <v>414</v>
      </c>
      <c r="H18" s="203">
        <f>ELEC!E20</f>
        <v>640</v>
      </c>
      <c r="I18" s="203">
        <f>ELEC!G20</f>
        <v>318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956</v>
      </c>
      <c r="F19" s="203">
        <f>ELEC!K21</f>
        <v>816</v>
      </c>
      <c r="G19" s="203">
        <f>ELEC!I21</f>
        <v>442</v>
      </c>
      <c r="H19" s="203">
        <f>ELEC!E21</f>
        <v>690</v>
      </c>
      <c r="I19" s="203">
        <f>ELEC!G21</f>
        <v>244</v>
      </c>
      <c r="J19" s="203">
        <f>WATER!Y23</f>
        <v>159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948</v>
      </c>
      <c r="F20" s="203">
        <f>ELEC!K22</f>
        <v>820</v>
      </c>
      <c r="G20" s="203">
        <f>ELEC!I22</f>
        <v>450</v>
      </c>
      <c r="H20" s="203">
        <f>ELEC!E22</f>
        <v>720</v>
      </c>
      <c r="I20" s="203">
        <f>ELEC!G22</f>
        <v>310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1028</v>
      </c>
      <c r="F23" s="203">
        <f>ELEC!K25</f>
        <v>1014</v>
      </c>
      <c r="G23" s="203">
        <f>ELEC!I25</f>
        <v>462</v>
      </c>
      <c r="H23" s="203">
        <f>ELEC!E25</f>
        <v>780</v>
      </c>
      <c r="I23" s="203">
        <f>ELEC!G25</f>
        <v>325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740</v>
      </c>
      <c r="F24" s="203">
        <f>ELEC!K26</f>
        <v>744</v>
      </c>
      <c r="G24" s="203">
        <f>ELEC!I26</f>
        <v>400</v>
      </c>
      <c r="H24" s="203">
        <f>ELEC!E26</f>
        <v>1100</v>
      </c>
      <c r="I24" s="203">
        <f>ELEC!G26</f>
        <v>295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678</v>
      </c>
      <c r="F25" s="203">
        <f>ELEC!K27</f>
        <v>694</v>
      </c>
      <c r="G25" s="203">
        <f>ELEC!I27</f>
        <v>386</v>
      </c>
      <c r="H25" s="203">
        <f>ELEC!E27</f>
        <v>1060</v>
      </c>
      <c r="I25" s="203">
        <f>ELEC!G27</f>
        <v>276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694</v>
      </c>
      <c r="F26" s="203">
        <f>ELEC!K28</f>
        <v>718</v>
      </c>
      <c r="G26" s="203">
        <f>ELEC!I28</f>
        <v>446</v>
      </c>
      <c r="H26" s="203">
        <f>ELEC!E28</f>
        <v>1200</v>
      </c>
      <c r="I26" s="203">
        <f>ELEC!G28</f>
        <v>303</v>
      </c>
      <c r="J26" s="203">
        <f>WATER!Y30</f>
        <v>0</v>
      </c>
      <c r="K26" s="203">
        <f>WATER!AJ30</f>
        <v>82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732</v>
      </c>
      <c r="F27" s="203">
        <f>ELEC!K29</f>
        <v>962</v>
      </c>
      <c r="G27" s="203">
        <f>ELEC!I29</f>
        <v>412</v>
      </c>
      <c r="H27" s="203">
        <f>ELEC!E29</f>
        <v>1110</v>
      </c>
      <c r="I27" s="203">
        <f>ELEC!G29</f>
        <v>320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1044</v>
      </c>
      <c r="F30" s="203">
        <f>ELEC!K32</f>
        <v>794</v>
      </c>
      <c r="G30" s="203">
        <f>ELEC!I32</f>
        <v>448</v>
      </c>
      <c r="H30" s="203">
        <f>ELEC!E32</f>
        <v>1230</v>
      </c>
      <c r="I30" s="203">
        <f>ELEC!G32</f>
        <v>353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804</v>
      </c>
      <c r="F31" s="203">
        <f>ELEC!K33</f>
        <v>692</v>
      </c>
      <c r="G31" s="203">
        <f>ELEC!I33</f>
        <v>412</v>
      </c>
      <c r="H31" s="203">
        <f>ELEC!E33</f>
        <v>1120</v>
      </c>
      <c r="I31" s="203">
        <f>ELEC!G33</f>
        <v>231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1144</v>
      </c>
      <c r="F32" s="203">
        <f>ELEC!K34</f>
        <v>848</v>
      </c>
      <c r="G32" s="203">
        <f>ELEC!I34</f>
        <v>516</v>
      </c>
      <c r="H32" s="203">
        <f>ELEC!E34</f>
        <v>1340</v>
      </c>
      <c r="I32" s="203">
        <f>ELEC!G34</f>
        <v>390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R34" sqref="R34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0">
        <f>[2]ELEC!D33</f>
        <v>286340</v>
      </c>
      <c r="E3" s="590">
        <f>[2]ELEC!E33</f>
        <v>0</v>
      </c>
      <c r="F3" s="590">
        <f>[2]ELEC!F33</f>
        <v>4130656</v>
      </c>
      <c r="G3" s="590">
        <f>[2]ELEC!G33</f>
        <v>0</v>
      </c>
      <c r="H3" s="590">
        <f>[2]ELEC!H33</f>
        <v>18038570</v>
      </c>
      <c r="I3" s="590">
        <f>[2]ELEC!I33</f>
        <v>0</v>
      </c>
      <c r="J3" s="590">
        <f>[2]ELEC!J33</f>
        <v>29783774</v>
      </c>
      <c r="K3" s="590">
        <f>[2]ELEC!K33</f>
        <v>0</v>
      </c>
      <c r="L3" s="590">
        <f>[2]ELEC!L33</f>
        <v>24577264</v>
      </c>
      <c r="M3" s="590">
        <f>[2]ELEC!M33</f>
        <v>0</v>
      </c>
      <c r="N3" s="590">
        <f>[2]ELEC!N33</f>
        <v>0</v>
      </c>
      <c r="O3" s="590">
        <f>[2]ELEC!O33</f>
        <v>0</v>
      </c>
      <c r="P3" s="590">
        <f>[2]ELEC!P33</f>
        <v>19199.525000000001</v>
      </c>
      <c r="Q3" s="590">
        <f>[2]ELEC!Q33</f>
        <v>0</v>
      </c>
      <c r="R3" s="590">
        <f>[2]ELEC!R33</f>
        <v>0</v>
      </c>
      <c r="S3" s="590">
        <f>[2]ELEC!S33</f>
        <v>10175</v>
      </c>
      <c r="T3" s="590">
        <f>[2]ELEC!T33</f>
        <v>0</v>
      </c>
      <c r="U3" s="590">
        <f>[2]ELEC!U33</f>
        <v>429166</v>
      </c>
      <c r="V3" s="590">
        <f>[2]ELEC!V33</f>
        <v>0</v>
      </c>
      <c r="W3" s="590">
        <f>[2]ELEC!W33</f>
        <v>33484</v>
      </c>
      <c r="X3" s="590">
        <f>[2]ELEC!X33</f>
        <v>0</v>
      </c>
      <c r="Y3" s="590">
        <f>[2]ELEC!Y33</f>
        <v>996900</v>
      </c>
      <c r="Z3" s="590">
        <f>[2]ELEC!Z33</f>
        <v>0</v>
      </c>
      <c r="AA3" s="590">
        <f>[2]ELEC!AA33</f>
        <v>36796</v>
      </c>
      <c r="AB3" s="590">
        <f>[2]ELEC!AB33</f>
        <v>0</v>
      </c>
      <c r="AC3" s="590">
        <f>[2]ELEC!AC33</f>
        <v>1170505</v>
      </c>
      <c r="AD3" s="590">
        <f>[2]ELEC!AD33</f>
        <v>0</v>
      </c>
      <c r="AE3" s="590">
        <f>[2]ELEC!AE33</f>
        <v>0</v>
      </c>
      <c r="AF3" s="590">
        <f>[2]ELEC!AF33</f>
        <v>0</v>
      </c>
      <c r="AG3" s="590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1">
        <f>D3</f>
        <v>286340</v>
      </c>
      <c r="E4" s="579">
        <f>D4-D3</f>
        <v>0</v>
      </c>
      <c r="F4" s="569">
        <f>F3</f>
        <v>4130656</v>
      </c>
      <c r="G4" s="580">
        <f>F4-F3</f>
        <v>0</v>
      </c>
      <c r="H4" s="426">
        <f>H3</f>
        <v>18038570</v>
      </c>
      <c r="I4" s="580">
        <f>H4-H3</f>
        <v>0</v>
      </c>
      <c r="J4" s="426">
        <f>J3</f>
        <v>29783774</v>
      </c>
      <c r="K4" s="580">
        <f>J4-J3</f>
        <v>0</v>
      </c>
      <c r="L4" s="426">
        <f>L3</f>
        <v>24577264</v>
      </c>
      <c r="M4" s="580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1">
        <f t="shared" ref="D5:D17" si="7">D4</f>
        <v>286340</v>
      </c>
      <c r="E5" s="579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1">
        <v>288240</v>
      </c>
      <c r="E6" s="579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1">
        <v>289480</v>
      </c>
      <c r="E7" s="579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1">
        <v>290260</v>
      </c>
      <c r="E8" s="579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1">
        <f t="shared" si="7"/>
        <v>290260</v>
      </c>
      <c r="E9" s="579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1">
        <f t="shared" si="7"/>
        <v>290260</v>
      </c>
      <c r="E10" s="579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1">
        <v>291370</v>
      </c>
      <c r="E11" s="579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1">
        <v>292210</v>
      </c>
      <c r="E12" s="579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3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1">
        <v>292980</v>
      </c>
      <c r="E13" s="579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1">
        <v>293750</v>
      </c>
      <c r="E14" s="579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1">
        <v>294440</v>
      </c>
      <c r="E15" s="579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3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1">
        <f t="shared" si="7"/>
        <v>294440</v>
      </c>
      <c r="E16" s="579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1">
        <f t="shared" si="7"/>
        <v>294440</v>
      </c>
      <c r="E17" s="579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1">
        <v>295160</v>
      </c>
      <c r="E18" s="579">
        <f t="shared" si="8"/>
        <v>720</v>
      </c>
      <c r="F18" s="569">
        <v>4133397</v>
      </c>
      <c r="G18" s="449">
        <f t="shared" si="34"/>
        <v>281</v>
      </c>
      <c r="H18" s="426">
        <v>18042726</v>
      </c>
      <c r="I18" s="449">
        <f t="shared" si="35"/>
        <v>424</v>
      </c>
      <c r="J18" s="426">
        <v>29791760</v>
      </c>
      <c r="K18" s="449">
        <f t="shared" si="36"/>
        <v>560</v>
      </c>
      <c r="L18" s="426">
        <v>24585564</v>
      </c>
      <c r="M18" s="449">
        <f t="shared" si="37"/>
        <v>832</v>
      </c>
      <c r="N18" s="297">
        <f>M18+K18+I18+G18+E18</f>
        <v>2817</v>
      </c>
      <c r="O18" s="445">
        <f t="shared" si="40"/>
        <v>0</v>
      </c>
      <c r="P18" s="563">
        <v>19229.59</v>
      </c>
      <c r="Q18" s="446">
        <f t="shared" si="1"/>
        <v>2583.9999999989232</v>
      </c>
      <c r="R18" s="428">
        <f t="shared" si="32"/>
        <v>233.00000000107684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1">
        <v>295780</v>
      </c>
      <c r="E19" s="579">
        <f t="shared" si="8"/>
        <v>620</v>
      </c>
      <c r="F19" s="569">
        <v>4133675</v>
      </c>
      <c r="G19" s="449">
        <f t="shared" si="34"/>
        <v>278</v>
      </c>
      <c r="H19" s="426">
        <v>18043130</v>
      </c>
      <c r="I19" s="449">
        <f t="shared" si="35"/>
        <v>404</v>
      </c>
      <c r="J19" s="426">
        <v>29792366</v>
      </c>
      <c r="K19" s="449">
        <f t="shared" si="36"/>
        <v>606</v>
      </c>
      <c r="L19" s="426">
        <v>24586468</v>
      </c>
      <c r="M19" s="449">
        <f t="shared" si="37"/>
        <v>904</v>
      </c>
      <c r="N19" s="297">
        <f t="shared" si="38"/>
        <v>2812</v>
      </c>
      <c r="O19" s="445">
        <f t="shared" si="40"/>
        <v>0</v>
      </c>
      <c r="P19" s="563">
        <v>19232.048999999999</v>
      </c>
      <c r="Q19" s="446">
        <f>(P19-P18)*1000</f>
        <v>2458.9999999989232</v>
      </c>
      <c r="R19" s="593">
        <f>N19-Q19</f>
        <v>353.00000000107684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1">
        <v>296420</v>
      </c>
      <c r="E20" s="579">
        <f t="shared" si="8"/>
        <v>640</v>
      </c>
      <c r="F20" s="569">
        <v>4133993</v>
      </c>
      <c r="G20" s="449">
        <f t="shared" si="34"/>
        <v>318</v>
      </c>
      <c r="H20" s="426">
        <v>18043544</v>
      </c>
      <c r="I20" s="449">
        <f t="shared" si="35"/>
        <v>414</v>
      </c>
      <c r="J20" s="426">
        <v>29793134</v>
      </c>
      <c r="K20" s="449">
        <f t="shared" si="36"/>
        <v>768</v>
      </c>
      <c r="L20" s="426">
        <v>24587338</v>
      </c>
      <c r="M20" s="449">
        <f t="shared" si="37"/>
        <v>870</v>
      </c>
      <c r="N20" s="297">
        <f t="shared" si="38"/>
        <v>3010</v>
      </c>
      <c r="O20" s="445">
        <f t="shared" si="40"/>
        <v>0</v>
      </c>
      <c r="P20" s="563">
        <v>19234.721000000001</v>
      </c>
      <c r="Q20" s="446">
        <f>(P20-P19)*1000</f>
        <v>2672.0000000022992</v>
      </c>
      <c r="R20" s="593">
        <f>N20-Q20</f>
        <v>337.9999999977008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1">
        <v>297110</v>
      </c>
      <c r="E21" s="579">
        <f t="shared" si="8"/>
        <v>690</v>
      </c>
      <c r="F21" s="569">
        <v>4134237</v>
      </c>
      <c r="G21" s="449">
        <f t="shared" si="34"/>
        <v>244</v>
      </c>
      <c r="H21" s="426">
        <v>18043986</v>
      </c>
      <c r="I21" s="449">
        <f t="shared" si="35"/>
        <v>442</v>
      </c>
      <c r="J21" s="426">
        <v>29793950</v>
      </c>
      <c r="K21" s="449">
        <f t="shared" si="36"/>
        <v>816</v>
      </c>
      <c r="L21" s="426">
        <v>24588294</v>
      </c>
      <c r="M21" s="449">
        <f t="shared" si="37"/>
        <v>956</v>
      </c>
      <c r="N21" s="297">
        <f t="shared" si="38"/>
        <v>3148</v>
      </c>
      <c r="O21" s="445">
        <f t="shared" si="40"/>
        <v>0</v>
      </c>
      <c r="P21" s="563">
        <v>19237.716</v>
      </c>
      <c r="Q21" s="446">
        <f t="shared" si="1"/>
        <v>2994.9999999989814</v>
      </c>
      <c r="R21" s="593">
        <f t="shared" ref="R21:R31" si="43">N21-Q21</f>
        <v>153.00000000101863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1">
        <v>297830</v>
      </c>
      <c r="E22" s="579">
        <f t="shared" ref="E22" si="44">D22-D21</f>
        <v>720</v>
      </c>
      <c r="F22" s="569">
        <v>4134547</v>
      </c>
      <c r="G22" s="449">
        <f t="shared" ref="G22" si="45">F22-F21</f>
        <v>310</v>
      </c>
      <c r="H22" s="426">
        <v>18044436</v>
      </c>
      <c r="I22" s="449">
        <f t="shared" ref="I22" si="46">H22-H21</f>
        <v>450</v>
      </c>
      <c r="J22" s="426">
        <v>29794770</v>
      </c>
      <c r="K22" s="449">
        <f t="shared" ref="K22" si="47">J22-J21</f>
        <v>820</v>
      </c>
      <c r="L22" s="426">
        <v>24589242</v>
      </c>
      <c r="M22" s="449">
        <f t="shared" ref="M22" si="48">L22-L21</f>
        <v>948</v>
      </c>
      <c r="N22" s="297">
        <f t="shared" ref="N22" si="49">M22+K22+I22+G22+E22</f>
        <v>3248</v>
      </c>
      <c r="O22" s="445">
        <f t="shared" ref="O22" si="50">IF(B22&gt;0,N22/B22,0)</f>
        <v>0</v>
      </c>
      <c r="P22" s="563">
        <v>19240.741999999998</v>
      </c>
      <c r="Q22" s="446">
        <f t="shared" ref="Q22" si="51">(P22-P21)*1000</f>
        <v>3025.9999999980209</v>
      </c>
      <c r="R22" s="593">
        <f t="shared" ref="R22" si="52">N22-Q22</f>
        <v>222.00000000197906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1">
        <f t="shared" ref="D23:D34" si="53">D22</f>
        <v>297830</v>
      </c>
      <c r="E23" s="579">
        <f t="shared" si="8"/>
        <v>0</v>
      </c>
      <c r="F23" s="569">
        <f t="shared" si="9"/>
        <v>4134547</v>
      </c>
      <c r="G23" s="449">
        <f t="shared" si="34"/>
        <v>0</v>
      </c>
      <c r="H23" s="426">
        <f t="shared" si="10"/>
        <v>18044436</v>
      </c>
      <c r="I23" s="449">
        <f t="shared" si="35"/>
        <v>0</v>
      </c>
      <c r="J23" s="426">
        <f t="shared" si="11"/>
        <v>29794770</v>
      </c>
      <c r="K23" s="449">
        <f t="shared" si="36"/>
        <v>0</v>
      </c>
      <c r="L23" s="426">
        <f t="shared" si="12"/>
        <v>24589242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19240.741999999998</v>
      </c>
      <c r="Q23" s="446">
        <f t="shared" si="1"/>
        <v>0</v>
      </c>
      <c r="R23" s="593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1">
        <f t="shared" si="53"/>
        <v>297830</v>
      </c>
      <c r="E24" s="579">
        <f t="shared" si="8"/>
        <v>0</v>
      </c>
      <c r="F24" s="569">
        <f t="shared" si="9"/>
        <v>4134547</v>
      </c>
      <c r="G24" s="449">
        <f t="shared" si="34"/>
        <v>0</v>
      </c>
      <c r="H24" s="426">
        <f t="shared" si="10"/>
        <v>18044436</v>
      </c>
      <c r="I24" s="596">
        <f t="shared" si="35"/>
        <v>0</v>
      </c>
      <c r="J24" s="426">
        <f t="shared" si="11"/>
        <v>29794770</v>
      </c>
      <c r="K24" s="449">
        <f t="shared" si="36"/>
        <v>0</v>
      </c>
      <c r="L24" s="426">
        <f t="shared" si="12"/>
        <v>24589242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19240.741999999998</v>
      </c>
      <c r="Q24" s="446">
        <f t="shared" si="1"/>
        <v>0</v>
      </c>
      <c r="R24" s="593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1">
        <v>298610</v>
      </c>
      <c r="E25" s="579">
        <f t="shared" si="8"/>
        <v>780</v>
      </c>
      <c r="F25" s="569">
        <v>4134872</v>
      </c>
      <c r="G25" s="449">
        <f t="shared" si="34"/>
        <v>325</v>
      </c>
      <c r="H25" s="426">
        <v>18044898</v>
      </c>
      <c r="I25" s="449">
        <f t="shared" si="35"/>
        <v>462</v>
      </c>
      <c r="J25" s="426">
        <v>29795784</v>
      </c>
      <c r="K25" s="449">
        <f t="shared" si="36"/>
        <v>1014</v>
      </c>
      <c r="L25" s="426">
        <v>24590270</v>
      </c>
      <c r="M25" s="449">
        <f t="shared" si="37"/>
        <v>1028</v>
      </c>
      <c r="N25" s="297">
        <f t="shared" si="38"/>
        <v>3609</v>
      </c>
      <c r="O25" s="445">
        <f t="shared" si="40"/>
        <v>0</v>
      </c>
      <c r="P25" s="563">
        <v>19244.437000000002</v>
      </c>
      <c r="Q25" s="446">
        <f t="shared" si="1"/>
        <v>3695.0000000033469</v>
      </c>
      <c r="R25" s="593">
        <f t="shared" si="43"/>
        <v>-86.000000003346941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1">
        <v>299710</v>
      </c>
      <c r="E26" s="579">
        <f t="shared" si="8"/>
        <v>1100</v>
      </c>
      <c r="F26" s="569">
        <v>4135167</v>
      </c>
      <c r="G26" s="449">
        <f t="shared" si="34"/>
        <v>295</v>
      </c>
      <c r="H26" s="426">
        <v>18045298</v>
      </c>
      <c r="I26" s="449">
        <f t="shared" si="35"/>
        <v>400</v>
      </c>
      <c r="J26" s="426">
        <v>29796528</v>
      </c>
      <c r="K26" s="449">
        <f t="shared" si="36"/>
        <v>744</v>
      </c>
      <c r="L26" s="426">
        <v>24591010</v>
      </c>
      <c r="M26" s="449">
        <f t="shared" si="37"/>
        <v>740</v>
      </c>
      <c r="N26" s="297">
        <f t="shared" si="38"/>
        <v>3279</v>
      </c>
      <c r="O26" s="445">
        <f t="shared" si="40"/>
        <v>0</v>
      </c>
      <c r="P26" s="563">
        <v>19247.712</v>
      </c>
      <c r="Q26" s="446">
        <f t="shared" si="1"/>
        <v>3274.9999999978172</v>
      </c>
      <c r="R26" s="593">
        <f t="shared" si="43"/>
        <v>4.0000000021827873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1">
        <v>300770</v>
      </c>
      <c r="E27" s="579">
        <f t="shared" si="8"/>
        <v>1060</v>
      </c>
      <c r="F27" s="569">
        <v>4135443</v>
      </c>
      <c r="G27" s="449">
        <f t="shared" si="34"/>
        <v>276</v>
      </c>
      <c r="H27" s="426">
        <v>18045684</v>
      </c>
      <c r="I27" s="449">
        <f t="shared" si="35"/>
        <v>386</v>
      </c>
      <c r="J27" s="426">
        <v>29797222</v>
      </c>
      <c r="K27" s="449">
        <f t="shared" si="36"/>
        <v>694</v>
      </c>
      <c r="L27" s="426">
        <v>24591688</v>
      </c>
      <c r="M27" s="449">
        <f t="shared" si="37"/>
        <v>678</v>
      </c>
      <c r="N27" s="297">
        <f t="shared" si="38"/>
        <v>3094</v>
      </c>
      <c r="O27" s="445">
        <f t="shared" si="40"/>
        <v>0</v>
      </c>
      <c r="P27" s="563">
        <v>19250.867999999999</v>
      </c>
      <c r="Q27" s="446">
        <f t="shared" si="1"/>
        <v>3155.9999999990396</v>
      </c>
      <c r="R27" s="593">
        <f t="shared" si="43"/>
        <v>-61.999999999039574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1">
        <v>301970</v>
      </c>
      <c r="E28" s="579">
        <f t="shared" si="8"/>
        <v>1200</v>
      </c>
      <c r="F28" s="569">
        <v>4135746</v>
      </c>
      <c r="G28" s="449">
        <f>F28-F27</f>
        <v>303</v>
      </c>
      <c r="H28" s="426">
        <v>18046130</v>
      </c>
      <c r="I28" s="449">
        <f t="shared" si="35"/>
        <v>446</v>
      </c>
      <c r="J28" s="426">
        <v>29797940</v>
      </c>
      <c r="K28" s="449">
        <f t="shared" si="36"/>
        <v>718</v>
      </c>
      <c r="L28" s="426">
        <v>24592382</v>
      </c>
      <c r="M28" s="449">
        <f t="shared" si="37"/>
        <v>694</v>
      </c>
      <c r="N28" s="297">
        <f t="shared" si="38"/>
        <v>3361</v>
      </c>
      <c r="O28" s="445">
        <f t="shared" si="40"/>
        <v>0</v>
      </c>
      <c r="P28" s="563">
        <v>19254.303</v>
      </c>
      <c r="Q28" s="446">
        <f t="shared" si="1"/>
        <v>3435.0000000013097</v>
      </c>
      <c r="R28" s="593">
        <f>N28-Q28</f>
        <v>-74.000000001309672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1">
        <v>303080</v>
      </c>
      <c r="E29" s="579">
        <f t="shared" si="8"/>
        <v>1110</v>
      </c>
      <c r="F29" s="569">
        <v>4136066</v>
      </c>
      <c r="G29" s="449">
        <f>F29-F28</f>
        <v>320</v>
      </c>
      <c r="H29" s="426">
        <v>18046542</v>
      </c>
      <c r="I29" s="449">
        <f>H29-H28</f>
        <v>412</v>
      </c>
      <c r="J29" s="426">
        <v>29798902</v>
      </c>
      <c r="K29" s="449">
        <f>J29-J28</f>
        <v>962</v>
      </c>
      <c r="L29" s="426">
        <v>24593114</v>
      </c>
      <c r="M29" s="449">
        <f>L29-L28</f>
        <v>732</v>
      </c>
      <c r="N29" s="297">
        <f>M29+K29+I29+G29+E29</f>
        <v>3536</v>
      </c>
      <c r="O29" s="445">
        <f>IF(B29&gt;0,N29/B29,0)</f>
        <v>0</v>
      </c>
      <c r="P29" s="563">
        <v>19257.589</v>
      </c>
      <c r="Q29" s="446">
        <f>(P29-P28)*1000</f>
        <v>3286.0000000000582</v>
      </c>
      <c r="R29" s="593">
        <f t="shared" si="43"/>
        <v>249.99999999994179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1">
        <f t="shared" si="53"/>
        <v>303080</v>
      </c>
      <c r="E30" s="579">
        <f t="shared" si="8"/>
        <v>0</v>
      </c>
      <c r="F30" s="569">
        <f t="shared" si="9"/>
        <v>4136066</v>
      </c>
      <c r="G30" s="449">
        <f t="shared" si="34"/>
        <v>0</v>
      </c>
      <c r="H30" s="426">
        <f t="shared" si="10"/>
        <v>18046542</v>
      </c>
      <c r="I30" s="449">
        <f t="shared" si="35"/>
        <v>0</v>
      </c>
      <c r="J30" s="426">
        <f t="shared" si="11"/>
        <v>29798902</v>
      </c>
      <c r="K30" s="449">
        <f t="shared" si="36"/>
        <v>0</v>
      </c>
      <c r="L30" s="426">
        <f t="shared" si="12"/>
        <v>24593114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19257.589</v>
      </c>
      <c r="Q30" s="446">
        <f t="shared" si="1"/>
        <v>0</v>
      </c>
      <c r="R30" s="593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1">
        <f t="shared" si="53"/>
        <v>303080</v>
      </c>
      <c r="E31" s="579">
        <f t="shared" si="8"/>
        <v>0</v>
      </c>
      <c r="F31" s="569">
        <f t="shared" si="9"/>
        <v>4136066</v>
      </c>
      <c r="G31" s="449">
        <f t="shared" si="34"/>
        <v>0</v>
      </c>
      <c r="H31" s="426">
        <f t="shared" si="10"/>
        <v>18046542</v>
      </c>
      <c r="I31" s="449">
        <f t="shared" si="35"/>
        <v>0</v>
      </c>
      <c r="J31" s="426">
        <f t="shared" si="11"/>
        <v>29798902</v>
      </c>
      <c r="K31" s="449">
        <f t="shared" si="36"/>
        <v>0</v>
      </c>
      <c r="L31" s="426">
        <f t="shared" si="12"/>
        <v>24593114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19257.589</v>
      </c>
      <c r="Q31" s="446">
        <f t="shared" si="1"/>
        <v>0</v>
      </c>
      <c r="R31" s="593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4">SUM(230*A32)</f>
        <v>0</v>
      </c>
      <c r="C32" s="437">
        <v>44710</v>
      </c>
      <c r="D32" s="591">
        <v>304310</v>
      </c>
      <c r="E32" s="579">
        <f t="shared" si="8"/>
        <v>1230</v>
      </c>
      <c r="F32" s="569">
        <v>4136419</v>
      </c>
      <c r="G32" s="449">
        <f t="shared" si="34"/>
        <v>353</v>
      </c>
      <c r="H32" s="426">
        <v>18046990</v>
      </c>
      <c r="I32" s="449">
        <f t="shared" si="35"/>
        <v>448</v>
      </c>
      <c r="J32" s="426">
        <v>29799696</v>
      </c>
      <c r="K32" s="449">
        <f t="shared" si="36"/>
        <v>794</v>
      </c>
      <c r="L32" s="426">
        <v>24594158</v>
      </c>
      <c r="M32" s="449">
        <f t="shared" ref="M32:M34" si="55">L32-L31</f>
        <v>1044</v>
      </c>
      <c r="N32" s="297">
        <f t="shared" ref="N32:N34" si="56">M32+K32+I32+G32+E32</f>
        <v>3869</v>
      </c>
      <c r="O32" s="445">
        <f t="shared" ref="O32:O34" si="57">IF(B32&gt;0,N32/B32,0)</f>
        <v>0</v>
      </c>
      <c r="P32" s="563">
        <v>19261.55</v>
      </c>
      <c r="Q32" s="446">
        <f t="shared" ref="Q32:Q34" si="58">(P32-P31)*1000</f>
        <v>3960.9999999993306</v>
      </c>
      <c r="R32" s="593">
        <f t="shared" ref="R32:R34" si="59">N32-Q32</f>
        <v>-91.999999999330612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60">W32-W31</f>
        <v>0</v>
      </c>
      <c r="Y32" s="426">
        <f t="shared" si="17"/>
        <v>996900</v>
      </c>
      <c r="Z32" s="428">
        <f t="shared" ref="Z32:Z34" si="61">Y32-Y31</f>
        <v>0</v>
      </c>
      <c r="AA32" s="426">
        <f t="shared" si="18"/>
        <v>36796</v>
      </c>
      <c r="AB32" s="428">
        <f t="shared" ref="AB32:AB34" si="62">AA32-AA31</f>
        <v>0</v>
      </c>
      <c r="AC32" s="426">
        <f t="shared" si="19"/>
        <v>1170516</v>
      </c>
      <c r="AD32" s="428">
        <f t="shared" ref="AD32:AD34" si="63">AC32-AC31</f>
        <v>0</v>
      </c>
      <c r="AE32" s="450">
        <f t="shared" ref="AE32:AE34" si="64">AB32+X32+T32</f>
        <v>0</v>
      </c>
      <c r="AF32" s="451">
        <f t="shared" ref="AF32:AF34" si="65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4"/>
        <v>0</v>
      </c>
      <c r="C33" s="437">
        <v>44711</v>
      </c>
      <c r="D33" s="591">
        <v>305430</v>
      </c>
      <c r="E33" s="579">
        <f t="shared" si="8"/>
        <v>1120</v>
      </c>
      <c r="F33" s="569">
        <v>4136650</v>
      </c>
      <c r="G33" s="449">
        <f t="shared" si="34"/>
        <v>231</v>
      </c>
      <c r="H33" s="426">
        <v>18047402</v>
      </c>
      <c r="I33" s="449">
        <f t="shared" si="35"/>
        <v>412</v>
      </c>
      <c r="J33" s="426">
        <v>29800388</v>
      </c>
      <c r="K33" s="449">
        <f t="shared" si="36"/>
        <v>692</v>
      </c>
      <c r="L33" s="426">
        <v>24594962</v>
      </c>
      <c r="M33" s="449">
        <f t="shared" si="55"/>
        <v>804</v>
      </c>
      <c r="N33" s="297">
        <f t="shared" si="56"/>
        <v>3259</v>
      </c>
      <c r="O33" s="445">
        <f t="shared" si="57"/>
        <v>0</v>
      </c>
      <c r="P33" s="563">
        <v>19264.900000000001</v>
      </c>
      <c r="Q33" s="446">
        <f t="shared" si="58"/>
        <v>3350.0000000021828</v>
      </c>
      <c r="R33" s="593">
        <f>N33-Q33</f>
        <v>-91.000000002182787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6">U33-U32</f>
        <v>0</v>
      </c>
      <c r="W33" s="426">
        <f t="shared" si="16"/>
        <v>33484</v>
      </c>
      <c r="X33" s="448">
        <f t="shared" si="60"/>
        <v>0</v>
      </c>
      <c r="Y33" s="426">
        <f t="shared" si="17"/>
        <v>996900</v>
      </c>
      <c r="Z33" s="428">
        <f t="shared" si="61"/>
        <v>0</v>
      </c>
      <c r="AA33" s="426">
        <f t="shared" si="18"/>
        <v>36796</v>
      </c>
      <c r="AB33" s="428">
        <f t="shared" si="62"/>
        <v>0</v>
      </c>
      <c r="AC33" s="426">
        <f t="shared" si="19"/>
        <v>1170516</v>
      </c>
      <c r="AD33" s="428">
        <f t="shared" si="63"/>
        <v>0</v>
      </c>
      <c r="AE33" s="450">
        <f t="shared" si="64"/>
        <v>0</v>
      </c>
      <c r="AF33" s="451">
        <f t="shared" si="65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4"/>
        <v>0</v>
      </c>
      <c r="C34" s="437">
        <v>44712</v>
      </c>
      <c r="D34" s="591">
        <v>306770</v>
      </c>
      <c r="E34" s="579">
        <f t="shared" si="8"/>
        <v>1340</v>
      </c>
      <c r="F34" s="569">
        <v>4137040</v>
      </c>
      <c r="G34" s="449">
        <f t="shared" si="34"/>
        <v>390</v>
      </c>
      <c r="H34" s="426">
        <v>18047918</v>
      </c>
      <c r="I34" s="449">
        <f t="shared" si="35"/>
        <v>516</v>
      </c>
      <c r="J34" s="426">
        <v>29801236</v>
      </c>
      <c r="K34" s="449">
        <f t="shared" si="36"/>
        <v>848</v>
      </c>
      <c r="L34" s="426">
        <v>24596106</v>
      </c>
      <c r="M34" s="449">
        <f t="shared" si="55"/>
        <v>1144</v>
      </c>
      <c r="N34" s="297">
        <f t="shared" si="56"/>
        <v>4238</v>
      </c>
      <c r="O34" s="445">
        <f t="shared" si="57"/>
        <v>0</v>
      </c>
      <c r="P34" s="563">
        <v>19269.245999999999</v>
      </c>
      <c r="Q34" s="446">
        <f t="shared" si="58"/>
        <v>4345.9999999977299</v>
      </c>
      <c r="R34" s="593">
        <f t="shared" si="59"/>
        <v>-107.9999999977299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60"/>
        <v>0</v>
      </c>
      <c r="Y34" s="426">
        <f t="shared" si="17"/>
        <v>996900</v>
      </c>
      <c r="Z34" s="428">
        <f t="shared" si="61"/>
        <v>0</v>
      </c>
      <c r="AA34" s="426">
        <f t="shared" si="18"/>
        <v>36796</v>
      </c>
      <c r="AB34" s="428">
        <f t="shared" si="62"/>
        <v>0</v>
      </c>
      <c r="AC34" s="426">
        <f t="shared" si="19"/>
        <v>1170516</v>
      </c>
      <c r="AD34" s="428">
        <f t="shared" si="63"/>
        <v>0</v>
      </c>
      <c r="AE34" s="450">
        <f t="shared" si="64"/>
        <v>0</v>
      </c>
      <c r="AF34" s="451">
        <f t="shared" si="65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C1" zoomScale="90" zoomScaleNormal="90" workbookViewId="0">
      <pane ySplit="1" topLeftCell="A2" activePane="bottomLeft" state="frozen"/>
      <selection activeCell="K1" sqref="K1"/>
      <selection pane="bottomLeft" activeCell="AF35" sqref="AF3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1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v>231</v>
      </c>
      <c r="C19" s="537">
        <v>237</v>
      </c>
      <c r="D19" s="45">
        <f t="shared" si="36"/>
        <v>3</v>
      </c>
      <c r="E19" s="45">
        <f t="shared" si="14"/>
        <v>25.14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v>2426</v>
      </c>
      <c r="L19" s="52">
        <f t="shared" si="19"/>
        <v>1</v>
      </c>
      <c r="M19" s="537">
        <v>179905</v>
      </c>
      <c r="N19" s="380">
        <f t="shared" si="2"/>
        <v>108</v>
      </c>
      <c r="O19" s="64">
        <f t="shared" ref="O19:O35" si="48">O18</f>
        <v>1869</v>
      </c>
      <c r="P19" s="537">
        <v>2200</v>
      </c>
      <c r="Q19" s="537">
        <v>184048</v>
      </c>
      <c r="R19" s="379">
        <f t="shared" si="44"/>
        <v>49</v>
      </c>
      <c r="S19" s="52">
        <f t="shared" si="5"/>
        <v>1</v>
      </c>
      <c r="T19" s="67">
        <f t="shared" si="37"/>
        <v>0</v>
      </c>
      <c r="U19" s="386">
        <f t="shared" si="21"/>
        <v>2</v>
      </c>
      <c r="V19" s="62">
        <f t="shared" si="22"/>
        <v>157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157</v>
      </c>
      <c r="AJ19" s="303">
        <f>-tanks!AW20</f>
        <v>157</v>
      </c>
      <c r="AK19" s="303">
        <f t="shared" si="31"/>
        <v>0</v>
      </c>
      <c r="AL19" s="303">
        <f t="shared" si="8"/>
        <v>2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v>228</v>
      </c>
      <c r="C20" s="537">
        <v>233</v>
      </c>
      <c r="D20" s="45">
        <f>C19-C20</f>
        <v>4</v>
      </c>
      <c r="E20" s="45">
        <f t="shared" si="14"/>
        <v>33.520000000000003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2426</v>
      </c>
      <c r="L20" s="52">
        <f t="shared" si="19"/>
        <v>0</v>
      </c>
      <c r="M20" s="537">
        <f t="shared" si="20"/>
        <v>179905</v>
      </c>
      <c r="N20" s="380">
        <f t="shared" si="2"/>
        <v>0</v>
      </c>
      <c r="O20" s="64">
        <f t="shared" si="48"/>
        <v>1869</v>
      </c>
      <c r="P20" s="537">
        <v>2201</v>
      </c>
      <c r="Q20" s="537">
        <v>184161</v>
      </c>
      <c r="R20" s="379">
        <f t="shared" si="44"/>
        <v>113</v>
      </c>
      <c r="S20" s="52">
        <f t="shared" si="5"/>
        <v>1</v>
      </c>
      <c r="T20" s="67">
        <f t="shared" si="37"/>
        <v>0</v>
      </c>
      <c r="U20" s="386">
        <f t="shared" si="21"/>
        <v>1</v>
      </c>
      <c r="V20" s="62">
        <f t="shared" si="22"/>
        <v>113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113</v>
      </c>
      <c r="AJ20" s="303">
        <f>-tanks!AW21</f>
        <v>113</v>
      </c>
      <c r="AK20" s="303">
        <f t="shared" si="31"/>
        <v>0</v>
      </c>
      <c r="AL20" s="303">
        <f t="shared" si="8"/>
        <v>1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v>225</v>
      </c>
      <c r="C21" s="537">
        <v>231</v>
      </c>
      <c r="D21" s="45">
        <f t="shared" ref="D21:D32" si="49">C20-C21</f>
        <v>2</v>
      </c>
      <c r="E21" s="45">
        <f t="shared" si="14"/>
        <v>16.760000000000002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2426</v>
      </c>
      <c r="L21" s="52">
        <f t="shared" si="19"/>
        <v>0</v>
      </c>
      <c r="M21" s="537">
        <f t="shared" si="20"/>
        <v>179905</v>
      </c>
      <c r="N21" s="380">
        <f t="shared" si="2"/>
        <v>0</v>
      </c>
      <c r="O21" s="64">
        <f t="shared" si="48"/>
        <v>1869</v>
      </c>
      <c r="P21" s="537">
        <v>2202</v>
      </c>
      <c r="Q21" s="537">
        <v>184263</v>
      </c>
      <c r="R21" s="379">
        <f t="shared" si="44"/>
        <v>102</v>
      </c>
      <c r="S21" s="52">
        <f t="shared" si="5"/>
        <v>1</v>
      </c>
      <c r="T21" s="67">
        <f t="shared" si="37"/>
        <v>0</v>
      </c>
      <c r="U21" s="386">
        <f t="shared" si="21"/>
        <v>1</v>
      </c>
      <c r="V21" s="62">
        <f t="shared" si="22"/>
        <v>102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v>366336</v>
      </c>
      <c r="AF21" s="293">
        <f t="shared" si="29"/>
        <v>24</v>
      </c>
      <c r="AG21" s="209">
        <f t="shared" si="39"/>
        <v>0</v>
      </c>
      <c r="AH21" s="62">
        <f t="shared" si="40"/>
        <v>24</v>
      </c>
      <c r="AI21" s="303">
        <f t="shared" si="30"/>
        <v>126</v>
      </c>
      <c r="AJ21" s="303">
        <f>-tanks!AW22</f>
        <v>126</v>
      </c>
      <c r="AK21" s="303">
        <f t="shared" si="31"/>
        <v>0</v>
      </c>
      <c r="AL21" s="303">
        <f t="shared" si="8"/>
        <v>1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v>220</v>
      </c>
      <c r="C22" s="537">
        <v>227</v>
      </c>
      <c r="D22" s="45">
        <f t="shared" si="49"/>
        <v>4</v>
      </c>
      <c r="E22" s="45">
        <f t="shared" si="14"/>
        <v>33.520000000000003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2426</v>
      </c>
      <c r="L22" s="52">
        <f t="shared" si="19"/>
        <v>0</v>
      </c>
      <c r="M22" s="537">
        <f t="shared" si="20"/>
        <v>179905</v>
      </c>
      <c r="N22" s="380">
        <f t="shared" si="2"/>
        <v>0</v>
      </c>
      <c r="O22" s="64">
        <f t="shared" si="48"/>
        <v>1869</v>
      </c>
      <c r="P22" s="537">
        <v>2204</v>
      </c>
      <c r="Q22" s="537">
        <v>184373</v>
      </c>
      <c r="R22" s="379">
        <f t="shared" si="44"/>
        <v>110</v>
      </c>
      <c r="S22" s="52">
        <f t="shared" si="5"/>
        <v>2</v>
      </c>
      <c r="T22" s="67">
        <f t="shared" si="37"/>
        <v>0</v>
      </c>
      <c r="U22" s="386">
        <f t="shared" si="21"/>
        <v>2</v>
      </c>
      <c r="V22" s="62">
        <f t="shared" si="22"/>
        <v>110</v>
      </c>
      <c r="W22" s="384"/>
      <c r="X22" s="537">
        <v>2481</v>
      </c>
      <c r="Y22" s="52">
        <f t="shared" si="25"/>
        <v>2</v>
      </c>
      <c r="Z22" s="537">
        <v>139964</v>
      </c>
      <c r="AA22" s="65">
        <f t="shared" si="6"/>
        <v>103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366336</v>
      </c>
      <c r="AF22" s="293">
        <f t="shared" si="29"/>
        <v>0</v>
      </c>
      <c r="AG22" s="209">
        <f t="shared" si="39"/>
        <v>0</v>
      </c>
      <c r="AH22" s="62">
        <f t="shared" si="40"/>
        <v>103</v>
      </c>
      <c r="AI22" s="303">
        <f t="shared" si="30"/>
        <v>213</v>
      </c>
      <c r="AJ22" s="303">
        <f>-tanks!AW23</f>
        <v>213</v>
      </c>
      <c r="AK22" s="303">
        <f t="shared" si="31"/>
        <v>0</v>
      </c>
      <c r="AL22" s="303">
        <f t="shared" si="8"/>
        <v>2</v>
      </c>
      <c r="AM22" s="303">
        <f t="shared" si="32"/>
        <v>2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v>217</v>
      </c>
      <c r="C23" s="537">
        <v>224</v>
      </c>
      <c r="D23" s="45">
        <f t="shared" si="49"/>
        <v>3</v>
      </c>
      <c r="E23" s="45">
        <f t="shared" si="14"/>
        <v>25.14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2426</v>
      </c>
      <c r="L23" s="52">
        <f t="shared" si="19"/>
        <v>0</v>
      </c>
      <c r="M23" s="537">
        <f t="shared" si="20"/>
        <v>179905</v>
      </c>
      <c r="N23" s="380">
        <f t="shared" si="2"/>
        <v>0</v>
      </c>
      <c r="O23" s="64">
        <f t="shared" si="48"/>
        <v>1869</v>
      </c>
      <c r="P23" s="537">
        <v>2205</v>
      </c>
      <c r="Q23" s="537">
        <v>184434</v>
      </c>
      <c r="R23" s="379">
        <f t="shared" si="44"/>
        <v>61</v>
      </c>
      <c r="S23" s="52">
        <f t="shared" si="5"/>
        <v>1</v>
      </c>
      <c r="T23" s="67">
        <f t="shared" si="37"/>
        <v>0</v>
      </c>
      <c r="U23" s="386">
        <f t="shared" si="21"/>
        <v>1</v>
      </c>
      <c r="V23" s="62">
        <f t="shared" si="22"/>
        <v>61</v>
      </c>
      <c r="W23" s="384"/>
      <c r="X23" s="537">
        <f t="shared" si="24"/>
        <v>2481</v>
      </c>
      <c r="Y23" s="52">
        <f t="shared" si="25"/>
        <v>0</v>
      </c>
      <c r="Z23" s="537">
        <f t="shared" si="26"/>
        <v>139964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366336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61</v>
      </c>
      <c r="AJ23" s="303">
        <f>-tanks!AW24</f>
        <v>61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217</v>
      </c>
      <c r="C24" s="537">
        <f t="shared" si="13"/>
        <v>224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2426</v>
      </c>
      <c r="L24" s="52">
        <f t="shared" si="19"/>
        <v>0</v>
      </c>
      <c r="M24" s="537">
        <f t="shared" si="20"/>
        <v>179905</v>
      </c>
      <c r="N24" s="380">
        <f t="shared" si="2"/>
        <v>0</v>
      </c>
      <c r="O24" s="64">
        <f t="shared" si="48"/>
        <v>1869</v>
      </c>
      <c r="P24" s="537">
        <f t="shared" si="45"/>
        <v>2205</v>
      </c>
      <c r="Q24" s="537">
        <f t="shared" si="46"/>
        <v>184434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2481</v>
      </c>
      <c r="Y24" s="52">
        <f t="shared" si="25"/>
        <v>0</v>
      </c>
      <c r="Z24" s="537">
        <f t="shared" si="26"/>
        <v>139964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366336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v>231.5</v>
      </c>
      <c r="C25" s="537">
        <v>237.5</v>
      </c>
      <c r="D25" s="45">
        <f t="shared" si="49"/>
        <v>-13.5</v>
      </c>
      <c r="E25" s="45">
        <f t="shared" si="14"/>
        <v>-113.13000000000001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2426</v>
      </c>
      <c r="L25" s="52">
        <f t="shared" si="19"/>
        <v>0</v>
      </c>
      <c r="M25" s="537">
        <f t="shared" si="20"/>
        <v>179905</v>
      </c>
      <c r="N25" s="380">
        <f t="shared" si="2"/>
        <v>0</v>
      </c>
      <c r="O25" s="64">
        <f t="shared" si="48"/>
        <v>1869</v>
      </c>
      <c r="P25" s="537">
        <f t="shared" si="45"/>
        <v>2205</v>
      </c>
      <c r="Q25" s="537">
        <f t="shared" si="46"/>
        <v>184434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2481</v>
      </c>
      <c r="Y25" s="52">
        <f t="shared" si="25"/>
        <v>0</v>
      </c>
      <c r="Z25" s="537">
        <f t="shared" si="26"/>
        <v>139964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366336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v>231.5</v>
      </c>
      <c r="C26" s="537">
        <v>237.5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2426</v>
      </c>
      <c r="L26" s="52">
        <f t="shared" si="19"/>
        <v>0</v>
      </c>
      <c r="M26" s="537">
        <f t="shared" si="20"/>
        <v>179905</v>
      </c>
      <c r="N26" s="380">
        <f t="shared" si="2"/>
        <v>0</v>
      </c>
      <c r="O26" s="64">
        <f t="shared" si="48"/>
        <v>1869</v>
      </c>
      <c r="P26" s="537">
        <v>2206</v>
      </c>
      <c r="Q26" s="537">
        <v>184570</v>
      </c>
      <c r="R26" s="379">
        <f t="shared" si="44"/>
        <v>136</v>
      </c>
      <c r="S26" s="52">
        <f t="shared" si="5"/>
        <v>1</v>
      </c>
      <c r="T26" s="67">
        <f t="shared" si="37"/>
        <v>0</v>
      </c>
      <c r="U26" s="386">
        <f t="shared" si="21"/>
        <v>1</v>
      </c>
      <c r="V26" s="62">
        <f t="shared" si="22"/>
        <v>136</v>
      </c>
      <c r="W26" s="384"/>
      <c r="X26" s="537">
        <f t="shared" si="24"/>
        <v>2481</v>
      </c>
      <c r="Y26" s="52">
        <f t="shared" si="25"/>
        <v>0</v>
      </c>
      <c r="Z26" s="537">
        <f t="shared" si="26"/>
        <v>139964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366336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136</v>
      </c>
      <c r="AJ26" s="303">
        <f>-tanks!AW27</f>
        <v>136</v>
      </c>
      <c r="AK26" s="303">
        <f t="shared" si="31"/>
        <v>0</v>
      </c>
      <c r="AL26" s="303">
        <f t="shared" si="8"/>
        <v>1</v>
      </c>
      <c r="AM26" s="303">
        <f t="shared" si="32"/>
        <v>0</v>
      </c>
      <c r="AN26" s="537">
        <v>67</v>
      </c>
      <c r="AO26" s="305">
        <f t="shared" si="33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210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v>227.5</v>
      </c>
      <c r="C27" s="537">
        <v>233.5</v>
      </c>
      <c r="D27" s="45">
        <f t="shared" si="49"/>
        <v>4</v>
      </c>
      <c r="E27" s="45">
        <f t="shared" si="14"/>
        <v>33.520000000000003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2426</v>
      </c>
      <c r="L27" s="52">
        <f t="shared" si="19"/>
        <v>0</v>
      </c>
      <c r="M27" s="537">
        <f t="shared" si="20"/>
        <v>179905</v>
      </c>
      <c r="N27" s="380">
        <f t="shared" si="2"/>
        <v>0</v>
      </c>
      <c r="O27" s="64">
        <f t="shared" si="48"/>
        <v>1869</v>
      </c>
      <c r="P27" s="537">
        <v>2209</v>
      </c>
      <c r="Q27" s="537">
        <v>184771</v>
      </c>
      <c r="R27" s="379">
        <f t="shared" si="44"/>
        <v>201</v>
      </c>
      <c r="S27" s="52">
        <f t="shared" si="5"/>
        <v>3</v>
      </c>
      <c r="T27" s="67">
        <f t="shared" si="37"/>
        <v>0</v>
      </c>
      <c r="U27" s="386">
        <f t="shared" si="21"/>
        <v>3</v>
      </c>
      <c r="V27" s="62">
        <f t="shared" si="22"/>
        <v>201</v>
      </c>
      <c r="W27" s="384"/>
      <c r="X27" s="537">
        <f t="shared" si="24"/>
        <v>2481</v>
      </c>
      <c r="Y27" s="52">
        <f t="shared" si="25"/>
        <v>0</v>
      </c>
      <c r="Z27" s="537">
        <f t="shared" si="26"/>
        <v>139964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366336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201</v>
      </c>
      <c r="AJ27" s="303">
        <f>-tanks!AW28</f>
        <v>201</v>
      </c>
      <c r="AK27" s="303">
        <f t="shared" si="31"/>
        <v>0</v>
      </c>
      <c r="AL27" s="303">
        <f t="shared" si="8"/>
        <v>3</v>
      </c>
      <c r="AM27" s="303">
        <f t="shared" si="32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v>224</v>
      </c>
      <c r="C28" s="537">
        <v>230</v>
      </c>
      <c r="D28" s="45">
        <f t="shared" si="49"/>
        <v>3.5</v>
      </c>
      <c r="E28" s="45">
        <f t="shared" si="14"/>
        <v>29.330000000000002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2426</v>
      </c>
      <c r="L28" s="52">
        <f t="shared" si="19"/>
        <v>0</v>
      </c>
      <c r="M28" s="537">
        <v>179940</v>
      </c>
      <c r="N28" s="380">
        <f t="shared" si="2"/>
        <v>35</v>
      </c>
      <c r="O28" s="64">
        <f t="shared" si="48"/>
        <v>1869</v>
      </c>
      <c r="P28" s="537">
        <f t="shared" si="45"/>
        <v>2209</v>
      </c>
      <c r="Q28" s="537">
        <v>184800</v>
      </c>
      <c r="R28" s="379">
        <f t="shared" si="44"/>
        <v>29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64</v>
      </c>
      <c r="W28" s="384"/>
      <c r="X28" s="537">
        <f t="shared" si="24"/>
        <v>2481</v>
      </c>
      <c r="Y28" s="52">
        <f t="shared" si="25"/>
        <v>0</v>
      </c>
      <c r="Z28" s="537">
        <f t="shared" si="26"/>
        <v>139964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366336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64</v>
      </c>
      <c r="AJ28" s="303">
        <f>-tanks!AW29</f>
        <v>64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v>221</v>
      </c>
      <c r="C29" s="537">
        <v>227</v>
      </c>
      <c r="D29" s="45">
        <f t="shared" si="49"/>
        <v>3</v>
      </c>
      <c r="E29" s="45">
        <f t="shared" si="14"/>
        <v>25.14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v>2427</v>
      </c>
      <c r="L29" s="52">
        <f t="shared" si="19"/>
        <v>1</v>
      </c>
      <c r="M29" s="537">
        <v>180038</v>
      </c>
      <c r="N29" s="380">
        <f t="shared" si="2"/>
        <v>98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1</v>
      </c>
      <c r="V29" s="62">
        <f t="shared" si="22"/>
        <v>98</v>
      </c>
      <c r="W29" s="384"/>
      <c r="X29" s="537">
        <f t="shared" si="24"/>
        <v>2481</v>
      </c>
      <c r="Y29" s="52">
        <f t="shared" si="25"/>
        <v>0</v>
      </c>
      <c r="Z29" s="537">
        <v>140007</v>
      </c>
      <c r="AA29" s="65">
        <f t="shared" si="6"/>
        <v>43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366336</v>
      </c>
      <c r="AF29" s="293">
        <f t="shared" si="29"/>
        <v>0</v>
      </c>
      <c r="AG29" s="209">
        <f t="shared" si="39"/>
        <v>0</v>
      </c>
      <c r="AH29" s="62">
        <f t="shared" si="40"/>
        <v>43</v>
      </c>
      <c r="AI29" s="303">
        <f t="shared" si="30"/>
        <v>141</v>
      </c>
      <c r="AJ29" s="303">
        <f>-tanks!AW30</f>
        <v>141</v>
      </c>
      <c r="AK29" s="303">
        <f t="shared" si="31"/>
        <v>0</v>
      </c>
      <c r="AL29" s="303">
        <f t="shared" si="8"/>
        <v>1</v>
      </c>
      <c r="AM29" s="303">
        <f t="shared" si="32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v>235</v>
      </c>
      <c r="C30" s="537">
        <v>242</v>
      </c>
      <c r="D30" s="45">
        <f>C29-C30</f>
        <v>-15</v>
      </c>
      <c r="E30" s="45">
        <f>D30*8.38</f>
        <v>-125.70000000000002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v>2428</v>
      </c>
      <c r="L30" s="52">
        <f>K30-K29</f>
        <v>1</v>
      </c>
      <c r="M30" s="537">
        <v>180093</v>
      </c>
      <c r="N30" s="380">
        <f>M30-M29</f>
        <v>55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1</v>
      </c>
      <c r="V30" s="62">
        <f t="shared" si="22"/>
        <v>55</v>
      </c>
      <c r="W30" s="384"/>
      <c r="X30" s="537">
        <f t="shared" si="24"/>
        <v>2481</v>
      </c>
      <c r="Y30" s="52">
        <f>X30-X29</f>
        <v>0</v>
      </c>
      <c r="Z30" s="537">
        <f t="shared" si="26"/>
        <v>140007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366336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55</v>
      </c>
      <c r="AJ30" s="303">
        <f>-tanks!AW31</f>
        <v>55</v>
      </c>
      <c r="AK30" s="303">
        <f t="shared" si="31"/>
        <v>0</v>
      </c>
      <c r="AL30" s="303">
        <f t="shared" si="8"/>
        <v>1</v>
      </c>
      <c r="AM30" s="303">
        <f t="shared" si="32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235</v>
      </c>
      <c r="C31" s="537">
        <f t="shared" si="13"/>
        <v>242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2428</v>
      </c>
      <c r="L31" s="52">
        <f t="shared" si="19"/>
        <v>0</v>
      </c>
      <c r="M31" s="537">
        <f t="shared" si="20"/>
        <v>180093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2481</v>
      </c>
      <c r="Y31" s="52">
        <f t="shared" si="25"/>
        <v>0</v>
      </c>
      <c r="Z31" s="537">
        <f t="shared" si="26"/>
        <v>140007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366336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235</v>
      </c>
      <c r="C32" s="537">
        <f t="shared" si="13"/>
        <v>242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2428</v>
      </c>
      <c r="L32" s="52">
        <f t="shared" si="19"/>
        <v>0</v>
      </c>
      <c r="M32" s="537">
        <f t="shared" si="20"/>
        <v>180093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2481</v>
      </c>
      <c r="Y32" s="52">
        <f t="shared" si="25"/>
        <v>0</v>
      </c>
      <c r="Z32" s="537">
        <f t="shared" si="26"/>
        <v>140007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366336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v>230</v>
      </c>
      <c r="C33" s="537">
        <v>237</v>
      </c>
      <c r="D33" s="45">
        <f t="shared" ref="D33:D35" si="54">C32-C33</f>
        <v>5</v>
      </c>
      <c r="E33" s="45">
        <f t="shared" ref="E33:E35" si="55">D33*8.38</f>
        <v>41.900000000000006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v>2430</v>
      </c>
      <c r="L33" s="52">
        <f t="shared" ref="L33:L35" si="59">K33-K32</f>
        <v>2</v>
      </c>
      <c r="M33" s="537">
        <v>180248</v>
      </c>
      <c r="N33" s="380">
        <f t="shared" ref="N33:N35" si="60">M33-M32</f>
        <v>155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2</v>
      </c>
      <c r="V33" s="62">
        <f t="shared" ref="V33:V35" si="65">R33+N33+I33:I33</f>
        <v>155</v>
      </c>
      <c r="W33" s="384"/>
      <c r="X33" s="537">
        <f t="shared" si="24"/>
        <v>2481</v>
      </c>
      <c r="Y33" s="52">
        <f t="shared" ref="Y33:Y35" si="66">X33-X32</f>
        <v>0</v>
      </c>
      <c r="Z33" s="537">
        <f t="shared" si="26"/>
        <v>140007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366336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155</v>
      </c>
      <c r="AJ33" s="303">
        <f>-tanks!AW34</f>
        <v>155</v>
      </c>
      <c r="AK33" s="303">
        <f t="shared" ref="AK33:AK35" si="74">SUM(AJ33-AI33)</f>
        <v>0</v>
      </c>
      <c r="AL33" s="303">
        <f t="shared" ref="AL33:AL35" si="75">S33+L33+G33</f>
        <v>2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v>246</v>
      </c>
      <c r="C34" s="537">
        <v>252</v>
      </c>
      <c r="D34" s="45">
        <f t="shared" si="54"/>
        <v>-15</v>
      </c>
      <c r="E34" s="45">
        <f t="shared" si="55"/>
        <v>-125.70000000000002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v>2431</v>
      </c>
      <c r="L34" s="52">
        <f t="shared" si="59"/>
        <v>1</v>
      </c>
      <c r="M34" s="537">
        <v>180347</v>
      </c>
      <c r="N34" s="380">
        <f t="shared" si="60"/>
        <v>99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1</v>
      </c>
      <c r="V34" s="62">
        <f t="shared" si="65"/>
        <v>99</v>
      </c>
      <c r="W34" s="384"/>
      <c r="X34" s="537">
        <f t="shared" si="24"/>
        <v>2481</v>
      </c>
      <c r="Y34" s="52">
        <f t="shared" si="66"/>
        <v>0</v>
      </c>
      <c r="Z34" s="537">
        <f t="shared" si="26"/>
        <v>140007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366336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99</v>
      </c>
      <c r="AJ34" s="303">
        <f>-tanks!AW35</f>
        <v>99</v>
      </c>
      <c r="AK34" s="303">
        <f t="shared" si="74"/>
        <v>0</v>
      </c>
      <c r="AL34" s="303">
        <f t="shared" si="75"/>
        <v>1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v>240</v>
      </c>
      <c r="C35" s="537">
        <v>247</v>
      </c>
      <c r="D35" s="45">
        <f t="shared" si="54"/>
        <v>5</v>
      </c>
      <c r="E35" s="45">
        <f t="shared" si="55"/>
        <v>41.900000000000006</v>
      </c>
      <c r="F35" s="537">
        <v>2243</v>
      </c>
      <c r="G35" s="52">
        <f t="shared" si="56"/>
        <v>1</v>
      </c>
      <c r="H35" s="537">
        <v>43560</v>
      </c>
      <c r="I35" s="380">
        <f t="shared" si="57"/>
        <v>66</v>
      </c>
      <c r="J35" s="66">
        <f t="shared" si="58"/>
        <v>66</v>
      </c>
      <c r="K35" s="537">
        <f t="shared" si="18"/>
        <v>2431</v>
      </c>
      <c r="L35" s="52">
        <f t="shared" si="59"/>
        <v>0</v>
      </c>
      <c r="M35" s="537">
        <f t="shared" si="20"/>
        <v>180347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1</v>
      </c>
      <c r="V35" s="62">
        <f t="shared" si="65"/>
        <v>66</v>
      </c>
      <c r="W35" s="384"/>
      <c r="X35" s="537">
        <f t="shared" si="24"/>
        <v>2481</v>
      </c>
      <c r="Y35" s="52">
        <f t="shared" si="66"/>
        <v>0</v>
      </c>
      <c r="Z35" s="537">
        <f t="shared" si="26"/>
        <v>140007</v>
      </c>
      <c r="AA35" s="65">
        <f t="shared" si="67"/>
        <v>0</v>
      </c>
      <c r="AB35" s="273">
        <f t="shared" si="68"/>
        <v>0</v>
      </c>
      <c r="AC35" s="537">
        <v>1945</v>
      </c>
      <c r="AD35" s="259">
        <f t="shared" si="69"/>
        <v>1</v>
      </c>
      <c r="AE35" s="537">
        <v>366385</v>
      </c>
      <c r="AF35" s="293">
        <f t="shared" si="70"/>
        <v>49</v>
      </c>
      <c r="AG35" s="209">
        <f t="shared" si="71"/>
        <v>49</v>
      </c>
      <c r="AH35" s="62">
        <f t="shared" si="72"/>
        <v>49</v>
      </c>
      <c r="AI35" s="303">
        <f t="shared" si="73"/>
        <v>115</v>
      </c>
      <c r="AJ35" s="303">
        <f>-tanks!AW36</f>
        <v>115</v>
      </c>
      <c r="AK35" s="303">
        <f t="shared" si="74"/>
        <v>0</v>
      </c>
      <c r="AL35" s="303">
        <f t="shared" si="75"/>
        <v>1</v>
      </c>
      <c r="AM35" s="303">
        <f t="shared" si="76"/>
        <v>1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30</v>
      </c>
      <c r="V36" s="62">
        <f>SUM(V5:V35)</f>
        <v>2620</v>
      </c>
      <c r="AE36" s="71" t="s">
        <v>379</v>
      </c>
      <c r="AG36" s="329"/>
      <c r="AH36" s="62">
        <f>SUM(AH5:AH35)</f>
        <v>382</v>
      </c>
      <c r="AL36" s="62">
        <f>SUM(AL5:AL35)</f>
        <v>30</v>
      </c>
      <c r="AM36" s="62">
        <f>SUM(AM5:AM35)</f>
        <v>5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210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87.333333333333329</v>
      </c>
      <c r="AH37" s="62">
        <f>AF37+AA37</f>
        <v>0</v>
      </c>
      <c r="AI37" s="306">
        <f>SUM(AI5:AI35)</f>
        <v>3002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107.10000000000001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19" activePane="bottomLeft" state="frozen"/>
      <selection pane="bottomLeft" activeCell="AY36" sqref="AY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8173131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v>628571</v>
      </c>
      <c r="H20" s="5">
        <f t="shared" si="9"/>
        <v>89</v>
      </c>
      <c r="I20" s="5">
        <f t="shared" si="10"/>
        <v>89</v>
      </c>
      <c r="J20" s="319">
        <f t="shared" si="0"/>
        <v>2.7183762232693005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v>242.64</v>
      </c>
      <c r="AF20" s="83">
        <f t="shared" si="22"/>
        <v>0.40999999999999659</v>
      </c>
      <c r="AG20" s="5">
        <v>2231.1799999999998</v>
      </c>
      <c r="AH20" s="83">
        <f t="shared" si="24"/>
        <v>1.419999999999618</v>
      </c>
      <c r="AI20" s="83">
        <f t="shared" si="25"/>
        <v>1.8299999999996146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20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v>207</v>
      </c>
      <c r="AU20" s="408">
        <f t="shared" si="43"/>
        <v>1.1000000000000001</v>
      </c>
      <c r="AV20" s="201">
        <v>93</v>
      </c>
      <c r="AW20" s="5">
        <v>2.9</v>
      </c>
      <c r="AX20" s="201">
        <v>95</v>
      </c>
      <c r="AY20" s="409">
        <f>AS20*AT20</f>
        <v>186.3</v>
      </c>
      <c r="AZ20" s="409">
        <f>AU20*AV20</f>
        <v>102.30000000000001</v>
      </c>
      <c r="BA20" s="409">
        <f>AW20*AX20</f>
        <v>275.5</v>
      </c>
      <c r="BB20" s="21">
        <f t="shared" si="47"/>
        <v>48.599999999999994</v>
      </c>
      <c r="BC20" s="21">
        <f t="shared" si="47"/>
        <v>-5.5</v>
      </c>
      <c r="BD20" s="21">
        <f t="shared" si="47"/>
        <v>-37.699999999999989</v>
      </c>
      <c r="BE20" s="24">
        <f>SUM(BB20:BD20)</f>
        <v>5.4000000000000057</v>
      </c>
      <c r="BF20" s="96">
        <f t="shared" si="34"/>
        <v>83.6</v>
      </c>
      <c r="BG20" s="82">
        <f t="shared" si="4"/>
        <v>5.4000000000000057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v>628571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v>5186</v>
      </c>
      <c r="U21" s="5">
        <f t="shared" si="3"/>
        <v>4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242.64</v>
      </c>
      <c r="AF21" s="83">
        <f t="shared" si="22"/>
        <v>0</v>
      </c>
      <c r="AG21" s="5">
        <f t="shared" si="23"/>
        <v>2231.1799999999998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20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207</v>
      </c>
      <c r="AU21" s="408">
        <f t="shared" si="43"/>
        <v>1.1000000000000001</v>
      </c>
      <c r="AV21" s="201">
        <v>92</v>
      </c>
      <c r="AW21" s="5">
        <v>2.9</v>
      </c>
      <c r="AX21" s="201">
        <v>104</v>
      </c>
      <c r="AY21" s="409">
        <f>AS21*AT21</f>
        <v>186.3</v>
      </c>
      <c r="AZ21" s="409">
        <f>AU21*AV21</f>
        <v>101.2</v>
      </c>
      <c r="BA21" s="409">
        <f>AW21*AX21</f>
        <v>301.59999999999997</v>
      </c>
      <c r="BB21" s="21">
        <f t="shared" ref="BB21:BD33" si="48">AY21-AY20</f>
        <v>0</v>
      </c>
      <c r="BC21" s="21">
        <f t="shared" si="32"/>
        <v>-1.1000000000000085</v>
      </c>
      <c r="BD21" s="21">
        <f t="shared" si="32"/>
        <v>26.099999999999966</v>
      </c>
      <c r="BE21" s="24">
        <f t="shared" si="33"/>
        <v>24.999999999999957</v>
      </c>
      <c r="BF21" s="96">
        <f t="shared" si="34"/>
        <v>-24.999999999999957</v>
      </c>
      <c r="BG21" s="82">
        <f t="shared" si="4"/>
        <v>24.999999999999957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628571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242.64</v>
      </c>
      <c r="AF22" s="83">
        <f t="shared" si="22"/>
        <v>0</v>
      </c>
      <c r="AG22" s="5">
        <f t="shared" si="23"/>
        <v>2231.1799999999998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20.5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v>178</v>
      </c>
      <c r="AU22" s="408">
        <f t="shared" si="43"/>
        <v>1.1000000000000001</v>
      </c>
      <c r="AV22" s="201">
        <v>85</v>
      </c>
      <c r="AW22" s="5">
        <v>2.9</v>
      </c>
      <c r="AX22" s="201">
        <v>103</v>
      </c>
      <c r="AY22" s="409">
        <f t="shared" si="37"/>
        <v>160.20000000000002</v>
      </c>
      <c r="AZ22" s="409">
        <f t="shared" si="38"/>
        <v>93.500000000000014</v>
      </c>
      <c r="BA22" s="409">
        <f t="shared" si="39"/>
        <v>298.7</v>
      </c>
      <c r="BB22" s="21">
        <f>AY22-AY21</f>
        <v>-26.099999999999994</v>
      </c>
      <c r="BC22" s="21">
        <f t="shared" si="48"/>
        <v>-7.6999999999999886</v>
      </c>
      <c r="BD22" s="21">
        <f t="shared" si="48"/>
        <v>-2.8999999999999773</v>
      </c>
      <c r="BE22" s="24">
        <f t="shared" si="33"/>
        <v>-36.69999999999996</v>
      </c>
      <c r="BF22" s="96">
        <f t="shared" si="34"/>
        <v>36.69999999999996</v>
      </c>
      <c r="BG22" s="82">
        <f t="shared" si="4"/>
        <v>-36.69999999999996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628571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v>155524</v>
      </c>
      <c r="Y23" s="309">
        <f t="shared" si="42"/>
        <v>159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242.64</v>
      </c>
      <c r="AF23" s="83">
        <f t="shared" si="22"/>
        <v>0</v>
      </c>
      <c r="AG23" s="5">
        <v>2241.54</v>
      </c>
      <c r="AH23" s="83">
        <f t="shared" si="24"/>
        <v>10.360000000000127</v>
      </c>
      <c r="AI23" s="83">
        <f t="shared" si="25"/>
        <v>10.360000000000127</v>
      </c>
      <c r="AJ23" s="311">
        <f t="shared" si="26"/>
        <v>0</v>
      </c>
      <c r="AK23" s="312">
        <f t="shared" si="36"/>
        <v>159</v>
      </c>
      <c r="AL23" s="312">
        <f t="shared" si="27"/>
        <v>0</v>
      </c>
      <c r="AM23" s="312">
        <f>'General information '!D22</f>
        <v>20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v>12</v>
      </c>
      <c r="AU23" s="408">
        <f t="shared" si="43"/>
        <v>1.1000000000000001</v>
      </c>
      <c r="AV23" s="201">
        <v>78</v>
      </c>
      <c r="AW23" s="5">
        <v>2.9</v>
      </c>
      <c r="AX23" s="201">
        <v>145</v>
      </c>
      <c r="AY23" s="409">
        <f t="shared" si="37"/>
        <v>10.8</v>
      </c>
      <c r="AZ23" s="409">
        <f t="shared" si="38"/>
        <v>85.800000000000011</v>
      </c>
      <c r="BA23" s="409">
        <f t="shared" si="39"/>
        <v>420.5</v>
      </c>
      <c r="BB23" s="21">
        <f t="shared" si="48"/>
        <v>-149.4</v>
      </c>
      <c r="BC23" s="21">
        <f t="shared" si="48"/>
        <v>-7.7000000000000028</v>
      </c>
      <c r="BD23" s="21">
        <f t="shared" si="48"/>
        <v>121.80000000000001</v>
      </c>
      <c r="BE23" s="24">
        <f t="shared" si="33"/>
        <v>-35.300000000000011</v>
      </c>
      <c r="BF23" s="96">
        <f t="shared" si="34"/>
        <v>35.300000000000011</v>
      </c>
      <c r="BG23" s="82">
        <f t="shared" si="4"/>
        <v>-35.300000000000011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628571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155524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242.64</v>
      </c>
      <c r="AF24" s="83">
        <f t="shared" si="22"/>
        <v>0</v>
      </c>
      <c r="AG24" s="5">
        <f t="shared" si="23"/>
        <v>2241.54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21.5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v>140</v>
      </c>
      <c r="AU24" s="408">
        <f t="shared" si="43"/>
        <v>1.1000000000000001</v>
      </c>
      <c r="AV24" s="201">
        <v>76</v>
      </c>
      <c r="AW24" s="5">
        <v>2.9</v>
      </c>
      <c r="AX24" s="201">
        <v>142</v>
      </c>
      <c r="AY24" s="409">
        <f t="shared" si="37"/>
        <v>126</v>
      </c>
      <c r="AZ24" s="409">
        <f t="shared" si="38"/>
        <v>83.600000000000009</v>
      </c>
      <c r="BA24" s="409">
        <f t="shared" si="39"/>
        <v>411.8</v>
      </c>
      <c r="BB24" s="21">
        <f t="shared" si="48"/>
        <v>115.2</v>
      </c>
      <c r="BC24" s="21">
        <f t="shared" si="48"/>
        <v>-2.2000000000000028</v>
      </c>
      <c r="BD24" s="21">
        <f t="shared" si="48"/>
        <v>-8.6999999999999886</v>
      </c>
      <c r="BE24" s="24">
        <f t="shared" si="33"/>
        <v>104.30000000000001</v>
      </c>
      <c r="BF24" s="96">
        <f t="shared" si="34"/>
        <v>-104.30000000000001</v>
      </c>
      <c r="BG24" s="82">
        <f t="shared" si="4"/>
        <v>104.30000000000001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628571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155524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242.64</v>
      </c>
      <c r="AF25" s="83">
        <f t="shared" si="22"/>
        <v>0</v>
      </c>
      <c r="AG25" s="5">
        <f t="shared" si="23"/>
        <v>2241.54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140</v>
      </c>
      <c r="AU25" s="408">
        <f t="shared" si="43"/>
        <v>1.1000000000000001</v>
      </c>
      <c r="AV25" s="201">
        <f t="shared" si="30"/>
        <v>76</v>
      </c>
      <c r="AW25" s="5">
        <v>2.9</v>
      </c>
      <c r="AX25" s="201">
        <f t="shared" si="31"/>
        <v>142</v>
      </c>
      <c r="AY25" s="409">
        <f t="shared" si="37"/>
        <v>126</v>
      </c>
      <c r="AZ25" s="409">
        <f t="shared" si="38"/>
        <v>83.600000000000009</v>
      </c>
      <c r="BA25" s="409">
        <f t="shared" si="39"/>
        <v>411.8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628571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14"/>
        <v>493</v>
      </c>
      <c r="W26" s="309">
        <f t="shared" si="15"/>
        <v>0</v>
      </c>
      <c r="X26" s="5">
        <f t="shared" si="16"/>
        <v>155524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242.64</v>
      </c>
      <c r="AF26" s="83">
        <f t="shared" si="22"/>
        <v>0</v>
      </c>
      <c r="AG26" s="5">
        <f t="shared" si="23"/>
        <v>2241.54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140</v>
      </c>
      <c r="AU26" s="408">
        <f t="shared" si="43"/>
        <v>1.1000000000000001</v>
      </c>
      <c r="AV26" s="201">
        <f t="shared" si="30"/>
        <v>76</v>
      </c>
      <c r="AW26" s="5">
        <v>2.9</v>
      </c>
      <c r="AX26" s="201">
        <f t="shared" si="31"/>
        <v>142</v>
      </c>
      <c r="AY26" s="409">
        <f t="shared" si="37"/>
        <v>126</v>
      </c>
      <c r="AZ26" s="409">
        <f t="shared" si="38"/>
        <v>83.600000000000009</v>
      </c>
      <c r="BA26" s="409">
        <f t="shared" si="39"/>
        <v>411.8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v>628815</v>
      </c>
      <c r="H27" s="5">
        <f t="shared" si="9"/>
        <v>244</v>
      </c>
      <c r="I27" s="5">
        <f t="shared" si="10"/>
        <v>244</v>
      </c>
      <c r="J27" s="319">
        <f t="shared" si="0"/>
        <v>0.99153886832363824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14"/>
        <v>493</v>
      </c>
      <c r="W27" s="309">
        <f t="shared" si="15"/>
        <v>0</v>
      </c>
      <c r="X27" s="5">
        <f t="shared" si="16"/>
        <v>155524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v>246</v>
      </c>
      <c r="AC27" s="5">
        <f t="shared" si="20"/>
        <v>790</v>
      </c>
      <c r="AD27" s="83">
        <f t="shared" si="35"/>
        <v>0</v>
      </c>
      <c r="AE27" s="5">
        <f t="shared" si="21"/>
        <v>242.64</v>
      </c>
      <c r="AF27" s="83">
        <f t="shared" si="22"/>
        <v>0</v>
      </c>
      <c r="AG27" s="5">
        <f t="shared" si="23"/>
        <v>2241.54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22.5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v>185</v>
      </c>
      <c r="AU27" s="408">
        <f t="shared" si="43"/>
        <v>1.1000000000000001</v>
      </c>
      <c r="AV27" s="201">
        <v>80</v>
      </c>
      <c r="AW27" s="5">
        <v>2.9</v>
      </c>
      <c r="AX27" s="201">
        <f t="shared" si="31"/>
        <v>142</v>
      </c>
      <c r="AY27" s="409">
        <f t="shared" si="37"/>
        <v>166.5</v>
      </c>
      <c r="AZ27" s="409">
        <f t="shared" si="38"/>
        <v>88</v>
      </c>
      <c r="BA27" s="409">
        <f t="shared" si="39"/>
        <v>411.8</v>
      </c>
      <c r="BB27" s="21">
        <f t="shared" si="48"/>
        <v>40.5</v>
      </c>
      <c r="BC27" s="21">
        <f t="shared" si="48"/>
        <v>4.3999999999999915</v>
      </c>
      <c r="BD27" s="21">
        <f t="shared" si="48"/>
        <v>0</v>
      </c>
      <c r="BE27" s="24">
        <f t="shared" si="33"/>
        <v>44.899999999999991</v>
      </c>
      <c r="BF27" s="96">
        <f t="shared" si="34"/>
        <v>199.10000000000002</v>
      </c>
      <c r="BG27" s="82">
        <f t="shared" si="4"/>
        <v>44.899999999999977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628815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14"/>
        <v>493</v>
      </c>
      <c r="W28" s="309">
        <f t="shared" si="15"/>
        <v>0</v>
      </c>
      <c r="X28" s="5">
        <f t="shared" si="16"/>
        <v>155524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246</v>
      </c>
      <c r="AC28" s="5">
        <f t="shared" si="20"/>
        <v>790</v>
      </c>
      <c r="AD28" s="83">
        <f t="shared" si="35"/>
        <v>0</v>
      </c>
      <c r="AE28" s="5">
        <f t="shared" si="21"/>
        <v>242.64</v>
      </c>
      <c r="AF28" s="83">
        <f t="shared" si="22"/>
        <v>0</v>
      </c>
      <c r="AG28" s="5">
        <f t="shared" si="23"/>
        <v>2241.54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22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185</v>
      </c>
      <c r="AU28" s="408">
        <f t="shared" si="43"/>
        <v>1.1000000000000001</v>
      </c>
      <c r="AV28" s="201">
        <v>79</v>
      </c>
      <c r="AW28" s="5">
        <v>2.9</v>
      </c>
      <c r="AX28" s="201">
        <v>140</v>
      </c>
      <c r="AY28" s="409">
        <f t="shared" si="37"/>
        <v>166.5</v>
      </c>
      <c r="AZ28" s="409">
        <f t="shared" si="38"/>
        <v>86.9</v>
      </c>
      <c r="BA28" s="409">
        <f t="shared" si="39"/>
        <v>406</v>
      </c>
      <c r="BB28" s="21">
        <f t="shared" si="48"/>
        <v>0</v>
      </c>
      <c r="BC28" s="21">
        <f t="shared" si="48"/>
        <v>-1.0999999999999943</v>
      </c>
      <c r="BD28" s="21">
        <f t="shared" si="48"/>
        <v>-5.8000000000000114</v>
      </c>
      <c r="BE28" s="24">
        <f t="shared" si="33"/>
        <v>-6.9000000000000057</v>
      </c>
      <c r="BF28" s="96">
        <f t="shared" si="34"/>
        <v>6.9000000000000057</v>
      </c>
      <c r="BG28" s="82">
        <f t="shared" si="4"/>
        <v>-6.9000000000000057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628815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14"/>
        <v>493</v>
      </c>
      <c r="W29" s="309">
        <f t="shared" si="15"/>
        <v>0</v>
      </c>
      <c r="X29" s="5">
        <f t="shared" si="16"/>
        <v>155524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246</v>
      </c>
      <c r="AC29" s="5">
        <f t="shared" si="20"/>
        <v>790</v>
      </c>
      <c r="AD29" s="83">
        <f t="shared" si="35"/>
        <v>0</v>
      </c>
      <c r="AE29" s="5">
        <f t="shared" si="21"/>
        <v>242.64</v>
      </c>
      <c r="AF29" s="83">
        <f t="shared" si="22"/>
        <v>0</v>
      </c>
      <c r="AG29" s="5">
        <f t="shared" si="23"/>
        <v>2241.54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22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v>139</v>
      </c>
      <c r="AU29" s="408">
        <f t="shared" si="43"/>
        <v>1.1000000000000001</v>
      </c>
      <c r="AV29" s="201">
        <v>78</v>
      </c>
      <c r="AW29" s="5">
        <v>2.9</v>
      </c>
      <c r="AX29" s="201">
        <v>158</v>
      </c>
      <c r="AY29" s="409">
        <f t="shared" si="37"/>
        <v>125.10000000000001</v>
      </c>
      <c r="AZ29" s="409">
        <f t="shared" si="38"/>
        <v>85.800000000000011</v>
      </c>
      <c r="BA29" s="409">
        <f t="shared" si="39"/>
        <v>458.2</v>
      </c>
      <c r="BB29" s="21">
        <f t="shared" si="48"/>
        <v>-41.399999999999991</v>
      </c>
      <c r="BC29" s="21">
        <f t="shared" si="48"/>
        <v>-1.0999999999999943</v>
      </c>
      <c r="BD29" s="21">
        <f t="shared" si="48"/>
        <v>52.199999999999989</v>
      </c>
      <c r="BE29" s="24">
        <f t="shared" si="33"/>
        <v>9.7000000000000028</v>
      </c>
      <c r="BF29" s="96">
        <f t="shared" si="34"/>
        <v>-9.7000000000000028</v>
      </c>
      <c r="BG29" s="82">
        <f t="shared" si="4"/>
        <v>9.7000000000000028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628815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14"/>
        <v>493</v>
      </c>
      <c r="W30" s="309">
        <f t="shared" si="15"/>
        <v>0</v>
      </c>
      <c r="X30" s="5">
        <f t="shared" si="16"/>
        <v>155524</v>
      </c>
      <c r="Y30" s="309">
        <f t="shared" si="42"/>
        <v>0</v>
      </c>
      <c r="Z30" s="5">
        <v>99465</v>
      </c>
      <c r="AA30" s="83">
        <f t="shared" si="18"/>
        <v>82</v>
      </c>
      <c r="AB30" s="5">
        <v>244</v>
      </c>
      <c r="AC30" s="5">
        <f t="shared" si="20"/>
        <v>790</v>
      </c>
      <c r="AD30" s="83">
        <f t="shared" si="35"/>
        <v>0</v>
      </c>
      <c r="AE30" s="5">
        <v>244.4</v>
      </c>
      <c r="AF30" s="83">
        <f t="shared" si="22"/>
        <v>1.7600000000000193</v>
      </c>
      <c r="AG30" s="5">
        <v>2247.41</v>
      </c>
      <c r="AH30" s="83">
        <f t="shared" si="24"/>
        <v>5.8699999999998909</v>
      </c>
      <c r="AI30" s="83">
        <f t="shared" si="25"/>
        <v>7.6299999999999102</v>
      </c>
      <c r="AJ30" s="311">
        <f t="shared" si="26"/>
        <v>82</v>
      </c>
      <c r="AK30" s="312">
        <f t="shared" si="36"/>
        <v>0</v>
      </c>
      <c r="AL30" s="312">
        <f t="shared" si="27"/>
        <v>82</v>
      </c>
      <c r="AM30" s="312">
        <f>'General information '!D29</f>
        <v>22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v>42</v>
      </c>
      <c r="AU30" s="408">
        <f t="shared" si="43"/>
        <v>1.1000000000000001</v>
      </c>
      <c r="AV30" s="201">
        <v>140</v>
      </c>
      <c r="AW30" s="5">
        <v>2.9</v>
      </c>
      <c r="AX30" s="201">
        <v>137</v>
      </c>
      <c r="AY30" s="409">
        <f t="shared" si="37"/>
        <v>37.800000000000004</v>
      </c>
      <c r="AZ30" s="409">
        <f t="shared" si="38"/>
        <v>154</v>
      </c>
      <c r="BA30" s="409">
        <f t="shared" si="39"/>
        <v>397.3</v>
      </c>
      <c r="BB30" s="21">
        <f t="shared" si="48"/>
        <v>-87.300000000000011</v>
      </c>
      <c r="BC30" s="21">
        <f t="shared" si="48"/>
        <v>68.199999999999989</v>
      </c>
      <c r="BD30" s="21">
        <f t="shared" si="48"/>
        <v>-60.899999999999977</v>
      </c>
      <c r="BE30" s="24">
        <f t="shared" si="33"/>
        <v>-80</v>
      </c>
      <c r="BF30" s="96">
        <f t="shared" si="34"/>
        <v>80</v>
      </c>
      <c r="BG30" s="82">
        <f t="shared" si="4"/>
        <v>-80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628815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14"/>
        <v>493</v>
      </c>
      <c r="W31" s="309">
        <f t="shared" si="15"/>
        <v>0</v>
      </c>
      <c r="X31" s="5">
        <f t="shared" si="16"/>
        <v>155524</v>
      </c>
      <c r="Y31" s="309">
        <f t="shared" si="42"/>
        <v>0</v>
      </c>
      <c r="Z31" s="5">
        <f t="shared" si="17"/>
        <v>99465</v>
      </c>
      <c r="AA31" s="83">
        <f t="shared" si="18"/>
        <v>0</v>
      </c>
      <c r="AB31" s="5">
        <v>243</v>
      </c>
      <c r="AC31" s="5">
        <f t="shared" si="20"/>
        <v>790</v>
      </c>
      <c r="AD31" s="83">
        <f t="shared" si="35"/>
        <v>0</v>
      </c>
      <c r="AE31" s="5">
        <f t="shared" si="21"/>
        <v>244.4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23.5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v>72</v>
      </c>
      <c r="AU31" s="408">
        <f t="shared" si="43"/>
        <v>1.1000000000000001</v>
      </c>
      <c r="AV31" s="201">
        <v>128</v>
      </c>
      <c r="AW31" s="5">
        <v>2.9</v>
      </c>
      <c r="AX31" s="201">
        <v>131</v>
      </c>
      <c r="AY31" s="409">
        <f t="shared" si="37"/>
        <v>64.8</v>
      </c>
      <c r="AZ31" s="409">
        <f>AU31*AV31</f>
        <v>140.80000000000001</v>
      </c>
      <c r="BA31" s="409">
        <f t="shared" si="39"/>
        <v>379.9</v>
      </c>
      <c r="BB31" s="21">
        <f t="shared" si="48"/>
        <v>26.999999999999993</v>
      </c>
      <c r="BC31" s="21">
        <f t="shared" si="48"/>
        <v>-13.199999999999989</v>
      </c>
      <c r="BD31" s="21">
        <f t="shared" si="48"/>
        <v>-17.400000000000034</v>
      </c>
      <c r="BE31" s="24">
        <f t="shared" si="33"/>
        <v>-3.6000000000000298</v>
      </c>
      <c r="BF31" s="96">
        <f t="shared" si="34"/>
        <v>3.6000000000000298</v>
      </c>
      <c r="BG31" s="82">
        <f t="shared" si="4"/>
        <v>-3.6000000000000298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628815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14"/>
        <v>493</v>
      </c>
      <c r="W32" s="309">
        <f t="shared" si="15"/>
        <v>0</v>
      </c>
      <c r="X32" s="5">
        <f t="shared" si="16"/>
        <v>155524</v>
      </c>
      <c r="Y32" s="309">
        <f t="shared" si="42"/>
        <v>0</v>
      </c>
      <c r="Z32" s="5">
        <f t="shared" si="17"/>
        <v>99465</v>
      </c>
      <c r="AA32" s="83">
        <f t="shared" si="18"/>
        <v>0</v>
      </c>
      <c r="AB32" s="5">
        <f t="shared" si="19"/>
        <v>243</v>
      </c>
      <c r="AC32" s="5">
        <f t="shared" si="20"/>
        <v>790</v>
      </c>
      <c r="AD32" s="83">
        <f t="shared" si="35"/>
        <v>0</v>
      </c>
      <c r="AE32" s="5">
        <f t="shared" si="21"/>
        <v>244.4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72</v>
      </c>
      <c r="AU32" s="408">
        <f t="shared" si="43"/>
        <v>1.1000000000000001</v>
      </c>
      <c r="AV32" s="201">
        <f t="shared" si="30"/>
        <v>128</v>
      </c>
      <c r="AW32" s="5">
        <v>2.9</v>
      </c>
      <c r="AX32" s="201">
        <f t="shared" si="31"/>
        <v>131</v>
      </c>
      <c r="AY32" s="409">
        <f t="shared" si="37"/>
        <v>64.8</v>
      </c>
      <c r="AZ32" s="409">
        <f t="shared" si="38"/>
        <v>140.80000000000001</v>
      </c>
      <c r="BA32" s="409">
        <f t="shared" si="39"/>
        <v>379.9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628815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14"/>
        <v>493</v>
      </c>
      <c r="W33" s="309">
        <f t="shared" si="15"/>
        <v>0</v>
      </c>
      <c r="X33" s="5">
        <f t="shared" si="16"/>
        <v>155524</v>
      </c>
      <c r="Y33" s="309">
        <f t="shared" si="42"/>
        <v>0</v>
      </c>
      <c r="Z33" s="5">
        <f t="shared" si="17"/>
        <v>99465</v>
      </c>
      <c r="AA33" s="83">
        <f t="shared" si="18"/>
        <v>0</v>
      </c>
      <c r="AB33" s="5">
        <f t="shared" si="19"/>
        <v>243</v>
      </c>
      <c r="AC33" s="5">
        <f t="shared" si="20"/>
        <v>790</v>
      </c>
      <c r="AD33" s="83">
        <f t="shared" si="35"/>
        <v>0</v>
      </c>
      <c r="AE33" s="5">
        <f t="shared" si="21"/>
        <v>244.4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72</v>
      </c>
      <c r="AU33" s="408">
        <f t="shared" si="43"/>
        <v>1.1000000000000001</v>
      </c>
      <c r="AV33" s="201">
        <f t="shared" si="30"/>
        <v>128</v>
      </c>
      <c r="AW33" s="5">
        <v>2.9</v>
      </c>
      <c r="AX33" s="201">
        <f t="shared" si="31"/>
        <v>131</v>
      </c>
      <c r="AY33" s="409">
        <f t="shared" si="37"/>
        <v>64.8</v>
      </c>
      <c r="AZ33" s="409">
        <f t="shared" si="38"/>
        <v>140.80000000000001</v>
      </c>
      <c r="BA33" s="409">
        <f t="shared" si="39"/>
        <v>379.9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v>628889</v>
      </c>
      <c r="H34" s="5">
        <f t="shared" ref="H34:H36" si="52">G34-G33</f>
        <v>74</v>
      </c>
      <c r="I34" s="5">
        <f t="shared" ref="I34:I36" si="53">C34+H34</f>
        <v>74</v>
      </c>
      <c r="J34" s="319">
        <f t="shared" ref="J34:J36" si="54">IF(I34&gt;0,E34/I34,0)</f>
        <v>3.2693984306887534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5186</v>
      </c>
      <c r="U34" s="5">
        <f t="shared" ref="U34:U36" si="59">SUM(T34-T33)</f>
        <v>0</v>
      </c>
      <c r="V34" s="5">
        <f t="shared" si="14"/>
        <v>493</v>
      </c>
      <c r="W34" s="309">
        <f t="shared" ref="W34:W36" si="60">+V34-V33</f>
        <v>0</v>
      </c>
      <c r="X34" s="5">
        <f t="shared" si="16"/>
        <v>155524</v>
      </c>
      <c r="Y34" s="309">
        <f t="shared" ref="Y34:Y36" si="61">SUM(X34-X33)</f>
        <v>0</v>
      </c>
      <c r="Z34" s="5">
        <f t="shared" si="17"/>
        <v>99465</v>
      </c>
      <c r="AA34" s="83">
        <f t="shared" ref="AA34:AA36" si="62">Z34-Z33</f>
        <v>0</v>
      </c>
      <c r="AB34" s="5">
        <f t="shared" si="19"/>
        <v>243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244.4</v>
      </c>
      <c r="AF34" s="83">
        <f t="shared" ref="AF34:AF36" si="64">AE34-AE33</f>
        <v>0</v>
      </c>
      <c r="AG34" s="5">
        <f t="shared" si="23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" si="70">AS33</f>
        <v>0.9</v>
      </c>
      <c r="AT34" s="201">
        <v>82</v>
      </c>
      <c r="AU34" s="408">
        <f t="shared" si="43"/>
        <v>1.1000000000000001</v>
      </c>
      <c r="AV34" s="201">
        <v>119</v>
      </c>
      <c r="AW34" s="5">
        <v>2.9</v>
      </c>
      <c r="AX34" s="201">
        <v>131</v>
      </c>
      <c r="AY34" s="409">
        <f t="shared" ref="AY34:AY36" si="71">AS34*AT34</f>
        <v>73.8</v>
      </c>
      <c r="AZ34" s="409">
        <f t="shared" ref="AZ34:AZ36" si="72">AU34*AV34</f>
        <v>130.9</v>
      </c>
      <c r="BA34" s="409">
        <f t="shared" ref="BA34:BA36" si="73">AW34*AX34</f>
        <v>379.9</v>
      </c>
      <c r="BB34" s="21">
        <f t="shared" ref="BB34:BB36" si="74">AY34-AY33</f>
        <v>9</v>
      </c>
      <c r="BC34" s="21">
        <f t="shared" ref="BC34:BC36" si="75">AZ34-AZ33</f>
        <v>-9.9000000000000057</v>
      </c>
      <c r="BD34" s="21">
        <f t="shared" ref="BD34:BD36" si="76">BA34-BA33</f>
        <v>0</v>
      </c>
      <c r="BE34" s="24">
        <f t="shared" ref="BE34:BE36" si="77">SUM(BB34:BD34)</f>
        <v>-0.90000000000000568</v>
      </c>
      <c r="BF34" s="96">
        <f t="shared" ref="BF34:BF36" si="78">SUM(I34-BE34)</f>
        <v>74.900000000000006</v>
      </c>
      <c r="BG34" s="82">
        <f t="shared" ref="BG34:BG36" si="79">SUM(I34-BF34)</f>
        <v>-0.90000000000000568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v>628926</v>
      </c>
      <c r="H35" s="5">
        <f t="shared" si="52"/>
        <v>37</v>
      </c>
      <c r="I35" s="5">
        <f t="shared" si="53"/>
        <v>37</v>
      </c>
      <c r="J35" s="319">
        <f t="shared" si="54"/>
        <v>6.5387968613775067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5186</v>
      </c>
      <c r="U35" s="5">
        <f t="shared" si="59"/>
        <v>0</v>
      </c>
      <c r="V35" s="5">
        <f t="shared" si="14"/>
        <v>493</v>
      </c>
      <c r="W35" s="309">
        <f t="shared" si="60"/>
        <v>0</v>
      </c>
      <c r="X35" s="5">
        <f t="shared" si="16"/>
        <v>155524</v>
      </c>
      <c r="Y35" s="309">
        <f t="shared" si="61"/>
        <v>0</v>
      </c>
      <c r="Z35" s="5">
        <f t="shared" si="17"/>
        <v>99465</v>
      </c>
      <c r="AA35" s="83">
        <f t="shared" si="62"/>
        <v>0</v>
      </c>
      <c r="AB35" s="5">
        <f t="shared" si="19"/>
        <v>243</v>
      </c>
      <c r="AC35" s="5">
        <f t="shared" si="20"/>
        <v>790</v>
      </c>
      <c r="AD35" s="83">
        <f t="shared" si="63"/>
        <v>0</v>
      </c>
      <c r="AE35" s="5">
        <f t="shared" si="21"/>
        <v>244.4</v>
      </c>
      <c r="AF35" s="83">
        <f t="shared" si="64"/>
        <v>0</v>
      </c>
      <c r="AG35" s="5">
        <f t="shared" si="23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24.5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" si="81">AS34</f>
        <v>0.9</v>
      </c>
      <c r="AT35" s="201">
        <v>105</v>
      </c>
      <c r="AU35" s="408">
        <f t="shared" si="43"/>
        <v>1.1000000000000001</v>
      </c>
      <c r="AV35" s="201">
        <v>117</v>
      </c>
      <c r="AW35" s="5">
        <v>2.9</v>
      </c>
      <c r="AX35" s="201">
        <v>130</v>
      </c>
      <c r="AY35" s="409">
        <f t="shared" si="71"/>
        <v>94.5</v>
      </c>
      <c r="AZ35" s="409">
        <f t="shared" si="72"/>
        <v>128.70000000000002</v>
      </c>
      <c r="BA35" s="409">
        <f t="shared" si="73"/>
        <v>377</v>
      </c>
      <c r="BB35" s="21">
        <f t="shared" si="74"/>
        <v>20.700000000000003</v>
      </c>
      <c r="BC35" s="21">
        <f t="shared" si="75"/>
        <v>-2.1999999999999886</v>
      </c>
      <c r="BD35" s="21">
        <f t="shared" si="76"/>
        <v>-2.8999999999999773</v>
      </c>
      <c r="BE35" s="24">
        <f t="shared" si="77"/>
        <v>15.600000000000037</v>
      </c>
      <c r="BF35" s="96">
        <f t="shared" si="78"/>
        <v>21.399999999999963</v>
      </c>
      <c r="BG35" s="82">
        <f t="shared" si="79"/>
        <v>15.600000000000037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v>628947</v>
      </c>
      <c r="H36" s="5">
        <f t="shared" si="52"/>
        <v>21</v>
      </c>
      <c r="I36" s="5">
        <f t="shared" si="53"/>
        <v>21</v>
      </c>
      <c r="J36" s="319">
        <f t="shared" si="54"/>
        <v>11.52073732718894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v>5187</v>
      </c>
      <c r="U36" s="5">
        <f t="shared" si="59"/>
        <v>1</v>
      </c>
      <c r="V36" s="5">
        <v>494</v>
      </c>
      <c r="W36" s="309">
        <f t="shared" si="60"/>
        <v>1</v>
      </c>
      <c r="X36" s="5">
        <f t="shared" si="16"/>
        <v>155524</v>
      </c>
      <c r="Y36" s="309">
        <f t="shared" si="61"/>
        <v>0</v>
      </c>
      <c r="Z36" s="5">
        <f t="shared" si="17"/>
        <v>99465</v>
      </c>
      <c r="AA36" s="83">
        <f t="shared" si="62"/>
        <v>0</v>
      </c>
      <c r="AB36" s="5">
        <f t="shared" si="19"/>
        <v>243</v>
      </c>
      <c r="AC36" s="5">
        <f t="shared" si="20"/>
        <v>790</v>
      </c>
      <c r="AD36" s="83">
        <f t="shared" si="63"/>
        <v>0</v>
      </c>
      <c r="AE36" s="5">
        <f t="shared" si="21"/>
        <v>244.4</v>
      </c>
      <c r="AF36" s="83">
        <f t="shared" si="64"/>
        <v>0</v>
      </c>
      <c r="AG36" s="5">
        <f t="shared" si="23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-1</v>
      </c>
      <c r="AM36" s="312">
        <f>'General information '!D35</f>
        <v>24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v>102</v>
      </c>
      <c r="AU36" s="408">
        <f t="shared" si="43"/>
        <v>1.1000000000000001</v>
      </c>
      <c r="AV36" s="201">
        <v>125</v>
      </c>
      <c r="AW36" s="5">
        <v>2.9</v>
      </c>
      <c r="AX36" s="201">
        <v>128</v>
      </c>
      <c r="AY36" s="409">
        <f t="shared" si="71"/>
        <v>91.8</v>
      </c>
      <c r="AZ36" s="409">
        <f t="shared" si="72"/>
        <v>137.5</v>
      </c>
      <c r="BA36" s="409">
        <f t="shared" si="73"/>
        <v>371.2</v>
      </c>
      <c r="BB36" s="21">
        <f t="shared" si="74"/>
        <v>-2.7000000000000028</v>
      </c>
      <c r="BC36" s="21">
        <f t="shared" si="75"/>
        <v>8.7999999999999829</v>
      </c>
      <c r="BD36" s="21">
        <f t="shared" si="76"/>
        <v>-5.8000000000000114</v>
      </c>
      <c r="BE36" s="24">
        <f t="shared" si="77"/>
        <v>0.29999999999996874</v>
      </c>
      <c r="BF36" s="96">
        <f t="shared" si="78"/>
        <v>20.700000000000031</v>
      </c>
      <c r="BG36" s="82">
        <f t="shared" si="79"/>
        <v>0.29999999999996874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763</v>
      </c>
      <c r="I37" s="395">
        <f>SUM(I6:I36)</f>
        <v>763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5</v>
      </c>
      <c r="X37" s="308"/>
      <c r="Y37" s="307">
        <f>SUM(Y6,Y33,Y31,Y29,Y27,Y25,Y23,Y21,Y19,Y17,Y15,Y13,Y11,Y9,Y7,Y34,Y35,Y36)</f>
        <v>159</v>
      </c>
      <c r="AJ37" s="307">
        <f>SUM(AJ6:AJ36)</f>
        <v>109</v>
      </c>
      <c r="AK37" s="312">
        <f>SUM(Y37-L37)</f>
        <v>143</v>
      </c>
      <c r="AL37" s="307">
        <f>SUM(AL6:AL36)</f>
        <v>97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763</v>
      </c>
      <c r="Z38" s="307">
        <f>SUM(Y37:AJ37)</f>
        <v>268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763</v>
      </c>
      <c r="H39" s="1">
        <f>SUM(H38+C38)</f>
        <v>7500</v>
      </c>
      <c r="K39" s="1">
        <f>SUM(H39/G39)</f>
        <v>9.8296199213630402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B1" zoomScale="70" zoomScaleNormal="70" workbookViewId="0">
      <pane ySplit="1" topLeftCell="A2" activePane="bottomLeft" state="frozen"/>
      <selection pane="bottomLeft" activeCell="D38" sqref="D38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v>11731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11731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 t="shared" si="14"/>
        <v>11731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11731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11731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f t="shared" si="14"/>
        <v>11731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11731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11731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11731</v>
      </c>
      <c r="I13" s="276" t="str">
        <f t="shared" si="1"/>
        <v>ok</v>
      </c>
      <c r="J13" s="502">
        <v>10799</v>
      </c>
      <c r="K13" s="276">
        <f t="shared" si="2"/>
        <v>1</v>
      </c>
      <c r="L13" s="503">
        <f t="shared" si="30"/>
        <v>382441</v>
      </c>
      <c r="M13" s="276">
        <f t="shared" si="3"/>
        <v>250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3001.0000000002037</v>
      </c>
      <c r="AE13" s="73">
        <f t="shared" si="27"/>
        <v>272.81818181820034</v>
      </c>
      <c r="AF13" s="387">
        <f t="shared" si="28"/>
        <v>0.1705113636363752</v>
      </c>
      <c r="AG13" s="387">
        <f t="shared" si="28"/>
        <v>1.0656960227273449E-4</v>
      </c>
      <c r="AH13" s="388">
        <f t="shared" si="24"/>
        <v>99.999893430397734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70.219025700043133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11731</v>
      </c>
      <c r="I14" s="276" t="str">
        <f t="shared" si="1"/>
        <v>ok</v>
      </c>
      <c r="J14" s="502">
        <f t="shared" si="15"/>
        <v>10799</v>
      </c>
      <c r="K14" s="276">
        <f t="shared" si="2"/>
        <v>0</v>
      </c>
      <c r="L14" s="503">
        <f t="shared" si="30"/>
        <v>382441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11731</v>
      </c>
      <c r="I15" s="276" t="str">
        <f t="shared" si="1"/>
        <v>ok</v>
      </c>
      <c r="J15" s="502">
        <f t="shared" si="15"/>
        <v>10799</v>
      </c>
      <c r="K15" s="276">
        <f t="shared" si="2"/>
        <v>0</v>
      </c>
      <c r="L15" s="503">
        <f t="shared" si="30"/>
        <v>382441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11731</v>
      </c>
      <c r="I16" s="276" t="str">
        <f t="shared" si="1"/>
        <v>ok</v>
      </c>
      <c r="J16" s="502">
        <f t="shared" si="15"/>
        <v>10799</v>
      </c>
      <c r="K16" s="276">
        <f t="shared" si="2"/>
        <v>0</v>
      </c>
      <c r="L16" s="503">
        <f t="shared" si="30"/>
        <v>382441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v>11702</v>
      </c>
      <c r="C17" s="276">
        <f t="shared" si="12"/>
        <v>10</v>
      </c>
      <c r="D17" s="503">
        <f t="shared" si="26"/>
        <v>676471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11731</v>
      </c>
      <c r="I17" s="276" t="str">
        <f t="shared" si="1"/>
        <v>ok</v>
      </c>
      <c r="J17" s="502">
        <f t="shared" si="15"/>
        <v>10799</v>
      </c>
      <c r="K17" s="276">
        <f t="shared" si="2"/>
        <v>0</v>
      </c>
      <c r="L17" s="503">
        <f t="shared" si="30"/>
        <v>382441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2583.9999999989232</v>
      </c>
      <c r="AE17" s="73">
        <f t="shared" si="27"/>
        <v>258.39999999989232</v>
      </c>
      <c r="AF17" s="387">
        <f t="shared" si="28"/>
        <v>0.1614999999999327</v>
      </c>
      <c r="AG17" s="387">
        <f t="shared" si="28"/>
        <v>1.0093749999995794E-4</v>
      </c>
      <c r="AH17" s="388">
        <f t="shared" si="24"/>
        <v>84.999899062500006</v>
      </c>
      <c r="AI17" s="73">
        <f t="shared" si="29"/>
        <v>665.08016877609418</v>
      </c>
      <c r="AJ17" s="278">
        <f t="shared" si="9"/>
        <v>0.25738396624472576</v>
      </c>
      <c r="AK17" s="278">
        <f t="shared" si="10"/>
        <v>66.508016877609421</v>
      </c>
      <c r="AL17">
        <f t="shared" si="25"/>
        <v>1</v>
      </c>
    </row>
    <row r="18" spans="1:38" ht="15.75" thickBot="1">
      <c r="A18" s="4">
        <f>ELEC!C19</f>
        <v>44697</v>
      </c>
      <c r="B18" s="502">
        <v>11710</v>
      </c>
      <c r="C18" s="276">
        <f t="shared" si="12"/>
        <v>8</v>
      </c>
      <c r="D18" s="503">
        <f t="shared" si="26"/>
        <v>677151</v>
      </c>
      <c r="E18" s="276">
        <f t="shared" si="13"/>
        <v>680</v>
      </c>
      <c r="F18" s="276">
        <f t="shared" si="0"/>
        <v>85</v>
      </c>
      <c r="G18" s="196"/>
      <c r="H18" s="260">
        <f t="shared" si="14"/>
        <v>11731</v>
      </c>
      <c r="I18" s="276" t="str">
        <f t="shared" si="1"/>
        <v>ok</v>
      </c>
      <c r="J18" s="502">
        <f t="shared" si="15"/>
        <v>10799</v>
      </c>
      <c r="K18" s="276">
        <f t="shared" si="2"/>
        <v>0</v>
      </c>
      <c r="L18" s="503">
        <f t="shared" si="30"/>
        <v>382441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8</v>
      </c>
      <c r="AA18" s="276">
        <f t="shared" si="21"/>
        <v>680</v>
      </c>
      <c r="AB18" s="276">
        <f t="shared" si="22"/>
        <v>585</v>
      </c>
      <c r="AC18" s="276">
        <f t="shared" si="23"/>
        <v>85</v>
      </c>
      <c r="AD18" s="73">
        <f>ELEC!Q19</f>
        <v>2458.9999999989232</v>
      </c>
      <c r="AE18" s="73">
        <f t="shared" si="27"/>
        <v>307.37499999986539</v>
      </c>
      <c r="AF18" s="387">
        <f t="shared" si="28"/>
        <v>0.19210937499991587</v>
      </c>
      <c r="AG18" s="387">
        <f t="shared" si="28"/>
        <v>1.2006835937494742E-4</v>
      </c>
      <c r="AH18" s="388">
        <f t="shared" si="24"/>
        <v>84.999879931640621</v>
      </c>
      <c r="AI18" s="73">
        <f t="shared" si="29"/>
        <v>632.90717299550352</v>
      </c>
      <c r="AJ18" s="278">
        <f t="shared" si="9"/>
        <v>0.25738396624472576</v>
      </c>
      <c r="AK18" s="278">
        <f t="shared" si="10"/>
        <v>79.113396624437939</v>
      </c>
      <c r="AL18">
        <f t="shared" si="25"/>
        <v>1</v>
      </c>
    </row>
    <row r="19" spans="1:38" ht="15.75" thickBot="1">
      <c r="A19" s="4">
        <f>ELEC!C20</f>
        <v>44698</v>
      </c>
      <c r="B19" s="502">
        <v>11720</v>
      </c>
      <c r="C19" s="276">
        <f t="shared" si="12"/>
        <v>10</v>
      </c>
      <c r="D19" s="503">
        <f t="shared" si="26"/>
        <v>678001</v>
      </c>
      <c r="E19" s="276">
        <f t="shared" si="13"/>
        <v>850</v>
      </c>
      <c r="F19" s="276">
        <f t="shared" si="0"/>
        <v>85</v>
      </c>
      <c r="G19" s="196"/>
      <c r="H19" s="260">
        <f t="shared" si="14"/>
        <v>11731</v>
      </c>
      <c r="I19" s="276" t="str">
        <f t="shared" si="1"/>
        <v>ok</v>
      </c>
      <c r="J19" s="502">
        <f t="shared" si="15"/>
        <v>10799</v>
      </c>
      <c r="K19" s="276">
        <f t="shared" si="2"/>
        <v>0</v>
      </c>
      <c r="L19" s="503">
        <f t="shared" si="30"/>
        <v>382441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10</v>
      </c>
      <c r="AA19" s="276">
        <f t="shared" si="21"/>
        <v>850</v>
      </c>
      <c r="AB19" s="276">
        <f t="shared" si="22"/>
        <v>585</v>
      </c>
      <c r="AC19" s="276">
        <f t="shared" si="23"/>
        <v>85</v>
      </c>
      <c r="AD19" s="73">
        <f>ELEC!Q20</f>
        <v>2672.0000000022992</v>
      </c>
      <c r="AE19" s="73">
        <f t="shared" si="27"/>
        <v>267.20000000022992</v>
      </c>
      <c r="AF19" s="387">
        <f t="shared" si="28"/>
        <v>0.1670000000001437</v>
      </c>
      <c r="AG19" s="387">
        <f t="shared" si="28"/>
        <v>1.0437500000008982E-4</v>
      </c>
      <c r="AH19" s="388">
        <f t="shared" si="24"/>
        <v>84.999895624999994</v>
      </c>
      <c r="AI19" s="73">
        <f t="shared" si="29"/>
        <v>687.72995780649899</v>
      </c>
      <c r="AJ19" s="278">
        <f t="shared" si="9"/>
        <v>0.25738396624472576</v>
      </c>
      <c r="AK19" s="278">
        <f t="shared" si="10"/>
        <v>68.772995780649893</v>
      </c>
      <c r="AL19">
        <f t="shared" si="25"/>
        <v>1</v>
      </c>
    </row>
    <row r="20" spans="1:38" ht="15.75" thickBot="1">
      <c r="A20" s="4">
        <f>ELEC!C21</f>
        <v>44699</v>
      </c>
      <c r="B20" s="502">
        <v>11729</v>
      </c>
      <c r="C20" s="276">
        <f>B20-B19</f>
        <v>9</v>
      </c>
      <c r="D20" s="503">
        <f t="shared" si="26"/>
        <v>678766</v>
      </c>
      <c r="E20" s="276">
        <f t="shared" si="13"/>
        <v>765</v>
      </c>
      <c r="F20" s="276">
        <f t="shared" si="0"/>
        <v>85</v>
      </c>
      <c r="G20" s="196"/>
      <c r="H20" s="260">
        <f t="shared" si="14"/>
        <v>11731</v>
      </c>
      <c r="I20" s="276" t="str">
        <f t="shared" si="1"/>
        <v>ok</v>
      </c>
      <c r="J20" s="502">
        <v>10800</v>
      </c>
      <c r="K20" s="276">
        <f t="shared" si="2"/>
        <v>1</v>
      </c>
      <c r="L20" s="503">
        <f t="shared" si="30"/>
        <v>382691</v>
      </c>
      <c r="M20" s="276">
        <f t="shared" si="3"/>
        <v>250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10</v>
      </c>
      <c r="AA20" s="276">
        <f t="shared" si="21"/>
        <v>1015</v>
      </c>
      <c r="AB20" s="276">
        <f t="shared" si="22"/>
        <v>585</v>
      </c>
      <c r="AC20" s="276">
        <f t="shared" si="23"/>
        <v>101.5</v>
      </c>
      <c r="AD20" s="73">
        <f>ELEC!Q21</f>
        <v>2994.9999999989814</v>
      </c>
      <c r="AE20" s="73">
        <f t="shared" si="27"/>
        <v>299.49999999989814</v>
      </c>
      <c r="AF20" s="387">
        <f t="shared" si="28"/>
        <v>0.18718749999993634</v>
      </c>
      <c r="AG20" s="387">
        <f t="shared" si="28"/>
        <v>1.1699218749996021E-4</v>
      </c>
      <c r="AH20" s="388">
        <f t="shared" si="24"/>
        <v>101.4998830078125</v>
      </c>
      <c r="AI20" s="73">
        <f>AD20*AJ20</f>
        <v>770.86497890269152</v>
      </c>
      <c r="AJ20" s="278">
        <f t="shared" si="9"/>
        <v>0.25738396624472576</v>
      </c>
      <c r="AK20" s="278">
        <f t="shared" si="10"/>
        <v>77.086497890269158</v>
      </c>
      <c r="AL20">
        <f t="shared" si="25"/>
        <v>1</v>
      </c>
    </row>
    <row r="21" spans="1:38" ht="15.75" thickBot="1">
      <c r="A21" s="4">
        <f>ELEC!C22</f>
        <v>44700</v>
      </c>
      <c r="B21" s="502">
        <v>11740</v>
      </c>
      <c r="C21" s="276">
        <f>B21-B20</f>
        <v>11</v>
      </c>
      <c r="D21" s="503">
        <f t="shared" si="26"/>
        <v>679701</v>
      </c>
      <c r="E21" s="276">
        <f t="shared" si="13"/>
        <v>935</v>
      </c>
      <c r="F21" s="276">
        <f t="shared" si="0"/>
        <v>85</v>
      </c>
      <c r="G21" s="196"/>
      <c r="H21" s="260">
        <f t="shared" si="14"/>
        <v>11731</v>
      </c>
      <c r="I21" s="276" t="str">
        <f t="shared" si="1"/>
        <v>oil change</v>
      </c>
      <c r="J21" s="502">
        <f t="shared" si="15"/>
        <v>10800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11</v>
      </c>
      <c r="AA21" s="276">
        <f t="shared" si="21"/>
        <v>935</v>
      </c>
      <c r="AB21" s="276">
        <f t="shared" si="22"/>
        <v>585</v>
      </c>
      <c r="AC21" s="276">
        <f t="shared" si="23"/>
        <v>85</v>
      </c>
      <c r="AD21" s="73">
        <f>ELEC!Q22</f>
        <v>3025.9999999980209</v>
      </c>
      <c r="AE21" s="73">
        <f t="shared" si="27"/>
        <v>275.09090909072916</v>
      </c>
      <c r="AF21" s="387">
        <f t="shared" si="28"/>
        <v>0.17193181818170572</v>
      </c>
      <c r="AG21" s="387">
        <f t="shared" si="28"/>
        <v>1.0745738636356607E-4</v>
      </c>
      <c r="AH21" s="388">
        <f t="shared" si="24"/>
        <v>84.999892542613637</v>
      </c>
      <c r="AI21" s="73">
        <f t="shared" si="29"/>
        <v>778.84388185603075</v>
      </c>
      <c r="AJ21" s="278">
        <f t="shared" si="9"/>
        <v>0.25738396624472576</v>
      </c>
      <c r="AK21" s="278">
        <f t="shared" si="10"/>
        <v>70.803989259639152</v>
      </c>
      <c r="AL21">
        <f t="shared" si="25"/>
        <v>1</v>
      </c>
    </row>
    <row r="22" spans="1:38" ht="15.75" thickBot="1">
      <c r="A22" s="4">
        <f>ELEC!C23</f>
        <v>44701</v>
      </c>
      <c r="B22" s="502">
        <f t="shared" si="11"/>
        <v>11740</v>
      </c>
      <c r="C22" s="276">
        <f t="shared" si="12"/>
        <v>0</v>
      </c>
      <c r="D22" s="503">
        <f t="shared" si="26"/>
        <v>679701</v>
      </c>
      <c r="E22" s="276">
        <f>150*C22</f>
        <v>0</v>
      </c>
      <c r="F22" s="276">
        <f t="shared" si="0"/>
        <v>0</v>
      </c>
      <c r="G22" s="196"/>
      <c r="H22" s="260">
        <f>H21+500</f>
        <v>12231</v>
      </c>
      <c r="I22" s="276" t="str">
        <f t="shared" si="1"/>
        <v>ok</v>
      </c>
      <c r="J22" s="502">
        <f t="shared" si="15"/>
        <v>10800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11740</v>
      </c>
      <c r="C23" s="276">
        <f t="shared" si="12"/>
        <v>0</v>
      </c>
      <c r="D23" s="503">
        <f t="shared" si="26"/>
        <v>679701</v>
      </c>
      <c r="E23" s="276">
        <f>150*C23</f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2">
        <f t="shared" si="15"/>
        <v>10800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v>11748</v>
      </c>
      <c r="C24" s="276">
        <f t="shared" si="12"/>
        <v>8</v>
      </c>
      <c r="D24" s="503">
        <f t="shared" si="26"/>
        <v>680381</v>
      </c>
      <c r="E24" s="276">
        <f t="shared" si="13"/>
        <v>680</v>
      </c>
      <c r="F24" s="276">
        <f t="shared" si="0"/>
        <v>85</v>
      </c>
      <c r="G24" s="196"/>
      <c r="H24" s="260">
        <f t="shared" si="14"/>
        <v>12231</v>
      </c>
      <c r="I24" s="276" t="str">
        <f t="shared" si="1"/>
        <v>ok</v>
      </c>
      <c r="J24" s="502">
        <f t="shared" si="15"/>
        <v>10800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v>13905</v>
      </c>
      <c r="S24" s="276">
        <f t="shared" si="5"/>
        <v>4</v>
      </c>
      <c r="T24" s="503">
        <f t="shared" si="31"/>
        <v>415762</v>
      </c>
      <c r="U24" s="276">
        <f t="shared" si="32"/>
        <v>1000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12</v>
      </c>
      <c r="AA24" s="276">
        <f t="shared" si="21"/>
        <v>1680</v>
      </c>
      <c r="AB24" s="276">
        <f t="shared" si="22"/>
        <v>585</v>
      </c>
      <c r="AC24" s="276">
        <f t="shared" si="23"/>
        <v>140</v>
      </c>
      <c r="AD24" s="73">
        <f>ELEC!Q25</f>
        <v>3695.0000000033469</v>
      </c>
      <c r="AE24" s="73">
        <f t="shared" si="27"/>
        <v>307.91666666694556</v>
      </c>
      <c r="AF24" s="387">
        <f t="shared" si="28"/>
        <v>0.19244791666684097</v>
      </c>
      <c r="AG24" s="387">
        <f t="shared" si="28"/>
        <v>1.2027994791677561E-4</v>
      </c>
      <c r="AH24" s="388">
        <f t="shared" si="24"/>
        <v>139.99987972005209</v>
      </c>
      <c r="AI24" s="73">
        <f t="shared" si="29"/>
        <v>951.0337552751231</v>
      </c>
      <c r="AJ24" s="278">
        <f t="shared" si="9"/>
        <v>0.25738396624472576</v>
      </c>
      <c r="AK24" s="278">
        <f t="shared" si="10"/>
        <v>79.252812939593596</v>
      </c>
      <c r="AL24">
        <f t="shared" si="25"/>
        <v>1</v>
      </c>
    </row>
    <row r="25" spans="1:38" ht="15.75" thickBot="1">
      <c r="A25" s="4">
        <f>ELEC!C26</f>
        <v>44704</v>
      </c>
      <c r="B25" s="502">
        <v>11758</v>
      </c>
      <c r="C25" s="276">
        <f t="shared" si="12"/>
        <v>10</v>
      </c>
      <c r="D25" s="503">
        <f t="shared" si="26"/>
        <v>681231</v>
      </c>
      <c r="E25" s="276">
        <f t="shared" si="13"/>
        <v>850</v>
      </c>
      <c r="F25" s="276">
        <f t="shared" si="0"/>
        <v>85</v>
      </c>
      <c r="G25" s="196"/>
      <c r="H25" s="260">
        <f t="shared" si="14"/>
        <v>12231</v>
      </c>
      <c r="I25" s="276" t="str">
        <f t="shared" si="1"/>
        <v>ok</v>
      </c>
      <c r="J25" s="502">
        <f t="shared" si="15"/>
        <v>10800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13905</v>
      </c>
      <c r="S25" s="276">
        <f t="shared" si="5"/>
        <v>0</v>
      </c>
      <c r="T25" s="503">
        <f t="shared" si="31"/>
        <v>415762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10</v>
      </c>
      <c r="AA25" s="276">
        <f t="shared" si="21"/>
        <v>850</v>
      </c>
      <c r="AB25" s="276">
        <f t="shared" si="22"/>
        <v>585</v>
      </c>
      <c r="AC25" s="276">
        <f t="shared" si="23"/>
        <v>85</v>
      </c>
      <c r="AD25" s="73">
        <f>ELEC!Q26</f>
        <v>3274.9999999978172</v>
      </c>
      <c r="AE25" s="73">
        <f t="shared" si="27"/>
        <v>327.49999999978172</v>
      </c>
      <c r="AF25" s="387">
        <f t="shared" si="28"/>
        <v>0.20468749999986358</v>
      </c>
      <c r="AG25" s="387">
        <f t="shared" si="28"/>
        <v>1.2792968749991473E-4</v>
      </c>
      <c r="AH25" s="388">
        <f t="shared" si="24"/>
        <v>84.999872070312506</v>
      </c>
      <c r="AI25" s="73">
        <f t="shared" si="29"/>
        <v>842.932489450915</v>
      </c>
      <c r="AJ25" s="278">
        <f t="shared" si="9"/>
        <v>0.25738396624472576</v>
      </c>
      <c r="AK25" s="278">
        <f t="shared" si="10"/>
        <v>84.293248945091506</v>
      </c>
      <c r="AL25">
        <f t="shared" si="25"/>
        <v>1</v>
      </c>
    </row>
    <row r="26" spans="1:38" ht="15.75" thickBot="1">
      <c r="A26" s="4">
        <f>ELEC!C27</f>
        <v>44705</v>
      </c>
      <c r="B26" s="502">
        <v>11768</v>
      </c>
      <c r="C26" s="276">
        <f>B26-B25</f>
        <v>10</v>
      </c>
      <c r="D26" s="503">
        <f t="shared" si="26"/>
        <v>682081</v>
      </c>
      <c r="E26" s="276">
        <f>SUM(D26-D25)</f>
        <v>850</v>
      </c>
      <c r="F26" s="276">
        <f t="shared" si="0"/>
        <v>85</v>
      </c>
      <c r="G26" s="196"/>
      <c r="H26" s="260">
        <f t="shared" si="14"/>
        <v>12231</v>
      </c>
      <c r="I26" s="276" t="str">
        <f t="shared" si="1"/>
        <v>ok</v>
      </c>
      <c r="J26" s="502">
        <f t="shared" si="15"/>
        <v>10800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13905</v>
      </c>
      <c r="S26" s="276">
        <f>R26-R25</f>
        <v>0</v>
      </c>
      <c r="T26" s="503">
        <f t="shared" si="31"/>
        <v>415762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10</v>
      </c>
      <c r="AA26" s="276">
        <f t="shared" si="21"/>
        <v>850</v>
      </c>
      <c r="AB26" s="276">
        <f t="shared" si="22"/>
        <v>585</v>
      </c>
      <c r="AC26" s="276">
        <f t="shared" si="23"/>
        <v>85</v>
      </c>
      <c r="AD26" s="73">
        <f>ELEC!Q27</f>
        <v>3155.9999999990396</v>
      </c>
      <c r="AE26" s="73">
        <f t="shared" si="27"/>
        <v>315.59999999990396</v>
      </c>
      <c r="AF26" s="387">
        <f t="shared" si="28"/>
        <v>0.19724999999993997</v>
      </c>
      <c r="AG26" s="387">
        <f t="shared" si="28"/>
        <v>1.2328124999996248E-4</v>
      </c>
      <c r="AH26" s="388">
        <f t="shared" si="24"/>
        <v>84.999876718750002</v>
      </c>
      <c r="AI26" s="73">
        <f t="shared" si="29"/>
        <v>812.30379746810729</v>
      </c>
      <c r="AJ26" s="278">
        <f t="shared" si="9"/>
        <v>0.25738396624472576</v>
      </c>
      <c r="AK26" s="278">
        <f t="shared" si="10"/>
        <v>81.230379746810726</v>
      </c>
      <c r="AL26">
        <f t="shared" si="25"/>
        <v>1</v>
      </c>
    </row>
    <row r="27" spans="1:38" ht="15.75" thickBot="1">
      <c r="A27" s="4">
        <f>ELEC!C28</f>
        <v>44706</v>
      </c>
      <c r="B27" s="502">
        <v>11779</v>
      </c>
      <c r="C27" s="276">
        <f>B27-B26</f>
        <v>11</v>
      </c>
      <c r="D27" s="503">
        <f t="shared" si="26"/>
        <v>683016</v>
      </c>
      <c r="E27" s="276">
        <f>SUM(D27-D26)</f>
        <v>935</v>
      </c>
      <c r="F27" s="276">
        <f t="shared" si="0"/>
        <v>85</v>
      </c>
      <c r="G27" s="196"/>
      <c r="H27" s="260">
        <f t="shared" si="14"/>
        <v>12231</v>
      </c>
      <c r="I27" s="276" t="str">
        <f>IF(B27-H27&lt;=0,"ok","oil change")</f>
        <v>ok</v>
      </c>
      <c r="J27" s="502">
        <f t="shared" si="15"/>
        <v>10800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13905</v>
      </c>
      <c r="S27" s="276">
        <f t="shared" si="5"/>
        <v>0</v>
      </c>
      <c r="T27" s="503">
        <f t="shared" si="31"/>
        <v>415762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11</v>
      </c>
      <c r="AA27" s="276">
        <f t="shared" si="21"/>
        <v>935</v>
      </c>
      <c r="AB27" s="276">
        <f t="shared" si="22"/>
        <v>585</v>
      </c>
      <c r="AC27" s="276">
        <f t="shared" si="23"/>
        <v>85</v>
      </c>
      <c r="AD27" s="73">
        <f>ELEC!Q28</f>
        <v>3435.0000000013097</v>
      </c>
      <c r="AE27" s="73">
        <f t="shared" si="27"/>
        <v>312.27272727284634</v>
      </c>
      <c r="AF27" s="387">
        <f t="shared" si="28"/>
        <v>0.19517045454552895</v>
      </c>
      <c r="AG27" s="387">
        <f t="shared" si="28"/>
        <v>1.2198153409095559E-4</v>
      </c>
      <c r="AH27" s="388">
        <f t="shared" si="24"/>
        <v>84.999878018465907</v>
      </c>
      <c r="AI27" s="73">
        <f t="shared" si="29"/>
        <v>884.11392405097013</v>
      </c>
      <c r="AJ27" s="278">
        <f t="shared" si="9"/>
        <v>0.25738396624472576</v>
      </c>
      <c r="AK27" s="278">
        <f t="shared" si="10"/>
        <v>80.373993095542744</v>
      </c>
      <c r="AL27">
        <f t="shared" si="25"/>
        <v>1</v>
      </c>
    </row>
    <row r="28" spans="1:38" ht="15.75" thickBot="1">
      <c r="A28" s="4">
        <f>ELEC!C29</f>
        <v>44707</v>
      </c>
      <c r="B28" s="502">
        <v>11790</v>
      </c>
      <c r="C28" s="276">
        <f t="shared" si="12"/>
        <v>11</v>
      </c>
      <c r="D28" s="503">
        <f t="shared" si="26"/>
        <v>683951</v>
      </c>
      <c r="E28" s="276">
        <f>SUM(D28-D27)</f>
        <v>935</v>
      </c>
      <c r="F28" s="276">
        <f t="shared" si="0"/>
        <v>85</v>
      </c>
      <c r="G28" s="274"/>
      <c r="H28" s="260">
        <f t="shared" si="14"/>
        <v>12231</v>
      </c>
      <c r="I28" s="276" t="str">
        <f t="shared" si="1"/>
        <v>ok</v>
      </c>
      <c r="J28" s="502">
        <f t="shared" si="15"/>
        <v>10800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13905</v>
      </c>
      <c r="S28" s="276">
        <f t="shared" si="5"/>
        <v>0</v>
      </c>
      <c r="T28" s="503">
        <f t="shared" si="31"/>
        <v>415762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11</v>
      </c>
      <c r="AA28" s="276">
        <f t="shared" si="21"/>
        <v>935</v>
      </c>
      <c r="AB28" s="276">
        <f t="shared" si="22"/>
        <v>585</v>
      </c>
      <c r="AC28" s="276">
        <f t="shared" si="23"/>
        <v>85</v>
      </c>
      <c r="AD28" s="73">
        <f>ELEC!Q29</f>
        <v>3286.0000000000582</v>
      </c>
      <c r="AE28" s="73">
        <f t="shared" si="27"/>
        <v>298.72727272727803</v>
      </c>
      <c r="AF28" s="387">
        <f t="shared" si="28"/>
        <v>0.18670454545454876</v>
      </c>
      <c r="AG28" s="387">
        <f t="shared" si="28"/>
        <v>1.1669034090909297E-4</v>
      </c>
      <c r="AH28" s="388">
        <f t="shared" si="24"/>
        <v>84.999883309659097</v>
      </c>
      <c r="AI28" s="73">
        <f t="shared" si="29"/>
        <v>845.76371308018383</v>
      </c>
      <c r="AJ28" s="278">
        <f t="shared" si="9"/>
        <v>0.25738396624472576</v>
      </c>
      <c r="AK28" s="278">
        <f t="shared" si="10"/>
        <v>76.887610280016716</v>
      </c>
      <c r="AL28">
        <f t="shared" si="25"/>
        <v>1</v>
      </c>
    </row>
    <row r="29" spans="1:38" ht="15.75" thickBot="1">
      <c r="A29" s="4">
        <f>ELEC!C30</f>
        <v>44708</v>
      </c>
      <c r="B29" s="502">
        <f t="shared" si="11"/>
        <v>11790</v>
      </c>
      <c r="C29" s="276">
        <f t="shared" si="12"/>
        <v>0</v>
      </c>
      <c r="D29" s="503">
        <f t="shared" si="26"/>
        <v>683951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2">
        <f t="shared" si="15"/>
        <v>10800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13905</v>
      </c>
      <c r="S29" s="276">
        <f t="shared" si="5"/>
        <v>0</v>
      </c>
      <c r="T29" s="503">
        <f t="shared" si="31"/>
        <v>415762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11790</v>
      </c>
      <c r="C30" s="276">
        <f t="shared" si="12"/>
        <v>0</v>
      </c>
      <c r="D30" s="503">
        <f t="shared" si="26"/>
        <v>683951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2">
        <f t="shared" si="15"/>
        <v>10800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13905</v>
      </c>
      <c r="S30" s="276">
        <f t="shared" si="5"/>
        <v>0</v>
      </c>
      <c r="T30" s="503">
        <f t="shared" si="31"/>
        <v>415762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v>11801</v>
      </c>
      <c r="C31" s="276">
        <f t="shared" ref="C31:C33" si="34">B31-B30</f>
        <v>11</v>
      </c>
      <c r="D31" s="503">
        <f t="shared" si="26"/>
        <v>684886</v>
      </c>
      <c r="E31" s="276">
        <f t="shared" ref="E31:E33" si="35">SUM(D31-D30)</f>
        <v>935</v>
      </c>
      <c r="F31" s="276">
        <f t="shared" ref="F31:F33" si="36">IF(C31&gt;0,E31/C31,0)</f>
        <v>85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2">
        <f t="shared" si="15"/>
        <v>10800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13905</v>
      </c>
      <c r="S31" s="276">
        <f t="shared" ref="S31:S33" si="39">R31-R30</f>
        <v>0</v>
      </c>
      <c r="T31" s="503">
        <f t="shared" si="31"/>
        <v>415762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11</v>
      </c>
      <c r="AA31" s="276">
        <f t="shared" ref="AA31:AA33" si="42">U31+M31+E31</f>
        <v>935</v>
      </c>
      <c r="AB31" s="276">
        <f t="shared" ref="AB31:AB33" si="43">V31+N31+F31</f>
        <v>585</v>
      </c>
      <c r="AC31" s="276">
        <f t="shared" ref="AC31:AC33" si="44">IF(Z31&gt;0,AA31/Z31,0)</f>
        <v>85</v>
      </c>
      <c r="AD31" s="73">
        <f>ELEC!Q32</f>
        <v>3960.9999999993306</v>
      </c>
      <c r="AE31" s="73">
        <f t="shared" ref="AE31:AE33" si="45">SUM(AD31/Z31)</f>
        <v>360.09090909084824</v>
      </c>
      <c r="AF31" s="387">
        <f t="shared" ref="AF31:AF33" si="46">SUM(AE31/1600)</f>
        <v>0.22505681818178014</v>
      </c>
      <c r="AG31" s="387">
        <f t="shared" ref="AG31:AG33" si="47">SUM(AF31/1600)</f>
        <v>1.4066051136361259E-4</v>
      </c>
      <c r="AH31" s="475">
        <f t="shared" ref="AH31:AH33" si="48">SUM(AC31-AG31)</f>
        <v>84.999859339488637</v>
      </c>
      <c r="AI31" s="73">
        <f t="shared" ref="AI31:AI33" si="49">AD31*AJ31</f>
        <v>1019.4978902951865</v>
      </c>
      <c r="AJ31" s="278">
        <f t="shared" si="9"/>
        <v>0.25738396624472576</v>
      </c>
      <c r="AK31" s="278">
        <f t="shared" ref="AK31:AK33" si="50">AI31/Z31</f>
        <v>92.681626390471493</v>
      </c>
      <c r="AL31">
        <f t="shared" ref="AL31:AL33" si="51">IF(Z31=0,0,1)</f>
        <v>1</v>
      </c>
    </row>
    <row r="32" spans="1:38" ht="15.75" thickBot="1">
      <c r="A32" s="4">
        <f>ELEC!C33</f>
        <v>44711</v>
      </c>
      <c r="B32" s="502">
        <v>11811</v>
      </c>
      <c r="C32" s="276">
        <f t="shared" si="34"/>
        <v>10</v>
      </c>
      <c r="D32" s="503">
        <f t="shared" si="26"/>
        <v>685736</v>
      </c>
      <c r="E32" s="276">
        <f t="shared" si="35"/>
        <v>850</v>
      </c>
      <c r="F32" s="276">
        <f t="shared" si="36"/>
        <v>85</v>
      </c>
      <c r="G32" s="323"/>
      <c r="H32" s="260">
        <f t="shared" si="14"/>
        <v>12231</v>
      </c>
      <c r="I32" s="276" t="str">
        <f t="shared" si="37"/>
        <v>ok</v>
      </c>
      <c r="J32" s="502">
        <f t="shared" si="15"/>
        <v>10800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13905</v>
      </c>
      <c r="S32" s="276">
        <f t="shared" si="39"/>
        <v>0</v>
      </c>
      <c r="T32" s="503">
        <f t="shared" si="31"/>
        <v>415762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10</v>
      </c>
      <c r="AA32" s="276">
        <f t="shared" si="42"/>
        <v>850</v>
      </c>
      <c r="AB32" s="276">
        <f t="shared" si="43"/>
        <v>585</v>
      </c>
      <c r="AC32" s="276">
        <f t="shared" si="44"/>
        <v>85</v>
      </c>
      <c r="AD32" s="73">
        <f>ELEC!Q33</f>
        <v>3350.0000000021828</v>
      </c>
      <c r="AE32" s="73">
        <f t="shared" si="45"/>
        <v>335.00000000021828</v>
      </c>
      <c r="AF32" s="387">
        <f t="shared" si="46"/>
        <v>0.20937500000013642</v>
      </c>
      <c r="AG32" s="387">
        <f t="shared" si="47"/>
        <v>1.3085937500008525E-4</v>
      </c>
      <c r="AH32" s="475">
        <f t="shared" si="48"/>
        <v>84.999869140624995</v>
      </c>
      <c r="AI32" s="73">
        <f t="shared" si="49"/>
        <v>862.23628692039313</v>
      </c>
      <c r="AJ32" s="278">
        <f t="shared" si="9"/>
        <v>0.25738396624472576</v>
      </c>
      <c r="AK32" s="278">
        <f t="shared" si="50"/>
        <v>86.223628692039313</v>
      </c>
      <c r="AL32">
        <f t="shared" si="51"/>
        <v>1</v>
      </c>
    </row>
    <row r="33" spans="1:38">
      <c r="A33" s="4">
        <f>ELEC!C34</f>
        <v>44712</v>
      </c>
      <c r="B33" s="502">
        <v>11825</v>
      </c>
      <c r="C33" s="276">
        <f t="shared" si="34"/>
        <v>14</v>
      </c>
      <c r="D33" s="503">
        <f t="shared" si="26"/>
        <v>686926</v>
      </c>
      <c r="E33" s="276">
        <f t="shared" si="35"/>
        <v>1190</v>
      </c>
      <c r="F33" s="276">
        <f t="shared" si="36"/>
        <v>85</v>
      </c>
      <c r="G33" s="323"/>
      <c r="H33" s="260">
        <f t="shared" si="14"/>
        <v>12231</v>
      </c>
      <c r="I33" s="276" t="str">
        <f t="shared" si="37"/>
        <v>ok</v>
      </c>
      <c r="J33" s="502">
        <f t="shared" si="15"/>
        <v>10800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v>13907</v>
      </c>
      <c r="S33" s="276">
        <f t="shared" si="39"/>
        <v>2</v>
      </c>
      <c r="T33" s="503">
        <f t="shared" si="31"/>
        <v>416262</v>
      </c>
      <c r="U33" s="276">
        <f t="shared" si="40"/>
        <v>500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16</v>
      </c>
      <c r="AA33" s="276">
        <f t="shared" si="42"/>
        <v>1690</v>
      </c>
      <c r="AB33" s="276">
        <f t="shared" si="43"/>
        <v>585</v>
      </c>
      <c r="AC33" s="276">
        <f t="shared" si="44"/>
        <v>105.625</v>
      </c>
      <c r="AD33" s="73">
        <f>ELEC!Q34</f>
        <v>4345.9999999977299</v>
      </c>
      <c r="AE33" s="73">
        <f t="shared" si="45"/>
        <v>271.62499999985812</v>
      </c>
      <c r="AF33" s="387">
        <f t="shared" si="46"/>
        <v>0.16976562499991132</v>
      </c>
      <c r="AG33" s="387">
        <f t="shared" si="47"/>
        <v>1.0610351562494458E-4</v>
      </c>
      <c r="AH33" s="475">
        <f t="shared" si="48"/>
        <v>105.62489389648438</v>
      </c>
      <c r="AI33" s="73">
        <f t="shared" si="49"/>
        <v>1118.5907172989939</v>
      </c>
      <c r="AJ33" s="278">
        <f t="shared" si="9"/>
        <v>0.25738396624472576</v>
      </c>
      <c r="AK33" s="278">
        <f t="shared" si="50"/>
        <v>69.91191983118712</v>
      </c>
      <c r="AL33">
        <f t="shared" si="51"/>
        <v>1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227</v>
      </c>
      <c r="V34" s="40"/>
      <c r="X34">
        <v>341</v>
      </c>
      <c r="Z34" s="404">
        <f>SUM(Z3:Z33)</f>
        <v>227</v>
      </c>
      <c r="AF34" s="387">
        <f>SUM(AE34/1600)</f>
        <v>0</v>
      </c>
      <c r="AL34">
        <f>SUM(AL3:AL33)</f>
        <v>21</v>
      </c>
    </row>
    <row r="35" spans="1:38">
      <c r="C35" s="40">
        <f>SUM(C3:C33)</f>
        <v>196</v>
      </c>
      <c r="K35" s="40">
        <f>SUM(K3:K33)</f>
        <v>4</v>
      </c>
      <c r="S35" s="40">
        <f>SUM(S3:S33)</f>
        <v>27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P1" activePane="topRight" state="frozen"/>
      <selection pane="topRight" activeCell="AT36" sqref="AT36:AU3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1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/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/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/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/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0.1705113636363752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665.08016877609418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44696</v>
      </c>
      <c r="B20">
        <f>'B5'!B19</f>
        <v>231</v>
      </c>
      <c r="C20" s="203">
        <f t="shared" si="18"/>
        <v>4970.2258064516127</v>
      </c>
      <c r="D20">
        <f t="shared" si="19"/>
        <v>231</v>
      </c>
      <c r="E20" s="203">
        <f t="shared" si="18"/>
        <v>4970.2258064516127</v>
      </c>
      <c r="F20">
        <f t="shared" si="20"/>
        <v>231</v>
      </c>
      <c r="G20" s="203">
        <f t="shared" si="1"/>
        <v>4970.2258064516127</v>
      </c>
      <c r="H20" s="203">
        <f t="shared" si="21"/>
        <v>231</v>
      </c>
      <c r="I20" s="203">
        <f t="shared" si="2"/>
        <v>4970.2258064516127</v>
      </c>
      <c r="J20" s="203">
        <f t="shared" si="22"/>
        <v>231</v>
      </c>
      <c r="K20" s="203">
        <f t="shared" si="3"/>
        <v>4970.2258064516127</v>
      </c>
      <c r="L20" s="203">
        <f t="shared" si="23"/>
        <v>231</v>
      </c>
      <c r="M20" s="203">
        <f t="shared" si="4"/>
        <v>4970.2258064516127</v>
      </c>
      <c r="N20" s="203">
        <f t="shared" si="24"/>
        <v>231</v>
      </c>
      <c r="O20" s="203">
        <f t="shared" si="5"/>
        <v>4970.2258064516127</v>
      </c>
      <c r="P20" s="203">
        <f t="shared" si="25"/>
        <v>231</v>
      </c>
      <c r="Q20" s="203">
        <f t="shared" si="6"/>
        <v>4970.2258064516127</v>
      </c>
      <c r="R20" s="203">
        <f t="shared" si="26"/>
        <v>231</v>
      </c>
      <c r="S20" s="203">
        <f t="shared" si="7"/>
        <v>4970.2258064516127</v>
      </c>
      <c r="T20" s="203">
        <f t="shared" si="27"/>
        <v>231</v>
      </c>
      <c r="U20" s="203">
        <f t="shared" si="8"/>
        <v>4970.2258064516127</v>
      </c>
      <c r="V20" s="203">
        <f t="shared" si="28"/>
        <v>231</v>
      </c>
      <c r="W20" s="203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0.76651052889069315</v>
      </c>
      <c r="AR20" s="38">
        <f t="shared" si="41"/>
        <v>71262.483870967742</v>
      </c>
      <c r="AS20" s="197">
        <f>SUM(AR20-AR19-AT20)</f>
        <v>-920.03225806451519</v>
      </c>
      <c r="AT20" s="340"/>
      <c r="AU20" s="548"/>
      <c r="AV20" s="485">
        <f t="shared" si="45"/>
        <v>1.085</v>
      </c>
      <c r="AW20" s="279">
        <f>-SUM('B5'!AI19)</f>
        <v>-157</v>
      </c>
      <c r="AX20" s="279">
        <f>-SUM(AW20-AS20)</f>
        <v>-763.03225806451519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20</v>
      </c>
      <c r="BB20" s="378">
        <f>SUM('General information '!E19)</f>
        <v>0.77</v>
      </c>
      <c r="BC20" s="3">
        <f t="shared" si="44"/>
        <v>0</v>
      </c>
      <c r="BD20" s="102">
        <v>19222</v>
      </c>
      <c r="BE20" s="14">
        <f>(305/1185)*ELEC!Q19</f>
        <v>632.90717299550352</v>
      </c>
      <c r="BF20" s="14"/>
      <c r="BG20" s="14" t="e">
        <f>#REF!-BE20</f>
        <v>#REF!</v>
      </c>
      <c r="BH20" s="11"/>
      <c r="BI20">
        <v>7</v>
      </c>
      <c r="BJ20">
        <f t="shared" si="46"/>
        <v>-109.00460829493075</v>
      </c>
      <c r="BK20" s="538">
        <f>GEN!AF17</f>
        <v>0.1614999999999327</v>
      </c>
      <c r="BL20" s="203"/>
    </row>
    <row r="21" spans="1:64">
      <c r="A21" s="425">
        <f>ELEC!C19</f>
        <v>44697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0.75586158559646377</v>
      </c>
      <c r="AR21" s="38">
        <f t="shared" si="41"/>
        <v>70272.451612903242</v>
      </c>
      <c r="AS21" s="197">
        <f>SUM(AR21-AR20-AT21)</f>
        <v>-990.03225806450064</v>
      </c>
      <c r="AT21" s="340"/>
      <c r="AU21" s="548"/>
      <c r="AV21" s="485">
        <f t="shared" si="45"/>
        <v>1.085</v>
      </c>
      <c r="AW21" s="279">
        <f>-SUM('B5'!AI20)</f>
        <v>-113</v>
      </c>
      <c r="AX21" s="279">
        <f t="shared" si="17"/>
        <v>-877.03225806450064</v>
      </c>
      <c r="AY21" s="37">
        <f t="shared" si="37"/>
        <v>-990.03225806450064</v>
      </c>
      <c r="AZ21" s="100">
        <f>ELEC!A19</f>
        <v>0</v>
      </c>
      <c r="BA21" s="118">
        <f>'General information '!D20</f>
        <v>20</v>
      </c>
      <c r="BB21" s="378">
        <f>SUM('General information '!E20)</f>
        <v>0.7</v>
      </c>
      <c r="BC21" s="3">
        <f t="shared" si="44"/>
        <v>0</v>
      </c>
      <c r="BD21" s="102">
        <v>19222</v>
      </c>
      <c r="BE21" s="14">
        <f>(305/1185)*ELEC!Q20</f>
        <v>687.72995780649899</v>
      </c>
      <c r="BF21" s="14"/>
      <c r="BG21" s="14" t="e">
        <f>#REF!-BE21</f>
        <v>#REF!</v>
      </c>
      <c r="BH21" s="11"/>
      <c r="BI21">
        <v>8</v>
      </c>
      <c r="BJ21">
        <f t="shared" si="46"/>
        <v>-109.62903225806258</v>
      </c>
      <c r="BK21" s="538">
        <f>GEN!AF18</f>
        <v>0.19210937499991587</v>
      </c>
    </row>
    <row r="22" spans="1:64">
      <c r="A22" s="425">
        <f>ELEC!C20</f>
        <v>44698</v>
      </c>
      <c r="B22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3">
        <f>'B5'!C21</f>
        <v>231</v>
      </c>
      <c r="AA22" s="203">
        <f t="shared" si="30"/>
        <v>2310</v>
      </c>
      <c r="AB22" s="203">
        <f t="shared" si="31"/>
        <v>231</v>
      </c>
      <c r="AC22" s="203">
        <f t="shared" si="30"/>
        <v>2310</v>
      </c>
      <c r="AD22" s="203">
        <f t="shared" si="32"/>
        <v>231</v>
      </c>
      <c r="AE22" s="203">
        <f t="shared" si="11"/>
        <v>2310</v>
      </c>
      <c r="AF22" s="203">
        <f t="shared" si="33"/>
        <v>231</v>
      </c>
      <c r="AG22" s="203">
        <f t="shared" si="12"/>
        <v>2310</v>
      </c>
      <c r="AH22" s="203">
        <f t="shared" si="34"/>
        <v>231</v>
      </c>
      <c r="AI22" s="203">
        <f t="shared" si="13"/>
        <v>2310</v>
      </c>
      <c r="AJ22" s="203">
        <f t="shared" si="35"/>
        <v>231</v>
      </c>
      <c r="AK22" s="203">
        <f t="shared" si="14"/>
        <v>2310</v>
      </c>
      <c r="AL22" s="203">
        <f t="shared" si="36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39"/>
        <v>16170</v>
      </c>
      <c r="AQ22" s="223">
        <f t="shared" si="40"/>
        <v>0.7467185044082898</v>
      </c>
      <c r="AR22" s="38">
        <f t="shared" si="41"/>
        <v>69422.419354838697</v>
      </c>
      <c r="AS22" s="197">
        <f t="shared" si="47"/>
        <v>-850.03225806454429</v>
      </c>
      <c r="AT22" s="340"/>
      <c r="AU22" s="548"/>
      <c r="AV22" s="485">
        <f t="shared" si="43"/>
        <v>1.085</v>
      </c>
      <c r="AW22" s="279">
        <f>-SUM('B5'!AI21)</f>
        <v>-126</v>
      </c>
      <c r="AX22" s="279">
        <f t="shared" si="17"/>
        <v>-724.03225806454429</v>
      </c>
      <c r="AY22" s="37">
        <f t="shared" si="37"/>
        <v>-850.03225806454429</v>
      </c>
      <c r="AZ22" s="100">
        <f>ELEC!A20</f>
        <v>0</v>
      </c>
      <c r="BA22" s="118">
        <f>'General information '!D21</f>
        <v>20.5</v>
      </c>
      <c r="BB22" s="378">
        <f>SUM('General information '!E21)</f>
        <v>0.81</v>
      </c>
      <c r="BC22" s="3">
        <f t="shared" si="44"/>
        <v>0</v>
      </c>
      <c r="BD22" s="102">
        <v>19222</v>
      </c>
      <c r="BE22" s="14">
        <f>(305/1185)*ELEC!Q21</f>
        <v>770.86497890269152</v>
      </c>
      <c r="BF22" s="14"/>
      <c r="BG22" s="14" t="e">
        <f>#REF!-BE22</f>
        <v>#REF!</v>
      </c>
      <c r="BH22" s="11"/>
      <c r="BI22">
        <v>9</v>
      </c>
      <c r="BJ22">
        <f t="shared" si="46"/>
        <v>-80.448028673838252</v>
      </c>
      <c r="BK22" s="538">
        <f>GEN!AF19</f>
        <v>0.1670000000001437</v>
      </c>
    </row>
    <row r="23" spans="1:64">
      <c r="A23" s="425">
        <f>ELEC!C21</f>
        <v>44699</v>
      </c>
      <c r="B23">
        <f>'B5'!B22</f>
        <v>220</v>
      </c>
      <c r="C23" s="203">
        <f t="shared" si="18"/>
        <v>4733.5483870967737</v>
      </c>
      <c r="D23">
        <f t="shared" si="19"/>
        <v>220</v>
      </c>
      <c r="E23" s="203">
        <f t="shared" si="18"/>
        <v>4733.5483870967737</v>
      </c>
      <c r="F23">
        <f t="shared" si="20"/>
        <v>220</v>
      </c>
      <c r="G23" s="203">
        <f t="shared" si="1"/>
        <v>4733.5483870967737</v>
      </c>
      <c r="H23" s="203">
        <f t="shared" si="21"/>
        <v>220</v>
      </c>
      <c r="I23" s="203">
        <f t="shared" si="2"/>
        <v>4733.5483870967737</v>
      </c>
      <c r="J23" s="203">
        <f t="shared" si="22"/>
        <v>220</v>
      </c>
      <c r="K23" s="203">
        <f t="shared" si="3"/>
        <v>4733.5483870967737</v>
      </c>
      <c r="L23" s="203">
        <f t="shared" si="23"/>
        <v>220</v>
      </c>
      <c r="M23" s="203">
        <f t="shared" si="4"/>
        <v>4733.5483870967737</v>
      </c>
      <c r="N23" s="203">
        <f t="shared" si="24"/>
        <v>220</v>
      </c>
      <c r="O23" s="203">
        <f t="shared" si="5"/>
        <v>4733.5483870967737</v>
      </c>
      <c r="P23" s="203">
        <f t="shared" si="25"/>
        <v>220</v>
      </c>
      <c r="Q23" s="203">
        <f t="shared" si="6"/>
        <v>4733.5483870967737</v>
      </c>
      <c r="R23" s="203">
        <f t="shared" si="26"/>
        <v>220</v>
      </c>
      <c r="S23" s="203">
        <f t="shared" si="7"/>
        <v>4733.5483870967737</v>
      </c>
      <c r="T23" s="203">
        <f t="shared" si="27"/>
        <v>220</v>
      </c>
      <c r="U23" s="203">
        <f t="shared" si="8"/>
        <v>4733.5483870967737</v>
      </c>
      <c r="V23" s="203">
        <f t="shared" si="28"/>
        <v>220</v>
      </c>
      <c r="W23" s="203">
        <f t="shared" si="9"/>
        <v>4733.5483870967737</v>
      </c>
      <c r="X23" s="35">
        <f t="shared" si="10"/>
        <v>0.70967741935483863</v>
      </c>
      <c r="Y23" s="36">
        <f t="shared" si="29"/>
        <v>52069.032258064508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39"/>
        <v>15890</v>
      </c>
      <c r="AQ23" s="223">
        <f t="shared" si="40"/>
        <v>0.73097808172598167</v>
      </c>
      <c r="AR23" s="38">
        <f t="shared" si="41"/>
        <v>67959.032258064515</v>
      </c>
      <c r="AS23" s="197">
        <f t="shared" si="47"/>
        <v>-1463.3870967741823</v>
      </c>
      <c r="AT23" s="340"/>
      <c r="AU23" s="548"/>
      <c r="AV23" s="485">
        <f t="shared" si="43"/>
        <v>1.085</v>
      </c>
      <c r="AW23" s="279">
        <f>-SUM('B5'!AI22)</f>
        <v>-213</v>
      </c>
      <c r="AX23" s="279">
        <f t="shared" si="17"/>
        <v>-1250.3870967741823</v>
      </c>
      <c r="AY23" s="37">
        <f t="shared" si="37"/>
        <v>-1463.3870967741823</v>
      </c>
      <c r="AZ23" s="100">
        <f>ELEC!A21</f>
        <v>0</v>
      </c>
      <c r="BA23" s="118">
        <f>'General information '!D22</f>
        <v>20</v>
      </c>
      <c r="BB23" s="378">
        <f>SUM('General information '!E22)</f>
        <v>0.8</v>
      </c>
      <c r="BC23" s="3">
        <f t="shared" si="44"/>
        <v>0</v>
      </c>
      <c r="BD23" s="102">
        <v>19222</v>
      </c>
      <c r="BE23" s="14">
        <f>(305/1185)*ELEC!Q22</f>
        <v>778.84388185603075</v>
      </c>
      <c r="BF23" s="14"/>
      <c r="BG23" s="14" t="e">
        <f>#REF!-BE23</f>
        <v>#REF!</v>
      </c>
      <c r="BH23" s="11"/>
      <c r="BI23">
        <v>10</v>
      </c>
      <c r="BJ23">
        <f t="shared" si="46"/>
        <v>-125.03870967741823</v>
      </c>
      <c r="BK23" s="538">
        <f>GEN!AF20</f>
        <v>0.18718749999993634</v>
      </c>
    </row>
    <row r="24" spans="1:64">
      <c r="A24" s="425">
        <f>ELEC!C22</f>
        <v>44700</v>
      </c>
      <c r="B24">
        <f>'B5'!B23</f>
        <v>217</v>
      </c>
      <c r="C24" s="203">
        <f t="shared" si="18"/>
        <v>4669</v>
      </c>
      <c r="D24">
        <f t="shared" si="19"/>
        <v>217</v>
      </c>
      <c r="E24" s="203">
        <f t="shared" si="18"/>
        <v>4669</v>
      </c>
      <c r="F24">
        <f t="shared" si="20"/>
        <v>217</v>
      </c>
      <c r="G24" s="203">
        <f t="shared" si="1"/>
        <v>4669</v>
      </c>
      <c r="H24" s="203">
        <f t="shared" si="21"/>
        <v>217</v>
      </c>
      <c r="I24" s="203">
        <f t="shared" si="2"/>
        <v>4669</v>
      </c>
      <c r="J24" s="203">
        <f t="shared" si="22"/>
        <v>217</v>
      </c>
      <c r="K24" s="203">
        <f t="shared" si="3"/>
        <v>4669</v>
      </c>
      <c r="L24" s="203">
        <f t="shared" si="23"/>
        <v>217</v>
      </c>
      <c r="M24" s="203">
        <f t="shared" si="4"/>
        <v>4669</v>
      </c>
      <c r="N24" s="203">
        <f t="shared" si="24"/>
        <v>217</v>
      </c>
      <c r="O24" s="203">
        <f t="shared" si="5"/>
        <v>4669</v>
      </c>
      <c r="P24" s="203">
        <f t="shared" si="25"/>
        <v>217</v>
      </c>
      <c r="Q24" s="203">
        <f t="shared" si="6"/>
        <v>4669</v>
      </c>
      <c r="R24" s="203">
        <f t="shared" si="26"/>
        <v>217</v>
      </c>
      <c r="S24" s="203">
        <f t="shared" si="7"/>
        <v>4669</v>
      </c>
      <c r="T24" s="203">
        <f t="shared" si="27"/>
        <v>217</v>
      </c>
      <c r="U24" s="203">
        <f t="shared" si="8"/>
        <v>4669</v>
      </c>
      <c r="V24" s="203">
        <f t="shared" si="28"/>
        <v>217</v>
      </c>
      <c r="W24" s="203">
        <f t="shared" si="9"/>
        <v>4669</v>
      </c>
      <c r="X24" s="35">
        <f t="shared" si="10"/>
        <v>0.7</v>
      </c>
      <c r="Y24" s="36">
        <f t="shared" si="29"/>
        <v>51359</v>
      </c>
      <c r="Z24" s="203">
        <f>'B5'!C23</f>
        <v>224</v>
      </c>
      <c r="AA24" s="203">
        <f t="shared" si="30"/>
        <v>2240</v>
      </c>
      <c r="AB24" s="203">
        <f t="shared" si="31"/>
        <v>224</v>
      </c>
      <c r="AC24" s="203">
        <f t="shared" si="30"/>
        <v>2240</v>
      </c>
      <c r="AD24" s="203">
        <f t="shared" si="32"/>
        <v>224</v>
      </c>
      <c r="AE24" s="203">
        <f t="shared" si="11"/>
        <v>2240</v>
      </c>
      <c r="AF24" s="203">
        <f t="shared" si="33"/>
        <v>224</v>
      </c>
      <c r="AG24" s="203">
        <f t="shared" si="12"/>
        <v>2240</v>
      </c>
      <c r="AH24" s="203">
        <f t="shared" si="34"/>
        <v>224</v>
      </c>
      <c r="AI24" s="203">
        <f t="shared" si="13"/>
        <v>2240</v>
      </c>
      <c r="AJ24" s="203">
        <f t="shared" si="35"/>
        <v>224</v>
      </c>
      <c r="AK24" s="203">
        <f t="shared" si="14"/>
        <v>2240</v>
      </c>
      <c r="AL24" s="203">
        <f t="shared" si="36"/>
        <v>224</v>
      </c>
      <c r="AM24" s="203">
        <f t="shared" si="15"/>
        <v>2240</v>
      </c>
      <c r="AN24" s="35">
        <f t="shared" si="16"/>
        <v>0.8</v>
      </c>
      <c r="AO24" s="36">
        <f t="shared" si="39"/>
        <v>15680</v>
      </c>
      <c r="AQ24" s="223">
        <f t="shared" si="40"/>
        <v>0.72108206948478004</v>
      </c>
      <c r="AR24" s="38">
        <f t="shared" si="41"/>
        <v>67039</v>
      </c>
      <c r="AS24" s="197">
        <f t="shared" si="47"/>
        <v>-920.03225806451519</v>
      </c>
      <c r="AT24" s="340"/>
      <c r="AU24" s="548"/>
      <c r="AV24" s="485">
        <f t="shared" si="43"/>
        <v>1.085</v>
      </c>
      <c r="AW24" s="279">
        <f>-SUM('B5'!AI23)</f>
        <v>-61</v>
      </c>
      <c r="AX24" s="279">
        <f t="shared" si="17"/>
        <v>-859.03225806451519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21.5</v>
      </c>
      <c r="BB24" s="378">
        <f>SUM('General information '!E23)</f>
        <v>0.83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-78.093841642228654</v>
      </c>
      <c r="BK24" s="538">
        <f>GEN!AF21</f>
        <v>0.17193181818170572</v>
      </c>
    </row>
    <row r="25" spans="1:64">
      <c r="A25" s="425">
        <f>ELEC!C23</f>
        <v>44701</v>
      </c>
      <c r="B25">
        <f>'B5'!B24</f>
        <v>217</v>
      </c>
      <c r="C25" s="203">
        <f t="shared" si="18"/>
        <v>4669</v>
      </c>
      <c r="D25">
        <f t="shared" si="19"/>
        <v>217</v>
      </c>
      <c r="E25" s="203">
        <f t="shared" si="18"/>
        <v>4669</v>
      </c>
      <c r="F25">
        <f t="shared" si="20"/>
        <v>217</v>
      </c>
      <c r="G25" s="203">
        <f t="shared" si="1"/>
        <v>4669</v>
      </c>
      <c r="H25" s="203">
        <f t="shared" si="21"/>
        <v>217</v>
      </c>
      <c r="I25" s="203">
        <f t="shared" si="2"/>
        <v>4669</v>
      </c>
      <c r="J25" s="203">
        <f t="shared" si="22"/>
        <v>217</v>
      </c>
      <c r="K25" s="203">
        <f t="shared" si="3"/>
        <v>4669</v>
      </c>
      <c r="L25" s="203">
        <f t="shared" si="23"/>
        <v>217</v>
      </c>
      <c r="M25" s="203">
        <f t="shared" si="4"/>
        <v>4669</v>
      </c>
      <c r="N25" s="203">
        <f t="shared" si="24"/>
        <v>217</v>
      </c>
      <c r="O25" s="203">
        <f t="shared" si="5"/>
        <v>4669</v>
      </c>
      <c r="P25" s="203">
        <f t="shared" si="25"/>
        <v>217</v>
      </c>
      <c r="Q25" s="203">
        <f t="shared" si="6"/>
        <v>4669</v>
      </c>
      <c r="R25" s="203">
        <f t="shared" si="26"/>
        <v>217</v>
      </c>
      <c r="S25" s="203">
        <f t="shared" si="7"/>
        <v>4669</v>
      </c>
      <c r="T25" s="203">
        <f t="shared" si="27"/>
        <v>217</v>
      </c>
      <c r="U25" s="203">
        <f t="shared" si="8"/>
        <v>4669</v>
      </c>
      <c r="V25" s="203">
        <f t="shared" si="28"/>
        <v>217</v>
      </c>
      <c r="W25" s="203">
        <f t="shared" si="9"/>
        <v>4669</v>
      </c>
      <c r="X25" s="35">
        <f t="shared" si="10"/>
        <v>0.7</v>
      </c>
      <c r="Y25" s="36">
        <f t="shared" si="29"/>
        <v>51359</v>
      </c>
      <c r="Z25" s="203">
        <f>'B5'!C24</f>
        <v>224</v>
      </c>
      <c r="AA25" s="203">
        <f t="shared" si="30"/>
        <v>2240</v>
      </c>
      <c r="AB25" s="203">
        <f t="shared" si="31"/>
        <v>224</v>
      </c>
      <c r="AC25" s="203">
        <f t="shared" si="30"/>
        <v>2240</v>
      </c>
      <c r="AD25" s="203">
        <f t="shared" si="32"/>
        <v>224</v>
      </c>
      <c r="AE25" s="203">
        <f t="shared" si="11"/>
        <v>2240</v>
      </c>
      <c r="AF25" s="203">
        <f t="shared" si="33"/>
        <v>224</v>
      </c>
      <c r="AG25" s="203">
        <f t="shared" si="12"/>
        <v>2240</v>
      </c>
      <c r="AH25" s="203">
        <f t="shared" si="34"/>
        <v>224</v>
      </c>
      <c r="AI25" s="203">
        <f t="shared" si="13"/>
        <v>2240</v>
      </c>
      <c r="AJ25" s="203">
        <f t="shared" si="35"/>
        <v>224</v>
      </c>
      <c r="AK25" s="203">
        <f t="shared" si="14"/>
        <v>2240</v>
      </c>
      <c r="AL25" s="203">
        <f t="shared" si="36"/>
        <v>224</v>
      </c>
      <c r="AM25" s="203">
        <f t="shared" si="15"/>
        <v>2240</v>
      </c>
      <c r="AN25" s="35">
        <f t="shared" si="16"/>
        <v>0.8</v>
      </c>
      <c r="AO25" s="36">
        <f t="shared" si="39"/>
        <v>15680</v>
      </c>
      <c r="AQ25" s="223">
        <f t="shared" si="40"/>
        <v>0.72108206948478004</v>
      </c>
      <c r="AR25" s="38">
        <f>Y25+AO25</f>
        <v>67039</v>
      </c>
      <c r="AS25" s="197">
        <f t="shared" si="47"/>
        <v>0</v>
      </c>
      <c r="AT25" s="340">
        <v>0</v>
      </c>
      <c r="AU25" s="549">
        <v>0</v>
      </c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44702</v>
      </c>
      <c r="B26">
        <f>'B5'!B25</f>
        <v>231.5</v>
      </c>
      <c r="C26" s="203">
        <f t="shared" si="18"/>
        <v>4980.9838709677415</v>
      </c>
      <c r="D26">
        <f t="shared" si="19"/>
        <v>231.5</v>
      </c>
      <c r="E26" s="203">
        <f t="shared" si="18"/>
        <v>4980.9838709677415</v>
      </c>
      <c r="F26">
        <f t="shared" si="20"/>
        <v>231.5</v>
      </c>
      <c r="G26" s="203">
        <f t="shared" si="1"/>
        <v>4980.9838709677415</v>
      </c>
      <c r="H26" s="203">
        <f t="shared" si="21"/>
        <v>231.5</v>
      </c>
      <c r="I26" s="203">
        <f t="shared" si="2"/>
        <v>4980.9838709677415</v>
      </c>
      <c r="J26" s="203">
        <f t="shared" si="22"/>
        <v>231.5</v>
      </c>
      <c r="K26" s="203">
        <f t="shared" si="3"/>
        <v>4980.9838709677415</v>
      </c>
      <c r="L26" s="203">
        <f t="shared" si="23"/>
        <v>231.5</v>
      </c>
      <c r="M26" s="203">
        <f t="shared" si="4"/>
        <v>4980.9838709677415</v>
      </c>
      <c r="N26" s="203">
        <f t="shared" si="24"/>
        <v>231.5</v>
      </c>
      <c r="O26" s="203">
        <f t="shared" si="5"/>
        <v>4980.9838709677415</v>
      </c>
      <c r="P26" s="203">
        <f t="shared" si="25"/>
        <v>231.5</v>
      </c>
      <c r="Q26" s="203">
        <f t="shared" si="6"/>
        <v>4980.9838709677415</v>
      </c>
      <c r="R26" s="203">
        <f t="shared" si="26"/>
        <v>231.5</v>
      </c>
      <c r="S26" s="203">
        <f t="shared" si="7"/>
        <v>4980.9838709677415</v>
      </c>
      <c r="T26" s="203">
        <f t="shared" si="27"/>
        <v>231.5</v>
      </c>
      <c r="U26" s="203">
        <f t="shared" si="8"/>
        <v>4980.9838709677415</v>
      </c>
      <c r="V26" s="203">
        <f t="shared" si="28"/>
        <v>231.5</v>
      </c>
      <c r="W26" s="203">
        <f t="shared" si="9"/>
        <v>4980.9838709677415</v>
      </c>
      <c r="X26" s="35">
        <f t="shared" si="10"/>
        <v>0.74677419354838703</v>
      </c>
      <c r="Y26" s="36">
        <f t="shared" si="29"/>
        <v>54790.822580645159</v>
      </c>
      <c r="Z26" s="203">
        <f>'B5'!C25</f>
        <v>237.5</v>
      </c>
      <c r="AA26" s="203">
        <f t="shared" si="30"/>
        <v>2375</v>
      </c>
      <c r="AB26" s="203">
        <f t="shared" si="31"/>
        <v>237.5</v>
      </c>
      <c r="AC26" s="203">
        <f t="shared" si="30"/>
        <v>2375</v>
      </c>
      <c r="AD26" s="203">
        <f t="shared" si="32"/>
        <v>237.5</v>
      </c>
      <c r="AE26" s="203">
        <f t="shared" si="11"/>
        <v>2375</v>
      </c>
      <c r="AF26" s="203">
        <f t="shared" si="33"/>
        <v>237.5</v>
      </c>
      <c r="AG26" s="203">
        <f t="shared" si="12"/>
        <v>2375</v>
      </c>
      <c r="AH26" s="203">
        <f t="shared" si="34"/>
        <v>237.5</v>
      </c>
      <c r="AI26" s="203">
        <f t="shared" si="13"/>
        <v>2375</v>
      </c>
      <c r="AJ26" s="203">
        <f t="shared" si="35"/>
        <v>237.5</v>
      </c>
      <c r="AK26" s="203">
        <f t="shared" si="14"/>
        <v>2375</v>
      </c>
      <c r="AL26" s="203">
        <f t="shared" si="36"/>
        <v>237.5</v>
      </c>
      <c r="AM26" s="203">
        <f t="shared" si="15"/>
        <v>2375</v>
      </c>
      <c r="AN26" s="35">
        <f t="shared" si="16"/>
        <v>0.8482142857142857</v>
      </c>
      <c r="AO26" s="36">
        <f t="shared" si="39"/>
        <v>16625</v>
      </c>
      <c r="AQ26" s="223">
        <f t="shared" si="40"/>
        <v>0.76815986426422667</v>
      </c>
      <c r="AR26" s="38">
        <f>Y26+AO26</f>
        <v>71415.822580645152</v>
      </c>
      <c r="AS26" s="197">
        <f t="shared" si="47"/>
        <v>4376.8225806451519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4376.8225806451519</v>
      </c>
      <c r="AY26" s="37">
        <f t="shared" si="37"/>
        <v>4376.8225806451519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1</v>
      </c>
      <c r="BD26" s="102">
        <v>19222</v>
      </c>
      <c r="BE26" s="14">
        <f>(305/1185)*ELEC!Q25</f>
        <v>951.0337552751231</v>
      </c>
      <c r="BF26" s="14"/>
      <c r="BG26" s="14" t="e">
        <f>#REF!-BE26</f>
        <v>#REF!</v>
      </c>
      <c r="BH26" s="11"/>
      <c r="BI26">
        <v>13</v>
      </c>
      <c r="BJ26">
        <f t="shared" si="46"/>
        <v>336.67866004962707</v>
      </c>
      <c r="BK26" s="538"/>
    </row>
    <row r="27" spans="1:64">
      <c r="A27" s="425">
        <f>ELEC!C25</f>
        <v>44703</v>
      </c>
      <c r="B27">
        <f>'B5'!B26</f>
        <v>231.5</v>
      </c>
      <c r="C27" s="203">
        <f t="shared" si="18"/>
        <v>4980.9838709677415</v>
      </c>
      <c r="D27">
        <f t="shared" si="19"/>
        <v>231.5</v>
      </c>
      <c r="E27" s="203">
        <f t="shared" si="18"/>
        <v>4980.9838709677415</v>
      </c>
      <c r="F27">
        <f t="shared" si="20"/>
        <v>231.5</v>
      </c>
      <c r="G27" s="203">
        <f t="shared" si="1"/>
        <v>4980.9838709677415</v>
      </c>
      <c r="H27" s="203">
        <f t="shared" si="21"/>
        <v>231.5</v>
      </c>
      <c r="I27" s="203">
        <f t="shared" si="2"/>
        <v>4980.9838709677415</v>
      </c>
      <c r="J27" s="203">
        <f t="shared" si="22"/>
        <v>231.5</v>
      </c>
      <c r="K27" s="203">
        <f t="shared" si="3"/>
        <v>4980.9838709677415</v>
      </c>
      <c r="L27" s="203">
        <f t="shared" si="23"/>
        <v>231.5</v>
      </c>
      <c r="M27" s="203">
        <f t="shared" si="4"/>
        <v>4980.9838709677415</v>
      </c>
      <c r="N27" s="203">
        <f t="shared" si="24"/>
        <v>231.5</v>
      </c>
      <c r="O27" s="203">
        <f t="shared" si="5"/>
        <v>4980.9838709677415</v>
      </c>
      <c r="P27" s="203">
        <f t="shared" si="25"/>
        <v>231.5</v>
      </c>
      <c r="Q27" s="203">
        <f t="shared" si="6"/>
        <v>4980.9838709677415</v>
      </c>
      <c r="R27" s="203">
        <f t="shared" si="26"/>
        <v>231.5</v>
      </c>
      <c r="S27" s="203">
        <f t="shared" si="7"/>
        <v>4980.9838709677415</v>
      </c>
      <c r="T27" s="203">
        <f t="shared" si="27"/>
        <v>231.5</v>
      </c>
      <c r="U27" s="203">
        <f t="shared" si="8"/>
        <v>4980.9838709677415</v>
      </c>
      <c r="V27" s="203">
        <f t="shared" si="28"/>
        <v>231.5</v>
      </c>
      <c r="W27" s="203">
        <f t="shared" si="9"/>
        <v>4980.9838709677415</v>
      </c>
      <c r="X27" s="35">
        <f t="shared" si="10"/>
        <v>0.74677419354838703</v>
      </c>
      <c r="Y27" s="36">
        <f t="shared" si="29"/>
        <v>54790.822580645159</v>
      </c>
      <c r="Z27" s="203">
        <f>'B5'!C26</f>
        <v>237.5</v>
      </c>
      <c r="AA27" s="203">
        <f t="shared" si="30"/>
        <v>2375</v>
      </c>
      <c r="AB27" s="203">
        <f t="shared" si="31"/>
        <v>237.5</v>
      </c>
      <c r="AC27" s="203">
        <f t="shared" si="30"/>
        <v>2375</v>
      </c>
      <c r="AD27" s="203">
        <f t="shared" si="32"/>
        <v>237.5</v>
      </c>
      <c r="AE27" s="203">
        <f t="shared" si="11"/>
        <v>2375</v>
      </c>
      <c r="AF27" s="203">
        <f t="shared" si="33"/>
        <v>237.5</v>
      </c>
      <c r="AG27" s="203">
        <f t="shared" si="12"/>
        <v>2375</v>
      </c>
      <c r="AH27" s="203">
        <f t="shared" si="34"/>
        <v>237.5</v>
      </c>
      <c r="AI27" s="203">
        <f t="shared" si="13"/>
        <v>2375</v>
      </c>
      <c r="AJ27" s="203">
        <f t="shared" si="35"/>
        <v>237.5</v>
      </c>
      <c r="AK27" s="203">
        <f t="shared" si="14"/>
        <v>2375</v>
      </c>
      <c r="AL27" s="203">
        <f t="shared" si="36"/>
        <v>237.5</v>
      </c>
      <c r="AM27" s="203">
        <f t="shared" si="15"/>
        <v>2375</v>
      </c>
      <c r="AN27" s="35">
        <f t="shared" si="16"/>
        <v>0.8482142857142857</v>
      </c>
      <c r="AO27" s="36">
        <f t="shared" si="39"/>
        <v>16625</v>
      </c>
      <c r="AQ27" s="223">
        <f t="shared" si="40"/>
        <v>0.76815986426422667</v>
      </c>
      <c r="AR27" s="38">
        <f t="shared" si="41"/>
        <v>71415.822580645152</v>
      </c>
      <c r="AS27" s="197">
        <f t="shared" si="47"/>
        <v>-5090</v>
      </c>
      <c r="AT27" s="340">
        <v>5090</v>
      </c>
      <c r="AU27" s="548">
        <v>1.07</v>
      </c>
      <c r="AV27" s="485">
        <v>0</v>
      </c>
      <c r="AW27" s="279">
        <f>-SUM('B5'!AI26)</f>
        <v>-136</v>
      </c>
      <c r="AX27" s="279">
        <f t="shared" si="17"/>
        <v>-4954</v>
      </c>
      <c r="AY27" s="37">
        <f t="shared" si="37"/>
        <v>-5090</v>
      </c>
      <c r="AZ27" s="100">
        <f>ELEC!A25</f>
        <v>0</v>
      </c>
      <c r="BA27" s="118">
        <f>'General information '!D26</f>
        <v>22.5</v>
      </c>
      <c r="BB27" s="378">
        <f>SUM('General information '!E26)</f>
        <v>0.7</v>
      </c>
      <c r="BC27" s="3">
        <f t="shared" si="44"/>
        <v>0</v>
      </c>
      <c r="BD27" s="102">
        <v>19222</v>
      </c>
      <c r="BE27" s="14">
        <f>(305/1185)*ELEC!Q26</f>
        <v>842.932489450915</v>
      </c>
      <c r="BF27" s="14"/>
      <c r="BG27" s="14" t="e">
        <f>#REF!-BE27</f>
        <v>#REF!</v>
      </c>
      <c r="BH27" s="11"/>
      <c r="BI27">
        <v>14</v>
      </c>
      <c r="BJ27">
        <f t="shared" si="46"/>
        <v>-353.85714285714283</v>
      </c>
      <c r="BK27" s="538">
        <f>GEN!AF24</f>
        <v>0.19244791666684097</v>
      </c>
    </row>
    <row r="28" spans="1:64">
      <c r="A28" s="425">
        <f>ELEC!C26</f>
        <v>44704</v>
      </c>
      <c r="B28">
        <f>'B5'!B27</f>
        <v>227.5</v>
      </c>
      <c r="C28" s="203">
        <f t="shared" si="18"/>
        <v>4894.9193548387093</v>
      </c>
      <c r="D28">
        <f t="shared" si="19"/>
        <v>227.5</v>
      </c>
      <c r="E28" s="203">
        <f t="shared" si="18"/>
        <v>4894.9193548387093</v>
      </c>
      <c r="F28">
        <f t="shared" si="20"/>
        <v>227.5</v>
      </c>
      <c r="G28" s="203">
        <f t="shared" si="1"/>
        <v>4894.9193548387093</v>
      </c>
      <c r="H28" s="203">
        <f t="shared" si="21"/>
        <v>227.5</v>
      </c>
      <c r="I28" s="203">
        <f t="shared" si="2"/>
        <v>4894.9193548387093</v>
      </c>
      <c r="J28" s="203">
        <f t="shared" si="22"/>
        <v>227.5</v>
      </c>
      <c r="K28" s="203">
        <f t="shared" si="3"/>
        <v>4894.9193548387093</v>
      </c>
      <c r="L28" s="203">
        <f t="shared" si="23"/>
        <v>227.5</v>
      </c>
      <c r="M28" s="203">
        <f t="shared" si="4"/>
        <v>4894.9193548387093</v>
      </c>
      <c r="N28" s="203">
        <f t="shared" si="24"/>
        <v>227.5</v>
      </c>
      <c r="O28" s="203">
        <f t="shared" si="5"/>
        <v>4894.9193548387093</v>
      </c>
      <c r="P28" s="203">
        <f t="shared" si="25"/>
        <v>227.5</v>
      </c>
      <c r="Q28" s="203">
        <f t="shared" si="6"/>
        <v>4894.9193548387093</v>
      </c>
      <c r="R28" s="203">
        <f t="shared" si="26"/>
        <v>227.5</v>
      </c>
      <c r="S28" s="203">
        <f t="shared" si="7"/>
        <v>4894.9193548387093</v>
      </c>
      <c r="T28" s="203">
        <f t="shared" si="27"/>
        <v>227.5</v>
      </c>
      <c r="U28" s="203">
        <f t="shared" si="8"/>
        <v>4894.9193548387093</v>
      </c>
      <c r="V28" s="203">
        <f t="shared" si="28"/>
        <v>227.5</v>
      </c>
      <c r="W28" s="203">
        <f t="shared" si="9"/>
        <v>4894.9193548387093</v>
      </c>
      <c r="X28" s="35">
        <f t="shared" si="10"/>
        <v>0.7338709677419355</v>
      </c>
      <c r="Y28" s="36">
        <f t="shared" si="29"/>
        <v>53844.11290322581</v>
      </c>
      <c r="Z28" s="203">
        <f>'B5'!C27</f>
        <v>233.5</v>
      </c>
      <c r="AA28" s="203">
        <f t="shared" si="30"/>
        <v>2335</v>
      </c>
      <c r="AB28" s="203">
        <f t="shared" si="31"/>
        <v>233.5</v>
      </c>
      <c r="AC28" s="203">
        <f t="shared" si="30"/>
        <v>2335</v>
      </c>
      <c r="AD28" s="203">
        <f t="shared" si="32"/>
        <v>233.5</v>
      </c>
      <c r="AE28" s="203">
        <f t="shared" si="11"/>
        <v>2335</v>
      </c>
      <c r="AF28" s="203">
        <f t="shared" si="33"/>
        <v>233.5</v>
      </c>
      <c r="AG28" s="203">
        <f t="shared" si="12"/>
        <v>2335</v>
      </c>
      <c r="AH28" s="203">
        <f t="shared" si="34"/>
        <v>233.5</v>
      </c>
      <c r="AI28" s="203">
        <f t="shared" si="13"/>
        <v>2335</v>
      </c>
      <c r="AJ28" s="203">
        <f t="shared" si="35"/>
        <v>233.5</v>
      </c>
      <c r="AK28" s="203">
        <f t="shared" si="14"/>
        <v>2335</v>
      </c>
      <c r="AL28" s="203">
        <f t="shared" si="36"/>
        <v>233.5</v>
      </c>
      <c r="AM28" s="203">
        <f t="shared" si="15"/>
        <v>2335</v>
      </c>
      <c r="AN28" s="35">
        <f t="shared" si="16"/>
        <v>0.83392857142857146</v>
      </c>
      <c r="AO28" s="36">
        <f t="shared" si="39"/>
        <v>16345</v>
      </c>
      <c r="AQ28" s="223">
        <f t="shared" si="40"/>
        <v>0.75496518127595802</v>
      </c>
      <c r="AR28" s="38">
        <f t="shared" si="41"/>
        <v>70189.112903225818</v>
      </c>
      <c r="AS28" s="197">
        <f t="shared" si="47"/>
        <v>-1226.7096774193342</v>
      </c>
      <c r="AT28" s="340"/>
      <c r="AU28" s="549"/>
      <c r="AV28" s="485">
        <f t="shared" si="43"/>
        <v>0</v>
      </c>
      <c r="AW28" s="279">
        <f>-SUM('B5'!AI27)</f>
        <v>-201</v>
      </c>
      <c r="AX28" s="279">
        <f t="shared" si="17"/>
        <v>-1025.7096774193342</v>
      </c>
      <c r="AY28" s="37">
        <f t="shared" si="37"/>
        <v>-1226.7096774193342</v>
      </c>
      <c r="AZ28" s="100">
        <f>ELEC!A26</f>
        <v>0</v>
      </c>
      <c r="BA28" s="118">
        <f>'General information '!D27</f>
        <v>22</v>
      </c>
      <c r="BB28" s="378">
        <f>SUM('General information '!E27)</f>
        <v>0.77</v>
      </c>
      <c r="BC28" s="3">
        <f t="shared" si="44"/>
        <v>0</v>
      </c>
      <c r="BD28" s="102">
        <v>19222</v>
      </c>
      <c r="BE28" s="14">
        <f>(305/1185)*ELEC!Q27</f>
        <v>812.30379746810729</v>
      </c>
      <c r="BF28" s="14"/>
      <c r="BG28" s="14" t="e">
        <f>#REF!-BE28</f>
        <v>#REF!</v>
      </c>
      <c r="BH28" s="11"/>
      <c r="BI28">
        <v>15</v>
      </c>
      <c r="BJ28">
        <f t="shared" si="46"/>
        <v>-68.380645161288939</v>
      </c>
      <c r="BK28" s="538">
        <f>GEN!AF25</f>
        <v>0.20468749999986358</v>
      </c>
    </row>
    <row r="29" spans="1:64">
      <c r="A29" s="425">
        <f>ELEC!C27</f>
        <v>44705</v>
      </c>
      <c r="B29">
        <f>'B5'!B28</f>
        <v>224</v>
      </c>
      <c r="C29" s="203">
        <f t="shared" si="18"/>
        <v>4819.6129032258068</v>
      </c>
      <c r="D29">
        <f t="shared" si="19"/>
        <v>224</v>
      </c>
      <c r="E29" s="203">
        <f t="shared" si="18"/>
        <v>4819.6129032258068</v>
      </c>
      <c r="F29">
        <f t="shared" si="20"/>
        <v>224</v>
      </c>
      <c r="G29" s="203">
        <f t="shared" si="1"/>
        <v>4819.6129032258068</v>
      </c>
      <c r="H29" s="203">
        <f t="shared" si="21"/>
        <v>224</v>
      </c>
      <c r="I29" s="203">
        <f t="shared" si="2"/>
        <v>4819.6129032258068</v>
      </c>
      <c r="J29" s="203">
        <f t="shared" si="22"/>
        <v>224</v>
      </c>
      <c r="K29" s="203">
        <f t="shared" si="3"/>
        <v>4819.6129032258068</v>
      </c>
      <c r="L29" s="203">
        <f t="shared" si="23"/>
        <v>224</v>
      </c>
      <c r="M29" s="203">
        <f t="shared" si="4"/>
        <v>4819.6129032258068</v>
      </c>
      <c r="N29" s="203">
        <f t="shared" si="24"/>
        <v>224</v>
      </c>
      <c r="O29" s="203">
        <f t="shared" si="5"/>
        <v>4819.6129032258068</v>
      </c>
      <c r="P29" s="203">
        <f t="shared" si="25"/>
        <v>224</v>
      </c>
      <c r="Q29" s="203">
        <f t="shared" si="6"/>
        <v>4819.6129032258068</v>
      </c>
      <c r="R29" s="203">
        <f t="shared" si="26"/>
        <v>224</v>
      </c>
      <c r="S29" s="203">
        <f t="shared" si="7"/>
        <v>4819.6129032258068</v>
      </c>
      <c r="T29" s="203">
        <f t="shared" si="27"/>
        <v>224</v>
      </c>
      <c r="U29" s="203">
        <f t="shared" si="8"/>
        <v>4819.6129032258068</v>
      </c>
      <c r="V29" s="203">
        <f t="shared" si="28"/>
        <v>224</v>
      </c>
      <c r="W29" s="203">
        <f t="shared" si="9"/>
        <v>4819.6129032258068</v>
      </c>
      <c r="X29" s="35">
        <f t="shared" si="10"/>
        <v>0.72258064516129028</v>
      </c>
      <c r="Y29" s="36">
        <f t="shared" si="29"/>
        <v>53015.741935483864</v>
      </c>
      <c r="Z29" s="203">
        <f>'B5'!C28</f>
        <v>230</v>
      </c>
      <c r="AA29" s="203">
        <f t="shared" si="30"/>
        <v>2300</v>
      </c>
      <c r="AB29" s="203">
        <f t="shared" si="31"/>
        <v>230</v>
      </c>
      <c r="AC29" s="203">
        <f t="shared" si="30"/>
        <v>2300</v>
      </c>
      <c r="AD29" s="203">
        <f t="shared" si="32"/>
        <v>230</v>
      </c>
      <c r="AE29" s="203">
        <f t="shared" si="11"/>
        <v>2300</v>
      </c>
      <c r="AF29" s="203">
        <f t="shared" si="33"/>
        <v>230</v>
      </c>
      <c r="AG29" s="203">
        <f t="shared" si="12"/>
        <v>2300</v>
      </c>
      <c r="AH29" s="203">
        <f t="shared" si="34"/>
        <v>230</v>
      </c>
      <c r="AI29" s="203">
        <f t="shared" si="13"/>
        <v>2300</v>
      </c>
      <c r="AJ29" s="203">
        <f t="shared" si="35"/>
        <v>230</v>
      </c>
      <c r="AK29" s="203">
        <f t="shared" si="14"/>
        <v>2300</v>
      </c>
      <c r="AL29" s="203">
        <f t="shared" si="36"/>
        <v>230</v>
      </c>
      <c r="AM29" s="203">
        <f t="shared" si="15"/>
        <v>2300</v>
      </c>
      <c r="AN29" s="35">
        <f t="shared" si="16"/>
        <v>0.8214285714285714</v>
      </c>
      <c r="AO29" s="36">
        <f t="shared" si="39"/>
        <v>16100</v>
      </c>
      <c r="AQ29" s="223">
        <f t="shared" si="40"/>
        <v>0.74341983366122255</v>
      </c>
      <c r="AR29" s="38">
        <f t="shared" si="41"/>
        <v>69115.741935483864</v>
      </c>
      <c r="AS29" s="197">
        <f>SUM(AR29-AR28-AT29)</f>
        <v>-1073.3709677419538</v>
      </c>
      <c r="AT29" s="340"/>
      <c r="AU29" s="549"/>
      <c r="AV29" s="485">
        <f t="shared" si="43"/>
        <v>0</v>
      </c>
      <c r="AW29" s="279">
        <f>-SUM('B5'!AI28)</f>
        <v>-64</v>
      </c>
      <c r="AX29" s="279">
        <f t="shared" si="17"/>
        <v>-1009.3709677419538</v>
      </c>
      <c r="AY29" s="37">
        <f t="shared" si="37"/>
        <v>-1073.3709677419538</v>
      </c>
      <c r="AZ29" s="100">
        <f>ELEC!A27</f>
        <v>0</v>
      </c>
      <c r="BA29" s="118">
        <f>'General information '!D28</f>
        <v>22</v>
      </c>
      <c r="BB29" s="378">
        <f>SUM('General information '!E28)</f>
        <v>0.71</v>
      </c>
      <c r="BC29" s="3">
        <f t="shared" si="44"/>
        <v>0</v>
      </c>
      <c r="BD29" s="102">
        <v>19222</v>
      </c>
      <c r="BE29" s="14">
        <f>(305/1185)*ELEC!Q28</f>
        <v>884.11392405097013</v>
      </c>
      <c r="BF29" s="14"/>
      <c r="BG29" s="14" t="e">
        <f>#REF!-BE29</f>
        <v>#REF!</v>
      </c>
      <c r="BH29" s="11"/>
      <c r="BI29">
        <v>16</v>
      </c>
      <c r="BJ29">
        <f t="shared" si="46"/>
        <v>-63.085685483872112</v>
      </c>
      <c r="BK29" s="538">
        <f>GEN!AF26</f>
        <v>0.19724999999993997</v>
      </c>
    </row>
    <row r="30" spans="1:64">
      <c r="A30" s="425">
        <f>ELEC!C28</f>
        <v>44706</v>
      </c>
      <c r="B30">
        <f>'B5'!B29</f>
        <v>221</v>
      </c>
      <c r="C30" s="203">
        <f t="shared" si="18"/>
        <v>4755.0645161290322</v>
      </c>
      <c r="D30">
        <f>SUM(B30)</f>
        <v>221</v>
      </c>
      <c r="E30" s="203">
        <f t="shared" si="18"/>
        <v>4755.0645161290322</v>
      </c>
      <c r="F30">
        <f>SUM(D30)</f>
        <v>221</v>
      </c>
      <c r="G30" s="203">
        <f t="shared" si="1"/>
        <v>4755.0645161290322</v>
      </c>
      <c r="H30" s="203">
        <f>SUM(F30)</f>
        <v>221</v>
      </c>
      <c r="I30" s="203">
        <f t="shared" si="2"/>
        <v>4755.0645161290322</v>
      </c>
      <c r="J30" s="203">
        <f>SUM(H30)</f>
        <v>221</v>
      </c>
      <c r="K30" s="203">
        <f t="shared" si="3"/>
        <v>4755.0645161290322</v>
      </c>
      <c r="L30" s="203">
        <f>SUM(J30)</f>
        <v>221</v>
      </c>
      <c r="M30" s="203">
        <f t="shared" si="4"/>
        <v>4755.0645161290322</v>
      </c>
      <c r="N30" s="203">
        <f>SUM(L30)</f>
        <v>221</v>
      </c>
      <c r="O30" s="203">
        <f t="shared" si="5"/>
        <v>4755.0645161290322</v>
      </c>
      <c r="P30" s="203">
        <f>SUM(N30)</f>
        <v>221</v>
      </c>
      <c r="Q30" s="203">
        <f t="shared" si="6"/>
        <v>4755.0645161290322</v>
      </c>
      <c r="R30" s="203">
        <f>SUM(P30)</f>
        <v>221</v>
      </c>
      <c r="S30" s="203">
        <f t="shared" si="7"/>
        <v>4755.0645161290322</v>
      </c>
      <c r="T30" s="203">
        <f>SUM(R30)</f>
        <v>221</v>
      </c>
      <c r="U30" s="203">
        <f t="shared" si="8"/>
        <v>4755.0645161290322</v>
      </c>
      <c r="V30" s="203">
        <f>SUM(T30)</f>
        <v>221</v>
      </c>
      <c r="W30" s="203">
        <f t="shared" si="9"/>
        <v>4755.0645161290322</v>
      </c>
      <c r="X30" s="35">
        <f>SUM(Y30/73370)</f>
        <v>0.71290322580645138</v>
      </c>
      <c r="Y30" s="36">
        <f>SUM(C30+E30+G30+I30+K30+M30+O30+Q30+S30+U30+W30)</f>
        <v>52305.709677419341</v>
      </c>
      <c r="Z30" s="203">
        <f>'B5'!C29</f>
        <v>227</v>
      </c>
      <c r="AA30" s="203">
        <f t="shared" si="30"/>
        <v>2270</v>
      </c>
      <c r="AB30" s="203">
        <f>SUM(Z30)</f>
        <v>227</v>
      </c>
      <c r="AC30" s="203">
        <f t="shared" si="30"/>
        <v>2270</v>
      </c>
      <c r="AD30" s="203">
        <f>SUM(AB30)</f>
        <v>227</v>
      </c>
      <c r="AE30" s="203">
        <f t="shared" si="11"/>
        <v>2270</v>
      </c>
      <c r="AF30" s="203">
        <f>SUM(AD30)</f>
        <v>227</v>
      </c>
      <c r="AG30" s="203">
        <f t="shared" si="12"/>
        <v>2270</v>
      </c>
      <c r="AH30" s="203">
        <f>SUM(AF30)</f>
        <v>227</v>
      </c>
      <c r="AI30" s="203">
        <f t="shared" si="13"/>
        <v>2270</v>
      </c>
      <c r="AJ30" s="203">
        <f>SUM(AH30)</f>
        <v>227</v>
      </c>
      <c r="AK30" s="203">
        <f t="shared" si="14"/>
        <v>2270</v>
      </c>
      <c r="AL30" s="203">
        <f>SUM(AJ30)</f>
        <v>227</v>
      </c>
      <c r="AM30" s="203">
        <f t="shared" si="15"/>
        <v>2270</v>
      </c>
      <c r="AN30" s="35">
        <f>SUM(AO30/19600)</f>
        <v>0.81071428571428572</v>
      </c>
      <c r="AO30" s="36">
        <f>SUM(AA30+AC30+AE30+AG30+AI30+AK30+AM30)</f>
        <v>15890</v>
      </c>
      <c r="AQ30" s="223">
        <f t="shared" si="40"/>
        <v>0.73352382142002082</v>
      </c>
      <c r="AR30" s="38">
        <f t="shared" si="41"/>
        <v>68195.709677419334</v>
      </c>
      <c r="AS30" s="197">
        <f>SUM(AR30-AR29-AT30)</f>
        <v>-920.03225806452974</v>
      </c>
      <c r="AT30" s="340"/>
      <c r="AU30" s="549"/>
      <c r="AV30" s="485">
        <f t="shared" si="43"/>
        <v>0</v>
      </c>
      <c r="AW30" s="279">
        <f>-SUM('B5'!AI29)</f>
        <v>-141</v>
      </c>
      <c r="AX30" s="279">
        <f t="shared" si="17"/>
        <v>-779.03225806452974</v>
      </c>
      <c r="AY30" s="37">
        <f t="shared" si="37"/>
        <v>-920.03225806452974</v>
      </c>
      <c r="AZ30" s="100">
        <f>ELEC!A28</f>
        <v>0</v>
      </c>
      <c r="BA30" s="118">
        <f>'General information '!D29</f>
        <v>22</v>
      </c>
      <c r="BB30" s="378">
        <f>SUM('General information '!E29)</f>
        <v>0.79</v>
      </c>
      <c r="BC30" s="3">
        <f t="shared" si="44"/>
        <v>0</v>
      </c>
      <c r="BD30" s="102">
        <v>19222</v>
      </c>
      <c r="BE30" s="14">
        <f>(305/1185)*ELEC!Q29</f>
        <v>845.76371308018383</v>
      </c>
      <c r="BF30" s="14"/>
      <c r="BG30" s="14" t="e">
        <f>#REF!-BE30</f>
        <v>#REF!</v>
      </c>
      <c r="BH30" s="11"/>
      <c r="BI30">
        <v>17</v>
      </c>
      <c r="BJ30">
        <f t="shared" si="46"/>
        <v>-45.825426944972335</v>
      </c>
      <c r="BK30" s="538">
        <f>GEN!AF27</f>
        <v>0.19517045454552895</v>
      </c>
    </row>
    <row r="31" spans="1:64">
      <c r="A31" s="425">
        <f>ELEC!C29</f>
        <v>44707</v>
      </c>
      <c r="B31">
        <f>'B5'!B30</f>
        <v>235</v>
      </c>
      <c r="C31" s="203">
        <f t="shared" si="18"/>
        <v>5056.2903225806449</v>
      </c>
      <c r="D31">
        <f>SUM(B31)</f>
        <v>235</v>
      </c>
      <c r="E31" s="203">
        <f t="shared" si="18"/>
        <v>5056.2903225806449</v>
      </c>
      <c r="F31">
        <f>SUM(D31)</f>
        <v>235</v>
      </c>
      <c r="G31" s="203">
        <f t="shared" si="1"/>
        <v>5056.2903225806449</v>
      </c>
      <c r="H31" s="203">
        <f>SUM(F31)</f>
        <v>235</v>
      </c>
      <c r="I31" s="203">
        <f t="shared" si="2"/>
        <v>5056.2903225806449</v>
      </c>
      <c r="J31" s="203">
        <f>SUM(H31)</f>
        <v>235</v>
      </c>
      <c r="K31" s="203">
        <f t="shared" si="3"/>
        <v>5056.2903225806449</v>
      </c>
      <c r="L31" s="203">
        <f>SUM(J31)</f>
        <v>235</v>
      </c>
      <c r="M31" s="203">
        <f t="shared" si="4"/>
        <v>5056.2903225806449</v>
      </c>
      <c r="N31" s="203">
        <f>SUM(L31)</f>
        <v>235</v>
      </c>
      <c r="O31" s="203">
        <f t="shared" si="5"/>
        <v>5056.2903225806449</v>
      </c>
      <c r="P31" s="203">
        <f>SUM(N31)</f>
        <v>235</v>
      </c>
      <c r="Q31" s="203">
        <f t="shared" si="6"/>
        <v>5056.2903225806449</v>
      </c>
      <c r="R31" s="203">
        <f>SUM(P31)</f>
        <v>235</v>
      </c>
      <c r="S31" s="203">
        <f t="shared" si="7"/>
        <v>5056.2903225806449</v>
      </c>
      <c r="T31" s="203">
        <f>SUM(R31)</f>
        <v>235</v>
      </c>
      <c r="U31" s="203">
        <f t="shared" si="8"/>
        <v>5056.2903225806449</v>
      </c>
      <c r="V31" s="203">
        <f>SUM(T31)</f>
        <v>235</v>
      </c>
      <c r="W31" s="203">
        <f t="shared" si="9"/>
        <v>5056.2903225806449</v>
      </c>
      <c r="X31" s="35">
        <f>SUM(Y31/73370)</f>
        <v>0.75806451612903214</v>
      </c>
      <c r="Y31" s="36">
        <f>SUM(C31+E31+G31+I31+K31+M31+O31+Q31+S31+U31+W31)</f>
        <v>55619.193548387091</v>
      </c>
      <c r="Z31" s="203">
        <f>'B5'!C30</f>
        <v>242</v>
      </c>
      <c r="AA31" s="203">
        <f t="shared" si="30"/>
        <v>2420</v>
      </c>
      <c r="AB31" s="203">
        <f>SUM(Z31)</f>
        <v>242</v>
      </c>
      <c r="AC31" s="203">
        <f t="shared" si="30"/>
        <v>2420</v>
      </c>
      <c r="AD31" s="203">
        <f>SUM(AB31)</f>
        <v>242</v>
      </c>
      <c r="AE31" s="203">
        <f t="shared" si="11"/>
        <v>2420</v>
      </c>
      <c r="AF31" s="203">
        <f>SUM(AD31)</f>
        <v>242</v>
      </c>
      <c r="AG31" s="203">
        <f t="shared" si="12"/>
        <v>2420</v>
      </c>
      <c r="AH31" s="203">
        <f>SUM(AF31)</f>
        <v>242</v>
      </c>
      <c r="AI31" s="203">
        <f t="shared" si="13"/>
        <v>2420</v>
      </c>
      <c r="AJ31" s="203">
        <f>SUM(AH31)</f>
        <v>242</v>
      </c>
      <c r="AK31" s="203">
        <f t="shared" si="14"/>
        <v>2420</v>
      </c>
      <c r="AL31" s="203">
        <f>SUM(AJ31)</f>
        <v>242</v>
      </c>
      <c r="AM31" s="203">
        <f t="shared" si="15"/>
        <v>2420</v>
      </c>
      <c r="AN31" s="35">
        <f>SUM(AO31/19600)</f>
        <v>0.86428571428571432</v>
      </c>
      <c r="AO31" s="36">
        <f>SUM(AA31+AC31+AE31+AG31+AI31+AK31+AM31)</f>
        <v>16940</v>
      </c>
      <c r="AQ31" s="223">
        <f t="shared" si="40"/>
        <v>0.78045814293198978</v>
      </c>
      <c r="AR31" s="38">
        <f t="shared" si="41"/>
        <v>72559.193548387091</v>
      </c>
      <c r="AS31" s="197">
        <f t="shared" si="47"/>
        <v>-700.51612903224304</v>
      </c>
      <c r="AT31" s="340">
        <v>5064</v>
      </c>
      <c r="AU31" s="549">
        <v>1.0349999999999999</v>
      </c>
      <c r="AV31" s="485">
        <f t="shared" si="43"/>
        <v>1.0349999999999999</v>
      </c>
      <c r="AW31" s="279">
        <f>-SUM('B5'!AI30)</f>
        <v>-55</v>
      </c>
      <c r="AX31" s="279">
        <f t="shared" si="17"/>
        <v>-645.51612903224304</v>
      </c>
      <c r="AY31" s="37">
        <f t="shared" si="37"/>
        <v>-700.51612903224304</v>
      </c>
      <c r="AZ31" s="100">
        <f>ELEC!A29</f>
        <v>0</v>
      </c>
      <c r="BA31" s="118">
        <f>'General information '!D30</f>
        <v>23.5</v>
      </c>
      <c r="BB31" s="378">
        <f>SUM('General information '!E30)</f>
        <v>0.69</v>
      </c>
      <c r="BC31" s="3">
        <f t="shared" si="44"/>
        <v>1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-35.86200716845795</v>
      </c>
      <c r="BK31" s="538">
        <f>GEN!AF28</f>
        <v>0.18670454545454876</v>
      </c>
    </row>
    <row r="32" spans="1:64">
      <c r="A32" s="425">
        <f>ELEC!C30</f>
        <v>44708</v>
      </c>
      <c r="B32">
        <f>'B5'!B31</f>
        <v>235</v>
      </c>
      <c r="C32" s="203">
        <f t="shared" si="18"/>
        <v>5056.2903225806449</v>
      </c>
      <c r="D32">
        <f>SUM(B32)</f>
        <v>235</v>
      </c>
      <c r="E32" s="203">
        <f t="shared" si="18"/>
        <v>5056.2903225806449</v>
      </c>
      <c r="F32">
        <f>SUM(D32)</f>
        <v>235</v>
      </c>
      <c r="G32" s="203">
        <f t="shared" si="1"/>
        <v>5056.2903225806449</v>
      </c>
      <c r="H32" s="203">
        <f>SUM(F32)</f>
        <v>235</v>
      </c>
      <c r="I32" s="203">
        <f t="shared" si="2"/>
        <v>5056.2903225806449</v>
      </c>
      <c r="J32" s="203">
        <f>SUM(H32)</f>
        <v>235</v>
      </c>
      <c r="K32" s="203">
        <f t="shared" si="3"/>
        <v>5056.2903225806449</v>
      </c>
      <c r="L32" s="203">
        <f>SUM(J32)</f>
        <v>235</v>
      </c>
      <c r="M32" s="203">
        <f t="shared" si="4"/>
        <v>5056.2903225806449</v>
      </c>
      <c r="N32" s="203">
        <f>SUM(L32)</f>
        <v>235</v>
      </c>
      <c r="O32" s="203">
        <f t="shared" si="5"/>
        <v>5056.2903225806449</v>
      </c>
      <c r="P32" s="203">
        <f>SUM(N32)</f>
        <v>235</v>
      </c>
      <c r="Q32" s="203">
        <f t="shared" si="6"/>
        <v>5056.2903225806449</v>
      </c>
      <c r="R32" s="203">
        <f>SUM(P32)</f>
        <v>235</v>
      </c>
      <c r="S32" s="203">
        <f t="shared" si="7"/>
        <v>5056.2903225806449</v>
      </c>
      <c r="T32" s="203">
        <f>SUM(R32)</f>
        <v>235</v>
      </c>
      <c r="U32" s="203">
        <f t="shared" si="8"/>
        <v>5056.2903225806449</v>
      </c>
      <c r="V32" s="203">
        <f>SUM(T32)</f>
        <v>235</v>
      </c>
      <c r="W32" s="203">
        <f t="shared" si="9"/>
        <v>5056.2903225806449</v>
      </c>
      <c r="X32" s="35">
        <f>SUM(Y32/73370)</f>
        <v>0.75806451612903214</v>
      </c>
      <c r="Y32" s="36">
        <f>SUM(C32+E32+G32+I32+K32+M32+O32+Q32+S32+U32+W32)</f>
        <v>55619.193548387091</v>
      </c>
      <c r="Z32" s="203">
        <f>'B5'!C31</f>
        <v>242</v>
      </c>
      <c r="AA32" s="203">
        <f t="shared" si="30"/>
        <v>2420</v>
      </c>
      <c r="AB32" s="203">
        <f>SUM(Z32)</f>
        <v>242</v>
      </c>
      <c r="AC32" s="203">
        <f t="shared" si="30"/>
        <v>2420</v>
      </c>
      <c r="AD32" s="203">
        <f>SUM(AB32)</f>
        <v>242</v>
      </c>
      <c r="AE32" s="203">
        <f t="shared" si="11"/>
        <v>2420</v>
      </c>
      <c r="AF32" s="203">
        <f>SUM(AD32)</f>
        <v>242</v>
      </c>
      <c r="AG32" s="203">
        <f t="shared" si="12"/>
        <v>2420</v>
      </c>
      <c r="AH32" s="203">
        <f>SUM(AF32)</f>
        <v>242</v>
      </c>
      <c r="AI32" s="203">
        <f t="shared" si="13"/>
        <v>2420</v>
      </c>
      <c r="AJ32" s="203">
        <f>SUM(AH32)</f>
        <v>242</v>
      </c>
      <c r="AK32" s="203">
        <f t="shared" si="14"/>
        <v>2420</v>
      </c>
      <c r="AL32" s="203">
        <f>SUM(AJ32)</f>
        <v>242</v>
      </c>
      <c r="AM32" s="203">
        <f t="shared" si="15"/>
        <v>2420</v>
      </c>
      <c r="AN32" s="35">
        <f>SUM(AO32/19600)</f>
        <v>0.86428571428571432</v>
      </c>
      <c r="AO32" s="36">
        <f>SUM(AA32+AC32+AE32+AG32+AI32+AK32+AM32)</f>
        <v>16940</v>
      </c>
      <c r="AQ32" s="223">
        <f t="shared" si="40"/>
        <v>0.78045814293198978</v>
      </c>
      <c r="AR32" s="38">
        <f t="shared" si="41"/>
        <v>72559.193548387091</v>
      </c>
      <c r="AS32" s="197">
        <f t="shared" si="47"/>
        <v>0</v>
      </c>
      <c r="AT32" s="340"/>
      <c r="AU32" s="548"/>
      <c r="AV32" s="485">
        <f>IF(AT32&gt;0,AU32,AV31)</f>
        <v>1.0349999999999999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235</v>
      </c>
      <c r="C33" s="203">
        <f t="shared" si="18"/>
        <v>5056.2903225806449</v>
      </c>
      <c r="D33">
        <f>SUM(B33)</f>
        <v>235</v>
      </c>
      <c r="E33" s="203">
        <f t="shared" si="18"/>
        <v>5056.2903225806449</v>
      </c>
      <c r="F33">
        <f>SUM(D33)</f>
        <v>235</v>
      </c>
      <c r="G33" s="203">
        <f t="shared" si="1"/>
        <v>5056.2903225806449</v>
      </c>
      <c r="H33" s="203">
        <f>SUM(F33)</f>
        <v>235</v>
      </c>
      <c r="I33" s="203">
        <f t="shared" si="2"/>
        <v>5056.2903225806449</v>
      </c>
      <c r="J33" s="203">
        <f>SUM(H33)</f>
        <v>235</v>
      </c>
      <c r="K33" s="203">
        <f t="shared" si="3"/>
        <v>5056.2903225806449</v>
      </c>
      <c r="L33" s="203">
        <f>SUM(J33)</f>
        <v>235</v>
      </c>
      <c r="M33" s="203">
        <f t="shared" si="4"/>
        <v>5056.2903225806449</v>
      </c>
      <c r="N33" s="203">
        <f>SUM(L33)</f>
        <v>235</v>
      </c>
      <c r="O33" s="203">
        <f t="shared" si="5"/>
        <v>5056.2903225806449</v>
      </c>
      <c r="P33" s="203">
        <f>SUM(N33)</f>
        <v>235</v>
      </c>
      <c r="Q33" s="203">
        <f t="shared" si="6"/>
        <v>5056.2903225806449</v>
      </c>
      <c r="R33" s="203">
        <f>SUM(P33)</f>
        <v>235</v>
      </c>
      <c r="S33" s="203">
        <f t="shared" si="7"/>
        <v>5056.2903225806449</v>
      </c>
      <c r="T33" s="203">
        <f>SUM(R33)</f>
        <v>235</v>
      </c>
      <c r="U33" s="203">
        <f t="shared" si="8"/>
        <v>5056.2903225806449</v>
      </c>
      <c r="V33" s="203">
        <f>SUM(T33)</f>
        <v>235</v>
      </c>
      <c r="W33" s="203">
        <f t="shared" si="9"/>
        <v>5056.2903225806449</v>
      </c>
      <c r="X33" s="35">
        <f>SUM(Y33/73370)</f>
        <v>0.75806451612903214</v>
      </c>
      <c r="Y33" s="36">
        <f>SUM(C33+E33+G33+I33+K33+M33+O33+Q33+S33+U33+W33)</f>
        <v>55619.193548387091</v>
      </c>
      <c r="Z33" s="203">
        <f>'B5'!C32</f>
        <v>242</v>
      </c>
      <c r="AA33" s="203">
        <f t="shared" si="30"/>
        <v>2420</v>
      </c>
      <c r="AB33" s="203">
        <f>SUM(Z33)</f>
        <v>242</v>
      </c>
      <c r="AC33" s="203">
        <f t="shared" si="30"/>
        <v>2420</v>
      </c>
      <c r="AD33" s="203">
        <f>SUM(AB33)</f>
        <v>242</v>
      </c>
      <c r="AE33" s="203">
        <f t="shared" si="11"/>
        <v>2420</v>
      </c>
      <c r="AF33" s="203">
        <f>SUM(AD33)</f>
        <v>242</v>
      </c>
      <c r="AG33" s="203">
        <f t="shared" si="12"/>
        <v>2420</v>
      </c>
      <c r="AH33" s="203">
        <f>SUM(AF33)</f>
        <v>242</v>
      </c>
      <c r="AI33" s="203">
        <f t="shared" si="13"/>
        <v>2420</v>
      </c>
      <c r="AJ33" s="203">
        <f>SUM(AH33)</f>
        <v>242</v>
      </c>
      <c r="AK33" s="203">
        <f t="shared" si="14"/>
        <v>2420</v>
      </c>
      <c r="AL33" s="203">
        <f>SUM(AJ33)</f>
        <v>242</v>
      </c>
      <c r="AM33" s="203">
        <f t="shared" si="15"/>
        <v>2420</v>
      </c>
      <c r="AN33" s="35">
        <f>SUM(AO33/19600)</f>
        <v>0.86428571428571432</v>
      </c>
      <c r="AO33" s="36">
        <f>SUM(AA33+AC33+AE33+AG33+AI33+AK33+AM33)</f>
        <v>16940</v>
      </c>
      <c r="AQ33" s="223">
        <f t="shared" si="40"/>
        <v>0.78045814293198978</v>
      </c>
      <c r="AR33" s="38">
        <f t="shared" si="41"/>
        <v>72559.193548387091</v>
      </c>
      <c r="AS33" s="197">
        <f>SUM(AR33-AR32-AT33)</f>
        <v>0</v>
      </c>
      <c r="AT33" s="340"/>
      <c r="AU33" s="548"/>
      <c r="AV33" s="485">
        <f>IF(AT33&gt;0,AU33,AV32)</f>
        <v>1.0349999999999999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230</v>
      </c>
      <c r="C34" s="203">
        <f t="shared" ref="C34:C36" si="48">B34*$B$4</f>
        <v>4948.7096774193551</v>
      </c>
      <c r="D34">
        <f t="shared" ref="D34:D36" si="49">SUM(B34)</f>
        <v>230</v>
      </c>
      <c r="E34" s="203">
        <f t="shared" ref="E34:E36" si="50">D34*$B$4</f>
        <v>4948.7096774193551</v>
      </c>
      <c r="F34">
        <f t="shared" ref="F34:F36" si="51">SUM(D34)</f>
        <v>230</v>
      </c>
      <c r="G34" s="203">
        <f t="shared" ref="G34:G36" si="52">F34*$B$4</f>
        <v>4948.7096774193551</v>
      </c>
      <c r="H34" s="203">
        <f t="shared" ref="H34:H36" si="53">SUM(F34)</f>
        <v>230</v>
      </c>
      <c r="I34" s="203">
        <f t="shared" ref="I34:I36" si="54">H34*$B$4</f>
        <v>4948.7096774193551</v>
      </c>
      <c r="J34" s="203">
        <f t="shared" ref="J34:J36" si="55">SUM(H34)</f>
        <v>230</v>
      </c>
      <c r="K34" s="203">
        <f t="shared" ref="K34:K36" si="56">J34*$B$4</f>
        <v>4948.7096774193551</v>
      </c>
      <c r="L34" s="203">
        <f t="shared" ref="L34:L36" si="57">SUM(J34)</f>
        <v>230</v>
      </c>
      <c r="M34" s="203">
        <f t="shared" ref="M34:M36" si="58">L34*$B$4</f>
        <v>4948.7096774193551</v>
      </c>
      <c r="N34" s="203">
        <f t="shared" ref="N34:N36" si="59">SUM(L34)</f>
        <v>230</v>
      </c>
      <c r="O34" s="203">
        <f t="shared" ref="O34:O36" si="60">N34*$B$4</f>
        <v>4948.7096774193551</v>
      </c>
      <c r="P34" s="203">
        <f t="shared" ref="P34:P36" si="61">SUM(N34)</f>
        <v>230</v>
      </c>
      <c r="Q34" s="203">
        <f t="shared" ref="Q34:Q36" si="62">P34*$B$4</f>
        <v>4948.7096774193551</v>
      </c>
      <c r="R34" s="203">
        <f t="shared" ref="R34:R36" si="63">SUM(P34)</f>
        <v>230</v>
      </c>
      <c r="S34" s="203">
        <f t="shared" ref="S34:S36" si="64">R34*$B$4</f>
        <v>4948.7096774193551</v>
      </c>
      <c r="T34" s="203">
        <f t="shared" ref="T34:T36" si="65">SUM(R34)</f>
        <v>230</v>
      </c>
      <c r="U34" s="203">
        <f t="shared" ref="U34:U36" si="66">T34*$B$4</f>
        <v>4948.7096774193551</v>
      </c>
      <c r="V34" s="203">
        <f t="shared" ref="V34:V36" si="67">SUM(T34)</f>
        <v>230</v>
      </c>
      <c r="W34" s="203">
        <f t="shared" ref="W34:W36" si="68">V34*$B$4</f>
        <v>4948.7096774193551</v>
      </c>
      <c r="X34" s="35">
        <f t="shared" ref="X34:X36" si="69">SUM(Y34/73370)</f>
        <v>0.74193548387096786</v>
      </c>
      <c r="Y34" s="36">
        <f t="shared" ref="Y34:Y36" si="70">SUM(C34+E34+G34+I34+K34+M34+O34+Q34+S34+U34+W34)</f>
        <v>54435.806451612909</v>
      </c>
      <c r="Z34" s="203">
        <f>'B5'!C33</f>
        <v>237</v>
      </c>
      <c r="AA34" s="203">
        <f t="shared" ref="AA34:AA36" si="71">SUM(Z34*$Z$4)</f>
        <v>2370</v>
      </c>
      <c r="AB34" s="203">
        <f t="shared" ref="AB34:AB36" si="72">SUM(Z34)</f>
        <v>237</v>
      </c>
      <c r="AC34" s="203">
        <f t="shared" ref="AC34:AC36" si="73">SUM(AB34*$Z$4)</f>
        <v>2370</v>
      </c>
      <c r="AD34" s="203">
        <f t="shared" ref="AD34:AD36" si="74">SUM(AB34)</f>
        <v>237</v>
      </c>
      <c r="AE34" s="203">
        <f t="shared" ref="AE34:AE36" si="75">SUM(AD34*$Z$4)</f>
        <v>2370</v>
      </c>
      <c r="AF34" s="203">
        <f t="shared" ref="AF34:AF36" si="76">SUM(AD34)</f>
        <v>237</v>
      </c>
      <c r="AG34" s="203">
        <f t="shared" ref="AG34:AG36" si="77">SUM(AF34*$Z$4)</f>
        <v>2370</v>
      </c>
      <c r="AH34" s="203">
        <f t="shared" ref="AH34:AH36" si="78">SUM(AF34)</f>
        <v>237</v>
      </c>
      <c r="AI34" s="203">
        <f t="shared" ref="AI34:AI36" si="79">SUM(AH34*$Z$4)</f>
        <v>2370</v>
      </c>
      <c r="AJ34" s="203">
        <f t="shared" ref="AJ34:AJ36" si="80">SUM(AH34)</f>
        <v>237</v>
      </c>
      <c r="AK34" s="203">
        <f t="shared" ref="AK34:AK36" si="81">SUM(AJ34*$Z$4)</f>
        <v>2370</v>
      </c>
      <c r="AL34" s="203">
        <f t="shared" ref="AL34:AL36" si="82">SUM(AJ34)</f>
        <v>237</v>
      </c>
      <c r="AM34" s="203">
        <f t="shared" ref="AM34:AM36" si="83">SUM(AL34*$Z$4)</f>
        <v>2370</v>
      </c>
      <c r="AN34" s="35">
        <f t="shared" ref="AN34:AN36" si="84">SUM(AO34/19600)</f>
        <v>0.84642857142857142</v>
      </c>
      <c r="AO34" s="36">
        <f t="shared" ref="AO34:AO36" si="85">SUM(AA34+AC34+AE34+AG34+AI34+AK34+AM34)</f>
        <v>16590</v>
      </c>
      <c r="AQ34" s="223">
        <f t="shared" ref="AQ34:AQ36" si="86">SUM(AR34/92970)</f>
        <v>0.76396478919665389</v>
      </c>
      <c r="AR34" s="38">
        <f t="shared" ref="AR34:AR36" si="87">Y34+AO34</f>
        <v>71025.806451612909</v>
      </c>
      <c r="AS34" s="197">
        <f t="shared" ref="AS34:AS36" si="88">SUM(AR34-AR33-AT34)</f>
        <v>-1533.3870967741823</v>
      </c>
      <c r="AT34" s="340"/>
      <c r="AU34" s="548"/>
      <c r="AV34" s="485">
        <f t="shared" ref="AV34:AV36" si="89">IF(AT34&gt;0,AU34,AV33)</f>
        <v>1.0349999999999999</v>
      </c>
      <c r="AW34" s="279">
        <f>-SUM('B5'!AI33)</f>
        <v>-155</v>
      </c>
      <c r="AX34" s="279">
        <f t="shared" ref="AX34:AX36" si="90">-SUM(AW34-AS34)</f>
        <v>-1378.3870967741823</v>
      </c>
      <c r="AY34" s="37">
        <f t="shared" ref="AY34:AY36" si="91">SUM(AX34+AW34)</f>
        <v>-1533.3870967741823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-65.637480798770582</v>
      </c>
      <c r="BK34" s="538">
        <f>GEN!AF31</f>
        <v>0.22505681818178014</v>
      </c>
    </row>
    <row r="35" spans="1:63">
      <c r="A35" s="425">
        <f>ELEC!C33</f>
        <v>44711</v>
      </c>
      <c r="B35">
        <f>'B5'!B34</f>
        <v>246</v>
      </c>
      <c r="C35" s="203">
        <f t="shared" si="48"/>
        <v>5292.9677419354839</v>
      </c>
      <c r="D35">
        <f t="shared" si="49"/>
        <v>246</v>
      </c>
      <c r="E35" s="203">
        <f t="shared" si="50"/>
        <v>5292.9677419354839</v>
      </c>
      <c r="F35">
        <f t="shared" si="51"/>
        <v>246</v>
      </c>
      <c r="G35" s="203">
        <f t="shared" si="52"/>
        <v>5292.9677419354839</v>
      </c>
      <c r="H35" s="203">
        <f t="shared" si="53"/>
        <v>246</v>
      </c>
      <c r="I35" s="203">
        <f t="shared" si="54"/>
        <v>5292.9677419354839</v>
      </c>
      <c r="J35" s="203">
        <f t="shared" si="55"/>
        <v>246</v>
      </c>
      <c r="K35" s="203">
        <f t="shared" si="56"/>
        <v>5292.9677419354839</v>
      </c>
      <c r="L35" s="203">
        <f t="shared" si="57"/>
        <v>246</v>
      </c>
      <c r="M35" s="203">
        <f t="shared" si="58"/>
        <v>5292.9677419354839</v>
      </c>
      <c r="N35" s="203">
        <f t="shared" si="59"/>
        <v>246</v>
      </c>
      <c r="O35" s="203">
        <f t="shared" si="60"/>
        <v>5292.9677419354839</v>
      </c>
      <c r="P35" s="203">
        <f t="shared" si="61"/>
        <v>246</v>
      </c>
      <c r="Q35" s="203">
        <f t="shared" si="62"/>
        <v>5292.9677419354839</v>
      </c>
      <c r="R35" s="203">
        <f t="shared" si="63"/>
        <v>246</v>
      </c>
      <c r="S35" s="203">
        <f t="shared" si="64"/>
        <v>5292.9677419354839</v>
      </c>
      <c r="T35" s="203">
        <f t="shared" si="65"/>
        <v>246</v>
      </c>
      <c r="U35" s="203">
        <f t="shared" si="66"/>
        <v>5292.9677419354839</v>
      </c>
      <c r="V35" s="203">
        <f t="shared" si="67"/>
        <v>246</v>
      </c>
      <c r="W35" s="203">
        <f t="shared" si="68"/>
        <v>5292.9677419354839</v>
      </c>
      <c r="X35" s="35">
        <f t="shared" si="69"/>
        <v>0.79354838709677422</v>
      </c>
      <c r="Y35" s="36">
        <f t="shared" si="70"/>
        <v>58222.645161290326</v>
      </c>
      <c r="Z35" s="203">
        <f>'B5'!C34</f>
        <v>252</v>
      </c>
      <c r="AA35" s="203">
        <f t="shared" si="71"/>
        <v>2520</v>
      </c>
      <c r="AB35" s="203">
        <f t="shared" si="72"/>
        <v>252</v>
      </c>
      <c r="AC35" s="203">
        <f t="shared" si="73"/>
        <v>2520</v>
      </c>
      <c r="AD35" s="203">
        <f t="shared" si="74"/>
        <v>252</v>
      </c>
      <c r="AE35" s="203">
        <f t="shared" si="75"/>
        <v>2520</v>
      </c>
      <c r="AF35" s="203">
        <f t="shared" si="76"/>
        <v>252</v>
      </c>
      <c r="AG35" s="203">
        <f t="shared" si="77"/>
        <v>2520</v>
      </c>
      <c r="AH35" s="203">
        <f t="shared" si="78"/>
        <v>252</v>
      </c>
      <c r="AI35" s="203">
        <f t="shared" si="79"/>
        <v>2520</v>
      </c>
      <c r="AJ35" s="203">
        <f t="shared" si="80"/>
        <v>252</v>
      </c>
      <c r="AK35" s="203">
        <f t="shared" si="81"/>
        <v>2520</v>
      </c>
      <c r="AL35" s="203">
        <f t="shared" si="82"/>
        <v>252</v>
      </c>
      <c r="AM35" s="203">
        <f t="shared" si="83"/>
        <v>2520</v>
      </c>
      <c r="AN35" s="35">
        <f t="shared" si="84"/>
        <v>0.9</v>
      </c>
      <c r="AO35" s="36">
        <f t="shared" si="85"/>
        <v>17640</v>
      </c>
      <c r="AQ35" s="223">
        <f t="shared" si="86"/>
        <v>0.8159905900967015</v>
      </c>
      <c r="AR35" s="38">
        <f t="shared" si="87"/>
        <v>75862.645161290333</v>
      </c>
      <c r="AS35" s="197">
        <f t="shared" si="88"/>
        <v>-163.16129032257595</v>
      </c>
      <c r="AT35" s="340">
        <v>5000</v>
      </c>
      <c r="AU35" s="548">
        <v>1.04</v>
      </c>
      <c r="AV35" s="485">
        <f t="shared" si="89"/>
        <v>1.04</v>
      </c>
      <c r="AW35" s="279">
        <f>-SUM('B5'!AI34)</f>
        <v>-99</v>
      </c>
      <c r="AX35" s="279">
        <f t="shared" si="90"/>
        <v>-64.161290322575951</v>
      </c>
      <c r="AY35" s="37">
        <f t="shared" si="91"/>
        <v>-163.16129032257595</v>
      </c>
      <c r="AZ35" s="100">
        <f>ELEC!A33</f>
        <v>0</v>
      </c>
      <c r="BA35" s="118">
        <f>'General information '!D34</f>
        <v>24.5</v>
      </c>
      <c r="BB35" s="378">
        <f>SUM('General information '!E34)</f>
        <v>0.75</v>
      </c>
      <c r="BC35" s="3">
        <f t="shared" si="92"/>
        <v>1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-2.9164222873898158</v>
      </c>
      <c r="BK35" s="538">
        <f>GEN!AF32</f>
        <v>0.20937500000013642</v>
      </c>
    </row>
    <row r="36" spans="1:63">
      <c r="A36" s="425">
        <f>ELEC!C34</f>
        <v>44712</v>
      </c>
      <c r="B36">
        <f>'B5'!B35</f>
        <v>240</v>
      </c>
      <c r="C36" s="203">
        <f t="shared" si="48"/>
        <v>5163.8709677419356</v>
      </c>
      <c r="D36">
        <f t="shared" si="49"/>
        <v>240</v>
      </c>
      <c r="E36" s="203">
        <f t="shared" si="50"/>
        <v>5163.8709677419356</v>
      </c>
      <c r="F36">
        <f t="shared" si="51"/>
        <v>240</v>
      </c>
      <c r="G36" s="203">
        <f t="shared" si="52"/>
        <v>5163.8709677419356</v>
      </c>
      <c r="H36" s="203">
        <f t="shared" si="53"/>
        <v>240</v>
      </c>
      <c r="I36" s="203">
        <f t="shared" si="54"/>
        <v>5163.8709677419356</v>
      </c>
      <c r="J36" s="203">
        <f t="shared" si="55"/>
        <v>240</v>
      </c>
      <c r="K36" s="203">
        <f t="shared" si="56"/>
        <v>5163.8709677419356</v>
      </c>
      <c r="L36" s="203">
        <f t="shared" si="57"/>
        <v>240</v>
      </c>
      <c r="M36" s="203">
        <f t="shared" si="58"/>
        <v>5163.8709677419356</v>
      </c>
      <c r="N36" s="203">
        <f t="shared" si="59"/>
        <v>240</v>
      </c>
      <c r="O36" s="203">
        <f t="shared" si="60"/>
        <v>5163.8709677419356</v>
      </c>
      <c r="P36" s="203">
        <f t="shared" si="61"/>
        <v>240</v>
      </c>
      <c r="Q36" s="203">
        <f t="shared" si="62"/>
        <v>5163.8709677419356</v>
      </c>
      <c r="R36" s="203">
        <f t="shared" si="63"/>
        <v>240</v>
      </c>
      <c r="S36" s="203">
        <f t="shared" si="64"/>
        <v>5163.8709677419356</v>
      </c>
      <c r="T36" s="203">
        <f t="shared" si="65"/>
        <v>240</v>
      </c>
      <c r="U36" s="203">
        <f t="shared" si="66"/>
        <v>5163.8709677419356</v>
      </c>
      <c r="V36" s="203">
        <f t="shared" si="67"/>
        <v>240</v>
      </c>
      <c r="W36" s="203">
        <f t="shared" si="68"/>
        <v>5163.8709677419356</v>
      </c>
      <c r="X36" s="35">
        <f t="shared" si="69"/>
        <v>0.77419354838709697</v>
      </c>
      <c r="Y36" s="36">
        <f t="shared" si="70"/>
        <v>56802.580645161303</v>
      </c>
      <c r="Z36" s="203">
        <f>'B5'!C35</f>
        <v>247</v>
      </c>
      <c r="AA36" s="203">
        <f t="shared" si="71"/>
        <v>2470</v>
      </c>
      <c r="AB36" s="203">
        <f t="shared" si="72"/>
        <v>247</v>
      </c>
      <c r="AC36" s="203">
        <f t="shared" si="73"/>
        <v>2470</v>
      </c>
      <c r="AD36" s="203">
        <f t="shared" si="74"/>
        <v>247</v>
      </c>
      <c r="AE36" s="203">
        <f t="shared" si="75"/>
        <v>2470</v>
      </c>
      <c r="AF36" s="203">
        <f t="shared" si="76"/>
        <v>247</v>
      </c>
      <c r="AG36" s="203">
        <f t="shared" si="77"/>
        <v>2470</v>
      </c>
      <c r="AH36" s="203">
        <f t="shared" si="78"/>
        <v>247</v>
      </c>
      <c r="AI36" s="203">
        <f t="shared" si="79"/>
        <v>2470</v>
      </c>
      <c r="AJ36" s="203">
        <f t="shared" si="80"/>
        <v>247</v>
      </c>
      <c r="AK36" s="203">
        <f t="shared" si="81"/>
        <v>2470</v>
      </c>
      <c r="AL36" s="203">
        <f t="shared" si="82"/>
        <v>247</v>
      </c>
      <c r="AM36" s="203">
        <f t="shared" si="83"/>
        <v>2470</v>
      </c>
      <c r="AN36" s="35">
        <f t="shared" si="84"/>
        <v>0.88214285714285712</v>
      </c>
      <c r="AO36" s="36">
        <f t="shared" si="85"/>
        <v>17290</v>
      </c>
      <c r="AQ36" s="223">
        <f t="shared" si="86"/>
        <v>0.79695149666732601</v>
      </c>
      <c r="AR36" s="38">
        <f t="shared" si="87"/>
        <v>74092.580645161303</v>
      </c>
      <c r="AS36" s="197">
        <f t="shared" si="88"/>
        <v>-1770.0645161290304</v>
      </c>
      <c r="AT36" s="340"/>
      <c r="AU36" s="548"/>
      <c r="AV36" s="485">
        <f t="shared" si="89"/>
        <v>1.04</v>
      </c>
      <c r="AW36" s="279">
        <f>-SUM('B5'!AI35)</f>
        <v>-115</v>
      </c>
      <c r="AX36" s="279">
        <f t="shared" si="90"/>
        <v>-1655.0645161290304</v>
      </c>
      <c r="AY36" s="37">
        <f t="shared" si="91"/>
        <v>-1770.0645161290304</v>
      </c>
      <c r="AZ36" s="100">
        <f>ELEC!A34</f>
        <v>0</v>
      </c>
      <c r="BA36" s="118">
        <f>'General information '!D35</f>
        <v>24</v>
      </c>
      <c r="BB36" s="378">
        <f>SUM('General information '!E35)</f>
        <v>0.77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-71.959326788218718</v>
      </c>
      <c r="BK36" s="538">
        <f>GEN!AF33</f>
        <v>0.16976562499991132</v>
      </c>
    </row>
    <row r="37" spans="1:63">
      <c r="AQ37" s="20"/>
      <c r="AR37" s="456" t="s">
        <v>223</v>
      </c>
      <c r="AS37" s="461">
        <f>COUNT(AT6:AT36)</f>
        <v>5</v>
      </c>
      <c r="AT37" s="203">
        <f>SUM(AT6:AT36)</f>
        <v>25154</v>
      </c>
      <c r="AU37" s="544">
        <f>SUM(AU6:AU36)/AS37</f>
        <v>0.84600000000000009</v>
      </c>
      <c r="AX37" s="203">
        <f>SUM(AX6:AX36)</f>
        <v>-19935.258064516122</v>
      </c>
      <c r="AY37" s="203">
        <f>SUM(AY6:AY36)</f>
        <v>-22937.258064516122</v>
      </c>
    </row>
    <row r="38" spans="1:63">
      <c r="AS38" s="206"/>
      <c r="AT38" s="82">
        <f>+AT37*AU37</f>
        <v>21280.284000000003</v>
      </c>
    </row>
    <row r="40" spans="1:63">
      <c r="AS40" s="165">
        <f>SUM(AS6:AS36)/'EDl log'!A35</f>
        <v>-2293.7258064516122</v>
      </c>
      <c r="AT40" s="203"/>
    </row>
    <row r="41" spans="1:63">
      <c r="AX41">
        <v>43309</v>
      </c>
    </row>
    <row r="42" spans="1:63">
      <c r="AR42" s="203">
        <f>AR36-22000</f>
        <v>52092.580645161303</v>
      </c>
      <c r="AU42" s="203"/>
      <c r="AX42">
        <f>AX37/AX41</f>
        <v>-0.46030289465275398</v>
      </c>
    </row>
    <row r="43" spans="1:63">
      <c r="AR43">
        <f>AR42/5500</f>
        <v>9.4713782991202375</v>
      </c>
    </row>
    <row r="44" spans="1:63">
      <c r="AR44">
        <f>AR43*2</f>
        <v>18.942756598240475</v>
      </c>
    </row>
    <row r="45" spans="1:63">
      <c r="AR45" s="203"/>
    </row>
    <row r="46" spans="1:63">
      <c r="AT46" s="59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34" sqref="J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5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58"/>
      <c r="AC4" s="659"/>
    </row>
    <row r="5" spans="1:32" ht="20.100000000000001" customHeight="1">
      <c r="A5" s="163">
        <f>ELEC!C5</f>
        <v>44683</v>
      </c>
      <c r="B5" s="620">
        <f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18">
        <f t="shared" ref="F5:F34" si="7">F4</f>
        <v>161410</v>
      </c>
      <c r="G5" s="160">
        <f t="shared" si="1"/>
        <v>0</v>
      </c>
      <c r="H5" s="620">
        <f t="shared" ref="H5:H34" si="8">H4</f>
        <v>555135</v>
      </c>
      <c r="I5" s="161">
        <f t="shared" si="2"/>
        <v>0</v>
      </c>
      <c r="J5" s="618">
        <f t="shared" ref="J5:J34" si="9">J4</f>
        <v>401437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1">SUM(L5:O5)</f>
        <v>154.80303857058792</v>
      </c>
      <c r="Q5" s="285">
        <f>SUM(-tanks!AX7*tanks!$AU$37)</f>
        <v>0</v>
      </c>
      <c r="R5" s="285">
        <f t="shared" ref="R5:R30" si="12">SUM(P5:Q5)</f>
        <v>154.80303857058792</v>
      </c>
      <c r="S5" s="287">
        <f>SUM(ELEC!N5)</f>
        <v>0</v>
      </c>
      <c r="T5" s="321">
        <f>IF(S5&gt;0,R5/S5,0)</f>
        <v>0</v>
      </c>
      <c r="U5" s="245"/>
      <c r="V5" s="652"/>
      <c r="W5" s="653"/>
      <c r="X5" s="653"/>
      <c r="Y5" s="654"/>
      <c r="Z5" s="26" t="s">
        <v>202</v>
      </c>
      <c r="AA5" s="26">
        <v>5000</v>
      </c>
      <c r="AB5" s="660"/>
      <c r="AC5" s="661"/>
    </row>
    <row r="6" spans="1:32" ht="20.100000000000001" customHeight="1">
      <c r="A6" s="163">
        <f>ELEC!C6</f>
        <v>44684</v>
      </c>
      <c r="B6" s="620">
        <f t="shared" ref="B6:B33" si="13">B5</f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18">
        <f t="shared" si="7"/>
        <v>161410</v>
      </c>
      <c r="G6" s="160">
        <f t="shared" si="1"/>
        <v>0</v>
      </c>
      <c r="H6" s="620">
        <f t="shared" si="8"/>
        <v>555135</v>
      </c>
      <c r="I6" s="161">
        <f t="shared" si="2"/>
        <v>0</v>
      </c>
      <c r="J6" s="618">
        <f t="shared" si="9"/>
        <v>401437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1"/>
        <v>154.80303857058792</v>
      </c>
      <c r="Q6" s="285">
        <f>SUM(-tanks!AX8*tanks!$AU$37)</f>
        <v>2031.327870967752</v>
      </c>
      <c r="R6" s="285">
        <f t="shared" si="12"/>
        <v>2186.1309095383399</v>
      </c>
      <c r="S6" s="287">
        <f>SUM(ELEC!N6)</f>
        <v>6202</v>
      </c>
      <c r="T6" s="321">
        <f t="shared" ref="T6:T30" si="16">IF(S6&gt;0,R6/S6,0)</f>
        <v>0.35248805377915832</v>
      </c>
      <c r="V6" s="655"/>
      <c r="W6" s="656"/>
      <c r="X6" s="656"/>
      <c r="Y6" s="657"/>
      <c r="Z6" s="664"/>
      <c r="AA6" s="665"/>
      <c r="AB6" s="660"/>
      <c r="AC6" s="661"/>
    </row>
    <row r="7" spans="1:32" ht="20.100000000000001" customHeight="1">
      <c r="A7" s="163">
        <f>ELEC!C7</f>
        <v>44685</v>
      </c>
      <c r="B7" s="620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1">
        <f t="shared" si="7"/>
        <v>161410</v>
      </c>
      <c r="G7" s="160">
        <f t="shared" si="1"/>
        <v>0</v>
      </c>
      <c r="H7" s="620">
        <v>555582</v>
      </c>
      <c r="I7" s="161">
        <f t="shared" si="2"/>
        <v>447</v>
      </c>
      <c r="J7" s="618">
        <f t="shared" si="9"/>
        <v>401437</v>
      </c>
      <c r="K7" s="162">
        <f t="shared" si="10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1"/>
        <v>188.01298881934414</v>
      </c>
      <c r="Q7" s="285">
        <f>SUM(-tanks!AX9*tanks!$AU$37)</f>
        <v>1298.6645806451597</v>
      </c>
      <c r="R7" s="285">
        <f t="shared" si="12"/>
        <v>1486.6775694645039</v>
      </c>
      <c r="S7" s="287">
        <f>SUM(ELEC!N7)</f>
        <v>4288</v>
      </c>
      <c r="T7" s="321">
        <f t="shared" si="16"/>
        <v>0.34670652272959512</v>
      </c>
      <c r="V7" s="647" t="s">
        <v>203</v>
      </c>
      <c r="W7" s="648"/>
      <c r="X7" s="649" t="s">
        <v>204</v>
      </c>
      <c r="Y7" s="650"/>
      <c r="Z7" s="651"/>
      <c r="AA7" s="170"/>
      <c r="AB7" s="662"/>
      <c r="AC7" s="663"/>
    </row>
    <row r="8" spans="1:32" ht="20.100000000000001" customHeight="1">
      <c r="A8" s="163">
        <f>ELEC!C8</f>
        <v>44686</v>
      </c>
      <c r="B8" s="620">
        <f t="shared" si="13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1">
        <f t="shared" si="7"/>
        <v>161410</v>
      </c>
      <c r="G8" s="160">
        <f t="shared" si="1"/>
        <v>0</v>
      </c>
      <c r="H8" s="620">
        <f t="shared" si="8"/>
        <v>555582</v>
      </c>
      <c r="I8" s="161">
        <f t="shared" si="2"/>
        <v>0</v>
      </c>
      <c r="J8" s="618">
        <f t="shared" si="9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1"/>
        <v>154.80303857058792</v>
      </c>
      <c r="Q8" s="285">
        <f>SUM(-tanks!AX10*tanks!$AU$37)</f>
        <v>741.12329032256764</v>
      </c>
      <c r="R8" s="285">
        <f t="shared" si="12"/>
        <v>895.92632889315553</v>
      </c>
      <c r="S8" s="287">
        <f>SUM(ELEC!N8)</f>
        <v>3111</v>
      </c>
      <c r="T8" s="321">
        <f>IF(S8&gt;0,R8/S8,0)</f>
        <v>0.28798660523727276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0">
        <f t="shared" si="13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1">
        <f t="shared" si="7"/>
        <v>161410</v>
      </c>
      <c r="G9" s="160">
        <f t="shared" si="1"/>
        <v>0</v>
      </c>
      <c r="H9" s="620">
        <f t="shared" si="8"/>
        <v>555582</v>
      </c>
      <c r="I9" s="161">
        <f t="shared" si="2"/>
        <v>0</v>
      </c>
      <c r="J9" s="618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1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19">
        <f>'[2]EDl log'!AB26</f>
        <v>7200</v>
      </c>
      <c r="AC9" s="619">
        <f>'[2]EDl log'!AC26</f>
        <v>1033333</v>
      </c>
      <c r="AD9" s="604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0">
        <f t="shared" si="13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1">
        <f t="shared" si="7"/>
        <v>161410</v>
      </c>
      <c r="G10" s="160">
        <f t="shared" si="1"/>
        <v>0</v>
      </c>
      <c r="H10" s="620">
        <f t="shared" si="8"/>
        <v>555582</v>
      </c>
      <c r="I10" s="161">
        <f t="shared" si="2"/>
        <v>0</v>
      </c>
      <c r="J10" s="618">
        <f t="shared" si="9"/>
        <v>401437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1"/>
        <v>154.80303857058792</v>
      </c>
      <c r="Q10" s="285">
        <f>SUM(-tanks!AX12*tanks!$AU$37)</f>
        <v>0</v>
      </c>
      <c r="R10" s="285">
        <f t="shared" si="12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19">
        <f>'[2]EDl log'!AA27</f>
        <v>1660</v>
      </c>
      <c r="AB10" s="619">
        <f>'[2]EDl log'!AB27</f>
        <v>185920</v>
      </c>
      <c r="AC10" s="619">
        <f>'[2]EDl log'!AC27</f>
        <v>6200000</v>
      </c>
      <c r="AD10" s="604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0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1">
        <f t="shared" si="7"/>
        <v>161410</v>
      </c>
      <c r="G11" s="160">
        <f t="shared" si="1"/>
        <v>0</v>
      </c>
      <c r="H11" s="620">
        <v>556006</v>
      </c>
      <c r="I11" s="161">
        <f t="shared" si="2"/>
        <v>424</v>
      </c>
      <c r="J11" s="618">
        <v>401438</v>
      </c>
      <c r="K11" s="162">
        <f t="shared" si="10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1"/>
        <v>186.35726742630931</v>
      </c>
      <c r="Q11" s="285">
        <f>SUM(-tanks!AX13*tanks!$AU$37)</f>
        <v>-521.1632903225676</v>
      </c>
      <c r="R11" s="285">
        <f t="shared" si="12"/>
        <v>-334.8060228962583</v>
      </c>
      <c r="S11" s="287">
        <f>SUM(ELEC!N11)</f>
        <v>3135</v>
      </c>
      <c r="T11" s="321">
        <f t="shared" si="16"/>
        <v>-0.1067961795522355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19">
        <f>'[2]EDl log'!AB28</f>
        <v>0</v>
      </c>
      <c r="AC11" s="619">
        <f>'[2]EDl log'!AC28</f>
        <v>1000</v>
      </c>
      <c r="AD11" s="604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0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1">
        <f t="shared" si="7"/>
        <v>161410</v>
      </c>
      <c r="G12" s="160">
        <f t="shared" si="1"/>
        <v>0</v>
      </c>
      <c r="H12" s="620">
        <v>556210</v>
      </c>
      <c r="I12" s="161">
        <f t="shared" si="2"/>
        <v>204</v>
      </c>
      <c r="J12" s="618">
        <v>401531</v>
      </c>
      <c r="K12" s="162">
        <f t="shared" si="10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1"/>
        <v>174.89458085914512</v>
      </c>
      <c r="Q12" s="285">
        <f>SUM(-tanks!AX14*tanks!$AU$37)</f>
        <v>952.35038709676917</v>
      </c>
      <c r="R12" s="285">
        <f t="shared" si="12"/>
        <v>1127.2449679559143</v>
      </c>
      <c r="S12" s="287">
        <f>SUM(ELEC!N12)</f>
        <v>3445</v>
      </c>
      <c r="T12" s="321">
        <f t="shared" si="16"/>
        <v>0.32721189200461953</v>
      </c>
      <c r="V12" s="213"/>
      <c r="W12" s="217"/>
      <c r="X12" s="214"/>
      <c r="Y12" s="215"/>
      <c r="Z12" s="3"/>
      <c r="AA12" s="246">
        <f>'[2]EDl log'!AA29</f>
        <v>1750</v>
      </c>
      <c r="AB12" s="619">
        <f>'[2]EDl log'!AB29</f>
        <v>193120</v>
      </c>
      <c r="AC12" s="619">
        <f>'[2]EDl log'!AC29</f>
        <v>7234333</v>
      </c>
    </row>
    <row r="13" spans="1:32" ht="20.100000000000001" customHeight="1">
      <c r="A13" s="163">
        <f>ELEC!C13</f>
        <v>44691</v>
      </c>
      <c r="B13" s="620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1">
        <f t="shared" si="7"/>
        <v>161410</v>
      </c>
      <c r="G13" s="160">
        <f t="shared" si="1"/>
        <v>0</v>
      </c>
      <c r="H13" s="620">
        <v>556246</v>
      </c>
      <c r="I13" s="161">
        <f t="shared" si="2"/>
        <v>36</v>
      </c>
      <c r="J13" s="618">
        <v>401532</v>
      </c>
      <c r="K13" s="162">
        <f t="shared" si="10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1"/>
        <v>157.53073342962605</v>
      </c>
      <c r="Q13" s="285">
        <f>SUM(-tanks!AX15*tanks!$AU$37)</f>
        <v>740.27729032257992</v>
      </c>
      <c r="R13" s="285">
        <f t="shared" si="12"/>
        <v>897.80802375220594</v>
      </c>
      <c r="S13" s="287">
        <f>SUM(ELEC!N13)</f>
        <v>3157</v>
      </c>
      <c r="T13" s="321">
        <f>IF(S13&gt;0,R13/S13,0)</f>
        <v>0.28438645034913079</v>
      </c>
      <c r="V13" s="216" t="s">
        <v>314</v>
      </c>
      <c r="W13" s="604">
        <f>'[2]EDl log'!W30</f>
        <v>0</v>
      </c>
      <c r="X13" s="217"/>
      <c r="Y13" s="218" t="s">
        <v>327</v>
      </c>
      <c r="Z13" s="3"/>
      <c r="AA13" s="246"/>
      <c r="AB13" s="619">
        <f>'[2]EDl log'!AB30</f>
        <v>7427453</v>
      </c>
      <c r="AC13" s="619">
        <f>'[2]EDl log'!AC30</f>
        <v>0</v>
      </c>
    </row>
    <row r="14" spans="1:32" ht="20.100000000000001" customHeight="1">
      <c r="A14" s="163">
        <f>ELEC!C14</f>
        <v>44692</v>
      </c>
      <c r="B14" s="620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1">
        <f t="shared" si="7"/>
        <v>161410</v>
      </c>
      <c r="G14" s="160">
        <f t="shared" si="1"/>
        <v>0</v>
      </c>
      <c r="H14" s="620">
        <v>556460</v>
      </c>
      <c r="I14" s="161">
        <f t="shared" si="2"/>
        <v>214</v>
      </c>
      <c r="J14" s="621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875.36438709678146</v>
      </c>
      <c r="R14" s="285">
        <f>SUM(P14:Q14)</f>
        <v>1050.8427158829581</v>
      </c>
      <c r="S14" s="287">
        <f>SUM(ELEC!N14)</f>
        <v>3105</v>
      </c>
      <c r="T14" s="321">
        <f>IF(S14&gt;0,R14/S14,0)</f>
        <v>0.33843565728919744</v>
      </c>
      <c r="V14" s="216"/>
      <c r="W14" s="217"/>
      <c r="X14" s="217"/>
      <c r="Y14" s="218"/>
      <c r="Z14" s="3"/>
      <c r="AA14" s="246"/>
      <c r="AB14" s="619">
        <f>'[2]EDl log'!AB31</f>
        <v>0</v>
      </c>
      <c r="AC14" s="619">
        <f>'[2]EDl log'!AC31</f>
        <v>0</v>
      </c>
    </row>
    <row r="15" spans="1:32" ht="20.100000000000001" customHeight="1">
      <c r="A15" s="163">
        <f>ELEC!C15</f>
        <v>44693</v>
      </c>
      <c r="B15" s="620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1">
        <f t="shared" si="7"/>
        <v>161410</v>
      </c>
      <c r="G15" s="160">
        <f t="shared" si="1"/>
        <v>0</v>
      </c>
      <c r="H15" s="620">
        <v>556506</v>
      </c>
      <c r="I15" s="161">
        <f t="shared" si="2"/>
        <v>46</v>
      </c>
      <c r="J15" s="621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926.97038709676917</v>
      </c>
      <c r="R15" s="285">
        <f>SUM(P15:Q15)</f>
        <v>1085.1910044401598</v>
      </c>
      <c r="S15" s="287">
        <f>SUM(ELEC!N15)</f>
        <v>2743</v>
      </c>
      <c r="T15" s="321">
        <f>IF(S15&gt;0,R15/S15,0)</f>
        <v>0.3956219483923295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19">
        <f>'[2]EDl log'!AB32</f>
        <v>0</v>
      </c>
      <c r="AC15" s="619">
        <f>'[2]EDl log'!AC32</f>
        <v>0</v>
      </c>
    </row>
    <row r="16" spans="1:32" ht="20.100000000000001" customHeight="1">
      <c r="A16" s="163">
        <f>ELEC!C16</f>
        <v>44694</v>
      </c>
      <c r="B16" s="620">
        <f t="shared" si="13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1">
        <f t="shared" si="7"/>
        <v>161410</v>
      </c>
      <c r="G16" s="160">
        <f t="shared" si="1"/>
        <v>0</v>
      </c>
      <c r="H16" s="620">
        <f t="shared" si="8"/>
        <v>556506</v>
      </c>
      <c r="I16" s="161">
        <f t="shared" si="2"/>
        <v>0</v>
      </c>
      <c r="J16" s="621">
        <f t="shared" si="9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19">
        <f>'[2]EDl log'!AB33</f>
        <v>817019.83</v>
      </c>
      <c r="AC16" s="619">
        <f>'[2]EDl log'!AC33</f>
        <v>7234333</v>
      </c>
    </row>
    <row r="17" spans="1:32" ht="20.100000000000001" customHeight="1">
      <c r="A17" s="163">
        <f>ELEC!C17</f>
        <v>44695</v>
      </c>
      <c r="B17" s="620">
        <f t="shared" si="13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1">
        <f t="shared" si="7"/>
        <v>161410</v>
      </c>
      <c r="G17" s="160">
        <f>F17-F16</f>
        <v>0</v>
      </c>
      <c r="H17" s="620">
        <f t="shared" si="8"/>
        <v>556506</v>
      </c>
      <c r="I17" s="161">
        <f t="shared" si="2"/>
        <v>0</v>
      </c>
      <c r="J17" s="621">
        <f t="shared" si="9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19">
        <f>'[2]EDl log'!AB34</f>
        <v>8244472.8300000001</v>
      </c>
      <c r="AC17" s="619">
        <f>'[2]EDl log'!AC34</f>
        <v>0</v>
      </c>
    </row>
    <row r="18" spans="1:32" ht="20.100000000000001" customHeight="1" thickBot="1">
      <c r="A18" s="163">
        <f>ELEC!C18</f>
        <v>44696</v>
      </c>
      <c r="B18" s="622">
        <v>1119679</v>
      </c>
      <c r="C18" s="254">
        <f>SUM(B18-B17)</f>
        <v>140</v>
      </c>
      <c r="D18" s="295">
        <f>SUM(G18+I18+K18)</f>
        <v>140</v>
      </c>
      <c r="E18" s="295">
        <f t="shared" si="15"/>
        <v>1119679</v>
      </c>
      <c r="F18" s="621">
        <v>161410</v>
      </c>
      <c r="G18" s="160">
        <f t="shared" si="1"/>
        <v>0</v>
      </c>
      <c r="H18" s="620">
        <v>556646</v>
      </c>
      <c r="I18" s="161">
        <f t="shared" si="2"/>
        <v>140</v>
      </c>
      <c r="J18" s="621">
        <v>401622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10.401326699834163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1"/>
        <v>165.20436527042207</v>
      </c>
      <c r="Q18" s="285">
        <f>SUM(-tanks!AX20*tanks!$AU$37)</f>
        <v>645.52529032257996</v>
      </c>
      <c r="R18" s="285">
        <f t="shared" si="12"/>
        <v>810.72965559300201</v>
      </c>
      <c r="S18" s="287">
        <f>SUM(ELEC!N18)</f>
        <v>2817</v>
      </c>
      <c r="T18" s="321">
        <f t="shared" si="16"/>
        <v>0.28779895477209871</v>
      </c>
      <c r="V18" s="226"/>
      <c r="W18" s="227"/>
      <c r="X18" s="227"/>
      <c r="Y18" s="227"/>
      <c r="Z18" s="3"/>
      <c r="AA18" s="246">
        <f>'[6]EDl log'!AA35</f>
        <v>0</v>
      </c>
      <c r="AB18" s="619">
        <f>'[2]EDl log'!AB35</f>
        <v>0</v>
      </c>
      <c r="AC18" s="619">
        <f>'[2]EDl log'!AC35</f>
        <v>0</v>
      </c>
    </row>
    <row r="19" spans="1:32" ht="20.100000000000001" customHeight="1" thickBot="1">
      <c r="A19" s="163">
        <f>ELEC!C19</f>
        <v>44697</v>
      </c>
      <c r="B19" s="620">
        <v>1119902</v>
      </c>
      <c r="C19" s="254">
        <f t="shared" si="0"/>
        <v>223</v>
      </c>
      <c r="D19" s="295">
        <f t="shared" si="14"/>
        <v>222</v>
      </c>
      <c r="E19" s="295">
        <f t="shared" si="15"/>
        <v>1119901</v>
      </c>
      <c r="F19" s="621">
        <f t="shared" si="7"/>
        <v>161410</v>
      </c>
      <c r="G19" s="160">
        <f t="shared" si="1"/>
        <v>0</v>
      </c>
      <c r="H19" s="620">
        <v>556768</v>
      </c>
      <c r="I19" s="161">
        <f t="shared" si="2"/>
        <v>122</v>
      </c>
      <c r="J19" s="621">
        <v>401722</v>
      </c>
      <c r="K19" s="162">
        <f t="shared" si="10"/>
        <v>100</v>
      </c>
      <c r="L19" s="284">
        <f>SUM(G19*$Y$28)/1507.5</f>
        <v>0</v>
      </c>
      <c r="M19" s="284">
        <f>SUM(I19*$Y$27)/1507.5</f>
        <v>9.0640132669983409</v>
      </c>
      <c r="N19" s="284">
        <f>SUM(K19*$Y$26)/1507.5</f>
        <v>5.3067993366500827</v>
      </c>
      <c r="O19" s="284">
        <f>($AC$29/$A$37)/1507.5</f>
        <v>154.80303857058792</v>
      </c>
      <c r="P19" s="285">
        <f>SUM(L19:O19)</f>
        <v>169.17385117423635</v>
      </c>
      <c r="Q19" s="285">
        <f>SUM(-tanks!AX21*tanks!$AU$37)</f>
        <v>741.96929032256764</v>
      </c>
      <c r="R19" s="285">
        <f>SUM(P19:Q19)</f>
        <v>911.14314149680399</v>
      </c>
      <c r="S19" s="287">
        <f>SUM(ELEC!N19)</f>
        <v>2812</v>
      </c>
      <c r="T19" s="321">
        <f>IF(S19&gt;0,R19/S19,0)</f>
        <v>0.32401960935163726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19">
        <f>'[2]EDl log'!AB36</f>
        <v>4927.0003316749589</v>
      </c>
      <c r="AC19" s="619">
        <f>'[2]EDl log'!AC36</f>
        <v>0</v>
      </c>
    </row>
    <row r="20" spans="1:32" ht="20.100000000000001" customHeight="1" thickBot="1">
      <c r="A20" s="163">
        <f>ELEC!C20</f>
        <v>44698</v>
      </c>
      <c r="B20" s="620">
        <f t="shared" si="13"/>
        <v>1119902</v>
      </c>
      <c r="C20" s="254">
        <f t="shared" si="0"/>
        <v>0</v>
      </c>
      <c r="D20" s="295">
        <f t="shared" si="14"/>
        <v>0</v>
      </c>
      <c r="E20" s="295">
        <v>160188</v>
      </c>
      <c r="F20" s="621">
        <f t="shared" si="7"/>
        <v>161410</v>
      </c>
      <c r="G20" s="160">
        <f t="shared" si="1"/>
        <v>0</v>
      </c>
      <c r="H20" s="620">
        <f t="shared" si="8"/>
        <v>556768</v>
      </c>
      <c r="I20" s="161">
        <f t="shared" si="2"/>
        <v>0</v>
      </c>
      <c r="J20" s="621">
        <f t="shared" si="9"/>
        <v>401722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1"/>
        <v>154.80303857058792</v>
      </c>
      <c r="Q20" s="285">
        <f>SUM(-tanks!AX22*tanks!$AU$37)</f>
        <v>612.53129032260449</v>
      </c>
      <c r="R20" s="285">
        <f t="shared" si="12"/>
        <v>767.33432889319238</v>
      </c>
      <c r="S20" s="287">
        <f>SUM(ELEC!N20)</f>
        <v>3010</v>
      </c>
      <c r="T20" s="321">
        <f t="shared" si="16"/>
        <v>0.25492834846949913</v>
      </c>
      <c r="AB20" s="527"/>
    </row>
    <row r="21" spans="1:32" ht="20.100000000000001" customHeight="1">
      <c r="A21" s="163">
        <f>ELEC!C21</f>
        <v>44699</v>
      </c>
      <c r="B21" s="620">
        <f t="shared" si="13"/>
        <v>1119902</v>
      </c>
      <c r="C21" s="254">
        <f t="shared" si="0"/>
        <v>0</v>
      </c>
      <c r="D21" s="295">
        <f t="shared" si="14"/>
        <v>0</v>
      </c>
      <c r="E21" s="295">
        <f t="shared" si="15"/>
        <v>1119902</v>
      </c>
      <c r="F21" s="621">
        <f t="shared" si="7"/>
        <v>161410</v>
      </c>
      <c r="G21" s="160">
        <f t="shared" si="1"/>
        <v>0</v>
      </c>
      <c r="H21" s="620">
        <f t="shared" si="8"/>
        <v>556768</v>
      </c>
      <c r="I21" s="161">
        <f t="shared" si="2"/>
        <v>0</v>
      </c>
      <c r="J21" s="621">
        <f t="shared" si="9"/>
        <v>401722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1"/>
        <v>154.80303857058792</v>
      </c>
      <c r="Q21" s="285">
        <f>SUM(-tanks!AX23*tanks!$AU$37)</f>
        <v>1057.8274838709583</v>
      </c>
      <c r="R21" s="285">
        <f t="shared" si="12"/>
        <v>1212.6305224415462</v>
      </c>
      <c r="S21" s="287">
        <f>SUM(ELEC!N21)</f>
        <v>3148</v>
      </c>
      <c r="T21" s="321">
        <f t="shared" si="16"/>
        <v>0.38520664626478596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58"/>
      <c r="AC21" s="659"/>
    </row>
    <row r="22" spans="1:32" ht="20.100000000000001" customHeight="1">
      <c r="A22" s="163">
        <f>ELEC!C22</f>
        <v>44700</v>
      </c>
      <c r="B22" s="620">
        <v>1120341</v>
      </c>
      <c r="C22" s="254">
        <f t="shared" si="0"/>
        <v>439</v>
      </c>
      <c r="D22" s="295">
        <f t="shared" si="14"/>
        <v>440</v>
      </c>
      <c r="E22" s="295">
        <f t="shared" si="15"/>
        <v>1120342</v>
      </c>
      <c r="F22" s="621">
        <f t="shared" si="7"/>
        <v>161410</v>
      </c>
      <c r="G22" s="160">
        <f t="shared" si="1"/>
        <v>0</v>
      </c>
      <c r="H22" s="620">
        <v>557200</v>
      </c>
      <c r="I22" s="161">
        <f t="shared" si="2"/>
        <v>432</v>
      </c>
      <c r="J22" s="621">
        <v>401730</v>
      </c>
      <c r="K22" s="162">
        <f t="shared" si="10"/>
        <v>8</v>
      </c>
      <c r="L22" s="284">
        <f t="shared" si="17"/>
        <v>0</v>
      </c>
      <c r="M22" s="284">
        <f t="shared" si="18"/>
        <v>32.095522388059699</v>
      </c>
      <c r="N22" s="284">
        <f t="shared" si="19"/>
        <v>0.42454394693200664</v>
      </c>
      <c r="O22" s="284">
        <f t="shared" si="6"/>
        <v>154.80303857058792</v>
      </c>
      <c r="P22" s="285">
        <f t="shared" si="11"/>
        <v>187.32310490557961</v>
      </c>
      <c r="Q22" s="285">
        <f>SUM(-tanks!AX24*tanks!$AU$37)</f>
        <v>726.74129032257997</v>
      </c>
      <c r="R22" s="285">
        <f t="shared" si="12"/>
        <v>914.06439522815958</v>
      </c>
      <c r="S22" s="287">
        <f>SUM(ELEC!N22)</f>
        <v>3248</v>
      </c>
      <c r="T22" s="321">
        <f t="shared" si="16"/>
        <v>0.28142376700374372</v>
      </c>
      <c r="V22" s="652"/>
      <c r="W22" s="653"/>
      <c r="X22" s="653"/>
      <c r="Y22" s="654"/>
      <c r="Z22" s="26" t="s">
        <v>202</v>
      </c>
      <c r="AA22" s="26">
        <v>5000</v>
      </c>
      <c r="AB22" s="660"/>
      <c r="AC22" s="661"/>
    </row>
    <row r="23" spans="1:32" ht="20.100000000000001" customHeight="1">
      <c r="A23" s="163">
        <f>ELEC!C23</f>
        <v>44701</v>
      </c>
      <c r="B23" s="620">
        <f t="shared" si="13"/>
        <v>1120341</v>
      </c>
      <c r="C23" s="254">
        <f t="shared" si="0"/>
        <v>0</v>
      </c>
      <c r="D23" s="295">
        <f t="shared" si="14"/>
        <v>0</v>
      </c>
      <c r="E23" s="295">
        <f t="shared" si="15"/>
        <v>1120341</v>
      </c>
      <c r="F23" s="621">
        <f t="shared" si="7"/>
        <v>161410</v>
      </c>
      <c r="G23" s="160">
        <f t="shared" si="1"/>
        <v>0</v>
      </c>
      <c r="H23" s="620">
        <f t="shared" si="8"/>
        <v>557200</v>
      </c>
      <c r="I23" s="161">
        <f t="shared" si="2"/>
        <v>0</v>
      </c>
      <c r="J23" s="621">
        <f t="shared" si="9"/>
        <v>401730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1"/>
        <v>154.80303857058792</v>
      </c>
      <c r="Q23" s="285">
        <f>SUM(-tanks!AX25*tanks!$AU$37)</f>
        <v>0</v>
      </c>
      <c r="R23" s="285">
        <f t="shared" si="12"/>
        <v>154.80303857058792</v>
      </c>
      <c r="S23" s="287">
        <f>SUM(ELEC!N23)</f>
        <v>0</v>
      </c>
      <c r="T23" s="321">
        <f t="shared" si="16"/>
        <v>0</v>
      </c>
      <c r="V23" s="655"/>
      <c r="W23" s="656"/>
      <c r="X23" s="656"/>
      <c r="Y23" s="657"/>
      <c r="Z23" s="664"/>
      <c r="AA23" s="665"/>
      <c r="AB23" s="660"/>
      <c r="AC23" s="661"/>
    </row>
    <row r="24" spans="1:32" ht="20.100000000000001" customHeight="1">
      <c r="A24" s="163">
        <f>ELEC!C24</f>
        <v>44702</v>
      </c>
      <c r="B24" s="620">
        <f t="shared" si="13"/>
        <v>1120341</v>
      </c>
      <c r="C24" s="254">
        <f t="shared" si="0"/>
        <v>0</v>
      </c>
      <c r="D24" s="295">
        <f t="shared" si="14"/>
        <v>0</v>
      </c>
      <c r="E24" s="295">
        <f t="shared" si="15"/>
        <v>1120341</v>
      </c>
      <c r="F24" s="621">
        <f t="shared" si="7"/>
        <v>161410</v>
      </c>
      <c r="G24" s="160">
        <f t="shared" si="1"/>
        <v>0</v>
      </c>
      <c r="H24" s="620">
        <f t="shared" si="8"/>
        <v>557200</v>
      </c>
      <c r="I24" s="161">
        <f t="shared" si="2"/>
        <v>0</v>
      </c>
      <c r="J24" s="621">
        <f t="shared" si="9"/>
        <v>401730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1"/>
        <v>154.80303857058792</v>
      </c>
      <c r="Q24" s="285">
        <f>SUM(-tanks!AX26*tanks!$AU$37)</f>
        <v>-3702.7919032257987</v>
      </c>
      <c r="R24" s="285">
        <f t="shared" si="12"/>
        <v>-3547.9888646552108</v>
      </c>
      <c r="S24" s="287">
        <f>SUM(ELEC!N24)</f>
        <v>0</v>
      </c>
      <c r="T24" s="321">
        <f t="shared" si="16"/>
        <v>0</v>
      </c>
      <c r="V24" s="647" t="s">
        <v>203</v>
      </c>
      <c r="W24" s="648"/>
      <c r="X24" s="649" t="s">
        <v>204</v>
      </c>
      <c r="Y24" s="650"/>
      <c r="Z24" s="651"/>
      <c r="AA24" s="170"/>
      <c r="AB24" s="662"/>
      <c r="AC24" s="663"/>
    </row>
    <row r="25" spans="1:32" ht="20.100000000000001" customHeight="1">
      <c r="A25" s="163">
        <f>ELEC!C25</f>
        <v>44703</v>
      </c>
      <c r="B25" s="620">
        <f t="shared" si="13"/>
        <v>1120341</v>
      </c>
      <c r="C25" s="254">
        <f t="shared" si="0"/>
        <v>0</v>
      </c>
      <c r="D25" s="295">
        <f t="shared" si="14"/>
        <v>0</v>
      </c>
      <c r="E25" s="295">
        <f t="shared" si="15"/>
        <v>1120341</v>
      </c>
      <c r="F25" s="621">
        <f t="shared" si="7"/>
        <v>161410</v>
      </c>
      <c r="G25" s="160">
        <f t="shared" si="1"/>
        <v>0</v>
      </c>
      <c r="H25" s="620">
        <f t="shared" si="8"/>
        <v>557200</v>
      </c>
      <c r="I25" s="161">
        <f t="shared" si="2"/>
        <v>0</v>
      </c>
      <c r="J25" s="621">
        <f t="shared" si="9"/>
        <v>401730</v>
      </c>
      <c r="K25" s="162">
        <f t="shared" si="10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1"/>
        <v>154.80303857058792</v>
      </c>
      <c r="Q25" s="285">
        <f>SUM(-tanks!AX27*tanks!$AU$37)</f>
        <v>4191.0840000000007</v>
      </c>
      <c r="R25" s="285">
        <f t="shared" si="12"/>
        <v>4345.8870385705886</v>
      </c>
      <c r="S25" s="287">
        <f>SUM(ELEC!N25)</f>
        <v>3609</v>
      </c>
      <c r="T25" s="321">
        <f t="shared" si="16"/>
        <v>1.2041803930647239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0">
        <f t="shared" si="13"/>
        <v>1120341</v>
      </c>
      <c r="C26" s="254">
        <f t="shared" si="0"/>
        <v>0</v>
      </c>
      <c r="D26" s="295">
        <f t="shared" si="14"/>
        <v>0</v>
      </c>
      <c r="E26" s="295">
        <f t="shared" si="15"/>
        <v>1120341</v>
      </c>
      <c r="F26" s="621">
        <f t="shared" si="7"/>
        <v>161410</v>
      </c>
      <c r="G26" s="160">
        <f t="shared" si="1"/>
        <v>0</v>
      </c>
      <c r="H26" s="620">
        <f t="shared" si="8"/>
        <v>557200</v>
      </c>
      <c r="I26" s="161">
        <f t="shared" si="2"/>
        <v>0</v>
      </c>
      <c r="J26" s="621">
        <f t="shared" si="9"/>
        <v>401730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1"/>
        <v>154.80303857058792</v>
      </c>
      <c r="Q26" s="285">
        <f>SUM(-tanks!AX28*tanks!$AU$37)</f>
        <v>867.75038709675675</v>
      </c>
      <c r="R26" s="285">
        <f t="shared" si="12"/>
        <v>1022.5534256673446</v>
      </c>
      <c r="S26" s="287">
        <f>SUM(ELEC!N26)</f>
        <v>3279</v>
      </c>
      <c r="T26" s="321">
        <f t="shared" si="16"/>
        <v>0.31184916915747013</v>
      </c>
      <c r="V26" s="246">
        <f>W9</f>
        <v>401437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293</v>
      </c>
      <c r="AB26" s="323">
        <f>AA26*Y26</f>
        <v>23440</v>
      </c>
      <c r="AC26" s="244">
        <f>AC9</f>
        <v>1033333</v>
      </c>
      <c r="AD26" s="476">
        <f>SUM(K36)</f>
        <v>0.11886409736308316</v>
      </c>
    </row>
    <row r="27" spans="1:32" ht="20.100000000000001" customHeight="1">
      <c r="A27" s="163">
        <f>ELEC!C27</f>
        <v>44705</v>
      </c>
      <c r="B27" s="620">
        <f t="shared" si="13"/>
        <v>1120341</v>
      </c>
      <c r="C27" s="254">
        <f t="shared" si="0"/>
        <v>0</v>
      </c>
      <c r="D27" s="295">
        <f t="shared" si="14"/>
        <v>0</v>
      </c>
      <c r="E27" s="295">
        <f t="shared" si="15"/>
        <v>1120341</v>
      </c>
      <c r="F27" s="621">
        <f t="shared" si="7"/>
        <v>161410</v>
      </c>
      <c r="G27" s="160">
        <f t="shared" si="1"/>
        <v>0</v>
      </c>
      <c r="H27" s="620">
        <f t="shared" si="8"/>
        <v>557200</v>
      </c>
      <c r="I27" s="161">
        <f t="shared" si="2"/>
        <v>0</v>
      </c>
      <c r="J27" s="621">
        <f t="shared" si="9"/>
        <v>401730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1"/>
        <v>154.80303857058792</v>
      </c>
      <c r="Q27" s="285">
        <f>SUM(-tanks!AX29*tanks!$AU$37)</f>
        <v>853.92783870969299</v>
      </c>
      <c r="R27" s="285">
        <f t="shared" si="12"/>
        <v>1008.7308772802809</v>
      </c>
      <c r="S27" s="287">
        <f>SUM(ELEC!N27)</f>
        <v>3094</v>
      </c>
      <c r="T27" s="321">
        <f t="shared" si="16"/>
        <v>0.32602807927610888</v>
      </c>
      <c r="V27" s="246">
        <f>W10</f>
        <v>555135</v>
      </c>
      <c r="W27" s="170">
        <f>H34</f>
        <v>557306</v>
      </c>
      <c r="X27" s="172" t="s">
        <v>212</v>
      </c>
      <c r="Y27" s="172">
        <v>112</v>
      </c>
      <c r="Z27" s="172">
        <v>1</v>
      </c>
      <c r="AA27" s="323">
        <f>(W27-V27)*Z27</f>
        <v>2171</v>
      </c>
      <c r="AB27" s="323">
        <f>SUM(AA27*Y27)</f>
        <v>243152</v>
      </c>
      <c r="AC27" s="244">
        <f>AC10</f>
        <v>6200000</v>
      </c>
      <c r="AD27" s="476">
        <f>SUM(I36)</f>
        <v>0.88073022312373228</v>
      </c>
    </row>
    <row r="28" spans="1:32" ht="20.100000000000001" customHeight="1">
      <c r="A28" s="163">
        <f>ELEC!C28</f>
        <v>44706</v>
      </c>
      <c r="B28" s="620">
        <f t="shared" si="13"/>
        <v>1120341</v>
      </c>
      <c r="C28" s="254">
        <f t="shared" si="0"/>
        <v>0</v>
      </c>
      <c r="D28" s="295">
        <f t="shared" si="14"/>
        <v>0</v>
      </c>
      <c r="E28" s="295">
        <f>B27+D28</f>
        <v>1120341</v>
      </c>
      <c r="F28" s="621">
        <f t="shared" si="7"/>
        <v>161410</v>
      </c>
      <c r="G28" s="160">
        <f t="shared" si="1"/>
        <v>0</v>
      </c>
      <c r="H28" s="620">
        <f t="shared" si="8"/>
        <v>557200</v>
      </c>
      <c r="I28" s="161">
        <f t="shared" si="2"/>
        <v>0</v>
      </c>
      <c r="J28" s="621">
        <f t="shared" si="9"/>
        <v>401730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1"/>
        <v>154.80303857058792</v>
      </c>
      <c r="Q28" s="285">
        <f>SUM(-tanks!AX30*tanks!$AU$37)</f>
        <v>659.06129032259219</v>
      </c>
      <c r="R28" s="285">
        <f t="shared" si="12"/>
        <v>813.86432889318007</v>
      </c>
      <c r="S28" s="287">
        <f>SUM(ELEC!N28)</f>
        <v>3361</v>
      </c>
      <c r="T28" s="321">
        <f t="shared" si="16"/>
        <v>0.24214945816518299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0">
        <v>1120446</v>
      </c>
      <c r="C29" s="254">
        <f t="shared" si="0"/>
        <v>105</v>
      </c>
      <c r="D29" s="295">
        <f t="shared" si="14"/>
        <v>106</v>
      </c>
      <c r="E29" s="295">
        <f>B28+D29</f>
        <v>1120447</v>
      </c>
      <c r="F29" s="621">
        <v>161410</v>
      </c>
      <c r="G29" s="160">
        <f t="shared" si="1"/>
        <v>0</v>
      </c>
      <c r="H29" s="620">
        <v>557306</v>
      </c>
      <c r="I29" s="161">
        <f t="shared" si="2"/>
        <v>106</v>
      </c>
      <c r="J29" s="621">
        <v>401730</v>
      </c>
      <c r="K29" s="162">
        <f t="shared" si="10"/>
        <v>0</v>
      </c>
      <c r="L29" s="284">
        <f t="shared" si="17"/>
        <v>0</v>
      </c>
      <c r="M29" s="284">
        <f t="shared" si="18"/>
        <v>7.8752902155887234</v>
      </c>
      <c r="N29" s="284">
        <f t="shared" si="19"/>
        <v>0</v>
      </c>
      <c r="O29" s="284">
        <f t="shared" si="6"/>
        <v>154.80303857058792</v>
      </c>
      <c r="P29" s="285">
        <f t="shared" si="11"/>
        <v>162.67832878617665</v>
      </c>
      <c r="Q29" s="285">
        <f>SUM(-tanks!AX31*tanks!$AU$37)</f>
        <v>546.1066451612777</v>
      </c>
      <c r="R29" s="285">
        <f t="shared" si="12"/>
        <v>708.78497394745432</v>
      </c>
      <c r="S29" s="287">
        <f>SUM(ELEC!N29)</f>
        <v>3536</v>
      </c>
      <c r="T29" s="321">
        <f t="shared" si="16"/>
        <v>0.20044823923853347</v>
      </c>
      <c r="V29" s="213"/>
      <c r="W29" s="214"/>
      <c r="X29" s="214"/>
      <c r="Y29" s="215"/>
      <c r="Z29" s="3"/>
      <c r="AA29" s="323">
        <f>SUM(AA26:AA28)</f>
        <v>2464</v>
      </c>
      <c r="AB29" s="323">
        <f>SUM(AB26:AB28)</f>
        <v>266592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0">
        <f t="shared" si="13"/>
        <v>1120446</v>
      </c>
      <c r="C30" s="254">
        <f t="shared" si="0"/>
        <v>0</v>
      </c>
      <c r="D30" s="295">
        <f t="shared" si="14"/>
        <v>0</v>
      </c>
      <c r="E30" s="295">
        <f t="shared" si="15"/>
        <v>1120446</v>
      </c>
      <c r="F30" s="621">
        <f t="shared" si="7"/>
        <v>161410</v>
      </c>
      <c r="G30" s="160">
        <f t="shared" si="1"/>
        <v>0</v>
      </c>
      <c r="H30" s="620">
        <f t="shared" si="8"/>
        <v>557306</v>
      </c>
      <c r="I30" s="161">
        <f t="shared" si="2"/>
        <v>0</v>
      </c>
      <c r="J30" s="621">
        <f t="shared" si="9"/>
        <v>401730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1"/>
        <v>154.80303857058792</v>
      </c>
      <c r="Q30" s="285">
        <f>SUM(-tanks!AX32*tanks!$AU$37)</f>
        <v>0</v>
      </c>
      <c r="R30" s="285">
        <f t="shared" si="12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7500925</v>
      </c>
      <c r="AC30" s="244"/>
    </row>
    <row r="31" spans="1:32" ht="20.100000000000001" customHeight="1">
      <c r="A31" s="163">
        <f>ELEC!C31</f>
        <v>44709</v>
      </c>
      <c r="B31" s="620">
        <f t="shared" si="13"/>
        <v>1120446</v>
      </c>
      <c r="C31" s="254">
        <f>SUM(B31-B30)</f>
        <v>0</v>
      </c>
      <c r="D31" s="295">
        <f t="shared" si="14"/>
        <v>0</v>
      </c>
      <c r="E31" s="295">
        <f>B30+D31</f>
        <v>1120446</v>
      </c>
      <c r="F31" s="621">
        <f t="shared" si="7"/>
        <v>161410</v>
      </c>
      <c r="G31" s="160">
        <f>F31-F30</f>
        <v>0</v>
      </c>
      <c r="H31" s="620">
        <f t="shared" si="8"/>
        <v>557306</v>
      </c>
      <c r="I31" s="161">
        <f>H31-H30</f>
        <v>0</v>
      </c>
      <c r="J31" s="621">
        <f t="shared" si="9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0">
        <f t="shared" si="13"/>
        <v>1120446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1120446</v>
      </c>
      <c r="F32" s="621">
        <f t="shared" si="7"/>
        <v>161410</v>
      </c>
      <c r="G32" s="160">
        <f t="shared" ref="G32:G34" si="23">F32-F31</f>
        <v>0</v>
      </c>
      <c r="H32" s="620">
        <f t="shared" si="8"/>
        <v>557306</v>
      </c>
      <c r="I32" s="161">
        <f t="shared" ref="I32:I34" si="24">H32-H31</f>
        <v>0</v>
      </c>
      <c r="J32" s="621">
        <f t="shared" si="9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1166.1154838709583</v>
      </c>
      <c r="R32" s="285">
        <f t="shared" ref="R32:R34" si="30">SUM(P32:Q32)</f>
        <v>1320.9185224415462</v>
      </c>
      <c r="S32" s="287">
        <f>SUM(ELEC!N32)</f>
        <v>3869</v>
      </c>
      <c r="T32" s="321">
        <f t="shared" ref="T32:T34" si="31">IF(S32&gt;0,R32/S32,0)</f>
        <v>0.34141083547209777</v>
      </c>
      <c r="V32" s="216" t="s">
        <v>315</v>
      </c>
      <c r="W32" s="540">
        <f>'Utility Cost '!B18</f>
        <v>227</v>
      </c>
      <c r="X32" s="222">
        <f>SUM(W32/A35)</f>
        <v>22.7</v>
      </c>
      <c r="Y32" s="250">
        <f>SUM(X32/1)</f>
        <v>22.7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0">
        <f t="shared" si="13"/>
        <v>1120446</v>
      </c>
      <c r="C33" s="254">
        <f t="shared" si="20"/>
        <v>0</v>
      </c>
      <c r="D33" s="295">
        <f t="shared" si="21"/>
        <v>0</v>
      </c>
      <c r="E33" s="295">
        <f t="shared" si="22"/>
        <v>1120446</v>
      </c>
      <c r="F33" s="621">
        <f t="shared" si="7"/>
        <v>161410</v>
      </c>
      <c r="G33" s="160">
        <f t="shared" si="23"/>
        <v>0</v>
      </c>
      <c r="H33" s="620">
        <f t="shared" si="8"/>
        <v>557306</v>
      </c>
      <c r="I33" s="161">
        <f t="shared" si="24"/>
        <v>0</v>
      </c>
      <c r="J33" s="621">
        <f t="shared" si="9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54.280451612899263</v>
      </c>
      <c r="R33" s="285">
        <f t="shared" si="30"/>
        <v>209.08349018348719</v>
      </c>
      <c r="S33" s="287">
        <f>SUM(ELEC!N33)</f>
        <v>3259</v>
      </c>
      <c r="T33" s="321">
        <f t="shared" si="31"/>
        <v>6.4155719602174657E-2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825101.75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0">
        <v>1120446</v>
      </c>
      <c r="C34" s="254">
        <f t="shared" si="20"/>
        <v>0</v>
      </c>
      <c r="D34" s="295">
        <f t="shared" si="21"/>
        <v>0</v>
      </c>
      <c r="E34" s="295">
        <f t="shared" si="22"/>
        <v>1120446</v>
      </c>
      <c r="F34" s="621">
        <f t="shared" si="7"/>
        <v>161410</v>
      </c>
      <c r="G34" s="160">
        <f t="shared" si="23"/>
        <v>0</v>
      </c>
      <c r="H34" s="620">
        <f t="shared" si="8"/>
        <v>557306</v>
      </c>
      <c r="I34" s="161">
        <f t="shared" si="24"/>
        <v>0</v>
      </c>
      <c r="J34" s="621">
        <f t="shared" si="9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1400.1845806451599</v>
      </c>
      <c r="R34" s="285">
        <f t="shared" si="30"/>
        <v>1554.9876192157478</v>
      </c>
      <c r="S34" s="287">
        <f>SUM(ELEC!N34)</f>
        <v>4238</v>
      </c>
      <c r="T34" s="321">
        <f t="shared" si="31"/>
        <v>0.36691543634161111</v>
      </c>
      <c r="V34" s="216" t="s">
        <v>414</v>
      </c>
      <c r="Z34" s="3"/>
      <c r="AA34" s="3"/>
      <c r="AB34" s="504">
        <f>AB30+AB33</f>
        <v>8326026.75</v>
      </c>
      <c r="AC34" s="244">
        <f>SUM(AC30)</f>
        <v>0</v>
      </c>
    </row>
    <row r="35" spans="1:32" ht="15.75" thickBot="1">
      <c r="A35" s="501">
        <f>A37-COUNTIF(C4:C34,0)</f>
        <v>10</v>
      </c>
      <c r="C35" s="173">
        <f>SUM(C4:C34)/A35</f>
        <v>246.5</v>
      </c>
      <c r="D35" s="173"/>
      <c r="E35" s="173"/>
      <c r="F35" s="564"/>
      <c r="G35" s="564">
        <f>SUM(G4:G34)/A35</f>
        <v>0</v>
      </c>
      <c r="H35" s="173"/>
      <c r="I35" s="173">
        <f>SUM(I4:I34)/A35</f>
        <v>217.1</v>
      </c>
      <c r="K35" s="173">
        <f>SUM(K4:K34)/A35</f>
        <v>29.3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0.9995943204868154</v>
      </c>
      <c r="G36" s="225">
        <f>IF(C35&gt;0,G35/C35,0)</f>
        <v>0</v>
      </c>
      <c r="H36" s="212"/>
      <c r="I36" s="225">
        <f>SUM(I35/C35)</f>
        <v>0.88073022312373228</v>
      </c>
      <c r="J36" s="212"/>
      <c r="K36" s="225">
        <f>SUM(K35/C35)</f>
        <v>0.11886409736308316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4975.7379767827533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4975.7379767827533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6"/>
      <c r="AC45" s="666"/>
      <c r="AD45" s="542"/>
      <c r="AE45" s="17"/>
      <c r="AF45" s="17"/>
    </row>
    <row r="46" spans="1:32">
      <c r="V46" s="666"/>
      <c r="W46" s="666"/>
      <c r="X46" s="666"/>
      <c r="Y46" s="666"/>
      <c r="Z46" s="508"/>
      <c r="AA46" s="508"/>
      <c r="AB46" s="666"/>
      <c r="AC46" s="666"/>
      <c r="AD46" s="542"/>
      <c r="AE46" s="17"/>
      <c r="AF46" s="17"/>
    </row>
    <row r="47" spans="1:32">
      <c r="V47" s="666"/>
      <c r="W47" s="666"/>
      <c r="X47" s="666"/>
      <c r="Y47" s="666"/>
      <c r="Z47" s="666"/>
      <c r="AA47" s="666"/>
      <c r="AB47" s="666"/>
      <c r="AC47" s="666"/>
      <c r="AD47" s="542"/>
      <c r="AE47" s="17"/>
      <c r="AF47" s="17"/>
    </row>
    <row r="48" spans="1:32">
      <c r="V48" s="667"/>
      <c r="W48" s="667"/>
      <c r="X48" s="668"/>
      <c r="Y48" s="668"/>
      <c r="Z48" s="668"/>
      <c r="AA48" s="509"/>
      <c r="AB48" s="666"/>
      <c r="AC48" s="666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6" activePane="bottomLeft" state="frozen"/>
      <selection pane="bottomLeft" activeCell="F35" sqref="F3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>
        <v>22</v>
      </c>
      <c r="C19" s="37">
        <v>18</v>
      </c>
      <c r="D19" s="26">
        <f t="shared" si="3"/>
        <v>20</v>
      </c>
      <c r="E19" s="325">
        <v>0.77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>
        <v>22</v>
      </c>
      <c r="C20" s="37">
        <v>18</v>
      </c>
      <c r="D20" s="26">
        <f>(C20+B20)/2</f>
        <v>20</v>
      </c>
      <c r="E20" s="325">
        <v>0.7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>
        <v>23</v>
      </c>
      <c r="C21" s="37">
        <v>18</v>
      </c>
      <c r="D21" s="26">
        <f t="shared" si="3"/>
        <v>20.5</v>
      </c>
      <c r="E21" s="325">
        <v>0.81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>
        <v>23</v>
      </c>
      <c r="C22" s="37">
        <v>17</v>
      </c>
      <c r="D22" s="26">
        <f>(C22+B22)/2</f>
        <v>20</v>
      </c>
      <c r="E22" s="325">
        <v>0.8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>
        <v>24</v>
      </c>
      <c r="C23" s="37">
        <v>19</v>
      </c>
      <c r="D23" s="26">
        <f>(C23+B23)/2</f>
        <v>21.5</v>
      </c>
      <c r="E23" s="378">
        <v>0.83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>
        <v>24</v>
      </c>
      <c r="C26" s="37">
        <v>21</v>
      </c>
      <c r="D26" s="26">
        <f t="shared" si="3"/>
        <v>22.5</v>
      </c>
      <c r="E26" s="378">
        <v>0.7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>
        <v>24</v>
      </c>
      <c r="C27" s="37">
        <v>20</v>
      </c>
      <c r="D27" s="26">
        <f t="shared" si="3"/>
        <v>22</v>
      </c>
      <c r="E27" s="378">
        <v>0.77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>
        <v>24</v>
      </c>
      <c r="C28" s="37">
        <v>20</v>
      </c>
      <c r="D28" s="26">
        <f t="shared" si="3"/>
        <v>22</v>
      </c>
      <c r="E28" s="325">
        <v>0.71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>
        <v>24</v>
      </c>
      <c r="C29" s="37">
        <v>20</v>
      </c>
      <c r="D29" s="26">
        <f t="shared" si="3"/>
        <v>22</v>
      </c>
      <c r="E29" s="325">
        <v>0.79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>
        <v>28</v>
      </c>
      <c r="C30" s="37">
        <v>19</v>
      </c>
      <c r="D30" s="26">
        <f t="shared" si="3"/>
        <v>23.5</v>
      </c>
      <c r="E30" s="327">
        <v>0.69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>
        <v>27</v>
      </c>
      <c r="C34" s="37">
        <v>22</v>
      </c>
      <c r="D34" s="26">
        <f t="shared" si="6"/>
        <v>24.5</v>
      </c>
      <c r="E34" s="378">
        <v>0.75</v>
      </c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>
        <v>26</v>
      </c>
      <c r="C35" s="37">
        <v>22</v>
      </c>
      <c r="D35" s="26">
        <f t="shared" si="6"/>
        <v>24</v>
      </c>
      <c r="E35" s="378">
        <v>0.77</v>
      </c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40.299999999999997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-584.00000000334694</v>
      </c>
      <c r="E6" s="3">
        <f>ELEC!Q25</f>
        <v>3695.0000000033469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11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2817</v>
      </c>
      <c r="D16" s="3">
        <f t="shared" si="0"/>
        <v>233.00000000107684</v>
      </c>
      <c r="E16" s="3">
        <f>ELEC!Q18</f>
        <v>2583.9999999989232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5.4000000000000057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2812</v>
      </c>
      <c r="D17" s="3">
        <f t="shared" si="0"/>
        <v>353.00000000107684</v>
      </c>
      <c r="E17" s="3">
        <f>ELEC!Q19</f>
        <v>2458.9999999989232</v>
      </c>
      <c r="F17" s="3">
        <f>GEN!Z17</f>
        <v>10</v>
      </c>
      <c r="G17" s="3">
        <f>WATER!C20+WATER!H20</f>
        <v>89</v>
      </c>
      <c r="H17" s="3">
        <f>WATER!L20</f>
        <v>0</v>
      </c>
      <c r="I17" s="15">
        <f>WATER!BC20+WATER!BD20+WATER!BE21-Sheet1!G17</f>
        <v>-107.20000000000003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3010</v>
      </c>
      <c r="D18" s="3">
        <f t="shared" si="0"/>
        <v>337.9999999977008</v>
      </c>
      <c r="E18" s="3">
        <f>ELEC!Q20</f>
        <v>2672.0000000022992</v>
      </c>
      <c r="F18" s="3">
        <f>GEN!Z18</f>
        <v>8</v>
      </c>
      <c r="G18" s="3">
        <f>WATER!C21+WATER!H21</f>
        <v>0</v>
      </c>
      <c r="H18" s="3">
        <f>WATER!L21</f>
        <v>0</v>
      </c>
      <c r="I18" s="15">
        <f>WATER!BC21+WATER!BD21+WATER!BE22-Sheet1!G18</f>
        <v>-11.700000000000003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3148</v>
      </c>
      <c r="D19" s="3">
        <f t="shared" si="0"/>
        <v>153.00000000101863</v>
      </c>
      <c r="E19" s="3">
        <f>ELEC!Q21</f>
        <v>2994.9999999989814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-45.899999999999977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3248</v>
      </c>
      <c r="D20" s="3">
        <f t="shared" si="0"/>
        <v>222.00000000197906</v>
      </c>
      <c r="E20" s="3">
        <f>ELEC!Q22</f>
        <v>3025.9999999980209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218.40000000000003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-10.899999999999991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3609</v>
      </c>
      <c r="D23" s="3">
        <f t="shared" si="0"/>
        <v>-86.000000003346941</v>
      </c>
      <c r="E23" s="3">
        <f>ELEC!Q25</f>
        <v>3695.0000000033469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44.899999999999991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3279</v>
      </c>
      <c r="D24" s="3">
        <f t="shared" si="0"/>
        <v>4.0000000021827873</v>
      </c>
      <c r="E24" s="3">
        <f>ELEC!Q26</f>
        <v>3274.9999999978172</v>
      </c>
      <c r="F24" s="3">
        <f>GEN!Z24</f>
        <v>12</v>
      </c>
      <c r="G24" s="3">
        <f>WATER!C27+WATER!H27</f>
        <v>244</v>
      </c>
      <c r="H24" s="3">
        <f>WATER!L27</f>
        <v>0</v>
      </c>
      <c r="I24" s="15">
        <f>WATER!BC27+WATER!BD27+WATER!BE28-Sheet1!G24</f>
        <v>-246.5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3094</v>
      </c>
      <c r="D25" s="3">
        <f t="shared" si="0"/>
        <v>-61.999999999039574</v>
      </c>
      <c r="E25" s="3">
        <f>ELEC!Q27</f>
        <v>3155.9999999990396</v>
      </c>
      <c r="F25" s="3">
        <f>GEN!Z25</f>
        <v>10</v>
      </c>
      <c r="G25" s="3">
        <f>WATER!C28+WATER!H28</f>
        <v>0</v>
      </c>
      <c r="H25" s="3">
        <f>WATER!L28</f>
        <v>0</v>
      </c>
      <c r="I25" s="15">
        <f>WATER!BC28+WATER!BD28+WATER!BE29-Sheet1!G25</f>
        <v>2.7999999999999972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3361</v>
      </c>
      <c r="D26" s="3">
        <f t="shared" si="0"/>
        <v>-74.000000001309672</v>
      </c>
      <c r="E26" s="3">
        <f>ELEC!Q28</f>
        <v>3435.0000000013097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-28.900000000000006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3536</v>
      </c>
      <c r="D27" s="3">
        <f t="shared" si="0"/>
        <v>249.99999999994179</v>
      </c>
      <c r="E27" s="3">
        <f>ELEC!Q29</f>
        <v>3286.0000000000582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3.6999999999999815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11</v>
      </c>
      <c r="G28" s="3">
        <f>WATER!C31+WATER!H31</f>
        <v>0</v>
      </c>
      <c r="H28" s="3">
        <f>WATER!L31</f>
        <v>0</v>
      </c>
      <c r="I28" s="15">
        <f>WATER!BC31+WATER!BD31+WATER!BE32-Sheet1!G28</f>
        <v>-30.600000000000023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9" t="s">
        <v>119</v>
      </c>
      <c r="C1" s="679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76" t="s">
        <v>115</v>
      </c>
      <c r="I1" s="677" t="s">
        <v>116</v>
      </c>
      <c r="J1" s="676" t="s">
        <v>117</v>
      </c>
      <c r="K1" s="675" t="s">
        <v>121</v>
      </c>
      <c r="L1" s="675" t="s">
        <v>122</v>
      </c>
      <c r="M1" s="675" t="s">
        <v>123</v>
      </c>
      <c r="N1" s="675" t="s">
        <v>124</v>
      </c>
    </row>
    <row r="2" spans="1:14">
      <c r="A2" s="682"/>
      <c r="B2" s="680"/>
      <c r="C2" s="680"/>
      <c r="D2" s="683"/>
      <c r="E2" s="683"/>
      <c r="F2" s="684"/>
      <c r="G2" s="685"/>
      <c r="H2" s="676"/>
      <c r="I2" s="678"/>
      <c r="J2" s="676"/>
      <c r="K2" s="675"/>
      <c r="L2" s="675"/>
      <c r="M2" s="675"/>
      <c r="N2" s="67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157</v>
      </c>
      <c r="C19" s="76">
        <f>'B5'!AH19</f>
        <v>0</v>
      </c>
      <c r="D19" s="76">
        <f>GEN!AI17</f>
        <v>665.08016877609418</v>
      </c>
      <c r="E19" s="239">
        <f t="shared" si="0"/>
        <v>822.08016877609418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2583.9999999989232</v>
      </c>
      <c r="J19" s="79">
        <f>ELEC!R18</f>
        <v>233.00000000107684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113</v>
      </c>
      <c r="C20" s="76">
        <f>'B5'!AH20</f>
        <v>0</v>
      </c>
      <c r="D20" s="76">
        <f>GEN!AI18</f>
        <v>632.90717299550352</v>
      </c>
      <c r="E20" s="239">
        <f t="shared" si="0"/>
        <v>745.90717299550352</v>
      </c>
      <c r="F20" s="75">
        <f>WATER!L20</f>
        <v>0</v>
      </c>
      <c r="G20" s="78">
        <f>WATER!BG20</f>
        <v>5.4000000000000057</v>
      </c>
      <c r="H20" s="79">
        <f>ELEC!AF19</f>
        <v>0</v>
      </c>
      <c r="I20" s="79">
        <f>ELEC!Q19</f>
        <v>2458.9999999989232</v>
      </c>
      <c r="J20" s="79">
        <f>ELEC!R19</f>
        <v>353.00000000107684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102</v>
      </c>
      <c r="C21" s="76">
        <f>'B5'!AH21</f>
        <v>24</v>
      </c>
      <c r="D21" s="76">
        <f>GEN!AI19</f>
        <v>687.72995780649899</v>
      </c>
      <c r="E21" s="239">
        <f t="shared" si="0"/>
        <v>813.72995780649899</v>
      </c>
      <c r="F21" s="75">
        <f>WATER!L21</f>
        <v>0</v>
      </c>
      <c r="G21" s="78">
        <f>WATER!BG21</f>
        <v>24.999999999999957</v>
      </c>
      <c r="H21" s="79">
        <f>ELEC!AF20</f>
        <v>0</v>
      </c>
      <c r="I21" s="79">
        <f>ELEC!Q20</f>
        <v>2672.0000000022992</v>
      </c>
      <c r="J21" s="79">
        <f>ELEC!R20</f>
        <v>337.9999999977008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110</v>
      </c>
      <c r="C22" s="76">
        <f>'B5'!AH22</f>
        <v>103</v>
      </c>
      <c r="D22" s="76">
        <f>GEN!AI20</f>
        <v>770.86497890269152</v>
      </c>
      <c r="E22" s="239">
        <f t="shared" si="0"/>
        <v>983.86497890269152</v>
      </c>
      <c r="F22" s="75">
        <f>WATER!L22</f>
        <v>0</v>
      </c>
      <c r="G22" s="78">
        <f>WATER!BG22</f>
        <v>-36.69999999999996</v>
      </c>
      <c r="H22" s="79">
        <f>ELEC!AF21</f>
        <v>0</v>
      </c>
      <c r="I22" s="79">
        <f>ELEC!Q21</f>
        <v>2994.9999999989814</v>
      </c>
      <c r="J22" s="79">
        <f>ELEC!R21</f>
        <v>153.00000000101863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61</v>
      </c>
      <c r="C23" s="76">
        <f>'B5'!AH23</f>
        <v>0</v>
      </c>
      <c r="D23" s="76">
        <f>GEN!AI21</f>
        <v>778.84388185603075</v>
      </c>
      <c r="E23" s="239">
        <f t="shared" si="0"/>
        <v>839.84388185603075</v>
      </c>
      <c r="F23" s="75">
        <f>WATER!L23</f>
        <v>0</v>
      </c>
      <c r="G23" s="78">
        <f>WATER!BG23</f>
        <v>-35.300000000000011</v>
      </c>
      <c r="H23" s="79">
        <f>ELEC!AF22</f>
        <v>0</v>
      </c>
      <c r="I23" s="79">
        <f>ELEC!Q22</f>
        <v>3025.9999999980209</v>
      </c>
      <c r="J23" s="79">
        <f>ELEC!R22</f>
        <v>222.00000000197906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104.30000000000001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136</v>
      </c>
      <c r="C26" s="76">
        <f>'B5'!AH26</f>
        <v>0</v>
      </c>
      <c r="D26" s="76">
        <f>GEN!AI24</f>
        <v>951.0337552751231</v>
      </c>
      <c r="E26" s="239">
        <f t="shared" si="0"/>
        <v>1087.033755275123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3695.0000000033469</v>
      </c>
      <c r="J26" s="79">
        <f>ELEC!R25</f>
        <v>-86.000000003346941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201</v>
      </c>
      <c r="C27" s="76">
        <f>'B5'!AH27</f>
        <v>0</v>
      </c>
      <c r="D27" s="76">
        <f>GEN!AI25</f>
        <v>842.932489450915</v>
      </c>
      <c r="E27" s="239">
        <f t="shared" si="0"/>
        <v>1043.932489450915</v>
      </c>
      <c r="F27" s="75">
        <f>WATER!L27</f>
        <v>0</v>
      </c>
      <c r="G27" s="78">
        <f>WATER!BG27</f>
        <v>44.899999999999977</v>
      </c>
      <c r="H27" s="79">
        <f>ELEC!AF26</f>
        <v>0</v>
      </c>
      <c r="I27" s="79">
        <f>ELEC!Q26</f>
        <v>3274.9999999978172</v>
      </c>
      <c r="J27" s="79">
        <f>ELEC!R26</f>
        <v>4.0000000021827873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64</v>
      </c>
      <c r="C28" s="76">
        <f>'B5'!AH28</f>
        <v>0</v>
      </c>
      <c r="D28" s="76">
        <f>GEN!AI26</f>
        <v>812.30379746810729</v>
      </c>
      <c r="E28" s="239">
        <f t="shared" si="0"/>
        <v>876.30379746810729</v>
      </c>
      <c r="F28" s="75">
        <f>WATER!L28</f>
        <v>0</v>
      </c>
      <c r="G28" s="78">
        <f>WATER!BG28</f>
        <v>-6.9000000000000057</v>
      </c>
      <c r="H28" s="79">
        <f>ELEC!AF27</f>
        <v>0</v>
      </c>
      <c r="I28" s="79">
        <f>ELEC!Q27</f>
        <v>3155.9999999990396</v>
      </c>
      <c r="J28" s="79">
        <f>ELEC!R27</f>
        <v>-61.999999999039574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98</v>
      </c>
      <c r="C29" s="76">
        <f>'B5'!AH29</f>
        <v>43</v>
      </c>
      <c r="D29" s="76">
        <f>GEN!AI27</f>
        <v>884.11392405097013</v>
      </c>
      <c r="E29" s="77">
        <f t="shared" si="0"/>
        <v>1025.1139240509701</v>
      </c>
      <c r="F29" s="75">
        <f>WATER!L29</f>
        <v>0</v>
      </c>
      <c r="G29" s="78">
        <f>WATER!BG29</f>
        <v>9.7000000000000028</v>
      </c>
      <c r="H29" s="79">
        <f>ELEC!AF28</f>
        <v>0</v>
      </c>
      <c r="I29" s="79">
        <f>ELEC!Q28</f>
        <v>3435.0000000013097</v>
      </c>
      <c r="J29" s="79">
        <f>ELEC!R28</f>
        <v>-74.000000001309672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55</v>
      </c>
      <c r="C30" s="76">
        <f>'B5'!AH30</f>
        <v>0</v>
      </c>
      <c r="D30" s="76">
        <f>GEN!AI28</f>
        <v>845.76371308018383</v>
      </c>
      <c r="E30" s="77">
        <f t="shared" si="0"/>
        <v>900.76371308018383</v>
      </c>
      <c r="F30" s="75">
        <f>WATER!L30</f>
        <v>0</v>
      </c>
      <c r="G30" s="78">
        <f>WATER!BG30</f>
        <v>-80</v>
      </c>
      <c r="H30" s="79">
        <f>ELEC!AF29</f>
        <v>0</v>
      </c>
      <c r="I30" s="79">
        <f>ELEC!Q29</f>
        <v>3286.0000000000582</v>
      </c>
      <c r="J30" s="79">
        <f>ELEC!R29</f>
        <v>249.99999999994179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-3.6000000000000298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T26" sqref="T2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6" t="s">
        <v>51</v>
      </c>
      <c r="B1" s="708" t="s">
        <v>316</v>
      </c>
      <c r="C1" s="709"/>
      <c r="D1" s="711"/>
      <c r="E1" s="708" t="s">
        <v>317</v>
      </c>
      <c r="F1" s="709"/>
      <c r="G1" s="710"/>
      <c r="H1" s="705" t="s">
        <v>321</v>
      </c>
      <c r="I1" s="702" t="s">
        <v>322</v>
      </c>
      <c r="J1" s="699" t="s">
        <v>43</v>
      </c>
    </row>
    <row r="2" spans="1:18" ht="38.25" thickBot="1">
      <c r="A2" s="697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6"/>
      <c r="I2" s="703"/>
      <c r="J2" s="700"/>
    </row>
    <row r="3" spans="1:18" ht="24" customHeight="1" thickBot="1">
      <c r="A3" s="698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7"/>
      <c r="I3" s="704"/>
      <c r="J3" s="701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5">
        <f>'[2]Swimming Pool quality check '!$A$35</f>
        <v>44681</v>
      </c>
      <c r="B5" s="616">
        <f>'[2]Swimming Pool quality check '!B35</f>
        <v>0</v>
      </c>
      <c r="C5" s="616">
        <f>'[2]Swimming Pool quality check '!C35</f>
        <v>0</v>
      </c>
      <c r="D5" s="616">
        <f>'[2]Swimming Pool quality check '!D35</f>
        <v>0</v>
      </c>
      <c r="E5" s="616">
        <f>'[2]Swimming Pool quality check '!E35</f>
        <v>0</v>
      </c>
      <c r="F5" s="616">
        <f>'[2]Swimming Pool quality check '!F35</f>
        <v>0</v>
      </c>
      <c r="G5" s="616">
        <f>'[2]Swimming Pool quality check '!G35</f>
        <v>0</v>
      </c>
      <c r="H5" s="616">
        <f>'[2]Swimming Pool quality check '!H35</f>
        <v>7073</v>
      </c>
      <c r="I5" s="617">
        <f>'[7]Swimming Pool quality check '!I36</f>
        <v>0</v>
      </c>
      <c r="J5" s="595">
        <f>'[8]Swimming Pool quality check '!J36</f>
        <v>0.33333333333333398</v>
      </c>
      <c r="K5" s="582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08">
        <f>ELEC!C4</f>
        <v>44682</v>
      </c>
      <c r="B6" s="606"/>
      <c r="C6" s="461"/>
      <c r="D6" s="607"/>
      <c r="E6" s="607"/>
      <c r="F6" s="607"/>
      <c r="G6" s="602"/>
      <c r="H6" s="606">
        <f>H5</f>
        <v>7073</v>
      </c>
      <c r="I6" s="614">
        <f>H6-H5</f>
        <v>0</v>
      </c>
      <c r="J6" s="594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09">
        <f>ELEC!C5</f>
        <v>44683</v>
      </c>
      <c r="B7" s="246"/>
      <c r="C7" s="600"/>
      <c r="D7" s="170"/>
      <c r="E7" s="170"/>
      <c r="F7" s="170"/>
      <c r="G7" s="603"/>
      <c r="H7" s="606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09">
        <f>ELEC!C6</f>
        <v>44684</v>
      </c>
      <c r="B8" s="605"/>
      <c r="C8" s="461"/>
      <c r="D8" s="461"/>
      <c r="E8" s="461"/>
      <c r="F8" s="461"/>
      <c r="G8" s="611"/>
      <c r="H8" s="606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09">
        <f>ELEC!C7</f>
        <v>44685</v>
      </c>
      <c r="B9" s="592">
        <v>0.4</v>
      </c>
      <c r="C9" s="600">
        <v>8</v>
      </c>
      <c r="D9" s="600"/>
      <c r="E9" s="600"/>
      <c r="F9" s="600"/>
      <c r="G9" s="601"/>
      <c r="H9" s="606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09">
        <f>ELEC!C8</f>
        <v>44686</v>
      </c>
      <c r="B10" s="592"/>
      <c r="C10" s="600"/>
      <c r="D10" s="600"/>
      <c r="E10" s="600"/>
      <c r="F10" s="600"/>
      <c r="G10" s="601"/>
      <c r="H10" s="606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09">
        <f>ELEC!C9</f>
        <v>44687</v>
      </c>
      <c r="B11" s="592"/>
      <c r="C11" s="600"/>
      <c r="D11" s="600"/>
      <c r="E11" s="600"/>
      <c r="F11" s="600"/>
      <c r="G11" s="601"/>
      <c r="H11" s="606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09">
        <f>ELEC!C10</f>
        <v>44688</v>
      </c>
      <c r="B12" s="592"/>
      <c r="C12" s="600"/>
      <c r="D12" s="600"/>
      <c r="E12" s="600"/>
      <c r="F12" s="600"/>
      <c r="G12" s="601"/>
      <c r="H12" s="606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09">
        <f>ELEC!C11</f>
        <v>44689</v>
      </c>
      <c r="B13" s="592"/>
      <c r="C13" s="600"/>
      <c r="D13" s="600"/>
      <c r="E13" s="600"/>
      <c r="F13" s="600"/>
      <c r="G13" s="601"/>
      <c r="H13" s="606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09">
        <f>ELEC!C12</f>
        <v>44690</v>
      </c>
      <c r="B14" s="592">
        <v>1.5</v>
      </c>
      <c r="C14" s="600">
        <v>10</v>
      </c>
      <c r="D14" s="600"/>
      <c r="E14" s="600"/>
      <c r="F14" s="600"/>
      <c r="G14" s="601"/>
      <c r="H14" s="606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09">
        <f>ELEC!C13</f>
        <v>44691</v>
      </c>
      <c r="B15" s="592">
        <v>1.2</v>
      </c>
      <c r="C15" s="600">
        <v>8</v>
      </c>
      <c r="D15" s="600"/>
      <c r="E15" s="600"/>
      <c r="F15" s="600"/>
      <c r="G15" s="601"/>
      <c r="H15" s="606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09">
        <f>ELEC!C14</f>
        <v>44692</v>
      </c>
      <c r="B16" s="592">
        <v>2.5</v>
      </c>
      <c r="C16" s="600">
        <v>8</v>
      </c>
      <c r="D16" s="600"/>
      <c r="E16" s="600"/>
      <c r="F16" s="600"/>
      <c r="G16" s="601"/>
      <c r="H16" s="606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09">
        <f>ELEC!C15</f>
        <v>44693</v>
      </c>
      <c r="B17" s="592"/>
      <c r="C17" s="600"/>
      <c r="D17" s="600"/>
      <c r="E17" s="600"/>
      <c r="F17" s="600"/>
      <c r="G17" s="601"/>
      <c r="H17" s="606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09">
        <f>ELEC!C16</f>
        <v>44694</v>
      </c>
      <c r="B18" s="592"/>
      <c r="C18" s="600"/>
      <c r="D18" s="600"/>
      <c r="E18" s="600"/>
      <c r="F18" s="600"/>
      <c r="G18" s="601"/>
      <c r="H18" s="606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09">
        <f>ELEC!C17</f>
        <v>44695</v>
      </c>
      <c r="B19" s="592"/>
      <c r="C19" s="600"/>
      <c r="D19" s="600"/>
      <c r="E19" s="600"/>
      <c r="F19" s="600"/>
      <c r="G19" s="601"/>
      <c r="H19" s="606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09">
        <f>ELEC!C18</f>
        <v>44696</v>
      </c>
      <c r="B20" s="592">
        <v>2.1</v>
      </c>
      <c r="C20" s="600">
        <v>7</v>
      </c>
      <c r="D20" s="600"/>
      <c r="E20" s="600"/>
      <c r="F20" s="600"/>
      <c r="G20" s="601"/>
      <c r="H20" s="606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09">
        <f>ELEC!C19</f>
        <v>44697</v>
      </c>
      <c r="B21" s="687" t="s">
        <v>417</v>
      </c>
      <c r="C21" s="688"/>
      <c r="D21" s="688"/>
      <c r="E21" s="688"/>
      <c r="F21" s="688"/>
      <c r="G21" s="689"/>
      <c r="H21" s="606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09">
        <f>ELEC!C20</f>
        <v>44698</v>
      </c>
      <c r="B22" s="690"/>
      <c r="C22" s="691"/>
      <c r="D22" s="691"/>
      <c r="E22" s="691"/>
      <c r="F22" s="691"/>
      <c r="G22" s="692"/>
      <c r="H22" s="606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09">
        <f>ELEC!C21</f>
        <v>44699</v>
      </c>
      <c r="B23" s="690"/>
      <c r="C23" s="691"/>
      <c r="D23" s="691"/>
      <c r="E23" s="691"/>
      <c r="F23" s="691"/>
      <c r="G23" s="692"/>
      <c r="H23" s="606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09">
        <f>ELEC!C22</f>
        <v>44700</v>
      </c>
      <c r="B24" s="690"/>
      <c r="C24" s="691"/>
      <c r="D24" s="691"/>
      <c r="E24" s="691"/>
      <c r="F24" s="691"/>
      <c r="G24" s="692"/>
      <c r="H24" s="606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09">
        <f>ELEC!C23</f>
        <v>44701</v>
      </c>
      <c r="B25" s="690"/>
      <c r="C25" s="691"/>
      <c r="D25" s="691"/>
      <c r="E25" s="691"/>
      <c r="F25" s="691"/>
      <c r="G25" s="692"/>
      <c r="H25" s="606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09">
        <f>ELEC!C24</f>
        <v>44702</v>
      </c>
      <c r="B26" s="690"/>
      <c r="C26" s="691"/>
      <c r="D26" s="691"/>
      <c r="E26" s="691"/>
      <c r="F26" s="691"/>
      <c r="G26" s="692"/>
      <c r="H26" s="606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09">
        <f>ELEC!C25</f>
        <v>44703</v>
      </c>
      <c r="B27" s="690"/>
      <c r="C27" s="691"/>
      <c r="D27" s="691"/>
      <c r="E27" s="691"/>
      <c r="F27" s="691"/>
      <c r="G27" s="692"/>
      <c r="H27" s="606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09">
        <f>ELEC!C26</f>
        <v>44704</v>
      </c>
      <c r="B28" s="690"/>
      <c r="C28" s="691"/>
      <c r="D28" s="691"/>
      <c r="E28" s="691"/>
      <c r="F28" s="691"/>
      <c r="G28" s="692"/>
      <c r="H28" s="606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09">
        <f>ELEC!C27</f>
        <v>44705</v>
      </c>
      <c r="B29" s="690"/>
      <c r="C29" s="691"/>
      <c r="D29" s="691"/>
      <c r="E29" s="691"/>
      <c r="F29" s="691"/>
      <c r="G29" s="692"/>
      <c r="H29" s="606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09">
        <f>ELEC!C28</f>
        <v>44706</v>
      </c>
      <c r="B30" s="690"/>
      <c r="C30" s="691"/>
      <c r="D30" s="691"/>
      <c r="E30" s="691"/>
      <c r="F30" s="691"/>
      <c r="G30" s="692"/>
      <c r="H30" s="606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09">
        <f>ELEC!C29</f>
        <v>44707</v>
      </c>
      <c r="B31" s="690"/>
      <c r="C31" s="691"/>
      <c r="D31" s="691"/>
      <c r="E31" s="691"/>
      <c r="F31" s="691"/>
      <c r="G31" s="692"/>
      <c r="H31" s="606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09">
        <f>ELEC!C30</f>
        <v>44708</v>
      </c>
      <c r="B32" s="690"/>
      <c r="C32" s="691"/>
      <c r="D32" s="691"/>
      <c r="E32" s="691"/>
      <c r="F32" s="691"/>
      <c r="G32" s="692"/>
      <c r="H32" s="606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09">
        <f>ELEC!C31</f>
        <v>44709</v>
      </c>
      <c r="B33" s="690"/>
      <c r="C33" s="691"/>
      <c r="D33" s="691"/>
      <c r="E33" s="691"/>
      <c r="F33" s="691"/>
      <c r="G33" s="692"/>
      <c r="H33" s="606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09">
        <f>ELEC!C32</f>
        <v>44710</v>
      </c>
      <c r="B34" s="690"/>
      <c r="C34" s="691"/>
      <c r="D34" s="691"/>
      <c r="E34" s="691"/>
      <c r="F34" s="691"/>
      <c r="G34" s="692"/>
      <c r="H34" s="606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09">
        <f>ELEC!C33</f>
        <v>44711</v>
      </c>
      <c r="B35" s="690"/>
      <c r="C35" s="691"/>
      <c r="D35" s="691"/>
      <c r="E35" s="691"/>
      <c r="F35" s="691"/>
      <c r="G35" s="692"/>
      <c r="H35" s="606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0">
        <f>ELEC!C34</f>
        <v>44712</v>
      </c>
      <c r="B36" s="693"/>
      <c r="C36" s="694"/>
      <c r="D36" s="694"/>
      <c r="E36" s="694"/>
      <c r="F36" s="694"/>
      <c r="G36" s="695"/>
      <c r="H36" s="606">
        <f t="shared" si="1"/>
        <v>7089</v>
      </c>
      <c r="I36" s="612">
        <f t="shared" si="5"/>
        <v>0</v>
      </c>
      <c r="J36" s="613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7">
    <mergeCell ref="B21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23" t="s">
        <v>161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</row>
    <row r="2" spans="1:28" ht="19.5">
      <c r="A2" s="724"/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</row>
    <row r="3" spans="1:28" ht="19.5">
      <c r="A3" s="724" t="s">
        <v>162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4" t="s">
        <v>404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</row>
    <row r="6" spans="1:28" ht="15.75" thickBot="1">
      <c r="A6" s="725"/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25"/>
      <c r="P6" s="725"/>
      <c r="Q6" s="725"/>
      <c r="R6" s="725"/>
      <c r="S6" s="725"/>
      <c r="T6" s="725"/>
      <c r="U6" s="725"/>
      <c r="V6" s="725"/>
      <c r="W6" s="725"/>
      <c r="X6" s="725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18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22</v>
      </c>
      <c r="S24" s="261">
        <f>'General information '!C19</f>
        <v>18</v>
      </c>
      <c r="T24" s="261">
        <f t="shared" si="1"/>
        <v>1.6999999999999993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18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22</v>
      </c>
      <c r="S25" s="261">
        <f>'General information '!C20</f>
        <v>18</v>
      </c>
      <c r="T25" s="261">
        <f t="shared" si="1"/>
        <v>1.6999999999999993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18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23</v>
      </c>
      <c r="S26" s="261">
        <f>'General information '!C21</f>
        <v>18</v>
      </c>
      <c r="T26" s="261">
        <f t="shared" si="1"/>
        <v>2.1999999999999993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17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23</v>
      </c>
      <c r="S27" s="261">
        <f>'General information '!C22</f>
        <v>17</v>
      </c>
      <c r="T27" s="261">
        <f t="shared" si="1"/>
        <v>1.6999999999999993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19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24</v>
      </c>
      <c r="S28" s="261">
        <f>'General information '!C23</f>
        <v>19</v>
      </c>
      <c r="T28" s="261">
        <f t="shared" si="1"/>
        <v>3.1999999999999993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21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24</v>
      </c>
      <c r="S31" s="261">
        <f>'General information '!C26</f>
        <v>21</v>
      </c>
      <c r="T31" s="261">
        <f t="shared" si="1"/>
        <v>4.1999999999999993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20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24</v>
      </c>
      <c r="S32" s="261">
        <f>'General information '!C27</f>
        <v>20</v>
      </c>
      <c r="T32" s="261">
        <f t="shared" si="1"/>
        <v>3.6999999999999993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20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24</v>
      </c>
      <c r="S33" s="261">
        <f>'General information '!C28</f>
        <v>20</v>
      </c>
      <c r="T33" s="261">
        <f t="shared" si="1"/>
        <v>3.6999999999999993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20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24</v>
      </c>
      <c r="S34" s="261">
        <f>'General information '!C29</f>
        <v>20</v>
      </c>
      <c r="T34" s="261">
        <f t="shared" si="1"/>
        <v>3.6999999999999993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19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28</v>
      </c>
      <c r="S35" s="261">
        <f>'General information '!C30</f>
        <v>19</v>
      </c>
      <c r="T35" s="261">
        <f t="shared" si="1"/>
        <v>5.1999999999999993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22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27</v>
      </c>
      <c r="S39" s="261">
        <f>'General information '!C34</f>
        <v>22</v>
      </c>
      <c r="T39" s="261">
        <f t="shared" si="1"/>
        <v>6.1999999999999993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22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26</v>
      </c>
      <c r="S40" s="261">
        <f>'General information '!C35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8" t="s">
        <v>174</v>
      </c>
      <c r="O84" s="718" t="s">
        <v>175</v>
      </c>
      <c r="P84" s="134"/>
      <c r="T84" s="134"/>
      <c r="X84" s="134"/>
    </row>
    <row r="85" spans="1:24" ht="20.25" thickBot="1">
      <c r="D85" s="134"/>
      <c r="I85" s="720" t="s">
        <v>182</v>
      </c>
      <c r="J85" s="721"/>
      <c r="K85" s="721"/>
      <c r="L85" s="721"/>
      <c r="N85" s="719"/>
      <c r="O85" s="719"/>
      <c r="P85" s="134"/>
      <c r="R85" s="17"/>
      <c r="S85" s="17"/>
      <c r="T85" s="140"/>
      <c r="U85" s="141"/>
      <c r="X85" s="134"/>
    </row>
    <row r="86" spans="1:24" ht="18.75" thickBot="1">
      <c r="D86" s="134"/>
      <c r="I86" s="722" t="s">
        <v>183</v>
      </c>
      <c r="J86" s="722"/>
      <c r="K86" s="722"/>
      <c r="L86" s="722"/>
      <c r="N86" s="142">
        <f>B43+F43+J43+N43+R43+V43+B81+F81+J81+N81+R81+V81</f>
        <v>-4510.9000000000005</v>
      </c>
      <c r="O86" s="142">
        <f>C43+G43+K43+O43+S43+W43+C81+G81+K81+O81+S81+W81</f>
        <v>98.299999999999983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6" t="s">
        <v>214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31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763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25154</v>
      </c>
      <c r="C8" s="466">
        <f>SUM(tanks!AU37)</f>
        <v>0.84600000000000009</v>
      </c>
      <c r="D8" s="191">
        <f>SUM(B8*C8)*D4</f>
        <v>32080028.130000006</v>
      </c>
      <c r="E8" s="192">
        <f>SUM(D8/D4/F4)</f>
        <v>686.46077419354845</v>
      </c>
      <c r="F8" s="192">
        <f>SUM(E8*F4)</f>
        <v>21280.284000000003</v>
      </c>
      <c r="G8" s="570">
        <f>E8*$G$4</f>
        <v>21280.284000000003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2464</v>
      </c>
      <c r="C10" s="181"/>
      <c r="D10" s="183">
        <f>'EDl log'!AB30</f>
        <v>7500925</v>
      </c>
      <c r="E10" s="182">
        <f>SUM(D10/D4/F4)</f>
        <v>160.5076766704114</v>
      </c>
      <c r="F10" s="182">
        <f>SUM(E10*F4)</f>
        <v>4975.7379767827533</v>
      </c>
      <c r="G10" s="478">
        <f>E10*$G$4</f>
        <v>4975.7379767827533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1111.4845798962178</v>
      </c>
      <c r="F12" s="180">
        <f>SUM(F6:F10)</f>
        <v>34456.021976782758</v>
      </c>
      <c r="G12" s="179">
        <f>SUM(G6:G10)</f>
        <v>34456.021976782758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-45672.878023217236</v>
      </c>
      <c r="I14" s="406">
        <f>SUM(G12-I12)</f>
        <v>-16787.897743647351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40.299999999999997</v>
      </c>
      <c r="C16" s="415">
        <f>'[14]Utility Cost '!$D$16</f>
        <v>20.951612903225808</v>
      </c>
      <c r="D16" s="415"/>
      <c r="E16" s="575">
        <f>B16-C16</f>
        <v>19.348387096774189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598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227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54.26114669513413</v>
      </c>
      <c r="F18" s="495">
        <f>B18-D18</f>
        <v>24.333333333333343</v>
      </c>
    </row>
    <row r="19" spans="1:10">
      <c r="A19" s="489" t="s">
        <v>412</v>
      </c>
      <c r="B19" s="493">
        <f>GEN!AL34</f>
        <v>21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10.80952380952381</v>
      </c>
      <c r="C20" s="599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2022-06-01T06:25:07Z</dcterms:modified>
</cp:coreProperties>
</file>