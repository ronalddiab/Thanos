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1" i="4" l="1"/>
  <c r="J332" i="4"/>
  <c r="J333" i="4"/>
  <c r="J334" i="4"/>
  <c r="J335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F347" i="1" s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<sst xmlns="http://schemas.openxmlformats.org/spreadsheetml/2006/main" count="608" uniqueCount="78">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</sst>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12" workbookViewId="0">
      <selection activeCell="Q331" sqref="Q33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0.97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0.97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0.97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0.97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0.97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0.97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0.97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0.97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0.97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0.97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0.97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0.97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0.97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0.97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0.97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13.9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0.97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13.9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0.97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13.9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0.97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13.9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0.97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13.9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0.97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13.9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0.97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13.9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0.97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13.9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0.97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13.9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0.97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13.9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0.97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13.9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0.97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13.9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>
        <v>0.97</v>
      </c>
      <c r="G332" s="4" t="str">
        <f>'Gas Water'!M334</f>
        <v/>
      </c>
      <c r="H332" s="153">
        <v>3.85</v>
      </c>
      <c r="I332" s="2" t="str">
        <f>'Gas Water'!L334</f>
        <v/>
      </c>
      <c r="J332" s="153">
        <v>13.9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>
        <v>0.97</v>
      </c>
      <c r="G333" s="4" t="str">
        <f>'Gas Water'!M335</f>
        <v/>
      </c>
      <c r="H333" s="153">
        <v>3.85</v>
      </c>
      <c r="I333" s="2" t="str">
        <f>'Gas Water'!L335</f>
        <v/>
      </c>
      <c r="J333" s="153">
        <v>13.9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>
        <v>0.97</v>
      </c>
      <c r="G334" s="4" t="str">
        <f>'Gas Water'!M336</f>
        <v/>
      </c>
      <c r="H334" s="153">
        <v>3.85</v>
      </c>
      <c r="I334" s="2" t="str">
        <f>'Gas Water'!L336</f>
        <v/>
      </c>
      <c r="J334" s="153">
        <v>13.9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>
        <v>0.97</v>
      </c>
      <c r="G335" s="4" t="str">
        <f>'Gas Water'!M337</f>
        <v/>
      </c>
      <c r="H335" s="153">
        <v>3.85</v>
      </c>
      <c r="I335" s="2" t="str">
        <f>'Gas Water'!L337</f>
        <v/>
      </c>
      <c r="J335" s="153">
        <v>13.9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98" workbookViewId="0">
      <selection activeCell="X319" sqref="X31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4758</v>
      </c>
      <c r="O331" s="32">
        <f>SUM(M309:M338)</f>
        <v>47791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>
        <f>AVERAGE(L309:L338)</f>
        <v>190.32</v>
      </c>
      <c r="O334" s="32">
        <f>AVERAGE(M309:M338)</f>
        <v>1911.64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585556</v>
      </c>
      <c r="J371" s="40">
        <f t="shared" si="30"/>
        <v>61019</v>
      </c>
      <c r="K371" s="40">
        <f t="shared" si="30"/>
        <v>56351</v>
      </c>
      <c r="L371" s="40">
        <f t="shared" si="30"/>
        <v>62204</v>
      </c>
      <c r="M371" s="40">
        <f t="shared" si="30"/>
        <v>702926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01" workbookViewId="0">
      <selection activeCell="T311" sqref="T311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36" si="42">IF(D316="","",+(E316-E315)*4140)</f>
        <v>22960.440000000202</v>
      </c>
      <c r="J316" s="59">
        <f t="shared" ref="J316:J335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2.5763159724636667E-2</v>
      </c>
      <c r="Q328" s="70">
        <f>IF(L308="",0,+SUM(L308:L337)/SUM(I308:I337))</f>
        <v>2.5763159724636667E-2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2"/>
        <v/>
      </c>
      <c r="J333" s="59" t="str">
        <f t="shared" si="43"/>
        <v/>
      </c>
      <c r="K333" s="60" t="str">
        <f t="shared" ref="K333:K337" si="49">IF(J333="","",+(J333/I333))</f>
        <v/>
      </c>
      <c r="L333" s="59" t="str">
        <f t="shared" si="46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2"/>
        <v/>
      </c>
      <c r="J334" s="59" t="str">
        <f t="shared" si="43"/>
        <v/>
      </c>
      <c r="K334" s="60" t="str">
        <f t="shared" si="49"/>
        <v/>
      </c>
      <c r="L334" s="59" t="str">
        <f t="shared" si="46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2"/>
        <v/>
      </c>
      <c r="J335" s="59" t="str">
        <f t="shared" si="43"/>
        <v/>
      </c>
      <c r="K335" s="60" t="str">
        <f t="shared" si="49"/>
        <v/>
      </c>
      <c r="L335" s="59" t="str">
        <f t="shared" si="46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2"/>
        <v/>
      </c>
      <c r="J336" s="59" t="str">
        <f t="shared" ref="I336:J368" si="51">IF(E336="","",+(E336-E335)*4140)</f>
        <v/>
      </c>
      <c r="K336" s="60" t="str">
        <f t="shared" si="49"/>
        <v/>
      </c>
      <c r="L336" s="59" t="str">
        <f t="shared" si="46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51"/>
        <v/>
      </c>
      <c r="J337" s="90" t="str">
        <f t="shared" si="51"/>
        <v/>
      </c>
      <c r="K337" s="60" t="str">
        <f t="shared" si="49"/>
        <v/>
      </c>
      <c r="L337" s="90" t="str">
        <f t="shared" si="46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51"/>
        <v/>
      </c>
      <c r="J338" s="59" t="str">
        <f t="shared" si="51"/>
        <v/>
      </c>
      <c r="K338" s="60" t="str">
        <f t="shared" ref="K338:K368" si="52">IF(J338="","",+(J338/I338))</f>
        <v/>
      </c>
      <c r="L338" s="59" t="str">
        <f t="shared" si="46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51"/>
        <v/>
      </c>
      <c r="J339" s="59" t="str">
        <f t="shared" si="51"/>
        <v/>
      </c>
      <c r="K339" s="60" t="str">
        <f t="shared" si="52"/>
        <v/>
      </c>
      <c r="L339" s="59" t="str">
        <f t="shared" si="46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51"/>
        <v/>
      </c>
      <c r="J340" s="59" t="str">
        <f t="shared" si="51"/>
        <v/>
      </c>
      <c r="K340" s="60" t="str">
        <f t="shared" si="52"/>
        <v/>
      </c>
      <c r="L340" s="59" t="str">
        <f t="shared" si="46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51"/>
        <v/>
      </c>
      <c r="J341" s="59" t="str">
        <f t="shared" si="51"/>
        <v/>
      </c>
      <c r="K341" s="60" t="str">
        <f t="shared" si="52"/>
        <v/>
      </c>
      <c r="L341" s="59" t="str">
        <f t="shared" si="46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51"/>
        <v/>
      </c>
      <c r="J342" s="59" t="str">
        <f t="shared" si="51"/>
        <v/>
      </c>
      <c r="K342" s="60" t="str">
        <f t="shared" si="52"/>
        <v/>
      </c>
      <c r="L342" s="59" t="str">
        <f t="shared" si="46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51"/>
        <v/>
      </c>
      <c r="J343" s="59" t="str">
        <f t="shared" si="51"/>
        <v/>
      </c>
      <c r="K343" s="60" t="str">
        <f t="shared" si="52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51"/>
        <v/>
      </c>
      <c r="J344" s="59" t="str">
        <f t="shared" si="51"/>
        <v/>
      </c>
      <c r="K344" s="60" t="str">
        <f t="shared" si="52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51"/>
        <v/>
      </c>
      <c r="J345" s="59" t="str">
        <f t="shared" si="51"/>
        <v/>
      </c>
      <c r="K345" s="60" t="str">
        <f t="shared" si="52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51"/>
        <v/>
      </c>
      <c r="J346" s="59" t="str">
        <f t="shared" si="51"/>
        <v/>
      </c>
      <c r="K346" s="60" t="str">
        <f t="shared" si="52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51"/>
        <v/>
      </c>
      <c r="J347" s="59" t="str">
        <f t="shared" si="51"/>
        <v/>
      </c>
      <c r="K347" s="60" t="str">
        <f t="shared" si="52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51"/>
        <v/>
      </c>
      <c r="J348" s="59" t="str">
        <f t="shared" si="51"/>
        <v/>
      </c>
      <c r="K348" s="60" t="str">
        <f t="shared" si="52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51"/>
        <v/>
      </c>
      <c r="J349" s="59" t="str">
        <f t="shared" si="51"/>
        <v/>
      </c>
      <c r="K349" s="60" t="str">
        <f t="shared" si="52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51"/>
        <v/>
      </c>
      <c r="J350" s="59" t="str">
        <f t="shared" si="51"/>
        <v/>
      </c>
      <c r="K350" s="60" t="str">
        <f t="shared" si="52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51"/>
        <v/>
      </c>
      <c r="J351" s="59" t="str">
        <f t="shared" si="51"/>
        <v/>
      </c>
      <c r="K351" s="60" t="str">
        <f t="shared" si="52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51"/>
        <v/>
      </c>
      <c r="J352" s="59" t="str">
        <f t="shared" si="51"/>
        <v/>
      </c>
      <c r="K352" s="60" t="str">
        <f t="shared" si="52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51"/>
        <v/>
      </c>
      <c r="J353" s="59" t="str">
        <f t="shared" si="51"/>
        <v/>
      </c>
      <c r="K353" s="60" t="str">
        <f t="shared" si="52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51"/>
        <v/>
      </c>
      <c r="J354" s="59" t="str">
        <f t="shared" si="51"/>
        <v/>
      </c>
      <c r="K354" s="60" t="str">
        <f t="shared" si="52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51"/>
        <v/>
      </c>
      <c r="J355" s="59" t="str">
        <f>IF(E355="","",+(E355-E354)*4140)</f>
        <v/>
      </c>
      <c r="K355" s="60" t="str">
        <f t="shared" si="52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51"/>
        <v/>
      </c>
      <c r="J356" s="59" t="str">
        <f>IF(E356="","",+(E356-E355)*4140)</f>
        <v/>
      </c>
      <c r="K356" s="60" t="str">
        <f t="shared" si="52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51"/>
        <v/>
      </c>
      <c r="J357" s="59" t="str">
        <f>IF(E357="","",+(E357-E356)*4140)</f>
        <v/>
      </c>
      <c r="K357" s="60" t="str">
        <f t="shared" si="52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51"/>
        <v/>
      </c>
      <c r="J358" s="59" t="str">
        <f>IF(E358="","",+(E358-E357)*4140)</f>
        <v/>
      </c>
      <c r="K358" s="60" t="str">
        <f t="shared" si="52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51"/>
        <v/>
      </c>
      <c r="J359" s="59" t="str">
        <f t="shared" si="51"/>
        <v/>
      </c>
      <c r="K359" s="60" t="str">
        <f t="shared" si="52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51"/>
        <v/>
      </c>
      <c r="J360" s="59" t="str">
        <f t="shared" si="51"/>
        <v/>
      </c>
      <c r="K360" s="60" t="str">
        <f t="shared" si="52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51"/>
        <v/>
      </c>
      <c r="J361" s="59" t="str">
        <f t="shared" si="51"/>
        <v/>
      </c>
      <c r="K361" s="60" t="str">
        <f t="shared" si="52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51"/>
        <v/>
      </c>
      <c r="J362" s="59" t="str">
        <f t="shared" si="51"/>
        <v/>
      </c>
      <c r="K362" s="60" t="str">
        <f t="shared" si="52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51"/>
        <v/>
      </c>
      <c r="J363" s="59" t="str">
        <f t="shared" si="51"/>
        <v/>
      </c>
      <c r="K363" s="60" t="str">
        <f t="shared" si="52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51"/>
        <v/>
      </c>
      <c r="J364" s="59" t="str">
        <f t="shared" si="51"/>
        <v/>
      </c>
      <c r="K364" s="60" t="str">
        <f t="shared" si="52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51"/>
        <v/>
      </c>
      <c r="J365" s="59" t="str">
        <f t="shared" si="51"/>
        <v/>
      </c>
      <c r="K365" s="60" t="str">
        <f t="shared" si="52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1"/>
        <v/>
      </c>
      <c r="K366" s="60" t="str">
        <f t="shared" si="52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1"/>
        <v/>
      </c>
      <c r="J367" s="59" t="str">
        <f t="shared" si="51"/>
        <v/>
      </c>
      <c r="K367" s="60" t="str">
        <f t="shared" si="52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1"/>
        <v/>
      </c>
      <c r="J368" s="90" t="str">
        <f t="shared" si="51"/>
        <v/>
      </c>
      <c r="K368" s="91" t="str">
        <f t="shared" si="52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8538712.2599999998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2021-11-27T07:53:32Z</dcterms:modified>
  <cp:category/>
  <cp:contentStatus/>
</cp:coreProperties>
</file>