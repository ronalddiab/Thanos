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E15" i="117"/>
  <c r="D26" i="119"/>
  <c r="E23" i="117"/>
  <c r="D33" i="119"/>
  <c r="E30" i="117"/>
  <c r="D34" i="119"/>
  <c r="E31" i="117"/>
  <c r="F34" i="119"/>
  <c r="G31" i="117"/>
  <c r="H33" i="119"/>
  <c r="I30" i="117"/>
  <c r="F33" i="119"/>
  <c r="G30" i="117"/>
  <c r="H32" i="119"/>
  <c r="I29" i="117"/>
  <c r="F32" i="119"/>
  <c r="G29" i="117"/>
  <c r="D32" i="119"/>
  <c r="E29" i="117"/>
  <c r="H31" i="119"/>
  <c r="I28" i="117"/>
  <c r="F31" i="119"/>
  <c r="G28" i="117"/>
  <c r="D31" i="119"/>
  <c r="E28" i="117"/>
  <c r="H30" i="119"/>
  <c r="I27" i="117"/>
  <c r="F30" i="119"/>
  <c r="G27" i="117"/>
  <c r="D30" i="119"/>
  <c r="E27" i="117"/>
  <c r="H29" i="119"/>
  <c r="I26" i="117"/>
  <c r="F29" i="119"/>
  <c r="G26" i="117"/>
  <c r="D29" i="119"/>
  <c r="E26" i="117"/>
  <c r="H28" i="119"/>
  <c r="I25" i="117"/>
  <c r="F28" i="119"/>
  <c r="G25" i="117"/>
  <c r="D28" i="119"/>
  <c r="E25" i="117"/>
  <c r="H27" i="119"/>
  <c r="I24" i="117"/>
  <c r="F27" i="119"/>
  <c r="G24" i="117"/>
  <c r="D27" i="119"/>
  <c r="E24" i="117"/>
  <c r="H26" i="119"/>
  <c r="I23" i="117"/>
  <c r="F26" i="119"/>
  <c r="G23" i="117"/>
  <c r="H25" i="119"/>
  <c r="I22" i="117"/>
  <c r="F25" i="119"/>
  <c r="G22" i="117"/>
  <c r="D25" i="119"/>
  <c r="E22" i="117"/>
  <c r="H24" i="119"/>
  <c r="I21" i="117"/>
  <c r="D24" i="119"/>
  <c r="E21" i="117"/>
  <c r="H23" i="119"/>
  <c r="I20" i="117"/>
  <c r="F23" i="119"/>
  <c r="G20" i="117"/>
  <c r="D23" i="119"/>
  <c r="E20" i="117"/>
  <c r="H22" i="119"/>
  <c r="I19" i="117"/>
  <c r="D22" i="119"/>
  <c r="E19" i="117"/>
  <c r="H21" i="119"/>
  <c r="I18" i="117"/>
  <c r="F21" i="119"/>
  <c r="G18" i="117"/>
  <c r="D21" i="119"/>
  <c r="E18" i="117"/>
  <c r="H20" i="119"/>
  <c r="I17" i="117"/>
  <c r="F20" i="119"/>
  <c r="G17" i="117"/>
  <c r="D20" i="119"/>
  <c r="E17" i="117"/>
  <c r="H19" i="119"/>
  <c r="I16" i="117"/>
  <c r="F19" i="119"/>
  <c r="G16" i="117"/>
  <c r="D19" i="119"/>
  <c r="E16" i="117"/>
  <c r="H18" i="119"/>
  <c r="I15" i="117"/>
  <c r="F18" i="119"/>
  <c r="G15" i="117"/>
  <c r="H17" i="119"/>
  <c r="I14" i="117"/>
  <c r="F17" i="119"/>
  <c r="G14" i="117"/>
  <c r="D17" i="119"/>
  <c r="E14" i="117"/>
  <c r="H16" i="119"/>
  <c r="I13" i="117"/>
  <c r="D16" i="119"/>
  <c r="E13" i="117"/>
  <c r="H15" i="119"/>
  <c r="I12" i="117"/>
  <c r="F15" i="119"/>
  <c r="G12" i="117"/>
  <c r="D15" i="119"/>
  <c r="E12" i="117"/>
  <c r="H14" i="119"/>
  <c r="I11" i="117"/>
  <c r="D14" i="119"/>
  <c r="E11" i="117"/>
  <c r="H13" i="119"/>
  <c r="I10" i="117"/>
  <c r="F13" i="119"/>
  <c r="G10" i="117"/>
  <c r="D13" i="119"/>
  <c r="E10" i="117"/>
  <c r="H12" i="119"/>
  <c r="I9" i="117"/>
  <c r="F12" i="119"/>
  <c r="G9" i="117"/>
  <c r="D12" i="119"/>
  <c r="E9" i="117"/>
  <c r="H11" i="119"/>
  <c r="I8" i="117"/>
  <c r="F11" i="119"/>
  <c r="G8" i="117"/>
  <c r="D11" i="119"/>
  <c r="E8" i="117"/>
  <c r="H10" i="119"/>
  <c r="I7" i="117"/>
  <c r="F10" i="119"/>
  <c r="G7" i="117"/>
  <c r="D10" i="119"/>
  <c r="E7" i="117"/>
  <c r="H9" i="119"/>
  <c r="I6" i="117"/>
  <c r="F9" i="119"/>
  <c r="G6" i="117"/>
  <c r="D9" i="119"/>
  <c r="E6" i="117"/>
  <c r="H8" i="119"/>
  <c r="I5" i="117"/>
  <c r="F8" i="119"/>
  <c r="G5" i="117"/>
  <c r="D8" i="119"/>
  <c r="E5" i="117"/>
  <c r="H7" i="119"/>
  <c r="I4" i="117"/>
  <c r="F7" i="119"/>
  <c r="G4" i="117"/>
  <c r="D7" i="119"/>
  <c r="E4" i="117"/>
  <c r="H6" i="119"/>
  <c r="I3" i="117"/>
  <c r="F6" i="119"/>
  <c r="G3" i="117"/>
  <c r="D6" i="119"/>
  <c r="E3" i="117"/>
  <c r="F5" i="119"/>
  <c r="G2" i="117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<sst xmlns="http://schemas.openxmlformats.org/spreadsheetml/2006/main" count="55" uniqueCount="25">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</sst>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P20" sqref="P2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4</v>
      </c>
      <c r="D2" s="7">
        <v>2022</v>
      </c>
      <c r="E2" s="9">
        <f>'Shenzhen Daily'!D5</f>
        <v>12.919999999998254</v>
      </c>
      <c r="F2" s="30">
        <v>0.93</v>
      </c>
      <c r="G2" s="9">
        <f>'Shenzhen Daily'!F5</f>
        <v>730</v>
      </c>
      <c r="H2" s="30">
        <v>4.3899999999999997</v>
      </c>
      <c r="I2" s="9">
        <f>'Shenzhen Daily'!H5</f>
        <v>231</v>
      </c>
      <c r="J2" s="30">
        <v>1.72</v>
      </c>
      <c r="K2" s="9">
        <f>'Shenzhen Daily'!I5</f>
        <v>15.481200000000001</v>
      </c>
      <c r="L2" s="9">
        <f>'Shenzhen Daily'!J5</f>
        <v>79</v>
      </c>
    </row>
    <row r="3" spans="1:12" ht="15" x14ac:dyDescent="0.25">
      <c r="A3" s="6" t="s">
        <v>23</v>
      </c>
      <c r="B3" s="7">
        <f>B2+1</f>
        <v>2</v>
      </c>
      <c r="C3" s="8">
        <v>4</v>
      </c>
      <c r="D3" s="7">
        <v>2022</v>
      </c>
      <c r="E3" s="9">
        <f>'Shenzhen Daily'!D6</f>
        <v>14.150000000001455</v>
      </c>
      <c r="F3" s="30">
        <v>0.93</v>
      </c>
      <c r="G3" s="9">
        <f>'Shenzhen Daily'!F6</f>
        <v>914</v>
      </c>
      <c r="H3" s="30">
        <v>4.3899999999999997</v>
      </c>
      <c r="I3" s="9">
        <f>'Shenzhen Daily'!H6</f>
        <v>239</v>
      </c>
      <c r="J3" s="30">
        <v>1.72</v>
      </c>
      <c r="K3" s="9">
        <f>'Shenzhen Daily'!I6</f>
        <v>30.350599999999996</v>
      </c>
      <c r="L3" s="9">
        <f>'Shenzhen Daily'!J6</f>
        <v>69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4</v>
      </c>
      <c r="D4" s="7">
        <v>2022</v>
      </c>
      <c r="E4" s="9">
        <f>'Shenzhen Daily'!D7</f>
        <v>15.319999999996071</v>
      </c>
      <c r="F4" s="30">
        <v>0.93</v>
      </c>
      <c r="G4" s="9">
        <f>'Shenzhen Daily'!F7</f>
        <v>718</v>
      </c>
      <c r="H4" s="30">
        <v>4.3899999999999997</v>
      </c>
      <c r="I4" s="9">
        <f>'Shenzhen Daily'!H7</f>
        <v>260</v>
      </c>
      <c r="J4" s="30">
        <v>1.72</v>
      </c>
      <c r="K4" s="9">
        <f>'Shenzhen Daily'!I7</f>
        <v>38.436999999999998</v>
      </c>
      <c r="L4" s="9">
        <f>'Shenzhen Daily'!J7</f>
        <v>146</v>
      </c>
    </row>
    <row r="5" spans="1:12" ht="15" x14ac:dyDescent="0.25">
      <c r="A5" s="6" t="s">
        <v>23</v>
      </c>
      <c r="B5" s="7">
        <f t="shared" si="0"/>
        <v>4</v>
      </c>
      <c r="C5" s="8">
        <v>4</v>
      </c>
      <c r="D5" s="7">
        <v>2022</v>
      </c>
      <c r="E5" s="9">
        <f>'Shenzhen Daily'!D8</f>
        <v>16.069999999999709</v>
      </c>
      <c r="F5" s="30">
        <v>0.93</v>
      </c>
      <c r="G5" s="9">
        <f>'Shenzhen Daily'!F8</f>
        <v>860</v>
      </c>
      <c r="H5" s="30">
        <v>4.3899999999999997</v>
      </c>
      <c r="I5" s="9">
        <f>'Shenzhen Daily'!H8</f>
        <v>268</v>
      </c>
      <c r="J5" s="30">
        <v>1.72</v>
      </c>
      <c r="K5" s="9">
        <f>'Shenzhen Daily'!I8</f>
        <v>41.815200000000004</v>
      </c>
      <c r="L5" s="9">
        <f>'Shenzhen Daily'!J8</f>
        <v>184</v>
      </c>
    </row>
    <row r="6" spans="1:12" ht="15" x14ac:dyDescent="0.25">
      <c r="A6" s="6" t="s">
        <v>23</v>
      </c>
      <c r="B6" s="7">
        <f t="shared" si="0"/>
        <v>5</v>
      </c>
      <c r="C6" s="8">
        <v>4</v>
      </c>
      <c r="D6" s="7">
        <v>2022</v>
      </c>
      <c r="E6" s="9">
        <f>'Shenzhen Daily'!D9</f>
        <v>16.409999999999854</v>
      </c>
      <c r="F6" s="30">
        <v>0.93</v>
      </c>
      <c r="G6" s="9">
        <f>'Shenzhen Daily'!F9</f>
        <v>944</v>
      </c>
      <c r="H6" s="30">
        <v>4.3899999999999997</v>
      </c>
      <c r="I6" s="9">
        <f>'Shenzhen Daily'!H9</f>
        <v>252</v>
      </c>
      <c r="J6" s="30">
        <v>1.72</v>
      </c>
      <c r="K6" s="9">
        <f>'Shenzhen Daily'!I9</f>
        <v>47.028800000000004</v>
      </c>
      <c r="L6" s="9">
        <f>'Shenzhen Daily'!J9</f>
        <v>233</v>
      </c>
    </row>
    <row r="7" spans="1:12" ht="15" x14ac:dyDescent="0.25">
      <c r="A7" s="6" t="s">
        <v>23</v>
      </c>
      <c r="B7" s="7">
        <f t="shared" si="0"/>
        <v>6</v>
      </c>
      <c r="C7" s="8">
        <v>4</v>
      </c>
      <c r="D7" s="7">
        <v>2022</v>
      </c>
      <c r="E7" s="9">
        <f>'Shenzhen Daily'!D10</f>
        <v>17.700000000004366</v>
      </c>
      <c r="F7" s="30">
        <v>0.93</v>
      </c>
      <c r="G7" s="9">
        <f>'Shenzhen Daily'!F10</f>
        <v>1086</v>
      </c>
      <c r="H7" s="30">
        <v>4.3899999999999997</v>
      </c>
      <c r="I7" s="9">
        <f>'Shenzhen Daily'!H10</f>
        <v>312</v>
      </c>
      <c r="J7" s="30">
        <v>1.72</v>
      </c>
      <c r="K7" s="9">
        <f>'Shenzhen Daily'!I10</f>
        <v>46.736199999999997</v>
      </c>
      <c r="L7" s="9">
        <f>'Shenzhen Daily'!J10</f>
        <v>128</v>
      </c>
    </row>
    <row r="8" spans="1:12" ht="15" x14ac:dyDescent="0.25">
      <c r="A8" s="6" t="s">
        <v>23</v>
      </c>
      <c r="B8" s="7">
        <f t="shared" si="0"/>
        <v>7</v>
      </c>
      <c r="C8" s="8">
        <v>4</v>
      </c>
      <c r="D8" s="7">
        <v>2022</v>
      </c>
      <c r="E8" s="9">
        <f>'Shenzhen Daily'!D11</f>
        <v>18.909999999999854</v>
      </c>
      <c r="F8" s="30">
        <v>0.93</v>
      </c>
      <c r="G8" s="9">
        <f>'Shenzhen Daily'!F11</f>
        <v>966</v>
      </c>
      <c r="H8" s="30">
        <v>4.3899999999999997</v>
      </c>
      <c r="I8" s="9">
        <f>'Shenzhen Daily'!H11</f>
        <v>260</v>
      </c>
      <c r="J8" s="30">
        <v>1.72</v>
      </c>
      <c r="K8" s="9">
        <f>'Shenzhen Daily'!I11</f>
        <v>49.21</v>
      </c>
      <c r="L8" s="9">
        <f>'Shenzhen Daily'!J11</f>
        <v>239</v>
      </c>
    </row>
    <row r="9" spans="1:12" ht="15" x14ac:dyDescent="0.25">
      <c r="A9" s="6" t="s">
        <v>23</v>
      </c>
      <c r="B9" s="7">
        <f t="shared" si="0"/>
        <v>8</v>
      </c>
      <c r="C9" s="8">
        <v>4</v>
      </c>
      <c r="D9" s="7">
        <v>2022</v>
      </c>
      <c r="E9" s="9">
        <f>'Shenzhen Daily'!D12</f>
        <v>18.769999999993161</v>
      </c>
      <c r="F9" s="30">
        <v>0.93</v>
      </c>
      <c r="G9" s="9">
        <f>'Shenzhen Daily'!F12</f>
        <v>935</v>
      </c>
      <c r="H9" s="30">
        <v>4.3899999999999997</v>
      </c>
      <c r="I9" s="9">
        <f>'Shenzhen Daily'!H12</f>
        <v>308</v>
      </c>
      <c r="J9" s="30">
        <v>1.72</v>
      </c>
      <c r="K9" s="9">
        <f>'Shenzhen Daily'!I12</f>
        <v>54.184199999999997</v>
      </c>
      <c r="L9" s="9">
        <f>'Shenzhen Daily'!J12</f>
        <v>257</v>
      </c>
    </row>
    <row r="10" spans="1:12" ht="15" x14ac:dyDescent="0.25">
      <c r="A10" s="6" t="s">
        <v>23</v>
      </c>
      <c r="B10" s="7">
        <f t="shared" si="0"/>
        <v>9</v>
      </c>
      <c r="C10" s="8">
        <v>4</v>
      </c>
      <c r="D10" s="7">
        <v>2022</v>
      </c>
      <c r="E10" s="9">
        <f>'Shenzhen Daily'!D13</f>
        <v>21.300000000006548</v>
      </c>
      <c r="F10" s="30">
        <v>0.93</v>
      </c>
      <c r="G10" s="9">
        <f>'Shenzhen Daily'!F13</f>
        <v>1262</v>
      </c>
      <c r="H10" s="30">
        <v>4.3899999999999997</v>
      </c>
      <c r="I10" s="9">
        <f>'Shenzhen Daily'!H13</f>
        <v>330</v>
      </c>
      <c r="J10" s="30">
        <v>1.72</v>
      </c>
      <c r="K10" s="9">
        <f>'Shenzhen Daily'!I13</f>
        <v>62.696199999999997</v>
      </c>
      <c r="L10" s="9">
        <f>'Shenzhen Daily'!J13</f>
        <v>224</v>
      </c>
    </row>
    <row r="11" spans="1:12" ht="15" x14ac:dyDescent="0.25">
      <c r="A11" s="6" t="s">
        <v>23</v>
      </c>
      <c r="B11" s="7">
        <f t="shared" si="0"/>
        <v>10</v>
      </c>
      <c r="C11" s="8">
        <v>4</v>
      </c>
      <c r="D11" s="7">
        <v>2022</v>
      </c>
      <c r="E11" s="9">
        <f>'Shenzhen Daily'!D14</f>
        <v>20.149999999997817</v>
      </c>
      <c r="F11" s="30">
        <v>0.93</v>
      </c>
      <c r="G11" s="9">
        <f>'Shenzhen Daily'!F14</f>
        <v>1029</v>
      </c>
      <c r="H11" s="30">
        <v>4.3899999999999997</v>
      </c>
      <c r="I11" s="9">
        <f>'Shenzhen Daily'!H14</f>
        <v>288</v>
      </c>
      <c r="J11" s="30">
        <v>1.72</v>
      </c>
      <c r="K11" s="9">
        <f>'Shenzhen Daily'!I14</f>
        <v>69.665400000000005</v>
      </c>
      <c r="L11" s="9">
        <f>'Shenzhen Daily'!J14</f>
        <v>252</v>
      </c>
    </row>
    <row r="12" spans="1:12" ht="15" x14ac:dyDescent="0.25">
      <c r="A12" s="6" t="s">
        <v>23</v>
      </c>
      <c r="B12" s="7">
        <f t="shared" si="0"/>
        <v>11</v>
      </c>
      <c r="C12" s="8">
        <v>4</v>
      </c>
      <c r="D12" s="7">
        <v>2022</v>
      </c>
      <c r="E12" s="9">
        <f>'Shenzhen Daily'!D15</f>
        <v>21.19999999999709</v>
      </c>
      <c r="F12" s="30">
        <v>0.93</v>
      </c>
      <c r="G12" s="9">
        <f>'Shenzhen Daily'!F15</f>
        <v>1059</v>
      </c>
      <c r="H12" s="30">
        <v>4.3899999999999997</v>
      </c>
      <c r="I12" s="9">
        <f>'Shenzhen Daily'!H15</f>
        <v>365</v>
      </c>
      <c r="J12" s="30">
        <v>1.72</v>
      </c>
      <c r="K12" s="9">
        <f>'Shenzhen Daily'!I15</f>
        <v>73.229799999999997</v>
      </c>
      <c r="L12" s="9">
        <f>'Shenzhen Daily'!J15</f>
        <v>152</v>
      </c>
    </row>
    <row r="13" spans="1:12" ht="15" x14ac:dyDescent="0.25">
      <c r="A13" s="6" t="s">
        <v>23</v>
      </c>
      <c r="B13" s="7">
        <f t="shared" si="0"/>
        <v>12</v>
      </c>
      <c r="C13" s="8">
        <v>4</v>
      </c>
      <c r="D13" s="7">
        <v>2022</v>
      </c>
      <c r="E13" s="9">
        <f>'Shenzhen Daily'!D16</f>
        <v>22.649999999997817</v>
      </c>
      <c r="F13" s="30">
        <v>0.93</v>
      </c>
      <c r="G13" s="9">
        <f>'Shenzhen Daily'!F16</f>
        <v>1171</v>
      </c>
      <c r="H13" s="30">
        <v>4.3899999999999997</v>
      </c>
      <c r="I13" s="9">
        <f>'Shenzhen Daily'!H16</f>
        <v>313</v>
      </c>
      <c r="J13" s="30">
        <v>1.72</v>
      </c>
      <c r="K13" s="9">
        <f>'Shenzhen Daily'!I16</f>
        <v>75.570599999999999</v>
      </c>
      <c r="L13" s="9">
        <f>'Shenzhen Daily'!J16</f>
        <v>210</v>
      </c>
    </row>
    <row r="14" spans="1:12" ht="15" x14ac:dyDescent="0.25">
      <c r="A14" s="6" t="s">
        <v>23</v>
      </c>
      <c r="B14" s="7">
        <f t="shared" si="0"/>
        <v>13</v>
      </c>
      <c r="C14" s="8">
        <v>4</v>
      </c>
      <c r="D14" s="7">
        <v>2022</v>
      </c>
      <c r="E14" s="9">
        <f>'Shenzhen Daily'!D17</f>
        <v>21.130000000001019</v>
      </c>
      <c r="F14" s="30">
        <v>0.93</v>
      </c>
      <c r="G14" s="9">
        <f>'Shenzhen Daily'!F17</f>
        <v>984</v>
      </c>
      <c r="H14" s="30">
        <v>4.3899999999999997</v>
      </c>
      <c r="I14" s="9">
        <f>'Shenzhen Daily'!H17</f>
        <v>363</v>
      </c>
      <c r="J14" s="30">
        <v>1.72</v>
      </c>
      <c r="K14" s="9">
        <f>'Shenzhen Daily'!I17</f>
        <v>78.895599999999988</v>
      </c>
      <c r="L14" s="9">
        <f>'Shenzhen Daily'!J17</f>
        <v>272</v>
      </c>
    </row>
    <row r="15" spans="1:12" ht="15" x14ac:dyDescent="0.25">
      <c r="A15" s="6" t="s">
        <v>23</v>
      </c>
      <c r="B15" s="7">
        <f t="shared" si="0"/>
        <v>14</v>
      </c>
      <c r="C15" s="8">
        <v>4</v>
      </c>
      <c r="D15" s="7">
        <v>2022</v>
      </c>
      <c r="E15" s="9">
        <f>'Shenzhen Daily'!D18</f>
        <v>20.610000000000582</v>
      </c>
      <c r="F15" s="30">
        <v>0.93</v>
      </c>
      <c r="G15" s="9">
        <f>'Shenzhen Daily'!F18</f>
        <v>1067</v>
      </c>
      <c r="H15" s="30">
        <v>4.3899999999999997</v>
      </c>
      <c r="I15" s="9">
        <f>'Shenzhen Daily'!H18</f>
        <v>353</v>
      </c>
      <c r="J15" s="30">
        <v>1.72</v>
      </c>
      <c r="K15" s="9">
        <f>'Shenzhen Daily'!I18</f>
        <v>82.46</v>
      </c>
      <c r="L15" s="9">
        <f>'Shenzhen Daily'!J18</f>
        <v>271</v>
      </c>
    </row>
    <row r="16" spans="1:12" ht="15" x14ac:dyDescent="0.25">
      <c r="A16" s="6" t="s">
        <v>23</v>
      </c>
      <c r="B16" s="7">
        <f t="shared" si="0"/>
        <v>15</v>
      </c>
      <c r="C16" s="8">
        <v>4</v>
      </c>
      <c r="D16" s="7">
        <v>2022</v>
      </c>
      <c r="E16" s="9">
        <f>'Shenzhen Daily'!D19</f>
        <v>22.670000000001892</v>
      </c>
      <c r="F16" s="30">
        <v>0.93</v>
      </c>
      <c r="G16" s="9">
        <f>'Shenzhen Daily'!F19</f>
        <v>1164</v>
      </c>
      <c r="H16" s="30">
        <v>4.3899999999999997</v>
      </c>
      <c r="I16" s="9">
        <f>'Shenzhen Daily'!H19</f>
        <v>339</v>
      </c>
      <c r="J16" s="30">
        <v>1.72</v>
      </c>
      <c r="K16" s="9">
        <f>'Shenzhen Daily'!I19</f>
        <v>86.6096</v>
      </c>
      <c r="L16" s="9">
        <f>'Shenzhen Daily'!J19</f>
        <v>284</v>
      </c>
    </row>
    <row r="17" spans="1:12" ht="15" x14ac:dyDescent="0.25">
      <c r="A17" s="6" t="s">
        <v>23</v>
      </c>
      <c r="B17" s="7">
        <f t="shared" si="0"/>
        <v>16</v>
      </c>
      <c r="C17" s="8">
        <v>4</v>
      </c>
      <c r="D17" s="7">
        <v>2022</v>
      </c>
      <c r="E17" s="9">
        <f>'Shenzhen Daily'!D20</f>
        <v>21.819999999996071</v>
      </c>
      <c r="F17" s="30">
        <v>0.93</v>
      </c>
      <c r="G17" s="9">
        <f>'Shenzhen Daily'!F20</f>
        <v>1097</v>
      </c>
      <c r="H17" s="30">
        <v>4.3899999999999997</v>
      </c>
      <c r="I17" s="9">
        <f>'Shenzhen Daily'!H20</f>
        <v>383</v>
      </c>
      <c r="J17" s="30">
        <v>1.72</v>
      </c>
      <c r="K17" s="9">
        <f>'Shenzhen Daily'!I20</f>
        <v>88.657799999999995</v>
      </c>
      <c r="L17" s="9">
        <f>'Shenzhen Daily'!J20</f>
        <v>279</v>
      </c>
    </row>
    <row r="18" spans="1:12" ht="15" x14ac:dyDescent="0.25">
      <c r="A18" s="6" t="s">
        <v>23</v>
      </c>
      <c r="B18" s="7">
        <f t="shared" si="0"/>
        <v>17</v>
      </c>
      <c r="C18" s="8">
        <v>4</v>
      </c>
      <c r="D18" s="7">
        <v>2022</v>
      </c>
      <c r="E18" s="9">
        <f>'Shenzhen Daily'!D21</f>
        <v>21.260000000002037</v>
      </c>
      <c r="F18" s="30">
        <v>0.93</v>
      </c>
      <c r="G18" s="9">
        <f>'Shenzhen Daily'!F21</f>
        <v>1113</v>
      </c>
      <c r="H18" s="30">
        <v>4.3899999999999997</v>
      </c>
      <c r="I18" s="9">
        <f>'Shenzhen Daily'!H21</f>
        <v>367</v>
      </c>
      <c r="J18" s="30">
        <v>1.72</v>
      </c>
      <c r="K18" s="9">
        <f>'Shenzhen Daily'!I21</f>
        <v>90.972000000000008</v>
      </c>
      <c r="L18" s="9">
        <f>'Shenzhen Daily'!J21</f>
        <v>322</v>
      </c>
    </row>
    <row r="19" spans="1:12" ht="15" x14ac:dyDescent="0.25">
      <c r="A19" s="6" t="s">
        <v>23</v>
      </c>
      <c r="B19" s="7">
        <f t="shared" si="0"/>
        <v>18</v>
      </c>
      <c r="C19" s="8">
        <v>4</v>
      </c>
      <c r="D19" s="7">
        <v>2022</v>
      </c>
      <c r="E19" s="9">
        <f>'Shenzhen Daily'!D22</f>
        <v>21.28000000000975</v>
      </c>
      <c r="F19" s="30">
        <v>0.93</v>
      </c>
      <c r="G19" s="9">
        <f>'Shenzhen Daily'!F22</f>
        <v>1146</v>
      </c>
      <c r="H19" s="30">
        <v>4.3899999999999997</v>
      </c>
      <c r="I19" s="9">
        <f>'Shenzhen Daily'!H22</f>
        <v>386</v>
      </c>
      <c r="J19" s="30">
        <v>1.72</v>
      </c>
      <c r="K19" s="9">
        <f>'Shenzhen Daily'!I22</f>
        <v>90.972000000000008</v>
      </c>
      <c r="L19" s="9">
        <f>'Shenzhen Daily'!J22</f>
        <v>217</v>
      </c>
    </row>
    <row r="20" spans="1:12" ht="15" x14ac:dyDescent="0.25">
      <c r="A20" s="6" t="s">
        <v>23</v>
      </c>
      <c r="B20" s="7">
        <f t="shared" si="0"/>
        <v>19</v>
      </c>
      <c r="C20" s="8">
        <v>4</v>
      </c>
      <c r="D20" s="7">
        <v>2022</v>
      </c>
      <c r="E20" s="9">
        <f>'Shenzhen Daily'!D23</f>
        <v>19.409999999996217</v>
      </c>
      <c r="F20" s="30">
        <v>0.93</v>
      </c>
      <c r="G20" s="9">
        <f>'Shenzhen Daily'!F23</f>
        <v>1135</v>
      </c>
      <c r="H20" s="30">
        <v>4.3899999999999997</v>
      </c>
      <c r="I20" s="9">
        <f>'Shenzhen Daily'!H23</f>
        <v>340</v>
      </c>
      <c r="J20" s="30">
        <v>1.72</v>
      </c>
      <c r="K20" s="9">
        <f>'Shenzhen Daily'!I23</f>
        <v>91.982799999999997</v>
      </c>
      <c r="L20" s="9">
        <f>'Shenzhen Daily'!J23</f>
        <v>269</v>
      </c>
    </row>
    <row r="21" spans="1:12" ht="15" x14ac:dyDescent="0.25">
      <c r="A21" s="6" t="s">
        <v>23</v>
      </c>
      <c r="B21" s="7">
        <f t="shared" si="0"/>
        <v>20</v>
      </c>
      <c r="C21" s="8">
        <v>4</v>
      </c>
      <c r="D21" s="7">
        <v>2022</v>
      </c>
      <c r="E21" s="9">
        <f>'Shenzhen Daily'!D24</f>
        <v>19.379999999993743</v>
      </c>
      <c r="F21" s="30">
        <v>0.93</v>
      </c>
      <c r="G21" s="9">
        <f>'Shenzhen Daily'!F24</f>
        <v>1111</v>
      </c>
      <c r="H21" s="30">
        <v>4.3899999999999997</v>
      </c>
      <c r="I21" s="9">
        <f>'Shenzhen Daily'!H24</f>
        <v>379</v>
      </c>
      <c r="J21" s="30">
        <v>1.72</v>
      </c>
      <c r="K21" s="9">
        <f>'Shenzhen Daily'!I24</f>
        <v>92.833999999999989</v>
      </c>
      <c r="L21" s="9">
        <f>'Shenzhen Daily'!J24</f>
        <v>258</v>
      </c>
    </row>
    <row r="22" spans="1:12" ht="15" x14ac:dyDescent="0.25">
      <c r="A22" s="6" t="s">
        <v>23</v>
      </c>
      <c r="B22" s="7">
        <f t="shared" si="0"/>
        <v>21</v>
      </c>
      <c r="C22" s="8">
        <v>4</v>
      </c>
      <c r="D22" s="7">
        <v>2022</v>
      </c>
      <c r="E22" s="9">
        <f>'Shenzhen Daily'!D25</f>
        <v>19.600000000005821</v>
      </c>
      <c r="F22" s="30">
        <v>0.93</v>
      </c>
      <c r="G22" s="9">
        <f>'Shenzhen Daily'!F25</f>
        <v>1059</v>
      </c>
      <c r="H22" s="30">
        <v>4.3899999999999997</v>
      </c>
      <c r="I22" s="9">
        <f>'Shenzhen Daily'!H25</f>
        <v>414</v>
      </c>
      <c r="J22" s="30">
        <v>1.72</v>
      </c>
      <c r="K22" s="9">
        <f>'Shenzhen Daily'!I25</f>
        <v>94.323600000000013</v>
      </c>
      <c r="L22" s="9">
        <f>'Shenzhen Daily'!J25</f>
        <v>335</v>
      </c>
    </row>
    <row r="23" spans="1:12" ht="15" x14ac:dyDescent="0.25">
      <c r="A23" s="6" t="s">
        <v>23</v>
      </c>
      <c r="B23" s="7">
        <f t="shared" si="0"/>
        <v>22</v>
      </c>
      <c r="C23" s="8">
        <v>4</v>
      </c>
      <c r="D23" s="7">
        <v>2022</v>
      </c>
      <c r="E23" s="9">
        <f>'Shenzhen Daily'!D26</f>
        <v>21.869999999998981</v>
      </c>
      <c r="F23" s="30">
        <v>0.93</v>
      </c>
      <c r="G23" s="9">
        <f>'Shenzhen Daily'!F26</f>
        <v>1125</v>
      </c>
      <c r="H23" s="30">
        <v>4.3899999999999997</v>
      </c>
      <c r="I23" s="9">
        <f>'Shenzhen Daily'!H26</f>
        <v>413</v>
      </c>
      <c r="J23" s="30">
        <v>1.72</v>
      </c>
      <c r="K23" s="9">
        <f>'Shenzhen Daily'!I26</f>
        <v>95.254599999999996</v>
      </c>
      <c r="L23" s="9">
        <f>'Shenzhen Daily'!J26</f>
        <v>278</v>
      </c>
    </row>
    <row r="24" spans="1:12" ht="15" x14ac:dyDescent="0.25">
      <c r="A24" s="6" t="s">
        <v>23</v>
      </c>
      <c r="B24" s="7">
        <f t="shared" si="0"/>
        <v>23</v>
      </c>
      <c r="C24" s="8">
        <v>4</v>
      </c>
      <c r="D24" s="7">
        <v>2022</v>
      </c>
      <c r="E24" s="9">
        <f>'Shenzhen Daily'!D27</f>
        <v>24.43999999999869</v>
      </c>
      <c r="F24" s="30">
        <v>0.93</v>
      </c>
      <c r="G24" s="9">
        <f>'Shenzhen Daily'!F27</f>
        <v>1075</v>
      </c>
      <c r="H24" s="30">
        <v>4.3899999999999997</v>
      </c>
      <c r="I24" s="9">
        <f>'Shenzhen Daily'!H27</f>
        <v>442</v>
      </c>
      <c r="J24" s="30">
        <v>1.72</v>
      </c>
      <c r="K24" s="9">
        <f>'Shenzhen Daily'!I27</f>
        <v>96.956999999999994</v>
      </c>
      <c r="L24" s="9">
        <f>'Shenzhen Daily'!J27</f>
        <v>349</v>
      </c>
    </row>
    <row r="25" spans="1:12" ht="15" x14ac:dyDescent="0.25">
      <c r="A25" s="6" t="s">
        <v>23</v>
      </c>
      <c r="B25" s="7">
        <f t="shared" si="0"/>
        <v>24</v>
      </c>
      <c r="C25" s="8">
        <v>4</v>
      </c>
      <c r="D25" s="7">
        <v>2022</v>
      </c>
      <c r="E25" s="9">
        <f>'Shenzhen Daily'!D28</f>
        <v>22.089999999996508</v>
      </c>
      <c r="F25" s="30">
        <v>0.93</v>
      </c>
      <c r="G25" s="9">
        <f>'Shenzhen Daily'!F28</f>
        <v>1058</v>
      </c>
      <c r="H25" s="30">
        <v>4.3899999999999997</v>
      </c>
      <c r="I25" s="9">
        <f>'Shenzhen Daily'!H28</f>
        <v>511</v>
      </c>
      <c r="J25" s="30">
        <v>1.72</v>
      </c>
      <c r="K25" s="9">
        <f>'Shenzhen Daily'!I28</f>
        <v>97.409200000000013</v>
      </c>
      <c r="L25" s="9">
        <f>'Shenzhen Daily'!J28</f>
        <v>234</v>
      </c>
    </row>
    <row r="26" spans="1:12" ht="15" x14ac:dyDescent="0.25">
      <c r="A26" s="6" t="s">
        <v>23</v>
      </c>
      <c r="B26" s="7">
        <f>B25+1</f>
        <v>25</v>
      </c>
      <c r="C26" s="8">
        <v>4</v>
      </c>
      <c r="D26" s="7">
        <v>2022</v>
      </c>
      <c r="E26" s="9">
        <f>'Shenzhen Daily'!D29</f>
        <v>25.590000000000146</v>
      </c>
      <c r="F26" s="30">
        <v>0.93</v>
      </c>
      <c r="G26" s="9">
        <f>'Shenzhen Daily'!F29</f>
        <v>971</v>
      </c>
      <c r="H26" s="30">
        <v>4.3899999999999997</v>
      </c>
      <c r="I26" s="9">
        <f>'Shenzhen Daily'!H29</f>
        <v>450</v>
      </c>
      <c r="J26" s="30">
        <v>1.72</v>
      </c>
      <c r="K26" s="9">
        <f>'Shenzhen Daily'!I29</f>
        <v>97.542200000000008</v>
      </c>
      <c r="L26" s="9">
        <f>'Shenzhen Daily'!J29</f>
        <v>235</v>
      </c>
    </row>
    <row r="27" spans="1:12" ht="15" x14ac:dyDescent="0.25">
      <c r="A27" s="6" t="s">
        <v>23</v>
      </c>
      <c r="B27" s="7">
        <f t="shared" si="0"/>
        <v>26</v>
      </c>
      <c r="C27" s="8">
        <v>4</v>
      </c>
      <c r="D27" s="7">
        <v>2022</v>
      </c>
      <c r="E27" s="9">
        <f>'Shenzhen Daily'!D30</f>
        <v>28.080000000009022</v>
      </c>
      <c r="F27" s="30">
        <v>0.93</v>
      </c>
      <c r="G27" s="9">
        <f>'Shenzhen Daily'!F30</f>
        <v>1226</v>
      </c>
      <c r="H27" s="30">
        <v>4.3899999999999997</v>
      </c>
      <c r="I27" s="9">
        <f>'Shenzhen Daily'!H30</f>
        <v>480</v>
      </c>
      <c r="J27" s="30">
        <v>1.72</v>
      </c>
      <c r="K27" s="9">
        <f>'Shenzhen Daily'!I30</f>
        <v>98.207199999999986</v>
      </c>
      <c r="L27" s="9">
        <f>'Shenzhen Daily'!J30</f>
        <v>287</v>
      </c>
    </row>
    <row r="28" spans="1:12" ht="15" x14ac:dyDescent="0.25">
      <c r="A28" s="6" t="s">
        <v>23</v>
      </c>
      <c r="B28" s="7">
        <f t="shared" si="0"/>
        <v>27</v>
      </c>
      <c r="C28" s="8">
        <v>4</v>
      </c>
      <c r="D28" s="7">
        <v>2022</v>
      </c>
      <c r="E28" s="9">
        <f>'Shenzhen Daily'!D31</f>
        <v>24.619999999991705</v>
      </c>
      <c r="F28" s="30">
        <v>0.93</v>
      </c>
      <c r="G28" s="9">
        <f>'Shenzhen Daily'!F31</f>
        <v>1132</v>
      </c>
      <c r="H28" s="30">
        <v>4.3899999999999997</v>
      </c>
      <c r="I28" s="9">
        <f>'Shenzhen Daily'!H31</f>
        <v>462</v>
      </c>
      <c r="J28" s="30">
        <v>1.72</v>
      </c>
      <c r="K28" s="9">
        <f>'Shenzhen Daily'!I31</f>
        <v>99.244599999999991</v>
      </c>
      <c r="L28" s="9">
        <f>'Shenzhen Daily'!J31</f>
        <v>327</v>
      </c>
    </row>
    <row r="29" spans="1:12" ht="15" x14ac:dyDescent="0.25">
      <c r="A29" s="6" t="s">
        <v>23</v>
      </c>
      <c r="B29" s="7">
        <f t="shared" si="0"/>
        <v>28</v>
      </c>
      <c r="C29" s="8">
        <v>4</v>
      </c>
      <c r="D29" s="7">
        <v>2022</v>
      </c>
      <c r="E29" s="9">
        <f>'Shenzhen Daily'!D32</f>
        <v>26.42000000000553</v>
      </c>
      <c r="F29" s="30">
        <v>0.93</v>
      </c>
      <c r="G29" s="9">
        <f>'Shenzhen Daily'!F32</f>
        <v>1150</v>
      </c>
      <c r="H29" s="30">
        <v>4.3899999999999997</v>
      </c>
      <c r="I29" s="9">
        <f>'Shenzhen Daily'!H32</f>
        <v>459</v>
      </c>
      <c r="J29" s="30">
        <v>1.72</v>
      </c>
      <c r="K29" s="9">
        <f>'Shenzhen Daily'!I32</f>
        <v>100.41500000000001</v>
      </c>
      <c r="L29" s="9">
        <f>'Shenzhen Daily'!J32</f>
        <v>389</v>
      </c>
    </row>
    <row r="30" spans="1:12" ht="15" x14ac:dyDescent="0.25">
      <c r="A30" s="6" t="s">
        <v>23</v>
      </c>
      <c r="B30" s="7">
        <f t="shared" si="0"/>
        <v>29</v>
      </c>
      <c r="C30" s="8">
        <v>4</v>
      </c>
      <c r="D30" s="7">
        <v>2022</v>
      </c>
      <c r="E30" s="9">
        <f>'Shenzhen Daily'!D33</f>
        <v>28.299999999999272</v>
      </c>
      <c r="F30" s="30">
        <v>0.93</v>
      </c>
      <c r="G30" s="9">
        <f>'Shenzhen Daily'!F33</f>
        <v>1162</v>
      </c>
      <c r="H30" s="30">
        <v>4.3899999999999997</v>
      </c>
      <c r="I30" s="9">
        <f>'Shenzhen Daily'!H33</f>
        <v>478</v>
      </c>
      <c r="J30" s="30">
        <v>1.72</v>
      </c>
      <c r="K30" s="9">
        <f>'Shenzhen Daily'!I33</f>
        <v>101.2662</v>
      </c>
      <c r="L30" s="9">
        <f>'Shenzhen Daily'!J33</f>
        <v>200</v>
      </c>
    </row>
    <row r="31" spans="1:12" ht="15" x14ac:dyDescent="0.25">
      <c r="A31" s="6" t="s">
        <v>23</v>
      </c>
      <c r="B31" s="7">
        <f t="shared" si="0"/>
        <v>30</v>
      </c>
      <c r="C31" s="8">
        <v>4</v>
      </c>
      <c r="D31" s="7">
        <v>2022</v>
      </c>
      <c r="E31" s="9">
        <f>'Shenzhen Daily'!D34</f>
        <v>25.040000000000873</v>
      </c>
      <c r="F31" s="30">
        <v>0.93</v>
      </c>
      <c r="G31" s="9">
        <f>'Shenzhen Daily'!F34</f>
        <v>1185</v>
      </c>
      <c r="H31" s="30">
        <v>4.3899999999999997</v>
      </c>
      <c r="I31" s="9">
        <f>'Shenzhen Daily'!H34</f>
        <v>473</v>
      </c>
      <c r="J31" s="30">
        <v>1.72</v>
      </c>
      <c r="K31" s="9">
        <f>'Shenzhen Daily'!I34</f>
        <v>113.2894</v>
      </c>
      <c r="L31" s="9">
        <f>'Shenzhen Daily'!J34</f>
        <v>356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A20" sqref="A2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44651</v>
      </c>
      <c r="B4" s="51"/>
      <c r="C4" s="40">
        <v>28462.480000000003</v>
      </c>
      <c r="D4" s="41"/>
      <c r="E4" s="40">
        <v>2546168</v>
      </c>
      <c r="F4" s="44"/>
      <c r="G4" s="40">
        <v>571091</v>
      </c>
      <c r="H4" s="46"/>
      <c r="I4" s="23">
        <v>23</v>
      </c>
      <c r="J4" s="23">
        <v>75</v>
      </c>
    </row>
    <row r="5" spans="1:10" ht="33" customHeight="1" x14ac:dyDescent="0.2">
      <c r="A5" s="24">
        <v>44652</v>
      </c>
      <c r="B5" s="51"/>
      <c r="C5" s="40">
        <v>28475.4</v>
      </c>
      <c r="D5" s="42">
        <f t="shared" ref="D5:D22" si="0">IF((C5-C4&lt;0), "0",C5-C4)</f>
        <v>12.919999999998254</v>
      </c>
      <c r="E5" s="40">
        <v>2546898</v>
      </c>
      <c r="F5" s="42">
        <f>IF((E5-E4&lt;0), "0",E5-E4)</f>
        <v>730</v>
      </c>
      <c r="G5" s="40">
        <v>571322</v>
      </c>
      <c r="H5" s="38">
        <f>IF((G5-G4&lt;0), "0",G5-G4)</f>
        <v>231</v>
      </c>
      <c r="I5" s="26">
        <v>15.481200000000001</v>
      </c>
      <c r="J5" s="26">
        <v>79</v>
      </c>
    </row>
    <row r="6" spans="1:10" ht="45" customHeight="1" x14ac:dyDescent="0.2">
      <c r="A6" s="24">
        <v>44653</v>
      </c>
      <c r="B6" s="51"/>
      <c r="C6" s="40">
        <v>28489.550000000003</v>
      </c>
      <c r="D6" s="42">
        <f t="shared" si="0"/>
        <v>14.150000000001455</v>
      </c>
      <c r="E6" s="40">
        <v>2547812</v>
      </c>
      <c r="F6" s="42">
        <f t="shared" ref="F6:F34" si="1">IF((E6-E5&lt;0), "0",E6-E5)</f>
        <v>914</v>
      </c>
      <c r="G6" s="40">
        <v>571561</v>
      </c>
      <c r="H6" s="47">
        <f t="shared" ref="H6:H34" si="2">IF((G6-G5&lt;0), "0",G6-G5)</f>
        <v>239</v>
      </c>
      <c r="I6" s="12">
        <v>30.350599999999996</v>
      </c>
      <c r="J6" s="37">
        <v>69</v>
      </c>
    </row>
    <row r="7" spans="1:10" ht="45" customHeight="1" x14ac:dyDescent="0.2">
      <c r="A7" s="24">
        <v>44654</v>
      </c>
      <c r="B7" s="51"/>
      <c r="C7" s="40">
        <v>28504.87</v>
      </c>
      <c r="D7" s="42">
        <f t="shared" si="0"/>
        <v>15.319999999996071</v>
      </c>
      <c r="E7" s="40">
        <v>2548530</v>
      </c>
      <c r="F7" s="42">
        <f t="shared" si="1"/>
        <v>718</v>
      </c>
      <c r="G7" s="40">
        <v>571821</v>
      </c>
      <c r="H7" s="38">
        <f t="shared" si="2"/>
        <v>260</v>
      </c>
      <c r="I7" s="12">
        <v>38.436999999999998</v>
      </c>
      <c r="J7" s="12">
        <v>146</v>
      </c>
    </row>
    <row r="8" spans="1:10" ht="45" customHeight="1" x14ac:dyDescent="0.2">
      <c r="A8" s="24">
        <v>44655</v>
      </c>
      <c r="B8" s="50"/>
      <c r="C8" s="31">
        <v>28520.94</v>
      </c>
      <c r="D8" s="36">
        <f t="shared" si="0"/>
        <v>16.069999999999709</v>
      </c>
      <c r="E8" s="31">
        <v>2549390</v>
      </c>
      <c r="F8" s="45">
        <f t="shared" si="1"/>
        <v>860</v>
      </c>
      <c r="G8" s="40">
        <v>572089</v>
      </c>
      <c r="H8" s="38">
        <f t="shared" si="2"/>
        <v>268</v>
      </c>
      <c r="I8" s="12">
        <v>41.815200000000004</v>
      </c>
      <c r="J8" s="12">
        <v>184</v>
      </c>
    </row>
    <row r="9" spans="1:10" ht="45" customHeight="1" x14ac:dyDescent="0.2">
      <c r="A9" s="24">
        <v>44656</v>
      </c>
      <c r="B9" s="50"/>
      <c r="C9" s="31">
        <v>28537.35</v>
      </c>
      <c r="D9" s="25">
        <f t="shared" si="0"/>
        <v>16.409999999999854</v>
      </c>
      <c r="E9" s="31">
        <v>2550334</v>
      </c>
      <c r="F9" s="25">
        <f t="shared" si="1"/>
        <v>944</v>
      </c>
      <c r="G9" s="31">
        <v>572341</v>
      </c>
      <c r="H9" s="25">
        <f t="shared" si="2"/>
        <v>252</v>
      </c>
      <c r="I9" s="12">
        <v>47.028800000000004</v>
      </c>
      <c r="J9" s="12">
        <v>233</v>
      </c>
    </row>
    <row r="10" spans="1:10" ht="45" customHeight="1" x14ac:dyDescent="0.2">
      <c r="A10" s="24">
        <v>44657</v>
      </c>
      <c r="B10" s="50"/>
      <c r="C10" s="31">
        <v>28555.050000000003</v>
      </c>
      <c r="D10" s="25">
        <f t="shared" si="0"/>
        <v>17.700000000004366</v>
      </c>
      <c r="E10" s="31">
        <v>2551420</v>
      </c>
      <c r="F10" s="25">
        <f t="shared" si="1"/>
        <v>1086</v>
      </c>
      <c r="G10" s="31">
        <v>572653</v>
      </c>
      <c r="H10" s="25">
        <f t="shared" si="2"/>
        <v>312</v>
      </c>
      <c r="I10" s="12">
        <v>46.736199999999997</v>
      </c>
      <c r="J10" s="12">
        <v>128</v>
      </c>
    </row>
    <row r="11" spans="1:10" ht="45" customHeight="1" x14ac:dyDescent="0.2">
      <c r="A11" s="24">
        <v>44658</v>
      </c>
      <c r="B11" s="50"/>
      <c r="C11" s="31">
        <v>28573.960000000003</v>
      </c>
      <c r="D11" s="25">
        <f t="shared" si="0"/>
        <v>18.909999999999854</v>
      </c>
      <c r="E11" s="31">
        <v>2552386</v>
      </c>
      <c r="F11" s="25">
        <f t="shared" si="1"/>
        <v>966</v>
      </c>
      <c r="G11" s="31">
        <v>572913</v>
      </c>
      <c r="H11" s="25">
        <f t="shared" si="2"/>
        <v>260</v>
      </c>
      <c r="I11" s="12">
        <v>49.21</v>
      </c>
      <c r="J11" s="12">
        <v>239</v>
      </c>
    </row>
    <row r="12" spans="1:10" ht="45" customHeight="1" x14ac:dyDescent="0.2">
      <c r="A12" s="24">
        <v>44659</v>
      </c>
      <c r="B12" s="50"/>
      <c r="C12" s="31">
        <v>28592.729999999996</v>
      </c>
      <c r="D12" s="25">
        <f t="shared" si="0"/>
        <v>18.769999999993161</v>
      </c>
      <c r="E12" s="31">
        <v>2553321</v>
      </c>
      <c r="F12" s="25">
        <f t="shared" si="1"/>
        <v>935</v>
      </c>
      <c r="G12" s="31">
        <v>573221</v>
      </c>
      <c r="H12" s="25">
        <f t="shared" si="2"/>
        <v>308</v>
      </c>
      <c r="I12" s="12">
        <v>54.184199999999997</v>
      </c>
      <c r="J12" s="12">
        <v>257</v>
      </c>
    </row>
    <row r="13" spans="1:10" ht="45" customHeight="1" x14ac:dyDescent="0.2">
      <c r="A13" s="24">
        <v>44660</v>
      </c>
      <c r="B13" s="50"/>
      <c r="C13" s="31">
        <v>28614.030000000002</v>
      </c>
      <c r="D13" s="25">
        <f t="shared" si="0"/>
        <v>21.300000000006548</v>
      </c>
      <c r="E13" s="31">
        <v>2554583</v>
      </c>
      <c r="F13" s="25">
        <f t="shared" si="1"/>
        <v>1262</v>
      </c>
      <c r="G13" s="31">
        <v>573551</v>
      </c>
      <c r="H13" s="25">
        <f t="shared" si="2"/>
        <v>330</v>
      </c>
      <c r="I13" s="12">
        <v>62.696199999999997</v>
      </c>
      <c r="J13" s="12">
        <v>224</v>
      </c>
    </row>
    <row r="14" spans="1:10" ht="45" customHeight="1" x14ac:dyDescent="0.2">
      <c r="A14" s="24">
        <v>44661</v>
      </c>
      <c r="B14" s="50"/>
      <c r="C14" s="31">
        <v>28634.18</v>
      </c>
      <c r="D14" s="25">
        <f t="shared" si="0"/>
        <v>20.149999999997817</v>
      </c>
      <c r="E14" s="31">
        <v>2555612</v>
      </c>
      <c r="F14" s="25">
        <f t="shared" si="1"/>
        <v>1029</v>
      </c>
      <c r="G14" s="31">
        <v>573839</v>
      </c>
      <c r="H14" s="25">
        <f t="shared" si="2"/>
        <v>288</v>
      </c>
      <c r="I14" s="12">
        <v>69.665400000000005</v>
      </c>
      <c r="J14" s="12">
        <v>252</v>
      </c>
    </row>
    <row r="15" spans="1:10" ht="45" customHeight="1" x14ac:dyDescent="0.2">
      <c r="A15" s="24">
        <v>44662</v>
      </c>
      <c r="B15" s="50"/>
      <c r="C15" s="31">
        <v>28655.379999999997</v>
      </c>
      <c r="D15" s="25">
        <f t="shared" si="0"/>
        <v>21.19999999999709</v>
      </c>
      <c r="E15" s="31">
        <v>2556671</v>
      </c>
      <c r="F15" s="25">
        <f t="shared" si="1"/>
        <v>1059</v>
      </c>
      <c r="G15" s="31">
        <v>574204</v>
      </c>
      <c r="H15" s="25">
        <f t="shared" si="2"/>
        <v>365</v>
      </c>
      <c r="I15" s="12">
        <v>73.229799999999997</v>
      </c>
      <c r="J15" s="12">
        <v>152</v>
      </c>
    </row>
    <row r="16" spans="1:10" ht="45" customHeight="1" x14ac:dyDescent="0.2">
      <c r="A16" s="24">
        <v>44663</v>
      </c>
      <c r="B16" s="50"/>
      <c r="C16" s="31">
        <v>28678.029999999995</v>
      </c>
      <c r="D16" s="25">
        <f t="shared" si="0"/>
        <v>22.649999999997817</v>
      </c>
      <c r="E16" s="31">
        <v>2557842</v>
      </c>
      <c r="F16" s="25">
        <f t="shared" si="1"/>
        <v>1171</v>
      </c>
      <c r="G16" s="31">
        <v>574517</v>
      </c>
      <c r="H16" s="25">
        <f t="shared" si="2"/>
        <v>313</v>
      </c>
      <c r="I16" s="12">
        <v>75.570599999999999</v>
      </c>
      <c r="J16" s="12">
        <v>210</v>
      </c>
    </row>
    <row r="17" spans="1:15" ht="45" customHeight="1" x14ac:dyDescent="0.2">
      <c r="A17" s="24">
        <v>44664</v>
      </c>
      <c r="B17" s="50"/>
      <c r="C17" s="31">
        <v>28699.159999999996</v>
      </c>
      <c r="D17" s="25">
        <f t="shared" si="0"/>
        <v>21.130000000001019</v>
      </c>
      <c r="E17" s="31">
        <v>2558826</v>
      </c>
      <c r="F17" s="25">
        <f t="shared" si="1"/>
        <v>984</v>
      </c>
      <c r="G17" s="31">
        <v>574880</v>
      </c>
      <c r="H17" s="25">
        <f t="shared" si="2"/>
        <v>363</v>
      </c>
      <c r="I17" s="12">
        <v>78.895599999999988</v>
      </c>
      <c r="J17" s="12">
        <v>272</v>
      </c>
    </row>
    <row r="18" spans="1:15" ht="45" customHeight="1" x14ac:dyDescent="0.2">
      <c r="A18" s="24">
        <v>44665</v>
      </c>
      <c r="B18" s="50"/>
      <c r="C18" s="31">
        <v>28719.769999999997</v>
      </c>
      <c r="D18" s="25">
        <f t="shared" si="0"/>
        <v>20.610000000000582</v>
      </c>
      <c r="E18" s="31">
        <v>2559893</v>
      </c>
      <c r="F18" s="25">
        <f t="shared" si="1"/>
        <v>1067</v>
      </c>
      <c r="G18" s="31">
        <v>575233</v>
      </c>
      <c r="H18" s="25">
        <f t="shared" si="2"/>
        <v>353</v>
      </c>
      <c r="I18" s="12">
        <v>82.46</v>
      </c>
      <c r="J18" s="12">
        <v>271</v>
      </c>
    </row>
    <row r="19" spans="1:15" ht="45" customHeight="1" x14ac:dyDescent="0.2">
      <c r="A19" s="24">
        <v>44666</v>
      </c>
      <c r="B19" s="50"/>
      <c r="C19" s="31">
        <v>28742.44</v>
      </c>
      <c r="D19" s="25">
        <f t="shared" si="0"/>
        <v>22.670000000001892</v>
      </c>
      <c r="E19" s="31">
        <v>2561057</v>
      </c>
      <c r="F19" s="25">
        <f t="shared" si="1"/>
        <v>1164</v>
      </c>
      <c r="G19" s="31">
        <v>575572</v>
      </c>
      <c r="H19" s="25">
        <f t="shared" si="2"/>
        <v>339</v>
      </c>
      <c r="I19" s="12">
        <v>86.6096</v>
      </c>
      <c r="J19" s="12">
        <v>284</v>
      </c>
    </row>
    <row r="20" spans="1:15" ht="45" customHeight="1" x14ac:dyDescent="0.2">
      <c r="A20" s="24">
        <v>44667</v>
      </c>
      <c r="B20" s="50"/>
      <c r="C20" s="31">
        <v>28764.259999999995</v>
      </c>
      <c r="D20" s="25">
        <f t="shared" si="0"/>
        <v>21.819999999996071</v>
      </c>
      <c r="E20" s="31">
        <v>2562154</v>
      </c>
      <c r="F20" s="25">
        <f t="shared" si="1"/>
        <v>1097</v>
      </c>
      <c r="G20" s="31">
        <v>575955</v>
      </c>
      <c r="H20" s="25">
        <f t="shared" si="2"/>
        <v>383</v>
      </c>
      <c r="I20" s="12">
        <v>88.657799999999995</v>
      </c>
      <c r="J20" s="12">
        <v>279</v>
      </c>
    </row>
    <row r="21" spans="1:15" ht="45" customHeight="1" x14ac:dyDescent="0.2">
      <c r="A21" s="24">
        <v>44668</v>
      </c>
      <c r="B21" s="50"/>
      <c r="C21" s="31">
        <v>28785.519999999997</v>
      </c>
      <c r="D21" s="25">
        <f t="shared" si="0"/>
        <v>21.260000000002037</v>
      </c>
      <c r="E21" s="31">
        <v>2563267</v>
      </c>
      <c r="F21" s="25">
        <f t="shared" si="1"/>
        <v>1113</v>
      </c>
      <c r="G21" s="31">
        <v>576322</v>
      </c>
      <c r="H21" s="25">
        <f t="shared" si="2"/>
        <v>367</v>
      </c>
      <c r="I21" s="12">
        <v>90.972000000000008</v>
      </c>
      <c r="J21" s="12">
        <v>322</v>
      </c>
    </row>
    <row r="22" spans="1:15" ht="45" customHeight="1" x14ac:dyDescent="0.2">
      <c r="A22" s="24">
        <v>44669</v>
      </c>
      <c r="B22" s="50"/>
      <c r="C22" s="31">
        <v>28806.800000000007</v>
      </c>
      <c r="D22" s="25">
        <f t="shared" si="0"/>
        <v>21.28000000000975</v>
      </c>
      <c r="E22" s="31">
        <v>2564413</v>
      </c>
      <c r="F22" s="25">
        <f t="shared" si="1"/>
        <v>1146</v>
      </c>
      <c r="G22" s="31">
        <v>576708</v>
      </c>
      <c r="H22" s="25">
        <f t="shared" si="2"/>
        <v>386</v>
      </c>
      <c r="I22" s="12">
        <v>90.972000000000008</v>
      </c>
      <c r="J22" s="12">
        <v>217</v>
      </c>
    </row>
    <row r="23" spans="1:15" ht="45" customHeight="1" x14ac:dyDescent="0.2">
      <c r="A23" s="24">
        <v>44670</v>
      </c>
      <c r="B23" s="50"/>
      <c r="C23" s="31">
        <v>28826.210000000003</v>
      </c>
      <c r="D23" s="25">
        <f>IF((C23-C22&lt;0), "0",C23-C22)</f>
        <v>19.409999999996217</v>
      </c>
      <c r="E23" s="31">
        <v>2565548</v>
      </c>
      <c r="F23" s="25">
        <f t="shared" si="1"/>
        <v>1135</v>
      </c>
      <c r="G23" s="31">
        <v>577048</v>
      </c>
      <c r="H23" s="25">
        <f t="shared" si="2"/>
        <v>340</v>
      </c>
      <c r="I23" s="12">
        <v>91.982799999999997</v>
      </c>
      <c r="J23" s="12">
        <v>269</v>
      </c>
    </row>
    <row r="24" spans="1:15" ht="45" customHeight="1" x14ac:dyDescent="0.2">
      <c r="A24" s="24">
        <v>44671</v>
      </c>
      <c r="B24" s="50"/>
      <c r="C24" s="31">
        <v>28845.589999999997</v>
      </c>
      <c r="D24" s="25">
        <f t="shared" ref="D24:D34" si="3">IF((C24-C23&lt;0), "0",C24-C23)</f>
        <v>19.379999999993743</v>
      </c>
      <c r="E24" s="31">
        <v>2566659</v>
      </c>
      <c r="F24" s="25">
        <f t="shared" si="1"/>
        <v>1111</v>
      </c>
      <c r="G24" s="31">
        <v>577427</v>
      </c>
      <c r="H24" s="25">
        <f t="shared" si="2"/>
        <v>379</v>
      </c>
      <c r="I24" s="12">
        <v>92.833999999999989</v>
      </c>
      <c r="J24" s="12">
        <v>258</v>
      </c>
    </row>
    <row r="25" spans="1:15" ht="45" customHeight="1" x14ac:dyDescent="0.2">
      <c r="A25" s="24">
        <v>44672</v>
      </c>
      <c r="B25" s="50"/>
      <c r="C25" s="31">
        <v>28865.190000000002</v>
      </c>
      <c r="D25" s="25">
        <f t="shared" si="3"/>
        <v>19.600000000005821</v>
      </c>
      <c r="E25" s="31">
        <v>2567718</v>
      </c>
      <c r="F25" s="25">
        <f t="shared" si="1"/>
        <v>1059</v>
      </c>
      <c r="G25" s="31">
        <v>577841</v>
      </c>
      <c r="H25" s="25">
        <f t="shared" si="2"/>
        <v>414</v>
      </c>
      <c r="I25" s="12">
        <v>94.323600000000013</v>
      </c>
      <c r="J25" s="12">
        <v>335</v>
      </c>
    </row>
    <row r="26" spans="1:15" ht="45" customHeight="1" x14ac:dyDescent="0.2">
      <c r="A26" s="24">
        <v>44673</v>
      </c>
      <c r="B26" s="50"/>
      <c r="C26" s="31">
        <v>28887.06</v>
      </c>
      <c r="D26" s="25">
        <f t="shared" si="3"/>
        <v>21.869999999998981</v>
      </c>
      <c r="E26" s="31">
        <v>2568843</v>
      </c>
      <c r="F26" s="25">
        <f t="shared" si="1"/>
        <v>1125</v>
      </c>
      <c r="G26" s="31">
        <v>578254</v>
      </c>
      <c r="H26" s="25">
        <f t="shared" si="2"/>
        <v>413</v>
      </c>
      <c r="I26" s="12">
        <v>95.254599999999996</v>
      </c>
      <c r="J26" s="12">
        <v>278</v>
      </c>
    </row>
    <row r="27" spans="1:15" ht="45" customHeight="1" x14ac:dyDescent="0.2">
      <c r="A27" s="24">
        <v>44674</v>
      </c>
      <c r="B27" s="50"/>
      <c r="C27" s="31">
        <v>28911.5</v>
      </c>
      <c r="D27" s="25">
        <f t="shared" si="3"/>
        <v>24.43999999999869</v>
      </c>
      <c r="E27" s="31">
        <v>2569918</v>
      </c>
      <c r="F27" s="25">
        <f t="shared" si="1"/>
        <v>1075</v>
      </c>
      <c r="G27" s="31">
        <v>578696</v>
      </c>
      <c r="H27" s="25">
        <f t="shared" si="2"/>
        <v>442</v>
      </c>
      <c r="I27" s="12">
        <v>96.956999999999994</v>
      </c>
      <c r="J27" s="12">
        <v>349</v>
      </c>
    </row>
    <row r="28" spans="1:15" ht="45" customHeight="1" x14ac:dyDescent="0.2">
      <c r="A28" s="24">
        <v>44675</v>
      </c>
      <c r="B28" s="50"/>
      <c r="C28" s="31">
        <v>28933.589999999997</v>
      </c>
      <c r="D28" s="25">
        <f t="shared" si="3"/>
        <v>22.089999999996508</v>
      </c>
      <c r="E28" s="31">
        <v>2570976</v>
      </c>
      <c r="F28" s="25">
        <f t="shared" si="1"/>
        <v>1058</v>
      </c>
      <c r="G28" s="31">
        <v>579207</v>
      </c>
      <c r="H28" s="25">
        <f t="shared" si="2"/>
        <v>511</v>
      </c>
      <c r="I28" s="12">
        <v>97.409200000000013</v>
      </c>
      <c r="J28" s="12">
        <v>234</v>
      </c>
    </row>
    <row r="29" spans="1:15" ht="45" customHeight="1" x14ac:dyDescent="0.2">
      <c r="A29" s="24">
        <v>44676</v>
      </c>
      <c r="B29" s="50"/>
      <c r="C29" s="31">
        <v>28959.179999999997</v>
      </c>
      <c r="D29" s="25">
        <f t="shared" si="3"/>
        <v>25.590000000000146</v>
      </c>
      <c r="E29" s="31">
        <v>2571947</v>
      </c>
      <c r="F29" s="25">
        <f t="shared" si="1"/>
        <v>971</v>
      </c>
      <c r="G29" s="31">
        <v>579657</v>
      </c>
      <c r="H29" s="25">
        <f t="shared" si="2"/>
        <v>450</v>
      </c>
      <c r="I29" s="12">
        <v>97.542200000000008</v>
      </c>
      <c r="J29" s="12">
        <v>235</v>
      </c>
    </row>
    <row r="30" spans="1:15" ht="45" customHeight="1" x14ac:dyDescent="0.2">
      <c r="A30" s="24">
        <v>44677</v>
      </c>
      <c r="B30" s="50"/>
      <c r="C30" s="31">
        <v>28987.260000000006</v>
      </c>
      <c r="D30" s="25">
        <f t="shared" si="3"/>
        <v>28.080000000009022</v>
      </c>
      <c r="E30" s="31">
        <v>2573173</v>
      </c>
      <c r="F30" s="25">
        <f t="shared" si="1"/>
        <v>1226</v>
      </c>
      <c r="G30" s="31">
        <v>580137</v>
      </c>
      <c r="H30" s="25">
        <f t="shared" si="2"/>
        <v>480</v>
      </c>
      <c r="I30" s="12">
        <v>98.207199999999986</v>
      </c>
      <c r="J30" s="12">
        <v>287</v>
      </c>
      <c r="O30" s="34"/>
    </row>
    <row r="31" spans="1:15" ht="45" customHeight="1" x14ac:dyDescent="0.2">
      <c r="A31" s="24">
        <v>44678</v>
      </c>
      <c r="B31" s="50"/>
      <c r="C31" s="31">
        <v>29011.879999999997</v>
      </c>
      <c r="D31" s="25">
        <f t="shared" si="3"/>
        <v>24.619999999991705</v>
      </c>
      <c r="E31" s="31">
        <v>2574305</v>
      </c>
      <c r="F31" s="25">
        <f t="shared" si="1"/>
        <v>1132</v>
      </c>
      <c r="G31" s="31">
        <v>580599</v>
      </c>
      <c r="H31" s="25">
        <f t="shared" si="2"/>
        <v>462</v>
      </c>
      <c r="I31" s="12">
        <v>99.244599999999991</v>
      </c>
      <c r="J31" s="12">
        <v>327</v>
      </c>
    </row>
    <row r="32" spans="1:15" ht="45" customHeight="1" x14ac:dyDescent="0.2">
      <c r="A32" s="24">
        <v>44679</v>
      </c>
      <c r="B32" s="50"/>
      <c r="C32" s="31">
        <v>29038.300000000003</v>
      </c>
      <c r="D32" s="25">
        <f t="shared" si="3"/>
        <v>26.42000000000553</v>
      </c>
      <c r="E32" s="31">
        <v>2575455</v>
      </c>
      <c r="F32" s="25">
        <f t="shared" si="1"/>
        <v>1150</v>
      </c>
      <c r="G32" s="31">
        <v>581058</v>
      </c>
      <c r="H32" s="25">
        <f t="shared" si="2"/>
        <v>459</v>
      </c>
      <c r="I32" s="12">
        <v>100.41500000000001</v>
      </c>
      <c r="J32" s="12">
        <v>389</v>
      </c>
    </row>
    <row r="33" spans="1:10" ht="36" customHeight="1" x14ac:dyDescent="0.2">
      <c r="A33" s="24">
        <v>44680</v>
      </c>
      <c r="B33" s="35"/>
      <c r="C33" s="31">
        <v>29066.600000000002</v>
      </c>
      <c r="D33" s="25">
        <f t="shared" si="3"/>
        <v>28.299999999999272</v>
      </c>
      <c r="E33" s="31">
        <v>2576617</v>
      </c>
      <c r="F33" s="25">
        <f t="shared" si="1"/>
        <v>1162</v>
      </c>
      <c r="G33" s="31">
        <v>581536</v>
      </c>
      <c r="H33" s="25">
        <f t="shared" si="2"/>
        <v>478</v>
      </c>
      <c r="I33" s="12">
        <v>101.2662</v>
      </c>
      <c r="J33" s="12">
        <v>200</v>
      </c>
    </row>
    <row r="34" spans="1:10" ht="45.6" customHeight="1" x14ac:dyDescent="0.2">
      <c r="A34" s="24">
        <v>44681</v>
      </c>
      <c r="B34" s="48"/>
      <c r="C34" s="40">
        <v>29091.640000000003</v>
      </c>
      <c r="D34" s="49">
        <f t="shared" si="3"/>
        <v>25.040000000000873</v>
      </c>
      <c r="E34" s="31">
        <v>2577802</v>
      </c>
      <c r="F34" s="32">
        <f t="shared" si="1"/>
        <v>1185</v>
      </c>
      <c r="G34" s="31">
        <v>582009</v>
      </c>
      <c r="H34" s="25">
        <f t="shared" si="2"/>
        <v>473</v>
      </c>
      <c r="I34" s="12">
        <v>113.2894</v>
      </c>
      <c r="J34" s="33">
        <v>356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2023-03-06T04:22:44Z</dcterms:modified>
</cp:coreProperties>
</file>