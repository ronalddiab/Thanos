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能源统计表Engineering Meter Readings\FS Shenzhen_HEP_Daily\"/>
    </mc:Choice>
  </mc:AlternateContent>
  <bookViews>
    <workbookView xWindow="0" yWindow="0" windowWidth="28770" windowHeight="11205" tabRatio="620"/>
  </bookViews>
  <sheets>
    <sheet name="TOTAL" sheetId="117" r:id="rId1"/>
    <sheet name="Shenzhen Daily" sheetId="119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19" l="1"/>
  <c r="H31" i="119"/>
  <c r="H30" i="119"/>
  <c r="H29" i="119"/>
  <c r="F18" i="119"/>
  <c r="F16" i="119"/>
  <c r="F15" i="119"/>
  <c r="F14" i="119"/>
  <c r="F13" i="119"/>
  <c r="F11" i="119"/>
  <c r="F10" i="119"/>
  <c r="F9" i="119"/>
  <c r="F7" i="119"/>
  <c r="F6" i="119"/>
  <c r="F5" i="119"/>
  <c r="K3" i="117"/>
  <c r="L3" i="117"/>
  <c r="K4" i="117"/>
  <c r="L4" i="117"/>
  <c r="K5" i="117"/>
  <c r="L5" i="117"/>
  <c r="K6" i="117"/>
  <c r="L6" i="117"/>
  <c r="K7" i="117"/>
  <c r="L7" i="117"/>
  <c r="K8" i="117"/>
  <c r="L8" i="117"/>
  <c r="K9" i="117"/>
  <c r="L9" i="117"/>
  <c r="K10" i="117"/>
  <c r="L10" i="117"/>
  <c r="K11" i="117"/>
  <c r="L11" i="117"/>
  <c r="K12" i="117"/>
  <c r="L12" i="117"/>
  <c r="K13" i="117"/>
  <c r="L13" i="117"/>
  <c r="K14" i="117"/>
  <c r="L14" i="117"/>
  <c r="K15" i="117"/>
  <c r="L15" i="117"/>
  <c r="K16" i="117"/>
  <c r="L16" i="117"/>
  <c r="K17" i="117"/>
  <c r="L17" i="117"/>
  <c r="K18" i="117"/>
  <c r="L18" i="117"/>
  <c r="K19" i="117"/>
  <c r="L19" i="117"/>
  <c r="K20" i="117"/>
  <c r="L20" i="117"/>
  <c r="K21" i="117"/>
  <c r="L21" i="117"/>
  <c r="K22" i="117"/>
  <c r="L22" i="117"/>
  <c r="K23" i="117"/>
  <c r="L23" i="117"/>
  <c r="K24" i="117"/>
  <c r="L24" i="117"/>
  <c r="K25" i="117"/>
  <c r="L25" i="117"/>
  <c r="K26" i="117"/>
  <c r="L26" i="117"/>
  <c r="K27" i="117"/>
  <c r="L27" i="117"/>
  <c r="K28" i="117"/>
  <c r="L28" i="117"/>
  <c r="K29" i="117"/>
  <c r="L29" i="117"/>
  <c r="L2" i="117"/>
  <c r="K2" i="117"/>
  <c r="H5" i="119"/>
  <c r="I2" i="117"/>
  <c r="G11" i="117"/>
  <c r="G13" i="117"/>
  <c r="F22" i="119"/>
  <c r="G19" i="117"/>
  <c r="F24" i="119"/>
  <c r="G21" i="117"/>
  <c r="D18" i="119"/>
  <c r="D26" i="119"/>
  <c r="I29" i="117"/>
  <c r="F32" i="119"/>
  <c r="G29" i="117"/>
  <c r="D32" i="119"/>
  <c r="I28" i="117"/>
  <c r="F31" i="119"/>
  <c r="G28" i="117"/>
  <c r="D31" i="119"/>
  <c r="I27" i="117"/>
  <c r="F30" i="119"/>
  <c r="G27" i="117"/>
  <c r="D30" i="119"/>
  <c r="I26" i="117"/>
  <c r="F29" i="119"/>
  <c r="G26" i="117"/>
  <c r="D29" i="119"/>
  <c r="H28" i="119"/>
  <c r="I25" i="117"/>
  <c r="F28" i="119"/>
  <c r="G25" i="117"/>
  <c r="D28" i="119"/>
  <c r="H27" i="119"/>
  <c r="I24" i="117"/>
  <c r="F27" i="119"/>
  <c r="G24" i="117"/>
  <c r="D27" i="119"/>
  <c r="H26" i="119"/>
  <c r="I23" i="117"/>
  <c r="F26" i="119"/>
  <c r="G23" i="117"/>
  <c r="H25" i="119"/>
  <c r="I22" i="117"/>
  <c r="F25" i="119"/>
  <c r="G22" i="117"/>
  <c r="D25" i="119"/>
  <c r="H24" i="119"/>
  <c r="I21" i="117"/>
  <c r="D24" i="119"/>
  <c r="H23" i="119"/>
  <c r="I20" i="117"/>
  <c r="F23" i="119"/>
  <c r="G20" i="117"/>
  <c r="D23" i="119"/>
  <c r="H22" i="119"/>
  <c r="I19" i="117"/>
  <c r="D22" i="119"/>
  <c r="H21" i="119"/>
  <c r="I18" i="117"/>
  <c r="F21" i="119"/>
  <c r="G18" i="117"/>
  <c r="D21" i="119"/>
  <c r="H20" i="119"/>
  <c r="I17" i="117"/>
  <c r="F20" i="119"/>
  <c r="G17" i="117"/>
  <c r="D20" i="119"/>
  <c r="H19" i="119"/>
  <c r="I16" i="117"/>
  <c r="F19" i="119"/>
  <c r="G16" i="117"/>
  <c r="D19" i="119"/>
  <c r="H18" i="119"/>
  <c r="I15" i="117"/>
  <c r="G15" i="117"/>
  <c r="H17" i="119"/>
  <c r="I14" i="117"/>
  <c r="F17" i="119"/>
  <c r="G14" i="117"/>
  <c r="D17" i="119"/>
  <c r="H16" i="119"/>
  <c r="I13" i="117"/>
  <c r="D16" i="119"/>
  <c r="H15" i="119"/>
  <c r="I12" i="117"/>
  <c r="G12" i="117"/>
  <c r="D15" i="119"/>
  <c r="H14" i="119"/>
  <c r="I11" i="117"/>
  <c r="D14" i="119"/>
  <c r="H13" i="119"/>
  <c r="I10" i="117"/>
  <c r="G10" i="117"/>
  <c r="D13" i="119"/>
  <c r="H12" i="119"/>
  <c r="I9" i="117"/>
  <c r="F12" i="119"/>
  <c r="G9" i="117"/>
  <c r="D12" i="119"/>
  <c r="H11" i="119"/>
  <c r="I8" i="117"/>
  <c r="G8" i="117"/>
  <c r="D11" i="119"/>
  <c r="H10" i="119"/>
  <c r="I7" i="117"/>
  <c r="G7" i="117"/>
  <c r="D10" i="119"/>
  <c r="H9" i="119"/>
  <c r="I6" i="117"/>
  <c r="G6" i="117"/>
  <c r="D9" i="119"/>
  <c r="H8" i="119"/>
  <c r="I5" i="117"/>
  <c r="F8" i="119"/>
  <c r="G5" i="117"/>
  <c r="D8" i="119"/>
  <c r="H7" i="119"/>
  <c r="I4" i="117"/>
  <c r="G4" i="117"/>
  <c r="D7" i="119"/>
  <c r="H6" i="119"/>
  <c r="I3" i="117"/>
  <c r="G3" i="117"/>
  <c r="D6" i="119"/>
  <c r="G2" i="117"/>
  <c r="D5" i="119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</calcChain>
</file>

<file path=xl/sharedStrings.xml><?xml version="1.0" encoding="utf-8"?>
<sst xmlns="http://schemas.openxmlformats.org/spreadsheetml/2006/main" count="53" uniqueCount="25">
  <si>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</si>
  <si>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</si>
  <si>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</si>
  <si>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</si>
  <si>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</si>
  <si>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</si>
  <si>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</si>
  <si>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</si>
  <si>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</si>
  <si>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</si>
  <si>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</si>
  <si>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</si>
  <si>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</si>
  <si>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</si>
  <si>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</si>
  <si>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</si>
  <si>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</si>
  <si>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</si>
  <si>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</si>
  <si>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</si>
  <si>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Gas m3</t>
  </si>
  <si>
    <t>Natural Gas $/m3</t>
  </si>
  <si>
    <t>Shenzhen</t>
  </si>
  <si>
    <t>Natual Gas (m3)</t>
  </si>
  <si>
    <t>Total Guests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</si>
</sst>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 x14ac:knownFonts="1">
    <font>
      <sz val="10"/>
      <name val="Arial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宋体"/>
      <family val="3"/>
      <charset val="134"/>
    </font>
  </fonts>
  <fills count="10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2">
    <xf numFmtId="0" fontId="0" fillId="0" borderId="0"/>
    <xf numFmtId="176" fontId="3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5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53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9" borderId="0" xfId="0" applyFill="1"/>
    <xf numFmtId="0" fontId="1" fillId="0" borderId="1" xfId="11" applyBorder="1"/>
    <xf numFmtId="1" fontId="13" fillId="0" borderId="2" xfId="11" applyNumberFormat="1" applyFont="1" applyBorder="1" applyAlignment="1">
      <alignment horizontal="center" vertical="center"/>
    </xf>
    <xf numFmtId="1" fontId="1" fillId="0" borderId="2" xfId="11" applyNumberFormat="1" applyBorder="1" applyAlignment="1">
      <alignment horizontal="center"/>
    </xf>
    <xf numFmtId="1" fontId="13" fillId="0" borderId="10" xfId="11" applyNumberFormat="1" applyFont="1" applyBorder="1" applyAlignment="1">
      <alignment horizontal="center" vertical="center"/>
    </xf>
    <xf numFmtId="0" fontId="6" fillId="7" borderId="12" xfId="11" applyFont="1" applyFill="1" applyBorder="1" applyAlignment="1">
      <alignment horizontal="center" vertical="center" wrapText="1"/>
    </xf>
    <xf numFmtId="0" fontId="0" fillId="9" borderId="13" xfId="0" applyFill="1" applyBorder="1"/>
    <xf numFmtId="1" fontId="8" fillId="0" borderId="14" xfId="11" applyNumberFormat="1" applyFont="1" applyBorder="1" applyAlignment="1">
      <alignment horizontal="center"/>
    </xf>
    <xf numFmtId="1" fontId="13" fillId="0" borderId="14" xfId="11" applyNumberFormat="1" applyFont="1" applyBorder="1" applyAlignment="1">
      <alignment horizontal="center" vertical="center"/>
    </xf>
    <xf numFmtId="0" fontId="6" fillId="7" borderId="13" xfId="11" applyFont="1" applyFill="1" applyBorder="1" applyAlignment="1">
      <alignment horizontal="center" vertical="center" wrapText="1"/>
    </xf>
    <xf numFmtId="0" fontId="7" fillId="0" borderId="14" xfId="11" applyFont="1" applyBorder="1" applyAlignment="1">
      <alignment horizontal="center"/>
    </xf>
    <xf numFmtId="1" fontId="13" fillId="0" borderId="15" xfId="11" applyNumberFormat="1" applyFont="1" applyBorder="1" applyAlignment="1">
      <alignment horizontal="center" vertical="center"/>
    </xf>
    <xf numFmtId="0" fontId="7" fillId="0" borderId="10" xfId="11" applyFont="1" applyBorder="1"/>
    <xf numFmtId="1" fontId="13" fillId="0" borderId="9" xfId="11" applyNumberFormat="1" applyFont="1" applyBorder="1" applyAlignment="1">
      <alignment horizontal="center" vertical="center"/>
    </xf>
    <xf numFmtId="0" fontId="9" fillId="2" borderId="1" xfId="11" applyFont="1" applyFill="1" applyBorder="1" applyAlignment="1">
      <alignment horizontal="center"/>
    </xf>
    <xf numFmtId="0" fontId="9" fillId="2" borderId="11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3" xfId="7"/>
    <cellStyle name="Normal 4" xfId="11"/>
    <cellStyle name="Percent 2" xfId="8"/>
    <cellStyle name="Percent 3" xfId="9"/>
    <cellStyle name="Percent 4" xfId="10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abSelected="1" workbookViewId="0">
      <selection activeCell="L1" sqref="L1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7.5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23</v>
      </c>
      <c r="H1" s="4" t="s">
        <v>21</v>
      </c>
      <c r="I1" s="3" t="s">
        <v>6</v>
      </c>
      <c r="J1" s="5" t="s">
        <v>7</v>
      </c>
      <c r="K1" s="3" t="s">
        <v>8</v>
      </c>
      <c r="L1" s="3" t="s">
        <v>24</v>
      </c>
    </row>
    <row r="2" spans="1:12" ht="15" x14ac:dyDescent="0.25">
      <c r="A2" s="6" t="s">
        <v>22</v>
      </c>
      <c r="B2" s="7">
        <v>1</v>
      </c>
      <c r="C2" s="8">
        <v>2</v>
      </c>
      <c r="D2" s="7">
        <v>2022</v>
      </c>
      <c r="E2" s="9">
        <v>13198.999999999389</v>
      </c>
      <c r="F2" s="30">
        <v>0.81389999999999996</v>
      </c>
      <c r="G2" s="9">
        <f>'Shenzhen Daily'!F5</f>
        <v>1207</v>
      </c>
      <c r="H2" s="30">
        <v>4.3899999999999997</v>
      </c>
      <c r="I2" s="9">
        <f>'Shenzhen Daily'!H5</f>
        <v>267</v>
      </c>
      <c r="J2" s="30">
        <v>5.09</v>
      </c>
      <c r="K2" s="9">
        <f>'Shenzhen Daily'!I5</f>
        <v>90.360200000000006</v>
      </c>
      <c r="L2" s="9">
        <f>'Shenzhen Daily'!J5</f>
        <v>178</v>
      </c>
    </row>
    <row r="3" spans="1:12" ht="15" x14ac:dyDescent="0.25">
      <c r="A3" s="6" t="s">
        <v>22</v>
      </c>
      <c r="B3" s="7">
        <f>B2+1</f>
        <v>2</v>
      </c>
      <c r="C3" s="8">
        <v>2</v>
      </c>
      <c r="D3" s="7">
        <v>2022</v>
      </c>
      <c r="E3" s="9">
        <v>13381.0000000002</v>
      </c>
      <c r="F3" s="30">
        <v>0.81389999999999996</v>
      </c>
      <c r="G3" s="9">
        <f>'Shenzhen Daily'!F6</f>
        <v>1212</v>
      </c>
      <c r="H3" s="30">
        <v>4.3899999999999997</v>
      </c>
      <c r="I3" s="9">
        <f>'Shenzhen Daily'!H6</f>
        <v>225</v>
      </c>
      <c r="J3" s="30">
        <v>5.09</v>
      </c>
      <c r="K3" s="9">
        <f>'Shenzhen Daily'!I6</f>
        <v>47.188400000000001</v>
      </c>
      <c r="L3" s="9">
        <f>'Shenzhen Daily'!J6</f>
        <v>216</v>
      </c>
    </row>
    <row r="4" spans="1:12" ht="15" x14ac:dyDescent="0.25">
      <c r="A4" s="6" t="s">
        <v>22</v>
      </c>
      <c r="B4" s="7">
        <f t="shared" ref="B4:B29" si="0">B3+1</f>
        <v>3</v>
      </c>
      <c r="C4" s="8">
        <v>2</v>
      </c>
      <c r="D4" s="7">
        <v>2022</v>
      </c>
      <c r="E4" s="9">
        <v>13388.000000000648</v>
      </c>
      <c r="F4" s="30">
        <v>0.81389999999999996</v>
      </c>
      <c r="G4" s="9">
        <f>'Shenzhen Daily'!F7</f>
        <v>1261</v>
      </c>
      <c r="H4" s="30">
        <v>4.3899999999999997</v>
      </c>
      <c r="I4" s="9">
        <f>'Shenzhen Daily'!H7</f>
        <v>230</v>
      </c>
      <c r="J4" s="30">
        <v>5.09</v>
      </c>
      <c r="K4" s="9">
        <f>'Shenzhen Daily'!I7</f>
        <v>49.183399999999999</v>
      </c>
      <c r="L4" s="9">
        <f>'Shenzhen Daily'!J7</f>
        <v>288</v>
      </c>
    </row>
    <row r="5" spans="1:12" ht="15" x14ac:dyDescent="0.25">
      <c r="A5" s="6" t="s">
        <v>22</v>
      </c>
      <c r="B5" s="7">
        <f t="shared" si="0"/>
        <v>4</v>
      </c>
      <c r="C5" s="8">
        <v>2</v>
      </c>
      <c r="D5" s="7">
        <v>2022</v>
      </c>
      <c r="E5" s="9">
        <v>13371.99999999932</v>
      </c>
      <c r="F5" s="30">
        <v>0.81389999999999996</v>
      </c>
      <c r="G5" s="9">
        <f>'Shenzhen Daily'!F8</f>
        <v>1207</v>
      </c>
      <c r="H5" s="30">
        <v>4.3899999999999997</v>
      </c>
      <c r="I5" s="9">
        <f>'Shenzhen Daily'!H8</f>
        <v>276</v>
      </c>
      <c r="J5" s="30">
        <v>5.09</v>
      </c>
      <c r="K5" s="9">
        <f>'Shenzhen Daily'!I8</f>
        <v>49.183399999999999</v>
      </c>
      <c r="L5" s="9">
        <f>'Shenzhen Daily'!J8</f>
        <v>197</v>
      </c>
    </row>
    <row r="6" spans="1:12" ht="15" x14ac:dyDescent="0.25">
      <c r="A6" s="6" t="s">
        <v>22</v>
      </c>
      <c r="B6" s="7">
        <f t="shared" si="0"/>
        <v>5</v>
      </c>
      <c r="C6" s="8">
        <v>2</v>
      </c>
      <c r="D6" s="7">
        <v>2022</v>
      </c>
      <c r="E6" s="9">
        <v>14925.999999999705</v>
      </c>
      <c r="F6" s="30">
        <v>0.81389999999999996</v>
      </c>
      <c r="G6" s="9">
        <f>'Shenzhen Daily'!F9</f>
        <v>1278</v>
      </c>
      <c r="H6" s="30">
        <v>4.3899999999999997</v>
      </c>
      <c r="I6" s="9">
        <f>'Shenzhen Daily'!H9</f>
        <v>269</v>
      </c>
      <c r="J6" s="30">
        <v>5.09</v>
      </c>
      <c r="K6" s="9">
        <f>'Shenzhen Daily'!I9</f>
        <v>50.992200000000004</v>
      </c>
      <c r="L6" s="9">
        <f>'Shenzhen Daily'!J9</f>
        <v>273</v>
      </c>
    </row>
    <row r="7" spans="1:12" ht="15" x14ac:dyDescent="0.25">
      <c r="A7" s="6" t="s">
        <v>22</v>
      </c>
      <c r="B7" s="7">
        <f t="shared" si="0"/>
        <v>6</v>
      </c>
      <c r="C7" s="8">
        <v>2</v>
      </c>
      <c r="D7" s="7">
        <v>2022</v>
      </c>
      <c r="E7" s="9">
        <v>14391.999999999905</v>
      </c>
      <c r="F7" s="30">
        <v>0.81389999999999996</v>
      </c>
      <c r="G7" s="9">
        <f>'Shenzhen Daily'!F10</f>
        <v>1162</v>
      </c>
      <c r="H7" s="30">
        <v>4.3899999999999997</v>
      </c>
      <c r="I7" s="9">
        <f>'Shenzhen Daily'!H10</f>
        <v>252</v>
      </c>
      <c r="J7" s="30">
        <v>5.09</v>
      </c>
      <c r="K7" s="9">
        <f>'Shenzhen Daily'!I10</f>
        <v>52.641399999999997</v>
      </c>
      <c r="L7" s="9">
        <f>'Shenzhen Daily'!J10</f>
        <v>203</v>
      </c>
    </row>
    <row r="8" spans="1:12" ht="15" x14ac:dyDescent="0.25">
      <c r="A8" s="6" t="s">
        <v>22</v>
      </c>
      <c r="B8" s="7">
        <f t="shared" si="0"/>
        <v>7</v>
      </c>
      <c r="C8" s="8">
        <v>2</v>
      </c>
      <c r="D8" s="7">
        <v>2022</v>
      </c>
      <c r="E8" s="9">
        <v>14766.000000000418</v>
      </c>
      <c r="F8" s="30">
        <v>0.81389999999999996</v>
      </c>
      <c r="G8" s="9">
        <f>'Shenzhen Daily'!F11</f>
        <v>1257</v>
      </c>
      <c r="H8" s="30">
        <v>4.3899999999999997</v>
      </c>
      <c r="I8" s="9">
        <f>'Shenzhen Daily'!H11</f>
        <v>280</v>
      </c>
      <c r="J8" s="30">
        <v>5.09</v>
      </c>
      <c r="K8" s="9">
        <f>'Shenzhen Daily'!I11</f>
        <v>51.2316</v>
      </c>
      <c r="L8" s="9">
        <f>'Shenzhen Daily'!J11</f>
        <v>265</v>
      </c>
    </row>
    <row r="9" spans="1:12" ht="15" x14ac:dyDescent="0.25">
      <c r="A9" s="6" t="s">
        <v>22</v>
      </c>
      <c r="B9" s="7">
        <f t="shared" si="0"/>
        <v>8</v>
      </c>
      <c r="C9" s="8">
        <v>2</v>
      </c>
      <c r="D9" s="7">
        <v>2022</v>
      </c>
      <c r="E9" s="9">
        <v>14747.999999999636</v>
      </c>
      <c r="F9" s="30">
        <v>0.81389999999999996</v>
      </c>
      <c r="G9" s="9">
        <f>'Shenzhen Daily'!F12</f>
        <v>909</v>
      </c>
      <c r="H9" s="30">
        <v>4.3899999999999997</v>
      </c>
      <c r="I9" s="9">
        <f>'Shenzhen Daily'!H12</f>
        <v>252</v>
      </c>
      <c r="J9" s="30">
        <v>5.09</v>
      </c>
      <c r="K9" s="9">
        <f>'Shenzhen Daily'!I12</f>
        <v>50.779399999999995</v>
      </c>
      <c r="L9" s="9">
        <f>'Shenzhen Daily'!J12</f>
        <v>199</v>
      </c>
    </row>
    <row r="10" spans="1:12" ht="15" x14ac:dyDescent="0.25">
      <c r="A10" s="6" t="s">
        <v>22</v>
      </c>
      <c r="B10" s="7">
        <f t="shared" si="0"/>
        <v>9</v>
      </c>
      <c r="C10" s="8">
        <v>2</v>
      </c>
      <c r="D10" s="7">
        <v>2022</v>
      </c>
      <c r="E10" s="9">
        <v>14932.000000000835</v>
      </c>
      <c r="F10" s="30">
        <v>0.81389999999999996</v>
      </c>
      <c r="G10" s="9">
        <f>'Shenzhen Daily'!F13</f>
        <v>1257</v>
      </c>
      <c r="H10" s="30">
        <v>4.3899999999999997</v>
      </c>
      <c r="I10" s="9">
        <f>'Shenzhen Daily'!H13</f>
        <v>297</v>
      </c>
      <c r="J10" s="30">
        <v>5.09</v>
      </c>
      <c r="K10" s="9">
        <f>'Shenzhen Daily'!I13</f>
        <v>52.348800000000004</v>
      </c>
      <c r="L10" s="9">
        <f>'Shenzhen Daily'!J13</f>
        <v>198</v>
      </c>
    </row>
    <row r="11" spans="1:12" ht="15" x14ac:dyDescent="0.25">
      <c r="A11" s="6" t="s">
        <v>22</v>
      </c>
      <c r="B11" s="7">
        <f t="shared" si="0"/>
        <v>10</v>
      </c>
      <c r="C11" s="8">
        <v>2</v>
      </c>
      <c r="D11" s="7">
        <v>2022</v>
      </c>
      <c r="E11" s="9">
        <v>16232.999999998538</v>
      </c>
      <c r="F11" s="30">
        <v>0.81389999999999996</v>
      </c>
      <c r="G11" s="9">
        <f>'Shenzhen Daily'!F14</f>
        <v>1303</v>
      </c>
      <c r="H11" s="30">
        <v>4.3899999999999997</v>
      </c>
      <c r="I11" s="9">
        <f>'Shenzhen Daily'!H14</f>
        <v>349</v>
      </c>
      <c r="J11" s="30">
        <v>5.09</v>
      </c>
      <c r="K11" s="9">
        <f>'Shenzhen Daily'!I14</f>
        <v>55.780200000000001</v>
      </c>
      <c r="L11" s="9">
        <f>'Shenzhen Daily'!J14</f>
        <v>382</v>
      </c>
    </row>
    <row r="12" spans="1:12" ht="15" x14ac:dyDescent="0.25">
      <c r="A12" s="6" t="s">
        <v>22</v>
      </c>
      <c r="B12" s="7">
        <f t="shared" si="0"/>
        <v>11</v>
      </c>
      <c r="C12" s="8">
        <v>2</v>
      </c>
      <c r="D12" s="7">
        <v>2022</v>
      </c>
      <c r="E12" s="9">
        <v>16440.000000001201</v>
      </c>
      <c r="F12" s="30">
        <v>0.81389999999999996</v>
      </c>
      <c r="G12" s="9">
        <f>'Shenzhen Daily'!F15</f>
        <v>1154</v>
      </c>
      <c r="H12" s="30">
        <v>4.3899999999999997</v>
      </c>
      <c r="I12" s="9">
        <f>'Shenzhen Daily'!H15</f>
        <v>296</v>
      </c>
      <c r="J12" s="30">
        <v>5.09</v>
      </c>
      <c r="K12" s="9">
        <f>'Shenzhen Daily'!I15</f>
        <v>59.451000000000001</v>
      </c>
      <c r="L12" s="9">
        <f>'Shenzhen Daily'!J15</f>
        <v>309</v>
      </c>
    </row>
    <row r="13" spans="1:12" ht="15" x14ac:dyDescent="0.25">
      <c r="A13" s="6" t="s">
        <v>22</v>
      </c>
      <c r="B13" s="7">
        <f t="shared" si="0"/>
        <v>12</v>
      </c>
      <c r="C13" s="8">
        <v>2</v>
      </c>
      <c r="D13" s="7">
        <v>2022</v>
      </c>
      <c r="E13" s="9">
        <v>17138.999999999352</v>
      </c>
      <c r="F13" s="30">
        <v>0.81389999999999996</v>
      </c>
      <c r="G13" s="9">
        <f>'Shenzhen Daily'!F16</f>
        <v>1226</v>
      </c>
      <c r="H13" s="30">
        <v>4.3899999999999997</v>
      </c>
      <c r="I13" s="9">
        <f>'Shenzhen Daily'!H16</f>
        <v>276</v>
      </c>
      <c r="J13" s="30">
        <v>5.09</v>
      </c>
      <c r="K13" s="9">
        <f>'Shenzhen Daily'!I16</f>
        <v>60.328800000000001</v>
      </c>
      <c r="L13" s="9">
        <f>'Shenzhen Daily'!J16</f>
        <v>242</v>
      </c>
    </row>
    <row r="14" spans="1:12" ht="15" x14ac:dyDescent="0.25">
      <c r="A14" s="6" t="s">
        <v>22</v>
      </c>
      <c r="B14" s="7">
        <f t="shared" si="0"/>
        <v>13</v>
      </c>
      <c r="C14" s="8">
        <v>2</v>
      </c>
      <c r="D14" s="7">
        <v>2022</v>
      </c>
      <c r="E14" s="9">
        <v>15170.000000000959</v>
      </c>
      <c r="F14" s="30">
        <v>0.81389999999999996</v>
      </c>
      <c r="G14" s="9">
        <f>'Shenzhen Daily'!F17</f>
        <v>1186</v>
      </c>
      <c r="H14" s="30">
        <v>4.3899999999999997</v>
      </c>
      <c r="I14" s="9">
        <f>'Shenzhen Daily'!H17</f>
        <v>262</v>
      </c>
      <c r="J14" s="30">
        <v>5.09</v>
      </c>
      <c r="K14" s="9">
        <f>'Shenzhen Daily'!I17</f>
        <v>61.339599999999997</v>
      </c>
      <c r="L14" s="9">
        <f>'Shenzhen Daily'!J17</f>
        <v>271</v>
      </c>
    </row>
    <row r="15" spans="1:12" ht="15" x14ac:dyDescent="0.25">
      <c r="A15" s="6" t="s">
        <v>22</v>
      </c>
      <c r="B15" s="7">
        <f t="shared" si="0"/>
        <v>14</v>
      </c>
      <c r="C15" s="8">
        <v>2</v>
      </c>
      <c r="D15" s="7">
        <v>2022</v>
      </c>
      <c r="E15" s="9">
        <v>16498.999999999898</v>
      </c>
      <c r="F15" s="30">
        <v>0.81389999999999996</v>
      </c>
      <c r="G15" s="9">
        <f>'Shenzhen Daily'!F18</f>
        <v>1262</v>
      </c>
      <c r="H15" s="30">
        <v>4.3899999999999997</v>
      </c>
      <c r="I15" s="9">
        <f>'Shenzhen Daily'!H18</f>
        <v>289</v>
      </c>
      <c r="J15" s="30">
        <v>5.09</v>
      </c>
      <c r="K15" s="9">
        <f>'Shenzhen Daily'!I18</f>
        <v>62.084400000000002</v>
      </c>
      <c r="L15" s="9">
        <f>'Shenzhen Daily'!J18</f>
        <v>280</v>
      </c>
    </row>
    <row r="16" spans="1:12" ht="15" x14ac:dyDescent="0.25">
      <c r="A16" s="6" t="s">
        <v>22</v>
      </c>
      <c r="B16" s="7">
        <f t="shared" si="0"/>
        <v>15</v>
      </c>
      <c r="C16" s="8">
        <v>2</v>
      </c>
      <c r="D16" s="7">
        <v>2022</v>
      </c>
      <c r="E16" s="9">
        <v>16883.999999999265</v>
      </c>
      <c r="F16" s="30">
        <v>0.81389999999999996</v>
      </c>
      <c r="G16" s="9">
        <f>'Shenzhen Daily'!F19</f>
        <v>1303</v>
      </c>
      <c r="H16" s="30">
        <v>4.3899999999999997</v>
      </c>
      <c r="I16" s="9">
        <f>'Shenzhen Daily'!H19</f>
        <v>315</v>
      </c>
      <c r="J16" s="30">
        <v>5.09</v>
      </c>
      <c r="K16" s="9">
        <f>'Shenzhen Daily'!I19</f>
        <v>64.558199999999999</v>
      </c>
      <c r="L16" s="9">
        <f>'Shenzhen Daily'!J19</f>
        <v>309</v>
      </c>
    </row>
    <row r="17" spans="1:12" ht="15" x14ac:dyDescent="0.25">
      <c r="A17" s="6" t="s">
        <v>22</v>
      </c>
      <c r="B17" s="7">
        <f t="shared" si="0"/>
        <v>16</v>
      </c>
      <c r="C17" s="8">
        <v>2</v>
      </c>
      <c r="D17" s="7">
        <v>2022</v>
      </c>
      <c r="E17" s="9">
        <v>16585.000000000698</v>
      </c>
      <c r="F17" s="30">
        <v>0.81389999999999996</v>
      </c>
      <c r="G17" s="9">
        <f>'Shenzhen Daily'!F20</f>
        <v>1258</v>
      </c>
      <c r="H17" s="30">
        <v>4.3899999999999997</v>
      </c>
      <c r="I17" s="9">
        <f>'Shenzhen Daily'!H20</f>
        <v>315</v>
      </c>
      <c r="J17" s="30">
        <v>5.09</v>
      </c>
      <c r="K17" s="9">
        <f>'Shenzhen Daily'!I20</f>
        <v>65.196600000000004</v>
      </c>
      <c r="L17" s="9">
        <f>'Shenzhen Daily'!J20</f>
        <v>267</v>
      </c>
    </row>
    <row r="18" spans="1:12" ht="15" x14ac:dyDescent="0.25">
      <c r="A18" s="6" t="s">
        <v>22</v>
      </c>
      <c r="B18" s="7">
        <f t="shared" si="0"/>
        <v>17</v>
      </c>
      <c r="C18" s="8">
        <v>2</v>
      </c>
      <c r="D18" s="7">
        <v>2022</v>
      </c>
      <c r="E18" s="9">
        <v>16266.000000000371</v>
      </c>
      <c r="F18" s="30">
        <v>0.81389999999999996</v>
      </c>
      <c r="G18" s="9">
        <f>'Shenzhen Daily'!F21</f>
        <v>1268</v>
      </c>
      <c r="H18" s="30">
        <v>4.3899999999999997</v>
      </c>
      <c r="I18" s="9">
        <f>'Shenzhen Daily'!H21</f>
        <v>296</v>
      </c>
      <c r="J18" s="30">
        <v>5.09</v>
      </c>
      <c r="K18" s="9">
        <f>'Shenzhen Daily'!I21</f>
        <v>68.149199999999993</v>
      </c>
      <c r="L18" s="9">
        <f>'Shenzhen Daily'!J21</f>
        <v>354</v>
      </c>
    </row>
    <row r="19" spans="1:12" ht="15" x14ac:dyDescent="0.25">
      <c r="A19" s="6" t="s">
        <v>22</v>
      </c>
      <c r="B19" s="7">
        <f t="shared" si="0"/>
        <v>18</v>
      </c>
      <c r="C19" s="8">
        <v>2</v>
      </c>
      <c r="D19" s="7">
        <v>2022</v>
      </c>
      <c r="E19" s="9">
        <v>15669.999999999447</v>
      </c>
      <c r="F19" s="30">
        <v>0.81389999999999996</v>
      </c>
      <c r="G19" s="9">
        <f>'Shenzhen Daily'!F22</f>
        <v>1254</v>
      </c>
      <c r="H19" s="30">
        <v>4.3899999999999997</v>
      </c>
      <c r="I19" s="9">
        <f>'Shenzhen Daily'!H22</f>
        <v>315</v>
      </c>
      <c r="J19" s="30">
        <v>5.09</v>
      </c>
      <c r="K19" s="9">
        <f>'Shenzhen Daily'!I22</f>
        <v>71.155000000000001</v>
      </c>
      <c r="L19" s="9">
        <f>'Shenzhen Daily'!J22</f>
        <v>325</v>
      </c>
    </row>
    <row r="20" spans="1:12" ht="15" x14ac:dyDescent="0.25">
      <c r="A20" s="6" t="s">
        <v>22</v>
      </c>
      <c r="B20" s="7">
        <f t="shared" si="0"/>
        <v>19</v>
      </c>
      <c r="C20" s="8">
        <v>2</v>
      </c>
      <c r="D20" s="7">
        <v>2022</v>
      </c>
      <c r="E20" s="9">
        <v>15482.999999999265</v>
      </c>
      <c r="F20" s="30">
        <v>0.81389999999999996</v>
      </c>
      <c r="G20" s="9">
        <f>'Shenzhen Daily'!F23</f>
        <v>1423</v>
      </c>
      <c r="H20" s="30">
        <v>4.3899999999999997</v>
      </c>
      <c r="I20" s="9">
        <f>'Shenzhen Daily'!H23</f>
        <v>286</v>
      </c>
      <c r="J20" s="30">
        <v>5.09</v>
      </c>
      <c r="K20" s="9">
        <f>'Shenzhen Daily'!I23</f>
        <v>73.389399999999995</v>
      </c>
      <c r="L20" s="9">
        <f>'Shenzhen Daily'!J23</f>
        <v>257</v>
      </c>
    </row>
    <row r="21" spans="1:12" ht="15" x14ac:dyDescent="0.25">
      <c r="A21" s="6" t="s">
        <v>22</v>
      </c>
      <c r="B21" s="7">
        <f t="shared" si="0"/>
        <v>20</v>
      </c>
      <c r="C21" s="8">
        <v>2</v>
      </c>
      <c r="D21" s="7">
        <v>2022</v>
      </c>
      <c r="E21" s="9">
        <v>14325.999999999705</v>
      </c>
      <c r="F21" s="30">
        <v>0.81389999999999996</v>
      </c>
      <c r="G21" s="9">
        <f>'Shenzhen Daily'!F24</f>
        <v>1557</v>
      </c>
      <c r="H21" s="30">
        <v>4.3899999999999997</v>
      </c>
      <c r="I21" s="9">
        <f>'Shenzhen Daily'!H24</f>
        <v>302</v>
      </c>
      <c r="J21" s="30">
        <v>5.09</v>
      </c>
      <c r="K21" s="9">
        <f>'Shenzhen Daily'!I24</f>
        <v>74.719399999999993</v>
      </c>
      <c r="L21" s="9">
        <f>'Shenzhen Daily'!J24</f>
        <v>243</v>
      </c>
    </row>
    <row r="22" spans="1:12" ht="15" x14ac:dyDescent="0.25">
      <c r="A22" s="6" t="s">
        <v>22</v>
      </c>
      <c r="B22" s="7">
        <f t="shared" si="0"/>
        <v>21</v>
      </c>
      <c r="C22" s="8">
        <v>2</v>
      </c>
      <c r="D22" s="7">
        <v>2022</v>
      </c>
      <c r="E22" s="9">
        <v>14284.000000001039</v>
      </c>
      <c r="F22" s="30">
        <v>0.81389999999999996</v>
      </c>
      <c r="G22" s="9">
        <f>'Shenzhen Daily'!F25</f>
        <v>1591</v>
      </c>
      <c r="H22" s="30">
        <v>4.3899999999999997</v>
      </c>
      <c r="I22" s="9">
        <f>'Shenzhen Daily'!H25</f>
        <v>305</v>
      </c>
      <c r="J22" s="30">
        <v>5.09</v>
      </c>
      <c r="K22" s="9">
        <f>'Shenzhen Daily'!I25</f>
        <v>74.240600000000001</v>
      </c>
      <c r="L22" s="9">
        <f>'Shenzhen Daily'!J25</f>
        <v>207</v>
      </c>
    </row>
    <row r="23" spans="1:12" ht="15" x14ac:dyDescent="0.25">
      <c r="A23" s="6" t="s">
        <v>22</v>
      </c>
      <c r="B23" s="7">
        <f t="shared" si="0"/>
        <v>22</v>
      </c>
      <c r="C23" s="8">
        <v>2</v>
      </c>
      <c r="D23" s="7">
        <v>2022</v>
      </c>
      <c r="E23" s="9">
        <v>14894.99999999922</v>
      </c>
      <c r="F23" s="30">
        <v>0.81389999999999996</v>
      </c>
      <c r="G23" s="9">
        <f>'Shenzhen Daily'!F26</f>
        <v>1708</v>
      </c>
      <c r="H23" s="30">
        <v>4.3899999999999997</v>
      </c>
      <c r="I23" s="9">
        <f>'Shenzhen Daily'!H26</f>
        <v>275</v>
      </c>
      <c r="J23" s="30">
        <v>5.09</v>
      </c>
      <c r="K23" s="9">
        <f>'Shenzhen Daily'!I26</f>
        <v>74.48</v>
      </c>
      <c r="L23" s="9">
        <f>'Shenzhen Daily'!J26</f>
        <v>216</v>
      </c>
    </row>
    <row r="24" spans="1:12" ht="15" x14ac:dyDescent="0.25">
      <c r="A24" s="6" t="s">
        <v>22</v>
      </c>
      <c r="B24" s="7">
        <f t="shared" si="0"/>
        <v>23</v>
      </c>
      <c r="C24" s="8">
        <v>2</v>
      </c>
      <c r="D24" s="7">
        <v>2022</v>
      </c>
      <c r="E24" s="9">
        <v>14854.000000001088</v>
      </c>
      <c r="F24" s="30">
        <v>0.81389999999999996</v>
      </c>
      <c r="G24" s="9">
        <f>'Shenzhen Daily'!F27</f>
        <v>1741</v>
      </c>
      <c r="H24" s="30">
        <v>4.3899999999999997</v>
      </c>
      <c r="I24" s="9">
        <f>'Shenzhen Daily'!H27</f>
        <v>318</v>
      </c>
      <c r="J24" s="30">
        <v>5.09</v>
      </c>
      <c r="K24" s="9">
        <f>'Shenzhen Daily'!I27</f>
        <v>75.650399999999991</v>
      </c>
      <c r="L24" s="9">
        <f>'Shenzhen Daily'!J27</f>
        <v>240</v>
      </c>
    </row>
    <row r="25" spans="1:12" ht="15" x14ac:dyDescent="0.25">
      <c r="A25" s="6" t="s">
        <v>22</v>
      </c>
      <c r="B25" s="7">
        <f t="shared" si="0"/>
        <v>24</v>
      </c>
      <c r="C25" s="8">
        <v>2</v>
      </c>
      <c r="D25" s="7">
        <v>2022</v>
      </c>
      <c r="E25" s="9">
        <v>15394.999999999278</v>
      </c>
      <c r="F25" s="30">
        <v>0.81389999999999996</v>
      </c>
      <c r="G25" s="9">
        <f>'Shenzhen Daily'!F28</f>
        <v>1730</v>
      </c>
      <c r="H25" s="30">
        <v>4.3899999999999997</v>
      </c>
      <c r="I25" s="9">
        <f>'Shenzhen Daily'!H28</f>
        <v>287</v>
      </c>
      <c r="J25" s="30">
        <v>5.09</v>
      </c>
      <c r="K25" s="9">
        <f>'Shenzhen Daily'!I28</f>
        <v>76.661200000000008</v>
      </c>
      <c r="L25" s="9">
        <f>'Shenzhen Daily'!J28</f>
        <v>177</v>
      </c>
    </row>
    <row r="26" spans="1:12" ht="15" x14ac:dyDescent="0.25">
      <c r="A26" s="6" t="s">
        <v>22</v>
      </c>
      <c r="B26" s="7">
        <f>B25+1</f>
        <v>25</v>
      </c>
      <c r="C26" s="8">
        <v>2</v>
      </c>
      <c r="D26" s="7">
        <v>2022</v>
      </c>
      <c r="E26" s="9">
        <v>14831.000000000518</v>
      </c>
      <c r="F26" s="30">
        <v>0.81389999999999996</v>
      </c>
      <c r="G26" s="9">
        <f>'Shenzhen Daily'!F29</f>
        <v>1515</v>
      </c>
      <c r="H26" s="30">
        <v>4.3899999999999997</v>
      </c>
      <c r="I26" s="9">
        <f>'Shenzhen Daily'!H29</f>
        <v>295</v>
      </c>
      <c r="J26" s="30">
        <v>5.09</v>
      </c>
      <c r="K26" s="9">
        <f>'Shenzhen Daily'!I29</f>
        <v>77.725200000000001</v>
      </c>
      <c r="L26" s="9">
        <f>'Shenzhen Daily'!J29</f>
        <v>165</v>
      </c>
    </row>
    <row r="27" spans="1:12" ht="15" x14ac:dyDescent="0.25">
      <c r="A27" s="6" t="s">
        <v>22</v>
      </c>
      <c r="B27" s="7">
        <f t="shared" si="0"/>
        <v>26</v>
      </c>
      <c r="C27" s="8">
        <v>2</v>
      </c>
      <c r="D27" s="7">
        <v>2022</v>
      </c>
      <c r="E27" s="9">
        <v>16339.999999999203</v>
      </c>
      <c r="F27" s="30">
        <v>0.81389999999999996</v>
      </c>
      <c r="G27" s="9">
        <f>'Shenzhen Daily'!F30</f>
        <v>1279</v>
      </c>
      <c r="H27" s="30">
        <v>4.3899999999999997</v>
      </c>
      <c r="I27" s="9">
        <f>'Shenzhen Daily'!H30</f>
        <v>323</v>
      </c>
      <c r="J27" s="30">
        <v>5.09</v>
      </c>
      <c r="K27" s="9">
        <f>'Shenzhen Daily'!I30</f>
        <v>76.980400000000003</v>
      </c>
      <c r="L27" s="9">
        <f>'Shenzhen Daily'!J30</f>
        <v>94</v>
      </c>
    </row>
    <row r="28" spans="1:12" ht="15" x14ac:dyDescent="0.25">
      <c r="A28" s="6" t="s">
        <v>22</v>
      </c>
      <c r="B28" s="7">
        <f t="shared" si="0"/>
        <v>27</v>
      </c>
      <c r="C28" s="8">
        <v>2</v>
      </c>
      <c r="D28" s="7">
        <v>2022</v>
      </c>
      <c r="E28" s="9">
        <v>13610.000000001015</v>
      </c>
      <c r="F28" s="30">
        <v>0.81389999999999996</v>
      </c>
      <c r="G28" s="9">
        <f>'Shenzhen Daily'!F31</f>
        <v>1212</v>
      </c>
      <c r="H28" s="30">
        <v>4.3899999999999997</v>
      </c>
      <c r="I28" s="9">
        <f>'Shenzhen Daily'!H31</f>
        <v>259</v>
      </c>
      <c r="J28" s="30">
        <v>5.09</v>
      </c>
      <c r="K28" s="9">
        <f>'Shenzhen Daily'!I31</f>
        <v>75.517399999999995</v>
      </c>
      <c r="L28" s="9">
        <f>'Shenzhen Daily'!J31</f>
        <v>107</v>
      </c>
    </row>
    <row r="29" spans="1:12" ht="15" x14ac:dyDescent="0.25">
      <c r="A29" s="6" t="s">
        <v>22</v>
      </c>
      <c r="B29" s="7">
        <f t="shared" si="0"/>
        <v>28</v>
      </c>
      <c r="C29" s="8">
        <v>2</v>
      </c>
      <c r="D29" s="7">
        <v>2022</v>
      </c>
      <c r="E29" s="9">
        <v>14435.999999999467</v>
      </c>
      <c r="F29" s="30">
        <v>0.81389999999999996</v>
      </c>
      <c r="G29" s="9">
        <f>'Shenzhen Daily'!F32</f>
        <v>1169</v>
      </c>
      <c r="H29" s="30">
        <v>4.3899999999999997</v>
      </c>
      <c r="I29" s="9">
        <f>'Shenzhen Daily'!H32</f>
        <v>256</v>
      </c>
      <c r="J29" s="30">
        <v>5.09</v>
      </c>
      <c r="K29" s="9">
        <f>'Shenzhen Daily'!I32</f>
        <v>74.187399999999997</v>
      </c>
      <c r="L29" s="9">
        <f>'Shenzhen Daily'!J32</f>
        <v>48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32"/>
  <sheetViews>
    <sheetView zoomScale="85" zoomScaleNormal="85" workbookViewId="0">
      <pane xSplit="1" topLeftCell="B1" activePane="topRight" state="frozen"/>
      <selection pane="topRight" activeCell="M27" sqref="M27"/>
    </sheetView>
  </sheetViews>
  <sheetFormatPr defaultRowHeight="13.5" x14ac:dyDescent="0.15"/>
  <cols>
    <col min="1" max="1" width="14" style="13" customWidth="1"/>
    <col min="2" max="2" width="2" style="13" customWidth="1"/>
    <col min="3" max="3" width="11.85546875" style="27" customWidth="1"/>
    <col min="4" max="4" width="13.5703125" style="28" customWidth="1"/>
    <col min="5" max="5" width="14.85546875" style="13" customWidth="1"/>
    <col min="6" max="6" width="14.85546875" style="27" customWidth="1"/>
    <col min="7" max="7" width="14.42578125" style="13" customWidth="1"/>
    <col min="8" max="8" width="12.5703125" style="13" customWidth="1"/>
    <col min="9" max="10" width="13" style="29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45"/>
      <c r="C1" s="10"/>
      <c r="D1" s="11"/>
      <c r="E1" s="10"/>
      <c r="F1" s="10"/>
      <c r="G1" s="47"/>
      <c r="H1" s="47"/>
      <c r="I1" s="12"/>
      <c r="J1" s="12"/>
    </row>
    <row r="2" spans="1:10" ht="35.25" customHeight="1" thickBot="1" x14ac:dyDescent="0.2">
      <c r="A2" s="14" t="s">
        <v>9</v>
      </c>
      <c r="B2" s="45"/>
      <c r="C2" s="48" t="s">
        <v>19</v>
      </c>
      <c r="D2" s="49"/>
      <c r="E2" s="50" t="s">
        <v>20</v>
      </c>
      <c r="F2" s="50"/>
      <c r="G2" s="51" t="s">
        <v>10</v>
      </c>
      <c r="H2" s="52"/>
      <c r="I2" s="15"/>
      <c r="J2" s="15"/>
    </row>
    <row r="3" spans="1:10" ht="44.25" customHeight="1" x14ac:dyDescent="0.15">
      <c r="A3" s="16" t="s">
        <v>11</v>
      </c>
      <c r="B3" s="45"/>
      <c r="C3" s="36" t="s">
        <v>12</v>
      </c>
      <c r="D3" s="17" t="s">
        <v>13</v>
      </c>
      <c r="E3" s="40" t="s">
        <v>14</v>
      </c>
      <c r="F3" s="18" t="s">
        <v>13</v>
      </c>
      <c r="G3" s="40" t="s">
        <v>15</v>
      </c>
      <c r="H3" s="19" t="s">
        <v>16</v>
      </c>
      <c r="I3" s="20" t="s">
        <v>17</v>
      </c>
      <c r="J3" s="20" t="s">
        <v>18</v>
      </c>
    </row>
    <row r="4" spans="1:10" s="22" customFormat="1" ht="35.25" customHeight="1" x14ac:dyDescent="0.2">
      <c r="A4" s="21">
        <v>44592</v>
      </c>
      <c r="B4" s="46"/>
      <c r="C4" s="37">
        <v>27680.639999999996</v>
      </c>
      <c r="D4" s="38"/>
      <c r="E4" s="37">
        <v>2490453</v>
      </c>
      <c r="F4" s="41"/>
      <c r="G4" s="37">
        <v>558671</v>
      </c>
      <c r="H4" s="43"/>
      <c r="I4" s="23">
        <v>39</v>
      </c>
      <c r="J4" s="23">
        <v>381</v>
      </c>
    </row>
    <row r="5" spans="1:10" ht="33" customHeight="1" x14ac:dyDescent="0.2">
      <c r="A5" s="24">
        <v>44593</v>
      </c>
      <c r="B5" s="46"/>
      <c r="C5" s="37">
        <v>27596.989999999998</v>
      </c>
      <c r="D5" s="39" t="str">
        <f t="shared" ref="D5:D22" si="0">IF((C5-C4&lt;0), "0",C5-C4)</f>
        <v>0</v>
      </c>
      <c r="E5" s="37">
        <v>2491660</v>
      </c>
      <c r="F5" s="39">
        <f>IF((E5-E4&lt;0), "0",E5-E4)</f>
        <v>1207</v>
      </c>
      <c r="G5" s="37">
        <v>558938</v>
      </c>
      <c r="H5" s="35">
        <f>IF((G5-G4&lt;0), "0",G5-G4)</f>
        <v>267</v>
      </c>
      <c r="I5" s="26">
        <v>90.360200000000006</v>
      </c>
      <c r="J5" s="26">
        <v>178</v>
      </c>
    </row>
    <row r="6" spans="1:10" ht="45" customHeight="1" x14ac:dyDescent="0.2">
      <c r="A6" s="24">
        <v>44594</v>
      </c>
      <c r="B6" s="46"/>
      <c r="C6" s="37">
        <v>27609.38</v>
      </c>
      <c r="D6" s="39">
        <f t="shared" si="0"/>
        <v>12.390000000003056</v>
      </c>
      <c r="E6" s="37">
        <v>2492872</v>
      </c>
      <c r="F6" s="39">
        <f>IF((E6-E5&lt;0), "0",E6-E5)</f>
        <v>1212</v>
      </c>
      <c r="G6" s="37">
        <v>559163</v>
      </c>
      <c r="H6" s="44">
        <f t="shared" ref="H6:H28" si="1">IF((G6-G5&lt;0), "0",G6-G5)</f>
        <v>225</v>
      </c>
      <c r="I6" s="34">
        <v>47.188400000000001</v>
      </c>
      <c r="J6" s="34">
        <v>216</v>
      </c>
    </row>
    <row r="7" spans="1:10" ht="45" customHeight="1" x14ac:dyDescent="0.2">
      <c r="A7" s="24">
        <v>44595</v>
      </c>
      <c r="B7" s="46"/>
      <c r="C7" s="37">
        <v>27621.749999999996</v>
      </c>
      <c r="D7" s="39">
        <f t="shared" si="0"/>
        <v>12.369999999995343</v>
      </c>
      <c r="E7" s="37">
        <v>2494133</v>
      </c>
      <c r="F7" s="39">
        <f>IF((E7-E6&lt;0), "0",E7-E6)</f>
        <v>1261</v>
      </c>
      <c r="G7" s="37">
        <v>559393</v>
      </c>
      <c r="H7" s="35">
        <f t="shared" si="1"/>
        <v>230</v>
      </c>
      <c r="I7" s="12">
        <v>49.183399999999999</v>
      </c>
      <c r="J7" s="12">
        <v>288</v>
      </c>
    </row>
    <row r="8" spans="1:10" ht="45" customHeight="1" x14ac:dyDescent="0.2">
      <c r="A8" s="24">
        <v>44596</v>
      </c>
      <c r="B8" s="45"/>
      <c r="C8" s="31">
        <v>27634.37</v>
      </c>
      <c r="D8" s="33">
        <f t="shared" si="0"/>
        <v>12.620000000002619</v>
      </c>
      <c r="E8" s="31">
        <v>2495340</v>
      </c>
      <c r="F8" s="42">
        <f t="shared" ref="F8:F32" si="2">IF((E8-E7&lt;0), "0",E8-E7)</f>
        <v>1207</v>
      </c>
      <c r="G8" s="37">
        <v>559669</v>
      </c>
      <c r="H8" s="35">
        <f t="shared" si="1"/>
        <v>276</v>
      </c>
      <c r="I8" s="12">
        <v>49.183399999999999</v>
      </c>
      <c r="J8" s="12">
        <v>197</v>
      </c>
    </row>
    <row r="9" spans="1:10" ht="45" customHeight="1" x14ac:dyDescent="0.2">
      <c r="A9" s="24">
        <v>44597</v>
      </c>
      <c r="B9" s="45"/>
      <c r="C9" s="31">
        <v>27647.75</v>
      </c>
      <c r="D9" s="25">
        <f t="shared" si="0"/>
        <v>13.380000000001019</v>
      </c>
      <c r="E9" s="31">
        <v>2496618</v>
      </c>
      <c r="F9" s="25">
        <f>IF((E9-E8&lt;0), "0",E9-E8)</f>
        <v>1278</v>
      </c>
      <c r="G9" s="31">
        <v>559938</v>
      </c>
      <c r="H9" s="25">
        <f t="shared" si="1"/>
        <v>269</v>
      </c>
      <c r="I9" s="12">
        <v>50.992200000000004</v>
      </c>
      <c r="J9" s="12">
        <v>273</v>
      </c>
    </row>
    <row r="10" spans="1:10" ht="45" customHeight="1" x14ac:dyDescent="0.2">
      <c r="A10" s="24">
        <v>44598</v>
      </c>
      <c r="B10" s="45"/>
      <c r="C10" s="31">
        <v>27660.950000000004</v>
      </c>
      <c r="D10" s="25">
        <f t="shared" si="0"/>
        <v>13.200000000004366</v>
      </c>
      <c r="E10" s="31">
        <v>2497780</v>
      </c>
      <c r="F10" s="25">
        <f>IF((E10-E9&lt;0), "0",E10-E9)</f>
        <v>1162</v>
      </c>
      <c r="G10" s="31">
        <v>560190</v>
      </c>
      <c r="H10" s="25">
        <f t="shared" si="1"/>
        <v>252</v>
      </c>
      <c r="I10" s="12">
        <v>52.641399999999997</v>
      </c>
      <c r="J10" s="12">
        <v>203</v>
      </c>
    </row>
    <row r="11" spans="1:10" ht="45" customHeight="1" x14ac:dyDescent="0.2">
      <c r="A11" s="24">
        <v>44599</v>
      </c>
      <c r="B11" s="45"/>
      <c r="C11" s="31">
        <v>27673.93</v>
      </c>
      <c r="D11" s="25">
        <f t="shared" si="0"/>
        <v>12.979999999995925</v>
      </c>
      <c r="E11" s="31">
        <v>2499037</v>
      </c>
      <c r="F11" s="25">
        <f>IF((E11-E10&lt;0), "0",E11-E10)</f>
        <v>1257</v>
      </c>
      <c r="G11" s="31">
        <v>560470</v>
      </c>
      <c r="H11" s="25">
        <f t="shared" si="1"/>
        <v>280</v>
      </c>
      <c r="I11" s="12">
        <v>51.2316</v>
      </c>
      <c r="J11" s="12">
        <v>265</v>
      </c>
    </row>
    <row r="12" spans="1:10" ht="45" customHeight="1" x14ac:dyDescent="0.2">
      <c r="A12" s="24">
        <v>44600</v>
      </c>
      <c r="B12" s="45"/>
      <c r="C12" s="31">
        <v>27687.52</v>
      </c>
      <c r="D12" s="25">
        <f t="shared" si="0"/>
        <v>13.590000000000146</v>
      </c>
      <c r="E12" s="31">
        <v>2499946</v>
      </c>
      <c r="F12" s="25">
        <f t="shared" si="2"/>
        <v>909</v>
      </c>
      <c r="G12" s="31">
        <v>560722</v>
      </c>
      <c r="H12" s="25">
        <f t="shared" si="1"/>
        <v>252</v>
      </c>
      <c r="I12" s="12">
        <v>50.779399999999995</v>
      </c>
      <c r="J12" s="12">
        <v>199</v>
      </c>
    </row>
    <row r="13" spans="1:10" ht="45" customHeight="1" x14ac:dyDescent="0.2">
      <c r="A13" s="24">
        <v>44601</v>
      </c>
      <c r="B13" s="45"/>
      <c r="C13" s="31">
        <v>27701.500000000004</v>
      </c>
      <c r="D13" s="25">
        <f t="shared" si="0"/>
        <v>13.980000000003201</v>
      </c>
      <c r="E13" s="31">
        <v>2501203</v>
      </c>
      <c r="F13" s="25">
        <f>IF((E13-E12&lt;0), "0",E13-E12)</f>
        <v>1257</v>
      </c>
      <c r="G13" s="31">
        <v>561019</v>
      </c>
      <c r="H13" s="25">
        <f t="shared" si="1"/>
        <v>297</v>
      </c>
      <c r="I13" s="12">
        <v>52.348800000000004</v>
      </c>
      <c r="J13" s="12">
        <v>198</v>
      </c>
    </row>
    <row r="14" spans="1:10" ht="45" customHeight="1" x14ac:dyDescent="0.2">
      <c r="A14" s="24">
        <v>44602</v>
      </c>
      <c r="B14" s="45"/>
      <c r="C14" s="31">
        <v>27715.819999999996</v>
      </c>
      <c r="D14" s="25">
        <f t="shared" si="0"/>
        <v>14.319999999992433</v>
      </c>
      <c r="E14" s="31">
        <v>2502506</v>
      </c>
      <c r="F14" s="25">
        <f>IF((E14-E13&lt;0), "0",E14-E13)</f>
        <v>1303</v>
      </c>
      <c r="G14" s="31">
        <v>561368</v>
      </c>
      <c r="H14" s="25">
        <f t="shared" si="1"/>
        <v>349</v>
      </c>
      <c r="I14" s="12">
        <v>55.780200000000001</v>
      </c>
      <c r="J14" s="12">
        <v>382</v>
      </c>
    </row>
    <row r="15" spans="1:10" ht="45" customHeight="1" x14ac:dyDescent="0.2">
      <c r="A15" s="24">
        <v>44603</v>
      </c>
      <c r="B15" s="45"/>
      <c r="C15" s="31">
        <v>27730.39</v>
      </c>
      <c r="D15" s="25">
        <f t="shared" si="0"/>
        <v>14.570000000003347</v>
      </c>
      <c r="E15" s="31">
        <v>2503660</v>
      </c>
      <c r="F15" s="25">
        <f>IF((E15-E14&lt;0), "0",E15-E14)</f>
        <v>1154</v>
      </c>
      <c r="G15" s="31">
        <v>561664</v>
      </c>
      <c r="H15" s="25">
        <f t="shared" si="1"/>
        <v>296</v>
      </c>
      <c r="I15" s="12">
        <v>59.451000000000001</v>
      </c>
      <c r="J15" s="12">
        <v>309</v>
      </c>
    </row>
    <row r="16" spans="1:10" ht="45" customHeight="1" x14ac:dyDescent="0.2">
      <c r="A16" s="24">
        <v>44604</v>
      </c>
      <c r="B16" s="45"/>
      <c r="C16" s="31">
        <v>27745.420000000002</v>
      </c>
      <c r="D16" s="25">
        <f t="shared" si="0"/>
        <v>15.030000000002474</v>
      </c>
      <c r="E16" s="31">
        <v>2504886</v>
      </c>
      <c r="F16" s="25">
        <f>IF((E16-E15&lt;0), "0",E16-E15)</f>
        <v>1226</v>
      </c>
      <c r="G16" s="31">
        <v>561940</v>
      </c>
      <c r="H16" s="25">
        <f t="shared" si="1"/>
        <v>276</v>
      </c>
      <c r="I16" s="12">
        <v>60.328800000000001</v>
      </c>
      <c r="J16" s="12">
        <v>242</v>
      </c>
    </row>
    <row r="17" spans="1:15" ht="45" customHeight="1" x14ac:dyDescent="0.2">
      <c r="A17" s="24">
        <v>44605</v>
      </c>
      <c r="B17" s="45"/>
      <c r="C17" s="31">
        <v>27759.07</v>
      </c>
      <c r="D17" s="25">
        <f t="shared" si="0"/>
        <v>13.649999999997817</v>
      </c>
      <c r="E17" s="31">
        <v>2506072</v>
      </c>
      <c r="F17" s="25">
        <f t="shared" si="2"/>
        <v>1186</v>
      </c>
      <c r="G17" s="31">
        <v>562202</v>
      </c>
      <c r="H17" s="25">
        <f t="shared" si="1"/>
        <v>262</v>
      </c>
      <c r="I17" s="12">
        <v>61.339599999999997</v>
      </c>
      <c r="J17" s="12">
        <v>271</v>
      </c>
    </row>
    <row r="18" spans="1:15" ht="45" customHeight="1" x14ac:dyDescent="0.2">
      <c r="A18" s="24">
        <v>44606</v>
      </c>
      <c r="B18" s="45"/>
      <c r="C18" s="31">
        <v>27773.62</v>
      </c>
      <c r="D18" s="25">
        <f t="shared" si="0"/>
        <v>14.549999999999272</v>
      </c>
      <c r="E18" s="31">
        <v>2507334</v>
      </c>
      <c r="F18" s="25">
        <f>IF((E18-E17&lt;0), "0",E18-E17)</f>
        <v>1262</v>
      </c>
      <c r="G18" s="31">
        <v>562491</v>
      </c>
      <c r="H18" s="25">
        <f t="shared" si="1"/>
        <v>289</v>
      </c>
      <c r="I18" s="12">
        <v>62.084400000000002</v>
      </c>
      <c r="J18" s="12">
        <v>280</v>
      </c>
    </row>
    <row r="19" spans="1:15" ht="45" customHeight="1" x14ac:dyDescent="0.2">
      <c r="A19" s="24">
        <v>44607</v>
      </c>
      <c r="B19" s="45"/>
      <c r="C19" s="31">
        <v>27788.250000000004</v>
      </c>
      <c r="D19" s="25">
        <f t="shared" si="0"/>
        <v>14.630000000004657</v>
      </c>
      <c r="E19" s="31">
        <v>2508637</v>
      </c>
      <c r="F19" s="25">
        <f t="shared" si="2"/>
        <v>1303</v>
      </c>
      <c r="G19" s="31">
        <v>562806</v>
      </c>
      <c r="H19" s="25">
        <f t="shared" si="1"/>
        <v>315</v>
      </c>
      <c r="I19" s="12">
        <v>64.558199999999999</v>
      </c>
      <c r="J19" s="12">
        <v>309</v>
      </c>
    </row>
    <row r="20" spans="1:15" ht="45" customHeight="1" x14ac:dyDescent="0.2">
      <c r="A20" s="24">
        <v>44608</v>
      </c>
      <c r="B20" s="45"/>
      <c r="C20" s="31">
        <v>27802.79</v>
      </c>
      <c r="D20" s="25">
        <f t="shared" si="0"/>
        <v>14.539999999997235</v>
      </c>
      <c r="E20" s="31">
        <v>2509895</v>
      </c>
      <c r="F20" s="25">
        <f t="shared" si="2"/>
        <v>1258</v>
      </c>
      <c r="G20" s="31">
        <v>563121</v>
      </c>
      <c r="H20" s="25">
        <f t="shared" si="1"/>
        <v>315</v>
      </c>
      <c r="I20" s="12">
        <v>65.196600000000004</v>
      </c>
      <c r="J20" s="12">
        <v>267</v>
      </c>
    </row>
    <row r="21" spans="1:15" ht="45" customHeight="1" x14ac:dyDescent="0.2">
      <c r="A21" s="24">
        <v>44609</v>
      </c>
      <c r="B21" s="45"/>
      <c r="C21" s="31">
        <v>27817.87</v>
      </c>
      <c r="D21" s="25">
        <f t="shared" si="0"/>
        <v>15.079999999998108</v>
      </c>
      <c r="E21" s="31">
        <v>2511163</v>
      </c>
      <c r="F21" s="25">
        <f t="shared" si="2"/>
        <v>1268</v>
      </c>
      <c r="G21" s="31">
        <v>563417</v>
      </c>
      <c r="H21" s="25">
        <f t="shared" si="1"/>
        <v>296</v>
      </c>
      <c r="I21" s="12">
        <v>68.149199999999993</v>
      </c>
      <c r="J21" s="12">
        <v>354</v>
      </c>
    </row>
    <row r="22" spans="1:15" ht="45" customHeight="1" x14ac:dyDescent="0.2">
      <c r="A22" s="24">
        <v>44610</v>
      </c>
      <c r="B22" s="45"/>
      <c r="C22" s="31">
        <v>27832.27</v>
      </c>
      <c r="D22" s="25">
        <f t="shared" si="0"/>
        <v>14.400000000001455</v>
      </c>
      <c r="E22" s="31">
        <v>2512417</v>
      </c>
      <c r="F22" s="25">
        <f t="shared" si="2"/>
        <v>1254</v>
      </c>
      <c r="G22" s="31">
        <v>563732</v>
      </c>
      <c r="H22" s="25">
        <f t="shared" si="1"/>
        <v>315</v>
      </c>
      <c r="I22" s="12">
        <v>71.155000000000001</v>
      </c>
      <c r="J22" s="12">
        <v>325</v>
      </c>
    </row>
    <row r="23" spans="1:15" ht="45" customHeight="1" x14ac:dyDescent="0.2">
      <c r="A23" s="24">
        <v>44611</v>
      </c>
      <c r="B23" s="45"/>
      <c r="C23" s="31">
        <v>27846.370000000003</v>
      </c>
      <c r="D23" s="25">
        <f>IF((C23-C22&lt;0), "0",C23-C22)</f>
        <v>14.100000000002183</v>
      </c>
      <c r="E23" s="31">
        <v>2513840</v>
      </c>
      <c r="F23" s="25">
        <f t="shared" si="2"/>
        <v>1423</v>
      </c>
      <c r="G23" s="31">
        <v>564018</v>
      </c>
      <c r="H23" s="25">
        <f t="shared" si="1"/>
        <v>286</v>
      </c>
      <c r="I23" s="12">
        <v>73.389399999999995</v>
      </c>
      <c r="J23" s="12">
        <v>257</v>
      </c>
    </row>
    <row r="24" spans="1:15" ht="45" customHeight="1" x14ac:dyDescent="0.2">
      <c r="A24" s="24">
        <v>44612</v>
      </c>
      <c r="B24" s="45"/>
      <c r="C24" s="31">
        <v>27859.17</v>
      </c>
      <c r="D24" s="25">
        <f t="shared" ref="D24:D32" si="3">IF((C24-C23&lt;0), "0",C24-C23)</f>
        <v>12.799999999995634</v>
      </c>
      <c r="E24" s="31">
        <v>2515397</v>
      </c>
      <c r="F24" s="25">
        <f t="shared" si="2"/>
        <v>1557</v>
      </c>
      <c r="G24" s="31">
        <v>564320</v>
      </c>
      <c r="H24" s="25">
        <f t="shared" si="1"/>
        <v>302</v>
      </c>
      <c r="I24" s="12">
        <v>74.719399999999993</v>
      </c>
      <c r="J24" s="12">
        <v>243</v>
      </c>
    </row>
    <row r="25" spans="1:15" ht="45" customHeight="1" x14ac:dyDescent="0.2">
      <c r="A25" s="24">
        <v>44613</v>
      </c>
      <c r="B25" s="45"/>
      <c r="C25" s="31">
        <v>27872.149999999998</v>
      </c>
      <c r="D25" s="25">
        <f t="shared" si="3"/>
        <v>12.979999999999563</v>
      </c>
      <c r="E25" s="31">
        <v>2516988</v>
      </c>
      <c r="F25" s="25">
        <f t="shared" si="2"/>
        <v>1591</v>
      </c>
      <c r="G25" s="31">
        <v>564625</v>
      </c>
      <c r="H25" s="25">
        <f t="shared" si="1"/>
        <v>305</v>
      </c>
      <c r="I25" s="12">
        <v>74.240600000000001</v>
      </c>
      <c r="J25" s="12">
        <v>207</v>
      </c>
    </row>
    <row r="26" spans="1:15" ht="45" customHeight="1" x14ac:dyDescent="0.2">
      <c r="A26" s="24">
        <v>44614</v>
      </c>
      <c r="B26" s="45"/>
      <c r="C26" s="31">
        <v>27885.829999999998</v>
      </c>
      <c r="D26" s="25">
        <f t="shared" si="3"/>
        <v>13.680000000000291</v>
      </c>
      <c r="E26" s="31">
        <v>2518696</v>
      </c>
      <c r="F26" s="25">
        <f t="shared" si="2"/>
        <v>1708</v>
      </c>
      <c r="G26" s="31">
        <v>564900</v>
      </c>
      <c r="H26" s="25">
        <f t="shared" si="1"/>
        <v>275</v>
      </c>
      <c r="I26" s="12">
        <v>74.48</v>
      </c>
      <c r="J26" s="12">
        <v>216</v>
      </c>
    </row>
    <row r="27" spans="1:15" ht="45" customHeight="1" x14ac:dyDescent="0.2">
      <c r="A27" s="24">
        <v>44615</v>
      </c>
      <c r="B27" s="45"/>
      <c r="C27" s="31">
        <v>27899.86</v>
      </c>
      <c r="D27" s="25">
        <f t="shared" si="3"/>
        <v>14.030000000002474</v>
      </c>
      <c r="E27" s="31">
        <v>2520437</v>
      </c>
      <c r="F27" s="25">
        <f t="shared" si="2"/>
        <v>1741</v>
      </c>
      <c r="G27" s="31">
        <v>565218</v>
      </c>
      <c r="H27" s="25">
        <f t="shared" si="1"/>
        <v>318</v>
      </c>
      <c r="I27" s="12">
        <v>75.650399999999991</v>
      </c>
      <c r="J27" s="12">
        <v>240</v>
      </c>
    </row>
    <row r="28" spans="1:15" ht="45" customHeight="1" x14ac:dyDescent="0.2">
      <c r="A28" s="24">
        <v>44616</v>
      </c>
      <c r="B28" s="45"/>
      <c r="C28" s="31">
        <v>27914.61</v>
      </c>
      <c r="D28" s="25">
        <f t="shared" si="3"/>
        <v>14.75</v>
      </c>
      <c r="E28" s="31">
        <v>2522167</v>
      </c>
      <c r="F28" s="25">
        <f t="shared" si="2"/>
        <v>1730</v>
      </c>
      <c r="G28" s="31">
        <v>565505</v>
      </c>
      <c r="H28" s="25">
        <f t="shared" si="1"/>
        <v>287</v>
      </c>
      <c r="I28" s="12">
        <v>76.661200000000008</v>
      </c>
      <c r="J28" s="12">
        <v>177</v>
      </c>
    </row>
    <row r="29" spans="1:15" ht="45" customHeight="1" x14ac:dyDescent="0.2">
      <c r="A29" s="24">
        <v>44617</v>
      </c>
      <c r="B29" s="45"/>
      <c r="C29" s="31">
        <v>27928.82</v>
      </c>
      <c r="D29" s="25">
        <f t="shared" si="3"/>
        <v>14.209999999999127</v>
      </c>
      <c r="E29" s="31">
        <v>2523682</v>
      </c>
      <c r="F29" s="25">
        <f t="shared" si="2"/>
        <v>1515</v>
      </c>
      <c r="G29" s="31">
        <v>565800</v>
      </c>
      <c r="H29" s="25">
        <f>IF((G29-G28&lt;0), "0",G29-G28)</f>
        <v>295</v>
      </c>
      <c r="I29" s="12">
        <v>77.725200000000001</v>
      </c>
      <c r="J29" s="12">
        <v>165</v>
      </c>
    </row>
    <row r="30" spans="1:15" ht="45" customHeight="1" x14ac:dyDescent="0.2">
      <c r="A30" s="24">
        <v>44618</v>
      </c>
      <c r="B30" s="45"/>
      <c r="C30" s="31">
        <v>27943.110000000004</v>
      </c>
      <c r="D30" s="25">
        <f t="shared" si="3"/>
        <v>14.290000000004511</v>
      </c>
      <c r="E30" s="31">
        <v>2524961</v>
      </c>
      <c r="F30" s="25">
        <f t="shared" si="2"/>
        <v>1279</v>
      </c>
      <c r="G30" s="31">
        <v>566123</v>
      </c>
      <c r="H30" s="25">
        <f>IF((G30-G29&lt;0), "0",G30-G29)</f>
        <v>323</v>
      </c>
      <c r="I30" s="12">
        <v>76.980400000000003</v>
      </c>
      <c r="J30" s="12">
        <v>94</v>
      </c>
      <c r="O30" s="32"/>
    </row>
    <row r="31" spans="1:15" ht="45" customHeight="1" x14ac:dyDescent="0.2">
      <c r="A31" s="24">
        <v>44619</v>
      </c>
      <c r="B31" s="45"/>
      <c r="C31" s="31">
        <v>27953.979999999996</v>
      </c>
      <c r="D31" s="25">
        <f t="shared" si="3"/>
        <v>10.869999999991705</v>
      </c>
      <c r="E31" s="31">
        <v>2526173</v>
      </c>
      <c r="F31" s="25">
        <f t="shared" si="2"/>
        <v>1212</v>
      </c>
      <c r="G31" s="31">
        <v>566382</v>
      </c>
      <c r="H31" s="25">
        <f>IF((G31-G30&lt;0), "0",G31-G30)</f>
        <v>259</v>
      </c>
      <c r="I31" s="12">
        <v>75.517399999999995</v>
      </c>
      <c r="J31" s="12">
        <v>107</v>
      </c>
    </row>
    <row r="32" spans="1:15" ht="45" customHeight="1" x14ac:dyDescent="0.2">
      <c r="A32" s="24">
        <v>44620</v>
      </c>
      <c r="B32" s="45"/>
      <c r="C32" s="31">
        <v>28135.139999999996</v>
      </c>
      <c r="D32" s="25">
        <f t="shared" si="3"/>
        <v>181.15999999999985</v>
      </c>
      <c r="E32" s="31">
        <v>2527342</v>
      </c>
      <c r="F32" s="25">
        <f t="shared" si="2"/>
        <v>1169</v>
      </c>
      <c r="G32" s="31">
        <v>566638</v>
      </c>
      <c r="H32" s="25">
        <f>IF((G32-G31&lt;0), "0",G32-G31)</f>
        <v>256</v>
      </c>
      <c r="I32" s="12">
        <v>74.187399999999997</v>
      </c>
      <c r="J32" s="12">
        <v>48</v>
      </c>
    </row>
  </sheetData>
  <mergeCells count="5">
    <mergeCell ref="B1:B32"/>
    <mergeCell ref="G1:H1"/>
    <mergeCell ref="C2:D2"/>
    <mergeCell ref="E2:F2"/>
    <mergeCell ref="G2:H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</vt:lpstr>
      <vt:lpstr>Shenzhen Daily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Yuna Qiu</cp:lastModifiedBy>
  <cp:lastPrinted>2020-10-01T03:34:29Z</cp:lastPrinted>
  <dcterms:created xsi:type="dcterms:W3CDTF">2009-02-11T09:03:59Z</dcterms:created>
  <dcterms:modified xsi:type="dcterms:W3CDTF">2023-03-14T04:07:31Z</dcterms:modified>
</cp:coreProperties>
</file>