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8" i="6" l="1"/>
  <c r="E38" i="6"/>
  <c r="C38" i="6"/>
  <c r="G33" i="4"/>
  <c r="E33" i="4"/>
  <c r="C33" i="4"/>
  <c r="G37" i="6" l="1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4" i="6"/>
  <c r="E34" i="6"/>
  <c r="C34" i="6"/>
  <c r="G33" i="6"/>
  <c r="E33" i="6"/>
  <c r="C33" i="6"/>
  <c r="G30" i="4"/>
  <c r="E30" i="4"/>
  <c r="C30" i="4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33" i="10"/>
  <c r="W34" i="10"/>
  <c r="W35" i="10"/>
  <c r="W36" i="10"/>
  <c r="W37" i="10"/>
  <c r="W38" i="10"/>
  <c r="W39" i="10"/>
  <c r="W40" i="10"/>
  <c r="W10" i="10"/>
  <c r="M48" i="4"/>
  <c r="P12" i="4"/>
  <c r="P13" i="4"/>
  <c r="P14" i="4"/>
  <c r="P15" i="4"/>
  <c r="P16" i="4"/>
  <c r="P17" i="4"/>
  <c r="P18" i="4"/>
  <c r="P34" i="4"/>
  <c r="P35" i="4"/>
  <c r="P36" i="4"/>
  <c r="P37" i="4"/>
  <c r="P38" i="4"/>
  <c r="P39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39" i="6"/>
  <c r="C40" i="6"/>
  <c r="C41" i="6"/>
  <c r="C42" i="6"/>
  <c r="C43" i="6"/>
  <c r="C44" i="6"/>
  <c r="C45" i="6"/>
  <c r="C46" i="6"/>
  <c r="C47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I18" i="4" l="1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P33" i="4" s="1"/>
  <c r="I33" i="4"/>
  <c r="I30" i="4"/>
  <c r="L34" i="4"/>
  <c r="N34" i="4" s="1"/>
  <c r="O34" i="4" s="1"/>
  <c r="I34" i="4"/>
  <c r="I32" i="4"/>
  <c r="L32" i="4"/>
  <c r="N32" i="4" s="1"/>
  <c r="O32" i="4" s="1"/>
  <c r="P32" i="4" s="1"/>
  <c r="I36" i="4"/>
  <c r="L36" i="4"/>
  <c r="N36" i="4" s="1"/>
  <c r="O36" i="4" s="1"/>
  <c r="I35" i="4"/>
  <c r="I37" i="4"/>
  <c r="I31" i="4"/>
  <c r="L31" i="4"/>
  <c r="N31" i="4" s="1"/>
  <c r="O31" i="4" s="1"/>
  <c r="P31" i="4" s="1"/>
  <c r="I28" i="4"/>
  <c r="I27" i="4"/>
  <c r="L27" i="4"/>
  <c r="N27" i="4" s="1"/>
  <c r="O27" i="4" s="1"/>
  <c r="P27" i="4" s="1"/>
  <c r="I26" i="4"/>
  <c r="I17" i="4"/>
  <c r="L17" i="4"/>
  <c r="N17" i="4" s="1"/>
  <c r="O17" i="4" s="1"/>
  <c r="I40" i="4"/>
  <c r="I39" i="4"/>
  <c r="L39" i="4"/>
  <c r="N39" i="4" s="1"/>
  <c r="O39" i="4" s="1"/>
  <c r="I41" i="4"/>
  <c r="I14" i="4"/>
  <c r="C43" i="4" l="1"/>
  <c r="O11" i="4"/>
  <c r="U38" i="10"/>
  <c r="U33" i="10"/>
  <c r="U30" i="10"/>
  <c r="W30" i="10" s="1"/>
  <c r="U35" i="10"/>
  <c r="U31" i="10"/>
  <c r="W31" i="10" s="1"/>
  <c r="U32" i="10"/>
  <c r="W32" i="10" s="1"/>
  <c r="U26" i="10"/>
  <c r="W26" i="10" s="1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P28" i="4" s="1"/>
  <c r="M29" i="4"/>
  <c r="AD29" i="4"/>
  <c r="AE29" i="4"/>
  <c r="AD30" i="4"/>
  <c r="L30" i="4" s="1"/>
  <c r="N30" i="4" s="1"/>
  <c r="O30" i="4" s="1"/>
  <c r="P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U29" i="10"/>
  <c r="W29" i="10" s="1"/>
  <c r="U34" i="10"/>
  <c r="U27" i="10"/>
  <c r="W27" i="10" s="1"/>
  <c r="L26" i="4"/>
  <c r="N26" i="4" s="1"/>
  <c r="O26" i="4" s="1"/>
  <c r="P26" i="4" s="1"/>
  <c r="L40" i="4"/>
  <c r="N40" i="4" s="1"/>
  <c r="O40" i="4" s="1"/>
  <c r="U10" i="10"/>
  <c r="K48" i="4"/>
  <c r="L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P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P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Z41" i="10"/>
  <c r="E3" i="13"/>
  <c r="F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U21" i="10"/>
  <c r="W21" i="10" s="1"/>
  <c r="U23" i="10"/>
  <c r="W23" i="10" s="1"/>
  <c r="U25" i="10"/>
  <c r="W25" i="10" s="1"/>
  <c r="U37" i="10"/>
  <c r="U39" i="10"/>
  <c r="U28" i="10"/>
  <c r="W28" i="10" s="1"/>
  <c r="AJ28" i="10" s="1"/>
  <c r="AK28" i="10" s="1"/>
  <c r="U18" i="10"/>
  <c r="W18" i="10" s="1"/>
  <c r="U17" i="10"/>
  <c r="U14" i="10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O41" i="10" s="1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4" i="10" l="1"/>
  <c r="AJ24" i="10" s="1"/>
  <c r="AK24" i="10" s="1"/>
  <c r="W22" i="10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 s="1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<sst xmlns="http://schemas.openxmlformats.org/spreadsheetml/2006/main" count="140" uniqueCount="86">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</sst>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274</c:v>
                </c:pt>
                <c:pt idx="14">
                  <c:v>350</c:v>
                </c:pt>
                <c:pt idx="15">
                  <c:v>276</c:v>
                </c:pt>
                <c:pt idx="16">
                  <c:v>203</c:v>
                </c:pt>
                <c:pt idx="17">
                  <c:v>341</c:v>
                </c:pt>
                <c:pt idx="18">
                  <c:v>435</c:v>
                </c:pt>
                <c:pt idx="19">
                  <c:v>316</c:v>
                </c:pt>
                <c:pt idx="20">
                  <c:v>322</c:v>
                </c:pt>
                <c:pt idx="21">
                  <c:v>306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78784"/>
        <c:axId val="195101056"/>
      </c:lineChart>
      <c:dateAx>
        <c:axId val="1950787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01056"/>
        <c:crosses val="autoZero"/>
        <c:auto val="1"/>
        <c:lblOffset val="100"/>
        <c:baseTimeUnit val="days"/>
      </c:dateAx>
      <c:valAx>
        <c:axId val="19510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78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3094</c:v>
                </c:pt>
                <c:pt idx="14">
                  <c:v>4123</c:v>
                </c:pt>
                <c:pt idx="15">
                  <c:v>4143</c:v>
                </c:pt>
                <c:pt idx="16">
                  <c:v>3292</c:v>
                </c:pt>
                <c:pt idx="17">
                  <c:v>3824</c:v>
                </c:pt>
                <c:pt idx="18">
                  <c:v>3254</c:v>
                </c:pt>
                <c:pt idx="19">
                  <c:v>3501</c:v>
                </c:pt>
                <c:pt idx="20">
                  <c:v>3440</c:v>
                </c:pt>
                <c:pt idx="21">
                  <c:v>3544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5466</c:v>
                </c:pt>
                <c:pt idx="14">
                  <c:v>5922</c:v>
                </c:pt>
                <c:pt idx="15">
                  <c:v>5588</c:v>
                </c:pt>
                <c:pt idx="16">
                  <c:v>5399</c:v>
                </c:pt>
                <c:pt idx="17">
                  <c:v>5407</c:v>
                </c:pt>
                <c:pt idx="18">
                  <c:v>5439</c:v>
                </c:pt>
                <c:pt idx="19">
                  <c:v>5607</c:v>
                </c:pt>
                <c:pt idx="20">
                  <c:v>5363</c:v>
                </c:pt>
                <c:pt idx="21">
                  <c:v>5797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2952</c:v>
                </c:pt>
                <c:pt idx="14">
                  <c:v>2571</c:v>
                </c:pt>
                <c:pt idx="15">
                  <c:v>2421</c:v>
                </c:pt>
                <c:pt idx="16">
                  <c:v>2380</c:v>
                </c:pt>
                <c:pt idx="17">
                  <c:v>2464</c:v>
                </c:pt>
                <c:pt idx="18">
                  <c:v>2442</c:v>
                </c:pt>
                <c:pt idx="19">
                  <c:v>2443</c:v>
                </c:pt>
                <c:pt idx="20">
                  <c:v>2262</c:v>
                </c:pt>
                <c:pt idx="21">
                  <c:v>2328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22304"/>
        <c:axId val="195123840"/>
      </c:lineChart>
      <c:dateAx>
        <c:axId val="19512230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23840"/>
        <c:crosses val="autoZero"/>
        <c:auto val="1"/>
        <c:lblOffset val="100"/>
        <c:baseTimeUnit val="days"/>
      </c:dateAx>
      <c:valAx>
        <c:axId val="195123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2230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148.4</c:v>
                </c:pt>
                <c:pt idx="15">
                  <c:v>333.90000000000003</c:v>
                </c:pt>
                <c:pt idx="16">
                  <c:v>445.20000000000005</c:v>
                </c:pt>
                <c:pt idx="17">
                  <c:v>482.3</c:v>
                </c:pt>
                <c:pt idx="18">
                  <c:v>371</c:v>
                </c:pt>
                <c:pt idx="19">
                  <c:v>408.1</c:v>
                </c:pt>
                <c:pt idx="20">
                  <c:v>445.20000000000005</c:v>
                </c:pt>
                <c:pt idx="21">
                  <c:v>593.6</c:v>
                </c:pt>
                <c:pt idx="22">
                  <c:v>556.5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44704"/>
        <c:axId val="195162880"/>
      </c:lineChart>
      <c:dateAx>
        <c:axId val="1951447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62880"/>
        <c:crosses val="autoZero"/>
        <c:auto val="1"/>
        <c:lblOffset val="100"/>
        <c:baseTimeUnit val="days"/>
      </c:dateAx>
      <c:valAx>
        <c:axId val="1951628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447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3" sqref="A23:XFD23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11512</v>
      </c>
      <c r="F15" s="160">
        <v>0.99</v>
      </c>
      <c r="G15" s="160">
        <f>'Consommation du 01.02 au 29.01'!U23</f>
        <v>148.4</v>
      </c>
      <c r="H15" s="160">
        <v>9.2469999999999999</v>
      </c>
      <c r="I15" s="160">
        <f>'Consommation du 01.02 au 29.01'!Y23*1000</f>
        <v>17989.999999997963</v>
      </c>
      <c r="J15" s="160">
        <v>0.53</v>
      </c>
      <c r="K15" s="160">
        <f>'Consommation du 01.02 au 29.01'!D23</f>
        <v>274</v>
      </c>
      <c r="L15" s="160">
        <v>12.67</v>
      </c>
      <c r="M15" s="159">
        <f>'Consommation du 01.02 au 29.01'!AC23</f>
        <v>45</v>
      </c>
      <c r="N15" s="159">
        <v>45</v>
      </c>
      <c r="O15" s="160">
        <f t="shared" si="0"/>
        <v>25775.414799998922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12616</v>
      </c>
      <c r="F16" s="160">
        <v>0.99</v>
      </c>
      <c r="G16" s="160">
        <f>'Consommation du 01.02 au 29.01'!U24</f>
        <v>333.90000000000003</v>
      </c>
      <c r="H16" s="160">
        <v>9.2469999999999999</v>
      </c>
      <c r="I16" s="160">
        <f>'Consommation du 01.02 au 29.01'!Y24*1000</f>
        <v>17920.000000001892</v>
      </c>
      <c r="J16" s="160">
        <v>0.53</v>
      </c>
      <c r="K16" s="160">
        <f>'Consommation du 01.02 au 29.01'!D24</f>
        <v>350</v>
      </c>
      <c r="L16" s="160">
        <v>12.67</v>
      </c>
      <c r="M16" s="159">
        <f>'Consommation du 01.02 au 29.01'!AC24</f>
        <v>33</v>
      </c>
      <c r="N16" s="159">
        <v>33</v>
      </c>
      <c r="O16" s="160">
        <f t="shared" si="0"/>
        <v>29509.513300001003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12152</v>
      </c>
      <c r="F17" s="160">
        <v>0.99</v>
      </c>
      <c r="G17" s="160">
        <f>'Consommation du 01.02 au 29.01'!U25</f>
        <v>445.20000000000005</v>
      </c>
      <c r="H17" s="160">
        <v>9.2469999999999999</v>
      </c>
      <c r="I17" s="160">
        <f>'Consommation du 01.02 au 29.01'!Y25*1000</f>
        <v>17049.999999999272</v>
      </c>
      <c r="J17" s="160">
        <v>0.53</v>
      </c>
      <c r="K17" s="160">
        <f>'Consommation du 01.02 au 29.01'!D25</f>
        <v>276</v>
      </c>
      <c r="L17" s="160">
        <v>12.67</v>
      </c>
      <c r="M17" s="159">
        <f>'Consommation du 01.02 au 29.01'!AC25</f>
        <v>25</v>
      </c>
      <c r="N17" s="159">
        <v>25</v>
      </c>
      <c r="O17" s="160">
        <f t="shared" si="0"/>
        <v>28680.664399999616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11071</v>
      </c>
      <c r="F18" s="160">
        <v>0.99</v>
      </c>
      <c r="G18" s="160">
        <f>'Consommation du 01.02 au 29.01'!U26</f>
        <v>482.3</v>
      </c>
      <c r="H18" s="160">
        <v>9.2469999999999999</v>
      </c>
      <c r="I18" s="160">
        <f>'Consommation du 01.02 au 29.01'!Y26*1000</f>
        <v>11310.00000000131</v>
      </c>
      <c r="J18" s="160">
        <v>0.53</v>
      </c>
      <c r="K18" s="160">
        <f>'Consommation du 01.02 au 29.01'!D26</f>
        <v>203</v>
      </c>
      <c r="L18" s="160">
        <v>12.67</v>
      </c>
      <c r="M18" s="159">
        <f>'Consommation du 01.02 au 29.01'!AC26</f>
        <v>32</v>
      </c>
      <c r="N18" s="159">
        <v>32</v>
      </c>
      <c r="O18" s="160">
        <f t="shared" si="0"/>
        <v>23986.428100000692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11695</v>
      </c>
      <c r="F19" s="160">
        <v>0.99</v>
      </c>
      <c r="G19" s="160">
        <f>'Consommation du 01.02 au 29.01'!U27</f>
        <v>371</v>
      </c>
      <c r="H19" s="160">
        <v>9.2469999999999999</v>
      </c>
      <c r="I19" s="160">
        <f>'Consommation du 01.02 au 29.01'!Y27*1000</f>
        <v>21149.999999997817</v>
      </c>
      <c r="J19" s="160">
        <v>0.53</v>
      </c>
      <c r="K19" s="160">
        <f>'Consommation du 01.02 au 29.01'!D27</f>
        <v>341</v>
      </c>
      <c r="L19" s="160">
        <v>12.67</v>
      </c>
      <c r="M19" s="159">
        <f>'Consommation du 01.02 au 29.01'!AC27</f>
        <v>53</v>
      </c>
      <c r="N19" s="159">
        <v>53</v>
      </c>
      <c r="O19" s="160">
        <f t="shared" si="0"/>
        <v>30538.656999998842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11135</v>
      </c>
      <c r="F20" s="160">
        <v>0.99</v>
      </c>
      <c r="G20" s="160">
        <f>'Consommation du 01.02 au 29.01'!U28</f>
        <v>408.1</v>
      </c>
      <c r="H20" s="160">
        <v>9.2469999999999999</v>
      </c>
      <c r="I20" s="160">
        <f>'Consommation du 01.02 au 29.01'!Y28*1000</f>
        <v>19380.000000001019</v>
      </c>
      <c r="J20" s="160">
        <v>0.53</v>
      </c>
      <c r="K20" s="160">
        <f>'Consommation du 01.02 au 29.01'!D28</f>
        <v>435</v>
      </c>
      <c r="L20" s="160">
        <v>12.67</v>
      </c>
      <c r="M20" s="159">
        <f>'Consommation du 01.02 au 29.01'!AC28</f>
        <v>105</v>
      </c>
      <c r="N20" s="159">
        <v>105</v>
      </c>
      <c r="O20" s="160">
        <f t="shared" si="0"/>
        <v>30580.20070000054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11551</v>
      </c>
      <c r="F21" s="160">
        <v>0.99</v>
      </c>
      <c r="G21" s="160">
        <f>'Consommation du 01.02 au 29.01'!U29</f>
        <v>445.20000000000005</v>
      </c>
      <c r="H21" s="160">
        <v>9.2469999999999999</v>
      </c>
      <c r="I21" s="160">
        <f>'Consommation du 01.02 au 29.01'!Y29*1000</f>
        <v>19510.000000002037</v>
      </c>
      <c r="J21" s="160">
        <v>0.53</v>
      </c>
      <c r="K21" s="160">
        <f>'Consommation du 01.02 au 29.01'!D29</f>
        <v>316</v>
      </c>
      <c r="L21" s="160">
        <v>12.67</v>
      </c>
      <c r="M21" s="159">
        <f>'Consommation du 01.02 au 29.01'!AC29</f>
        <v>103</v>
      </c>
      <c r="N21" s="159">
        <v>103</v>
      </c>
      <c r="O21" s="160">
        <f t="shared" si="0"/>
        <v>29896.274400001079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11065</v>
      </c>
      <c r="F22" s="160">
        <v>0.99</v>
      </c>
      <c r="G22" s="160">
        <f>'Consommation du 01.02 au 29.01'!U30</f>
        <v>593.6</v>
      </c>
      <c r="H22" s="160">
        <v>9.2469999999999999</v>
      </c>
      <c r="I22" s="160">
        <f>'Consommation du 01.02 au 29.01'!Y30*1000</f>
        <v>19819.999999999709</v>
      </c>
      <c r="J22" s="160">
        <v>0.53</v>
      </c>
      <c r="K22" s="160">
        <f>'Consommation du 01.02 au 29.01'!D30</f>
        <v>322</v>
      </c>
      <c r="L22" s="160">
        <v>12.67</v>
      </c>
      <c r="M22" s="159">
        <f>'Consommation du 01.02 au 29.01'!AC30</f>
        <v>48</v>
      </c>
      <c r="N22" s="159">
        <v>48</v>
      </c>
      <c r="O22" s="160">
        <f t="shared" si="0"/>
        <v>31027.709199999845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11669</v>
      </c>
      <c r="F23" s="160">
        <v>0.99</v>
      </c>
      <c r="G23" s="160">
        <f>'Consommation du 01.02 au 29.01'!U31</f>
        <v>556.5</v>
      </c>
      <c r="H23" s="160">
        <v>9.2469999999999999</v>
      </c>
      <c r="I23" s="160">
        <f>'Consommation du 01.02 au 29.01'!Y31*1000</f>
        <v>18069.999999999709</v>
      </c>
      <c r="J23" s="160">
        <v>0.53</v>
      </c>
      <c r="K23" s="160">
        <f>'Consommation du 01.02 au 29.01'!D31</f>
        <v>306</v>
      </c>
      <c r="L23" s="160">
        <v>12.67</v>
      </c>
      <c r="M23" s="159">
        <f>'Consommation du 01.02 au 29.01'!AC31</f>
        <v>46</v>
      </c>
      <c r="N23" s="159">
        <v>46</v>
      </c>
      <c r="O23" s="160">
        <f t="shared" si="0"/>
        <v>30152.385499999848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9.2469999999999999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9.2469999999999999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9.2469999999999999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9.2469999999999999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9.2469999999999999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9.2469999999999999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570213.0262000009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C6" zoomScale="60" zoomScaleNormal="60" workbookViewId="0">
      <selection activeCell="X33" sqref="X33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8"/>
      <c r="K8" s="88"/>
      <c r="L8" s="88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5"/>
      <c r="AK8" s="125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2"/>
      <c r="J9" s="90" t="s">
        <v>6</v>
      </c>
      <c r="K9" s="90" t="s">
        <v>7</v>
      </c>
      <c r="L9" s="90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1">
        <f t="shared" ref="F10:F40" si="0">D10*12.67</f>
        <v>2217.25</v>
      </c>
      <c r="G10" s="212"/>
      <c r="H10" s="213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1">
        <f t="shared" si="0"/>
        <v>5156.6899999999996</v>
      </c>
      <c r="G11" s="212"/>
      <c r="H11" s="213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211">
        <f t="shared" si="0"/>
        <v>2534</v>
      </c>
      <c r="G12" s="212"/>
      <c r="H12" s="213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08">
        <f t="shared" si="0"/>
        <v>2381.96</v>
      </c>
      <c r="G13" s="209"/>
      <c r="H13" s="210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211">
        <f t="shared" si="0"/>
        <v>5549.46</v>
      </c>
      <c r="G14" s="212"/>
      <c r="H14" s="213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4">
        <f t="shared" si="0"/>
        <v>2381.96</v>
      </c>
      <c r="G15" s="215"/>
      <c r="H15" s="216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08">
        <f t="shared" si="0"/>
        <v>2331.2800000000002</v>
      </c>
      <c r="G16" s="209"/>
      <c r="H16" s="210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211">
        <f t="shared" si="0"/>
        <v>4700.57</v>
      </c>
      <c r="G17" s="212"/>
      <c r="H17" s="213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4">
        <f t="shared" si="0"/>
        <v>4181.1000000000004</v>
      </c>
      <c r="G18" s="215"/>
      <c r="H18" s="216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211">
        <f t="shared" si="0"/>
        <v>2343.9499999999998</v>
      </c>
      <c r="G19" s="212"/>
      <c r="H19" s="213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08">
        <f t="shared" si="0"/>
        <v>2888.7599999999998</v>
      </c>
      <c r="G20" s="209"/>
      <c r="H20" s="210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211">
        <f t="shared" si="0"/>
        <v>4510.5199999999995</v>
      </c>
      <c r="G21" s="212"/>
      <c r="H21" s="213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166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4">
        <f t="shared" si="0"/>
        <v>3344.88</v>
      </c>
      <c r="G22" s="215"/>
      <c r="H22" s="216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274</v>
      </c>
      <c r="E23" s="95"/>
      <c r="F23" s="211">
        <f t="shared" si="0"/>
        <v>3471.58</v>
      </c>
      <c r="G23" s="212"/>
      <c r="H23" s="213"/>
      <c r="I23" s="142"/>
      <c r="J23" s="93">
        <f>'Suivi EAU-ELEC'!E29</f>
        <v>3094</v>
      </c>
      <c r="K23" s="94">
        <f>'Suivi EAU-ELEC'!G29</f>
        <v>5466</v>
      </c>
      <c r="L23" s="94">
        <f>'Suivi EAU-ELEC'!I29</f>
        <v>2952</v>
      </c>
      <c r="M23" s="82">
        <f t="shared" si="4"/>
        <v>11512</v>
      </c>
      <c r="N23" s="58"/>
      <c r="O23" s="59">
        <f t="shared" si="5"/>
        <v>11396.88</v>
      </c>
      <c r="P23" s="57"/>
      <c r="Q23" s="55"/>
      <c r="R23" s="56"/>
      <c r="S23" s="55"/>
      <c r="T23" s="95"/>
      <c r="U23" s="60">
        <f>'Suivi Gaz'!O24</f>
        <v>148.4</v>
      </c>
      <c r="V23" s="58"/>
      <c r="W23" s="59">
        <f t="shared" si="6"/>
        <v>1372.2547999999999</v>
      </c>
      <c r="X23" s="65">
        <v>18850.68</v>
      </c>
      <c r="Y23" s="148">
        <f t="shared" si="1"/>
        <v>17.989999999997963</v>
      </c>
      <c r="Z23" s="64">
        <f t="shared" si="7"/>
        <v>9534.6999999989202</v>
      </c>
      <c r="AA23" s="58"/>
      <c r="AB23" s="61">
        <v>23</v>
      </c>
      <c r="AC23" s="78">
        <v>45</v>
      </c>
      <c r="AD23" s="79">
        <v>0.33829999999999999</v>
      </c>
      <c r="AE23" s="83">
        <v>27.5</v>
      </c>
      <c r="AF23" s="83">
        <v>28.5</v>
      </c>
      <c r="AG23" s="80">
        <v>28.5</v>
      </c>
      <c r="AH23" s="81">
        <v>28.5</v>
      </c>
      <c r="AI23" s="44"/>
      <c r="AJ23" s="129">
        <f t="shared" si="2"/>
        <v>25775.414799998922</v>
      </c>
      <c r="AK23" s="128">
        <f t="shared" si="3"/>
        <v>572.78699555553158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350</v>
      </c>
      <c r="E24" s="95"/>
      <c r="F24" s="211">
        <f t="shared" si="0"/>
        <v>4434.5</v>
      </c>
      <c r="G24" s="212"/>
      <c r="H24" s="213"/>
      <c r="I24" s="142"/>
      <c r="J24" s="93">
        <f>'Suivi EAU-ELEC'!E30</f>
        <v>4123</v>
      </c>
      <c r="K24" s="94">
        <f>'Suivi EAU-ELEC'!G30</f>
        <v>5922</v>
      </c>
      <c r="L24" s="94">
        <f>'Suivi EAU-ELEC'!I30</f>
        <v>2571</v>
      </c>
      <c r="M24" s="82">
        <f t="shared" si="4"/>
        <v>12616</v>
      </c>
      <c r="N24" s="58"/>
      <c r="O24" s="59">
        <f t="shared" si="5"/>
        <v>12489.84</v>
      </c>
      <c r="P24" s="57"/>
      <c r="Q24" s="55"/>
      <c r="R24" s="56"/>
      <c r="S24" s="55"/>
      <c r="T24" s="95"/>
      <c r="U24" s="60">
        <f>'Suivi Gaz'!O25</f>
        <v>333.90000000000003</v>
      </c>
      <c r="V24" s="58"/>
      <c r="W24" s="59">
        <f t="shared" si="6"/>
        <v>3087.5733000000005</v>
      </c>
      <c r="X24" s="65">
        <v>18868.669999999998</v>
      </c>
      <c r="Y24" s="148">
        <f t="shared" si="1"/>
        <v>17.920000000001892</v>
      </c>
      <c r="Z24" s="64">
        <f t="shared" si="7"/>
        <v>9497.6000000010044</v>
      </c>
      <c r="AA24" s="58"/>
      <c r="AB24" s="61">
        <v>24</v>
      </c>
      <c r="AC24" s="78">
        <v>33</v>
      </c>
      <c r="AD24" s="79">
        <v>0.25</v>
      </c>
      <c r="AE24" s="83">
        <v>27.5</v>
      </c>
      <c r="AF24" s="83">
        <v>28</v>
      </c>
      <c r="AG24" s="80">
        <v>28.5</v>
      </c>
      <c r="AH24" s="81">
        <v>28.5</v>
      </c>
      <c r="AJ24" s="129">
        <f>(F24+O24+W24+Z24)</f>
        <v>29509.513300001003</v>
      </c>
      <c r="AK24" s="128">
        <f t="shared" si="3"/>
        <v>894.22767575760611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276</v>
      </c>
      <c r="E25" s="95"/>
      <c r="F25" s="211">
        <f t="shared" si="0"/>
        <v>3496.92</v>
      </c>
      <c r="G25" s="212"/>
      <c r="H25" s="213"/>
      <c r="I25" s="142"/>
      <c r="J25" s="93">
        <f>'Suivi EAU-ELEC'!E31</f>
        <v>4143</v>
      </c>
      <c r="K25" s="94">
        <f>'Suivi EAU-ELEC'!G31</f>
        <v>5588</v>
      </c>
      <c r="L25" s="94">
        <f>'Suivi EAU-ELEC'!I31</f>
        <v>2421</v>
      </c>
      <c r="M25" s="82">
        <f t="shared" si="4"/>
        <v>12152</v>
      </c>
      <c r="N25" s="58"/>
      <c r="O25" s="59">
        <f t="shared" si="5"/>
        <v>12030.48</v>
      </c>
      <c r="P25" s="57"/>
      <c r="Q25" s="55"/>
      <c r="R25" s="56"/>
      <c r="S25" s="55"/>
      <c r="T25" s="95"/>
      <c r="U25" s="60">
        <f>'Suivi Gaz'!O26</f>
        <v>445.20000000000005</v>
      </c>
      <c r="V25" s="58"/>
      <c r="W25" s="59">
        <f t="shared" si="6"/>
        <v>4116.7644</v>
      </c>
      <c r="X25" s="65">
        <v>18886.59</v>
      </c>
      <c r="Y25" s="148">
        <f t="shared" si="1"/>
        <v>17.049999999999272</v>
      </c>
      <c r="Z25" s="64">
        <f t="shared" si="7"/>
        <v>9036.4999999996144</v>
      </c>
      <c r="AA25" s="58"/>
      <c r="AB25" s="61">
        <v>21</v>
      </c>
      <c r="AC25" s="78">
        <v>25</v>
      </c>
      <c r="AD25" s="79">
        <v>0.19689999999999999</v>
      </c>
      <c r="AE25" s="83">
        <v>27.5</v>
      </c>
      <c r="AF25" s="83">
        <v>28</v>
      </c>
      <c r="AG25" s="80">
        <v>28</v>
      </c>
      <c r="AH25" s="81">
        <v>26.8</v>
      </c>
      <c r="AI25" s="44"/>
      <c r="AJ25" s="129">
        <f>(F25+O25+W25+Z25)</f>
        <v>28680.664399999616</v>
      </c>
      <c r="AK25" s="128">
        <f t="shared" si="3"/>
        <v>1147.2265759999846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203</v>
      </c>
      <c r="E26" s="150"/>
      <c r="F26" s="211">
        <f t="shared" si="0"/>
        <v>2572.0099999999998</v>
      </c>
      <c r="G26" s="212"/>
      <c r="H26" s="213"/>
      <c r="I26" s="142"/>
      <c r="J26" s="93">
        <f>'Suivi EAU-ELEC'!E32</f>
        <v>3292</v>
      </c>
      <c r="K26" s="94">
        <f>'Suivi EAU-ELEC'!G32</f>
        <v>5399</v>
      </c>
      <c r="L26" s="94">
        <f>'Suivi EAU-ELEC'!I32</f>
        <v>2380</v>
      </c>
      <c r="M26" s="82">
        <f t="shared" si="4"/>
        <v>11071</v>
      </c>
      <c r="N26" s="58"/>
      <c r="O26" s="59">
        <f t="shared" si="5"/>
        <v>10960.29</v>
      </c>
      <c r="P26" s="57"/>
      <c r="Q26" s="55"/>
      <c r="R26" s="56"/>
      <c r="S26" s="55"/>
      <c r="T26" s="95"/>
      <c r="U26" s="60">
        <f>'Suivi Gaz'!O27</f>
        <v>482.3</v>
      </c>
      <c r="V26" s="84"/>
      <c r="W26" s="59">
        <f t="shared" si="6"/>
        <v>4459.8280999999997</v>
      </c>
      <c r="X26" s="65">
        <v>18903.64</v>
      </c>
      <c r="Y26" s="148">
        <f t="shared" si="1"/>
        <v>11.31000000000131</v>
      </c>
      <c r="Z26" s="64">
        <f t="shared" si="7"/>
        <v>5994.3000000006941</v>
      </c>
      <c r="AA26" s="84"/>
      <c r="AB26" s="61">
        <v>20</v>
      </c>
      <c r="AC26" s="78">
        <v>32</v>
      </c>
      <c r="AD26" s="79">
        <v>0.27829999999999999</v>
      </c>
      <c r="AE26" s="83">
        <v>26.5</v>
      </c>
      <c r="AF26" s="83">
        <v>27</v>
      </c>
      <c r="AG26" s="80">
        <v>28</v>
      </c>
      <c r="AH26" s="81">
        <v>28</v>
      </c>
      <c r="AI26" s="44"/>
      <c r="AJ26" s="129">
        <f>(F26+O26+W26+Z26)</f>
        <v>23986.428100000696</v>
      </c>
      <c r="AK26" s="128">
        <f t="shared" si="3"/>
        <v>749.57587812502175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341</v>
      </c>
      <c r="E27" s="150"/>
      <c r="F27" s="211">
        <f t="shared" si="0"/>
        <v>4320.47</v>
      </c>
      <c r="G27" s="212"/>
      <c r="H27" s="213"/>
      <c r="I27" s="142"/>
      <c r="J27" s="93">
        <f>'Suivi EAU-ELEC'!E33</f>
        <v>3824</v>
      </c>
      <c r="K27" s="94">
        <f>'Suivi EAU-ELEC'!G33</f>
        <v>5407</v>
      </c>
      <c r="L27" s="94">
        <f>'Suivi EAU-ELEC'!I33</f>
        <v>2464</v>
      </c>
      <c r="M27" s="82">
        <f t="shared" si="4"/>
        <v>11695</v>
      </c>
      <c r="N27" s="58"/>
      <c r="O27" s="59">
        <f t="shared" si="5"/>
        <v>11578.050000000001</v>
      </c>
      <c r="P27" s="57"/>
      <c r="Q27" s="55"/>
      <c r="R27" s="56"/>
      <c r="S27" s="55"/>
      <c r="T27" s="95"/>
      <c r="U27" s="60">
        <f>'Suivi Gaz'!O28</f>
        <v>371</v>
      </c>
      <c r="V27" s="84"/>
      <c r="W27" s="59">
        <f t="shared" si="6"/>
        <v>3430.6370000000002</v>
      </c>
      <c r="X27" s="65">
        <v>18914.95</v>
      </c>
      <c r="Y27" s="148">
        <f t="shared" si="1"/>
        <v>21.149999999997817</v>
      </c>
      <c r="Z27" s="64">
        <f t="shared" si="7"/>
        <v>11209.499999998843</v>
      </c>
      <c r="AA27" s="84"/>
      <c r="AB27" s="61">
        <v>20</v>
      </c>
      <c r="AC27" s="78">
        <v>53</v>
      </c>
      <c r="AD27" s="79">
        <v>0.44919999999999999</v>
      </c>
      <c r="AE27" s="83">
        <v>26</v>
      </c>
      <c r="AF27" s="83">
        <v>27</v>
      </c>
      <c r="AG27" s="80">
        <v>28</v>
      </c>
      <c r="AH27" s="81">
        <v>29</v>
      </c>
      <c r="AI27" s="44"/>
      <c r="AJ27" s="129">
        <f t="shared" si="2"/>
        <v>30538.656999998842</v>
      </c>
      <c r="AK27" s="128">
        <f t="shared" si="3"/>
        <v>576.20107547167629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435</v>
      </c>
      <c r="E28" s="150"/>
      <c r="F28" s="208">
        <f t="shared" si="0"/>
        <v>5511.45</v>
      </c>
      <c r="G28" s="209"/>
      <c r="H28" s="210"/>
      <c r="I28" s="143"/>
      <c r="J28" s="93">
        <f>'Suivi EAU-ELEC'!E34</f>
        <v>3254</v>
      </c>
      <c r="K28" s="94">
        <f>'Suivi EAU-ELEC'!G34</f>
        <v>5439</v>
      </c>
      <c r="L28" s="94">
        <f>'Suivi EAU-ELEC'!I34</f>
        <v>2442</v>
      </c>
      <c r="M28" s="82">
        <f t="shared" si="4"/>
        <v>11135</v>
      </c>
      <c r="N28" s="58"/>
      <c r="O28" s="59">
        <f t="shared" si="5"/>
        <v>11023.65</v>
      </c>
      <c r="P28" s="57"/>
      <c r="Q28" s="55"/>
      <c r="R28" s="56"/>
      <c r="S28" s="55"/>
      <c r="T28" s="95"/>
      <c r="U28" s="60">
        <f>'Suivi Gaz'!O29</f>
        <v>408.1</v>
      </c>
      <c r="V28" s="84"/>
      <c r="W28" s="59">
        <f t="shared" si="6"/>
        <v>3773.7007000000003</v>
      </c>
      <c r="X28" s="65">
        <v>18936.099999999999</v>
      </c>
      <c r="Y28" s="148">
        <f t="shared" si="1"/>
        <v>19.380000000001019</v>
      </c>
      <c r="Z28" s="64">
        <f t="shared" si="7"/>
        <v>10271.40000000054</v>
      </c>
      <c r="AA28" s="84"/>
      <c r="AB28" s="61">
        <v>21</v>
      </c>
      <c r="AC28" s="78">
        <v>105</v>
      </c>
      <c r="AD28" s="79">
        <v>0.92920000000000003</v>
      </c>
      <c r="AE28" s="83">
        <v>27</v>
      </c>
      <c r="AF28" s="83">
        <v>28.5</v>
      </c>
      <c r="AG28" s="80">
        <v>27.5</v>
      </c>
      <c r="AH28" s="81">
        <v>28.5</v>
      </c>
      <c r="AI28" s="44"/>
      <c r="AJ28" s="129">
        <f>(F28+O28+W28+Z28)</f>
        <v>30580.20070000054</v>
      </c>
      <c r="AK28" s="128">
        <f t="shared" si="3"/>
        <v>291.24000666667183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316</v>
      </c>
      <c r="E29" s="150"/>
      <c r="F29" s="211">
        <f t="shared" si="0"/>
        <v>4003.72</v>
      </c>
      <c r="G29" s="212"/>
      <c r="H29" s="213"/>
      <c r="I29" s="143"/>
      <c r="J29" s="93">
        <f>'Suivi EAU-ELEC'!E35</f>
        <v>3501</v>
      </c>
      <c r="K29" s="94">
        <f>'Suivi EAU-ELEC'!G35</f>
        <v>5607</v>
      </c>
      <c r="L29" s="94">
        <f>'Suivi EAU-ELEC'!I35</f>
        <v>2443</v>
      </c>
      <c r="M29" s="82">
        <f t="shared" si="4"/>
        <v>11551</v>
      </c>
      <c r="N29" s="58"/>
      <c r="O29" s="59">
        <f t="shared" si="5"/>
        <v>11435.49</v>
      </c>
      <c r="P29" s="57"/>
      <c r="Q29" s="55"/>
      <c r="R29" s="56"/>
      <c r="S29" s="55"/>
      <c r="T29" s="95"/>
      <c r="U29" s="60">
        <f>'Suivi Gaz'!O30</f>
        <v>445.20000000000005</v>
      </c>
      <c r="V29" s="84"/>
      <c r="W29" s="59">
        <f t="shared" si="6"/>
        <v>4116.7644</v>
      </c>
      <c r="X29" s="65">
        <v>18955.48</v>
      </c>
      <c r="Y29" s="148">
        <f t="shared" si="1"/>
        <v>19.510000000002037</v>
      </c>
      <c r="Z29" s="64">
        <f t="shared" si="7"/>
        <v>10340.300000001082</v>
      </c>
      <c r="AA29" s="84"/>
      <c r="AB29" s="61">
        <v>23</v>
      </c>
      <c r="AC29" s="78">
        <v>103</v>
      </c>
      <c r="AD29" s="79">
        <v>0.91959999999999997</v>
      </c>
      <c r="AE29" s="83">
        <v>27.5</v>
      </c>
      <c r="AF29" s="83">
        <v>27.5</v>
      </c>
      <c r="AG29" s="80">
        <v>28.5</v>
      </c>
      <c r="AH29" s="81">
        <v>28.5</v>
      </c>
      <c r="AI29" s="44"/>
      <c r="AJ29" s="129">
        <f t="shared" si="2"/>
        <v>29896.274400001079</v>
      </c>
      <c r="AK29" s="128">
        <f t="shared" si="3"/>
        <v>290.25509126214638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322</v>
      </c>
      <c r="E30" s="150"/>
      <c r="F30" s="208">
        <f t="shared" si="0"/>
        <v>4079.74</v>
      </c>
      <c r="G30" s="209"/>
      <c r="H30" s="210"/>
      <c r="I30" s="143"/>
      <c r="J30" s="93">
        <f>'Suivi EAU-ELEC'!E36</f>
        <v>3440</v>
      </c>
      <c r="K30" s="94">
        <f>'Suivi EAU-ELEC'!G36</f>
        <v>5363</v>
      </c>
      <c r="L30" s="94">
        <f>'Suivi EAU-ELEC'!I36</f>
        <v>2262</v>
      </c>
      <c r="M30" s="82">
        <f t="shared" si="4"/>
        <v>11065</v>
      </c>
      <c r="N30" s="58"/>
      <c r="O30" s="59">
        <f t="shared" si="5"/>
        <v>10954.349999999999</v>
      </c>
      <c r="P30" s="57"/>
      <c r="Q30" s="55"/>
      <c r="R30" s="56"/>
      <c r="S30" s="55"/>
      <c r="T30" s="95"/>
      <c r="U30" s="60">
        <f>'Suivi Gaz'!O31</f>
        <v>593.6</v>
      </c>
      <c r="V30" s="84"/>
      <c r="W30" s="59">
        <f t="shared" si="6"/>
        <v>5489.0191999999997</v>
      </c>
      <c r="X30" s="65">
        <v>18974.990000000002</v>
      </c>
      <c r="Y30" s="148">
        <f t="shared" si="1"/>
        <v>19.819999999999709</v>
      </c>
      <c r="Z30" s="64">
        <f t="shared" si="7"/>
        <v>10504.599999999846</v>
      </c>
      <c r="AA30" s="84"/>
      <c r="AB30" s="61">
        <v>14</v>
      </c>
      <c r="AC30" s="78">
        <v>48</v>
      </c>
      <c r="AD30" s="79">
        <v>0.54549999999999998</v>
      </c>
      <c r="AE30" s="83">
        <v>28</v>
      </c>
      <c r="AF30" s="83">
        <v>28.5</v>
      </c>
      <c r="AG30" s="80">
        <v>28</v>
      </c>
      <c r="AH30" s="81">
        <v>28.5</v>
      </c>
      <c r="AI30" s="44"/>
      <c r="AJ30" s="129">
        <f t="shared" si="2"/>
        <v>31027.709199999845</v>
      </c>
      <c r="AK30" s="128">
        <f t="shared" si="3"/>
        <v>646.41060833333006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306</v>
      </c>
      <c r="E31" s="95"/>
      <c r="F31" s="211">
        <f t="shared" si="0"/>
        <v>3877.02</v>
      </c>
      <c r="G31" s="212"/>
      <c r="H31" s="213"/>
      <c r="I31" s="144"/>
      <c r="J31" s="93">
        <f>'Suivi EAU-ELEC'!E37</f>
        <v>3544</v>
      </c>
      <c r="K31" s="94">
        <f>'Suivi EAU-ELEC'!G37</f>
        <v>5797</v>
      </c>
      <c r="L31" s="94">
        <f>'Suivi EAU-ELEC'!I37</f>
        <v>2328</v>
      </c>
      <c r="M31" s="82">
        <f t="shared" si="4"/>
        <v>11669</v>
      </c>
      <c r="N31" s="58"/>
      <c r="O31" s="59">
        <f t="shared" si="5"/>
        <v>11552.31</v>
      </c>
      <c r="P31" s="57"/>
      <c r="Q31" s="55"/>
      <c r="R31" s="56"/>
      <c r="S31" s="55"/>
      <c r="T31" s="95"/>
      <c r="U31" s="60">
        <f>'Suivi Gaz'!O32</f>
        <v>556.5</v>
      </c>
      <c r="V31" s="58"/>
      <c r="W31" s="59">
        <f t="shared" si="6"/>
        <v>5145.9555</v>
      </c>
      <c r="X31" s="65">
        <v>18994.810000000001</v>
      </c>
      <c r="Y31" s="148">
        <f t="shared" si="1"/>
        <v>18.069999999999709</v>
      </c>
      <c r="Z31" s="64">
        <f t="shared" si="7"/>
        <v>9577.0999999998476</v>
      </c>
      <c r="AA31" s="58"/>
      <c r="AB31" s="61">
        <v>15</v>
      </c>
      <c r="AC31" s="78">
        <v>46</v>
      </c>
      <c r="AD31" s="79">
        <v>0.4299</v>
      </c>
      <c r="AE31" s="83">
        <v>27.5</v>
      </c>
      <c r="AF31" s="83">
        <v>27.5</v>
      </c>
      <c r="AG31" s="80">
        <v>27</v>
      </c>
      <c r="AH31" s="81">
        <v>27</v>
      </c>
      <c r="AI31" s="44"/>
      <c r="AJ31" s="129">
        <f t="shared" si="2"/>
        <v>30152.385499999844</v>
      </c>
      <c r="AK31" s="128">
        <f t="shared" si="3"/>
        <v>655.4866413043444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0</v>
      </c>
      <c r="E32" s="95"/>
      <c r="F32" s="211">
        <f t="shared" si="0"/>
        <v>0</v>
      </c>
      <c r="G32" s="212"/>
      <c r="H32" s="213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6"/>
        <v>0</v>
      </c>
      <c r="X32" s="65">
        <v>19012.88</v>
      </c>
      <c r="Y32" s="148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0</v>
      </c>
      <c r="E33" s="95"/>
      <c r="F33" s="211">
        <f t="shared" si="0"/>
        <v>0</v>
      </c>
      <c r="G33" s="212"/>
      <c r="H33" s="213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6"/>
        <v>0</v>
      </c>
      <c r="X33" s="65"/>
      <c r="Y33" s="148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0</v>
      </c>
      <c r="E34" s="95"/>
      <c r="F34" s="211">
        <f t="shared" si="0"/>
        <v>0</v>
      </c>
      <c r="G34" s="212"/>
      <c r="H34" s="213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6"/>
        <v>0</v>
      </c>
      <c r="X34" s="65"/>
      <c r="Y34" s="148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0</v>
      </c>
      <c r="E35" s="95"/>
      <c r="F35" s="214">
        <f t="shared" si="0"/>
        <v>0</v>
      </c>
      <c r="G35" s="215"/>
      <c r="H35" s="216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6"/>
        <v>0</v>
      </c>
      <c r="X35" s="65"/>
      <c r="Y35" s="148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0</v>
      </c>
      <c r="E36" s="95"/>
      <c r="F36" s="221">
        <f t="shared" si="0"/>
        <v>0</v>
      </c>
      <c r="G36" s="222"/>
      <c r="H36" s="223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6"/>
        <v>0</v>
      </c>
      <c r="X36" s="65"/>
      <c r="Y36" s="148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0</v>
      </c>
      <c r="E37" s="95"/>
      <c r="F37" s="224">
        <f t="shared" si="0"/>
        <v>0</v>
      </c>
      <c r="G37" s="225"/>
      <c r="H37" s="226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6"/>
        <v>0</v>
      </c>
      <c r="X37" s="65"/>
      <c r="Y37" s="148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08">
        <f t="shared" si="0"/>
        <v>0</v>
      </c>
      <c r="G38" s="209"/>
      <c r="H38" s="210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/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211">
        <f t="shared" si="0"/>
        <v>0</v>
      </c>
      <c r="G39" s="212"/>
      <c r="H39" s="213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4">
        <f t="shared" si="0"/>
        <v>0</v>
      </c>
      <c r="G40" s="215"/>
      <c r="H40" s="216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6337</v>
      </c>
      <c r="E41" s="101"/>
      <c r="F41" s="217">
        <f>SUM(F10:H37)</f>
        <v>80289.790000000008</v>
      </c>
      <c r="G41" s="218"/>
      <c r="H41" s="219"/>
      <c r="I41" s="101"/>
      <c r="J41" s="103">
        <f>SUM(J10:J37)</f>
        <v>74453</v>
      </c>
      <c r="K41" s="103">
        <f>SUM(K10:K37)</f>
        <v>113558</v>
      </c>
      <c r="L41" s="103">
        <f>SUM(L10:L37)</f>
        <v>49475</v>
      </c>
      <c r="M41" s="103">
        <f>SUM(M10:M37)</f>
        <v>237486</v>
      </c>
      <c r="N41" s="102"/>
      <c r="O41" s="103">
        <f>SUM(O10:O37)</f>
        <v>235111.13999999998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8384.6</v>
      </c>
      <c r="V41" s="58"/>
      <c r="W41" s="103">
        <f>SUM(W10:W37)</f>
        <v>77532.396199999988</v>
      </c>
      <c r="X41" s="139"/>
      <c r="Y41" s="103">
        <f>SUM(Y10:Y37)</f>
        <v>334.4900000000016</v>
      </c>
      <c r="Z41" s="103">
        <f>SUM(Z10:Z37)</f>
        <v>177279.70000000088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570213.0262000009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0"/>
      <c r="G42" s="220"/>
      <c r="H42" s="220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09" t="s">
        <v>6</v>
      </c>
      <c r="E43" s="110"/>
      <c r="F43" s="111">
        <v>0.64895000000000003</v>
      </c>
      <c r="G43" s="191">
        <f>J41</f>
        <v>74453</v>
      </c>
      <c r="H43" s="192"/>
      <c r="I43" s="193"/>
      <c r="J43" s="194">
        <f>G43*F43</f>
        <v>48316.27435</v>
      </c>
      <c r="K43" s="195"/>
      <c r="L43" s="196">
        <f>J43+J44+J45</f>
        <v>210374.37424999999</v>
      </c>
      <c r="M43" s="197"/>
      <c r="N43" s="197"/>
      <c r="O43" s="197"/>
      <c r="P43" s="197"/>
      <c r="Q43" s="197"/>
      <c r="R43" s="197"/>
      <c r="S43" s="197"/>
      <c r="T43" s="197"/>
      <c r="U43" s="19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2" t="s">
        <v>7</v>
      </c>
      <c r="E44" s="110"/>
      <c r="F44" s="116">
        <v>0.88605</v>
      </c>
      <c r="G44" s="191">
        <f>K41</f>
        <v>113558</v>
      </c>
      <c r="H44" s="192"/>
      <c r="I44" s="193"/>
      <c r="J44" s="194">
        <f>G44*F44</f>
        <v>100618.0659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7" t="s">
        <v>8</v>
      </c>
      <c r="E45" s="118"/>
      <c r="F45" s="119">
        <v>1.2418400000000001</v>
      </c>
      <c r="G45" s="205">
        <f>L41</f>
        <v>49475</v>
      </c>
      <c r="H45" s="206"/>
      <c r="I45" s="207"/>
      <c r="J45" s="194">
        <f>G45*F45</f>
        <v>61440.034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0"/>
      <c r="F46" s="120">
        <v>12.67</v>
      </c>
      <c r="G46" s="168">
        <f>D41</f>
        <v>6337</v>
      </c>
      <c r="H46" s="169"/>
      <c r="I46" s="170"/>
      <c r="J46" s="171">
        <f>G46*F46</f>
        <v>80289.789999999994</v>
      </c>
      <c r="K46" s="172"/>
      <c r="L46" s="173">
        <f>J46</f>
        <v>80289.789999999994</v>
      </c>
      <c r="M46" s="174"/>
      <c r="N46" s="174"/>
      <c r="O46" s="174"/>
      <c r="P46" s="174"/>
      <c r="Q46" s="174"/>
      <c r="R46" s="174"/>
      <c r="S46" s="174"/>
      <c r="T46" s="174"/>
      <c r="U46" s="175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0"/>
      <c r="F47" s="121">
        <v>9.2469999999999999</v>
      </c>
      <c r="G47" s="179">
        <f>U41</f>
        <v>8384.6</v>
      </c>
      <c r="H47" s="180"/>
      <c r="I47" s="181"/>
      <c r="J47" s="179">
        <f>G47*F47</f>
        <v>77532.396200000003</v>
      </c>
      <c r="K47" s="181"/>
      <c r="L47" s="182">
        <f>J47</f>
        <v>77532.396200000003</v>
      </c>
      <c r="M47" s="183"/>
      <c r="N47" s="183"/>
      <c r="O47" s="183"/>
      <c r="P47" s="183"/>
      <c r="Q47" s="183"/>
      <c r="R47" s="183"/>
      <c r="S47" s="183"/>
      <c r="T47" s="183"/>
      <c r="U47" s="184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33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33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33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1</v>
      </c>
      <c r="F24" s="20">
        <v>70</v>
      </c>
      <c r="G24" s="18">
        <f t="shared" si="18"/>
        <v>2</v>
      </c>
      <c r="H24" s="20">
        <v>71</v>
      </c>
      <c r="I24" s="18">
        <f t="shared" si="35"/>
        <v>1</v>
      </c>
      <c r="J24" s="18">
        <f t="shared" si="28"/>
        <v>285</v>
      </c>
      <c r="K24" s="18">
        <f t="shared" si="29"/>
        <v>71.25</v>
      </c>
      <c r="L24" s="18">
        <f t="shared" si="36"/>
        <v>1</v>
      </c>
      <c r="M24" s="18">
        <f t="shared" si="7"/>
        <v>28000</v>
      </c>
      <c r="N24" s="18">
        <f t="shared" si="33"/>
        <v>280</v>
      </c>
      <c r="O24" s="18">
        <f t="shared" si="34"/>
        <v>148.4</v>
      </c>
      <c r="P24" s="21">
        <f t="shared" si="16"/>
        <v>1372.2547999999999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>
        <v>71</v>
      </c>
      <c r="C25" s="18">
        <f t="shared" si="17"/>
        <v>2</v>
      </c>
      <c r="D25" s="20">
        <v>72</v>
      </c>
      <c r="E25" s="18">
        <f t="shared" si="1"/>
        <v>2</v>
      </c>
      <c r="F25" s="20">
        <v>68</v>
      </c>
      <c r="G25" s="18">
        <f t="shared" si="18"/>
        <v>3</v>
      </c>
      <c r="H25" s="20">
        <v>70</v>
      </c>
      <c r="I25" s="18">
        <f t="shared" si="35"/>
        <v>2</v>
      </c>
      <c r="J25" s="18">
        <f t="shared" si="28"/>
        <v>281</v>
      </c>
      <c r="K25" s="18">
        <f t="shared" si="29"/>
        <v>70.25</v>
      </c>
      <c r="L25" s="18">
        <f t="shared" si="36"/>
        <v>2.25</v>
      </c>
      <c r="M25" s="18">
        <f t="shared" si="7"/>
        <v>28000</v>
      </c>
      <c r="N25" s="18">
        <f t="shared" si="33"/>
        <v>630</v>
      </c>
      <c r="O25" s="18">
        <f t="shared" si="34"/>
        <v>333.90000000000003</v>
      </c>
      <c r="P25" s="21">
        <f t="shared" si="16"/>
        <v>3087.5733000000005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>
        <v>69</v>
      </c>
      <c r="C26" s="18">
        <f t="shared" si="17"/>
        <v>4</v>
      </c>
      <c r="D26" s="20">
        <v>70</v>
      </c>
      <c r="E26" s="18">
        <f t="shared" si="1"/>
        <v>2</v>
      </c>
      <c r="F26" s="20">
        <v>65</v>
      </c>
      <c r="G26" s="18">
        <f t="shared" si="18"/>
        <v>3</v>
      </c>
      <c r="H26" s="20">
        <v>68</v>
      </c>
      <c r="I26" s="18">
        <f t="shared" si="35"/>
        <v>3</v>
      </c>
      <c r="J26" s="18">
        <f t="shared" si="28"/>
        <v>272</v>
      </c>
      <c r="K26" s="18">
        <f t="shared" si="29"/>
        <v>68</v>
      </c>
      <c r="L26" s="18">
        <f t="shared" si="36"/>
        <v>3</v>
      </c>
      <c r="M26" s="18">
        <f t="shared" si="7"/>
        <v>28000</v>
      </c>
      <c r="N26" s="18">
        <f t="shared" si="33"/>
        <v>840</v>
      </c>
      <c r="O26" s="18">
        <f t="shared" si="34"/>
        <v>445.20000000000005</v>
      </c>
      <c r="P26" s="21">
        <f t="shared" si="16"/>
        <v>4116.7644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>
        <v>65</v>
      </c>
      <c r="C27" s="18">
        <f t="shared" si="17"/>
        <v>5</v>
      </c>
      <c r="D27" s="20">
        <v>68</v>
      </c>
      <c r="E27" s="18">
        <f t="shared" si="1"/>
        <v>3</v>
      </c>
      <c r="F27" s="20">
        <v>62</v>
      </c>
      <c r="G27" s="18">
        <f t="shared" si="18"/>
        <v>2</v>
      </c>
      <c r="H27" s="20">
        <v>65</v>
      </c>
      <c r="I27" s="18">
        <f t="shared" si="35"/>
        <v>3</v>
      </c>
      <c r="J27" s="18">
        <f t="shared" si="28"/>
        <v>260</v>
      </c>
      <c r="K27" s="18">
        <f t="shared" si="29"/>
        <v>65</v>
      </c>
      <c r="L27" s="18">
        <f t="shared" si="36"/>
        <v>3.25</v>
      </c>
      <c r="M27" s="18">
        <f t="shared" si="7"/>
        <v>28000</v>
      </c>
      <c r="N27" s="18">
        <f t="shared" si="33"/>
        <v>910</v>
      </c>
      <c r="O27" s="18">
        <f t="shared" si="34"/>
        <v>482.3</v>
      </c>
      <c r="P27" s="21">
        <f t="shared" si="16"/>
        <v>4459.8280999999997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>
        <v>60</v>
      </c>
      <c r="C28" s="18">
        <f t="shared" si="17"/>
        <v>0</v>
      </c>
      <c r="D28" s="20">
        <v>65</v>
      </c>
      <c r="E28" s="18">
        <f t="shared" si="1"/>
        <v>3</v>
      </c>
      <c r="F28" s="20">
        <v>60</v>
      </c>
      <c r="G28" s="18">
        <f t="shared" si="18"/>
        <v>5</v>
      </c>
      <c r="H28" s="20">
        <v>62</v>
      </c>
      <c r="I28" s="18">
        <f t="shared" si="35"/>
        <v>2</v>
      </c>
      <c r="J28" s="18">
        <f t="shared" si="28"/>
        <v>247</v>
      </c>
      <c r="K28" s="18">
        <f t="shared" si="29"/>
        <v>61.75</v>
      </c>
      <c r="L28" s="18">
        <f t="shared" si="36"/>
        <v>2.5</v>
      </c>
      <c r="M28" s="18">
        <f t="shared" si="7"/>
        <v>28000</v>
      </c>
      <c r="N28" s="18">
        <f t="shared" si="33"/>
        <v>700</v>
      </c>
      <c r="O28" s="18">
        <f t="shared" si="34"/>
        <v>371</v>
      </c>
      <c r="P28" s="21">
        <f t="shared" si="16"/>
        <v>3430.6370000000002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>
        <v>60</v>
      </c>
      <c r="C29" s="18">
        <f t="shared" si="17"/>
        <v>2</v>
      </c>
      <c r="D29" s="20">
        <v>62</v>
      </c>
      <c r="E29" s="18">
        <f t="shared" si="1"/>
        <v>2</v>
      </c>
      <c r="F29" s="20">
        <v>55</v>
      </c>
      <c r="G29" s="18">
        <f t="shared" si="18"/>
        <v>3</v>
      </c>
      <c r="H29" s="20">
        <v>60</v>
      </c>
      <c r="I29" s="18">
        <f t="shared" si="35"/>
        <v>4</v>
      </c>
      <c r="J29" s="18">
        <f t="shared" si="28"/>
        <v>237</v>
      </c>
      <c r="K29" s="18">
        <f t="shared" si="29"/>
        <v>59.25</v>
      </c>
      <c r="L29" s="18">
        <f t="shared" si="36"/>
        <v>2.75</v>
      </c>
      <c r="M29" s="18">
        <f t="shared" si="7"/>
        <v>28000</v>
      </c>
      <c r="N29" s="18">
        <f t="shared" si="33"/>
        <v>770</v>
      </c>
      <c r="O29" s="18">
        <f t="shared" si="34"/>
        <v>408.1</v>
      </c>
      <c r="P29" s="21">
        <f t="shared" si="16"/>
        <v>3773.7007000000003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>
        <v>58</v>
      </c>
      <c r="C30" s="18">
        <f t="shared" si="17"/>
        <v>4</v>
      </c>
      <c r="D30" s="20">
        <v>60</v>
      </c>
      <c r="E30" s="18">
        <f t="shared" si="1"/>
        <v>2</v>
      </c>
      <c r="F30" s="20">
        <v>52</v>
      </c>
      <c r="G30" s="18">
        <f t="shared" si="18"/>
        <v>2</v>
      </c>
      <c r="H30" s="20">
        <v>56</v>
      </c>
      <c r="I30" s="18">
        <f t="shared" si="35"/>
        <v>4</v>
      </c>
      <c r="J30" s="18">
        <f t="shared" si="28"/>
        <v>226</v>
      </c>
      <c r="K30" s="18">
        <f t="shared" si="29"/>
        <v>56.5</v>
      </c>
      <c r="L30" s="18">
        <f t="shared" si="36"/>
        <v>3</v>
      </c>
      <c r="M30" s="18">
        <f t="shared" si="7"/>
        <v>28000</v>
      </c>
      <c r="N30" s="18">
        <f t="shared" si="33"/>
        <v>840</v>
      </c>
      <c r="O30" s="18">
        <f t="shared" si="34"/>
        <v>445.20000000000005</v>
      </c>
      <c r="P30" s="21">
        <f t="shared" si="16"/>
        <v>4116.7644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>
        <v>54</v>
      </c>
      <c r="C31" s="18">
        <f t="shared" si="17"/>
        <v>4</v>
      </c>
      <c r="D31" s="20">
        <v>58</v>
      </c>
      <c r="E31" s="18">
        <f t="shared" si="1"/>
        <v>6</v>
      </c>
      <c r="F31" s="20">
        <v>50</v>
      </c>
      <c r="G31" s="18">
        <f t="shared" si="18"/>
        <v>4</v>
      </c>
      <c r="H31" s="20">
        <v>52</v>
      </c>
      <c r="I31" s="18">
        <f t="shared" si="35"/>
        <v>2</v>
      </c>
      <c r="J31" s="18">
        <f t="shared" si="28"/>
        <v>214</v>
      </c>
      <c r="K31" s="18">
        <f t="shared" si="29"/>
        <v>53.5</v>
      </c>
      <c r="L31" s="18">
        <f t="shared" si="36"/>
        <v>4</v>
      </c>
      <c r="M31" s="18">
        <f t="shared" si="7"/>
        <v>28000</v>
      </c>
      <c r="N31" s="18">
        <f t="shared" si="33"/>
        <v>1120</v>
      </c>
      <c r="O31" s="18">
        <f t="shared" si="34"/>
        <v>593.6</v>
      </c>
      <c r="P31" s="21">
        <f t="shared" si="16"/>
        <v>5489.0191999999997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>
        <v>50</v>
      </c>
      <c r="C32" s="18">
        <f t="shared" si="17"/>
        <v>3</v>
      </c>
      <c r="D32" s="20">
        <v>52</v>
      </c>
      <c r="E32" s="18">
        <f t="shared" si="1"/>
        <v>2</v>
      </c>
      <c r="F32" s="20">
        <v>46</v>
      </c>
      <c r="G32" s="18">
        <f t="shared" si="18"/>
        <v>4</v>
      </c>
      <c r="H32" s="20">
        <v>50</v>
      </c>
      <c r="I32" s="18">
        <f t="shared" si="35"/>
        <v>6</v>
      </c>
      <c r="J32" s="18">
        <f t="shared" si="28"/>
        <v>198</v>
      </c>
      <c r="K32" s="18">
        <f t="shared" si="29"/>
        <v>49.5</v>
      </c>
      <c r="L32" s="18">
        <f t="shared" si="36"/>
        <v>3.75</v>
      </c>
      <c r="M32" s="18">
        <f t="shared" si="7"/>
        <v>28000</v>
      </c>
      <c r="N32" s="18">
        <f t="shared" si="33"/>
        <v>1050</v>
      </c>
      <c r="O32" s="18">
        <f t="shared" si="34"/>
        <v>556.5</v>
      </c>
      <c r="P32" s="21">
        <f t="shared" si="16"/>
        <v>5145.9555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>
        <v>47</v>
      </c>
      <c r="C33" s="18">
        <f t="shared" si="17"/>
        <v>0</v>
      </c>
      <c r="D33" s="20">
        <v>50</v>
      </c>
      <c r="E33" s="18">
        <f t="shared" si="1"/>
        <v>0</v>
      </c>
      <c r="F33" s="20">
        <v>42</v>
      </c>
      <c r="G33" s="18">
        <f t="shared" si="18"/>
        <v>0</v>
      </c>
      <c r="H33" s="20">
        <v>44</v>
      </c>
      <c r="I33" s="18">
        <f t="shared" si="35"/>
        <v>0</v>
      </c>
      <c r="J33" s="18">
        <f t="shared" si="28"/>
        <v>183</v>
      </c>
      <c r="K33" s="18">
        <f t="shared" si="29"/>
        <v>45.75</v>
      </c>
      <c r="L33" s="18">
        <f t="shared" si="36"/>
        <v>0</v>
      </c>
      <c r="M33" s="18">
        <f t="shared" si="7"/>
        <v>28000</v>
      </c>
      <c r="N33" s="18">
        <f t="shared" si="33"/>
        <v>0</v>
      </c>
      <c r="O33" s="18">
        <f t="shared" si="34"/>
        <v>0</v>
      </c>
      <c r="P33" s="21">
        <f t="shared" si="16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ref="C33:C42" si="37">IF(AC34&gt;0,((B34-R34)+(S34-B35)),IF(B35=0, ,(B34-B35)))</f>
        <v>0</v>
      </c>
      <c r="D34" s="20"/>
      <c r="E34" s="18">
        <f t="shared" ref="E33:E42" si="38">IF(AC34&gt;0,((D34-U34)+(V34-D35)),IF(D35=0, ,(D34-D35)))</f>
        <v>0</v>
      </c>
      <c r="F34" s="20"/>
      <c r="G34" s="18">
        <f t="shared" ref="G33:G42" si="39">IF(AC34&gt;0,((F34-X34)+(Y34-F35)),IF(F35=0, ,(F34-F35)))</f>
        <v>0</v>
      </c>
      <c r="H34" s="20"/>
      <c r="I34" s="18">
        <f t="shared" si="35"/>
        <v>0</v>
      </c>
      <c r="J34" s="18">
        <f t="shared" si="28"/>
        <v>0</v>
      </c>
      <c r="K34" s="18">
        <f t="shared" si="29"/>
        <v>0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7"/>
        <v>0</v>
      </c>
      <c r="D35" s="20"/>
      <c r="E35" s="18">
        <f t="shared" si="38"/>
        <v>0</v>
      </c>
      <c r="F35" s="20"/>
      <c r="G35" s="18">
        <f t="shared" si="39"/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7"/>
        <v>0</v>
      </c>
      <c r="D36" s="20"/>
      <c r="E36" s="18">
        <f t="shared" si="38"/>
        <v>0</v>
      </c>
      <c r="F36" s="20"/>
      <c r="G36" s="18">
        <f t="shared" si="39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7"/>
        <v>0</v>
      </c>
      <c r="D37" s="20"/>
      <c r="E37" s="18">
        <f t="shared" si="38"/>
        <v>0</v>
      </c>
      <c r="F37" s="20"/>
      <c r="G37" s="18">
        <f t="shared" si="39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7"/>
        <v>0</v>
      </c>
      <c r="D38" s="20"/>
      <c r="E38" s="18">
        <f t="shared" si="38"/>
        <v>0</v>
      </c>
      <c r="F38" s="20"/>
      <c r="G38" s="18">
        <f t="shared" si="39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7"/>
        <v>0</v>
      </c>
      <c r="D39" s="20"/>
      <c r="E39" s="18">
        <f t="shared" si="38"/>
        <v>0</v>
      </c>
      <c r="F39" s="20"/>
      <c r="G39" s="18">
        <f t="shared" si="39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7"/>
        <v>0</v>
      </c>
      <c r="D40" s="20"/>
      <c r="E40" s="18">
        <f t="shared" si="38"/>
        <v>0</v>
      </c>
      <c r="F40" s="20"/>
      <c r="G40" s="18">
        <f t="shared" si="39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44</v>
      </c>
      <c r="D43" s="20"/>
      <c r="E43" s="18">
        <f>SUM(E11:E38)</f>
        <v>46</v>
      </c>
      <c r="F43" s="20"/>
      <c r="G43" s="18">
        <f>SUM(G11:G38)</f>
        <v>58</v>
      </c>
      <c r="H43" s="20"/>
      <c r="I43" s="18">
        <f>SUM(I11:I38)</f>
        <v>61</v>
      </c>
      <c r="J43" s="16"/>
      <c r="K43" s="16"/>
      <c r="L43" s="16"/>
      <c r="M43" s="16"/>
      <c r="N43" s="18">
        <f>SUM(N11:N38)</f>
        <v>15820</v>
      </c>
      <c r="O43" s="18">
        <f>N43*0.53</f>
        <v>8384.6</v>
      </c>
      <c r="P43" s="21">
        <f t="shared" si="16"/>
        <v>77532.396200000003</v>
      </c>
      <c r="Q43" s="270">
        <f>SUM(Q11:Q38)</f>
        <v>2492</v>
      </c>
      <c r="R43" s="271"/>
      <c r="S43" s="272"/>
      <c r="T43" s="270">
        <f>SUM(T11:T38)</f>
        <v>2346</v>
      </c>
      <c r="U43" s="271"/>
      <c r="V43" s="272"/>
      <c r="W43" s="270">
        <f>SUM(W11:W38)</f>
        <v>2750</v>
      </c>
      <c r="X43" s="271"/>
      <c r="Y43" s="272"/>
      <c r="Z43" s="270">
        <f>SUM(Z11:Z38)</f>
        <v>2694</v>
      </c>
      <c r="AA43" s="271"/>
      <c r="AB43" s="272"/>
      <c r="AC43" s="137">
        <f>SUM(AC11:AC38)</f>
        <v>10282</v>
      </c>
      <c r="AD43" s="138"/>
      <c r="AE43" s="135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10282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6">
        <f>Q43+T43+W43+Z43</f>
        <v>10282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15820</v>
      </c>
      <c r="L47" s="29">
        <f>O43</f>
        <v>8384.6</v>
      </c>
      <c r="M47" s="29">
        <f>P43</f>
        <v>77532.396200000003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10282</v>
      </c>
      <c r="L48" s="27">
        <f>K48*0.53</f>
        <v>5449.46</v>
      </c>
      <c r="M48" s="27">
        <f>L48*9.247</f>
        <v>50391.156620000002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9" sqref="B39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6337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38" si="1">IF(D10&lt;D9,0,D10-D9)</f>
        <v>3048</v>
      </c>
      <c r="F9" s="42">
        <v>34032290</v>
      </c>
      <c r="G9" s="41">
        <f t="shared" ref="G9:G38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274</v>
      </c>
      <c r="D29" s="42">
        <v>19072514</v>
      </c>
      <c r="E29" s="41">
        <f t="shared" si="1"/>
        <v>3094</v>
      </c>
      <c r="F29" s="42">
        <v>34131958</v>
      </c>
      <c r="G29" s="41">
        <f t="shared" si="2"/>
        <v>5466</v>
      </c>
      <c r="H29" s="42">
        <v>15117756</v>
      </c>
      <c r="I29" s="41">
        <f t="shared" si="3"/>
        <v>2952</v>
      </c>
    </row>
    <row r="30" spans="1:9" ht="21" thickTop="1" thickBot="1" x14ac:dyDescent="0.35">
      <c r="A30" s="39">
        <f t="shared" si="4"/>
        <v>44242</v>
      </c>
      <c r="B30" s="40">
        <v>7816</v>
      </c>
      <c r="C30" s="41">
        <f t="shared" si="0"/>
        <v>350</v>
      </c>
      <c r="D30" s="42">
        <v>19075608</v>
      </c>
      <c r="E30" s="41">
        <f t="shared" si="1"/>
        <v>4123</v>
      </c>
      <c r="F30" s="42">
        <v>34137424</v>
      </c>
      <c r="G30" s="41">
        <f t="shared" si="2"/>
        <v>5922</v>
      </c>
      <c r="H30" s="42">
        <v>15120708</v>
      </c>
      <c r="I30" s="41">
        <f t="shared" si="3"/>
        <v>2571</v>
      </c>
    </row>
    <row r="31" spans="1:9" ht="21" thickTop="1" thickBot="1" x14ac:dyDescent="0.35">
      <c r="A31" s="39">
        <f t="shared" si="4"/>
        <v>44243</v>
      </c>
      <c r="B31" s="40">
        <v>8166</v>
      </c>
      <c r="C31" s="41">
        <f t="shared" si="0"/>
        <v>276</v>
      </c>
      <c r="D31" s="42">
        <v>19079731</v>
      </c>
      <c r="E31" s="41">
        <f t="shared" si="1"/>
        <v>4143</v>
      </c>
      <c r="F31" s="42">
        <v>34143346</v>
      </c>
      <c r="G31" s="41">
        <f t="shared" si="2"/>
        <v>5588</v>
      </c>
      <c r="H31" s="42">
        <v>15123279</v>
      </c>
      <c r="I31" s="41">
        <f t="shared" si="3"/>
        <v>2421</v>
      </c>
    </row>
    <row r="32" spans="1:9" ht="21" thickTop="1" thickBot="1" x14ac:dyDescent="0.35">
      <c r="A32" s="39">
        <f t="shared" si="4"/>
        <v>44244</v>
      </c>
      <c r="B32" s="40">
        <v>8442</v>
      </c>
      <c r="C32" s="41">
        <f t="shared" si="0"/>
        <v>203</v>
      </c>
      <c r="D32" s="42">
        <v>19083874</v>
      </c>
      <c r="E32" s="41">
        <f t="shared" si="1"/>
        <v>3292</v>
      </c>
      <c r="F32" s="42">
        <v>34148934</v>
      </c>
      <c r="G32" s="41">
        <f t="shared" si="2"/>
        <v>5399</v>
      </c>
      <c r="H32" s="42">
        <v>15125700</v>
      </c>
      <c r="I32" s="41">
        <f t="shared" si="3"/>
        <v>2380</v>
      </c>
    </row>
    <row r="33" spans="1:9" ht="21" thickTop="1" thickBot="1" x14ac:dyDescent="0.35">
      <c r="A33" s="39">
        <f t="shared" si="4"/>
        <v>44245</v>
      </c>
      <c r="B33" s="40">
        <v>8645</v>
      </c>
      <c r="C33" s="41">
        <f t="shared" si="0"/>
        <v>341</v>
      </c>
      <c r="D33" s="42">
        <v>19087166</v>
      </c>
      <c r="E33" s="41">
        <f t="shared" si="1"/>
        <v>3824</v>
      </c>
      <c r="F33" s="42">
        <v>34154333</v>
      </c>
      <c r="G33" s="41">
        <f t="shared" si="2"/>
        <v>5407</v>
      </c>
      <c r="H33" s="42">
        <v>15128080</v>
      </c>
      <c r="I33" s="41">
        <f t="shared" si="3"/>
        <v>2464</v>
      </c>
    </row>
    <row r="34" spans="1:9" ht="21" thickTop="1" thickBot="1" x14ac:dyDescent="0.35">
      <c r="A34" s="39">
        <f t="shared" si="4"/>
        <v>44246</v>
      </c>
      <c r="B34" s="40">
        <v>8986</v>
      </c>
      <c r="C34" s="41">
        <f t="shared" si="0"/>
        <v>435</v>
      </c>
      <c r="D34" s="42">
        <v>19090990</v>
      </c>
      <c r="E34" s="41">
        <f t="shared" si="1"/>
        <v>3254</v>
      </c>
      <c r="F34" s="42">
        <v>34159740</v>
      </c>
      <c r="G34" s="41">
        <f t="shared" si="2"/>
        <v>5439</v>
      </c>
      <c r="H34" s="42">
        <v>15130544</v>
      </c>
      <c r="I34" s="41">
        <f t="shared" si="3"/>
        <v>2442</v>
      </c>
    </row>
    <row r="35" spans="1:9" ht="21" thickTop="1" thickBot="1" x14ac:dyDescent="0.35">
      <c r="A35" s="39">
        <f t="shared" si="4"/>
        <v>44247</v>
      </c>
      <c r="B35" s="40">
        <v>9421</v>
      </c>
      <c r="C35" s="41">
        <f t="shared" si="0"/>
        <v>316</v>
      </c>
      <c r="D35" s="42">
        <v>19094244</v>
      </c>
      <c r="E35" s="41">
        <f t="shared" si="1"/>
        <v>3501</v>
      </c>
      <c r="F35" s="42">
        <v>34165179</v>
      </c>
      <c r="G35" s="41">
        <f t="shared" si="2"/>
        <v>5607</v>
      </c>
      <c r="H35" s="42">
        <v>15132986</v>
      </c>
      <c r="I35" s="41">
        <f t="shared" si="3"/>
        <v>2443</v>
      </c>
    </row>
    <row r="36" spans="1:9" ht="21" thickTop="1" thickBot="1" x14ac:dyDescent="0.35">
      <c r="A36" s="39">
        <f t="shared" si="4"/>
        <v>44248</v>
      </c>
      <c r="B36" s="40">
        <v>9737</v>
      </c>
      <c r="C36" s="41">
        <f t="shared" si="0"/>
        <v>322</v>
      </c>
      <c r="D36" s="42">
        <v>19097745</v>
      </c>
      <c r="E36" s="41">
        <f t="shared" si="1"/>
        <v>3440</v>
      </c>
      <c r="F36" s="42">
        <v>34170786</v>
      </c>
      <c r="G36" s="41">
        <f t="shared" si="2"/>
        <v>5363</v>
      </c>
      <c r="H36" s="42">
        <v>15135429</v>
      </c>
      <c r="I36" s="41">
        <f t="shared" si="3"/>
        <v>2262</v>
      </c>
    </row>
    <row r="37" spans="1:9" ht="21" thickTop="1" thickBot="1" x14ac:dyDescent="0.35">
      <c r="A37" s="39">
        <f t="shared" si="4"/>
        <v>44249</v>
      </c>
      <c r="B37" s="40">
        <v>10059</v>
      </c>
      <c r="C37" s="41">
        <f t="shared" si="0"/>
        <v>306</v>
      </c>
      <c r="D37" s="42">
        <v>19101185</v>
      </c>
      <c r="E37" s="41">
        <f t="shared" si="1"/>
        <v>3544</v>
      </c>
      <c r="F37" s="42">
        <v>34176149</v>
      </c>
      <c r="G37" s="41">
        <f t="shared" si="2"/>
        <v>5797</v>
      </c>
      <c r="H37" s="42">
        <v>15137691</v>
      </c>
      <c r="I37" s="41">
        <f t="shared" si="3"/>
        <v>2328</v>
      </c>
    </row>
    <row r="38" spans="1:9" ht="21" thickTop="1" thickBot="1" x14ac:dyDescent="0.35">
      <c r="A38" s="39">
        <f t="shared" si="4"/>
        <v>44250</v>
      </c>
      <c r="B38" s="40">
        <v>10365</v>
      </c>
      <c r="C38" s="41">
        <f t="shared" si="0"/>
        <v>0</v>
      </c>
      <c r="D38" s="42">
        <v>19104729</v>
      </c>
      <c r="E38" s="41">
        <f t="shared" si="1"/>
        <v>0</v>
      </c>
      <c r="F38" s="42">
        <v>34181946</v>
      </c>
      <c r="G38" s="41">
        <f t="shared" si="2"/>
        <v>0</v>
      </c>
      <c r="H38" s="42">
        <v>15140019</v>
      </c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ref="E38:E47" si="5">IF(D40&lt;D39,0,D40-D39)</f>
        <v>0</v>
      </c>
      <c r="F39" s="42"/>
      <c r="G39" s="41">
        <f t="shared" ref="G38:G47" si="6">IF(F40&lt;F39,0,F40-F39)</f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6337</v>
      </c>
      <c r="E48" s="41">
        <f>SUM(E16:E43)</f>
        <v>74453</v>
      </c>
      <c r="F48" s="53"/>
      <c r="G48" s="41">
        <f>SUM(G16:G43)</f>
        <v>113558</v>
      </c>
      <c r="H48" s="53"/>
      <c r="I48" s="41">
        <f>SUM(I16:I43)</f>
        <v>49475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2" priority="1246" stopIfTrue="1" operator="lessThanOrEqual">
      <formula>0</formula>
    </cfRule>
  </conditionalFormatting>
  <conditionalFormatting sqref="C48">
    <cfRule type="cellIs" dxfId="91" priority="908" stopIfTrue="1" operator="lessThanOrEqual">
      <formula>0</formula>
    </cfRule>
  </conditionalFormatting>
  <conditionalFormatting sqref="C48">
    <cfRule type="cellIs" dxfId="90" priority="907" stopIfTrue="1" operator="lessThanOrEqual">
      <formula>0</formula>
    </cfRule>
  </conditionalFormatting>
  <conditionalFormatting sqref="C48">
    <cfRule type="cellIs" dxfId="89" priority="906" stopIfTrue="1" operator="lessThanOrEqual">
      <formula>0</formula>
    </cfRule>
  </conditionalFormatting>
  <conditionalFormatting sqref="C48">
    <cfRule type="cellIs" dxfId="88" priority="905" stopIfTrue="1" operator="lessThanOrEqual">
      <formula>0</formula>
    </cfRule>
  </conditionalFormatting>
  <conditionalFormatting sqref="C9:C10">
    <cfRule type="cellIs" dxfId="87" priority="96" stopIfTrue="1" operator="lessThanOrEqual">
      <formula>0</formula>
    </cfRule>
  </conditionalFormatting>
  <conditionalFormatting sqref="C9:C10">
    <cfRule type="cellIs" dxfId="86" priority="95" stopIfTrue="1" operator="lessThanOrEqual">
      <formula>0</formula>
    </cfRule>
  </conditionalFormatting>
  <conditionalFormatting sqref="C9:C10">
    <cfRule type="cellIs" dxfId="85" priority="94" stopIfTrue="1" operator="lessThanOrEqual">
      <formula>0</formula>
    </cfRule>
  </conditionalFormatting>
  <conditionalFormatting sqref="C9:C10">
    <cfRule type="cellIs" dxfId="84" priority="93" stopIfTrue="1" operator="lessThanOrEqual">
      <formula>0</formula>
    </cfRule>
  </conditionalFormatting>
  <conditionalFormatting sqref="C11:C14">
    <cfRule type="cellIs" dxfId="83" priority="92" stopIfTrue="1" operator="lessThanOrEqual">
      <formula>0</formula>
    </cfRule>
  </conditionalFormatting>
  <conditionalFormatting sqref="C11:C14">
    <cfRule type="cellIs" dxfId="82" priority="91" stopIfTrue="1" operator="lessThanOrEqual">
      <formula>0</formula>
    </cfRule>
  </conditionalFormatting>
  <conditionalFormatting sqref="C11:C14">
    <cfRule type="cellIs" dxfId="81" priority="90" stopIfTrue="1" operator="lessThanOrEqual">
      <formula>0</formula>
    </cfRule>
  </conditionalFormatting>
  <conditionalFormatting sqref="C11:C14">
    <cfRule type="cellIs" dxfId="80" priority="89" stopIfTrue="1" operator="lessThanOrEqual">
      <formula>0</formula>
    </cfRule>
  </conditionalFormatting>
  <conditionalFormatting sqref="C15">
    <cfRule type="cellIs" dxfId="79" priority="88" stopIfTrue="1" operator="lessThanOrEqual">
      <formula>0</formula>
    </cfRule>
  </conditionalFormatting>
  <conditionalFormatting sqref="C15">
    <cfRule type="cellIs" dxfId="78" priority="87" stopIfTrue="1" operator="lessThanOrEqual">
      <formula>0</formula>
    </cfRule>
  </conditionalFormatting>
  <conditionalFormatting sqref="C15">
    <cfRule type="cellIs" dxfId="77" priority="86" stopIfTrue="1" operator="lessThanOrEqual">
      <formula>0</formula>
    </cfRule>
  </conditionalFormatting>
  <conditionalFormatting sqref="C15">
    <cfRule type="cellIs" dxfId="76" priority="85" stopIfTrue="1" operator="lessThanOrEqual">
      <formula>0</formula>
    </cfRule>
  </conditionalFormatting>
  <conditionalFormatting sqref="C16 C39:C47">
    <cfRule type="cellIs" dxfId="75" priority="84" stopIfTrue="1" operator="lessThanOrEqual">
      <formula>0</formula>
    </cfRule>
  </conditionalFormatting>
  <conditionalFormatting sqref="C16 C39:C47">
    <cfRule type="cellIs" dxfId="74" priority="83" stopIfTrue="1" operator="lessThanOrEqual">
      <formula>0</formula>
    </cfRule>
  </conditionalFormatting>
  <conditionalFormatting sqref="C16 C39:C47">
    <cfRule type="cellIs" dxfId="73" priority="82" stopIfTrue="1" operator="lessThanOrEqual">
      <formula>0</formula>
    </cfRule>
  </conditionalFormatting>
  <conditionalFormatting sqref="C16 C39:C47">
    <cfRule type="cellIs" dxfId="72" priority="81" stopIfTrue="1" operator="lessThanOrEqual">
      <formula>0</formula>
    </cfRule>
  </conditionalFormatting>
  <conditionalFormatting sqref="C17">
    <cfRule type="cellIs" dxfId="71" priority="68" stopIfTrue="1" operator="lessThanOrEqual">
      <formula>0</formula>
    </cfRule>
  </conditionalFormatting>
  <conditionalFormatting sqref="C17">
    <cfRule type="cellIs" dxfId="70" priority="67" stopIfTrue="1" operator="lessThanOrEqual">
      <formula>0</formula>
    </cfRule>
  </conditionalFormatting>
  <conditionalFormatting sqref="C17">
    <cfRule type="cellIs" dxfId="69" priority="66" stopIfTrue="1" operator="lessThanOrEqual">
      <formula>0</formula>
    </cfRule>
  </conditionalFormatting>
  <conditionalFormatting sqref="C17">
    <cfRule type="cellIs" dxfId="68" priority="65" stopIfTrue="1" operator="lessThanOrEqual">
      <formula>0</formula>
    </cfRule>
  </conditionalFormatting>
  <conditionalFormatting sqref="E48">
    <cfRule type="cellIs" dxfId="67" priority="64" stopIfTrue="1" operator="lessThanOrEqual">
      <formula>0</formula>
    </cfRule>
  </conditionalFormatting>
  <conditionalFormatting sqref="E48">
    <cfRule type="cellIs" dxfId="66" priority="63" stopIfTrue="1" operator="lessThanOrEqual">
      <formula>0</formula>
    </cfRule>
  </conditionalFormatting>
  <conditionalFormatting sqref="E48">
    <cfRule type="cellIs" dxfId="65" priority="62" stopIfTrue="1" operator="lessThanOrEqual">
      <formula>0</formula>
    </cfRule>
  </conditionalFormatting>
  <conditionalFormatting sqref="E48">
    <cfRule type="cellIs" dxfId="64" priority="61" stopIfTrue="1" operator="lessThanOrEqual">
      <formula>0</formula>
    </cfRule>
  </conditionalFormatting>
  <conditionalFormatting sqref="G48">
    <cfRule type="cellIs" dxfId="63" priority="60" stopIfTrue="1" operator="lessThanOrEqual">
      <formula>0</formula>
    </cfRule>
  </conditionalFormatting>
  <conditionalFormatting sqref="G48">
    <cfRule type="cellIs" dxfId="62" priority="59" stopIfTrue="1" operator="lessThanOrEqual">
      <formula>0</formula>
    </cfRule>
  </conditionalFormatting>
  <conditionalFormatting sqref="G48">
    <cfRule type="cellIs" dxfId="61" priority="58" stopIfTrue="1" operator="lessThanOrEqual">
      <formula>0</formula>
    </cfRule>
  </conditionalFormatting>
  <conditionalFormatting sqref="G48">
    <cfRule type="cellIs" dxfId="60" priority="57" stopIfTrue="1" operator="lessThanOrEqual">
      <formula>0</formula>
    </cfRule>
  </conditionalFormatting>
  <conditionalFormatting sqref="I48">
    <cfRule type="cellIs" dxfId="59" priority="56" stopIfTrue="1" operator="lessThanOrEqual">
      <formula>0</formula>
    </cfRule>
  </conditionalFormatting>
  <conditionalFormatting sqref="I48">
    <cfRule type="cellIs" dxfId="58" priority="55" stopIfTrue="1" operator="lessThanOrEqual">
      <formula>0</formula>
    </cfRule>
  </conditionalFormatting>
  <conditionalFormatting sqref="I48">
    <cfRule type="cellIs" dxfId="57" priority="54" stopIfTrue="1" operator="lessThanOrEqual">
      <formula>0</formula>
    </cfRule>
  </conditionalFormatting>
  <conditionalFormatting sqref="I48">
    <cfRule type="cellIs" dxfId="56" priority="53" stopIfTrue="1" operator="lessThanOrEqual">
      <formula>0</formula>
    </cfRule>
  </conditionalFormatting>
  <conditionalFormatting sqref="C18">
    <cfRule type="cellIs" dxfId="55" priority="52" stopIfTrue="1" operator="lessThanOrEqual">
      <formula>0</formula>
    </cfRule>
  </conditionalFormatting>
  <conditionalFormatting sqref="C18">
    <cfRule type="cellIs" dxfId="54" priority="51" stopIfTrue="1" operator="lessThanOrEqual">
      <formula>0</formula>
    </cfRule>
  </conditionalFormatting>
  <conditionalFormatting sqref="C18">
    <cfRule type="cellIs" dxfId="53" priority="50" stopIfTrue="1" operator="lessThanOrEqual">
      <formula>0</formula>
    </cfRule>
  </conditionalFormatting>
  <conditionalFormatting sqref="C18">
    <cfRule type="cellIs" dxfId="52" priority="49" stopIfTrue="1" operator="lessThanOrEqual">
      <formula>0</formula>
    </cfRule>
  </conditionalFormatting>
  <conditionalFormatting sqref="C19:C21">
    <cfRule type="cellIs" dxfId="51" priority="48" stopIfTrue="1" operator="lessThanOrEqual">
      <formula>0</formula>
    </cfRule>
  </conditionalFormatting>
  <conditionalFormatting sqref="C19:C21">
    <cfRule type="cellIs" dxfId="50" priority="47" stopIfTrue="1" operator="lessThanOrEqual">
      <formula>0</formula>
    </cfRule>
  </conditionalFormatting>
  <conditionalFormatting sqref="C19:C21">
    <cfRule type="cellIs" dxfId="49" priority="46" stopIfTrue="1" operator="lessThanOrEqual">
      <formula>0</formula>
    </cfRule>
  </conditionalFormatting>
  <conditionalFormatting sqref="C19:C21">
    <cfRule type="cellIs" dxfId="48" priority="45" stopIfTrue="1" operator="lessThanOrEqual">
      <formula>0</formula>
    </cfRule>
  </conditionalFormatting>
  <conditionalFormatting sqref="C22:C23">
    <cfRule type="cellIs" dxfId="47" priority="44" stopIfTrue="1" operator="lessThanOrEqual">
      <formula>0</formula>
    </cfRule>
  </conditionalFormatting>
  <conditionalFormatting sqref="C22:C23">
    <cfRule type="cellIs" dxfId="46" priority="43" stopIfTrue="1" operator="lessThanOrEqual">
      <formula>0</formula>
    </cfRule>
  </conditionalFormatting>
  <conditionalFormatting sqref="C22:C23">
    <cfRule type="cellIs" dxfId="45" priority="42" stopIfTrue="1" operator="lessThanOrEqual">
      <formula>0</formula>
    </cfRule>
  </conditionalFormatting>
  <conditionalFormatting sqref="C22:C23">
    <cfRule type="cellIs" dxfId="44" priority="41" stopIfTrue="1" operator="lessThanOrEqual">
      <formula>0</formula>
    </cfRule>
  </conditionalFormatting>
  <conditionalFormatting sqref="C24">
    <cfRule type="cellIs" dxfId="43" priority="40" stopIfTrue="1" operator="lessThanOrEqual">
      <formula>0</formula>
    </cfRule>
  </conditionalFormatting>
  <conditionalFormatting sqref="C24">
    <cfRule type="cellIs" dxfId="42" priority="39" stopIfTrue="1" operator="lessThanOrEqual">
      <formula>0</formula>
    </cfRule>
  </conditionalFormatting>
  <conditionalFormatting sqref="C24">
    <cfRule type="cellIs" dxfId="41" priority="38" stopIfTrue="1" operator="lessThanOrEqual">
      <formula>0</formula>
    </cfRule>
  </conditionalFormatting>
  <conditionalFormatting sqref="C24">
    <cfRule type="cellIs" dxfId="40" priority="37" stopIfTrue="1" operator="lessThanOrEqual">
      <formula>0</formula>
    </cfRule>
  </conditionalFormatting>
  <conditionalFormatting sqref="C25">
    <cfRule type="cellIs" dxfId="39" priority="36" stopIfTrue="1" operator="lessThanOrEqual">
      <formula>0</formula>
    </cfRule>
  </conditionalFormatting>
  <conditionalFormatting sqref="C25">
    <cfRule type="cellIs" dxfId="38" priority="35" stopIfTrue="1" operator="lessThanOrEqual">
      <formula>0</formula>
    </cfRule>
  </conditionalFormatting>
  <conditionalFormatting sqref="C25">
    <cfRule type="cellIs" dxfId="37" priority="34" stopIfTrue="1" operator="lessThanOrEqual">
      <formula>0</formula>
    </cfRule>
  </conditionalFormatting>
  <conditionalFormatting sqref="C25">
    <cfRule type="cellIs" dxfId="36" priority="33" stopIfTrue="1" operator="lessThanOrEqual">
      <formula>0</formula>
    </cfRule>
  </conditionalFormatting>
  <conditionalFormatting sqref="C26:C29">
    <cfRule type="cellIs" dxfId="35" priority="32" stopIfTrue="1" operator="lessThanOrEqual">
      <formula>0</formula>
    </cfRule>
  </conditionalFormatting>
  <conditionalFormatting sqref="C26:C29">
    <cfRule type="cellIs" dxfId="34" priority="31" stopIfTrue="1" operator="lessThanOrEqual">
      <formula>0</formula>
    </cfRule>
  </conditionalFormatting>
  <conditionalFormatting sqref="C26:C29">
    <cfRule type="cellIs" dxfId="33" priority="30" stopIfTrue="1" operator="lessThanOrEqual">
      <formula>0</formula>
    </cfRule>
  </conditionalFormatting>
  <conditionalFormatting sqref="C26:C29">
    <cfRule type="cellIs" dxfId="32" priority="29" stopIfTrue="1" operator="lessThanOrEqual">
      <formula>0</formula>
    </cfRule>
  </conditionalFormatting>
  <conditionalFormatting sqref="C30">
    <cfRule type="cellIs" dxfId="31" priority="28" stopIfTrue="1" operator="lessThanOrEqual">
      <formula>0</formula>
    </cfRule>
  </conditionalFormatting>
  <conditionalFormatting sqref="C30">
    <cfRule type="cellIs" dxfId="30" priority="27" stopIfTrue="1" operator="lessThanOrEqual">
      <formula>0</formula>
    </cfRule>
  </conditionalFormatting>
  <conditionalFormatting sqref="C30">
    <cfRule type="cellIs" dxfId="29" priority="26" stopIfTrue="1" operator="lessThanOrEqual">
      <formula>0</formula>
    </cfRule>
  </conditionalFormatting>
  <conditionalFormatting sqref="C30">
    <cfRule type="cellIs" dxfId="28" priority="25" stopIfTrue="1" operator="lessThanOrEqual">
      <formula>0</formula>
    </cfRule>
  </conditionalFormatting>
  <conditionalFormatting sqref="C31">
    <cfRule type="cellIs" dxfId="27" priority="24" stopIfTrue="1" operator="lessThanOrEqual">
      <formula>0</formula>
    </cfRule>
  </conditionalFormatting>
  <conditionalFormatting sqref="C31">
    <cfRule type="cellIs" dxfId="26" priority="23" stopIfTrue="1" operator="lessThanOrEqual">
      <formula>0</formula>
    </cfRule>
  </conditionalFormatting>
  <conditionalFormatting sqref="C31">
    <cfRule type="cellIs" dxfId="25" priority="22" stopIfTrue="1" operator="lessThanOrEqual">
      <formula>0</formula>
    </cfRule>
  </conditionalFormatting>
  <conditionalFormatting sqref="C31">
    <cfRule type="cellIs" dxfId="24" priority="21" stopIfTrue="1" operator="lessThanOrEqual">
      <formula>0</formula>
    </cfRule>
  </conditionalFormatting>
  <conditionalFormatting sqref="C32">
    <cfRule type="cellIs" dxfId="23" priority="20" stopIfTrue="1" operator="lessThanOrEqual">
      <formula>0</formula>
    </cfRule>
  </conditionalFormatting>
  <conditionalFormatting sqref="C32">
    <cfRule type="cellIs" dxfId="22" priority="19" stopIfTrue="1" operator="lessThanOrEqual">
      <formula>0</formula>
    </cfRule>
  </conditionalFormatting>
  <conditionalFormatting sqref="C32">
    <cfRule type="cellIs" dxfId="21" priority="18" stopIfTrue="1" operator="lessThanOrEqual">
      <formula>0</formula>
    </cfRule>
  </conditionalFormatting>
  <conditionalFormatting sqref="C32">
    <cfRule type="cellIs" dxfId="20" priority="17" stopIfTrue="1" operator="lessThanOrEqual">
      <formula>0</formula>
    </cfRule>
  </conditionalFormatting>
  <conditionalFormatting sqref="C33:C35">
    <cfRule type="cellIs" dxfId="19" priority="16" stopIfTrue="1" operator="lessThanOrEqual">
      <formula>0</formula>
    </cfRule>
  </conditionalFormatting>
  <conditionalFormatting sqref="C33:C35">
    <cfRule type="cellIs" dxfId="18" priority="15" stopIfTrue="1" operator="lessThanOrEqual">
      <formula>0</formula>
    </cfRule>
  </conditionalFormatting>
  <conditionalFormatting sqref="C33:C35">
    <cfRule type="cellIs" dxfId="17" priority="14" stopIfTrue="1" operator="lessThanOrEqual">
      <formula>0</formula>
    </cfRule>
  </conditionalFormatting>
  <conditionalFormatting sqref="C33:C35">
    <cfRule type="cellIs" dxfId="16" priority="13" stopIfTrue="1" operator="lessThanOrEqual">
      <formula>0</formula>
    </cfRule>
  </conditionalFormatting>
  <conditionalFormatting sqref="C36">
    <cfRule type="cellIs" dxfId="15" priority="12" stopIfTrue="1" operator="lessThanOrEqual">
      <formula>0</formula>
    </cfRule>
  </conditionalFormatting>
  <conditionalFormatting sqref="C36">
    <cfRule type="cellIs" dxfId="14" priority="11" stopIfTrue="1" operator="lessThanOrEqual">
      <formula>0</formula>
    </cfRule>
  </conditionalFormatting>
  <conditionalFormatting sqref="C36">
    <cfRule type="cellIs" dxfId="13" priority="10" stopIfTrue="1" operator="lessThanOrEqual">
      <formula>0</formula>
    </cfRule>
  </conditionalFormatting>
  <conditionalFormatting sqref="C36">
    <cfRule type="cellIs" dxfId="12" priority="9" stopIfTrue="1" operator="lessThanOrEqual">
      <formula>0</formula>
    </cfRule>
  </conditionalFormatting>
  <conditionalFormatting sqref="C37">
    <cfRule type="cellIs" dxfId="11" priority="8" stopIfTrue="1" operator="lessThanOrEqual">
      <formula>0</formula>
    </cfRule>
  </conditionalFormatting>
  <conditionalFormatting sqref="C37">
    <cfRule type="cellIs" dxfId="10" priority="7" stopIfTrue="1" operator="lessThanOrEqual">
      <formula>0</formula>
    </cfRule>
  </conditionalFormatting>
  <conditionalFormatting sqref="C37">
    <cfRule type="cellIs" dxfId="9" priority="6" stopIfTrue="1" operator="lessThanOrEqual">
      <formula>0</formula>
    </cfRule>
  </conditionalFormatting>
  <conditionalFormatting sqref="C37">
    <cfRule type="cellIs" dxfId="8" priority="5" stopIfTrue="1" operator="lessThanOrEqual">
      <formula>0</formula>
    </cfRule>
  </conditionalFormatting>
  <conditionalFormatting sqref="C38">
    <cfRule type="cellIs" dxfId="7" priority="4" stopIfTrue="1" operator="lessThanOrEqual">
      <formula>0</formula>
    </cfRule>
  </conditionalFormatting>
  <conditionalFormatting sqref="C38">
    <cfRule type="cellIs" dxfId="5" priority="3" stopIfTrue="1" operator="lessThanOrEqual">
      <formula>0</formula>
    </cfRule>
  </conditionalFormatting>
  <conditionalFormatting sqref="C38">
    <cfRule type="cellIs" dxfId="3" priority="2" stopIfTrue="1" operator="lessThanOrEqual">
      <formula>0</formula>
    </cfRule>
  </conditionalFormatting>
  <conditionalFormatting sqref="C3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2021-02-23T07:13:38Z</dcterms:modified>
</cp:coreProperties>
</file>