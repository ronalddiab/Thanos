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0144" documentId="8_{5B502D95-7A37-4D5A-8B6B-374537CC2F26}" xr6:coauthVersionLast="47" xr6:coauthVersionMax="47" xr10:uidLastSave="{F69672F5-A6A5-41F4-885A-C68EDDCE043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7" i="2" l="1"/>
  <c r="N28" i="2"/>
  <c r="M28" i="2"/>
  <c r="L28" i="2"/>
  <c r="F28" i="2"/>
  <c r="K27" i="6"/>
  <c r="I27" i="6"/>
  <c r="G27" i="6"/>
  <c r="E27" i="6"/>
  <c r="C27" i="6"/>
  <c r="V26" i="2"/>
  <c r="N27" i="2"/>
  <c r="M27" i="2"/>
  <c r="L27" i="2"/>
  <c r="F27" i="2"/>
  <c r="K26" i="6"/>
  <c r="I26" i="6"/>
  <c r="G26" i="6"/>
  <c r="E26" i="6"/>
  <c r="C26" i="6"/>
  <c r="N26" i="2"/>
  <c r="M26" i="2"/>
  <c r="L26" i="2"/>
  <c r="F26" i="2"/>
  <c r="K25" i="6"/>
  <c r="I25" i="6"/>
  <c r="G25" i="6"/>
  <c r="E25" i="6"/>
  <c r="C25" i="6"/>
  <c r="V24" i="2"/>
  <c r="N25" i="2"/>
  <c r="M25" i="2"/>
  <c r="L25" i="2"/>
  <c r="F25" i="2"/>
  <c r="C24" i="6"/>
  <c r="E24" i="6"/>
  <c r="G24" i="6"/>
  <c r="I24" i="6"/>
  <c r="K24" i="6"/>
  <c r="V19" i="2"/>
  <c r="V20" i="2"/>
  <c r="V21" i="2"/>
  <c r="V22" i="2"/>
  <c r="V23" i="2"/>
  <c r="N21" i="2"/>
  <c r="N22" i="2"/>
  <c r="N23" i="2"/>
  <c r="N24" i="2"/>
  <c r="M21" i="2"/>
  <c r="M22" i="2"/>
  <c r="M23" i="2"/>
  <c r="M24" i="2"/>
  <c r="L21" i="2"/>
  <c r="L22" i="2"/>
  <c r="L23" i="2"/>
  <c r="L24" i="2"/>
  <c r="F21" i="2"/>
  <c r="F22" i="2"/>
  <c r="F23" i="2"/>
  <c r="F24" i="2"/>
  <c r="K20" i="6"/>
  <c r="I20" i="6"/>
  <c r="G20" i="6"/>
  <c r="E20" i="6"/>
  <c r="C20" i="6"/>
  <c r="N20" i="2"/>
  <c r="M20" i="2"/>
  <c r="L20" i="2"/>
  <c r="F20" i="2"/>
  <c r="K19" i="6"/>
  <c r="I19" i="6"/>
  <c r="G19" i="6"/>
  <c r="E19" i="6"/>
  <c r="C19" i="6"/>
  <c r="F18" i="2"/>
  <c r="V17" i="2"/>
  <c r="V18" i="2"/>
  <c r="N18" i="2"/>
  <c r="N19" i="2"/>
  <c r="M18" i="2"/>
  <c r="M19" i="2"/>
  <c r="L18" i="2"/>
  <c r="L19" i="2"/>
  <c r="F19" i="2"/>
  <c r="K17" i="6"/>
  <c r="I17" i="6"/>
  <c r="G17" i="6"/>
  <c r="E17" i="6"/>
  <c r="C17" i="6"/>
  <c r="N17" i="2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Q28" i="2"/>
  <c r="G21" i="4"/>
  <c r="E21" i="4"/>
  <c r="C21" i="4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8" i="6"/>
  <c r="I18" i="6"/>
  <c r="G18" i="6"/>
  <c r="E18" i="6"/>
  <c r="C18" i="6"/>
  <c r="X11" i="2"/>
  <c r="X12" i="2"/>
  <c r="X13" i="2"/>
  <c r="X14" i="2"/>
  <c r="X15" i="2"/>
  <c r="X17" i="2"/>
  <c r="X18" i="2"/>
  <c r="X19" i="2"/>
  <c r="X20" i="2"/>
  <c r="X21" i="2"/>
  <c r="X22" i="2"/>
  <c r="X23" i="2"/>
  <c r="X24" i="2"/>
  <c r="X26" i="2"/>
  <c r="X28" i="2"/>
  <c r="X29" i="2"/>
  <c r="X30" i="2"/>
  <c r="X31" i="2"/>
  <c r="X32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6" i="4"/>
  <c r="G24" i="4"/>
  <c r="G26" i="4"/>
  <c r="E8" i="4"/>
  <c r="E12" i="4"/>
  <c r="E14" i="4"/>
  <c r="E16" i="4"/>
  <c r="E17" i="4"/>
  <c r="E24" i="4"/>
  <c r="E26" i="4"/>
  <c r="C8" i="4"/>
  <c r="C12" i="4"/>
  <c r="C14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1" i="4" l="1"/>
  <c r="X27" i="2"/>
  <c r="P19" i="4"/>
  <c r="V25" i="2"/>
  <c r="X25" i="2" s="1"/>
  <c r="G15" i="4"/>
  <c r="E15" i="4"/>
  <c r="C15" i="4"/>
  <c r="P10" i="4"/>
  <c r="V16" i="2"/>
  <c r="X16" i="2" s="1"/>
  <c r="P27" i="4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G29" i="22" s="1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<sst xmlns="http://schemas.openxmlformats.org/spreadsheetml/2006/main" count="478" uniqueCount="187">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</sst>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0">
                  <c:v>60</c:v>
                </c:pt>
                <c:pt idx="11">
                  <c:v>54</c:v>
                </c:pt>
                <c:pt idx="12">
                  <c:v>63</c:v>
                </c:pt>
                <c:pt idx="13">
                  <c:v>75</c:v>
                </c:pt>
                <c:pt idx="14">
                  <c:v>104</c:v>
                </c:pt>
                <c:pt idx="15">
                  <c:v>82</c:v>
                </c:pt>
                <c:pt idx="16">
                  <c:v>94.399999999994179</c:v>
                </c:pt>
                <c:pt idx="17">
                  <c:v>97</c:v>
                </c:pt>
                <c:pt idx="18">
                  <c:v>109.60000000000582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0">
                  <c:v>2528</c:v>
                </c:pt>
                <c:pt idx="11">
                  <c:v>2512</c:v>
                </c:pt>
                <c:pt idx="12">
                  <c:v>2597</c:v>
                </c:pt>
                <c:pt idx="13">
                  <c:v>2617</c:v>
                </c:pt>
                <c:pt idx="14">
                  <c:v>2779</c:v>
                </c:pt>
                <c:pt idx="15">
                  <c:v>3179</c:v>
                </c:pt>
                <c:pt idx="16">
                  <c:v>2496</c:v>
                </c:pt>
                <c:pt idx="17">
                  <c:v>3144</c:v>
                </c:pt>
                <c:pt idx="18">
                  <c:v>3395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0">
                  <c:v>3074</c:v>
                </c:pt>
                <c:pt idx="11">
                  <c:v>3155</c:v>
                </c:pt>
                <c:pt idx="12">
                  <c:v>3261</c:v>
                </c:pt>
                <c:pt idx="13">
                  <c:v>3461</c:v>
                </c:pt>
                <c:pt idx="14">
                  <c:v>3882</c:v>
                </c:pt>
                <c:pt idx="15">
                  <c:v>3741</c:v>
                </c:pt>
                <c:pt idx="16">
                  <c:v>4321</c:v>
                </c:pt>
                <c:pt idx="17">
                  <c:v>4184</c:v>
                </c:pt>
                <c:pt idx="18">
                  <c:v>4118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0">
                  <c:v>1441</c:v>
                </c:pt>
                <c:pt idx="11">
                  <c:v>1494</c:v>
                </c:pt>
                <c:pt idx="12">
                  <c:v>1624</c:v>
                </c:pt>
                <c:pt idx="13">
                  <c:v>1703</c:v>
                </c:pt>
                <c:pt idx="14">
                  <c:v>1764</c:v>
                </c:pt>
                <c:pt idx="15">
                  <c:v>2181</c:v>
                </c:pt>
                <c:pt idx="16">
                  <c:v>1958</c:v>
                </c:pt>
                <c:pt idx="17">
                  <c:v>2150</c:v>
                </c:pt>
                <c:pt idx="18">
                  <c:v>2000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160.29849999999999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575.98577999999998</c:v>
                </c:pt>
                <c:pt idx="10">
                  <c:v>415.98973000000001</c:v>
                </c:pt>
                <c:pt idx="11">
                  <c:v>0</c:v>
                </c:pt>
                <c:pt idx="12">
                  <c:v>159.99605</c:v>
                </c:pt>
                <c:pt idx="13">
                  <c:v>671.98341000000005</c:v>
                </c:pt>
                <c:pt idx="14">
                  <c:v>351.99131</c:v>
                </c:pt>
                <c:pt idx="15">
                  <c:v>831.97946000000002</c:v>
                </c:pt>
                <c:pt idx="16">
                  <c:v>575.98577999999998</c:v>
                </c:pt>
                <c:pt idx="17">
                  <c:v>575.98577999999998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6268</v>
      </c>
      <c r="F3" s="134">
        <v>1.05</v>
      </c>
      <c r="G3" s="134">
        <f>'Consommation mensuel énergie'!V11</f>
        <v>223.99447000000001</v>
      </c>
      <c r="H3" s="134">
        <v>9.9649999999999999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9.9649999999999999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160.29849999999999</v>
      </c>
      <c r="H5" s="134">
        <v>9.9649999999999999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9.9649999999999999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9.9649999999999999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9.9649999999999999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191.99526</v>
      </c>
      <c r="H9" s="134">
        <v>9.9649999999999999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1.05</v>
      </c>
      <c r="G10" s="134">
        <f>'Consommation mensuel énergie'!V19</f>
        <v>575.98577999999998</v>
      </c>
      <c r="H10" s="134">
        <v>9.9649999999999999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1.05</v>
      </c>
      <c r="G11" s="134">
        <f>'Consommation mensuel énergie'!V20</f>
        <v>415.98973000000001</v>
      </c>
      <c r="H11" s="134">
        <v>9.9649999999999999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54</v>
      </c>
      <c r="L11" s="137">
        <f>'Consommation mensuel énergie'!E19</f>
        <v>79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7043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60</v>
      </c>
      <c r="J12" s="134">
        <v>11.4</v>
      </c>
      <c r="K12" s="137">
        <f>'Consommation mensuel énergie'!D20</f>
        <v>50</v>
      </c>
      <c r="L12" s="137">
        <f>'Consommation mensuel énergie'!E20</f>
        <v>81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7161</v>
      </c>
      <c r="F13" s="134">
        <v>1.05</v>
      </c>
      <c r="G13" s="134">
        <f>'Consommation mensuel énergie'!V22</f>
        <v>159.99605</v>
      </c>
      <c r="H13" s="134">
        <v>9.9649999999999999</v>
      </c>
      <c r="I13" s="134">
        <f>'Consommation mensuel énergie'!F21</f>
        <v>54</v>
      </c>
      <c r="J13" s="134">
        <v>11.4</v>
      </c>
      <c r="K13" s="137">
        <f>'Consommation mensuel énergie'!D21</f>
        <v>58</v>
      </c>
      <c r="L13" s="137">
        <f>'Consommation mensuel énergie'!E21</f>
        <v>96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7482</v>
      </c>
      <c r="F14" s="134">
        <v>1.05</v>
      </c>
      <c r="G14" s="134">
        <f>'Consommation mensuel énergie'!V23</f>
        <v>671.98341000000005</v>
      </c>
      <c r="H14" s="134">
        <v>9.9649999999999999</v>
      </c>
      <c r="I14" s="134">
        <f>'Consommation mensuel énergie'!F22</f>
        <v>63</v>
      </c>
      <c r="J14" s="134">
        <v>11.4</v>
      </c>
      <c r="K14" s="137">
        <f>'Consommation mensuel énergie'!D22</f>
        <v>72</v>
      </c>
      <c r="L14" s="137">
        <f>'Consommation mensuel énergie'!E22</f>
        <v>96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7781</v>
      </c>
      <c r="F15" s="134">
        <v>1.05</v>
      </c>
      <c r="G15" s="134">
        <f>'Consommation mensuel énergie'!V24</f>
        <v>351.99131</v>
      </c>
      <c r="H15" s="134">
        <v>9.9649999999999999</v>
      </c>
      <c r="I15" s="134">
        <f>'Consommation mensuel énergie'!F23</f>
        <v>75</v>
      </c>
      <c r="J15" s="134">
        <v>11.4</v>
      </c>
      <c r="K15" s="137">
        <f>'Consommation mensuel énergie'!D23</f>
        <v>88</v>
      </c>
      <c r="L15" s="137">
        <f>'Consommation mensuel énergie'!E23</f>
        <v>125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8425</v>
      </c>
      <c r="F16" s="134">
        <v>1.05</v>
      </c>
      <c r="G16" s="134">
        <f>'Consommation mensuel énergie'!V25</f>
        <v>831.97946000000002</v>
      </c>
      <c r="H16" s="134">
        <v>9.9649999999999999</v>
      </c>
      <c r="I16" s="134">
        <f>'Consommation mensuel énergie'!F24</f>
        <v>104</v>
      </c>
      <c r="J16" s="134">
        <v>11.4</v>
      </c>
      <c r="K16" s="137">
        <f>'Consommation mensuel énergie'!D24</f>
        <v>79</v>
      </c>
      <c r="L16" s="137">
        <f>'Consommation mensuel énergie'!E24</f>
        <v>108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9101</v>
      </c>
      <c r="F17" s="134">
        <v>1.05</v>
      </c>
      <c r="G17" s="134">
        <f>'Consommation mensuel énergie'!V26</f>
        <v>575.98577999999998</v>
      </c>
      <c r="H17" s="134">
        <v>9.9649999999999999</v>
      </c>
      <c r="I17" s="134">
        <f>'Consommation mensuel énergie'!F25</f>
        <v>82</v>
      </c>
      <c r="J17" s="134">
        <v>11.4</v>
      </c>
      <c r="K17" s="137">
        <f>'Consommation mensuel énergie'!D25</f>
        <v>106</v>
      </c>
      <c r="L17" s="137">
        <f>'Consommation mensuel énergie'!E25</f>
        <v>142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8775</v>
      </c>
      <c r="F18" s="134">
        <v>1.05</v>
      </c>
      <c r="G18" s="134">
        <f>'Consommation mensuel énergie'!V27</f>
        <v>575.98577999999998</v>
      </c>
      <c r="H18" s="134">
        <v>9.9649999999999999</v>
      </c>
      <c r="I18" s="134">
        <f>'Consommation mensuel énergie'!F26</f>
        <v>94.399999999994179</v>
      </c>
      <c r="J18" s="134">
        <v>11.4</v>
      </c>
      <c r="K18" s="137">
        <f>'Consommation mensuel énergie'!D26</f>
        <v>94</v>
      </c>
      <c r="L18" s="137">
        <f>'Consommation mensuel énergie'!E26</f>
        <v>133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9478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97</v>
      </c>
      <c r="J19" s="134">
        <v>11.4</v>
      </c>
      <c r="K19" s="137">
        <f>'Consommation mensuel énergie'!D27</f>
        <v>114</v>
      </c>
      <c r="L19" s="137">
        <f>'Consommation mensuel énergie'!E27</f>
        <v>183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9513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109.60000000000582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6272.14761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1413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54</v>
      </c>
      <c r="I11" s="137">
        <f>'Consommation mensuel énergie'!E19</f>
        <v>79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2528</v>
      </c>
      <c r="F12" s="137">
        <f>'Consommation mensuel énergie'!M20</f>
        <v>3074</v>
      </c>
      <c r="G12" s="137">
        <f>'Consommation mensuel énergie'!N20</f>
        <v>1441</v>
      </c>
      <c r="H12" s="137">
        <f>'Consommation mensuel énergie'!D20</f>
        <v>50</v>
      </c>
      <c r="I12" s="137">
        <f>'Consommation mensuel énergie'!E20</f>
        <v>81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2512</v>
      </c>
      <c r="F13" s="137">
        <f>'Consommation mensuel énergie'!M21</f>
        <v>3155</v>
      </c>
      <c r="G13" s="137">
        <f>'Consommation mensuel énergie'!N21</f>
        <v>1494</v>
      </c>
      <c r="H13" s="137">
        <f>'Consommation mensuel énergie'!D21</f>
        <v>58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2597</v>
      </c>
      <c r="F14" s="137">
        <f>'Consommation mensuel énergie'!M22</f>
        <v>3261</v>
      </c>
      <c r="G14" s="137">
        <f>'Consommation mensuel énergie'!N22</f>
        <v>1624</v>
      </c>
      <c r="H14" s="137">
        <f>'Consommation mensuel énergie'!D22</f>
        <v>72</v>
      </c>
      <c r="I14" s="137">
        <f>'Consommation mensuel énergie'!E22</f>
        <v>96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2617</v>
      </c>
      <c r="F15" s="137">
        <f>'Consommation mensuel énergie'!M23</f>
        <v>3461</v>
      </c>
      <c r="G15" s="137">
        <f>'Consommation mensuel énergie'!N23</f>
        <v>1703</v>
      </c>
      <c r="H15" s="137">
        <f>'Consommation mensuel énergie'!D23</f>
        <v>88</v>
      </c>
      <c r="I15" s="137">
        <f>'Consommation mensuel énergie'!E23</f>
        <v>125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2779</v>
      </c>
      <c r="F16" s="137">
        <f>'Consommation mensuel énergie'!M24</f>
        <v>3882</v>
      </c>
      <c r="G16" s="137">
        <f>'Consommation mensuel énergie'!N24</f>
        <v>1764</v>
      </c>
      <c r="H16" s="137">
        <f>'Consommation mensuel énergie'!D24</f>
        <v>79</v>
      </c>
      <c r="I16" s="137">
        <f>'Consommation mensuel énergie'!E24</f>
        <v>108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3179</v>
      </c>
      <c r="F17" s="137">
        <f>'Consommation mensuel énergie'!M25</f>
        <v>3741</v>
      </c>
      <c r="G17" s="137">
        <f>'Consommation mensuel énergie'!N25</f>
        <v>2181</v>
      </c>
      <c r="H17" s="137">
        <f>'Consommation mensuel énergie'!D25</f>
        <v>106</v>
      </c>
      <c r="I17" s="137">
        <f>'Consommation mensuel énergie'!E25</f>
        <v>142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2496</v>
      </c>
      <c r="F18" s="137">
        <f>'Consommation mensuel énergie'!M26</f>
        <v>4321</v>
      </c>
      <c r="G18" s="137">
        <f>'Consommation mensuel énergie'!N26</f>
        <v>1958</v>
      </c>
      <c r="H18" s="137">
        <f>'Consommation mensuel énergie'!D26</f>
        <v>94</v>
      </c>
      <c r="I18" s="137">
        <f>'Consommation mensuel énergie'!E26</f>
        <v>133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3144</v>
      </c>
      <c r="F19" s="137">
        <f>'Consommation mensuel énergie'!M27</f>
        <v>4184</v>
      </c>
      <c r="G19" s="137">
        <f>'Consommation mensuel énergie'!N27</f>
        <v>2150</v>
      </c>
      <c r="H19" s="137">
        <f>'Consommation mensuel énergie'!D27</f>
        <v>114</v>
      </c>
      <c r="I19" s="137">
        <f>'Consommation mensuel énergie'!E27</f>
        <v>183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3395</v>
      </c>
      <c r="F20" s="137">
        <f>'Consommation mensuel énergie'!M28</f>
        <v>4118</v>
      </c>
      <c r="G20" s="137">
        <f>'Consommation mensuel énergie'!N28</f>
        <v>2000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tabSelected="1" zoomScale="55" zoomScaleNormal="55" workbookViewId="0">
      <pane xSplit="3" ySplit="9" topLeftCell="D23" activePane="bottomRight" state="frozen"/>
      <selection pane="bottomRight" activeCell="E28" sqref="E2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/>
    <row r="4" spans="1:24" ht="39" hidden="1" customHeight="1" thickBot="1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5" t="s">
        <v>30</v>
      </c>
      <c r="M9" s="155" t="s">
        <v>31</v>
      </c>
      <c r="N9" s="155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7">
        <f>F10*8.79</f>
        <v>493.11900000005113</v>
      </c>
      <c r="I10" s="168"/>
      <c r="J10" s="168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V10*11.565</f>
        <v>2590.49604555</v>
      </c>
    </row>
    <row r="11" spans="1:24" ht="32.25" customHeight="1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7">
        <f t="shared" ref="H11:H21" si="0">F11*8.79</f>
        <v>449.16900000005114</v>
      </c>
      <c r="I11" s="168"/>
      <c r="J11" s="168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V11*11.565</f>
        <v>2590.49604555</v>
      </c>
    </row>
    <row r="12" spans="1:24" ht="32.25" customHeight="1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7">
        <f t="shared" si="0"/>
        <v>469.38599999994881</v>
      </c>
      <c r="I12" s="168"/>
      <c r="J12" s="168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1480.2834545999999</v>
      </c>
    </row>
    <row r="13" spans="1:24" ht="32.25" customHeight="1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7">
        <f t="shared" si="0"/>
        <v>645.18599999994876</v>
      </c>
      <c r="I13" s="168"/>
      <c r="J13" s="168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160.29849999999999</v>
      </c>
      <c r="W13" s="11"/>
      <c r="X13" s="34">
        <f t="shared" si="1"/>
        <v>1853.8521524999999</v>
      </c>
    </row>
    <row r="14" spans="1:24" ht="32.25" customHeight="1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7">
        <f t="shared" si="0"/>
        <v>711.9899999999999</v>
      </c>
      <c r="I14" s="168"/>
      <c r="J14" s="168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4440.8503638000002</v>
      </c>
    </row>
    <row r="15" spans="1:24" ht="32.25" customHeight="1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7">
        <f t="shared" si="0"/>
        <v>448.28999999999996</v>
      </c>
      <c r="I15" s="168"/>
      <c r="J15" s="168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2960.5669091999998</v>
      </c>
    </row>
    <row r="16" spans="1:24" ht="32.25" customHeight="1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7">
        <f t="shared" si="0"/>
        <v>351.59999999999997</v>
      </c>
      <c r="I16" s="168"/>
      <c r="J16" s="168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3700.7086364999996</v>
      </c>
    </row>
    <row r="17" spans="1:24" s="5" customFormat="1" ht="32.25" customHeight="1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7">
        <f t="shared" si="0"/>
        <v>509.81999999999994</v>
      </c>
      <c r="I17" s="168"/>
      <c r="J17" s="168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2220.4251819000001</v>
      </c>
    </row>
    <row r="18" spans="1:24" ht="32.25" customHeight="1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7">
        <f t="shared" si="0"/>
        <v>565.19699999989757</v>
      </c>
      <c r="I18" s="168"/>
      <c r="J18" s="168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2590.49604555</v>
      </c>
    </row>
    <row r="19" spans="1:24" ht="32.25" customHeight="1">
      <c r="A19" s="2"/>
      <c r="B19" s="6">
        <v>44602</v>
      </c>
      <c r="C19" s="7"/>
      <c r="D19" s="143">
        <v>54</v>
      </c>
      <c r="E19" s="143">
        <v>79</v>
      </c>
      <c r="F19" s="13">
        <f>'Suivi EAU-ELEC'!E18</f>
        <v>55.700000000011642</v>
      </c>
      <c r="G19" s="12"/>
      <c r="H19" s="167">
        <f t="shared" si="0"/>
        <v>489.60300000010227</v>
      </c>
      <c r="I19" s="168"/>
      <c r="J19" s="168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>
        <f>'Suvi Gaz'!O13</f>
        <v>575.98577999999998</v>
      </c>
      <c r="W19" s="11"/>
      <c r="X19" s="34">
        <f t="shared" si="1"/>
        <v>6661.2755456999994</v>
      </c>
    </row>
    <row r="20" spans="1:24" ht="32.25" customHeight="1">
      <c r="A20" s="2"/>
      <c r="B20" s="6">
        <v>44603</v>
      </c>
      <c r="C20" s="7"/>
      <c r="D20" s="143">
        <v>50</v>
      </c>
      <c r="E20" s="143">
        <v>81</v>
      </c>
      <c r="F20" s="13">
        <f>'Suivi EAU-ELEC'!E19</f>
        <v>60</v>
      </c>
      <c r="G20" s="12"/>
      <c r="H20" s="167">
        <f t="shared" si="0"/>
        <v>527.4</v>
      </c>
      <c r="I20" s="168"/>
      <c r="J20" s="168"/>
      <c r="K20" s="60">
        <v>42288</v>
      </c>
      <c r="L20" s="90">
        <f>'Suivi EAU-ELEC'!G19</f>
        <v>2528</v>
      </c>
      <c r="M20" s="91">
        <f>'Suivi EAU-ELEC'!I19</f>
        <v>3074</v>
      </c>
      <c r="N20" s="91">
        <f>'Suivi EAU-ELEC'!K19</f>
        <v>1441</v>
      </c>
      <c r="O20" s="91">
        <f t="shared" si="2"/>
        <v>7043</v>
      </c>
      <c r="P20" s="12"/>
      <c r="Q20" s="34">
        <f t="shared" si="3"/>
        <v>6607.518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4810.9212274499996</v>
      </c>
    </row>
    <row r="21" spans="1:24" ht="32.25" customHeight="1">
      <c r="A21" s="2"/>
      <c r="B21" s="6">
        <v>44604</v>
      </c>
      <c r="C21" s="7"/>
      <c r="D21" s="143">
        <v>58</v>
      </c>
      <c r="E21" s="143">
        <v>96</v>
      </c>
      <c r="F21" s="13">
        <f>'Suivi EAU-ELEC'!E20</f>
        <v>54</v>
      </c>
      <c r="G21" s="12"/>
      <c r="H21" s="167">
        <f t="shared" si="0"/>
        <v>474.65999999999997</v>
      </c>
      <c r="I21" s="168"/>
      <c r="J21" s="168"/>
      <c r="K21" s="60">
        <v>42289</v>
      </c>
      <c r="L21" s="90">
        <f>'Suivi EAU-ELEC'!G20</f>
        <v>2512</v>
      </c>
      <c r="M21" s="91">
        <f>'Suivi EAU-ELEC'!I20</f>
        <v>3155</v>
      </c>
      <c r="N21" s="91">
        <f>'Suivi EAU-ELEC'!K20</f>
        <v>1494</v>
      </c>
      <c r="O21" s="91">
        <f>L21+M21+N21</f>
        <v>7161</v>
      </c>
      <c r="P21" s="12"/>
      <c r="Q21" s="34">
        <f t="shared" si="3"/>
        <v>6743.9166000000005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>
        <v>72</v>
      </c>
      <c r="E22" s="143">
        <v>96</v>
      </c>
      <c r="F22" s="13">
        <f>'Suivi EAU-ELEC'!E21</f>
        <v>63</v>
      </c>
      <c r="G22" s="12"/>
      <c r="H22" s="167">
        <f t="shared" ref="H22:H35" si="4">F22*8.79</f>
        <v>553.77</v>
      </c>
      <c r="I22" s="168"/>
      <c r="J22" s="168"/>
      <c r="K22" s="60">
        <v>42290</v>
      </c>
      <c r="L22" s="90">
        <f>'Suivi EAU-ELEC'!G21</f>
        <v>2597</v>
      </c>
      <c r="M22" s="91">
        <f>'Suivi EAU-ELEC'!I21</f>
        <v>3261</v>
      </c>
      <c r="N22" s="91">
        <f>'Suivi EAU-ELEC'!K21</f>
        <v>1624</v>
      </c>
      <c r="O22" s="91">
        <f t="shared" si="2"/>
        <v>7482</v>
      </c>
      <c r="P22" s="12"/>
      <c r="Q22" s="34">
        <f t="shared" si="3"/>
        <v>7077.0895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1850.3543182499998</v>
      </c>
    </row>
    <row r="23" spans="1:24" ht="32.25" customHeight="1">
      <c r="A23" s="2"/>
      <c r="B23" s="6">
        <v>44606</v>
      </c>
      <c r="C23" s="7"/>
      <c r="D23" s="143">
        <v>88</v>
      </c>
      <c r="E23" s="143">
        <v>125</v>
      </c>
      <c r="F23" s="13">
        <f>'Suivi EAU-ELEC'!E22</f>
        <v>75</v>
      </c>
      <c r="G23" s="14"/>
      <c r="H23" s="167">
        <f t="shared" si="4"/>
        <v>659.24999999999989</v>
      </c>
      <c r="I23" s="168"/>
      <c r="J23" s="168"/>
      <c r="K23" s="60">
        <v>42291</v>
      </c>
      <c r="L23" s="90">
        <f>'Suivi EAU-ELEC'!G22</f>
        <v>2617</v>
      </c>
      <c r="M23" s="91">
        <f>'Suivi EAU-ELEC'!I22</f>
        <v>3461</v>
      </c>
      <c r="N23" s="91">
        <f>'Suivi EAU-ELEC'!K22</f>
        <v>1703</v>
      </c>
      <c r="O23" s="91">
        <f>L23+M23+N23</f>
        <v>7781</v>
      </c>
      <c r="P23" s="12"/>
      <c r="Q23" s="34">
        <f>L23*0.6985+M23*0.9514+N23*1.3304</f>
        <v>7386.4411</v>
      </c>
      <c r="R23" s="12"/>
      <c r="S23" s="28"/>
      <c r="T23" s="14"/>
      <c r="U23" s="28"/>
      <c r="V23" s="146">
        <f>'Suvi Gaz'!O17</f>
        <v>671.98341000000005</v>
      </c>
      <c r="W23" s="11"/>
      <c r="X23" s="34">
        <f t="shared" si="1"/>
        <v>7771.4881366500003</v>
      </c>
    </row>
    <row r="24" spans="1:24" ht="32.25" customHeight="1">
      <c r="A24" s="2"/>
      <c r="B24" s="6">
        <v>44607</v>
      </c>
      <c r="C24" s="7"/>
      <c r="D24" s="143">
        <v>79</v>
      </c>
      <c r="E24" s="143">
        <v>108</v>
      </c>
      <c r="F24" s="13">
        <f>'Suivi EAU-ELEC'!E23</f>
        <v>104</v>
      </c>
      <c r="G24" s="14"/>
      <c r="H24" s="167">
        <f t="shared" si="4"/>
        <v>914.15999999999985</v>
      </c>
      <c r="I24" s="168"/>
      <c r="J24" s="168"/>
      <c r="K24" s="60">
        <v>42292</v>
      </c>
      <c r="L24" s="90">
        <f>'Suivi EAU-ELEC'!G23</f>
        <v>2779</v>
      </c>
      <c r="M24" s="91">
        <f>'Suivi EAU-ELEC'!I23</f>
        <v>3882</v>
      </c>
      <c r="N24" s="91">
        <f>'Suivi EAU-ELEC'!K23</f>
        <v>1764</v>
      </c>
      <c r="O24" s="91">
        <f>L24+M24+N24</f>
        <v>8425</v>
      </c>
      <c r="P24" s="12"/>
      <c r="Q24" s="34">
        <f>L24*0.6985+M24*0.9514+N24*1.3304</f>
        <v>7981.2919000000002</v>
      </c>
      <c r="R24" s="12"/>
      <c r="S24" s="28"/>
      <c r="T24" s="14"/>
      <c r="U24" s="28"/>
      <c r="V24" s="146">
        <f>'Suvi Gaz'!O18</f>
        <v>351.99131</v>
      </c>
      <c r="W24" s="11"/>
      <c r="X24" s="34">
        <f t="shared" si="1"/>
        <v>4070.7795001499999</v>
      </c>
    </row>
    <row r="25" spans="1:24" ht="32.25" customHeight="1">
      <c r="A25" s="2"/>
      <c r="B25" s="6">
        <v>44608</v>
      </c>
      <c r="C25" s="7"/>
      <c r="D25" s="143">
        <v>106</v>
      </c>
      <c r="E25" s="143">
        <v>142</v>
      </c>
      <c r="F25" s="13">
        <f>'Suivi EAU-ELEC'!E24</f>
        <v>82</v>
      </c>
      <c r="G25" s="14"/>
      <c r="H25" s="167">
        <f t="shared" si="4"/>
        <v>720.78</v>
      </c>
      <c r="I25" s="168"/>
      <c r="J25" s="168"/>
      <c r="K25" s="60">
        <v>42293</v>
      </c>
      <c r="L25" s="90">
        <f>'Suivi EAU-ELEC'!G24</f>
        <v>3179</v>
      </c>
      <c r="M25" s="91">
        <f>'Suivi EAU-ELEC'!I24</f>
        <v>3741</v>
      </c>
      <c r="N25" s="91">
        <f>'Suivi EAU-ELEC'!K24</f>
        <v>2181</v>
      </c>
      <c r="O25" s="91">
        <f>L25+M25+N25</f>
        <v>9101</v>
      </c>
      <c r="P25" s="12"/>
      <c r="Q25" s="34">
        <f>L25*0.6985+M25*0.9514+N25*1.3304</f>
        <v>8681.3212999999996</v>
      </c>
      <c r="R25" s="12"/>
      <c r="S25" s="28"/>
      <c r="T25" s="14"/>
      <c r="U25" s="28"/>
      <c r="V25" s="146">
        <f>'Suvi Gaz'!O19</f>
        <v>831.97946000000002</v>
      </c>
      <c r="W25" s="11"/>
      <c r="X25" s="34">
        <f t="shared" si="1"/>
        <v>9621.8424548999992</v>
      </c>
    </row>
    <row r="26" spans="1:24" ht="32.25" customHeight="1">
      <c r="A26" s="2"/>
      <c r="B26" s="6">
        <v>44609</v>
      </c>
      <c r="C26" s="7"/>
      <c r="D26" s="143">
        <v>94</v>
      </c>
      <c r="E26" s="143">
        <v>133</v>
      </c>
      <c r="F26" s="13">
        <f>'Suivi EAU-ELEC'!E25</f>
        <v>94.399999999994179</v>
      </c>
      <c r="G26" s="14"/>
      <c r="H26" s="167">
        <f t="shared" si="4"/>
        <v>829.77599999994879</v>
      </c>
      <c r="I26" s="168"/>
      <c r="J26" s="168"/>
      <c r="K26" s="60">
        <v>42294</v>
      </c>
      <c r="L26" s="90">
        <f>'Suivi EAU-ELEC'!G25</f>
        <v>2496</v>
      </c>
      <c r="M26" s="91">
        <f>'Suivi EAU-ELEC'!I25</f>
        <v>4321</v>
      </c>
      <c r="N26" s="91">
        <f>'Suivi EAU-ELEC'!K25</f>
        <v>1958</v>
      </c>
      <c r="O26" s="91">
        <f>L26+M26+N26</f>
        <v>8775</v>
      </c>
      <c r="P26" s="14"/>
      <c r="Q26" s="34">
        <f>L26*0.6985+M26*0.9514+N26*1.3304</f>
        <v>8459.3786</v>
      </c>
      <c r="R26" s="14"/>
      <c r="S26" s="28"/>
      <c r="T26" s="14"/>
      <c r="U26" s="28"/>
      <c r="V26" s="146">
        <f>'Suvi Gaz'!O20</f>
        <v>575.98577999999998</v>
      </c>
      <c r="W26" s="11"/>
      <c r="X26" s="34">
        <f t="shared" si="1"/>
        <v>6661.2755456999994</v>
      </c>
    </row>
    <row r="27" spans="1:24" ht="32.25" customHeight="1">
      <c r="A27" s="2"/>
      <c r="B27" s="6">
        <v>44610</v>
      </c>
      <c r="C27" s="7"/>
      <c r="D27" s="143">
        <v>114</v>
      </c>
      <c r="E27" s="143">
        <v>183</v>
      </c>
      <c r="F27" s="13">
        <f>'Suivi EAU-ELEC'!E26</f>
        <v>97</v>
      </c>
      <c r="G27" s="14"/>
      <c r="H27" s="167">
        <f t="shared" si="4"/>
        <v>852.62999999999988</v>
      </c>
      <c r="I27" s="168"/>
      <c r="J27" s="168"/>
      <c r="K27" s="60">
        <v>42295</v>
      </c>
      <c r="L27" s="90">
        <f>'Suivi EAU-ELEC'!G26</f>
        <v>3144</v>
      </c>
      <c r="M27" s="91">
        <f>'Suivi EAU-ELEC'!I26</f>
        <v>4184</v>
      </c>
      <c r="N27" s="91">
        <f>'Suivi EAU-ELEC'!K26</f>
        <v>2150</v>
      </c>
      <c r="O27" s="91">
        <f t="shared" si="2"/>
        <v>9478</v>
      </c>
      <c r="P27" s="14"/>
      <c r="Q27" s="34">
        <f t="shared" si="3"/>
        <v>9037.1016</v>
      </c>
      <c r="R27" s="14"/>
      <c r="S27" s="28"/>
      <c r="T27" s="14"/>
      <c r="U27" s="28"/>
      <c r="V27" s="146">
        <f>'Suvi Gaz'!O21</f>
        <v>575.98577999999998</v>
      </c>
      <c r="W27" s="11"/>
      <c r="X27" s="34">
        <f t="shared" si="1"/>
        <v>6661.2755456999994</v>
      </c>
    </row>
    <row r="28" spans="1:24" ht="32.25" customHeight="1">
      <c r="A28" s="2"/>
      <c r="B28" s="6">
        <v>44611</v>
      </c>
      <c r="C28" s="7"/>
      <c r="D28" s="143"/>
      <c r="E28" s="143"/>
      <c r="F28" s="13">
        <f>'Suivi EAU-ELEC'!E27</f>
        <v>109.60000000000582</v>
      </c>
      <c r="G28" s="11"/>
      <c r="H28" s="167">
        <f t="shared" si="4"/>
        <v>963.38400000005106</v>
      </c>
      <c r="I28" s="168"/>
      <c r="J28" s="168"/>
      <c r="K28" s="60">
        <v>42296</v>
      </c>
      <c r="L28" s="90">
        <f>'Suivi EAU-ELEC'!G27</f>
        <v>3395</v>
      </c>
      <c r="M28" s="91">
        <f>'Suivi EAU-ELEC'!I27</f>
        <v>4118</v>
      </c>
      <c r="N28" s="91">
        <f>'Suivi EAU-ELEC'!K27</f>
        <v>2000</v>
      </c>
      <c r="O28" s="91">
        <f t="shared" si="2"/>
        <v>9513</v>
      </c>
      <c r="P28" s="11"/>
      <c r="Q28" s="34">
        <f>L28*0.6985+M28*0.9514+N28*1.3304</f>
        <v>8950.0727000000006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44612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44613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44614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44615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44616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44617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7">
        <f t="shared" ref="H37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912</v>
      </c>
      <c r="E38" s="8">
        <f>SUM(E10:E37)</f>
        <v>1337</v>
      </c>
      <c r="F38" s="152">
        <f>SUM(F10:F37)</f>
        <v>1323</v>
      </c>
      <c r="G38" s="1"/>
      <c r="H38" s="248">
        <f>SUM(H10:H37)</f>
        <v>11629.169999999998</v>
      </c>
      <c r="I38" s="249"/>
      <c r="J38" s="250"/>
      <c r="K38" s="1"/>
      <c r="L38" s="53">
        <f>SUM(L10:L37)</f>
        <v>48337</v>
      </c>
      <c r="M38" s="53">
        <f>SUM(M10:M37)</f>
        <v>62249</v>
      </c>
      <c r="N38" s="54">
        <f>SUM(N10:N37)</f>
        <v>30174</v>
      </c>
      <c r="O38" s="55">
        <f>SUM(O10:O37)</f>
        <v>140760</v>
      </c>
      <c r="P38" s="31"/>
      <c r="Q38" s="32">
        <f>SUM(Q10:Q37)</f>
        <v>133302.20429999998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6272.14761</v>
      </c>
      <c r="W38" s="31"/>
      <c r="X38" s="32">
        <f>SUM(X10:X37)</f>
        <v>72537.387109649993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203" t="s">
        <v>33</v>
      </c>
      <c r="B40" s="204"/>
      <c r="C40" s="204"/>
      <c r="D40" s="204"/>
      <c r="E40" s="204"/>
      <c r="F40" s="205"/>
      <c r="G40" s="26"/>
      <c r="H40" s="27" t="s">
        <v>34</v>
      </c>
      <c r="I40" s="242" t="s">
        <v>35</v>
      </c>
      <c r="J40" s="243"/>
      <c r="K40" s="244"/>
      <c r="L40" s="217" t="s">
        <v>36</v>
      </c>
      <c r="M40" s="218"/>
      <c r="N40" s="203" t="s">
        <v>37</v>
      </c>
      <c r="O40" s="204"/>
      <c r="P40" s="204"/>
      <c r="Q40" s="204"/>
      <c r="R40" s="204"/>
      <c r="S40" s="204"/>
      <c r="T40" s="204"/>
      <c r="U40" s="204"/>
      <c r="V40" s="204"/>
      <c r="W40" s="204"/>
      <c r="X40" s="205"/>
    </row>
    <row r="41" spans="1:24" s="18" customFormat="1" ht="29.25" customHeight="1" thickBot="1">
      <c r="A41" s="211" t="s">
        <v>38</v>
      </c>
      <c r="B41" s="212"/>
      <c r="C41" s="213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08">
        <f>L38</f>
        <v>48337</v>
      </c>
      <c r="J41" s="209"/>
      <c r="K41" s="210"/>
      <c r="L41" s="169">
        <f>I41*H41</f>
        <v>33763.394500000002</v>
      </c>
      <c r="M41" s="170"/>
      <c r="N41" s="226">
        <f>L41+L42+L43</f>
        <v>133130.5827</v>
      </c>
      <c r="O41" s="227"/>
      <c r="P41" s="227"/>
      <c r="Q41" s="227"/>
      <c r="R41" s="227"/>
      <c r="S41" s="227"/>
      <c r="T41" s="227"/>
      <c r="U41" s="227"/>
      <c r="V41" s="227"/>
      <c r="W41" s="227"/>
      <c r="X41" s="228"/>
    </row>
    <row r="42" spans="1:24" s="18" customFormat="1" ht="29.25" customHeight="1" thickBot="1">
      <c r="A42" s="214"/>
      <c r="B42" s="215"/>
      <c r="C42" s="216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08">
        <f>M38</f>
        <v>62249</v>
      </c>
      <c r="J42" s="209"/>
      <c r="K42" s="210"/>
      <c r="L42" s="169">
        <f>I42*H42</f>
        <v>59223.698600000003</v>
      </c>
      <c r="M42" s="170"/>
      <c r="N42" s="229"/>
      <c r="O42" s="230"/>
      <c r="P42" s="230"/>
      <c r="Q42" s="230"/>
      <c r="R42" s="230"/>
      <c r="S42" s="230"/>
      <c r="T42" s="230"/>
      <c r="U42" s="230"/>
      <c r="V42" s="230"/>
      <c r="W42" s="230"/>
      <c r="X42" s="231"/>
    </row>
    <row r="43" spans="1:24" s="18" customFormat="1" ht="24.75" customHeight="1" thickBot="1">
      <c r="A43" s="214"/>
      <c r="B43" s="215"/>
      <c r="C43" s="216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239">
        <f>N38</f>
        <v>30174</v>
      </c>
      <c r="J43" s="240"/>
      <c r="K43" s="241"/>
      <c r="L43" s="169">
        <f>I43*H43</f>
        <v>40143.489600000001</v>
      </c>
      <c r="M43" s="170"/>
      <c r="N43" s="232"/>
      <c r="O43" s="233"/>
      <c r="P43" s="233"/>
      <c r="Q43" s="233"/>
      <c r="R43" s="233"/>
      <c r="S43" s="233"/>
      <c r="T43" s="233"/>
      <c r="U43" s="233"/>
      <c r="V43" s="233"/>
      <c r="W43" s="233"/>
      <c r="X43" s="234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45">
        <f>N41*1.3</f>
        <v>173069.75751</v>
      </c>
      <c r="O44" s="246"/>
      <c r="P44" s="246"/>
      <c r="Q44" s="246"/>
      <c r="R44" s="246"/>
      <c r="S44" s="246"/>
      <c r="T44" s="246"/>
      <c r="U44" s="246"/>
      <c r="V44" s="246"/>
      <c r="W44" s="246"/>
      <c r="X44" s="247"/>
    </row>
    <row r="45" spans="1:24" s="23" customFormat="1" ht="32.25" customHeight="1" thickBot="1">
      <c r="A45" s="200" t="s">
        <v>39</v>
      </c>
      <c r="B45" s="201"/>
      <c r="C45" s="201"/>
      <c r="D45" s="201"/>
      <c r="E45" s="201"/>
      <c r="F45" s="202"/>
      <c r="G45" s="21"/>
      <c r="H45" s="22">
        <v>8.7899999999999991</v>
      </c>
      <c r="I45" s="200">
        <f>F38</f>
        <v>1323</v>
      </c>
      <c r="J45" s="201"/>
      <c r="K45" s="202"/>
      <c r="L45" s="206">
        <f>I45*H45</f>
        <v>11629.169999999998</v>
      </c>
      <c r="M45" s="207"/>
      <c r="N45" s="223">
        <f>L45</f>
        <v>11629.169999999998</v>
      </c>
      <c r="O45" s="224"/>
      <c r="P45" s="224"/>
      <c r="Q45" s="224"/>
      <c r="R45" s="224"/>
      <c r="S45" s="224"/>
      <c r="T45" s="224"/>
      <c r="U45" s="224"/>
      <c r="V45" s="224"/>
      <c r="W45" s="224"/>
      <c r="X45" s="225"/>
    </row>
    <row r="46" spans="1:24" s="23" customFormat="1" ht="36.75" customHeight="1">
      <c r="A46" s="235" t="s">
        <v>40</v>
      </c>
      <c r="B46" s="236"/>
      <c r="C46" s="236"/>
      <c r="D46" s="236"/>
      <c r="E46" s="236"/>
      <c r="F46" s="237"/>
      <c r="G46" s="24"/>
      <c r="H46" s="25">
        <v>11.565</v>
      </c>
      <c r="I46" s="198">
        <f>V38</f>
        <v>6272.14761</v>
      </c>
      <c r="J46" s="238"/>
      <c r="K46" s="199"/>
      <c r="L46" s="198">
        <f>I46*H46</f>
        <v>72537.387109649993</v>
      </c>
      <c r="M46" s="199"/>
      <c r="N46" s="220">
        <f>L46</f>
        <v>72537.387109649993</v>
      </c>
      <c r="O46" s="221"/>
      <c r="P46" s="221"/>
      <c r="Q46" s="221"/>
      <c r="R46" s="221"/>
      <c r="S46" s="221"/>
      <c r="T46" s="221"/>
      <c r="U46" s="221"/>
      <c r="V46" s="221"/>
      <c r="W46" s="221"/>
      <c r="X46" s="222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</row>
  </sheetData>
  <mergeCells count="70"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1:M41"/>
    <mergeCell ref="H33:J33"/>
    <mergeCell ref="H31:J31"/>
    <mergeCell ref="H35:J35"/>
    <mergeCell ref="H37:J37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5" activePane="bottomRight" state="frozen"/>
      <selection pane="bottomRight" activeCell="K26" sqref="K26:K2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>
        <v>2560</v>
      </c>
      <c r="C10" s="115">
        <f>B10-B9</f>
        <v>0</v>
      </c>
      <c r="D10" s="57">
        <v>134345.20000000001</v>
      </c>
      <c r="E10" s="50">
        <f>D10-D9</f>
        <v>51.100000000005821</v>
      </c>
      <c r="F10" s="51">
        <v>11435850</v>
      </c>
      <c r="G10" s="50">
        <f>F10-F9</f>
        <v>2191</v>
      </c>
      <c r="H10" s="51">
        <v>19411845</v>
      </c>
      <c r="I10" s="50">
        <f>H10-H9</f>
        <v>2664</v>
      </c>
      <c r="J10" s="51">
        <v>8524100</v>
      </c>
      <c r="K10" s="50">
        <f>J10-J9</f>
        <v>1284</v>
      </c>
    </row>
    <row r="11" spans="1:12" ht="19.5">
      <c r="A11" s="59">
        <v>44595</v>
      </c>
      <c r="B11" s="116">
        <v>2560</v>
      </c>
      <c r="C11" s="115">
        <f>B11-B10</f>
        <v>0</v>
      </c>
      <c r="D11" s="57">
        <v>134398.6</v>
      </c>
      <c r="E11" s="50">
        <f>D11-D10</f>
        <v>53.399999999994179</v>
      </c>
      <c r="F11" s="51">
        <v>11438088</v>
      </c>
      <c r="G11" s="50">
        <f>F11-F10</f>
        <v>2238</v>
      </c>
      <c r="H11" s="51">
        <v>19414569</v>
      </c>
      <c r="I11" s="50">
        <f>H11-H10</f>
        <v>2724</v>
      </c>
      <c r="J11" s="51">
        <v>8525416</v>
      </c>
      <c r="K11" s="50">
        <f>J11-J10</f>
        <v>1316</v>
      </c>
    </row>
    <row r="12" spans="1:12" ht="19.5">
      <c r="A12" s="59">
        <v>44596</v>
      </c>
      <c r="B12" s="116">
        <v>2560</v>
      </c>
      <c r="C12" s="115">
        <f>B12-B11</f>
        <v>0</v>
      </c>
      <c r="D12" s="57">
        <v>134472</v>
      </c>
      <c r="E12" s="50">
        <f>D12-D11</f>
        <v>73.399999999994179</v>
      </c>
      <c r="F12" s="51">
        <v>11440408</v>
      </c>
      <c r="G12" s="50">
        <f>F12-F11</f>
        <v>2320</v>
      </c>
      <c r="H12" s="51">
        <v>19417386</v>
      </c>
      <c r="I12" s="50">
        <f>H12-H11</f>
        <v>2817</v>
      </c>
      <c r="J12" s="51">
        <v>8526832</v>
      </c>
      <c r="K12" s="50">
        <f>J12-J11</f>
        <v>1416</v>
      </c>
    </row>
    <row r="13" spans="1:12" ht="19.5">
      <c r="A13" s="59">
        <v>44597</v>
      </c>
      <c r="B13" s="116">
        <v>2560</v>
      </c>
      <c r="C13" s="115">
        <f>B13-B12</f>
        <v>0</v>
      </c>
      <c r="D13" s="57">
        <v>134553</v>
      </c>
      <c r="E13" s="50">
        <f>D13-D12</f>
        <v>81</v>
      </c>
      <c r="F13" s="51">
        <v>11442833</v>
      </c>
      <c r="G13" s="50">
        <f>F13-F12</f>
        <v>2425</v>
      </c>
      <c r="H13" s="51">
        <v>19420288</v>
      </c>
      <c r="I13" s="50">
        <f>H13-H12</f>
        <v>2902</v>
      </c>
      <c r="J13" s="51">
        <v>8528245</v>
      </c>
      <c r="K13" s="50">
        <f>J13-J12</f>
        <v>1413</v>
      </c>
    </row>
    <row r="14" spans="1:12" ht="19.5">
      <c r="A14" s="59">
        <v>44598</v>
      </c>
      <c r="B14" s="116">
        <v>2560</v>
      </c>
      <c r="C14" s="115">
        <f>B14-B13</f>
        <v>0</v>
      </c>
      <c r="D14" s="57">
        <v>134604</v>
      </c>
      <c r="E14" s="50">
        <f>D14-D13</f>
        <v>51</v>
      </c>
      <c r="F14" s="51">
        <v>11445098</v>
      </c>
      <c r="G14" s="50">
        <f>F14-F13</f>
        <v>2265</v>
      </c>
      <c r="H14" s="51">
        <v>19423448</v>
      </c>
      <c r="I14" s="50">
        <f>H14-H13</f>
        <v>3160</v>
      </c>
      <c r="J14" s="51">
        <v>8529716</v>
      </c>
      <c r="K14" s="50">
        <f>J14-J13</f>
        <v>1471</v>
      </c>
    </row>
    <row r="15" spans="1:12" ht="19.5">
      <c r="A15" s="59">
        <v>44599</v>
      </c>
      <c r="B15" s="116">
        <v>2560</v>
      </c>
      <c r="C15" s="115">
        <f>B15-B14</f>
        <v>0</v>
      </c>
      <c r="D15" s="57">
        <v>134644</v>
      </c>
      <c r="E15" s="50">
        <f>D15-D14</f>
        <v>40</v>
      </c>
      <c r="F15" s="51">
        <v>11447372</v>
      </c>
      <c r="G15" s="50">
        <f>F15-F14</f>
        <v>2274</v>
      </c>
      <c r="H15" s="51">
        <v>19426279</v>
      </c>
      <c r="I15" s="50">
        <f>H15-H14</f>
        <v>2831</v>
      </c>
      <c r="J15" s="51">
        <v>8531035</v>
      </c>
      <c r="K15" s="50">
        <f>J15-J14</f>
        <v>1319</v>
      </c>
    </row>
    <row r="16" spans="1:12" ht="19.5">
      <c r="A16" s="59">
        <v>44600</v>
      </c>
      <c r="B16" s="116">
        <v>2560</v>
      </c>
      <c r="C16" s="115">
        <f>B16-B15</f>
        <v>0</v>
      </c>
      <c r="D16" s="57">
        <v>134702</v>
      </c>
      <c r="E16" s="50">
        <f>D16-D15</f>
        <v>58</v>
      </c>
      <c r="F16" s="51">
        <v>11449713</v>
      </c>
      <c r="G16" s="50">
        <f>F16-F15</f>
        <v>2341</v>
      </c>
      <c r="H16" s="51">
        <v>19429138</v>
      </c>
      <c r="I16" s="50">
        <f>H16-H15</f>
        <v>2859</v>
      </c>
      <c r="J16" s="51">
        <v>8532435</v>
      </c>
      <c r="K16" s="50">
        <f>J16-J15</f>
        <v>1400</v>
      </c>
    </row>
    <row r="17" spans="1:29" ht="19.5">
      <c r="A17" s="59">
        <v>44601</v>
      </c>
      <c r="B17" s="116">
        <v>2560</v>
      </c>
      <c r="C17" s="115">
        <f>B17-B16</f>
        <v>0</v>
      </c>
      <c r="D17" s="57">
        <v>134766.29999999999</v>
      </c>
      <c r="E17" s="50">
        <f>D17-D16</f>
        <v>64.299999999988358</v>
      </c>
      <c r="F17" s="51">
        <v>11452086</v>
      </c>
      <c r="G17" s="50">
        <f>F17-F16</f>
        <v>2373</v>
      </c>
      <c r="H17" s="51">
        <v>19432234</v>
      </c>
      <c r="I17" s="50">
        <f>H17-H16</f>
        <v>3096</v>
      </c>
      <c r="J17" s="51">
        <v>8533877</v>
      </c>
      <c r="K17" s="50">
        <f>J17-J16</f>
        <v>1442</v>
      </c>
    </row>
    <row r="18" spans="1:29" ht="19.5">
      <c r="A18" s="59">
        <v>44602</v>
      </c>
      <c r="B18" s="116">
        <v>2560</v>
      </c>
      <c r="C18" s="115">
        <f>B18-B17</f>
        <v>0</v>
      </c>
      <c r="D18" s="57">
        <v>134822</v>
      </c>
      <c r="E18" s="50">
        <f>D18-D17</f>
        <v>55.700000000011642</v>
      </c>
      <c r="F18" s="51">
        <v>11454649</v>
      </c>
      <c r="G18" s="50">
        <f>F18-F17</f>
        <v>2563</v>
      </c>
      <c r="H18" s="51">
        <v>19435499</v>
      </c>
      <c r="I18" s="50">
        <f>H18-H17</f>
        <v>3265</v>
      </c>
      <c r="J18" s="51">
        <v>8535406</v>
      </c>
      <c r="K18" s="50">
        <f>J18-J17</f>
        <v>1529</v>
      </c>
    </row>
    <row r="19" spans="1:29" ht="19.5">
      <c r="A19" s="59">
        <v>44603</v>
      </c>
      <c r="B19" s="116">
        <v>2560</v>
      </c>
      <c r="C19" s="115">
        <f>B19-B18</f>
        <v>0</v>
      </c>
      <c r="D19" s="57">
        <v>134882</v>
      </c>
      <c r="E19" s="50">
        <f>D19-D18</f>
        <v>60</v>
      </c>
      <c r="F19" s="51">
        <v>11457177</v>
      </c>
      <c r="G19" s="50">
        <f>F19-F18</f>
        <v>2528</v>
      </c>
      <c r="H19" s="51">
        <v>19438573</v>
      </c>
      <c r="I19" s="50">
        <f>H19-H18</f>
        <v>3074</v>
      </c>
      <c r="J19" s="51">
        <v>8536847</v>
      </c>
      <c r="K19" s="50">
        <f>J19-J18</f>
        <v>1441</v>
      </c>
    </row>
    <row r="20" spans="1:29" ht="25.5">
      <c r="A20" s="59">
        <v>44604</v>
      </c>
      <c r="B20" s="116">
        <v>2560</v>
      </c>
      <c r="C20" s="115">
        <f>B20-B19</f>
        <v>0</v>
      </c>
      <c r="D20" s="57">
        <v>134936</v>
      </c>
      <c r="E20" s="50">
        <f>D20-D19</f>
        <v>54</v>
      </c>
      <c r="F20" s="51">
        <v>11459689</v>
      </c>
      <c r="G20" s="50">
        <f>F20-F19</f>
        <v>2512</v>
      </c>
      <c r="H20" s="51">
        <v>19441728</v>
      </c>
      <c r="I20" s="50">
        <f>H20-H19</f>
        <v>3155</v>
      </c>
      <c r="J20" s="51">
        <v>8538341</v>
      </c>
      <c r="K20" s="50">
        <f>J20-J19</f>
        <v>1494</v>
      </c>
      <c r="L20" s="117" t="s">
        <v>18</v>
      </c>
      <c r="AC20" t="s">
        <v>56</v>
      </c>
    </row>
    <row r="21" spans="1:29" ht="19.5">
      <c r="A21" s="59">
        <v>44605</v>
      </c>
      <c r="B21" s="116">
        <v>2560</v>
      </c>
      <c r="C21" s="115">
        <f>B21-B20</f>
        <v>0</v>
      </c>
      <c r="D21" s="57">
        <v>134999</v>
      </c>
      <c r="E21" s="50">
        <f>D21-D20</f>
        <v>63</v>
      </c>
      <c r="F21" s="51">
        <v>11462286</v>
      </c>
      <c r="G21" s="50">
        <f>F21-F20</f>
        <v>2597</v>
      </c>
      <c r="H21" s="51">
        <v>19444989</v>
      </c>
      <c r="I21" s="50">
        <f>H21-H20</f>
        <v>3261</v>
      </c>
      <c r="J21" s="51">
        <v>8539965</v>
      </c>
      <c r="K21" s="50">
        <f>J21-J20</f>
        <v>1624</v>
      </c>
    </row>
    <row r="22" spans="1:29" ht="19.5">
      <c r="A22" s="59">
        <v>44606</v>
      </c>
      <c r="B22" s="116">
        <v>2560</v>
      </c>
      <c r="C22" s="115">
        <f>B22-B21</f>
        <v>0</v>
      </c>
      <c r="D22" s="57">
        <v>135074</v>
      </c>
      <c r="E22" s="50">
        <f>D22-D21</f>
        <v>75</v>
      </c>
      <c r="F22" s="51">
        <v>11464903</v>
      </c>
      <c r="G22" s="50">
        <f>F22-F21</f>
        <v>2617</v>
      </c>
      <c r="H22" s="51">
        <v>19448450</v>
      </c>
      <c r="I22" s="50">
        <f>H22-H21</f>
        <v>3461</v>
      </c>
      <c r="J22" s="51">
        <v>8541668</v>
      </c>
      <c r="K22" s="50">
        <f>J22-J21</f>
        <v>1703</v>
      </c>
    </row>
    <row r="23" spans="1:29" ht="19.5">
      <c r="A23" s="59">
        <v>44607</v>
      </c>
      <c r="B23" s="116">
        <v>2560</v>
      </c>
      <c r="C23" s="115">
        <f>B23-B22</f>
        <v>0</v>
      </c>
      <c r="D23" s="57">
        <v>135178</v>
      </c>
      <c r="E23" s="50">
        <f>D23-D22</f>
        <v>104</v>
      </c>
      <c r="F23" s="51">
        <v>11467682</v>
      </c>
      <c r="G23" s="50">
        <f>F23-F22</f>
        <v>2779</v>
      </c>
      <c r="H23" s="51">
        <v>19452332</v>
      </c>
      <c r="I23" s="50">
        <f>H23-H22</f>
        <v>3882</v>
      </c>
      <c r="J23" s="51">
        <v>8543432</v>
      </c>
      <c r="K23" s="50">
        <f>J23-J22</f>
        <v>1764</v>
      </c>
    </row>
    <row r="24" spans="1:29" ht="19.5">
      <c r="A24" s="59">
        <v>44608</v>
      </c>
      <c r="B24" s="116">
        <v>2560</v>
      </c>
      <c r="C24" s="115">
        <f>B24-B23</f>
        <v>0</v>
      </c>
      <c r="D24" s="57">
        <v>135260</v>
      </c>
      <c r="E24" s="50">
        <f>D24-D23</f>
        <v>82</v>
      </c>
      <c r="F24" s="51">
        <v>11470861</v>
      </c>
      <c r="G24" s="50">
        <f>F24-F23</f>
        <v>3179</v>
      </c>
      <c r="H24" s="51">
        <v>19456073</v>
      </c>
      <c r="I24" s="50">
        <f>H24-H23</f>
        <v>3741</v>
      </c>
      <c r="J24" s="51">
        <v>8545613</v>
      </c>
      <c r="K24" s="50">
        <f>J24-J23</f>
        <v>2181</v>
      </c>
    </row>
    <row r="25" spans="1:29" ht="19.5">
      <c r="A25" s="59">
        <v>44609</v>
      </c>
      <c r="B25" s="116">
        <v>2560</v>
      </c>
      <c r="C25" s="115">
        <f>B25-B24</f>
        <v>0</v>
      </c>
      <c r="D25" s="57">
        <v>135354.4</v>
      </c>
      <c r="E25" s="50">
        <f>D25-D24</f>
        <v>94.399999999994179</v>
      </c>
      <c r="F25" s="51">
        <v>11473357</v>
      </c>
      <c r="G25" s="50">
        <f t="shared" ref="G25:G27" si="0">F25-F24</f>
        <v>2496</v>
      </c>
      <c r="H25" s="51">
        <v>19460394</v>
      </c>
      <c r="I25" s="50">
        <f>H25-H24</f>
        <v>4321</v>
      </c>
      <c r="J25" s="51">
        <v>8547571</v>
      </c>
      <c r="K25" s="50">
        <f>J25-J24</f>
        <v>1958</v>
      </c>
    </row>
    <row r="26" spans="1:29" ht="19.5">
      <c r="A26" s="59">
        <v>44610</v>
      </c>
      <c r="B26" s="116">
        <v>2560</v>
      </c>
      <c r="C26" s="115">
        <f>B26-B25</f>
        <v>0</v>
      </c>
      <c r="D26" s="57">
        <v>135451.4</v>
      </c>
      <c r="E26" s="50">
        <f>D26-D25</f>
        <v>97</v>
      </c>
      <c r="F26" s="51">
        <v>11476501</v>
      </c>
      <c r="G26" s="50">
        <f t="shared" si="0"/>
        <v>3144</v>
      </c>
      <c r="H26" s="51">
        <v>19464578</v>
      </c>
      <c r="I26" s="50">
        <f>H26-H25</f>
        <v>4184</v>
      </c>
      <c r="J26" s="51">
        <v>8549721</v>
      </c>
      <c r="K26" s="50">
        <f>J26-J25</f>
        <v>2150</v>
      </c>
    </row>
    <row r="27" spans="1:29" ht="19.5">
      <c r="A27" s="59">
        <v>44611</v>
      </c>
      <c r="B27" s="116">
        <v>2560</v>
      </c>
      <c r="C27" s="115">
        <f>B27-B26</f>
        <v>0</v>
      </c>
      <c r="D27" s="57">
        <v>135561</v>
      </c>
      <c r="E27" s="50">
        <f>D27-D26</f>
        <v>109.60000000000582</v>
      </c>
      <c r="F27" s="51">
        <v>11479896</v>
      </c>
      <c r="G27" s="50">
        <f t="shared" si="0"/>
        <v>3395</v>
      </c>
      <c r="H27" s="51">
        <v>19468696</v>
      </c>
      <c r="I27" s="50">
        <f>H27-H26</f>
        <v>4118</v>
      </c>
      <c r="J27" s="51">
        <v>8551721</v>
      </c>
      <c r="K27" s="50">
        <f>J27-J26</f>
        <v>2000</v>
      </c>
    </row>
    <row r="28" spans="1:29" ht="19.5">
      <c r="A28" s="59">
        <v>44612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44613</v>
      </c>
      <c r="B29" s="116"/>
      <c r="C29" s="115">
        <f t="shared" ref="C24:C40" si="1">B29-B28</f>
        <v>0</v>
      </c>
      <c r="D29" s="57"/>
      <c r="E29" s="50">
        <f t="shared" ref="E24:E40" si="2">D29-D28</f>
        <v>0</v>
      </c>
      <c r="F29" s="51"/>
      <c r="G29" s="50">
        <f>F29-F28</f>
        <v>0</v>
      </c>
      <c r="H29" s="51"/>
      <c r="I29" s="50">
        <f t="shared" ref="I24:I40" si="3">H29-H28</f>
        <v>0</v>
      </c>
      <c r="J29" s="51"/>
      <c r="K29" s="50">
        <f t="shared" ref="K24:K40" si="4">J29-J28</f>
        <v>0</v>
      </c>
    </row>
    <row r="30" spans="1:29" ht="19.5">
      <c r="A30" s="59">
        <v>44614</v>
      </c>
      <c r="B30" s="116"/>
      <c r="C30" s="115">
        <f t="shared" si="1"/>
        <v>0</v>
      </c>
      <c r="D30" s="57"/>
      <c r="E30" s="50">
        <f t="shared" si="2"/>
        <v>0</v>
      </c>
      <c r="F30" s="51"/>
      <c r="G30" s="50">
        <f>F30-F29</f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44615</v>
      </c>
      <c r="B31" s="116"/>
      <c r="C31" s="115">
        <f t="shared" si="1"/>
        <v>0</v>
      </c>
      <c r="D31" s="57"/>
      <c r="E31" s="50">
        <f t="shared" si="2"/>
        <v>0</v>
      </c>
      <c r="F31" s="51"/>
      <c r="G31" s="50">
        <f>F31-F30</f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44616</v>
      </c>
      <c r="B32" s="116"/>
      <c r="C32" s="115">
        <f t="shared" si="1"/>
        <v>0</v>
      </c>
      <c r="D32" s="57"/>
      <c r="E32" s="50">
        <f t="shared" si="2"/>
        <v>0</v>
      </c>
      <c r="F32" s="51"/>
      <c r="G32" s="50">
        <f>F32-F31</f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44617</v>
      </c>
      <c r="B33" s="116"/>
      <c r="C33" s="115">
        <f t="shared" si="1"/>
        <v>0</v>
      </c>
      <c r="D33" s="57"/>
      <c r="E33" s="50">
        <f t="shared" si="2"/>
        <v>0</v>
      </c>
      <c r="F33" s="51"/>
      <c r="G33" s="50">
        <f>F33-F32</f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44618</v>
      </c>
      <c r="B34" s="116"/>
      <c r="C34" s="115">
        <f t="shared" si="1"/>
        <v>0</v>
      </c>
      <c r="D34" s="57"/>
      <c r="E34" s="50">
        <f t="shared" si="2"/>
        <v>0</v>
      </c>
      <c r="F34" s="51"/>
      <c r="G34" s="50">
        <f>F34-F33</f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44619</v>
      </c>
      <c r="B35" s="116"/>
      <c r="C35" s="115">
        <f t="shared" si="1"/>
        <v>0</v>
      </c>
      <c r="D35" s="57"/>
      <c r="E35" s="50">
        <f t="shared" si="2"/>
        <v>0</v>
      </c>
      <c r="F35" s="51"/>
      <c r="G35" s="50">
        <f>F35-F34</f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44620</v>
      </c>
      <c r="B36" s="116"/>
      <c r="C36" s="115">
        <f t="shared" si="1"/>
        <v>0</v>
      </c>
      <c r="D36" s="57"/>
      <c r="E36" s="50">
        <f t="shared" si="2"/>
        <v>0</v>
      </c>
      <c r="F36" s="51"/>
      <c r="G36" s="50">
        <f>F36-F35</f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44621</v>
      </c>
      <c r="B37" s="116"/>
      <c r="C37" s="115">
        <f t="shared" si="1"/>
        <v>0</v>
      </c>
      <c r="D37" s="57"/>
      <c r="E37" s="50">
        <f t="shared" si="2"/>
        <v>0</v>
      </c>
      <c r="F37" s="51"/>
      <c r="G37" s="50">
        <f>F37-F36</f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7">
    <cfRule type="cellIs" dxfId="5" priority="8" stopIfTrue="1" operator="lessThanOrEqual">
      <formula>0</formula>
    </cfRule>
  </conditionalFormatting>
  <conditionalFormatting sqref="E10:E27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8:E40">
    <cfRule type="cellIs" dxfId="1" priority="2" stopIfTrue="1" operator="lessThanOrEqual">
      <formula>0</formula>
    </cfRule>
  </conditionalFormatting>
  <conditionalFormatting sqref="E28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8" activePane="bottomRight" state="frozen"/>
      <selection pane="bottomRight" activeCell="I22" sqref="I2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O4*11.565</f>
        <v>2590.49604555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>
        <v>72</v>
      </c>
      <c r="C5" s="39">
        <f t="shared" ref="C4:C35" si="7">IF(AC5&gt;0,((B5-R5)+(S5-B6)),IF(B6=0, ,(B5-B6)))</f>
        <v>2</v>
      </c>
      <c r="D5" s="41">
        <v>72</v>
      </c>
      <c r="E5" s="39">
        <f t="shared" ref="E4:E35" si="8">IF(AC5&gt;0,((D5-U5)+(V5-D6)),IF(D6=0, ,(D5-D6)))</f>
        <v>2</v>
      </c>
      <c r="F5" s="41">
        <v>75</v>
      </c>
      <c r="G5" s="39">
        <f t="shared" ref="G4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8" si="10">O5*11.565</f>
        <v>2590.49604555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1480.2834545999999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1"/>
        <v>1</v>
      </c>
      <c r="J7" s="39">
        <f t="shared" si="12"/>
        <v>282</v>
      </c>
      <c r="K7" s="39">
        <f t="shared" si="13"/>
        <v>70.5</v>
      </c>
      <c r="L7" s="39">
        <f t="shared" si="14"/>
        <v>1.25</v>
      </c>
      <c r="M7" s="149">
        <f t="shared" si="3"/>
        <v>24196</v>
      </c>
      <c r="N7" s="39">
        <f t="shared" si="15"/>
        <v>302.45</v>
      </c>
      <c r="O7" s="39">
        <f>N7*0.53</f>
        <v>160.29849999999999</v>
      </c>
      <c r="P7" s="42">
        <f t="shared" si="10"/>
        <v>1853.8521524999999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1"/>
        <v>3</v>
      </c>
      <c r="J8" s="39">
        <f t="shared" si="12"/>
        <v>277</v>
      </c>
      <c r="K8" s="39">
        <f t="shared" si="13"/>
        <v>69.25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4440.8503638000002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1"/>
        <v>3</v>
      </c>
      <c r="J9" s="39">
        <f t="shared" si="12"/>
        <v>265</v>
      </c>
      <c r="K9" s="39">
        <f t="shared" si="13"/>
        <v>66.25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2960.5669091999998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1"/>
        <v>1</v>
      </c>
      <c r="J10" s="39">
        <f t="shared" si="12"/>
        <v>257</v>
      </c>
      <c r="K10" s="39">
        <f t="shared" si="13"/>
        <v>64.25</v>
      </c>
      <c r="L10" s="39">
        <f t="shared" si="14"/>
        <v>2.5</v>
      </c>
      <c r="M10" s="149">
        <f t="shared" si="17"/>
        <v>24196</v>
      </c>
      <c r="N10" s="39">
        <f t="shared" si="15"/>
        <v>604.9</v>
      </c>
      <c r="O10" s="148">
        <f t="shared" si="16"/>
        <v>319.99209999999999</v>
      </c>
      <c r="P10" s="42">
        <f t="shared" si="10"/>
        <v>3700.7086364999996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1"/>
        <v>3</v>
      </c>
      <c r="J11" s="39">
        <f t="shared" si="12"/>
        <v>247</v>
      </c>
      <c r="K11" s="39">
        <f t="shared" si="13"/>
        <v>61.75</v>
      </c>
      <c r="L11" s="39">
        <f t="shared" si="14"/>
        <v>1.5</v>
      </c>
      <c r="M11" s="149">
        <f t="shared" si="17"/>
        <v>24196</v>
      </c>
      <c r="N11" s="39">
        <f t="shared" si="15"/>
        <v>362.94</v>
      </c>
      <c r="O11" s="39">
        <f t="shared" si="16"/>
        <v>191.99526</v>
      </c>
      <c r="P11" s="42">
        <f t="shared" si="10"/>
        <v>2220.4251819000001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1"/>
        <v>1</v>
      </c>
      <c r="J12" s="39">
        <f t="shared" si="12"/>
        <v>241</v>
      </c>
      <c r="K12" s="39">
        <f t="shared" si="13"/>
        <v>60.25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2590.49604555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>
        <v>56</v>
      </c>
      <c r="C13" s="39">
        <f t="shared" si="7"/>
        <v>4</v>
      </c>
      <c r="D13" s="41">
        <v>56</v>
      </c>
      <c r="E13" s="39">
        <f t="shared" si="8"/>
        <v>4</v>
      </c>
      <c r="F13" s="41">
        <v>61</v>
      </c>
      <c r="G13" s="39">
        <f t="shared" si="9"/>
        <v>4</v>
      </c>
      <c r="H13" s="41">
        <v>61</v>
      </c>
      <c r="I13" s="39">
        <f t="shared" si="11"/>
        <v>6</v>
      </c>
      <c r="J13" s="39">
        <f t="shared" si="12"/>
        <v>234</v>
      </c>
      <c r="K13" s="39">
        <f t="shared" si="13"/>
        <v>58.5</v>
      </c>
      <c r="L13" s="39">
        <f t="shared" si="14"/>
        <v>4.5</v>
      </c>
      <c r="M13" s="149">
        <f t="shared" si="17"/>
        <v>24196</v>
      </c>
      <c r="N13" s="39">
        <f t="shared" si="15"/>
        <v>1088.82</v>
      </c>
      <c r="O13" s="39">
        <f t="shared" si="16"/>
        <v>575.98577999999998</v>
      </c>
      <c r="P13" s="42">
        <f t="shared" si="10"/>
        <v>6661.2755456999994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>
        <v>52</v>
      </c>
      <c r="C14" s="39">
        <f t="shared" si="7"/>
        <v>4</v>
      </c>
      <c r="D14" s="41">
        <v>52</v>
      </c>
      <c r="E14" s="39">
        <f t="shared" si="8"/>
        <v>4</v>
      </c>
      <c r="F14" s="41">
        <v>57</v>
      </c>
      <c r="G14" s="39">
        <f t="shared" si="9"/>
        <v>2</v>
      </c>
      <c r="H14" s="41">
        <v>55</v>
      </c>
      <c r="I14" s="39">
        <f>IF(AC14&gt;0,((H14-AA14)+(AB14-H15)),IF(H15=0, ,(H14-H15)))</f>
        <v>3</v>
      </c>
      <c r="J14" s="39">
        <f t="shared" si="12"/>
        <v>216</v>
      </c>
      <c r="K14" s="39">
        <f t="shared" si="13"/>
        <v>54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4810.9212274499996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>
        <v>48</v>
      </c>
      <c r="C15" s="39">
        <f t="shared" si="7"/>
        <v>0</v>
      </c>
      <c r="D15" s="41">
        <v>48</v>
      </c>
      <c r="E15" s="39">
        <f t="shared" si="8"/>
        <v>0</v>
      </c>
      <c r="F15" s="41">
        <v>55</v>
      </c>
      <c r="G15" s="39">
        <f t="shared" si="9"/>
        <v>0</v>
      </c>
      <c r="H15" s="41">
        <v>52</v>
      </c>
      <c r="I15" s="39">
        <f>IF(AC15&gt;0,((H15-AA15)+(AB15-H16)),IF(H16=0, ,(H15-H16)))</f>
        <v>0</v>
      </c>
      <c r="J15" s="39">
        <f t="shared" si="12"/>
        <v>203</v>
      </c>
      <c r="K15" s="39">
        <f t="shared" si="13"/>
        <v>50.75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>
        <v>2996</v>
      </c>
      <c r="R15" s="39">
        <v>48</v>
      </c>
      <c r="S15" s="39">
        <v>85</v>
      </c>
      <c r="T15" s="39">
        <v>2993</v>
      </c>
      <c r="U15" s="39">
        <v>48</v>
      </c>
      <c r="V15" s="39">
        <v>85</v>
      </c>
      <c r="W15" s="39">
        <v>2418</v>
      </c>
      <c r="X15" s="39">
        <v>55</v>
      </c>
      <c r="Y15" s="39">
        <v>85</v>
      </c>
      <c r="Z15" s="39">
        <v>2822</v>
      </c>
      <c r="AA15" s="39">
        <v>52</v>
      </c>
      <c r="AB15" s="39">
        <v>85</v>
      </c>
      <c r="AC15" s="39">
        <f>Q15+T15+W15+Z15</f>
        <v>11229</v>
      </c>
      <c r="AD15" s="38">
        <f>(R15+U15+X15+AA15)/4</f>
        <v>50.75</v>
      </c>
      <c r="AE15" s="38">
        <f>(S15+V15+Y15+AB15)/4</f>
        <v>85</v>
      </c>
    </row>
    <row r="16" spans="1:31" ht="32.25" customHeight="1">
      <c r="A16" s="40">
        <v>44605</v>
      </c>
      <c r="B16" s="41">
        <v>85</v>
      </c>
      <c r="C16" s="39">
        <f t="shared" si="7"/>
        <v>2</v>
      </c>
      <c r="D16" s="41">
        <v>85</v>
      </c>
      <c r="E16" s="39">
        <f t="shared" si="8"/>
        <v>1</v>
      </c>
      <c r="F16" s="41">
        <v>85</v>
      </c>
      <c r="G16" s="39">
        <f t="shared" si="9"/>
        <v>1</v>
      </c>
      <c r="H16" s="41">
        <v>85</v>
      </c>
      <c r="I16" s="39">
        <f t="shared" si="11"/>
        <v>1</v>
      </c>
      <c r="J16" s="39">
        <f t="shared" si="12"/>
        <v>340</v>
      </c>
      <c r="K16" s="39">
        <f t="shared" si="13"/>
        <v>85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1850.3543182499998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>
        <v>83</v>
      </c>
      <c r="C17" s="39">
        <f t="shared" si="7"/>
        <v>6</v>
      </c>
      <c r="D17" s="41">
        <v>84</v>
      </c>
      <c r="E17" s="39">
        <f t="shared" si="8"/>
        <v>7</v>
      </c>
      <c r="F17" s="41">
        <v>84</v>
      </c>
      <c r="G17" s="39">
        <f t="shared" si="9"/>
        <v>4</v>
      </c>
      <c r="H17" s="41">
        <v>84</v>
      </c>
      <c r="I17" s="39">
        <f t="shared" si="11"/>
        <v>4</v>
      </c>
      <c r="J17" s="39">
        <f t="shared" si="12"/>
        <v>335</v>
      </c>
      <c r="K17" s="39">
        <f t="shared" si="13"/>
        <v>83.75</v>
      </c>
      <c r="L17" s="39">
        <f t="shared" si="14"/>
        <v>5.25</v>
      </c>
      <c r="M17" s="149">
        <f t="shared" si="17"/>
        <v>24196</v>
      </c>
      <c r="N17" s="39">
        <f t="shared" si="15"/>
        <v>1270.29</v>
      </c>
      <c r="O17" s="39">
        <f t="shared" si="16"/>
        <v>671.98341000000005</v>
      </c>
      <c r="P17" s="42">
        <f t="shared" si="10"/>
        <v>7771.4881366500003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>
        <v>77</v>
      </c>
      <c r="C18" s="39">
        <f t="shared" si="7"/>
        <v>4</v>
      </c>
      <c r="D18" s="41">
        <v>77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1"/>
        <v>2</v>
      </c>
      <c r="J18" s="39">
        <f t="shared" si="12"/>
        <v>314</v>
      </c>
      <c r="K18" s="39">
        <f t="shared" si="13"/>
        <v>78.5</v>
      </c>
      <c r="L18" s="39">
        <f t="shared" si="14"/>
        <v>2.75</v>
      </c>
      <c r="M18" s="149">
        <f t="shared" si="17"/>
        <v>24196</v>
      </c>
      <c r="N18" s="39">
        <f t="shared" si="15"/>
        <v>665.39</v>
      </c>
      <c r="O18" s="39">
        <f t="shared" si="16"/>
        <v>351.99131</v>
      </c>
      <c r="P18" s="42">
        <f t="shared" si="10"/>
        <v>4070.7795001499999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>
        <v>73</v>
      </c>
      <c r="C19" s="39">
        <f t="shared" si="7"/>
        <v>6</v>
      </c>
      <c r="D19" s="41">
        <v>74</v>
      </c>
      <c r="E19" s="39">
        <f t="shared" si="8"/>
        <v>5</v>
      </c>
      <c r="F19" s="41">
        <v>78</v>
      </c>
      <c r="G19" s="39">
        <f t="shared" si="9"/>
        <v>8</v>
      </c>
      <c r="H19" s="41">
        <v>78</v>
      </c>
      <c r="I19" s="39">
        <f t="shared" si="11"/>
        <v>7</v>
      </c>
      <c r="J19" s="39">
        <f t="shared" si="12"/>
        <v>303</v>
      </c>
      <c r="K19" s="39">
        <f t="shared" si="13"/>
        <v>75.75</v>
      </c>
      <c r="L19" s="39">
        <f t="shared" si="14"/>
        <v>6.5</v>
      </c>
      <c r="M19" s="149">
        <f t="shared" si="17"/>
        <v>24196</v>
      </c>
      <c r="N19" s="39">
        <f t="shared" si="15"/>
        <v>1572.74</v>
      </c>
      <c r="O19" s="39">
        <f t="shared" si="16"/>
        <v>831.97946000000002</v>
      </c>
      <c r="P19" s="42">
        <f t="shared" si="10"/>
        <v>9621.8424548999992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>
        <v>67</v>
      </c>
      <c r="C20" s="39">
        <f t="shared" si="7"/>
        <v>5</v>
      </c>
      <c r="D20" s="41">
        <v>69</v>
      </c>
      <c r="E20" s="39">
        <f t="shared" si="8"/>
        <v>5</v>
      </c>
      <c r="F20" s="41">
        <v>70</v>
      </c>
      <c r="G20" s="39">
        <f t="shared" si="9"/>
        <v>4</v>
      </c>
      <c r="H20" s="41">
        <v>71</v>
      </c>
      <c r="I20" s="39">
        <f t="shared" si="11"/>
        <v>4</v>
      </c>
      <c r="J20" s="39">
        <f t="shared" si="12"/>
        <v>277</v>
      </c>
      <c r="K20" s="39">
        <f t="shared" si="13"/>
        <v>69.25</v>
      </c>
      <c r="L20" s="39">
        <f t="shared" ref="L20:L42" si="18">IF(AC20&gt;0,((K20-AD20)+(AE20-K21)),IF(K21=0, ,(K20-K21)))</f>
        <v>4.5</v>
      </c>
      <c r="M20" s="149">
        <f t="shared" si="17"/>
        <v>24196</v>
      </c>
      <c r="N20" s="39">
        <f t="shared" si="15"/>
        <v>1088.82</v>
      </c>
      <c r="O20" s="39">
        <f t="shared" si="16"/>
        <v>575.98577999999998</v>
      </c>
      <c r="P20" s="42">
        <f t="shared" si="10"/>
        <v>6661.2755456999994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>
        <v>62</v>
      </c>
      <c r="C21" s="39">
        <f t="shared" si="7"/>
        <v>5</v>
      </c>
      <c r="D21" s="41">
        <v>64</v>
      </c>
      <c r="E21" s="39">
        <f t="shared" si="8"/>
        <v>5</v>
      </c>
      <c r="F21" s="41">
        <v>66</v>
      </c>
      <c r="G21" s="39">
        <f t="shared" si="9"/>
        <v>4</v>
      </c>
      <c r="H21" s="41">
        <v>67</v>
      </c>
      <c r="I21" s="39">
        <f t="shared" si="11"/>
        <v>4</v>
      </c>
      <c r="J21" s="39">
        <f t="shared" si="12"/>
        <v>259</v>
      </c>
      <c r="K21" s="39">
        <f t="shared" si="13"/>
        <v>64.75</v>
      </c>
      <c r="L21" s="39">
        <f>IF(AC21&gt;0,((K21-AD21)+(AE21-K22)),IF(K22=0, ,(K21-K22)))</f>
        <v>4.5</v>
      </c>
      <c r="M21" s="149">
        <f t="shared" si="17"/>
        <v>24196</v>
      </c>
      <c r="N21" s="39">
        <f t="shared" si="15"/>
        <v>1088.82</v>
      </c>
      <c r="O21" s="39">
        <f t="shared" si="16"/>
        <v>575.98577999999998</v>
      </c>
      <c r="P21" s="42">
        <f t="shared" si="10"/>
        <v>6661.2755456999994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>
        <v>57</v>
      </c>
      <c r="C22" s="39">
        <f t="shared" si="7"/>
        <v>0</v>
      </c>
      <c r="D22" s="41">
        <v>59</v>
      </c>
      <c r="E22" s="39">
        <f t="shared" si="8"/>
        <v>0</v>
      </c>
      <c r="F22" s="41">
        <v>62</v>
      </c>
      <c r="G22" s="39">
        <f t="shared" si="9"/>
        <v>0</v>
      </c>
      <c r="H22" s="41">
        <v>63</v>
      </c>
      <c r="I22" s="39">
        <f t="shared" si="11"/>
        <v>0</v>
      </c>
      <c r="J22" s="39">
        <f t="shared" si="12"/>
        <v>241</v>
      </c>
      <c r="K22" s="39">
        <f t="shared" si="13"/>
        <v>60.25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44614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11856.039999999999</v>
      </c>
      <c r="O43" s="39">
        <f>N43*0.529</f>
        <v>6271.8451599999999</v>
      </c>
      <c r="P43" s="42">
        <f>O43*11.565</f>
        <v>72533.889275399997</v>
      </c>
      <c r="Q43" s="285">
        <f>SUM(Q4:Q42)</f>
        <v>2996</v>
      </c>
      <c r="R43" s="286"/>
      <c r="S43" s="287"/>
      <c r="T43" s="288">
        <f>SUM(T4:T42)</f>
        <v>2993</v>
      </c>
      <c r="U43" s="286"/>
      <c r="V43" s="287"/>
      <c r="W43" s="288">
        <f>SUM(W4:W42)</f>
        <v>2418</v>
      </c>
      <c r="X43" s="286"/>
      <c r="Y43" s="287"/>
      <c r="Z43" s="288">
        <f>SUM(Z4:Z42)</f>
        <v>2822</v>
      </c>
      <c r="AA43" s="286"/>
      <c r="AB43" s="287"/>
      <c r="AC43" s="39">
        <f t="shared" si="20"/>
        <v>11229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11229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11229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11856.039999999999</v>
      </c>
      <c r="L47" s="46">
        <f>O43</f>
        <v>6271.8451599999999</v>
      </c>
      <c r="M47" s="46">
        <f>P43</f>
        <v>72533.889275399997</v>
      </c>
    </row>
    <row r="48" spans="1:31" ht="54.75" customHeight="1" thickBot="1">
      <c r="H48" s="281" t="s">
        <v>86</v>
      </c>
      <c r="I48" s="282"/>
      <c r="J48" s="283"/>
      <c r="K48" s="43">
        <f>AC44</f>
        <v>11229</v>
      </c>
      <c r="L48" s="44">
        <f>K48*0.529</f>
        <v>5940.1410000000005</v>
      </c>
      <c r="M48" s="44">
        <f>L48*11.565</f>
        <v>68697.73066500001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44558</v>
      </c>
      <c r="D8" s="325"/>
      <c r="E8" s="113">
        <v>44589</v>
      </c>
      <c r="F8" s="163" t="s">
        <v>97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417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40"/>
      <c r="H17" s="341"/>
      <c r="I17" s="340">
        <f>+E17</f>
        <v>92248</v>
      </c>
      <c r="J17" s="341"/>
    </row>
    <row r="18" spans="1:10">
      <c r="A18" s="338" t="s">
        <v>111</v>
      </c>
      <c r="B18" s="339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40"/>
      <c r="H18" s="341"/>
      <c r="I18" s="340">
        <f>+E18</f>
        <v>71146</v>
      </c>
      <c r="J18" s="341"/>
    </row>
    <row r="19" spans="1:10">
      <c r="A19" s="338" t="s">
        <v>112</v>
      </c>
      <c r="B19" s="339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40"/>
      <c r="H19" s="341"/>
      <c r="I19" s="340">
        <f>+E19</f>
        <v>43085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206479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62">
        <f>SUM(H25,F25)</f>
        <v>100051.811808</v>
      </c>
      <c r="J25" s="363"/>
    </row>
    <row r="26" spans="1:10" ht="15">
      <c r="A26" s="364" t="s">
        <v>124</v>
      </c>
      <c r="B26" s="365"/>
      <c r="C26" s="366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62">
        <f t="shared" ref="I26:I31" si="0">SUM(H26,F26)</f>
        <v>56652.848339999997</v>
      </c>
      <c r="J26" s="363"/>
    </row>
    <row r="27" spans="1:10" ht="15">
      <c r="A27" s="364" t="s">
        <v>125</v>
      </c>
      <c r="B27" s="365"/>
      <c r="C27" s="366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62">
        <f>SUM(H27,F27)</f>
        <v>65345.123760000002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240995.18219999998</v>
      </c>
      <c r="G32" s="85"/>
      <c r="H32" s="86"/>
      <c r="I32" s="374">
        <f>SUM(I25:J31)</f>
        <v>274680.52770799998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44297</v>
      </c>
      <c r="D8" s="325"/>
      <c r="E8" s="113">
        <v>44327</v>
      </c>
      <c r="F8" s="163" t="s">
        <v>132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0"/>
      <c r="H17" s="341"/>
      <c r="I17" s="340">
        <f>+E17</f>
        <v>6887</v>
      </c>
      <c r="J17" s="341"/>
    </row>
    <row r="18" spans="1:10">
      <c r="A18" s="338" t="s">
        <v>111</v>
      </c>
      <c r="B18" s="33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0"/>
      <c r="H18" s="341"/>
      <c r="I18" s="340">
        <f>+E18</f>
        <v>3799</v>
      </c>
      <c r="J18" s="341"/>
    </row>
    <row r="19" spans="1:10">
      <c r="A19" s="338" t="s">
        <v>112</v>
      </c>
      <c r="B19" s="33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0"/>
      <c r="H19" s="341"/>
      <c r="I19" s="340">
        <f>+E19</f>
        <v>3073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13759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2">
        <f>SUM(H25,F25)</f>
        <v>7469.6126519999998</v>
      </c>
      <c r="J25" s="363"/>
    </row>
    <row r="26" spans="1:10" ht="15">
      <c r="A26" s="364" t="s">
        <v>124</v>
      </c>
      <c r="B26" s="365"/>
      <c r="C26" s="366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2">
        <f t="shared" ref="I26:I31" si="0">SUM(H26,F26)</f>
        <v>3025.1057100000003</v>
      </c>
      <c r="J26" s="363"/>
    </row>
    <row r="27" spans="1:10" ht="15">
      <c r="A27" s="364" t="s">
        <v>125</v>
      </c>
      <c r="B27" s="365"/>
      <c r="C27" s="366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2">
        <f>SUM(H27,F27)</f>
        <v>4660.6838879999996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59508.8825</v>
      </c>
      <c r="G32" s="85"/>
      <c r="H32" s="86"/>
      <c r="I32" s="374">
        <f>SUM(I25:J31)</f>
        <v>67786.146049999996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1595.1000000000058</v>
      </c>
      <c r="C13" s="396"/>
      <c r="D13" s="396">
        <v>8.7899999999999991</v>
      </c>
      <c r="E13" s="396"/>
      <c r="F13" s="398">
        <f>PRODUCT(D13,B13)</f>
        <v>14020.929000000049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1595.1000000000058</v>
      </c>
      <c r="C19" s="396"/>
      <c r="D19" s="396">
        <v>2.61</v>
      </c>
      <c r="E19" s="396"/>
      <c r="F19" s="396">
        <f>PRODUCT(D19,B19)</f>
        <v>4163.2110000000148</v>
      </c>
      <c r="G19" s="396"/>
      <c r="H19" s="396"/>
    </row>
    <row r="20" spans="1:8" ht="18.75">
      <c r="A20" s="412" t="s">
        <v>149</v>
      </c>
      <c r="B20" s="413"/>
      <c r="C20" s="413"/>
      <c r="D20" s="413"/>
      <c r="E20" s="414"/>
      <c r="F20" s="415">
        <f>SUM(F11+F13+F16+F17+F18+F19)</f>
        <v>18207.140000000065</v>
      </c>
      <c r="G20" s="415"/>
      <c r="H20" s="415"/>
    </row>
    <row r="21" spans="1:8" ht="15">
      <c r="A21" s="401" t="s">
        <v>150</v>
      </c>
      <c r="B21" s="402"/>
      <c r="C21" s="402"/>
      <c r="D21" s="402"/>
      <c r="E21" s="403"/>
      <c r="F21" s="396">
        <f>PRODUCT(F20,0.07)</f>
        <v>1274.4998000000046</v>
      </c>
      <c r="G21" s="396"/>
      <c r="H21" s="396"/>
    </row>
    <row r="22" spans="1:8" ht="15">
      <c r="A22" s="433" t="s">
        <v>151</v>
      </c>
      <c r="B22" s="434"/>
      <c r="C22" s="434"/>
      <c r="D22" s="434"/>
      <c r="E22" s="435"/>
      <c r="F22" s="396">
        <v>208.26</v>
      </c>
      <c r="G22" s="396"/>
      <c r="H22" s="396"/>
    </row>
    <row r="23" spans="1:8" ht="15.75">
      <c r="A23" s="401" t="s">
        <v>152</v>
      </c>
      <c r="B23" s="402"/>
      <c r="C23" s="402"/>
      <c r="D23" s="402"/>
      <c r="E23" s="403"/>
      <c r="F23" s="404">
        <f>SUM(F21:H22)</f>
        <v>1482.7598000000046</v>
      </c>
      <c r="G23" s="404"/>
      <c r="H23" s="404"/>
    </row>
    <row r="24" spans="1:8">
      <c r="A24" s="405" t="s">
        <v>153</v>
      </c>
      <c r="B24" s="406"/>
      <c r="C24" s="406"/>
      <c r="D24" s="406"/>
      <c r="E24" s="407"/>
      <c r="F24" s="411">
        <f>SUM(F20,F23)</f>
        <v>19689.899800000068</v>
      </c>
      <c r="G24" s="411"/>
      <c r="H24" s="411"/>
    </row>
    <row r="25" spans="1:8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398">
        <f>PRODUCT(D13,B13)</f>
        <v>1018.3000000000247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412" t="s">
        <v>149</v>
      </c>
      <c r="B21" s="413"/>
      <c r="C21" s="413"/>
      <c r="D21" s="413"/>
      <c r="E21" s="414"/>
      <c r="F21" s="415">
        <f>SUM(F11+F13+F16+F17+F18+F20)</f>
        <v>1345.5920000000322</v>
      </c>
      <c r="G21" s="415"/>
      <c r="H21" s="415"/>
    </row>
    <row r="22" spans="1:8" ht="15">
      <c r="A22" s="401" t="s">
        <v>150</v>
      </c>
      <c r="B22" s="402"/>
      <c r="C22" s="402"/>
      <c r="D22" s="402"/>
      <c r="E22" s="403"/>
      <c r="F22" s="396">
        <f>PRODUCT(F21,0.07)</f>
        <v>94.19144000000226</v>
      </c>
      <c r="G22" s="396"/>
      <c r="H22" s="396"/>
    </row>
    <row r="23" spans="1:8" ht="15">
      <c r="A23" s="433" t="s">
        <v>151</v>
      </c>
      <c r="B23" s="434"/>
      <c r="C23" s="434"/>
      <c r="D23" s="434"/>
      <c r="E23" s="435"/>
      <c r="F23" s="396">
        <v>208.26</v>
      </c>
      <c r="G23" s="396"/>
      <c r="H23" s="396"/>
    </row>
    <row r="24" spans="1:8" ht="15.75">
      <c r="A24" s="401" t="s">
        <v>152</v>
      </c>
      <c r="B24" s="402"/>
      <c r="C24" s="402"/>
      <c r="D24" s="402"/>
      <c r="E24" s="403"/>
      <c r="F24" s="404">
        <f>SUM(F22:H23)</f>
        <v>302.45144000000226</v>
      </c>
      <c r="G24" s="404"/>
      <c r="H24" s="404"/>
    </row>
    <row r="25" spans="1:8">
      <c r="A25" s="405" t="s">
        <v>153</v>
      </c>
      <c r="B25" s="406"/>
      <c r="C25" s="406"/>
      <c r="D25" s="406"/>
      <c r="E25" s="407"/>
      <c r="F25" s="411">
        <f>SUM(F21,F24)</f>
        <v>1648.0434400000345</v>
      </c>
      <c r="G25" s="411"/>
      <c r="H25" s="411"/>
    </row>
    <row r="26" spans="1:8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155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>
      <c r="A19" s="400"/>
      <c r="B19" s="400"/>
      <c r="C19" s="400"/>
      <c r="D19" s="400"/>
      <c r="E19" s="400"/>
      <c r="F19" s="400"/>
      <c r="G19" s="400"/>
      <c r="H19" s="400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412" t="s">
        <v>149</v>
      </c>
      <c r="B25" s="413"/>
      <c r="C25" s="413"/>
      <c r="D25" s="413"/>
      <c r="E25" s="414"/>
      <c r="F25" s="418">
        <f>SUM(F11+F13+F20+F21+F22+F23)</f>
        <v>15</v>
      </c>
      <c r="G25" s="415"/>
      <c r="H25" s="415"/>
    </row>
    <row r="26" spans="1:8" ht="1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>
      <c r="A27" s="433" t="s">
        <v>151</v>
      </c>
      <c r="B27" s="434"/>
      <c r="C27" s="434"/>
      <c r="D27" s="434"/>
      <c r="E27" s="435"/>
      <c r="F27" s="396">
        <v>2.4300000000000002</v>
      </c>
      <c r="G27" s="396"/>
      <c r="H27" s="396"/>
    </row>
    <row r="28" spans="1:8" ht="15.7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2022-02-19T07:59:42Z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