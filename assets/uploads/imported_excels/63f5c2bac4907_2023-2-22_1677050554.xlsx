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I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<sst xmlns="http://schemas.openxmlformats.org/spreadsheetml/2006/main" count="58" uniqueCount="29">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</sst>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70" zoomScaleNormal="70" workbookViewId="0">
      <selection activeCell="K29" sqref="K2:K29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2</v>
      </c>
      <c r="D2" s="7">
        <v>2022</v>
      </c>
      <c r="E2" s="9">
        <f>'Macao Daily'!D5</f>
        <v>42234</v>
      </c>
      <c r="F2" s="37">
        <v>1.2014</v>
      </c>
      <c r="G2" s="9">
        <f>'Macao Daily'!F5</f>
        <v>7.3260000000000218</v>
      </c>
      <c r="H2" s="37">
        <v>5.6376740376740377</v>
      </c>
      <c r="I2" s="9">
        <f>'Macao Daily'!H5</f>
        <v>144</v>
      </c>
      <c r="J2" s="37">
        <v>0.19</v>
      </c>
      <c r="K2" s="9">
        <f>'Macao Daily'!J5</f>
        <v>207</v>
      </c>
      <c r="L2" s="37">
        <v>7.7595000000000001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28</v>
      </c>
      <c r="B3" s="7">
        <f>B2+1</f>
        <v>2</v>
      </c>
      <c r="C3" s="8">
        <v>2</v>
      </c>
      <c r="D3" s="7">
        <v>2022</v>
      </c>
      <c r="E3" s="9">
        <f>'Macao Daily'!D6</f>
        <v>38352</v>
      </c>
      <c r="F3" s="37">
        <v>1.2014</v>
      </c>
      <c r="G3" s="9">
        <f>'Macao Daily'!F6</f>
        <v>7.3260000000000218</v>
      </c>
      <c r="H3" s="37">
        <v>5.6376740376740377</v>
      </c>
      <c r="I3" s="9">
        <f>'Macao Daily'!H6</f>
        <v>176</v>
      </c>
      <c r="J3" s="37">
        <v>0.19</v>
      </c>
      <c r="K3" s="9">
        <f>'Macao Daily'!J6</f>
        <v>156</v>
      </c>
      <c r="L3" s="37">
        <v>7.7595000000000001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28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30894</v>
      </c>
      <c r="F4" s="37">
        <v>1.2014</v>
      </c>
      <c r="G4" s="9">
        <f>'Macao Daily'!F7</f>
        <v>9.1575000000002547</v>
      </c>
      <c r="H4" s="37">
        <v>5.6376740376740377</v>
      </c>
      <c r="I4" s="9">
        <f>'Macao Daily'!H7</f>
        <v>176</v>
      </c>
      <c r="J4" s="37">
        <v>0.19</v>
      </c>
      <c r="K4" s="9">
        <f>'Macao Daily'!J7</f>
        <v>248</v>
      </c>
      <c r="L4" s="37">
        <v>7.7595000000000001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28</v>
      </c>
      <c r="B5" s="7">
        <f t="shared" si="0"/>
        <v>4</v>
      </c>
      <c r="C5" s="8">
        <v>2</v>
      </c>
      <c r="D5" s="7">
        <v>2022</v>
      </c>
      <c r="E5" s="9">
        <f>'Macao Daily'!D8</f>
        <v>48433</v>
      </c>
      <c r="F5" s="37">
        <v>1.2014</v>
      </c>
      <c r="G5" s="9">
        <f>'Macao Daily'!F8</f>
        <v>7.3260000000000218</v>
      </c>
      <c r="H5" s="37">
        <v>5.6376740376740377</v>
      </c>
      <c r="I5" s="9">
        <f>'Macao Daily'!H8</f>
        <v>1872</v>
      </c>
      <c r="J5" s="37">
        <v>0.19</v>
      </c>
      <c r="K5" s="9">
        <f>'Macao Daily'!J8</f>
        <v>343</v>
      </c>
      <c r="L5" s="37">
        <v>7.7595000000000001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28</v>
      </c>
      <c r="B6" s="7">
        <f t="shared" si="0"/>
        <v>5</v>
      </c>
      <c r="C6" s="8">
        <v>2</v>
      </c>
      <c r="D6" s="7">
        <v>2022</v>
      </c>
      <c r="E6" s="9">
        <f>'Macao Daily'!D9</f>
        <v>46012</v>
      </c>
      <c r="F6" s="37">
        <v>1.2014</v>
      </c>
      <c r="G6" s="9">
        <f>'Macao Daily'!F9</f>
        <v>9.1574999999993452</v>
      </c>
      <c r="H6" s="37">
        <v>5.6376740376740377</v>
      </c>
      <c r="I6" s="9">
        <f>'Macao Daily'!H9</f>
        <v>2800</v>
      </c>
      <c r="J6" s="37">
        <v>0.19</v>
      </c>
      <c r="K6" s="9">
        <f>'Macao Daily'!J9</f>
        <v>341</v>
      </c>
      <c r="L6" s="37">
        <v>7.7595000000000001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28</v>
      </c>
      <c r="B7" s="7">
        <f t="shared" si="0"/>
        <v>6</v>
      </c>
      <c r="C7" s="8">
        <v>2</v>
      </c>
      <c r="D7" s="7">
        <v>2022</v>
      </c>
      <c r="E7" s="9">
        <f>'Macao Daily'!D10</f>
        <v>39335</v>
      </c>
      <c r="F7" s="37">
        <v>1.2014</v>
      </c>
      <c r="G7" s="9">
        <f>'Macao Daily'!F10</f>
        <v>9.1575000000002547</v>
      </c>
      <c r="H7" s="37">
        <v>5.6376740376740377</v>
      </c>
      <c r="I7" s="9">
        <f>'Macao Daily'!H10</f>
        <v>3568</v>
      </c>
      <c r="J7" s="37">
        <v>0.19</v>
      </c>
      <c r="K7" s="9">
        <f>'Macao Daily'!J10</f>
        <v>282</v>
      </c>
      <c r="L7" s="37">
        <v>7.7595000000000001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28</v>
      </c>
      <c r="B8" s="7">
        <f t="shared" si="0"/>
        <v>7</v>
      </c>
      <c r="C8" s="8">
        <v>2</v>
      </c>
      <c r="D8" s="7">
        <v>2022</v>
      </c>
      <c r="E8" s="9">
        <f>'Macao Daily'!D11</f>
        <v>36828</v>
      </c>
      <c r="F8" s="37">
        <v>1.2014</v>
      </c>
      <c r="G8" s="9">
        <f>'Macao Daily'!F11</f>
        <v>9.1575000000002547</v>
      </c>
      <c r="H8" s="37">
        <v>5.6376740376740377</v>
      </c>
      <c r="I8" s="9">
        <f>'Macao Daily'!H11</f>
        <v>4720</v>
      </c>
      <c r="J8" s="37">
        <v>0.19</v>
      </c>
      <c r="K8" s="9">
        <f>'Macao Daily'!J11</f>
        <v>245</v>
      </c>
      <c r="L8" s="37">
        <v>7.7595000000000001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28</v>
      </c>
      <c r="B9" s="7">
        <f t="shared" si="0"/>
        <v>8</v>
      </c>
      <c r="C9" s="8">
        <v>2</v>
      </c>
      <c r="D9" s="7">
        <v>2022</v>
      </c>
      <c r="E9" s="9">
        <f>'Macao Daily'!D12</f>
        <v>29134</v>
      </c>
      <c r="F9" s="37">
        <v>1.2014</v>
      </c>
      <c r="G9" s="9">
        <f>'Macao Daily'!F12</f>
        <v>5.494499999999789</v>
      </c>
      <c r="H9" s="37">
        <v>5.6376740376740377</v>
      </c>
      <c r="I9" s="9">
        <f>'Macao Daily'!H12</f>
        <v>2176</v>
      </c>
      <c r="J9" s="37">
        <v>0.19</v>
      </c>
      <c r="K9" s="9">
        <f>'Macao Daily'!J12</f>
        <v>181</v>
      </c>
      <c r="L9" s="37">
        <v>7.7595000000000001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28</v>
      </c>
      <c r="B10" s="7">
        <f t="shared" si="0"/>
        <v>9</v>
      </c>
      <c r="C10" s="8">
        <v>2</v>
      </c>
      <c r="D10" s="7">
        <v>2022</v>
      </c>
      <c r="E10" s="9">
        <f>'Macao Daily'!D13</f>
        <v>36005</v>
      </c>
      <c r="F10" s="37">
        <v>1.2014</v>
      </c>
      <c r="G10" s="9">
        <f>'Macao Daily'!F13</f>
        <v>10.989000000000487</v>
      </c>
      <c r="H10" s="37">
        <v>5.6376740376740377</v>
      </c>
      <c r="I10" s="9">
        <f>'Macao Daily'!H13</f>
        <v>672</v>
      </c>
      <c r="J10" s="37">
        <v>0.19</v>
      </c>
      <c r="K10" s="9">
        <f>'Macao Daily'!J13</f>
        <v>229</v>
      </c>
      <c r="L10" s="37">
        <v>7.7595000000000001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28</v>
      </c>
      <c r="B11" s="7">
        <f t="shared" si="0"/>
        <v>10</v>
      </c>
      <c r="C11" s="8">
        <v>2</v>
      </c>
      <c r="D11" s="7">
        <v>2022</v>
      </c>
      <c r="E11" s="9">
        <f>'Macao Daily'!D14</f>
        <v>34581</v>
      </c>
      <c r="F11" s="37">
        <v>1.2014</v>
      </c>
      <c r="G11" s="9">
        <f>'Macao Daily'!F14</f>
        <v>5.494499999999789</v>
      </c>
      <c r="H11" s="37">
        <v>5.6376740376740377</v>
      </c>
      <c r="I11" s="9">
        <f>'Macao Daily'!H14</f>
        <v>992</v>
      </c>
      <c r="J11" s="37">
        <v>0.19</v>
      </c>
      <c r="K11" s="9">
        <f>'Macao Daily'!J14</f>
        <v>215</v>
      </c>
      <c r="L11" s="37">
        <v>7.7595000000000001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28</v>
      </c>
      <c r="B12" s="7">
        <f t="shared" si="0"/>
        <v>11</v>
      </c>
      <c r="C12" s="8">
        <v>2</v>
      </c>
      <c r="D12" s="7">
        <v>2022</v>
      </c>
      <c r="E12" s="9">
        <f>'Macao Daily'!D15</f>
        <v>32440</v>
      </c>
      <c r="F12" s="37">
        <v>1.2014</v>
      </c>
      <c r="G12" s="9">
        <f>'Macao Daily'!F15</f>
        <v>7.3260000000000218</v>
      </c>
      <c r="H12" s="37">
        <v>5.6376740376740377</v>
      </c>
      <c r="I12" s="9">
        <f>'Macao Daily'!H15</f>
        <v>6240</v>
      </c>
      <c r="J12" s="37">
        <v>0.19</v>
      </c>
      <c r="K12" s="9">
        <f>'Macao Daily'!J15</f>
        <v>217</v>
      </c>
      <c r="L12" s="37">
        <v>7.7595000000000001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28</v>
      </c>
      <c r="B13" s="7">
        <f t="shared" si="0"/>
        <v>12</v>
      </c>
      <c r="C13" s="8">
        <v>2</v>
      </c>
      <c r="D13" s="7">
        <v>2022</v>
      </c>
      <c r="E13" s="9">
        <f>'Macao Daily'!D16</f>
        <v>31452</v>
      </c>
      <c r="F13" s="37">
        <v>1.2014</v>
      </c>
      <c r="G13" s="9">
        <f>'Macao Daily'!F16</f>
        <v>5.494499999999789</v>
      </c>
      <c r="H13" s="37">
        <v>5.6376740376740377</v>
      </c>
      <c r="I13" s="9">
        <f>'Macao Daily'!H16</f>
        <v>14528</v>
      </c>
      <c r="J13" s="37">
        <v>0.19</v>
      </c>
      <c r="K13" s="9">
        <f>'Macao Daily'!J16</f>
        <v>232</v>
      </c>
      <c r="L13" s="37">
        <v>7.7595000000000001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28</v>
      </c>
      <c r="B14" s="7">
        <f t="shared" si="0"/>
        <v>13</v>
      </c>
      <c r="C14" s="8">
        <v>2</v>
      </c>
      <c r="D14" s="7">
        <v>2022</v>
      </c>
      <c r="E14" s="9">
        <f>'Macao Daily'!D17</f>
        <v>31388</v>
      </c>
      <c r="F14" s="37">
        <v>1.2014</v>
      </c>
      <c r="G14" s="9">
        <f>'Macao Daily'!F17</f>
        <v>7.3260000000000218</v>
      </c>
      <c r="H14" s="37">
        <v>5.6376740376740377</v>
      </c>
      <c r="I14" s="9">
        <f>'Macao Daily'!H17</f>
        <v>15488</v>
      </c>
      <c r="J14" s="37">
        <v>0.19</v>
      </c>
      <c r="K14" s="9">
        <f>'Macao Daily'!J17</f>
        <v>188</v>
      </c>
      <c r="L14" s="37">
        <v>7.7595000000000001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28</v>
      </c>
      <c r="B15" s="7">
        <f t="shared" si="0"/>
        <v>14</v>
      </c>
      <c r="C15" s="8">
        <v>2</v>
      </c>
      <c r="D15" s="7">
        <v>2022</v>
      </c>
      <c r="E15" s="9">
        <f>'Macao Daily'!D18</f>
        <v>31905</v>
      </c>
      <c r="F15" s="37">
        <v>1.2014</v>
      </c>
      <c r="G15" s="9">
        <f>'Macao Daily'!F18</f>
        <v>5.494499999999789</v>
      </c>
      <c r="H15" s="37">
        <v>5.6376740376740377</v>
      </c>
      <c r="I15" s="9">
        <f>'Macao Daily'!H18</f>
        <v>2448</v>
      </c>
      <c r="J15" s="37">
        <v>0.19</v>
      </c>
      <c r="K15" s="9">
        <f>'Macao Daily'!J18</f>
        <v>203</v>
      </c>
      <c r="L15" s="37">
        <v>7.7595000000000001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28</v>
      </c>
      <c r="B16" s="7">
        <f t="shared" si="0"/>
        <v>15</v>
      </c>
      <c r="C16" s="8">
        <v>2</v>
      </c>
      <c r="D16" s="7">
        <v>2022</v>
      </c>
      <c r="E16" s="9">
        <f>'Macao Daily'!D19</f>
        <v>36780</v>
      </c>
      <c r="F16" s="37">
        <v>1.2014</v>
      </c>
      <c r="G16" s="9">
        <f>'Macao Daily'!F19</f>
        <v>5.494499999999789</v>
      </c>
      <c r="H16" s="37">
        <v>5.6376740376740377</v>
      </c>
      <c r="I16" s="9">
        <f>'Macao Daily'!H19</f>
        <v>12976</v>
      </c>
      <c r="J16" s="37">
        <v>0.19</v>
      </c>
      <c r="K16" s="9">
        <f>'Macao Daily'!J19</f>
        <v>240</v>
      </c>
      <c r="L16" s="37">
        <v>7.7595000000000001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28</v>
      </c>
      <c r="B17" s="7">
        <f t="shared" si="0"/>
        <v>16</v>
      </c>
      <c r="C17" s="8">
        <v>2</v>
      </c>
      <c r="D17" s="7">
        <v>2022</v>
      </c>
      <c r="E17" s="9">
        <f>'Macao Daily'!D20</f>
        <v>31215</v>
      </c>
      <c r="F17" s="37">
        <v>1.2014</v>
      </c>
      <c r="G17" s="9">
        <f>'Macao Daily'!F20</f>
        <v>3.6630000000004657</v>
      </c>
      <c r="H17" s="37">
        <v>5.6376740376740377</v>
      </c>
      <c r="I17" s="9">
        <f>'Macao Daily'!H20</f>
        <v>10080</v>
      </c>
      <c r="J17" s="37">
        <v>0.19</v>
      </c>
      <c r="K17" s="9">
        <f>'Macao Daily'!J20</f>
        <v>217</v>
      </c>
      <c r="L17" s="37">
        <v>7.7595000000000001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28</v>
      </c>
      <c r="B18" s="7">
        <f t="shared" si="0"/>
        <v>17</v>
      </c>
      <c r="C18" s="8">
        <v>2</v>
      </c>
      <c r="D18" s="7">
        <v>2022</v>
      </c>
      <c r="E18" s="9">
        <f>'Macao Daily'!D21</f>
        <v>31939</v>
      </c>
      <c r="F18" s="37">
        <v>1.2014</v>
      </c>
      <c r="G18" s="9">
        <f>'Macao Daily'!F21</f>
        <v>9.1575000000002547</v>
      </c>
      <c r="H18" s="37">
        <v>5.6376740376740377</v>
      </c>
      <c r="I18" s="9">
        <f>'Macao Daily'!H21</f>
        <v>7072</v>
      </c>
      <c r="J18" s="37">
        <v>0.19</v>
      </c>
      <c r="K18" s="9">
        <f>'Macao Daily'!J21</f>
        <v>238</v>
      </c>
      <c r="L18" s="37">
        <v>7.7595000000000001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28</v>
      </c>
      <c r="B19" s="7">
        <f t="shared" si="0"/>
        <v>18</v>
      </c>
      <c r="C19" s="8">
        <v>2</v>
      </c>
      <c r="D19" s="7">
        <v>2022</v>
      </c>
      <c r="E19" s="9">
        <f>'Macao Daily'!D22</f>
        <v>31622</v>
      </c>
      <c r="F19" s="37">
        <v>1.2014</v>
      </c>
      <c r="G19" s="9">
        <f>'Macao Daily'!F22</f>
        <v>3.6629999999995562</v>
      </c>
      <c r="H19" s="37">
        <v>5.6376740376740377</v>
      </c>
      <c r="I19" s="9">
        <f>'Macao Daily'!H22</f>
        <v>6768</v>
      </c>
      <c r="J19" s="37">
        <v>0.19</v>
      </c>
      <c r="K19" s="9">
        <f>'Macao Daily'!J22</f>
        <v>135</v>
      </c>
      <c r="L19" s="37">
        <v>7.7595000000000001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28</v>
      </c>
      <c r="B20" s="7">
        <f t="shared" si="0"/>
        <v>19</v>
      </c>
      <c r="C20" s="8">
        <v>2</v>
      </c>
      <c r="D20" s="7">
        <v>2022</v>
      </c>
      <c r="E20" s="9">
        <f>'Macao Daily'!D23</f>
        <v>33423</v>
      </c>
      <c r="F20" s="37">
        <v>1.2014</v>
      </c>
      <c r="G20" s="9">
        <f>'Macao Daily'!F23</f>
        <v>5.494499999999789</v>
      </c>
      <c r="H20" s="37">
        <v>5.6376740376740377</v>
      </c>
      <c r="I20" s="9">
        <f>'Macao Daily'!H23</f>
        <v>2688</v>
      </c>
      <c r="J20" s="37">
        <v>0.19</v>
      </c>
      <c r="K20" s="9">
        <f>'Macao Daily'!J23</f>
        <v>179</v>
      </c>
      <c r="L20" s="37">
        <v>7.7595000000000001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28</v>
      </c>
      <c r="B21" s="7">
        <f t="shared" si="0"/>
        <v>20</v>
      </c>
      <c r="C21" s="8">
        <v>2</v>
      </c>
      <c r="D21" s="7">
        <v>2022</v>
      </c>
      <c r="E21" s="9">
        <f>'Macao Daily'!D24</f>
        <v>37868</v>
      </c>
      <c r="F21" s="37">
        <v>1.2014</v>
      </c>
      <c r="G21" s="9">
        <f>'Macao Daily'!F24</f>
        <v>5.4945000000006985</v>
      </c>
      <c r="H21" s="37">
        <v>5.6376740376740377</v>
      </c>
      <c r="I21" s="9">
        <f>'Macao Daily'!H24</f>
        <v>576</v>
      </c>
      <c r="J21" s="37">
        <v>0.19</v>
      </c>
      <c r="K21" s="9">
        <f>'Macao Daily'!J24</f>
        <v>275</v>
      </c>
      <c r="L21" s="37">
        <v>7.7595000000000001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28</v>
      </c>
      <c r="B22" s="7">
        <f t="shared" si="0"/>
        <v>21</v>
      </c>
      <c r="C22" s="8">
        <v>2</v>
      </c>
      <c r="D22" s="7">
        <v>2022</v>
      </c>
      <c r="E22" s="9">
        <f>'Macao Daily'!D25</f>
        <v>44373</v>
      </c>
      <c r="F22" s="37">
        <v>1.2014</v>
      </c>
      <c r="G22" s="9">
        <f>'Macao Daily'!F25</f>
        <v>5.494499999999789</v>
      </c>
      <c r="H22" s="37">
        <v>5.6376740376740377</v>
      </c>
      <c r="I22" s="9">
        <f>'Macao Daily'!H25</f>
        <v>576</v>
      </c>
      <c r="J22" s="37">
        <v>0.19</v>
      </c>
      <c r="K22" s="9">
        <f>'Macao Daily'!J25</f>
        <v>217</v>
      </c>
      <c r="L22" s="37">
        <v>7.7595000000000001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28</v>
      </c>
      <c r="B23" s="7">
        <f t="shared" si="0"/>
        <v>22</v>
      </c>
      <c r="C23" s="8">
        <v>2</v>
      </c>
      <c r="D23" s="7">
        <v>2022</v>
      </c>
      <c r="E23" s="9">
        <f>'Macao Daily'!D26</f>
        <v>43078</v>
      </c>
      <c r="F23" s="37">
        <v>1.2014</v>
      </c>
      <c r="G23" s="9">
        <f>'Macao Daily'!F26</f>
        <v>5.494499999999789</v>
      </c>
      <c r="H23" s="37">
        <v>5.6376740376740377</v>
      </c>
      <c r="I23" s="9">
        <f>'Macao Daily'!H26</f>
        <v>576</v>
      </c>
      <c r="J23" s="37">
        <v>0.19</v>
      </c>
      <c r="K23" s="9">
        <f>'Macao Daily'!J26</f>
        <v>194</v>
      </c>
      <c r="L23" s="37">
        <v>7.7595000000000001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28</v>
      </c>
      <c r="B24" s="7">
        <f t="shared" si="0"/>
        <v>23</v>
      </c>
      <c r="C24" s="8">
        <v>2</v>
      </c>
      <c r="D24" s="7">
        <v>2022</v>
      </c>
      <c r="E24" s="9">
        <f>'Macao Daily'!D27</f>
        <v>42072</v>
      </c>
      <c r="F24" s="37">
        <v>1.2014</v>
      </c>
      <c r="G24" s="9">
        <f>'Macao Daily'!F27</f>
        <v>3.6630000000004657</v>
      </c>
      <c r="H24" s="37">
        <v>5.6376740376740377</v>
      </c>
      <c r="I24" s="9">
        <f>'Macao Daily'!H27</f>
        <v>528</v>
      </c>
      <c r="J24" s="37">
        <v>0.19</v>
      </c>
      <c r="K24" s="9">
        <f>'Macao Daily'!J27</f>
        <v>184</v>
      </c>
      <c r="L24" s="37">
        <v>7.7595000000000001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28</v>
      </c>
      <c r="B25" s="7">
        <f t="shared" si="0"/>
        <v>24</v>
      </c>
      <c r="C25" s="8">
        <v>2</v>
      </c>
      <c r="D25" s="7">
        <v>2022</v>
      </c>
      <c r="E25" s="9">
        <f>'Macao Daily'!D28</f>
        <v>41938</v>
      </c>
      <c r="F25" s="37">
        <v>1.2014</v>
      </c>
      <c r="G25" s="9">
        <f>'Macao Daily'!F28</f>
        <v>5.494499999999789</v>
      </c>
      <c r="H25" s="37">
        <v>5.6376740376740377</v>
      </c>
      <c r="I25" s="9">
        <f>'Macao Daily'!H28</f>
        <v>416</v>
      </c>
      <c r="J25" s="37">
        <v>0.19</v>
      </c>
      <c r="K25" s="9">
        <f>'Macao Daily'!J28</f>
        <v>181</v>
      </c>
      <c r="L25" s="37">
        <v>7.7595000000000001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28</v>
      </c>
      <c r="B26" s="7">
        <f>B25+1</f>
        <v>25</v>
      </c>
      <c r="C26" s="8">
        <v>2</v>
      </c>
      <c r="D26" s="7">
        <v>2022</v>
      </c>
      <c r="E26" s="9">
        <f>'Macao Daily'!D29</f>
        <v>37422</v>
      </c>
      <c r="F26" s="37">
        <v>1.2014</v>
      </c>
      <c r="G26" s="9">
        <f>'Macao Daily'!F29</f>
        <v>7.3260000000000218</v>
      </c>
      <c r="H26" s="37">
        <v>5.6376740376740377</v>
      </c>
      <c r="I26" s="9">
        <f>'Macao Daily'!H29</f>
        <v>1776</v>
      </c>
      <c r="J26" s="37">
        <v>0.19</v>
      </c>
      <c r="K26" s="9">
        <f>'Macao Daily'!J29</f>
        <v>171</v>
      </c>
      <c r="L26" s="37">
        <v>7.7595000000000001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28</v>
      </c>
      <c r="B27" s="7">
        <f t="shared" si="0"/>
        <v>26</v>
      </c>
      <c r="C27" s="8">
        <v>2</v>
      </c>
      <c r="D27" s="7">
        <v>2022</v>
      </c>
      <c r="E27" s="9">
        <f>'Macao Daily'!D30</f>
        <v>32971</v>
      </c>
      <c r="F27" s="37">
        <v>1.2014</v>
      </c>
      <c r="G27" s="9">
        <f>'Macao Daily'!F30</f>
        <v>5.494499999999789</v>
      </c>
      <c r="H27" s="37">
        <v>5.6376740376740377</v>
      </c>
      <c r="I27" s="9">
        <f>'Macao Daily'!H30</f>
        <v>3056</v>
      </c>
      <c r="J27" s="37">
        <v>0.19</v>
      </c>
      <c r="K27" s="9">
        <f>'Macao Daily'!J30</f>
        <v>243</v>
      </c>
      <c r="L27" s="37">
        <v>7.7595000000000001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28</v>
      </c>
      <c r="B28" s="7">
        <f t="shared" si="0"/>
        <v>27</v>
      </c>
      <c r="C28" s="8">
        <v>2</v>
      </c>
      <c r="D28" s="7">
        <v>2022</v>
      </c>
      <c r="E28" s="9">
        <f>'Macao Daily'!D31</f>
        <v>30375</v>
      </c>
      <c r="F28" s="37">
        <v>1.2014</v>
      </c>
      <c r="G28" s="9">
        <f>'Macao Daily'!F31</f>
        <v>5.494499999999789</v>
      </c>
      <c r="H28" s="37">
        <v>5.6376740376740377</v>
      </c>
      <c r="I28" s="9">
        <f>'Macao Daily'!H31</f>
        <v>7232</v>
      </c>
      <c r="J28" s="37">
        <v>0.19</v>
      </c>
      <c r="K28" s="9">
        <f>'Macao Daily'!J31</f>
        <v>179</v>
      </c>
      <c r="L28" s="37">
        <v>7.7595000000000001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28</v>
      </c>
      <c r="B29" s="7">
        <f t="shared" si="0"/>
        <v>28</v>
      </c>
      <c r="C29" s="8">
        <v>2</v>
      </c>
      <c r="D29" s="7">
        <v>2022</v>
      </c>
      <c r="E29" s="9">
        <f>'Macao Daily'!D32</f>
        <v>28876</v>
      </c>
      <c r="F29" s="37">
        <v>1.2014</v>
      </c>
      <c r="G29" s="9">
        <f>'Macao Daily'!F32</f>
        <v>5.494499999999789</v>
      </c>
      <c r="H29" s="37">
        <v>5.6376740376740377</v>
      </c>
      <c r="I29" s="9">
        <f>'Macao Daily'!H32</f>
        <v>10048</v>
      </c>
      <c r="J29" s="37">
        <v>0.19</v>
      </c>
      <c r="K29" s="9">
        <f>'Macao Daily'!J32</f>
        <v>131</v>
      </c>
      <c r="L29" s="37">
        <v>7.7595000000000001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2"/>
  <sheetViews>
    <sheetView zoomScale="70" zoomScaleNormal="70" workbookViewId="0">
      <pane xSplit="1" topLeftCell="B1" activePane="topRight" state="frozen"/>
      <selection pane="topRight" activeCell="F5" sqref="F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44592</v>
      </c>
      <c r="B4" s="38"/>
      <c r="C4" s="23">
        <v>93369244</v>
      </c>
      <c r="D4" s="24"/>
      <c r="E4" s="23">
        <v>4783.8779999999997</v>
      </c>
      <c r="F4" s="25"/>
      <c r="G4" s="23">
        <v>244887408</v>
      </c>
      <c r="H4" s="25"/>
      <c r="I4" s="23">
        <v>390055</v>
      </c>
      <c r="K4" s="27">
        <v>188</v>
      </c>
      <c r="L4" s="27">
        <v>456</v>
      </c>
    </row>
    <row r="5" spans="1:12" ht="33" customHeight="1" x14ac:dyDescent="0.25">
      <c r="A5" s="28">
        <v>44593</v>
      </c>
      <c r="B5" s="38"/>
      <c r="C5" s="29">
        <v>93411478</v>
      </c>
      <c r="D5" s="30">
        <f t="shared" ref="D5:D22" si="0">IF((C5-C4&lt;0), "0",C5-C4)</f>
        <v>42234</v>
      </c>
      <c r="E5" s="29">
        <v>4791.2039999999997</v>
      </c>
      <c r="F5" s="30">
        <f>IF((E5-E4&lt;0), "0",E5-E4)</f>
        <v>7.3260000000000218</v>
      </c>
      <c r="G5" s="29">
        <v>244887552</v>
      </c>
      <c r="H5" s="30">
        <f>IF((G5-G4&lt;0), "0",G5-G4)</f>
        <v>144</v>
      </c>
      <c r="I5" s="29">
        <v>390262</v>
      </c>
      <c r="J5" s="30">
        <f>IF((I5-I4&lt;0), "0",I5-I4)</f>
        <v>207</v>
      </c>
      <c r="K5" s="31">
        <v>182</v>
      </c>
      <c r="L5" s="31">
        <v>674</v>
      </c>
    </row>
    <row r="6" spans="1:12" ht="45" customHeight="1" x14ac:dyDescent="0.25">
      <c r="A6" s="28">
        <v>44594</v>
      </c>
      <c r="B6" s="38"/>
      <c r="C6" s="29">
        <v>93449830</v>
      </c>
      <c r="D6" s="30">
        <f t="shared" si="0"/>
        <v>38352</v>
      </c>
      <c r="E6" s="29">
        <v>4798.53</v>
      </c>
      <c r="F6" s="30">
        <f t="shared" ref="F6:F32" si="1">IF((E6-E5&lt;0), "0",E6-E5)</f>
        <v>7.3260000000000218</v>
      </c>
      <c r="G6" s="29">
        <v>244887728</v>
      </c>
      <c r="H6" s="30">
        <f t="shared" ref="H6:H32" si="2">IF((G6-G5&lt;0), "0",G6-G5)</f>
        <v>176</v>
      </c>
      <c r="I6" s="29">
        <v>390418</v>
      </c>
      <c r="J6" s="30">
        <f t="shared" ref="J6:J32" si="3">IF((I6-I5&lt;0), "0",I6-I5)</f>
        <v>156</v>
      </c>
      <c r="K6" s="12">
        <v>220</v>
      </c>
      <c r="L6" s="12">
        <v>750</v>
      </c>
    </row>
    <row r="7" spans="1:12" ht="45" customHeight="1" x14ac:dyDescent="0.25">
      <c r="A7" s="28">
        <v>44595</v>
      </c>
      <c r="B7" s="38"/>
      <c r="C7" s="29">
        <v>93480724</v>
      </c>
      <c r="D7" s="30">
        <f t="shared" si="0"/>
        <v>30894</v>
      </c>
      <c r="E7" s="29">
        <v>4807.6875</v>
      </c>
      <c r="F7" s="30">
        <f t="shared" si="1"/>
        <v>9.1575000000002547</v>
      </c>
      <c r="G7" s="29">
        <v>244887904</v>
      </c>
      <c r="H7" s="30">
        <f t="shared" si="2"/>
        <v>176</v>
      </c>
      <c r="I7" s="29">
        <v>390666</v>
      </c>
      <c r="J7" s="30">
        <f t="shared" si="3"/>
        <v>248</v>
      </c>
      <c r="K7" s="12">
        <v>348</v>
      </c>
      <c r="L7" s="12">
        <v>888</v>
      </c>
    </row>
    <row r="8" spans="1:12" ht="45" customHeight="1" x14ac:dyDescent="0.25">
      <c r="A8" s="28">
        <v>44596</v>
      </c>
      <c r="B8" s="38"/>
      <c r="C8" s="29">
        <v>93529157</v>
      </c>
      <c r="D8" s="30">
        <f t="shared" si="0"/>
        <v>48433</v>
      </c>
      <c r="E8" s="29">
        <v>4815.0135</v>
      </c>
      <c r="F8" s="30">
        <f t="shared" si="1"/>
        <v>7.3260000000000218</v>
      </c>
      <c r="G8" s="29">
        <v>244889776</v>
      </c>
      <c r="H8" s="30">
        <f t="shared" si="2"/>
        <v>1872</v>
      </c>
      <c r="I8" s="29">
        <v>391009</v>
      </c>
      <c r="J8" s="30">
        <f t="shared" si="3"/>
        <v>343</v>
      </c>
      <c r="K8" s="12">
        <v>342</v>
      </c>
      <c r="L8" s="12">
        <v>940</v>
      </c>
    </row>
    <row r="9" spans="1:12" ht="45" customHeight="1" x14ac:dyDescent="0.25">
      <c r="A9" s="28">
        <v>44597</v>
      </c>
      <c r="B9" s="38"/>
      <c r="C9" s="29">
        <v>93575169</v>
      </c>
      <c r="D9" s="30">
        <f t="shared" si="0"/>
        <v>46012</v>
      </c>
      <c r="E9" s="29">
        <v>4824.1709999999994</v>
      </c>
      <c r="F9" s="30">
        <f t="shared" si="1"/>
        <v>9.1574999999993452</v>
      </c>
      <c r="G9" s="29">
        <v>244892576</v>
      </c>
      <c r="H9" s="30">
        <f t="shared" si="2"/>
        <v>2800</v>
      </c>
      <c r="I9" s="29">
        <v>391350</v>
      </c>
      <c r="J9" s="30">
        <f t="shared" si="3"/>
        <v>341</v>
      </c>
      <c r="K9" s="12">
        <v>295</v>
      </c>
      <c r="L9" s="12">
        <v>932</v>
      </c>
    </row>
    <row r="10" spans="1:12" ht="45" customHeight="1" x14ac:dyDescent="0.25">
      <c r="A10" s="28">
        <v>44598</v>
      </c>
      <c r="B10" s="38"/>
      <c r="C10" s="29">
        <v>93614504</v>
      </c>
      <c r="D10" s="30">
        <f t="shared" si="0"/>
        <v>39335</v>
      </c>
      <c r="E10" s="29">
        <v>4833.3284999999996</v>
      </c>
      <c r="F10" s="30">
        <f t="shared" si="1"/>
        <v>9.1575000000002547</v>
      </c>
      <c r="G10" s="29">
        <v>244896144</v>
      </c>
      <c r="H10" s="30">
        <f t="shared" si="2"/>
        <v>3568</v>
      </c>
      <c r="I10" s="29">
        <v>391632</v>
      </c>
      <c r="J10" s="30">
        <f t="shared" si="3"/>
        <v>282</v>
      </c>
      <c r="K10" s="12">
        <v>244</v>
      </c>
      <c r="L10" s="12">
        <v>822</v>
      </c>
    </row>
    <row r="11" spans="1:12" ht="45" customHeight="1" x14ac:dyDescent="0.25">
      <c r="A11" s="28">
        <v>44599</v>
      </c>
      <c r="B11" s="38"/>
      <c r="C11" s="29">
        <v>93651332</v>
      </c>
      <c r="D11" s="30">
        <f t="shared" si="0"/>
        <v>36828</v>
      </c>
      <c r="E11" s="29">
        <v>4842.4859999999999</v>
      </c>
      <c r="F11" s="30">
        <f t="shared" si="1"/>
        <v>9.1575000000002547</v>
      </c>
      <c r="G11" s="29">
        <v>244900864</v>
      </c>
      <c r="H11" s="30">
        <f t="shared" si="2"/>
        <v>4720</v>
      </c>
      <c r="I11" s="29">
        <v>391877</v>
      </c>
      <c r="J11" s="30">
        <f t="shared" si="3"/>
        <v>245</v>
      </c>
      <c r="K11" s="12">
        <v>252</v>
      </c>
      <c r="L11" s="12">
        <v>482</v>
      </c>
    </row>
    <row r="12" spans="1:12" ht="45" customHeight="1" x14ac:dyDescent="0.25">
      <c r="A12" s="28">
        <v>44600</v>
      </c>
      <c r="B12" s="38"/>
      <c r="C12" s="29">
        <v>93680466</v>
      </c>
      <c r="D12" s="30">
        <f t="shared" si="0"/>
        <v>29134</v>
      </c>
      <c r="E12" s="29">
        <v>4847.9804999999997</v>
      </c>
      <c r="F12" s="30">
        <f t="shared" si="1"/>
        <v>5.494499999999789</v>
      </c>
      <c r="G12" s="29">
        <v>244903040</v>
      </c>
      <c r="H12" s="30">
        <f t="shared" si="2"/>
        <v>2176</v>
      </c>
      <c r="I12" s="29">
        <v>392058</v>
      </c>
      <c r="J12" s="30">
        <f t="shared" si="3"/>
        <v>181</v>
      </c>
      <c r="K12" s="12">
        <v>210</v>
      </c>
      <c r="L12" s="12">
        <v>372</v>
      </c>
    </row>
    <row r="13" spans="1:12" ht="45" customHeight="1" x14ac:dyDescent="0.25">
      <c r="A13" s="28">
        <v>44601</v>
      </c>
      <c r="B13" s="38"/>
      <c r="C13" s="29">
        <v>93716471</v>
      </c>
      <c r="D13" s="30">
        <f t="shared" si="0"/>
        <v>36005</v>
      </c>
      <c r="E13" s="29">
        <v>4858.9695000000002</v>
      </c>
      <c r="F13" s="30">
        <f t="shared" si="1"/>
        <v>10.989000000000487</v>
      </c>
      <c r="G13" s="29">
        <v>244903712</v>
      </c>
      <c r="H13" s="30">
        <f t="shared" si="2"/>
        <v>672</v>
      </c>
      <c r="I13" s="29">
        <v>392287</v>
      </c>
      <c r="J13" s="30">
        <f t="shared" si="3"/>
        <v>229</v>
      </c>
      <c r="K13" s="12">
        <v>196</v>
      </c>
      <c r="L13" s="12">
        <v>357</v>
      </c>
    </row>
    <row r="14" spans="1:12" ht="45" customHeight="1" x14ac:dyDescent="0.25">
      <c r="A14" s="28">
        <v>44602</v>
      </c>
      <c r="B14" s="38"/>
      <c r="C14" s="29">
        <v>93751052</v>
      </c>
      <c r="D14" s="30">
        <f t="shared" si="0"/>
        <v>34581</v>
      </c>
      <c r="E14" s="29">
        <v>4864.4639999999999</v>
      </c>
      <c r="F14" s="30">
        <f t="shared" si="1"/>
        <v>5.494499999999789</v>
      </c>
      <c r="G14" s="29">
        <v>244904704</v>
      </c>
      <c r="H14" s="30">
        <f t="shared" si="2"/>
        <v>992</v>
      </c>
      <c r="I14" s="29">
        <v>392502</v>
      </c>
      <c r="J14" s="30">
        <f t="shared" si="3"/>
        <v>215</v>
      </c>
      <c r="K14" s="12">
        <v>183</v>
      </c>
      <c r="L14" s="12">
        <v>339</v>
      </c>
    </row>
    <row r="15" spans="1:12" ht="45" customHeight="1" x14ac:dyDescent="0.25">
      <c r="A15" s="28">
        <v>44603</v>
      </c>
      <c r="B15" s="38"/>
      <c r="C15" s="29">
        <v>93783492</v>
      </c>
      <c r="D15" s="30">
        <f t="shared" si="0"/>
        <v>32440</v>
      </c>
      <c r="E15" s="29">
        <v>4871.79</v>
      </c>
      <c r="F15" s="30">
        <f t="shared" si="1"/>
        <v>7.3260000000000218</v>
      </c>
      <c r="G15" s="29">
        <v>244910944</v>
      </c>
      <c r="H15" s="30">
        <f t="shared" si="2"/>
        <v>6240</v>
      </c>
      <c r="I15" s="29">
        <v>392719</v>
      </c>
      <c r="J15" s="30">
        <f t="shared" si="3"/>
        <v>217</v>
      </c>
      <c r="K15" s="12">
        <v>162</v>
      </c>
      <c r="L15" s="12">
        <v>403</v>
      </c>
    </row>
    <row r="16" spans="1:12" ht="45" customHeight="1" x14ac:dyDescent="0.25">
      <c r="A16" s="28">
        <v>44604</v>
      </c>
      <c r="B16" s="38"/>
      <c r="C16" s="29">
        <v>93814944</v>
      </c>
      <c r="D16" s="30">
        <f t="shared" si="0"/>
        <v>31452</v>
      </c>
      <c r="E16" s="29">
        <v>4877.2844999999998</v>
      </c>
      <c r="F16" s="30">
        <f t="shared" si="1"/>
        <v>5.494499999999789</v>
      </c>
      <c r="G16" s="29">
        <v>244925472</v>
      </c>
      <c r="H16" s="30">
        <f t="shared" si="2"/>
        <v>14528</v>
      </c>
      <c r="I16" s="29">
        <v>392951</v>
      </c>
      <c r="J16" s="30">
        <f t="shared" si="3"/>
        <v>232</v>
      </c>
      <c r="K16" s="12">
        <v>161</v>
      </c>
      <c r="L16" s="12">
        <v>483</v>
      </c>
    </row>
    <row r="17" spans="1:12" ht="45" customHeight="1" x14ac:dyDescent="0.25">
      <c r="A17" s="28">
        <v>44605</v>
      </c>
      <c r="B17" s="38"/>
      <c r="C17" s="29">
        <v>93846332</v>
      </c>
      <c r="D17" s="30">
        <f t="shared" si="0"/>
        <v>31388</v>
      </c>
      <c r="E17" s="29">
        <v>4884.6104999999998</v>
      </c>
      <c r="F17" s="30">
        <f t="shared" si="1"/>
        <v>7.3260000000000218</v>
      </c>
      <c r="G17" s="29">
        <v>244940960</v>
      </c>
      <c r="H17" s="30">
        <f t="shared" si="2"/>
        <v>15488</v>
      </c>
      <c r="I17" s="29">
        <v>393139</v>
      </c>
      <c r="J17" s="30">
        <f t="shared" si="3"/>
        <v>188</v>
      </c>
      <c r="K17" s="12">
        <v>151</v>
      </c>
      <c r="L17" s="12">
        <v>691</v>
      </c>
    </row>
    <row r="18" spans="1:12" ht="45" customHeight="1" x14ac:dyDescent="0.25">
      <c r="A18" s="28">
        <v>44606</v>
      </c>
      <c r="B18" s="38"/>
      <c r="C18" s="29">
        <v>93878237</v>
      </c>
      <c r="D18" s="30">
        <f t="shared" si="0"/>
        <v>31905</v>
      </c>
      <c r="E18" s="29">
        <v>4890.1049999999996</v>
      </c>
      <c r="F18" s="30">
        <f t="shared" si="1"/>
        <v>5.494499999999789</v>
      </c>
      <c r="G18" s="29">
        <v>244943408</v>
      </c>
      <c r="H18" s="30">
        <f t="shared" si="2"/>
        <v>2448</v>
      </c>
      <c r="I18" s="29">
        <v>393342</v>
      </c>
      <c r="J18" s="30">
        <f t="shared" si="3"/>
        <v>203</v>
      </c>
      <c r="K18" s="12">
        <v>159</v>
      </c>
      <c r="L18" s="12">
        <v>325</v>
      </c>
    </row>
    <row r="19" spans="1:12" ht="45" customHeight="1" x14ac:dyDescent="0.25">
      <c r="A19" s="28">
        <v>44607</v>
      </c>
      <c r="B19" s="38"/>
      <c r="C19" s="29">
        <v>93915017</v>
      </c>
      <c r="D19" s="30">
        <f t="shared" si="0"/>
        <v>36780</v>
      </c>
      <c r="E19" s="29">
        <v>4895.5994999999994</v>
      </c>
      <c r="F19" s="30">
        <f t="shared" si="1"/>
        <v>5.494499999999789</v>
      </c>
      <c r="G19" s="29">
        <v>244956384</v>
      </c>
      <c r="H19" s="30">
        <f t="shared" si="2"/>
        <v>12976</v>
      </c>
      <c r="I19" s="29">
        <v>393582</v>
      </c>
      <c r="J19" s="30">
        <f t="shared" si="3"/>
        <v>240</v>
      </c>
      <c r="K19" s="12">
        <v>109</v>
      </c>
      <c r="L19" s="12">
        <v>248</v>
      </c>
    </row>
    <row r="20" spans="1:12" ht="45" customHeight="1" x14ac:dyDescent="0.25">
      <c r="A20" s="28">
        <v>44608</v>
      </c>
      <c r="B20" s="38"/>
      <c r="C20" s="29">
        <v>93946232</v>
      </c>
      <c r="D20" s="30">
        <f t="shared" si="0"/>
        <v>31215</v>
      </c>
      <c r="E20" s="29">
        <v>4899.2624999999998</v>
      </c>
      <c r="F20" s="30">
        <f t="shared" si="1"/>
        <v>3.6630000000004657</v>
      </c>
      <c r="G20" s="29">
        <v>244966464</v>
      </c>
      <c r="H20" s="30">
        <f t="shared" si="2"/>
        <v>10080</v>
      </c>
      <c r="I20" s="29">
        <v>393799</v>
      </c>
      <c r="J20" s="30">
        <f t="shared" si="3"/>
        <v>217</v>
      </c>
      <c r="K20" s="12">
        <v>111</v>
      </c>
      <c r="L20" s="12">
        <v>282</v>
      </c>
    </row>
    <row r="21" spans="1:12" ht="45" customHeight="1" x14ac:dyDescent="0.25">
      <c r="A21" s="28">
        <v>44609</v>
      </c>
      <c r="B21" s="38"/>
      <c r="C21" s="29">
        <v>93978171</v>
      </c>
      <c r="D21" s="30">
        <f t="shared" si="0"/>
        <v>31939</v>
      </c>
      <c r="E21" s="29">
        <v>4908.42</v>
      </c>
      <c r="F21" s="30">
        <f t="shared" si="1"/>
        <v>9.1575000000002547</v>
      </c>
      <c r="G21" s="29">
        <v>244973536</v>
      </c>
      <c r="H21" s="30">
        <f t="shared" si="2"/>
        <v>7072</v>
      </c>
      <c r="I21" s="29">
        <v>394037</v>
      </c>
      <c r="J21" s="30">
        <f t="shared" si="3"/>
        <v>238</v>
      </c>
      <c r="K21" s="12">
        <v>108</v>
      </c>
      <c r="L21" s="12">
        <v>255</v>
      </c>
    </row>
    <row r="22" spans="1:12" ht="45" customHeight="1" x14ac:dyDescent="0.25">
      <c r="A22" s="28">
        <v>44610</v>
      </c>
      <c r="B22" s="38"/>
      <c r="C22" s="29">
        <v>94009793</v>
      </c>
      <c r="D22" s="30">
        <f t="shared" si="0"/>
        <v>31622</v>
      </c>
      <c r="E22" s="29">
        <v>4912.0829999999996</v>
      </c>
      <c r="F22" s="30">
        <f t="shared" si="1"/>
        <v>3.6629999999995562</v>
      </c>
      <c r="G22" s="29">
        <v>244980304</v>
      </c>
      <c r="H22" s="30">
        <f t="shared" si="2"/>
        <v>6768</v>
      </c>
      <c r="I22" s="29">
        <v>394172</v>
      </c>
      <c r="J22" s="30">
        <f t="shared" si="3"/>
        <v>135</v>
      </c>
      <c r="K22" s="12">
        <v>130</v>
      </c>
      <c r="L22" s="12">
        <v>287</v>
      </c>
    </row>
    <row r="23" spans="1:12" ht="45" customHeight="1" x14ac:dyDescent="0.25">
      <c r="A23" s="28">
        <v>44611</v>
      </c>
      <c r="B23" s="38"/>
      <c r="C23" s="29">
        <v>94043216</v>
      </c>
      <c r="D23" s="30">
        <f>IF((C23-C22&lt;0), "0",C23-C22)</f>
        <v>33423</v>
      </c>
      <c r="E23" s="29">
        <v>4917.5774999999994</v>
      </c>
      <c r="F23" s="30">
        <f t="shared" si="1"/>
        <v>5.494499999999789</v>
      </c>
      <c r="G23" s="29">
        <v>244982992</v>
      </c>
      <c r="H23" s="30">
        <f t="shared" si="2"/>
        <v>2688</v>
      </c>
      <c r="I23" s="29">
        <v>394351</v>
      </c>
      <c r="J23" s="30">
        <f t="shared" si="3"/>
        <v>179</v>
      </c>
      <c r="K23" s="12">
        <v>138</v>
      </c>
      <c r="L23" s="12">
        <v>527</v>
      </c>
    </row>
    <row r="24" spans="1:12" ht="45" customHeight="1" x14ac:dyDescent="0.25">
      <c r="A24" s="28">
        <v>44612</v>
      </c>
      <c r="B24" s="38"/>
      <c r="C24" s="29">
        <v>94081084</v>
      </c>
      <c r="D24" s="30">
        <f t="shared" ref="D24:D32" si="4">IF((C24-C23&lt;0), "0",C24-C23)</f>
        <v>37868</v>
      </c>
      <c r="E24" s="29">
        <v>4923.0720000000001</v>
      </c>
      <c r="F24" s="30">
        <f t="shared" si="1"/>
        <v>5.4945000000006985</v>
      </c>
      <c r="G24" s="29">
        <v>244983568</v>
      </c>
      <c r="H24" s="30">
        <f t="shared" si="2"/>
        <v>576</v>
      </c>
      <c r="I24" s="29">
        <v>394626</v>
      </c>
      <c r="J24" s="30">
        <f t="shared" si="3"/>
        <v>275</v>
      </c>
      <c r="K24" s="12">
        <v>100</v>
      </c>
      <c r="L24" s="12">
        <v>555</v>
      </c>
    </row>
    <row r="25" spans="1:12" ht="45" customHeight="1" x14ac:dyDescent="0.25">
      <c r="A25" s="28">
        <v>44613</v>
      </c>
      <c r="B25" s="38"/>
      <c r="C25" s="29">
        <v>94125457</v>
      </c>
      <c r="D25" s="30">
        <f t="shared" si="4"/>
        <v>44373</v>
      </c>
      <c r="E25" s="29">
        <v>4928.5664999999999</v>
      </c>
      <c r="F25" s="30">
        <f t="shared" si="1"/>
        <v>5.494499999999789</v>
      </c>
      <c r="G25" s="29">
        <v>244984144</v>
      </c>
      <c r="H25" s="30">
        <f t="shared" si="2"/>
        <v>576</v>
      </c>
      <c r="I25" s="29">
        <v>394843</v>
      </c>
      <c r="J25" s="30">
        <f t="shared" si="3"/>
        <v>217</v>
      </c>
      <c r="K25" s="12">
        <v>92</v>
      </c>
      <c r="L25" s="12">
        <v>173</v>
      </c>
    </row>
    <row r="26" spans="1:12" ht="45" customHeight="1" x14ac:dyDescent="0.25">
      <c r="A26" s="28">
        <v>44614</v>
      </c>
      <c r="B26" s="38"/>
      <c r="C26" s="29">
        <v>94168535</v>
      </c>
      <c r="D26" s="30">
        <f t="shared" si="4"/>
        <v>43078</v>
      </c>
      <c r="E26" s="29">
        <v>4934.0609999999997</v>
      </c>
      <c r="F26" s="30">
        <f t="shared" si="1"/>
        <v>5.494499999999789</v>
      </c>
      <c r="G26" s="29">
        <v>244984720</v>
      </c>
      <c r="H26" s="30">
        <f t="shared" si="2"/>
        <v>576</v>
      </c>
      <c r="I26" s="29">
        <v>395037</v>
      </c>
      <c r="J26" s="30">
        <f t="shared" si="3"/>
        <v>194</v>
      </c>
      <c r="K26" s="12">
        <v>92</v>
      </c>
      <c r="L26" s="12">
        <v>160</v>
      </c>
    </row>
    <row r="27" spans="1:12" ht="45" customHeight="1" x14ac:dyDescent="0.25">
      <c r="A27" s="28">
        <v>44615</v>
      </c>
      <c r="B27" s="38"/>
      <c r="C27" s="29">
        <v>94210607</v>
      </c>
      <c r="D27" s="30">
        <f t="shared" si="4"/>
        <v>42072</v>
      </c>
      <c r="E27" s="29">
        <v>4937.7240000000002</v>
      </c>
      <c r="F27" s="30">
        <f t="shared" si="1"/>
        <v>3.6630000000004657</v>
      </c>
      <c r="G27" s="29">
        <v>244985248</v>
      </c>
      <c r="H27" s="30">
        <f t="shared" si="2"/>
        <v>528</v>
      </c>
      <c r="I27" s="29">
        <v>395221</v>
      </c>
      <c r="J27" s="30">
        <f t="shared" si="3"/>
        <v>184</v>
      </c>
      <c r="K27" s="12">
        <v>105</v>
      </c>
      <c r="L27" s="12">
        <v>152</v>
      </c>
    </row>
    <row r="28" spans="1:12" ht="45" customHeight="1" x14ac:dyDescent="0.25">
      <c r="A28" s="28">
        <v>44616</v>
      </c>
      <c r="B28" s="38"/>
      <c r="C28" s="29">
        <v>94252545</v>
      </c>
      <c r="D28" s="30">
        <f t="shared" si="4"/>
        <v>41938</v>
      </c>
      <c r="E28" s="29">
        <v>4943.2184999999999</v>
      </c>
      <c r="F28" s="30">
        <f t="shared" si="1"/>
        <v>5.494499999999789</v>
      </c>
      <c r="G28" s="29">
        <v>244985664</v>
      </c>
      <c r="H28" s="30">
        <f t="shared" si="2"/>
        <v>416</v>
      </c>
      <c r="I28" s="29">
        <v>395402</v>
      </c>
      <c r="J28" s="30">
        <f t="shared" si="3"/>
        <v>181</v>
      </c>
      <c r="K28" s="12">
        <v>120</v>
      </c>
      <c r="L28" s="12">
        <v>186</v>
      </c>
    </row>
    <row r="29" spans="1:12" ht="45" customHeight="1" x14ac:dyDescent="0.25">
      <c r="A29" s="28">
        <v>44617</v>
      </c>
      <c r="B29" s="38"/>
      <c r="C29" s="29">
        <v>94289967</v>
      </c>
      <c r="D29" s="30">
        <f t="shared" si="4"/>
        <v>37422</v>
      </c>
      <c r="E29" s="29">
        <v>4950.5445</v>
      </c>
      <c r="F29" s="30">
        <f t="shared" si="1"/>
        <v>7.3260000000000218</v>
      </c>
      <c r="G29" s="29">
        <v>244987440</v>
      </c>
      <c r="H29" s="30">
        <f t="shared" si="2"/>
        <v>1776</v>
      </c>
      <c r="I29" s="29">
        <v>395573</v>
      </c>
      <c r="J29" s="30">
        <f t="shared" si="3"/>
        <v>171</v>
      </c>
      <c r="K29" s="12">
        <v>167</v>
      </c>
      <c r="L29" s="12">
        <v>254</v>
      </c>
    </row>
    <row r="30" spans="1:12" ht="45" customHeight="1" x14ac:dyDescent="0.25">
      <c r="A30" s="28">
        <v>44618</v>
      </c>
      <c r="B30" s="38"/>
      <c r="C30" s="29">
        <v>94322938</v>
      </c>
      <c r="D30" s="30">
        <f t="shared" si="4"/>
        <v>32971</v>
      </c>
      <c r="E30" s="29">
        <v>4956.0389999999998</v>
      </c>
      <c r="F30" s="30">
        <f t="shared" si="1"/>
        <v>5.494499999999789</v>
      </c>
      <c r="G30" s="29">
        <v>244990496</v>
      </c>
      <c r="H30" s="30">
        <f t="shared" si="2"/>
        <v>3056</v>
      </c>
      <c r="I30" s="29">
        <v>395816</v>
      </c>
      <c r="J30" s="30">
        <f t="shared" si="3"/>
        <v>243</v>
      </c>
      <c r="K30" s="12">
        <v>181</v>
      </c>
      <c r="L30" s="12">
        <v>288</v>
      </c>
    </row>
    <row r="31" spans="1:12" ht="45" customHeight="1" x14ac:dyDescent="0.25">
      <c r="A31" s="28">
        <v>44619</v>
      </c>
      <c r="B31" s="38"/>
      <c r="C31" s="29">
        <v>94353313</v>
      </c>
      <c r="D31" s="30">
        <f t="shared" si="4"/>
        <v>30375</v>
      </c>
      <c r="E31" s="29">
        <v>4961.5334999999995</v>
      </c>
      <c r="F31" s="30">
        <f t="shared" si="1"/>
        <v>5.494499999999789</v>
      </c>
      <c r="G31" s="29">
        <v>244997728</v>
      </c>
      <c r="H31" s="30">
        <f t="shared" si="2"/>
        <v>7232</v>
      </c>
      <c r="I31" s="29">
        <v>395995</v>
      </c>
      <c r="J31" s="30">
        <f t="shared" si="3"/>
        <v>179</v>
      </c>
      <c r="K31" s="12">
        <v>132</v>
      </c>
      <c r="L31" s="12">
        <v>469</v>
      </c>
    </row>
    <row r="32" spans="1:12" ht="45" customHeight="1" x14ac:dyDescent="0.25">
      <c r="A32" s="28">
        <v>44620</v>
      </c>
      <c r="B32" s="38"/>
      <c r="C32" s="29">
        <v>94382189</v>
      </c>
      <c r="D32" s="30">
        <f t="shared" si="4"/>
        <v>28876</v>
      </c>
      <c r="E32" s="29">
        <v>4967.0279999999993</v>
      </c>
      <c r="F32" s="30">
        <f t="shared" si="1"/>
        <v>5.494499999999789</v>
      </c>
      <c r="G32" s="29">
        <v>245007776</v>
      </c>
      <c r="H32" s="30">
        <f t="shared" si="2"/>
        <v>10048</v>
      </c>
      <c r="I32" s="29">
        <v>396126</v>
      </c>
      <c r="J32" s="30">
        <f t="shared" si="3"/>
        <v>131</v>
      </c>
      <c r="K32" s="12">
        <v>86</v>
      </c>
      <c r="L32" s="12">
        <v>159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2023-02-22T06:32:53Z</dcterms:modified>
  <cp:category/>
  <cp:contentStatus/>
</cp:coreProperties>
</file>