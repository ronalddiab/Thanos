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<sst xmlns="http://schemas.openxmlformats.org/spreadsheetml/2006/main" count="310" uniqueCount="123">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</sst>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14247</v>
      </c>
      <c r="F7" s="6">
        <v>0.251</v>
      </c>
      <c r="G7" s="8">
        <f>Submetring!H7+Submetring!I7</f>
        <v>883</v>
      </c>
      <c r="H7" s="6">
        <v>0.56711199999999995</v>
      </c>
      <c r="I7" s="8">
        <f>Submetring!J7</f>
        <v>390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14185</v>
      </c>
      <c r="F8" s="6">
        <v>0.251</v>
      </c>
      <c r="G8" s="8">
        <f>Submetring!H8+Submetring!I8</f>
        <v>1051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13513</v>
      </c>
      <c r="F9" s="6">
        <v>0.251</v>
      </c>
      <c r="G9" s="8">
        <f>Submetring!H9+Submetring!I9</f>
        <v>938</v>
      </c>
      <c r="H9" s="6">
        <v>0.56711199999999995</v>
      </c>
      <c r="I9" s="8">
        <f>Submetring!J9</f>
        <v>414</v>
      </c>
      <c r="J9" s="6">
        <v>3.03</v>
      </c>
      <c r="K9" s="8">
        <f>Hotel!Y16</f>
        <v>59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13114</v>
      </c>
      <c r="F10" s="6">
        <v>0.251</v>
      </c>
      <c r="G10" s="8">
        <f>Submetring!H10+Submetring!I10</f>
        <v>889</v>
      </c>
      <c r="H10" s="6">
        <v>0.56711199999999995</v>
      </c>
      <c r="I10" s="8">
        <f>Submetring!J10</f>
        <v>510</v>
      </c>
      <c r="J10" s="6">
        <v>3.03</v>
      </c>
      <c r="K10" s="8">
        <f>Hotel!Y17</f>
        <v>67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14119</v>
      </c>
      <c r="F11" s="6">
        <v>0.251</v>
      </c>
      <c r="G11" s="8">
        <f>Submetring!H11+Submetring!I11</f>
        <v>865</v>
      </c>
      <c r="H11" s="6">
        <v>0.56711199999999995</v>
      </c>
      <c r="I11" s="8">
        <f>Submetring!J11</f>
        <v>584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13857</v>
      </c>
      <c r="F12" s="6">
        <v>0.251</v>
      </c>
      <c r="G12" s="8">
        <f>Submetring!H12+Submetring!I12</f>
        <v>871</v>
      </c>
      <c r="H12" s="6">
        <v>0.56711199999999995</v>
      </c>
      <c r="I12" s="8">
        <f>Submetring!J12</f>
        <v>391</v>
      </c>
      <c r="J12" s="6">
        <v>3.03</v>
      </c>
      <c r="K12" s="8">
        <f>Hotel!Y19</f>
        <v>81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12988</v>
      </c>
      <c r="F13" s="6">
        <v>0.251</v>
      </c>
      <c r="G13" s="8">
        <f>Submetring!H13+Submetring!I13</f>
        <v>884</v>
      </c>
      <c r="H13" s="6">
        <v>0.56711199999999995</v>
      </c>
      <c r="I13" s="8">
        <f>Submetring!J13</f>
        <v>497</v>
      </c>
      <c r="J13" s="6">
        <v>3.03</v>
      </c>
      <c r="K13" s="8">
        <f>Hotel!Y20</f>
        <v>84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12985</v>
      </c>
      <c r="F14" s="6">
        <v>0.251</v>
      </c>
      <c r="G14" s="8">
        <f>Submetring!H14+Submetring!I14</f>
        <v>808</v>
      </c>
      <c r="H14" s="6">
        <v>0.56711199999999995</v>
      </c>
      <c r="I14" s="8">
        <f>Submetring!J14</f>
        <v>709</v>
      </c>
      <c r="J14" s="6">
        <v>3.03</v>
      </c>
      <c r="K14" s="8">
        <f>Hotel!Y21</f>
        <v>71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 t="str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4812</v>
      </c>
      <c r="F7" s="11">
        <f>Hotel!F14</f>
        <v>5004</v>
      </c>
      <c r="G7" s="11">
        <f>Hotel!H14</f>
        <v>4431</v>
      </c>
      <c r="H7" s="11">
        <f>Hotel!N14</f>
        <v>98</v>
      </c>
      <c r="I7" s="11">
        <f>Hotel!P14</f>
        <v>785</v>
      </c>
      <c r="J7" s="11">
        <f>Hotel!U14</f>
        <v>390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4865</v>
      </c>
      <c r="F8" s="11">
        <f>Hotel!F15</f>
        <v>4678</v>
      </c>
      <c r="G8" s="11">
        <f>Hotel!H15</f>
        <v>4642</v>
      </c>
      <c r="H8" s="11">
        <f>Hotel!N15</f>
        <v>109</v>
      </c>
      <c r="I8" s="11">
        <f>Hotel!P15</f>
        <v>942</v>
      </c>
      <c r="J8" s="11">
        <f>Hotel!U15</f>
        <v>301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4591</v>
      </c>
      <c r="F9" s="11">
        <f>Hotel!F16</f>
        <v>4613</v>
      </c>
      <c r="G9" s="11">
        <f>Hotel!H16</f>
        <v>4309</v>
      </c>
      <c r="H9" s="11">
        <f>Hotel!N16</f>
        <v>123</v>
      </c>
      <c r="I9" s="11">
        <f>Hotel!P16</f>
        <v>815</v>
      </c>
      <c r="J9" s="11">
        <f>Hotel!U16</f>
        <v>414</v>
      </c>
      <c r="K9" s="11">
        <f>Hotel!Y16</f>
        <v>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4456</v>
      </c>
      <c r="F10" s="11">
        <f>Hotel!F17</f>
        <v>4481</v>
      </c>
      <c r="G10" s="11">
        <f>Hotel!H17</f>
        <v>4177</v>
      </c>
      <c r="H10" s="11">
        <f>Hotel!N17</f>
        <v>123</v>
      </c>
      <c r="I10" s="11">
        <f>Hotel!P17</f>
        <v>766</v>
      </c>
      <c r="J10" s="11">
        <f>Hotel!U17</f>
        <v>510</v>
      </c>
      <c r="K10" s="11">
        <f>Hotel!Y17</f>
        <v>67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4805</v>
      </c>
      <c r="F11" s="11">
        <f>Hotel!F18</f>
        <v>4804</v>
      </c>
      <c r="G11" s="11">
        <f>Hotel!H18</f>
        <v>4510</v>
      </c>
      <c r="H11" s="11">
        <f>Hotel!N18</f>
        <v>123</v>
      </c>
      <c r="I11" s="11">
        <f>Hotel!P18</f>
        <v>742</v>
      </c>
      <c r="J11" s="11">
        <f>Hotel!U18</f>
        <v>584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4728</v>
      </c>
      <c r="F12" s="11">
        <f>Hotel!F19</f>
        <v>4709</v>
      </c>
      <c r="G12" s="11">
        <f>Hotel!H19</f>
        <v>4420</v>
      </c>
      <c r="H12" s="11">
        <f>Hotel!N19</f>
        <v>119</v>
      </c>
      <c r="I12" s="11">
        <f>Hotel!P19</f>
        <v>752</v>
      </c>
      <c r="J12" s="11">
        <f>Hotel!U19</f>
        <v>391</v>
      </c>
      <c r="K12" s="11">
        <f>Hotel!Y19</f>
        <v>81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4429</v>
      </c>
      <c r="F13" s="11">
        <f>Hotel!F20</f>
        <v>4416</v>
      </c>
      <c r="G13" s="11">
        <f>Hotel!H20</f>
        <v>4143</v>
      </c>
      <c r="H13" s="11">
        <f>Hotel!N20</f>
        <v>131</v>
      </c>
      <c r="I13" s="11">
        <f>Hotel!P20</f>
        <v>753</v>
      </c>
      <c r="J13" s="11">
        <f>Hotel!U20</f>
        <v>497</v>
      </c>
      <c r="K13" s="11">
        <f>Hotel!Y20</f>
        <v>84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4431</v>
      </c>
      <c r="F14" s="11">
        <f>Hotel!F21</f>
        <v>4425</v>
      </c>
      <c r="G14" s="11">
        <f>Hotel!H21</f>
        <v>4129</v>
      </c>
      <c r="H14" s="11">
        <f>Hotel!N21</f>
        <v>127</v>
      </c>
      <c r="I14" s="11">
        <f>Hotel!P21</f>
        <v>681</v>
      </c>
      <c r="J14" s="11">
        <f>Hotel!U21</f>
        <v>709</v>
      </c>
      <c r="K14" s="11">
        <f>Hotel!Y21</f>
        <v>71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 t="str">
        <f>Hotel!D22</f>
        <v>0</v>
      </c>
      <c r="F15" s="11" t="str">
        <f>Hotel!F22</f>
        <v>0</v>
      </c>
      <c r="G15" s="11" t="str">
        <f>Hotel!H22</f>
        <v>0</v>
      </c>
      <c r="H15" s="11" t="str">
        <f>Hotel!N22</f>
        <v>0</v>
      </c>
      <c r="I15" s="11" t="str">
        <f>Hotel!P22</f>
        <v>0</v>
      </c>
      <c r="J15" s="11" t="str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AC14" sqref="AC1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>
        <v>5849987</v>
      </c>
      <c r="D14" s="61">
        <f t="shared" si="2"/>
        <v>4812</v>
      </c>
      <c r="E14" s="76">
        <v>5801651</v>
      </c>
      <c r="F14" s="61">
        <f t="shared" si="10"/>
        <v>5004</v>
      </c>
      <c r="G14" s="63">
        <v>5480994</v>
      </c>
      <c r="H14" s="61">
        <f t="shared" si="3"/>
        <v>4431</v>
      </c>
      <c r="I14" s="60">
        <f t="shared" si="4"/>
        <v>14247</v>
      </c>
      <c r="J14" s="64">
        <v>0.99</v>
      </c>
      <c r="K14" s="65">
        <f t="shared" si="5"/>
        <v>3575.9969999999998</v>
      </c>
      <c r="L14" s="66"/>
      <c r="M14" s="77">
        <v>154351</v>
      </c>
      <c r="N14" s="61">
        <f t="shared" si="11"/>
        <v>98</v>
      </c>
      <c r="O14" s="76">
        <v>2311355</v>
      </c>
      <c r="P14" s="61">
        <f t="shared" si="12"/>
        <v>785</v>
      </c>
      <c r="Q14" s="67">
        <f t="shared" si="0"/>
        <v>883</v>
      </c>
      <c r="R14" s="68">
        <f t="shared" si="6"/>
        <v>513.45923501599998</v>
      </c>
      <c r="S14" s="69"/>
      <c r="T14" s="83">
        <v>297658</v>
      </c>
      <c r="U14" s="61">
        <f t="shared" si="13"/>
        <v>390</v>
      </c>
      <c r="V14" s="71">
        <f t="shared" si="7"/>
        <v>1113.45</v>
      </c>
      <c r="W14" s="72"/>
      <c r="X14" s="79">
        <f t="shared" si="1"/>
        <v>5202.9062350160002</v>
      </c>
      <c r="Y14" s="80">
        <v>71</v>
      </c>
      <c r="Z14" s="81">
        <f t="shared" si="8"/>
        <v>73.280369507267608</v>
      </c>
    </row>
    <row r="15" spans="1:27" x14ac:dyDescent="0.25">
      <c r="A15" s="10" t="s">
        <v>118</v>
      </c>
      <c r="B15" s="59">
        <f t="shared" si="9"/>
        <v>7</v>
      </c>
      <c r="C15" s="76">
        <v>5854852</v>
      </c>
      <c r="D15" s="61">
        <f t="shared" si="2"/>
        <v>4865</v>
      </c>
      <c r="E15" s="76">
        <v>5806329</v>
      </c>
      <c r="F15" s="61">
        <f t="shared" si="10"/>
        <v>4678</v>
      </c>
      <c r="G15" s="76">
        <v>5485636</v>
      </c>
      <c r="H15" s="61">
        <f t="shared" si="3"/>
        <v>4642</v>
      </c>
      <c r="I15" s="60">
        <f t="shared" si="4"/>
        <v>14185</v>
      </c>
      <c r="J15" s="64">
        <v>0.99</v>
      </c>
      <c r="K15" s="65">
        <f t="shared" si="5"/>
        <v>3560.4349999999999</v>
      </c>
      <c r="L15" s="66"/>
      <c r="M15" s="77">
        <v>154460</v>
      </c>
      <c r="N15" s="61">
        <f t="shared" si="11"/>
        <v>109</v>
      </c>
      <c r="O15" s="76">
        <v>2312297</v>
      </c>
      <c r="P15" s="61">
        <f t="shared" si="12"/>
        <v>942</v>
      </c>
      <c r="Q15" s="67">
        <f t="shared" si="0"/>
        <v>1051</v>
      </c>
      <c r="R15" s="68">
        <f t="shared" si="6"/>
        <v>610.15948702800006</v>
      </c>
      <c r="S15" s="69"/>
      <c r="T15" s="83">
        <v>297959</v>
      </c>
      <c r="U15" s="61">
        <f t="shared" si="13"/>
        <v>301</v>
      </c>
      <c r="V15" s="71">
        <f t="shared" si="7"/>
        <v>859.35500000000002</v>
      </c>
      <c r="W15" s="72"/>
      <c r="X15" s="79">
        <f t="shared" si="1"/>
        <v>5029.9494870279996</v>
      </c>
      <c r="Y15" s="80">
        <v>55</v>
      </c>
      <c r="Z15" s="81">
        <f t="shared" si="8"/>
        <v>91.453627036872717</v>
      </c>
    </row>
    <row r="16" spans="1:27" x14ac:dyDescent="0.25">
      <c r="A16" s="10" t="s">
        <v>119</v>
      </c>
      <c r="B16" s="59">
        <f t="shared" si="9"/>
        <v>8</v>
      </c>
      <c r="C16" s="76">
        <v>5859443</v>
      </c>
      <c r="D16" s="61">
        <f t="shared" si="2"/>
        <v>4591</v>
      </c>
      <c r="E16" s="76">
        <v>5810942</v>
      </c>
      <c r="F16" s="61">
        <f t="shared" si="10"/>
        <v>4613</v>
      </c>
      <c r="G16" s="76">
        <v>5489945</v>
      </c>
      <c r="H16" s="61">
        <f t="shared" si="3"/>
        <v>4309</v>
      </c>
      <c r="I16" s="60">
        <f t="shared" si="4"/>
        <v>13513</v>
      </c>
      <c r="J16" s="64">
        <v>0.99</v>
      </c>
      <c r="K16" s="65">
        <f t="shared" si="5"/>
        <v>3391.7629999999999</v>
      </c>
      <c r="L16" s="66"/>
      <c r="M16" s="77">
        <v>154583</v>
      </c>
      <c r="N16" s="61">
        <f t="shared" si="11"/>
        <v>123</v>
      </c>
      <c r="O16" s="76">
        <v>2313112</v>
      </c>
      <c r="P16" s="61">
        <f t="shared" si="12"/>
        <v>815</v>
      </c>
      <c r="Q16" s="67">
        <f t="shared" si="0"/>
        <v>938</v>
      </c>
      <c r="R16" s="68">
        <f t="shared" si="6"/>
        <v>547.890022316</v>
      </c>
      <c r="S16" s="69"/>
      <c r="T16" s="83">
        <v>298373</v>
      </c>
      <c r="U16" s="61">
        <f t="shared" si="13"/>
        <v>414</v>
      </c>
      <c r="V16" s="71">
        <f t="shared" si="7"/>
        <v>1181.97</v>
      </c>
      <c r="W16" s="72"/>
      <c r="X16" s="79">
        <f t="shared" si="1"/>
        <v>5121.6230223160001</v>
      </c>
      <c r="Y16" s="80">
        <v>59</v>
      </c>
      <c r="Z16" s="81">
        <f t="shared" si="8"/>
        <v>86.807169869762717</v>
      </c>
    </row>
    <row r="17" spans="1:26" x14ac:dyDescent="0.25">
      <c r="A17" s="10" t="s">
        <v>120</v>
      </c>
      <c r="B17" s="59">
        <v>9</v>
      </c>
      <c r="C17" s="84">
        <v>5863899</v>
      </c>
      <c r="D17" s="61">
        <f t="shared" si="2"/>
        <v>4456</v>
      </c>
      <c r="E17" s="84">
        <v>5815423</v>
      </c>
      <c r="F17" s="61">
        <f t="shared" si="10"/>
        <v>4481</v>
      </c>
      <c r="G17" s="84">
        <v>5494122</v>
      </c>
      <c r="H17" s="61">
        <f t="shared" si="3"/>
        <v>4177</v>
      </c>
      <c r="I17" s="60">
        <f t="shared" si="4"/>
        <v>13114</v>
      </c>
      <c r="J17" s="64">
        <v>0.99</v>
      </c>
      <c r="K17" s="65">
        <f t="shared" si="5"/>
        <v>3291.614</v>
      </c>
      <c r="L17" s="66"/>
      <c r="M17" s="84">
        <v>154706</v>
      </c>
      <c r="N17" s="61">
        <f t="shared" si="11"/>
        <v>123</v>
      </c>
      <c r="O17" s="84">
        <v>2313878</v>
      </c>
      <c r="P17" s="61">
        <f t="shared" si="12"/>
        <v>766</v>
      </c>
      <c r="Q17" s="67">
        <f t="shared" si="0"/>
        <v>889</v>
      </c>
      <c r="R17" s="68">
        <f t="shared" si="6"/>
        <v>520.10153431600008</v>
      </c>
      <c r="S17" s="69"/>
      <c r="T17" s="85">
        <v>298883</v>
      </c>
      <c r="U17" s="61">
        <f t="shared" si="13"/>
        <v>510</v>
      </c>
      <c r="V17" s="71">
        <f t="shared" si="7"/>
        <v>1456.05</v>
      </c>
      <c r="W17" s="72"/>
      <c r="X17" s="79">
        <f t="shared" si="1"/>
        <v>5267.7655343160004</v>
      </c>
      <c r="Y17" s="80">
        <v>67</v>
      </c>
      <c r="Z17" s="81">
        <f t="shared" si="8"/>
        <v>78.623366183820906</v>
      </c>
    </row>
    <row r="18" spans="1:26" x14ac:dyDescent="0.25">
      <c r="A18" s="10" t="s">
        <v>121</v>
      </c>
      <c r="B18" s="86">
        <f t="shared" si="9"/>
        <v>10</v>
      </c>
      <c r="C18" s="84">
        <v>5868704</v>
      </c>
      <c r="D18" s="61">
        <f t="shared" si="2"/>
        <v>4805</v>
      </c>
      <c r="E18" s="76">
        <v>5820227</v>
      </c>
      <c r="F18" s="61">
        <f t="shared" si="10"/>
        <v>4804</v>
      </c>
      <c r="G18" s="76">
        <v>5498632</v>
      </c>
      <c r="H18" s="61">
        <f t="shared" si="3"/>
        <v>4510</v>
      </c>
      <c r="I18" s="60">
        <f t="shared" si="4"/>
        <v>14119</v>
      </c>
      <c r="J18" s="64">
        <v>0.99</v>
      </c>
      <c r="K18" s="65">
        <f t="shared" si="5"/>
        <v>3543.8690000000001</v>
      </c>
      <c r="L18" s="87"/>
      <c r="M18" s="77">
        <v>154829</v>
      </c>
      <c r="N18" s="61">
        <f t="shared" si="11"/>
        <v>123</v>
      </c>
      <c r="O18" s="76">
        <v>2314620</v>
      </c>
      <c r="P18" s="61">
        <f t="shared" si="12"/>
        <v>742</v>
      </c>
      <c r="Q18" s="67">
        <f t="shared" si="0"/>
        <v>865</v>
      </c>
      <c r="R18" s="68">
        <f t="shared" si="6"/>
        <v>506.49084631600005</v>
      </c>
      <c r="S18" s="88"/>
      <c r="T18" s="83">
        <v>299467</v>
      </c>
      <c r="U18" s="61">
        <f t="shared" si="13"/>
        <v>584</v>
      </c>
      <c r="V18" s="71">
        <f t="shared" si="7"/>
        <v>1667.32</v>
      </c>
      <c r="W18" s="72"/>
      <c r="X18" s="79">
        <f t="shared" si="1"/>
        <v>5717.6798463160003</v>
      </c>
      <c r="Y18" s="80">
        <v>65</v>
      </c>
      <c r="Z18" s="89">
        <f t="shared" si="8"/>
        <v>87.964305327938462</v>
      </c>
    </row>
    <row r="19" spans="1:26" x14ac:dyDescent="0.25">
      <c r="A19" s="10" t="s">
        <v>96</v>
      </c>
      <c r="B19" s="90">
        <f t="shared" si="9"/>
        <v>11</v>
      </c>
      <c r="C19" s="76">
        <v>5873432</v>
      </c>
      <c r="D19" s="61">
        <f t="shared" si="2"/>
        <v>4728</v>
      </c>
      <c r="E19" s="76">
        <v>5824936</v>
      </c>
      <c r="F19" s="61">
        <f t="shared" si="10"/>
        <v>4709</v>
      </c>
      <c r="G19" s="76">
        <v>5503052</v>
      </c>
      <c r="H19" s="61">
        <f t="shared" si="3"/>
        <v>4420</v>
      </c>
      <c r="I19" s="60">
        <f t="shared" si="4"/>
        <v>13857</v>
      </c>
      <c r="J19" s="64">
        <v>0.99</v>
      </c>
      <c r="K19" s="65">
        <f t="shared" si="5"/>
        <v>3478.107</v>
      </c>
      <c r="L19" s="66"/>
      <c r="M19" s="77">
        <v>154948</v>
      </c>
      <c r="N19" s="61">
        <f t="shared" si="11"/>
        <v>119</v>
      </c>
      <c r="O19" s="91">
        <v>2315372</v>
      </c>
      <c r="P19" s="61">
        <f t="shared" si="12"/>
        <v>752</v>
      </c>
      <c r="Q19" s="67">
        <f t="shared" si="0"/>
        <v>871</v>
      </c>
      <c r="R19" s="68">
        <f t="shared" si="6"/>
        <v>509.37517794800004</v>
      </c>
      <c r="S19" s="69"/>
      <c r="T19" s="92">
        <v>299858</v>
      </c>
      <c r="U19" s="61">
        <f t="shared" si="13"/>
        <v>391</v>
      </c>
      <c r="V19" s="71">
        <f t="shared" si="7"/>
        <v>1116.3050000000001</v>
      </c>
      <c r="W19" s="72"/>
      <c r="X19" s="79">
        <f t="shared" si="1"/>
        <v>5103.7871779480001</v>
      </c>
      <c r="Y19" s="80">
        <v>81</v>
      </c>
      <c r="Z19" s="75">
        <f t="shared" si="8"/>
        <v>63.009718246271603</v>
      </c>
    </row>
    <row r="20" spans="1:26" x14ac:dyDescent="0.25">
      <c r="A20" s="10" t="s">
        <v>116</v>
      </c>
      <c r="B20" s="59">
        <f t="shared" si="9"/>
        <v>12</v>
      </c>
      <c r="C20" s="76">
        <v>5877861</v>
      </c>
      <c r="D20" s="61">
        <f t="shared" si="2"/>
        <v>4429</v>
      </c>
      <c r="E20" s="76">
        <v>5829352</v>
      </c>
      <c r="F20" s="61">
        <f t="shared" si="10"/>
        <v>4416</v>
      </c>
      <c r="G20" s="76">
        <v>5507195</v>
      </c>
      <c r="H20" s="61">
        <f t="shared" si="3"/>
        <v>4143</v>
      </c>
      <c r="I20" s="60">
        <f t="shared" si="4"/>
        <v>12988</v>
      </c>
      <c r="J20" s="64">
        <v>0.99</v>
      </c>
      <c r="K20" s="65">
        <f t="shared" si="5"/>
        <v>3259.9879999999998</v>
      </c>
      <c r="L20" s="66"/>
      <c r="M20" s="77">
        <v>155079</v>
      </c>
      <c r="N20" s="61">
        <f t="shared" si="11"/>
        <v>131</v>
      </c>
      <c r="O20" s="76">
        <v>2316125</v>
      </c>
      <c r="P20" s="61">
        <f t="shared" si="12"/>
        <v>753</v>
      </c>
      <c r="Q20" s="67">
        <f t="shared" si="0"/>
        <v>884</v>
      </c>
      <c r="R20" s="68">
        <f t="shared" si="6"/>
        <v>518.30265505199998</v>
      </c>
      <c r="S20" s="69"/>
      <c r="T20" s="83">
        <v>300355</v>
      </c>
      <c r="U20" s="61">
        <f t="shared" si="13"/>
        <v>497</v>
      </c>
      <c r="V20" s="71">
        <f t="shared" si="7"/>
        <v>1418.9349999999999</v>
      </c>
      <c r="W20" s="72"/>
      <c r="X20" s="79">
        <f t="shared" si="1"/>
        <v>5197.2256550519996</v>
      </c>
      <c r="Y20" s="80">
        <v>84</v>
      </c>
      <c r="Z20" s="81">
        <f t="shared" si="8"/>
        <v>61.871733988714283</v>
      </c>
    </row>
    <row r="21" spans="1:26" x14ac:dyDescent="0.25">
      <c r="A21" s="10" t="s">
        <v>117</v>
      </c>
      <c r="B21" s="59">
        <f t="shared" si="9"/>
        <v>13</v>
      </c>
      <c r="C21" s="84">
        <v>5882292</v>
      </c>
      <c r="D21" s="61">
        <f t="shared" si="2"/>
        <v>4431</v>
      </c>
      <c r="E21" s="76">
        <v>5833777</v>
      </c>
      <c r="F21" s="61">
        <f t="shared" si="10"/>
        <v>4425</v>
      </c>
      <c r="G21" s="76">
        <v>5511324</v>
      </c>
      <c r="H21" s="61">
        <f t="shared" si="3"/>
        <v>4129</v>
      </c>
      <c r="I21" s="60">
        <f t="shared" si="4"/>
        <v>12985</v>
      </c>
      <c r="J21" s="64">
        <v>0.99</v>
      </c>
      <c r="K21" s="65">
        <f t="shared" si="5"/>
        <v>3259.2350000000001</v>
      </c>
      <c r="L21" s="66"/>
      <c r="M21" s="77">
        <v>155206</v>
      </c>
      <c r="N21" s="61">
        <f t="shared" si="11"/>
        <v>127</v>
      </c>
      <c r="O21" s="76">
        <v>2316806</v>
      </c>
      <c r="P21" s="61">
        <f t="shared" si="12"/>
        <v>681</v>
      </c>
      <c r="Q21" s="67">
        <f t="shared" si="0"/>
        <v>808</v>
      </c>
      <c r="R21" s="68">
        <f t="shared" si="6"/>
        <v>474.68380268400006</v>
      </c>
      <c r="S21" s="69"/>
      <c r="T21" s="83">
        <v>301064</v>
      </c>
      <c r="U21" s="61">
        <f t="shared" si="13"/>
        <v>709</v>
      </c>
      <c r="V21" s="71">
        <f t="shared" si="7"/>
        <v>2024.1949999999999</v>
      </c>
      <c r="W21" s="72"/>
      <c r="X21" s="79">
        <f t="shared" si="1"/>
        <v>5758.1138026839999</v>
      </c>
      <c r="Y21" s="80">
        <v>71</v>
      </c>
      <c r="Z21" s="81">
        <f t="shared" si="8"/>
        <v>81.100194403999993</v>
      </c>
    </row>
    <row r="22" spans="1:26" x14ac:dyDescent="0.25">
      <c r="A22" s="10" t="s">
        <v>118</v>
      </c>
      <c r="B22" s="59">
        <f t="shared" si="9"/>
        <v>14</v>
      </c>
      <c r="C22" s="84"/>
      <c r="D22" s="61" t="str">
        <f t="shared" si="2"/>
        <v>0</v>
      </c>
      <c r="E22" s="76"/>
      <c r="F22" s="61" t="str">
        <f t="shared" si="10"/>
        <v>0</v>
      </c>
      <c r="G22" s="76"/>
      <c r="H22" s="61" t="str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 t="str">
        <f t="shared" si="11"/>
        <v>0</v>
      </c>
      <c r="O22" s="76"/>
      <c r="P22" s="61" t="str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 t="str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117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118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63551</v>
      </c>
      <c r="D40" s="99"/>
      <c r="E40" s="149">
        <f>SUMIF(F9:F36,"&gt;0")</f>
        <v>63424</v>
      </c>
      <c r="F40" s="150"/>
      <c r="G40" s="151">
        <f>SUMIF(H9:H36,"&gt;0")</f>
        <v>59628</v>
      </c>
      <c r="H40" s="150"/>
      <c r="I40" s="100">
        <f>SUMIF(I9:I36,"&gt;0")</f>
        <v>186603</v>
      </c>
      <c r="J40" s="101"/>
      <c r="K40" s="102">
        <f>SUMIF(K9:K36,"&gt;0")</f>
        <v>46837.353000000003</v>
      </c>
      <c r="L40" s="100"/>
      <c r="M40" s="151">
        <f>SUMIF(N9:N36,"&gt;0")</f>
        <v>1664</v>
      </c>
      <c r="N40" s="150"/>
      <c r="O40" s="151">
        <f>SUMIF(P9:P36,"&gt;0")</f>
        <v>10375</v>
      </c>
      <c r="P40" s="150"/>
      <c r="Q40" s="101">
        <f>SUMIF(Q9:Q36,"&gt;0")</f>
        <v>12039</v>
      </c>
      <c r="R40" s="102">
        <f>SUMIF(R9:R36,"&gt;0")</f>
        <v>7043.0909610880008</v>
      </c>
      <c r="S40" s="103"/>
      <c r="T40" s="152">
        <f>SUMIF(U9:U36,"&gt;0")</f>
        <v>5349</v>
      </c>
      <c r="U40" s="153"/>
      <c r="V40" s="104">
        <f>SUMIF(V9:V36,"&gt;0")</f>
        <v>15271.394999999999</v>
      </c>
      <c r="W40" s="105"/>
      <c r="X40" s="106">
        <f>SUMIF(X9:X36,"&gt;0")</f>
        <v>69151.838961088011</v>
      </c>
      <c r="Y40" s="107">
        <f>SUM(Y9:Y39)</f>
        <v>933</v>
      </c>
      <c r="Z40" s="108">
        <f>(SUMIF(Z9:Z36,"&gt;0")/31)</f>
        <v>32.185900154080663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68" zoomScaleNormal="68" workbookViewId="0">
      <selection activeCell="T25" sqref="T2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81871</v>
      </c>
      <c r="C13" s="112">
        <v>116004</v>
      </c>
      <c r="D13" s="112">
        <v>20156</v>
      </c>
      <c r="E13" s="112">
        <v>22101</v>
      </c>
      <c r="F13" s="112">
        <v>280337</v>
      </c>
      <c r="G13" s="112">
        <v>5027</v>
      </c>
      <c r="H13" s="112">
        <v>10686</v>
      </c>
      <c r="I13" s="112">
        <v>554381</v>
      </c>
      <c r="J13" s="112">
        <v>93279</v>
      </c>
      <c r="K13" s="112">
        <v>8101</v>
      </c>
      <c r="L13" s="112">
        <v>41076</v>
      </c>
      <c r="M13" s="112">
        <v>62524</v>
      </c>
      <c r="N13" s="112">
        <v>56802</v>
      </c>
      <c r="O13" s="112">
        <v>277087</v>
      </c>
      <c r="P13" s="112">
        <v>583258</v>
      </c>
      <c r="Q13" s="112">
        <v>5348</v>
      </c>
      <c r="R13" s="112">
        <v>27046</v>
      </c>
      <c r="S13" s="112">
        <v>25503</v>
      </c>
      <c r="T13" s="112">
        <v>380946</v>
      </c>
      <c r="U13" s="112">
        <v>549850</v>
      </c>
      <c r="V13" s="112">
        <v>60991</v>
      </c>
      <c r="W13" s="112">
        <v>8161</v>
      </c>
      <c r="X13" s="112">
        <v>22594</v>
      </c>
      <c r="Y13" s="112">
        <v>126658</v>
      </c>
      <c r="Z13" s="112">
        <v>1303</v>
      </c>
      <c r="AA13" s="112">
        <v>241527</v>
      </c>
      <c r="AB13" s="112">
        <v>11425</v>
      </c>
      <c r="AC13" s="112">
        <v>2813</v>
      </c>
      <c r="AD13" s="112">
        <v>25896</v>
      </c>
      <c r="AE13" s="112">
        <v>125780</v>
      </c>
      <c r="AF13" s="112">
        <v>319056</v>
      </c>
      <c r="AG13" s="112">
        <v>1551318</v>
      </c>
      <c r="AH13" s="112">
        <v>14233</v>
      </c>
      <c r="AI13" s="112">
        <v>510079</v>
      </c>
      <c r="AJ13" s="112">
        <v>935383</v>
      </c>
      <c r="AK13" s="112">
        <v>15007</v>
      </c>
      <c r="AL13" s="126">
        <v>51429</v>
      </c>
      <c r="AM13" s="112">
        <v>50782</v>
      </c>
      <c r="AN13" s="116">
        <v>870202</v>
      </c>
      <c r="AO13" s="116">
        <v>5710</v>
      </c>
      <c r="AP13" s="116">
        <v>0</v>
      </c>
      <c r="AQ13" s="112">
        <v>156473</v>
      </c>
      <c r="AR13" s="112">
        <v>312046</v>
      </c>
      <c r="AS13" s="112">
        <v>87858</v>
      </c>
      <c r="AT13" s="112">
        <v>888</v>
      </c>
      <c r="AU13" s="112">
        <v>167714</v>
      </c>
      <c r="AV13" s="112">
        <v>62828</v>
      </c>
      <c r="AW13" s="112">
        <v>52654</v>
      </c>
      <c r="AX13" s="112">
        <v>264442</v>
      </c>
      <c r="AY13" s="112">
        <v>715612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81948</v>
      </c>
      <c r="C14" s="112">
        <v>116165</v>
      </c>
      <c r="D14" s="112">
        <v>20180</v>
      </c>
      <c r="E14" s="112">
        <v>22112</v>
      </c>
      <c r="F14" s="112">
        <v>280512</v>
      </c>
      <c r="G14" s="112">
        <v>5031</v>
      </c>
      <c r="H14" s="112">
        <v>10693</v>
      </c>
      <c r="I14" s="112">
        <v>554748</v>
      </c>
      <c r="J14" s="112">
        <v>93343</v>
      </c>
      <c r="K14" s="112">
        <v>8101</v>
      </c>
      <c r="L14" s="112">
        <v>41106</v>
      </c>
      <c r="M14" s="112">
        <v>62553</v>
      </c>
      <c r="N14" s="112">
        <v>56839</v>
      </c>
      <c r="O14" s="112">
        <v>277286</v>
      </c>
      <c r="P14" s="112">
        <v>583810</v>
      </c>
      <c r="Q14" s="112">
        <v>5355</v>
      </c>
      <c r="R14" s="112">
        <v>27057</v>
      </c>
      <c r="S14" s="112">
        <v>25503</v>
      </c>
      <c r="T14" s="112">
        <v>381187</v>
      </c>
      <c r="U14" s="112">
        <v>550224</v>
      </c>
      <c r="V14" s="112">
        <v>61032</v>
      </c>
      <c r="W14" s="112">
        <v>8163</v>
      </c>
      <c r="X14" s="112">
        <v>22616</v>
      </c>
      <c r="Y14" s="112">
        <v>126747</v>
      </c>
      <c r="Z14" s="112">
        <v>1303</v>
      </c>
      <c r="AA14" s="112">
        <v>241655</v>
      </c>
      <c r="AB14" s="112">
        <v>11427</v>
      </c>
      <c r="AC14" s="112">
        <v>2815</v>
      </c>
      <c r="AD14" s="112">
        <v>25909</v>
      </c>
      <c r="AE14" s="112">
        <v>125880</v>
      </c>
      <c r="AF14" s="112">
        <v>319337</v>
      </c>
      <c r="AG14" s="112">
        <v>1552371</v>
      </c>
      <c r="AH14" s="112">
        <v>14238</v>
      </c>
      <c r="AI14" s="112">
        <v>510367</v>
      </c>
      <c r="AJ14" s="112">
        <v>935998</v>
      </c>
      <c r="AK14" s="112">
        <v>15016</v>
      </c>
      <c r="AL14" s="126">
        <v>51480</v>
      </c>
      <c r="AM14" s="112">
        <v>50841</v>
      </c>
      <c r="AN14" s="116">
        <v>871032</v>
      </c>
      <c r="AO14" s="116">
        <v>5710</v>
      </c>
      <c r="AP14" s="116">
        <v>0</v>
      </c>
      <c r="AQ14" s="112">
        <v>156607</v>
      </c>
      <c r="AR14" s="112">
        <v>312293</v>
      </c>
      <c r="AS14" s="112">
        <v>87940</v>
      </c>
      <c r="AT14" s="112">
        <v>889</v>
      </c>
      <c r="AU14" s="112">
        <v>167844</v>
      </c>
      <c r="AV14" s="112">
        <v>62856</v>
      </c>
      <c r="AW14" s="112">
        <v>52681</v>
      </c>
      <c r="AX14" s="112">
        <v>264650</v>
      </c>
      <c r="AY14" s="112">
        <v>716174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82025</v>
      </c>
      <c r="C15" s="112">
        <v>116331</v>
      </c>
      <c r="D15" s="112">
        <v>20199</v>
      </c>
      <c r="E15" s="112">
        <v>22125</v>
      </c>
      <c r="F15" s="112">
        <v>280690</v>
      </c>
      <c r="G15" s="112">
        <v>5036</v>
      </c>
      <c r="H15" s="112">
        <v>10704</v>
      </c>
      <c r="I15" s="112">
        <v>555120</v>
      </c>
      <c r="J15" s="112">
        <v>93402</v>
      </c>
      <c r="K15" s="112">
        <v>8102</v>
      </c>
      <c r="L15" s="112">
        <v>41131</v>
      </c>
      <c r="M15" s="112">
        <v>62579</v>
      </c>
      <c r="N15" s="112">
        <v>56875</v>
      </c>
      <c r="O15" s="112">
        <v>277503</v>
      </c>
      <c r="P15" s="112">
        <v>584368</v>
      </c>
      <c r="Q15" s="112">
        <v>5362</v>
      </c>
      <c r="R15" s="112">
        <v>27069</v>
      </c>
      <c r="S15" s="112">
        <v>25503</v>
      </c>
      <c r="T15" s="112">
        <v>381425</v>
      </c>
      <c r="U15" s="112">
        <v>550619</v>
      </c>
      <c r="V15" s="112">
        <v>61073</v>
      </c>
      <c r="W15" s="112">
        <v>8163</v>
      </c>
      <c r="X15" s="112">
        <v>22641</v>
      </c>
      <c r="Y15" s="112">
        <v>126836</v>
      </c>
      <c r="Z15" s="112">
        <v>1303</v>
      </c>
      <c r="AA15" s="112">
        <v>241780</v>
      </c>
      <c r="AB15" s="112">
        <v>11433</v>
      </c>
      <c r="AC15" s="112">
        <v>2816</v>
      </c>
      <c r="AD15" s="112">
        <v>25918</v>
      </c>
      <c r="AE15" s="112">
        <v>125978</v>
      </c>
      <c r="AF15" s="112">
        <v>319606</v>
      </c>
      <c r="AG15" s="112">
        <v>1553497</v>
      </c>
      <c r="AH15" s="112">
        <v>14240</v>
      </c>
      <c r="AI15" s="112">
        <v>510585</v>
      </c>
      <c r="AJ15" s="112">
        <v>936706</v>
      </c>
      <c r="AK15" s="112">
        <v>15030</v>
      </c>
      <c r="AL15" s="126">
        <v>51583</v>
      </c>
      <c r="AM15" s="112">
        <v>50861</v>
      </c>
      <c r="AN15" s="116">
        <v>871779</v>
      </c>
      <c r="AO15" s="116">
        <v>5710</v>
      </c>
      <c r="AP15" s="116">
        <v>0</v>
      </c>
      <c r="AQ15" s="112">
        <v>156744</v>
      </c>
      <c r="AR15" s="112">
        <v>312529</v>
      </c>
      <c r="AS15" s="112">
        <v>88020</v>
      </c>
      <c r="AT15" s="112">
        <v>889</v>
      </c>
      <c r="AU15" s="112">
        <v>167979</v>
      </c>
      <c r="AV15" s="112">
        <v>62882</v>
      </c>
      <c r="AW15" s="112">
        <v>52706</v>
      </c>
      <c r="AX15" s="112">
        <v>264860</v>
      </c>
      <c r="AY15" s="112">
        <v>716743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82097</v>
      </c>
      <c r="C16" s="112">
        <v>116484</v>
      </c>
      <c r="D16" s="112">
        <v>20215</v>
      </c>
      <c r="E16" s="112">
        <v>22161</v>
      </c>
      <c r="F16" s="112">
        <v>280883</v>
      </c>
      <c r="G16" s="112">
        <v>5041</v>
      </c>
      <c r="H16" s="112">
        <v>10714</v>
      </c>
      <c r="I16" s="112">
        <v>555488</v>
      </c>
      <c r="J16" s="112">
        <v>93457</v>
      </c>
      <c r="K16" s="112">
        <v>8103</v>
      </c>
      <c r="L16" s="112">
        <v>41162</v>
      </c>
      <c r="M16" s="112">
        <v>62600</v>
      </c>
      <c r="N16" s="112">
        <v>56913</v>
      </c>
      <c r="O16" s="112">
        <v>277700</v>
      </c>
      <c r="P16" s="112">
        <v>584830</v>
      </c>
      <c r="Q16" s="112">
        <v>5372</v>
      </c>
      <c r="R16" s="112">
        <v>27080</v>
      </c>
      <c r="S16" s="112">
        <v>25503</v>
      </c>
      <c r="T16" s="112">
        <v>381644</v>
      </c>
      <c r="U16" s="112">
        <v>550996</v>
      </c>
      <c r="V16" s="112">
        <v>61117</v>
      </c>
      <c r="W16" s="112">
        <v>8165</v>
      </c>
      <c r="X16" s="112">
        <v>22663</v>
      </c>
      <c r="Y16" s="112">
        <v>126928</v>
      </c>
      <c r="Z16" s="112">
        <v>1303</v>
      </c>
      <c r="AA16" s="112">
        <v>241908</v>
      </c>
      <c r="AB16" s="112">
        <v>11436</v>
      </c>
      <c r="AC16" s="112">
        <v>2817</v>
      </c>
      <c r="AD16" s="112">
        <v>25933</v>
      </c>
      <c r="AE16" s="112">
        <v>126076</v>
      </c>
      <c r="AF16" s="112">
        <v>319880</v>
      </c>
      <c r="AG16" s="112">
        <v>1554615</v>
      </c>
      <c r="AH16" s="112">
        <v>14245</v>
      </c>
      <c r="AI16" s="112">
        <v>510604</v>
      </c>
      <c r="AJ16" s="112">
        <v>937334</v>
      </c>
      <c r="AK16" s="112">
        <v>15044</v>
      </c>
      <c r="AL16" s="126">
        <v>51685</v>
      </c>
      <c r="AM16" s="112">
        <v>50878</v>
      </c>
      <c r="AN16" s="116">
        <v>872655</v>
      </c>
      <c r="AO16" s="116">
        <v>5710</v>
      </c>
      <c r="AP16" s="116">
        <v>0</v>
      </c>
      <c r="AQ16" s="112">
        <v>156891</v>
      </c>
      <c r="AR16" s="112">
        <v>312759</v>
      </c>
      <c r="AS16" s="112">
        <v>88100</v>
      </c>
      <c r="AT16" s="112">
        <v>890</v>
      </c>
      <c r="AU16" s="112">
        <v>168107</v>
      </c>
      <c r="AV16" s="112">
        <v>62908</v>
      </c>
      <c r="AW16" s="112">
        <v>52732</v>
      </c>
      <c r="AX16" s="112">
        <v>265064</v>
      </c>
      <c r="AY16" s="112">
        <v>717211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82186</v>
      </c>
      <c r="C17" s="112">
        <v>116639</v>
      </c>
      <c r="D17" s="112">
        <v>20233</v>
      </c>
      <c r="E17" s="112">
        <v>22174</v>
      </c>
      <c r="F17" s="112">
        <v>281064</v>
      </c>
      <c r="G17" s="112">
        <v>5046</v>
      </c>
      <c r="H17" s="112">
        <v>10723</v>
      </c>
      <c r="I17" s="112">
        <v>555861</v>
      </c>
      <c r="J17" s="112">
        <v>93511</v>
      </c>
      <c r="K17" s="112">
        <v>8103</v>
      </c>
      <c r="L17" s="112">
        <v>41188</v>
      </c>
      <c r="M17" s="112">
        <v>62622</v>
      </c>
      <c r="N17" s="112">
        <v>56954</v>
      </c>
      <c r="O17" s="112">
        <v>277905</v>
      </c>
      <c r="P17" s="112">
        <v>585333</v>
      </c>
      <c r="Q17" s="112">
        <v>5380</v>
      </c>
      <c r="R17" s="112">
        <v>27093</v>
      </c>
      <c r="S17" s="112">
        <v>25503</v>
      </c>
      <c r="T17" s="112">
        <v>381899</v>
      </c>
      <c r="U17" s="112">
        <v>551396</v>
      </c>
      <c r="V17" s="112">
        <v>61167</v>
      </c>
      <c r="W17" s="112">
        <v>8165</v>
      </c>
      <c r="X17" s="112">
        <v>22688</v>
      </c>
      <c r="Y17" s="112">
        <v>127019</v>
      </c>
      <c r="Z17" s="112">
        <v>1303</v>
      </c>
      <c r="AA17" s="112">
        <v>242029</v>
      </c>
      <c r="AB17" s="112">
        <v>11443</v>
      </c>
      <c r="AC17" s="112">
        <v>2819</v>
      </c>
      <c r="AD17" s="112">
        <v>25949</v>
      </c>
      <c r="AE17" s="112">
        <v>126163</v>
      </c>
      <c r="AF17" s="112">
        <v>320157</v>
      </c>
      <c r="AG17" s="112">
        <v>1555563</v>
      </c>
      <c r="AH17" s="112">
        <v>14246</v>
      </c>
      <c r="AI17" s="112">
        <v>510622</v>
      </c>
      <c r="AJ17" s="112">
        <v>938015</v>
      </c>
      <c r="AK17" s="112">
        <v>15059</v>
      </c>
      <c r="AL17" s="126">
        <v>51794</v>
      </c>
      <c r="AM17" s="112">
        <v>50895</v>
      </c>
      <c r="AN17" s="116">
        <v>873401</v>
      </c>
      <c r="AO17" s="116">
        <v>5710</v>
      </c>
      <c r="AP17" s="116">
        <v>0</v>
      </c>
      <c r="AQ17" s="112">
        <v>157036</v>
      </c>
      <c r="AR17" s="112">
        <v>312999</v>
      </c>
      <c r="AS17" s="112">
        <v>88180</v>
      </c>
      <c r="AT17" s="112">
        <v>891</v>
      </c>
      <c r="AU17" s="112">
        <v>168237</v>
      </c>
      <c r="AV17" s="112">
        <v>62938</v>
      </c>
      <c r="AW17" s="112">
        <v>52760</v>
      </c>
      <c r="AX17" s="112">
        <v>265267</v>
      </c>
      <c r="AY17" s="112">
        <v>717836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82265</v>
      </c>
      <c r="C18" s="112">
        <v>116788</v>
      </c>
      <c r="D18" s="112">
        <v>20240</v>
      </c>
      <c r="E18" s="112">
        <v>22187</v>
      </c>
      <c r="F18" s="112">
        <v>281237</v>
      </c>
      <c r="G18" s="112">
        <v>5051</v>
      </c>
      <c r="H18" s="112">
        <v>10737</v>
      </c>
      <c r="I18" s="112">
        <v>556247</v>
      </c>
      <c r="J18" s="132">
        <v>93564</v>
      </c>
      <c r="K18" s="112">
        <v>8104</v>
      </c>
      <c r="L18" s="112">
        <v>41217</v>
      </c>
      <c r="M18" s="112">
        <v>62644</v>
      </c>
      <c r="N18" s="112">
        <v>56993</v>
      </c>
      <c r="O18" s="112">
        <v>278107</v>
      </c>
      <c r="P18" s="112">
        <v>585848</v>
      </c>
      <c r="Q18" s="112">
        <v>5389</v>
      </c>
      <c r="R18" s="112">
        <v>27107</v>
      </c>
      <c r="S18" s="112">
        <v>25503</v>
      </c>
      <c r="T18" s="112">
        <v>382133</v>
      </c>
      <c r="U18" s="112">
        <v>551769</v>
      </c>
      <c r="V18" s="112">
        <v>61210</v>
      </c>
      <c r="W18" s="132">
        <v>8165</v>
      </c>
      <c r="X18" s="112">
        <v>22705</v>
      </c>
      <c r="Y18" s="112">
        <v>127096</v>
      </c>
      <c r="Z18" s="112">
        <v>1303</v>
      </c>
      <c r="AA18" s="112">
        <v>242149</v>
      </c>
      <c r="AB18" s="112">
        <v>11451</v>
      </c>
      <c r="AC18" s="112">
        <v>2820</v>
      </c>
      <c r="AD18" s="112">
        <v>25967</v>
      </c>
      <c r="AE18" s="112">
        <v>126254</v>
      </c>
      <c r="AF18" s="112">
        <v>320423</v>
      </c>
      <c r="AG18" s="112">
        <v>1556386</v>
      </c>
      <c r="AH18" s="112">
        <v>14250</v>
      </c>
      <c r="AI18" s="112">
        <v>510640</v>
      </c>
      <c r="AJ18" s="112">
        <v>938704</v>
      </c>
      <c r="AK18" s="112">
        <v>15073</v>
      </c>
      <c r="AL18" s="126">
        <v>51894</v>
      </c>
      <c r="AM18" s="112">
        <v>50911</v>
      </c>
      <c r="AN18" s="116">
        <v>873950</v>
      </c>
      <c r="AO18" s="116">
        <v>5710</v>
      </c>
      <c r="AP18" s="116">
        <v>0</v>
      </c>
      <c r="AQ18" s="112">
        <v>157170</v>
      </c>
      <c r="AR18" s="112">
        <v>313233</v>
      </c>
      <c r="AS18" s="112">
        <v>88251</v>
      </c>
      <c r="AT18" s="112">
        <v>891</v>
      </c>
      <c r="AU18" s="112">
        <v>168372</v>
      </c>
      <c r="AV18" s="112">
        <v>62968</v>
      </c>
      <c r="AW18" s="112">
        <v>52789</v>
      </c>
      <c r="AX18" s="112">
        <v>265463</v>
      </c>
      <c r="AY18" s="112">
        <v>718364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82334</v>
      </c>
      <c r="C19" s="112">
        <v>116927</v>
      </c>
      <c r="D19" s="112">
        <v>20246</v>
      </c>
      <c r="E19" s="112">
        <v>22208</v>
      </c>
      <c r="F19" s="112">
        <v>281414</v>
      </c>
      <c r="G19" s="112">
        <v>5055</v>
      </c>
      <c r="H19" s="112">
        <v>10754</v>
      </c>
      <c r="I19" s="112">
        <v>556640</v>
      </c>
      <c r="J19" s="112">
        <v>93625</v>
      </c>
      <c r="K19" s="112">
        <v>8104</v>
      </c>
      <c r="L19" s="112">
        <v>41250</v>
      </c>
      <c r="M19" s="112">
        <v>62662</v>
      </c>
      <c r="N19" s="112">
        <v>57027</v>
      </c>
      <c r="O19" s="112">
        <v>278309</v>
      </c>
      <c r="P19" s="112">
        <v>586353</v>
      </c>
      <c r="Q19" s="112">
        <v>5398</v>
      </c>
      <c r="R19" s="112">
        <v>27121</v>
      </c>
      <c r="S19" s="112">
        <v>25503</v>
      </c>
      <c r="T19" s="112">
        <v>382382</v>
      </c>
      <c r="U19" s="112">
        <v>552155</v>
      </c>
      <c r="V19" s="112">
        <v>61255</v>
      </c>
      <c r="W19" s="112">
        <v>8165</v>
      </c>
      <c r="X19" s="112">
        <v>22727</v>
      </c>
      <c r="Y19" s="112">
        <v>127175</v>
      </c>
      <c r="Z19" s="112">
        <v>1303</v>
      </c>
      <c r="AA19" s="112">
        <v>242278</v>
      </c>
      <c r="AB19" s="112">
        <v>11458</v>
      </c>
      <c r="AC19" s="112">
        <v>2822</v>
      </c>
      <c r="AD19" s="112">
        <v>25989</v>
      </c>
      <c r="AE19" s="112">
        <v>126348</v>
      </c>
      <c r="AF19" s="112">
        <v>320708</v>
      </c>
      <c r="AG19" s="112">
        <v>1557168</v>
      </c>
      <c r="AH19" s="112">
        <v>14255</v>
      </c>
      <c r="AI19" s="112">
        <v>510658</v>
      </c>
      <c r="AJ19" s="112">
        <v>939421</v>
      </c>
      <c r="AK19" s="112">
        <v>15086</v>
      </c>
      <c r="AL19" s="126">
        <v>51994</v>
      </c>
      <c r="AM19" s="112">
        <v>50926</v>
      </c>
      <c r="AN19" s="116">
        <v>874652</v>
      </c>
      <c r="AO19" s="116">
        <v>5710</v>
      </c>
      <c r="AP19" s="116">
        <v>0</v>
      </c>
      <c r="AQ19" s="112">
        <v>157305</v>
      </c>
      <c r="AR19" s="112">
        <v>313470</v>
      </c>
      <c r="AS19" s="112">
        <v>88331</v>
      </c>
      <c r="AT19" s="112">
        <v>892</v>
      </c>
      <c r="AU19" s="112">
        <v>168509</v>
      </c>
      <c r="AV19" s="112">
        <v>62999</v>
      </c>
      <c r="AW19" s="112">
        <v>52816</v>
      </c>
      <c r="AX19" s="112">
        <v>265674</v>
      </c>
      <c r="AY19" s="112">
        <v>718922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82413</v>
      </c>
      <c r="C20" s="112">
        <v>117075</v>
      </c>
      <c r="D20" s="112">
        <v>20257</v>
      </c>
      <c r="E20" s="112">
        <v>22225</v>
      </c>
      <c r="F20" s="112">
        <v>281592</v>
      </c>
      <c r="G20" s="112">
        <v>5060</v>
      </c>
      <c r="H20" s="112">
        <v>10770</v>
      </c>
      <c r="I20" s="112">
        <v>557015</v>
      </c>
      <c r="J20" s="112">
        <v>93683</v>
      </c>
      <c r="K20" s="112">
        <v>8104</v>
      </c>
      <c r="L20" s="112">
        <v>41277</v>
      </c>
      <c r="M20" s="112">
        <v>62703</v>
      </c>
      <c r="N20" s="112">
        <v>57060</v>
      </c>
      <c r="O20" s="112">
        <v>278510</v>
      </c>
      <c r="P20" s="112">
        <v>586874</v>
      </c>
      <c r="Q20" s="112">
        <v>5407</v>
      </c>
      <c r="R20" s="112">
        <v>27132</v>
      </c>
      <c r="S20" s="112">
        <v>25503</v>
      </c>
      <c r="T20" s="112">
        <v>382628</v>
      </c>
      <c r="U20" s="112">
        <v>552514</v>
      </c>
      <c r="V20" s="112">
        <v>61297</v>
      </c>
      <c r="W20" s="112">
        <v>8165</v>
      </c>
      <c r="X20" s="112">
        <v>22750</v>
      </c>
      <c r="Y20" s="112">
        <v>127266</v>
      </c>
      <c r="Z20" s="112">
        <v>1303</v>
      </c>
      <c r="AA20" s="112">
        <v>242399</v>
      </c>
      <c r="AB20" s="112">
        <v>11460</v>
      </c>
      <c r="AC20" s="112">
        <v>2824</v>
      </c>
      <c r="AD20" s="112">
        <v>26006</v>
      </c>
      <c r="AE20" s="112">
        <v>126441</v>
      </c>
      <c r="AF20" s="112">
        <v>320973</v>
      </c>
      <c r="AG20" s="112">
        <v>1557897</v>
      </c>
      <c r="AH20" s="112">
        <v>14259</v>
      </c>
      <c r="AI20" s="112">
        <v>510676</v>
      </c>
      <c r="AJ20" s="116">
        <v>940062</v>
      </c>
      <c r="AK20" s="116">
        <v>15100</v>
      </c>
      <c r="AL20" s="126">
        <v>52088</v>
      </c>
      <c r="AM20" s="116">
        <v>50945</v>
      </c>
      <c r="AN20" s="116">
        <v>875302</v>
      </c>
      <c r="AO20" s="116">
        <v>5710</v>
      </c>
      <c r="AP20" s="116">
        <v>0</v>
      </c>
      <c r="AQ20" s="116">
        <v>157441</v>
      </c>
      <c r="AR20" s="116">
        <v>313709</v>
      </c>
      <c r="AS20" s="116">
        <v>88411</v>
      </c>
      <c r="AT20" s="116">
        <v>892</v>
      </c>
      <c r="AU20" s="116">
        <v>168630</v>
      </c>
      <c r="AV20" s="116">
        <v>63026</v>
      </c>
      <c r="AW20" s="116">
        <v>52845</v>
      </c>
      <c r="AX20" s="116">
        <v>265875</v>
      </c>
      <c r="AY20" s="116">
        <v>719442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0"/>
      <c r="X22" s="112"/>
      <c r="Y22" s="112"/>
      <c r="Z22" s="112"/>
      <c r="AA22" s="112"/>
      <c r="AB22" s="112"/>
      <c r="AC22" s="112"/>
      <c r="AD22" s="10"/>
      <c r="AE22" s="112"/>
      <c r="AF22" s="112"/>
      <c r="AG22" s="112"/>
      <c r="AH22" s="112"/>
      <c r="AI22" s="112"/>
      <c r="AJ22" s="116"/>
      <c r="AK22" s="132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32"/>
      <c r="AM25" s="132"/>
      <c r="AN25" s="132"/>
      <c r="AO25" s="126"/>
      <c r="AP25" s="112"/>
      <c r="AQ25" s="116"/>
      <c r="AR25" s="116"/>
      <c r="AS25" s="116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3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3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32"/>
      <c r="S28" s="112"/>
      <c r="T28" s="112"/>
      <c r="U28" s="13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2021-09-14T07:16:41Z</dcterms:modified>
</cp:coreProperties>
</file>