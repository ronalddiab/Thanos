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<sst xmlns="http://schemas.openxmlformats.org/spreadsheetml/2006/main" count="296" uniqueCount="138">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</sst>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13329.999999999833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13309.999999999958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12690.000000000264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105</v>
      </c>
      <c r="J23" s="11">
        <f t="shared" si="3"/>
        <v>10.487297712684205</v>
      </c>
      <c r="K23" s="13">
        <f>'FS Desroches Daily'!CN25</f>
        <v>49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14099.99999999996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110</v>
      </c>
      <c r="J24" s="11">
        <f t="shared" si="3"/>
        <v>10.487297712684205</v>
      </c>
      <c r="K24" s="13">
        <f>'FS Desroches Daily'!CN26</f>
        <v>48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12840.000000000098</v>
      </c>
      <c r="F25" s="11">
        <f t="shared" si="1"/>
        <v>0.58765030286592534</v>
      </c>
      <c r="G25" s="12">
        <f>(Submetering!AX25+Submetering!AY25+Submetering!AZ25+Submetering!BA25+Submetering!BB25)</f>
        <v>27.472499999999997</v>
      </c>
      <c r="H25" s="11">
        <f t="shared" si="2"/>
        <v>0.99</v>
      </c>
      <c r="I25" s="12">
        <f>'FS Desroches Daily'!CM27</f>
        <v>111</v>
      </c>
      <c r="J25" s="11">
        <f t="shared" si="3"/>
        <v>10.487297712684205</v>
      </c>
      <c r="K25" s="13">
        <f>'FS Desroches Daily'!CN27</f>
        <v>52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11380.000000000004</v>
      </c>
      <c r="F26" s="11">
        <f t="shared" si="1"/>
        <v>0.58765030286592534</v>
      </c>
      <c r="G26" s="12">
        <f>(Submetering!AX26+Submetering!AY26+Submetering!AZ26+Submetering!BA26+Submetering!BB26)</f>
        <v>31.135499999999997</v>
      </c>
      <c r="H26" s="11">
        <f t="shared" si="2"/>
        <v>0.99</v>
      </c>
      <c r="I26" s="12">
        <f>'FS Desroches Daily'!CM28</f>
        <v>98.5</v>
      </c>
      <c r="J26" s="11">
        <f t="shared" si="3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12199.999999999898</v>
      </c>
      <c r="F27" s="11">
        <f t="shared" si="1"/>
        <v>0.58765030286592534</v>
      </c>
      <c r="G27" s="12">
        <f>(Submetering!AX27+Submetering!AY27+Submetering!AZ27+Submetering!BA27+Submetering!BB27)</f>
        <v>27.472499999999997</v>
      </c>
      <c r="H27" s="11">
        <f t="shared" si="2"/>
        <v>0.99</v>
      </c>
      <c r="I27" s="12">
        <f>'FS Desroches Daily'!CM29</f>
        <v>110.1</v>
      </c>
      <c r="J27" s="11">
        <f t="shared" si="3"/>
        <v>10.487297712684205</v>
      </c>
      <c r="K27" s="13">
        <f>'FS Desroches Daily'!CN29</f>
        <v>38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 t="e">
        <f>Submetering!E28+Submetering!F28+Submetering!G28+Submetering!H28-Submetering!AV28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1321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3700.0000000000364</v>
      </c>
      <c r="F23" s="36">
        <f>'FS Desroches Daily'!F25</f>
        <v>4300.0000000001928</v>
      </c>
      <c r="G23" s="35">
        <f>'FS Desroches Daily'!H25</f>
        <v>3600.0000000000477</v>
      </c>
      <c r="H23" s="36">
        <f>'FS Desroches Daily'!J25</f>
        <v>1800.0000000000239</v>
      </c>
      <c r="I23" s="35">
        <f>'FS Desroches Daily'!L25</f>
        <v>2299.9999999999686</v>
      </c>
      <c r="J23" s="36">
        <f>'FS Desroches Daily'!N25</f>
        <v>2299.9999999999686</v>
      </c>
      <c r="K23" s="13">
        <f>'FS Desroches Daily'!P25</f>
        <v>20</v>
      </c>
      <c r="L23" s="35">
        <f>'FS Desroches Daily'!R25</f>
        <v>12</v>
      </c>
      <c r="M23" s="35">
        <f>'FS Desroches Daily'!T25</f>
        <v>1789</v>
      </c>
      <c r="N23" s="35">
        <f>'FS Desroches Daily'!V25</f>
        <v>560</v>
      </c>
      <c r="O23" s="35">
        <f>'FS Desroches Daily'!X25</f>
        <v>490.00000000000909</v>
      </c>
      <c r="P23" s="35">
        <f>'FS Desroches Daily'!Z25</f>
        <v>3899.9999999997926</v>
      </c>
      <c r="Q23" s="35">
        <f>'FS Desroches Daily'!AB25</f>
        <v>599.99999999996589</v>
      </c>
      <c r="R23" s="35">
        <f>'FS Desroches Daily'!AD25</f>
        <v>569.99999999999318</v>
      </c>
      <c r="S23" s="35">
        <f>'FS Desroches Daily'!AF25</f>
        <v>1049.9999999999545</v>
      </c>
      <c r="T23" s="35">
        <f>'FS Desroches Daily'!AH25</f>
        <v>2.5</v>
      </c>
      <c r="U23" s="39">
        <f>'FS Desroches Daily'!AJ25</f>
        <v>1000</v>
      </c>
      <c r="V23" s="39">
        <f>'FS Desroches Daily'!AL25</f>
        <v>0.28000000000000114</v>
      </c>
      <c r="W23" s="39">
        <f>'FS Desroches Daily'!AN25</f>
        <v>0.31999999999999318</v>
      </c>
      <c r="X23" s="39">
        <f>'FS Desroches Daily'!AP25</f>
        <v>0.3200000000000216</v>
      </c>
      <c r="Y23" s="39">
        <f>'FS Desroches Daily'!AR25</f>
        <v>180.00000000000682</v>
      </c>
      <c r="Z23" s="39">
        <f>'FS Desroches Daily'!AT25</f>
        <v>310.00000000000227</v>
      </c>
      <c r="AA23" s="39">
        <f>'FS Desroches Daily'!AT25</f>
        <v>310.00000000000227</v>
      </c>
      <c r="AB23" s="39">
        <f>'FS Desroches Daily'!AV25</f>
        <v>250</v>
      </c>
      <c r="AC23" s="39">
        <f>'FS Desroches Daily'!AZ25</f>
        <v>259.99999999999091</v>
      </c>
      <c r="AD23" s="39">
        <f>'FS Desroches Daily'!BB25</f>
        <v>289.99999999996362</v>
      </c>
      <c r="AE23" s="39">
        <f>'FS Desroches Daily'!BD25</f>
        <v>9.9999999999909051</v>
      </c>
      <c r="AF23" s="35">
        <f>'FS Desroches Daily'!BF25</f>
        <v>61</v>
      </c>
      <c r="AG23" s="36">
        <f>'FS Desroches Daily'!BH25</f>
        <v>30.000000000001137</v>
      </c>
      <c r="AH23" s="36">
        <f>'FS Desroches Daily'!BJ25</f>
        <v>50.000000000011369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39.99999999996362</v>
      </c>
      <c r="AL23" s="36">
        <f>'FS Desroches Daily'!BR25</f>
        <v>46</v>
      </c>
      <c r="AM23" s="36">
        <f>'FS Desroches Daily'!BT25</f>
        <v>39.999999999992042</v>
      </c>
      <c r="AN23" s="36">
        <f>'FS Desroches Daily'!BV25</f>
        <v>46</v>
      </c>
      <c r="AO23" s="36">
        <f>'FS Desroches Daily'!BX25</f>
        <v>39.999999999992042</v>
      </c>
      <c r="AP23" s="36">
        <f>'FS Desroches Daily'!BZ25</f>
        <v>68</v>
      </c>
      <c r="AQ23" s="35">
        <f>'FS Desroches Daily'!CB25</f>
        <v>36.299999999999272</v>
      </c>
      <c r="AR23" s="35">
        <f>'FS Desroches Daily'!CD25</f>
        <v>12.300000000001091</v>
      </c>
      <c r="AS23" s="35">
        <f>'FS Desroches Daily'!CF25</f>
        <v>13.099999999999454</v>
      </c>
      <c r="AT23" s="35">
        <f>'FS Desroches Daily'!CH25</f>
        <v>55.69999999999709</v>
      </c>
      <c r="AU23" s="35">
        <f>'FS Desroches Daily'!CJ25</f>
        <v>303</v>
      </c>
      <c r="AV23" s="35">
        <f>'FS Desroches Daily'!CL25</f>
        <v>710.00000000003638</v>
      </c>
      <c r="AW23" s="35">
        <f>'FS Desroches Daily'!CM25</f>
        <v>105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5.4944999999999995</v>
      </c>
      <c r="BB23" s="35">
        <f>IF(LPG!Q30-LPG!Q29&lt;0,"0",(LPG!Q30-LPG!Q29)*1.8315)</f>
        <v>5.4944999999999995</v>
      </c>
      <c r="BC23" s="13">
        <f>'FS Desroches Daily'!CN25</f>
        <v>49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4199.9999999999818</v>
      </c>
      <c r="F24" s="36">
        <f>'FS Desroches Daily'!F26</f>
        <v>4499.9999999997262</v>
      </c>
      <c r="G24" s="35">
        <f>'FS Desroches Daily'!H26</f>
        <v>4300.0000000001928</v>
      </c>
      <c r="H24" s="36">
        <f>'FS Desroches Daily'!J26</f>
        <v>1900.0000000000127</v>
      </c>
      <c r="I24" s="35">
        <f>'FS Desroches Daily'!L26</f>
        <v>2400.0000000001796</v>
      </c>
      <c r="J24" s="36">
        <f>'FS Desroches Daily'!N26</f>
        <v>2599.9999999999359</v>
      </c>
      <c r="K24" s="13">
        <f>'FS Desroches Daily'!P26</f>
        <v>17</v>
      </c>
      <c r="L24" s="35">
        <f>'FS Desroches Daily'!R26</f>
        <v>7</v>
      </c>
      <c r="M24" s="35">
        <f>'FS Desroches Daily'!T26</f>
        <v>1887</v>
      </c>
      <c r="N24" s="35">
        <f>'FS Desroches Daily'!V26</f>
        <v>557</v>
      </c>
      <c r="O24" s="35">
        <f>'FS Desroches Daily'!X26</f>
        <v>479.99999999996135</v>
      </c>
      <c r="P24" s="35">
        <f>'FS Desroches Daily'!Z26</f>
        <v>3900.0000000002365</v>
      </c>
      <c r="Q24" s="35">
        <f>'FS Desroches Daily'!AB26</f>
        <v>660.00000000002501</v>
      </c>
      <c r="R24" s="35">
        <f>'FS Desroches Daily'!AD26</f>
        <v>589.99999999997499</v>
      </c>
      <c r="S24" s="35">
        <f>'FS Desroches Daily'!AF26</f>
        <v>1150.0000000000341</v>
      </c>
      <c r="T24" s="35">
        <f>'FS Desroches Daily'!AH26</f>
        <v>2.5</v>
      </c>
      <c r="U24" s="39">
        <f>'FS Desroches Daily'!AJ26</f>
        <v>1060.0000000000023</v>
      </c>
      <c r="V24" s="39">
        <f>'FS Desroches Daily'!AL26</f>
        <v>0.32999999999998408</v>
      </c>
      <c r="W24" s="39">
        <f>'FS Desroches Daily'!AN26</f>
        <v>0.34000000000000341</v>
      </c>
      <c r="X24" s="39">
        <f>'FS Desroches Daily'!AP26</f>
        <v>0.33999999999997499</v>
      </c>
      <c r="Y24" s="39">
        <f>'FS Desroches Daily'!AR26</f>
        <v>189.99999999999773</v>
      </c>
      <c r="Z24" s="39">
        <f>'FS Desroches Daily'!AT26</f>
        <v>310.00000000000227</v>
      </c>
      <c r="AA24" s="39">
        <f>'FS Desroches Daily'!AT26</f>
        <v>310.00000000000227</v>
      </c>
      <c r="AB24" s="39">
        <f>'FS Desroches Daily'!AV26</f>
        <v>200.00000000001705</v>
      </c>
      <c r="AC24" s="39">
        <f>'FS Desroches Daily'!AZ26</f>
        <v>250</v>
      </c>
      <c r="AD24" s="39">
        <f>'FS Desroches Daily'!BB26</f>
        <v>389.99999999998636</v>
      </c>
      <c r="AE24" s="39">
        <f>'FS Desroches Daily'!BD26</f>
        <v>10.000000000019327</v>
      </c>
      <c r="AF24" s="35">
        <f>'FS Desroches Daily'!BF26</f>
        <v>60</v>
      </c>
      <c r="AG24" s="36">
        <f>'FS Desroches Daily'!BH26</f>
        <v>39.999999999992042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69.999999999993179</v>
      </c>
      <c r="AK24" s="36">
        <f>'FS Desroches Daily'!BP26</f>
        <v>50.000000000011369</v>
      </c>
      <c r="AL24" s="36">
        <f>'FS Desroches Daily'!BR26</f>
        <v>46</v>
      </c>
      <c r="AM24" s="36">
        <f>'FS Desroches Daily'!BT26</f>
        <v>39.999999999992042</v>
      </c>
      <c r="AN24" s="36">
        <f>'FS Desroches Daily'!BV26</f>
        <v>48</v>
      </c>
      <c r="AO24" s="36">
        <f>'FS Desroches Daily'!BX26</f>
        <v>39.999999999992042</v>
      </c>
      <c r="AP24" s="36">
        <f>'FS Desroches Daily'!BZ26</f>
        <v>69</v>
      </c>
      <c r="AQ24" s="35">
        <f>'FS Desroches Daily'!CB26</f>
        <v>36.099999999998545</v>
      </c>
      <c r="AR24" s="35">
        <f>'FS Desroches Daily'!CD26</f>
        <v>13.5</v>
      </c>
      <c r="AS24" s="35">
        <f>'FS Desroches Daily'!CF26</f>
        <v>10.900000000000546</v>
      </c>
      <c r="AT24" s="35">
        <f>'FS Desroches Daily'!CH26</f>
        <v>60.100000000005821</v>
      </c>
      <c r="AU24" s="35">
        <f>'FS Desroches Daily'!CJ26</f>
        <v>309</v>
      </c>
      <c r="AV24" s="35">
        <f>'FS Desroches Daily'!CL26</f>
        <v>799.99999999995453</v>
      </c>
      <c r="AW24" s="35">
        <f>'FS Desroches Daily'!CM26</f>
        <v>110</v>
      </c>
      <c r="AX24" s="35">
        <f>IF(LPG!F31-LPG!F30&lt;0,"0",(LPG!F31-LPG!F30)*1.8315)</f>
        <v>14.651999999999999</v>
      </c>
      <c r="AY24" s="35">
        <f>IF(LPG!H31-LPG!H30&lt;0,"0",(LPG!H31-LPG!H30)*1.8315)</f>
        <v>3.6629999999999998</v>
      </c>
      <c r="AZ24" s="35">
        <f>IF(LPG!J31-LPG!J30&lt;0,"0",(LPG!J31-LPG!J30)*1.8315)</f>
        <v>0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48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3599.9999999998254</v>
      </c>
      <c r="F25" s="36">
        <f>'FS Desroches Daily'!F27</f>
        <v>4300.0000000001928</v>
      </c>
      <c r="G25" s="35">
        <f>'FS Desroches Daily'!H27</f>
        <v>3800.0000000000255</v>
      </c>
      <c r="H25" s="36">
        <f>'FS Desroches Daily'!J27</f>
        <v>1800.0000000000239</v>
      </c>
      <c r="I25" s="35">
        <f>'FS Desroches Daily'!L27</f>
        <v>2299.9999999999686</v>
      </c>
      <c r="J25" s="36">
        <f>'FS Desroches Daily'!N27</f>
        <v>2299.9999999999686</v>
      </c>
      <c r="K25" s="13">
        <f>'FS Desroches Daily'!P27</f>
        <v>19</v>
      </c>
      <c r="L25" s="35">
        <f>'FS Desroches Daily'!R27</f>
        <v>9</v>
      </c>
      <c r="M25" s="35">
        <f>'FS Desroches Daily'!T27</f>
        <v>1653</v>
      </c>
      <c r="N25" s="35">
        <f>'FS Desroches Daily'!V27</f>
        <v>565</v>
      </c>
      <c r="O25" s="35">
        <f>'FS Desroches Daily'!X27</f>
        <v>500</v>
      </c>
      <c r="P25" s="35">
        <f>'FS Desroches Daily'!Z27</f>
        <v>3899.9999999997926</v>
      </c>
      <c r="Q25" s="35">
        <f>'FS Desroches Daily'!AB27</f>
        <v>620.00000000000455</v>
      </c>
      <c r="R25" s="35">
        <f>'FS Desroches Daily'!AD27</f>
        <v>550.00000000001137</v>
      </c>
      <c r="S25" s="35">
        <f>'FS Desroches Daily'!AF27</f>
        <v>1060.0000000000023</v>
      </c>
      <c r="T25" s="35">
        <f>'FS Desroches Daily'!AH27</f>
        <v>2.3999999999998636</v>
      </c>
      <c r="U25" s="39">
        <f>'FS Desroches Daily'!AJ27</f>
        <v>1000</v>
      </c>
      <c r="V25" s="39">
        <f>'FS Desroches Daily'!AL27</f>
        <v>0.27000000000001023</v>
      </c>
      <c r="W25" s="39">
        <f>'FS Desroches Daily'!AN27</f>
        <v>0.31999999999999318</v>
      </c>
      <c r="X25" s="39">
        <f>'FS Desroches Daily'!AP27</f>
        <v>0.31000000000000227</v>
      </c>
      <c r="Y25" s="39">
        <f>'FS Desroches Daily'!AR27</f>
        <v>180.00000000000682</v>
      </c>
      <c r="Z25" s="39">
        <f>'FS Desroches Daily'!AT27</f>
        <v>259.99999999999091</v>
      </c>
      <c r="AA25" s="39">
        <f>'FS Desroches Daily'!AT27</f>
        <v>259.99999999999091</v>
      </c>
      <c r="AB25" s="39">
        <f>'FS Desroches Daily'!AV27</f>
        <v>139.99999999998636</v>
      </c>
      <c r="AC25" s="39">
        <f>'FS Desroches Daily'!AZ27</f>
        <v>189.99999999999773</v>
      </c>
      <c r="AD25" s="39">
        <f>'FS Desroches Daily'!BB27</f>
        <v>290.00000000002046</v>
      </c>
      <c r="AE25" s="39">
        <f>'FS Desroches Daily'!BD27</f>
        <v>9.9999999999909051</v>
      </c>
      <c r="AF25" s="35">
        <f>'FS Desroches Daily'!BF27</f>
        <v>52</v>
      </c>
      <c r="AG25" s="36">
        <f>'FS Desroches Daily'!BH27</f>
        <v>30.000000000001137</v>
      </c>
      <c r="AH25" s="36">
        <f>'FS Desroches Daily'!BJ27</f>
        <v>49.999999999954525</v>
      </c>
      <c r="AI25" s="36">
        <f>'FS Desroches Daily'!BL27</f>
        <v>39.999999999992042</v>
      </c>
      <c r="AJ25" s="36">
        <f>'FS Desroches Daily'!BN27</f>
        <v>39.999999999992042</v>
      </c>
      <c r="AK25" s="36">
        <f>'FS Desroches Daily'!BP27</f>
        <v>40.000000000020464</v>
      </c>
      <c r="AL25" s="36">
        <f>'FS Desroches Daily'!BR27</f>
        <v>44</v>
      </c>
      <c r="AM25" s="36">
        <f>'FS Desroches Daily'!BT27</f>
        <v>30.000000000001137</v>
      </c>
      <c r="AN25" s="36">
        <f>'FS Desroches Daily'!BV27</f>
        <v>43</v>
      </c>
      <c r="AO25" s="36">
        <f>'FS Desroches Daily'!BX27</f>
        <v>40.000000000020464</v>
      </c>
      <c r="AP25" s="36">
        <f>'FS Desroches Daily'!BZ27</f>
        <v>66</v>
      </c>
      <c r="AQ25" s="35">
        <f>'FS Desroches Daily'!CB27</f>
        <v>39.200000000000728</v>
      </c>
      <c r="AR25" s="35">
        <f>'FS Desroches Daily'!CD27</f>
        <v>12.099999999998545</v>
      </c>
      <c r="AS25" s="35">
        <f>'FS Desroches Daily'!CF27</f>
        <v>9.3999999999996362</v>
      </c>
      <c r="AT25" s="35">
        <f>'FS Desroches Daily'!CH27</f>
        <v>70.5</v>
      </c>
      <c r="AU25" s="35">
        <f>'FS Desroches Daily'!CJ27</f>
        <v>328</v>
      </c>
      <c r="AV25" s="35">
        <f>'FS Desroches Daily'!CL27</f>
        <v>659.99999999996817</v>
      </c>
      <c r="AW25" s="35">
        <f>'FS Desroches Daily'!CM27</f>
        <v>111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3.6629999999999998</v>
      </c>
      <c r="BC25" s="13">
        <f>'FS Desroches Daily'!CN27</f>
        <v>52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3000.0000000001137</v>
      </c>
      <c r="F26" s="36">
        <f>'FS Desroches Daily'!F28</f>
        <v>3800.0000000000255</v>
      </c>
      <c r="G26" s="35">
        <f>'FS Desroches Daily'!H28</f>
        <v>3699.9999999998145</v>
      </c>
      <c r="H26" s="36">
        <f>'FS Desroches Daily'!J28</f>
        <v>1500.0000000000568</v>
      </c>
      <c r="I26" s="35">
        <f>'FS Desroches Daily'!L28</f>
        <v>2000.0000000000018</v>
      </c>
      <c r="J26" s="36">
        <f>'FS Desroches Daily'!N28</f>
        <v>2000.0000000000018</v>
      </c>
      <c r="K26" s="13">
        <f>'FS Desroches Daily'!P28</f>
        <v>18</v>
      </c>
      <c r="L26" s="35">
        <f>'FS Desroches Daily'!R28</f>
        <v>9</v>
      </c>
      <c r="M26" s="35">
        <f>'FS Desroches Daily'!T28</f>
        <v>1463</v>
      </c>
      <c r="N26" s="35">
        <f>'FS Desroches Daily'!V28</f>
        <v>510</v>
      </c>
      <c r="O26" s="35">
        <f>'FS Desroches Daily'!X28</f>
        <v>450.00000000004547</v>
      </c>
      <c r="P26" s="35">
        <f>'FS Desroches Daily'!Z28</f>
        <v>3499.9999999998367</v>
      </c>
      <c r="Q26" s="35">
        <f>'FS Desroches Daily'!AB28</f>
        <v>560.00000000000227</v>
      </c>
      <c r="R26" s="35">
        <f>'FS Desroches Daily'!AD28</f>
        <v>509.99999999999091</v>
      </c>
      <c r="S26" s="35">
        <f>'FS Desroches Daily'!AF28</f>
        <v>990.00000000000909</v>
      </c>
      <c r="T26" s="35">
        <f>'FS Desroches Daily'!AH28</f>
        <v>2.2999999999999545</v>
      </c>
      <c r="U26" s="39">
        <f>'FS Desroches Daily'!AJ28</f>
        <v>949.99999999998863</v>
      </c>
      <c r="V26" s="39">
        <f>'FS Desroches Daily'!AL28</f>
        <v>0.21999999999999886</v>
      </c>
      <c r="W26" s="39">
        <f>'FS Desroches Daily'!AN28</f>
        <v>0.25</v>
      </c>
      <c r="X26" s="39">
        <f>'FS Desroches Daily'!AP28</f>
        <v>0.26000000000001933</v>
      </c>
      <c r="Y26" s="39">
        <f>'FS Desroches Daily'!AR28</f>
        <v>150.00000000000568</v>
      </c>
      <c r="Z26" s="39">
        <f>'FS Desroches Daily'!AT28</f>
        <v>210.00000000003638</v>
      </c>
      <c r="AA26" s="39">
        <f>'FS Desroches Daily'!AT28</f>
        <v>210.00000000003638</v>
      </c>
      <c r="AB26" s="39">
        <f>'FS Desroches Daily'!AV28</f>
        <v>120.00000000000455</v>
      </c>
      <c r="AC26" s="39">
        <f>'FS Desroches Daily'!AZ28</f>
        <v>149.99999999997726</v>
      </c>
      <c r="AD26" s="39">
        <f>'FS Desroches Daily'!BB28</f>
        <v>269.99999999998181</v>
      </c>
      <c r="AE26" s="39">
        <f>'FS Desroches Daily'!BD28</f>
        <v>20.000000000010232</v>
      </c>
      <c r="AF26" s="35">
        <f>'FS Desroches Daily'!BF28</f>
        <v>56</v>
      </c>
      <c r="AG26" s="36">
        <f>'FS Desroches Daily'!BH28</f>
        <v>39.999999999992042</v>
      </c>
      <c r="AH26" s="36">
        <f>'FS Desroches Daily'!BJ28</f>
        <v>50.000000000011369</v>
      </c>
      <c r="AI26" s="36">
        <f>'FS Desroches Daily'!BL28</f>
        <v>50.000000000011369</v>
      </c>
      <c r="AJ26" s="36">
        <f>'FS Desroches Daily'!BN28</f>
        <v>40.000000000020464</v>
      </c>
      <c r="AK26" s="36">
        <f>'FS Desroches Daily'!BP28</f>
        <v>39.99999999996362</v>
      </c>
      <c r="AL26" s="36">
        <f>'FS Desroches Daily'!BR28</f>
        <v>41</v>
      </c>
      <c r="AM26" s="36">
        <f>'FS Desroches Daily'!BT28</f>
        <v>50.000000000011369</v>
      </c>
      <c r="AN26" s="36">
        <f>'FS Desroches Daily'!BV28</f>
        <v>45</v>
      </c>
      <c r="AO26" s="36">
        <f>'FS Desroches Daily'!BX28</f>
        <v>49.999999999982947</v>
      </c>
      <c r="AP26" s="36">
        <f>'FS Desroches Daily'!BZ28</f>
        <v>73</v>
      </c>
      <c r="AQ26" s="35">
        <f>'FS Desroches Daily'!CB28</f>
        <v>27.5</v>
      </c>
      <c r="AR26" s="35">
        <f>'FS Desroches Daily'!CD28</f>
        <v>11.600000000000364</v>
      </c>
      <c r="AS26" s="35">
        <f>'FS Desroches Daily'!CF28</f>
        <v>9.5</v>
      </c>
      <c r="AT26" s="35">
        <f>'FS Desroches Daily'!CH28</f>
        <v>114.09999999999854</v>
      </c>
      <c r="AU26" s="35">
        <f>'FS Desroches Daily'!CJ28</f>
        <v>283</v>
      </c>
      <c r="AV26" s="35">
        <f>'FS Desroches Daily'!CL28</f>
        <v>620.00000000000455</v>
      </c>
      <c r="AW26" s="35">
        <f>'FS Desroches Daily'!CM28</f>
        <v>98.5</v>
      </c>
      <c r="AX26" s="35">
        <f>IF(LPG!F33-LPG!F32&lt;0,"0",(LPG!F33-LPG!F32)*1.8315)</f>
        <v>14.651999999999999</v>
      </c>
      <c r="AY26" s="35">
        <f>IF(LPG!H33-LPG!H32&lt;0,"0",(LPG!H33-LPG!H32)*1.8315)</f>
        <v>5.4944999999999995</v>
      </c>
      <c r="AZ26" s="35">
        <f>IF(LPG!J33-LPG!J32&lt;0,"0",(LPG!J33-LPG!J32)*1.8315)</f>
        <v>0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3300.0000000000805</v>
      </c>
      <c r="F27" s="36">
        <f>'FS Desroches Daily'!F29</f>
        <v>4199.9999999999818</v>
      </c>
      <c r="G27" s="35">
        <f>'FS Desroches Daily'!H29</f>
        <v>3600.0000000000477</v>
      </c>
      <c r="H27" s="36">
        <f>'FS Desroches Daily'!J29</f>
        <v>1699.9999999998129</v>
      </c>
      <c r="I27" s="35">
        <f>'FS Desroches Daily'!L29</f>
        <v>2299.9999999999686</v>
      </c>
      <c r="J27" s="36">
        <f>'FS Desroches Daily'!N29</f>
        <v>2300.000000000191</v>
      </c>
      <c r="K27" s="13">
        <f>'FS Desroches Daily'!P29</f>
        <v>19</v>
      </c>
      <c r="L27" s="35">
        <f>'FS Desroches Daily'!R29</f>
        <v>9</v>
      </c>
      <c r="M27" s="35">
        <f>'FS Desroches Daily'!T29</f>
        <v>2324.6999999999534</v>
      </c>
      <c r="N27" s="35">
        <f>'FS Desroches Daily'!V29</f>
        <v>984.20000000001164</v>
      </c>
      <c r="O27" s="35">
        <f>'FS Desroches Daily'!X29</f>
        <v>529.99999999997272</v>
      </c>
      <c r="P27" s="35">
        <f>'FS Desroches Daily'!Z29</f>
        <v>3600.0000000000477</v>
      </c>
      <c r="Q27" s="35">
        <f>'FS Desroches Daily'!AB29</f>
        <v>569.99999999999318</v>
      </c>
      <c r="R27" s="35">
        <f>'FS Desroches Daily'!AD29</f>
        <v>569.99999999999318</v>
      </c>
      <c r="S27" s="35">
        <f>'FS Desroches Daily'!AF29</f>
        <v>1039.9999999999636</v>
      </c>
      <c r="T27" s="35">
        <f>'FS Desroches Daily'!AH29</f>
        <v>2</v>
      </c>
      <c r="U27" s="39">
        <f>'FS Desroches Daily'!AJ29</f>
        <v>889.99999999998636</v>
      </c>
      <c r="V27" s="39">
        <f>'FS Desroches Daily'!AL29</f>
        <v>0.27000000000001023</v>
      </c>
      <c r="W27" s="39">
        <f>'FS Desroches Daily'!AN29</f>
        <v>0.28999999999999204</v>
      </c>
      <c r="X27" s="39">
        <f>'FS Desroches Daily'!AP29</f>
        <v>0.31000000000000227</v>
      </c>
      <c r="Y27" s="39">
        <f>'FS Desroches Daily'!AR29</f>
        <v>159.99999999999659</v>
      </c>
      <c r="Z27" s="39">
        <f>'FS Desroches Daily'!AT29</f>
        <v>209.99999999997954</v>
      </c>
      <c r="AA27" s="39">
        <f>'FS Desroches Daily'!AT29</f>
        <v>209.99999999997954</v>
      </c>
      <c r="AB27" s="39">
        <f>'FS Desroches Daily'!AV29</f>
        <v>120.00000000000455</v>
      </c>
      <c r="AC27" s="39">
        <f>'FS Desroches Daily'!AZ29</f>
        <v>150.00000000003411</v>
      </c>
      <c r="AD27" s="39">
        <f>'FS Desroches Daily'!BB29</f>
        <v>280.00000000002956</v>
      </c>
      <c r="AE27" s="39">
        <f>'FS Desroches Daily'!BD29</f>
        <v>9.9999999999909051</v>
      </c>
      <c r="AF27" s="35">
        <f>'FS Desroches Daily'!BF29</f>
        <v>48</v>
      </c>
      <c r="AG27" s="36">
        <f>'FS Desroches Daily'!BH29</f>
        <v>30.000000000001137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39.999999999992042</v>
      </c>
      <c r="AK27" s="36">
        <f>'FS Desroches Daily'!BP29</f>
        <v>50.000000000011369</v>
      </c>
      <c r="AL27" s="36">
        <f>'FS Desroches Daily'!BR29</f>
        <v>40</v>
      </c>
      <c r="AM27" s="36">
        <f>'FS Desroches Daily'!BT29</f>
        <v>39.999999999992042</v>
      </c>
      <c r="AN27" s="36">
        <f>'FS Desroches Daily'!BV29</f>
        <v>40</v>
      </c>
      <c r="AO27" s="36">
        <f>'FS Desroches Daily'!BX29</f>
        <v>40.000000000020464</v>
      </c>
      <c r="AP27" s="36">
        <f>'FS Desroches Daily'!BZ29</f>
        <v>61</v>
      </c>
      <c r="AQ27" s="35">
        <f>'FS Desroches Daily'!CB29</f>
        <v>37</v>
      </c>
      <c r="AR27" s="35">
        <f>'FS Desroches Daily'!CD29</f>
        <v>12.100000000000364</v>
      </c>
      <c r="AS27" s="35">
        <f>'FS Desroches Daily'!CF29</f>
        <v>5.4000000000005457</v>
      </c>
      <c r="AT27" s="35">
        <f>'FS Desroches Daily'!CH29</f>
        <v>109.59999999999854</v>
      </c>
      <c r="AU27" s="35">
        <f>'FS Desroches Daily'!CJ29</f>
        <v>322</v>
      </c>
      <c r="AV27" s="35">
        <f>'FS Desroches Daily'!CL29</f>
        <v>600.00000000002274</v>
      </c>
      <c r="AW27" s="35">
        <f>'FS Desroches Daily'!CM29</f>
        <v>110.1</v>
      </c>
      <c r="AX27" s="35">
        <f>IF(LPG!F34-LPG!F33&lt;0,"0",(LPG!F34-LPG!F33)*1.8315)</f>
        <v>14.651999999999999</v>
      </c>
      <c r="AY27" s="35">
        <f>IF(LPG!H34-LPG!H33&lt;0,"0",(LPG!H34-LPG!H33)*1.8315)</f>
        <v>3.6629999999999998</v>
      </c>
      <c r="AZ27" s="35">
        <f>IF(LPG!J34-LPG!J33&lt;0,"0",(LPG!J34-LPG!J33)*1.8315)</f>
        <v>0</v>
      </c>
      <c r="BA27" s="35">
        <f>IF(LPG!M34-LPG!M33&lt;0,"0",(LPG!M34-LPG!M33)*1.8315)</f>
        <v>5.4944999999999995</v>
      </c>
      <c r="BB27" s="35">
        <f>IF(LPG!Q34-LPG!Q33&lt;0,"0",(LPG!Q34-LPG!Q33)*1.8315)</f>
        <v>3.6629999999999998</v>
      </c>
      <c r="BC27" s="13">
        <f>'FS Desroches Daily'!CN29</f>
        <v>38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 t="str">
        <f>'FS Desroches Daily'!D30</f>
        <v>0</v>
      </c>
      <c r="F28" s="36" t="str">
        <f>'FS Desroches Daily'!F30</f>
        <v>0</v>
      </c>
      <c r="G28" s="35" t="str">
        <f>'FS Desroches Daily'!H30</f>
        <v>0</v>
      </c>
      <c r="H28" s="36" t="str">
        <f>'FS Desroches Daily'!J30</f>
        <v>0</v>
      </c>
      <c r="I28" s="35" t="str">
        <f>'FS Desroches Daily'!L30</f>
        <v>0</v>
      </c>
      <c r="J28" s="36" t="str">
        <f>'FS Desroches Daily'!N30</f>
        <v/>
      </c>
      <c r="K28" s="13" t="str">
        <f>'FS Desroches Daily'!P30</f>
        <v/>
      </c>
      <c r="L28" s="35" t="str">
        <f>'FS Desroches Daily'!R30</f>
        <v/>
      </c>
      <c r="M28" s="35" t="str">
        <f>'FS Desroches Daily'!T30</f>
        <v/>
      </c>
      <c r="N28" s="35" t="str">
        <f>'FS Desroches Daily'!V30</f>
        <v/>
      </c>
      <c r="O28" s="35" t="str">
        <f>'FS Desroches Daily'!X30</f>
        <v/>
      </c>
      <c r="P28" s="35" t="str">
        <f>'FS Desroches Daily'!Z30</f>
        <v/>
      </c>
      <c r="Q28" s="35" t="str">
        <f>'FS Desroches Daily'!AB30</f>
        <v/>
      </c>
      <c r="R28" s="35" t="str">
        <f>'FS Desroches Daily'!AD30</f>
        <v/>
      </c>
      <c r="S28" s="35" t="str">
        <f>'FS Desroches Daily'!AF30</f>
        <v/>
      </c>
      <c r="T28" s="35" t="str">
        <f>'FS Desroches Daily'!AH30</f>
        <v/>
      </c>
      <c r="U28" s="39" t="str">
        <f>'FS Desroches Daily'!AJ30</f>
        <v/>
      </c>
      <c r="V28" s="39" t="str">
        <f>'FS Desroches Daily'!AL30</f>
        <v/>
      </c>
      <c r="W28" s="39" t="str">
        <f>'FS Desroches Daily'!AN30</f>
        <v/>
      </c>
      <c r="X28" s="39" t="str">
        <f>'FS Desroches Daily'!AP30</f>
        <v/>
      </c>
      <c r="Y28" s="39" t="str">
        <f>'FS Desroches Daily'!AR30</f>
        <v/>
      </c>
      <c r="Z28" s="39" t="str">
        <f>'FS Desroches Daily'!AT30</f>
        <v/>
      </c>
      <c r="AA28" s="39" t="str">
        <f>'FS Desroches Daily'!AT30</f>
        <v/>
      </c>
      <c r="AB28" s="39" t="str">
        <f>'FS Desroches Daily'!AV30</f>
        <v/>
      </c>
      <c r="AC28" s="39" t="str">
        <f>'FS Desroches Daily'!AZ30</f>
        <v/>
      </c>
      <c r="AD28" s="39" t="str">
        <f>'FS Desroches Daily'!BB30</f>
        <v/>
      </c>
      <c r="AE28" s="39" t="str">
        <f>'FS Desroches Daily'!BD30</f>
        <v/>
      </c>
      <c r="AF28" s="35" t="str">
        <f>'FS Desroches Daily'!BF30</f>
        <v/>
      </c>
      <c r="AG28" s="36" t="str">
        <f>'FS Desroches Daily'!BH30</f>
        <v/>
      </c>
      <c r="AH28" s="36" t="str">
        <f>'FS Desroches Daily'!BJ30</f>
        <v/>
      </c>
      <c r="AI28" s="36" t="str">
        <f>'FS Desroches Daily'!BL30</f>
        <v/>
      </c>
      <c r="AJ28" s="36" t="str">
        <f>'FS Desroches Daily'!BN30</f>
        <v/>
      </c>
      <c r="AK28" s="36" t="str">
        <f>'FS Desroches Daily'!BP30</f>
        <v/>
      </c>
      <c r="AL28" s="36" t="str">
        <f>'FS Desroches Daily'!BR30</f>
        <v/>
      </c>
      <c r="AM28" s="36" t="str">
        <f>'FS Desroches Daily'!BT30</f>
        <v/>
      </c>
      <c r="AN28" s="36" t="str">
        <f>'FS Desroches Daily'!BV30</f>
        <v/>
      </c>
      <c r="AO28" s="36" t="str">
        <f>'FS Desroches Daily'!BX30</f>
        <v/>
      </c>
      <c r="AP28" s="36" t="str">
        <f>'FS Desroches Daily'!BZ30</f>
        <v/>
      </c>
      <c r="AQ28" s="35" t="str">
        <f>'FS Desroches Daily'!CB30</f>
        <v/>
      </c>
      <c r="AR28" s="35" t="str">
        <f>'FS Desroches Daily'!CD30</f>
        <v/>
      </c>
      <c r="AS28" s="35" t="str">
        <f>'FS Desroches Daily'!CF30</f>
        <v/>
      </c>
      <c r="AT28" s="35" t="str">
        <f>'FS Desroches Daily'!CH30</f>
        <v/>
      </c>
      <c r="AU28" s="35" t="str">
        <f>'FS Desroches Daily'!CJ30</f>
        <v/>
      </c>
      <c r="AV28" s="35" t="str">
        <f>'FS Desroches Daily'!CL30</f>
        <v/>
      </c>
      <c r="AW28" s="35">
        <f>'FS Desroches Daily'!CM30</f>
        <v>0</v>
      </c>
      <c r="AX28" s="35" t="str">
        <f>IF(LPG!F35-LPG!F34&lt;0,"0",(LPG!F35-LPG!F34)*1.8315)</f>
        <v>0</v>
      </c>
      <c r="AY28" s="35" t="str">
        <f>IF(LPG!H35-LPG!H34&lt;0,"0",(LPG!H35-LPG!H34)*1.8315)</f>
        <v>0</v>
      </c>
      <c r="AZ28" s="35" t="str">
        <f>IF(LPG!J35-LPG!J34&lt;0,"0",(LPG!J35-LPG!J34)*1.8315)</f>
        <v>0</v>
      </c>
      <c r="BA28" s="35" t="str">
        <f>IF(LPG!M35-LPG!M34&lt;0,"0",(LPG!M35-LPG!M34)*1.8315)</f>
        <v>0</v>
      </c>
      <c r="BB28" s="35" t="str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77300.000000000146</v>
      </c>
      <c r="F33" s="17">
        <f t="shared" ref="F33:BC33" si="1">SUM(F2:F32)</f>
        <v>101900.0000000001</v>
      </c>
      <c r="G33" s="17">
        <f t="shared" si="1"/>
        <v>87899.999999999869</v>
      </c>
      <c r="H33" s="17">
        <f t="shared" si="1"/>
        <v>42499.999999999985</v>
      </c>
      <c r="I33" s="17">
        <f t="shared" si="1"/>
        <v>59600.000000000109</v>
      </c>
      <c r="J33" s="17">
        <f t="shared" si="1"/>
        <v>53200.000000000131</v>
      </c>
      <c r="K33" s="17">
        <f t="shared" si="1"/>
        <v>487</v>
      </c>
      <c r="L33" s="17">
        <f t="shared" si="1"/>
        <v>223</v>
      </c>
      <c r="M33" s="17">
        <f t="shared" si="1"/>
        <v>35280.699999999953</v>
      </c>
      <c r="N33" s="17">
        <f t="shared" si="1"/>
        <v>13485.200000000012</v>
      </c>
      <c r="O33" s="17">
        <f t="shared" si="1"/>
        <v>11780.000000000033</v>
      </c>
      <c r="P33" s="17">
        <f t="shared" si="1"/>
        <v>90799.999999999782</v>
      </c>
      <c r="Q33" s="17">
        <f t="shared" si="1"/>
        <v>13730.000000000016</v>
      </c>
      <c r="R33" s="17">
        <f t="shared" si="1"/>
        <v>12409.999999999965</v>
      </c>
      <c r="S33" s="17">
        <f t="shared" si="1"/>
        <v>24169.999999999956</v>
      </c>
      <c r="T33" s="17">
        <f t="shared" si="1"/>
        <v>52.5</v>
      </c>
      <c r="U33" s="39">
        <f t="shared" si="1"/>
        <v>16839.999999999975</v>
      </c>
      <c r="V33" s="39">
        <f t="shared" si="1"/>
        <v>6.3599999999999994</v>
      </c>
      <c r="W33" s="39">
        <f t="shared" si="1"/>
        <v>6.3699999999999761</v>
      </c>
      <c r="X33" s="39">
        <f t="shared" si="1"/>
        <v>5.8800000000000097</v>
      </c>
      <c r="Y33" s="39">
        <f t="shared" si="1"/>
        <v>4840.0000000000036</v>
      </c>
      <c r="Z33" s="39">
        <f t="shared" si="1"/>
        <v>6542.5800000000199</v>
      </c>
      <c r="AA33" s="39">
        <f t="shared" si="1"/>
        <v>6542.5800000000199</v>
      </c>
      <c r="AB33" s="39">
        <f t="shared" si="1"/>
        <v>5330.0000000000118</v>
      </c>
      <c r="AC33" s="39">
        <f t="shared" si="1"/>
        <v>4620.0000000000036</v>
      </c>
      <c r="AD33" s="39">
        <f t="shared" si="1"/>
        <v>5100.0000000000218</v>
      </c>
      <c r="AE33" s="39">
        <f t="shared" si="1"/>
        <v>319.99999999999318</v>
      </c>
      <c r="AF33" s="17">
        <f t="shared" si="1"/>
        <v>1590</v>
      </c>
      <c r="AG33" s="36">
        <f t="shared" si="1"/>
        <v>840.00000000000341</v>
      </c>
      <c r="AH33" s="36">
        <f t="shared" si="1"/>
        <v>1079.9999999999841</v>
      </c>
      <c r="AI33" s="36">
        <f t="shared" si="1"/>
        <v>1169.9999999999875</v>
      </c>
      <c r="AJ33" s="36">
        <f t="shared" si="1"/>
        <v>1080.0000000000125</v>
      </c>
      <c r="AK33" s="36">
        <f t="shared" si="1"/>
        <v>1069.9999999999932</v>
      </c>
      <c r="AL33" s="36">
        <f t="shared" si="1"/>
        <v>1038</v>
      </c>
      <c r="AM33" s="36">
        <f t="shared" si="1"/>
        <v>1079.9999999999841</v>
      </c>
      <c r="AN33" s="36">
        <f t="shared" si="1"/>
        <v>1072</v>
      </c>
      <c r="AO33" s="36">
        <f t="shared" si="1"/>
        <v>1020.0000000000102</v>
      </c>
      <c r="AP33" s="36">
        <f t="shared" si="1"/>
        <v>1609</v>
      </c>
      <c r="AQ33" s="17">
        <f t="shared" si="1"/>
        <v>1009.4000000000015</v>
      </c>
      <c r="AR33" s="17">
        <f t="shared" si="1"/>
        <v>300.60000000000036</v>
      </c>
      <c r="AS33" s="17">
        <f t="shared" si="1"/>
        <v>252.70000000000073</v>
      </c>
      <c r="AT33" s="17">
        <f t="shared" si="1"/>
        <v>2105.4000000000015</v>
      </c>
      <c r="AU33" s="17">
        <f t="shared" si="1"/>
        <v>7878</v>
      </c>
      <c r="AV33" s="17">
        <f t="shared" si="1"/>
        <v>15659.999999999967</v>
      </c>
      <c r="AW33" s="17">
        <f t="shared" si="1"/>
        <v>2466.4</v>
      </c>
      <c r="AX33" s="17">
        <f t="shared" si="1"/>
        <v>380.95199999999988</v>
      </c>
      <c r="AY33" s="17">
        <f t="shared" si="1"/>
        <v>97.069499999999962</v>
      </c>
      <c r="AZ33" s="17">
        <f t="shared" si="1"/>
        <v>10.988999999999999</v>
      </c>
      <c r="BA33" s="17">
        <f t="shared" si="1"/>
        <v>119.04749999999999</v>
      </c>
      <c r="BB33" s="17">
        <f t="shared" si="1"/>
        <v>120.87899999999996</v>
      </c>
      <c r="BC33" s="17">
        <f t="shared" si="1"/>
        <v>1281</v>
      </c>
    </row>
    <row r="35" spans="5:55" x14ac:dyDescent="0.25">
      <c r="E35" s="42">
        <f>E33/E37</f>
        <v>0.21839983273906757</v>
      </c>
      <c r="G35" s="33">
        <f>G33-M36</f>
        <v>39134.099999999904</v>
      </c>
      <c r="AE35" s="39">
        <f>SUM(U33:AE33)</f>
        <v>50153.770000000048</v>
      </c>
      <c r="AG35" s="36">
        <f>SUM(AG33:AP33)</f>
        <v>11058.999999999975</v>
      </c>
    </row>
    <row r="36" spans="5:55" x14ac:dyDescent="0.25">
      <c r="G36" s="33">
        <f>G35-633*14</f>
        <v>30272.099999999904</v>
      </c>
      <c r="M36" s="33">
        <f>M33+N33</f>
        <v>48765.899999999965</v>
      </c>
    </row>
    <row r="37" spans="5:55" x14ac:dyDescent="0.25">
      <c r="E37" s="17">
        <f>E33+F33+G33+H33+J33-633*14</f>
        <v>353938.00000000023</v>
      </c>
      <c r="G37" s="41">
        <f>M36/E37</f>
        <v>0.13778091078098406</v>
      </c>
      <c r="M37" s="39">
        <f>AE35</f>
        <v>50153.770000000048</v>
      </c>
    </row>
    <row r="38" spans="5:55" x14ac:dyDescent="0.25">
      <c r="L38" s="31">
        <f>M38/E37</f>
        <v>3.1245585385010842E-2</v>
      </c>
      <c r="M38" s="33">
        <f>AG35</f>
        <v>11058.999999999975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8" activePane="bottomLeft" state="frozen"/>
      <selection pane="bottomLeft" activeCell="CH30" sqref="CH30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4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769823</v>
      </c>
      <c r="T24" s="72">
        <f t="shared" si="44"/>
        <v>1321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45">
      <c r="A25" s="70">
        <v>43883</v>
      </c>
      <c r="B25" s="48"/>
      <c r="C25" s="64">
        <v>1.5234000000000001</v>
      </c>
      <c r="D25" s="71">
        <f t="shared" si="3"/>
        <v>3700.0000000000364</v>
      </c>
      <c r="E25" s="64">
        <v>2.5209000000000001</v>
      </c>
      <c r="F25" s="71">
        <f t="shared" si="4"/>
        <v>4300.0000000001928</v>
      </c>
      <c r="G25" s="64">
        <v>2.3247</v>
      </c>
      <c r="H25" s="71">
        <f t="shared" si="5"/>
        <v>3600.0000000000477</v>
      </c>
      <c r="I25" s="64">
        <v>1.0926</v>
      </c>
      <c r="J25" s="71">
        <f t="shared" si="43"/>
        <v>1800.0000000000239</v>
      </c>
      <c r="K25" s="64">
        <v>1.6720999999999999</v>
      </c>
      <c r="L25" s="71">
        <f t="shared" si="0"/>
        <v>2299.9999999999686</v>
      </c>
      <c r="M25" s="64">
        <v>1.0666</v>
      </c>
      <c r="N25" s="71">
        <f t="shared" si="6"/>
        <v>2299.9999999999686</v>
      </c>
      <c r="O25" s="64">
        <v>11877</v>
      </c>
      <c r="P25" s="72">
        <f t="shared" si="7"/>
        <v>20</v>
      </c>
      <c r="Q25" s="64">
        <v>4772</v>
      </c>
      <c r="R25" s="72">
        <f t="shared" si="8"/>
        <v>12</v>
      </c>
      <c r="S25" s="64">
        <v>771612</v>
      </c>
      <c r="T25" s="72">
        <f t="shared" si="44"/>
        <v>1789</v>
      </c>
      <c r="U25" s="64">
        <v>312523</v>
      </c>
      <c r="V25" s="72">
        <f t="shared" si="10"/>
        <v>560</v>
      </c>
      <c r="W25" s="64">
        <v>303.48</v>
      </c>
      <c r="X25" s="72">
        <f t="shared" si="23"/>
        <v>490.00000000000909</v>
      </c>
      <c r="Y25" s="64">
        <v>2.2382</v>
      </c>
      <c r="Z25" s="72">
        <f t="shared" si="24"/>
        <v>3899.9999999997926</v>
      </c>
      <c r="AA25" s="64">
        <v>303.77</v>
      </c>
      <c r="AB25" s="72">
        <f t="shared" si="25"/>
        <v>599.99999999996589</v>
      </c>
      <c r="AC25" s="64">
        <v>274.17</v>
      </c>
      <c r="AD25" s="72">
        <f t="shared" si="26"/>
        <v>569.99999999999318</v>
      </c>
      <c r="AE25" s="64">
        <v>416.53</v>
      </c>
      <c r="AF25" s="72">
        <f t="shared" si="27"/>
        <v>1049.9999999999545</v>
      </c>
      <c r="AG25" s="64">
        <v>1089.9000000000001</v>
      </c>
      <c r="AH25" s="72">
        <f t="shared" si="11"/>
        <v>2.5</v>
      </c>
      <c r="AI25" s="64">
        <v>378.37</v>
      </c>
      <c r="AJ25" s="72">
        <f t="shared" si="28"/>
        <v>1000</v>
      </c>
      <c r="AK25" s="64">
        <v>131.56</v>
      </c>
      <c r="AL25" s="72">
        <f t="shared" si="12"/>
        <v>0.28000000000000114</v>
      </c>
      <c r="AM25" s="64">
        <v>133.5</v>
      </c>
      <c r="AN25" s="72">
        <f t="shared" si="13"/>
        <v>0.31999999999999318</v>
      </c>
      <c r="AO25" s="64">
        <v>131.11000000000001</v>
      </c>
      <c r="AP25" s="72">
        <f t="shared" si="14"/>
        <v>0.3200000000000216</v>
      </c>
      <c r="AQ25" s="64">
        <v>204.59</v>
      </c>
      <c r="AR25" s="72">
        <f t="shared" si="29"/>
        <v>180.00000000000682</v>
      </c>
      <c r="AS25" s="64">
        <v>329.07</v>
      </c>
      <c r="AT25" s="72">
        <f t="shared" si="30"/>
        <v>310.00000000000227</v>
      </c>
      <c r="AU25" s="64">
        <v>253.85</v>
      </c>
      <c r="AV25" s="72">
        <f t="shared" si="31"/>
        <v>250</v>
      </c>
      <c r="AW25" s="64">
        <v>282.39</v>
      </c>
      <c r="AX25" s="72">
        <f t="shared" si="32"/>
        <v>289.99999999996362</v>
      </c>
      <c r="AY25" s="64">
        <v>333.69</v>
      </c>
      <c r="AZ25" s="72">
        <f t="shared" si="33"/>
        <v>259.99999999999091</v>
      </c>
      <c r="BA25" s="64">
        <v>354.45</v>
      </c>
      <c r="BB25" s="72">
        <f t="shared" si="34"/>
        <v>289.99999999996362</v>
      </c>
      <c r="BC25" s="64">
        <v>202.26</v>
      </c>
      <c r="BD25" s="72">
        <f t="shared" si="35"/>
        <v>9.9999999999909051</v>
      </c>
      <c r="BE25" s="66">
        <v>25389</v>
      </c>
      <c r="BF25" s="72">
        <f t="shared" si="15"/>
        <v>61</v>
      </c>
      <c r="BG25" s="67">
        <v>221.18</v>
      </c>
      <c r="BH25" s="72">
        <f t="shared" si="36"/>
        <v>30.000000000001137</v>
      </c>
      <c r="BI25" s="67">
        <v>278.11</v>
      </c>
      <c r="BJ25" s="72">
        <f t="shared" si="37"/>
        <v>50.000000000011369</v>
      </c>
      <c r="BK25" s="67">
        <v>226.16</v>
      </c>
      <c r="BL25" s="72">
        <f t="shared" si="38"/>
        <v>39.999999999992042</v>
      </c>
      <c r="BM25" s="67">
        <v>208.87</v>
      </c>
      <c r="BN25" s="72">
        <f t="shared" si="39"/>
        <v>50.000000000011369</v>
      </c>
      <c r="BO25" s="67">
        <v>272.76</v>
      </c>
      <c r="BP25" s="72">
        <f t="shared" si="40"/>
        <v>39.99999999996362</v>
      </c>
      <c r="BQ25" s="67">
        <v>35729</v>
      </c>
      <c r="BR25" s="72">
        <f t="shared" si="16"/>
        <v>46</v>
      </c>
      <c r="BS25" s="67">
        <v>190.1</v>
      </c>
      <c r="BT25" s="72">
        <f t="shared" si="41"/>
        <v>39.999999999992042</v>
      </c>
      <c r="BU25" s="67">
        <v>26635</v>
      </c>
      <c r="BV25" s="72">
        <f t="shared" si="1"/>
        <v>46</v>
      </c>
      <c r="BW25" s="67">
        <v>219.44</v>
      </c>
      <c r="BX25" s="72">
        <f t="shared" si="42"/>
        <v>39.999999999992042</v>
      </c>
      <c r="BY25" s="67">
        <v>43712</v>
      </c>
      <c r="BZ25" s="72">
        <f t="shared" si="17"/>
        <v>68</v>
      </c>
      <c r="CA25" s="67">
        <v>26173.7</v>
      </c>
      <c r="CB25" s="72">
        <f t="shared" si="18"/>
        <v>36.299999999999272</v>
      </c>
      <c r="CC25" s="67">
        <v>10857.2</v>
      </c>
      <c r="CD25" s="72">
        <f t="shared" si="19"/>
        <v>12.300000000001091</v>
      </c>
      <c r="CE25" s="67">
        <v>5298.4</v>
      </c>
      <c r="CF25" s="72">
        <f t="shared" si="20"/>
        <v>13.099999999999454</v>
      </c>
      <c r="CG25" s="67">
        <v>40009.199999999997</v>
      </c>
      <c r="CH25" s="72">
        <f t="shared" si="21"/>
        <v>55.69999999999709</v>
      </c>
      <c r="CI25" s="67">
        <v>831027</v>
      </c>
      <c r="CJ25" s="72">
        <f t="shared" si="2"/>
        <v>303</v>
      </c>
      <c r="CK25" s="67">
        <v>520.95000000000005</v>
      </c>
      <c r="CL25" s="71">
        <f t="shared" si="22"/>
        <v>710.00000000003638</v>
      </c>
      <c r="CM25" s="72">
        <v>105</v>
      </c>
      <c r="CN25" s="69">
        <v>49</v>
      </c>
      <c r="CO25" s="69">
        <v>130</v>
      </c>
    </row>
    <row r="26" spans="1:93" ht="25.5" customHeight="1" thickBot="1" x14ac:dyDescent="0.45">
      <c r="A26" s="70">
        <v>43884</v>
      </c>
      <c r="B26" s="48"/>
      <c r="C26" s="64">
        <v>1.5276000000000001</v>
      </c>
      <c r="D26" s="71">
        <f t="shared" si="3"/>
        <v>4199.9999999999818</v>
      </c>
      <c r="E26" s="64">
        <v>2.5253999999999999</v>
      </c>
      <c r="F26" s="71">
        <f t="shared" si="4"/>
        <v>4499.9999999997262</v>
      </c>
      <c r="G26" s="64">
        <v>2.3290000000000002</v>
      </c>
      <c r="H26" s="71">
        <f t="shared" si="5"/>
        <v>4300.0000000001928</v>
      </c>
      <c r="I26" s="64">
        <v>1.0945</v>
      </c>
      <c r="J26" s="71">
        <f t="shared" si="43"/>
        <v>1900.0000000000127</v>
      </c>
      <c r="K26" s="64">
        <v>1.6745000000000001</v>
      </c>
      <c r="L26" s="71">
        <f t="shared" si="0"/>
        <v>2400.0000000001796</v>
      </c>
      <c r="M26" s="64">
        <v>1.0691999999999999</v>
      </c>
      <c r="N26" s="71">
        <f t="shared" si="6"/>
        <v>2599.9999999999359</v>
      </c>
      <c r="O26" s="64">
        <v>11894</v>
      </c>
      <c r="P26" s="72">
        <f t="shared" si="7"/>
        <v>17</v>
      </c>
      <c r="Q26" s="64">
        <v>4779</v>
      </c>
      <c r="R26" s="72">
        <f t="shared" si="8"/>
        <v>7</v>
      </c>
      <c r="S26" s="64">
        <v>773499</v>
      </c>
      <c r="T26" s="72">
        <f t="shared" si="44"/>
        <v>1887</v>
      </c>
      <c r="U26" s="64">
        <v>313080</v>
      </c>
      <c r="V26" s="72">
        <f t="shared" si="10"/>
        <v>557</v>
      </c>
      <c r="W26" s="64">
        <v>303.95999999999998</v>
      </c>
      <c r="X26" s="72">
        <f t="shared" si="23"/>
        <v>479.99999999996135</v>
      </c>
      <c r="Y26" s="64">
        <v>2.2421000000000002</v>
      </c>
      <c r="Z26" s="72">
        <f t="shared" si="24"/>
        <v>3900.0000000002365</v>
      </c>
      <c r="AA26" s="64">
        <v>304.43</v>
      </c>
      <c r="AB26" s="72">
        <f t="shared" si="25"/>
        <v>660.00000000002501</v>
      </c>
      <c r="AC26" s="64">
        <v>274.76</v>
      </c>
      <c r="AD26" s="72">
        <f t="shared" si="26"/>
        <v>589.99999999997499</v>
      </c>
      <c r="AE26" s="64">
        <v>417.68</v>
      </c>
      <c r="AF26" s="72">
        <f t="shared" si="27"/>
        <v>1150.0000000000341</v>
      </c>
      <c r="AG26" s="64">
        <v>1092.4000000000001</v>
      </c>
      <c r="AH26" s="72">
        <f t="shared" si="11"/>
        <v>2.5</v>
      </c>
      <c r="AI26" s="64">
        <v>379.43</v>
      </c>
      <c r="AJ26" s="72">
        <f t="shared" si="28"/>
        <v>1060.0000000000023</v>
      </c>
      <c r="AK26" s="64">
        <v>131.88999999999999</v>
      </c>
      <c r="AL26" s="72">
        <f t="shared" si="12"/>
        <v>0.32999999999998408</v>
      </c>
      <c r="AM26" s="64">
        <v>133.84</v>
      </c>
      <c r="AN26" s="72">
        <f t="shared" si="13"/>
        <v>0.34000000000000341</v>
      </c>
      <c r="AO26" s="64">
        <v>131.44999999999999</v>
      </c>
      <c r="AP26" s="72">
        <f t="shared" si="14"/>
        <v>0.33999999999997499</v>
      </c>
      <c r="AQ26" s="64">
        <v>204.78</v>
      </c>
      <c r="AR26" s="72">
        <f t="shared" si="29"/>
        <v>189.99999999999773</v>
      </c>
      <c r="AS26" s="64">
        <v>329.38</v>
      </c>
      <c r="AT26" s="72">
        <f t="shared" si="30"/>
        <v>310.00000000000227</v>
      </c>
      <c r="AU26" s="64">
        <v>254.05</v>
      </c>
      <c r="AV26" s="72">
        <f t="shared" si="31"/>
        <v>200.00000000001705</v>
      </c>
      <c r="AW26" s="64">
        <v>282.76</v>
      </c>
      <c r="AX26" s="72">
        <f t="shared" si="32"/>
        <v>370.00000000000455</v>
      </c>
      <c r="AY26" s="64">
        <v>333.94</v>
      </c>
      <c r="AZ26" s="72">
        <f t="shared" si="33"/>
        <v>250</v>
      </c>
      <c r="BA26" s="64">
        <v>354.84</v>
      </c>
      <c r="BB26" s="72">
        <f t="shared" si="34"/>
        <v>389.99999999998636</v>
      </c>
      <c r="BC26" s="64">
        <v>202.27</v>
      </c>
      <c r="BD26" s="72">
        <f t="shared" si="35"/>
        <v>10.000000000019327</v>
      </c>
      <c r="BE26" s="66">
        <v>25449</v>
      </c>
      <c r="BF26" s="72">
        <f t="shared" si="15"/>
        <v>60</v>
      </c>
      <c r="BG26" s="67">
        <v>221.22</v>
      </c>
      <c r="BH26" s="72">
        <f t="shared" si="36"/>
        <v>39.999999999992042</v>
      </c>
      <c r="BI26" s="67">
        <v>278.16000000000003</v>
      </c>
      <c r="BJ26" s="72">
        <f t="shared" si="37"/>
        <v>50.000000000011369</v>
      </c>
      <c r="BK26" s="67">
        <v>226.22</v>
      </c>
      <c r="BL26" s="72">
        <f t="shared" si="38"/>
        <v>60.000000000002274</v>
      </c>
      <c r="BM26" s="67">
        <v>208.94</v>
      </c>
      <c r="BN26" s="72">
        <f t="shared" si="39"/>
        <v>69.999999999993179</v>
      </c>
      <c r="BO26" s="67">
        <v>272.81</v>
      </c>
      <c r="BP26" s="72">
        <f t="shared" si="40"/>
        <v>50.000000000011369</v>
      </c>
      <c r="BQ26" s="67">
        <v>35775</v>
      </c>
      <c r="BR26" s="72">
        <f t="shared" si="16"/>
        <v>46</v>
      </c>
      <c r="BS26" s="67">
        <v>190.14</v>
      </c>
      <c r="BT26" s="72">
        <f t="shared" si="41"/>
        <v>39.999999999992042</v>
      </c>
      <c r="BU26" s="67">
        <v>26683</v>
      </c>
      <c r="BV26" s="72">
        <f t="shared" si="1"/>
        <v>48</v>
      </c>
      <c r="BW26" s="67">
        <v>219.48</v>
      </c>
      <c r="BX26" s="72">
        <f t="shared" si="42"/>
        <v>39.999999999992042</v>
      </c>
      <c r="BY26" s="67">
        <v>43781</v>
      </c>
      <c r="BZ26" s="72">
        <f t="shared" si="17"/>
        <v>69</v>
      </c>
      <c r="CA26" s="67">
        <v>26209.8</v>
      </c>
      <c r="CB26" s="72">
        <f t="shared" si="18"/>
        <v>36.099999999998545</v>
      </c>
      <c r="CC26" s="67">
        <v>10870.7</v>
      </c>
      <c r="CD26" s="72">
        <f t="shared" si="19"/>
        <v>13.5</v>
      </c>
      <c r="CE26" s="67">
        <v>5309.3</v>
      </c>
      <c r="CF26" s="72">
        <f t="shared" si="20"/>
        <v>10.900000000000546</v>
      </c>
      <c r="CG26" s="67">
        <v>40069.300000000003</v>
      </c>
      <c r="CH26" s="72">
        <f t="shared" si="21"/>
        <v>60.100000000005821</v>
      </c>
      <c r="CI26" s="67">
        <v>831336</v>
      </c>
      <c r="CJ26" s="72">
        <f t="shared" si="2"/>
        <v>309</v>
      </c>
      <c r="CK26" s="67">
        <v>521.75</v>
      </c>
      <c r="CL26" s="71">
        <f t="shared" si="22"/>
        <v>799.99999999995453</v>
      </c>
      <c r="CM26" s="72">
        <v>110</v>
      </c>
      <c r="CN26" s="69">
        <v>48</v>
      </c>
      <c r="CO26" s="69">
        <v>128</v>
      </c>
    </row>
    <row r="27" spans="1:93" ht="25.5" customHeight="1" thickBot="1" x14ac:dyDescent="0.45">
      <c r="A27" s="70">
        <v>43885</v>
      </c>
      <c r="B27" s="48"/>
      <c r="C27" s="64">
        <v>1.5311999999999999</v>
      </c>
      <c r="D27" s="71">
        <f t="shared" si="3"/>
        <v>3599.9999999998254</v>
      </c>
      <c r="E27" s="64">
        <v>2.5297000000000001</v>
      </c>
      <c r="F27" s="71">
        <f t="shared" si="4"/>
        <v>4300.0000000001928</v>
      </c>
      <c r="G27" s="64">
        <v>2.3328000000000002</v>
      </c>
      <c r="H27" s="71">
        <f t="shared" si="5"/>
        <v>3800.0000000000255</v>
      </c>
      <c r="I27" s="64">
        <v>1.0963000000000001</v>
      </c>
      <c r="J27" s="71">
        <f t="shared" si="43"/>
        <v>1800.0000000000239</v>
      </c>
      <c r="K27" s="64">
        <v>1.6768000000000001</v>
      </c>
      <c r="L27" s="71">
        <f t="shared" si="0"/>
        <v>2299.9999999999686</v>
      </c>
      <c r="M27" s="64">
        <v>1.0714999999999999</v>
      </c>
      <c r="N27" s="71">
        <f t="shared" si="6"/>
        <v>2299.9999999999686</v>
      </c>
      <c r="O27" s="64">
        <v>11913</v>
      </c>
      <c r="P27" s="72">
        <f t="shared" si="7"/>
        <v>19</v>
      </c>
      <c r="Q27" s="64">
        <v>4788</v>
      </c>
      <c r="R27" s="72">
        <f t="shared" si="8"/>
        <v>9</v>
      </c>
      <c r="S27" s="64">
        <v>775152</v>
      </c>
      <c r="T27" s="72">
        <f t="shared" si="44"/>
        <v>1653</v>
      </c>
      <c r="U27" s="64">
        <v>313645</v>
      </c>
      <c r="V27" s="72">
        <f t="shared" si="10"/>
        <v>565</v>
      </c>
      <c r="W27" s="64">
        <v>304.45999999999998</v>
      </c>
      <c r="X27" s="72">
        <f t="shared" si="23"/>
        <v>500</v>
      </c>
      <c r="Y27" s="64">
        <v>2.246</v>
      </c>
      <c r="Z27" s="72">
        <f t="shared" si="24"/>
        <v>3899.9999999997926</v>
      </c>
      <c r="AA27" s="64">
        <v>305.05</v>
      </c>
      <c r="AB27" s="72">
        <f t="shared" si="25"/>
        <v>620.00000000000455</v>
      </c>
      <c r="AC27" s="64">
        <v>275.31</v>
      </c>
      <c r="AD27" s="72">
        <f t="shared" si="26"/>
        <v>550.00000000001137</v>
      </c>
      <c r="AE27" s="64">
        <v>418.74</v>
      </c>
      <c r="AF27" s="72">
        <f t="shared" si="27"/>
        <v>1060.0000000000023</v>
      </c>
      <c r="AG27" s="64">
        <v>1094.8</v>
      </c>
      <c r="AH27" s="72">
        <f t="shared" si="11"/>
        <v>2.3999999999998636</v>
      </c>
      <c r="AI27" s="64">
        <v>380.43</v>
      </c>
      <c r="AJ27" s="72">
        <f t="shared" si="28"/>
        <v>1000</v>
      </c>
      <c r="AK27" s="64">
        <v>132.16</v>
      </c>
      <c r="AL27" s="72">
        <f t="shared" si="12"/>
        <v>0.27000000000001023</v>
      </c>
      <c r="AM27" s="64">
        <v>134.16</v>
      </c>
      <c r="AN27" s="72">
        <f t="shared" si="13"/>
        <v>0.31999999999999318</v>
      </c>
      <c r="AO27" s="64">
        <v>131.76</v>
      </c>
      <c r="AP27" s="72">
        <f t="shared" si="14"/>
        <v>0.31000000000000227</v>
      </c>
      <c r="AQ27" s="64">
        <v>204.96</v>
      </c>
      <c r="AR27" s="72">
        <f t="shared" si="29"/>
        <v>180.00000000000682</v>
      </c>
      <c r="AS27" s="64">
        <v>329.64</v>
      </c>
      <c r="AT27" s="72">
        <f t="shared" si="30"/>
        <v>259.99999999999091</v>
      </c>
      <c r="AU27" s="64">
        <v>254.19</v>
      </c>
      <c r="AV27" s="72">
        <f t="shared" si="31"/>
        <v>139.99999999998636</v>
      </c>
      <c r="AW27" s="64">
        <v>283.08</v>
      </c>
      <c r="AX27" s="72">
        <f t="shared" si="32"/>
        <v>319.99999999999318</v>
      </c>
      <c r="AY27" s="64">
        <v>334.13</v>
      </c>
      <c r="AZ27" s="72">
        <f t="shared" si="33"/>
        <v>189.99999999999773</v>
      </c>
      <c r="BA27" s="64">
        <v>355.13</v>
      </c>
      <c r="BB27" s="72">
        <f t="shared" si="34"/>
        <v>290.00000000002046</v>
      </c>
      <c r="BC27" s="64">
        <v>202.28</v>
      </c>
      <c r="BD27" s="72">
        <f t="shared" si="35"/>
        <v>9.9999999999909051</v>
      </c>
      <c r="BE27" s="66">
        <v>25501</v>
      </c>
      <c r="BF27" s="72">
        <f t="shared" si="15"/>
        <v>52</v>
      </c>
      <c r="BG27" s="67">
        <v>221.25</v>
      </c>
      <c r="BH27" s="72">
        <f t="shared" si="36"/>
        <v>30.000000000001137</v>
      </c>
      <c r="BI27" s="67">
        <v>278.20999999999998</v>
      </c>
      <c r="BJ27" s="72">
        <f t="shared" si="37"/>
        <v>49.999999999954525</v>
      </c>
      <c r="BK27" s="67">
        <v>226.26</v>
      </c>
      <c r="BL27" s="72">
        <f t="shared" si="38"/>
        <v>39.999999999992042</v>
      </c>
      <c r="BM27" s="67">
        <v>208.98</v>
      </c>
      <c r="BN27" s="72">
        <f t="shared" si="39"/>
        <v>39.999999999992042</v>
      </c>
      <c r="BO27" s="67">
        <v>272.85000000000002</v>
      </c>
      <c r="BP27" s="72">
        <f t="shared" si="40"/>
        <v>40.000000000020464</v>
      </c>
      <c r="BQ27" s="67">
        <v>35819</v>
      </c>
      <c r="BR27" s="72">
        <f t="shared" si="16"/>
        <v>44</v>
      </c>
      <c r="BS27" s="67">
        <v>190.17</v>
      </c>
      <c r="BT27" s="72">
        <f t="shared" si="41"/>
        <v>30.000000000001137</v>
      </c>
      <c r="BU27" s="67">
        <v>26726</v>
      </c>
      <c r="BV27" s="72">
        <f t="shared" si="1"/>
        <v>43</v>
      </c>
      <c r="BW27" s="67">
        <v>219.52</v>
      </c>
      <c r="BX27" s="72">
        <f t="shared" si="42"/>
        <v>40.000000000020464</v>
      </c>
      <c r="BY27" s="67">
        <v>43847</v>
      </c>
      <c r="BZ27" s="72">
        <f t="shared" si="17"/>
        <v>66</v>
      </c>
      <c r="CA27" s="67">
        <v>26249</v>
      </c>
      <c r="CB27" s="72">
        <f t="shared" si="18"/>
        <v>39.200000000000728</v>
      </c>
      <c r="CC27" s="67">
        <v>10882.8</v>
      </c>
      <c r="CD27" s="72">
        <f t="shared" si="19"/>
        <v>12.099999999998545</v>
      </c>
      <c r="CE27" s="67">
        <v>5318.7</v>
      </c>
      <c r="CF27" s="72">
        <f t="shared" si="20"/>
        <v>9.3999999999996362</v>
      </c>
      <c r="CG27" s="67">
        <v>40139.800000000003</v>
      </c>
      <c r="CH27" s="72">
        <f t="shared" si="21"/>
        <v>70.5</v>
      </c>
      <c r="CI27" s="67">
        <v>831664</v>
      </c>
      <c r="CJ27" s="72">
        <f t="shared" si="2"/>
        <v>328</v>
      </c>
      <c r="CK27" s="67">
        <v>522.41</v>
      </c>
      <c r="CL27" s="71">
        <f t="shared" si="22"/>
        <v>659.99999999996817</v>
      </c>
      <c r="CM27" s="72">
        <v>111</v>
      </c>
      <c r="CN27" s="69">
        <v>52</v>
      </c>
      <c r="CO27" s="69">
        <v>135</v>
      </c>
    </row>
    <row r="28" spans="1:93" ht="25.5" customHeight="1" thickBot="1" x14ac:dyDescent="0.45">
      <c r="A28" s="70">
        <v>43886</v>
      </c>
      <c r="B28" s="48"/>
      <c r="C28" s="64">
        <v>1.5342</v>
      </c>
      <c r="D28" s="71">
        <f t="shared" si="3"/>
        <v>3000.0000000001137</v>
      </c>
      <c r="E28" s="64">
        <v>2.5335000000000001</v>
      </c>
      <c r="F28" s="71">
        <f t="shared" si="4"/>
        <v>3800.0000000000255</v>
      </c>
      <c r="G28" s="64">
        <v>2.3365</v>
      </c>
      <c r="H28" s="71">
        <f t="shared" si="5"/>
        <v>3699.9999999998145</v>
      </c>
      <c r="I28" s="64">
        <v>1.0978000000000001</v>
      </c>
      <c r="J28" s="71">
        <f t="shared" si="43"/>
        <v>1500.0000000000568</v>
      </c>
      <c r="K28" s="64">
        <v>1.6788000000000001</v>
      </c>
      <c r="L28" s="71">
        <f t="shared" si="0"/>
        <v>2000.0000000000018</v>
      </c>
      <c r="M28" s="64">
        <v>1.0734999999999999</v>
      </c>
      <c r="N28" s="71">
        <f t="shared" si="6"/>
        <v>2000.0000000000018</v>
      </c>
      <c r="O28" s="64">
        <v>11931</v>
      </c>
      <c r="P28" s="72">
        <f t="shared" si="7"/>
        <v>18</v>
      </c>
      <c r="Q28" s="64">
        <v>4797</v>
      </c>
      <c r="R28" s="72">
        <f t="shared" si="8"/>
        <v>9</v>
      </c>
      <c r="S28" s="64">
        <v>776615</v>
      </c>
      <c r="T28" s="72">
        <f t="shared" si="44"/>
        <v>1463</v>
      </c>
      <c r="U28" s="64">
        <v>314155</v>
      </c>
      <c r="V28" s="72">
        <f t="shared" si="10"/>
        <v>510</v>
      </c>
      <c r="W28" s="64">
        <v>304.91000000000003</v>
      </c>
      <c r="X28" s="72">
        <f t="shared" si="23"/>
        <v>450.00000000004547</v>
      </c>
      <c r="Y28" s="64">
        <v>2.2494999999999998</v>
      </c>
      <c r="Z28" s="72">
        <f t="shared" si="24"/>
        <v>3499.9999999998367</v>
      </c>
      <c r="AA28" s="64">
        <v>305.61</v>
      </c>
      <c r="AB28" s="72">
        <f t="shared" si="25"/>
        <v>560.00000000000227</v>
      </c>
      <c r="AC28" s="64">
        <v>275.82</v>
      </c>
      <c r="AD28" s="72">
        <f t="shared" si="26"/>
        <v>509.99999999999091</v>
      </c>
      <c r="AE28" s="64">
        <v>419.73</v>
      </c>
      <c r="AF28" s="72">
        <f t="shared" si="27"/>
        <v>990.00000000000909</v>
      </c>
      <c r="AG28" s="64">
        <v>1097.0999999999999</v>
      </c>
      <c r="AH28" s="72">
        <f t="shared" si="11"/>
        <v>2.2999999999999545</v>
      </c>
      <c r="AI28" s="64">
        <v>381.38</v>
      </c>
      <c r="AJ28" s="72">
        <f t="shared" si="28"/>
        <v>949.99999999998863</v>
      </c>
      <c r="AK28" s="64">
        <v>132.38</v>
      </c>
      <c r="AL28" s="72">
        <f t="shared" si="12"/>
        <v>0.21999999999999886</v>
      </c>
      <c r="AM28" s="64">
        <v>134.41</v>
      </c>
      <c r="AN28" s="72">
        <f t="shared" si="13"/>
        <v>0.25</v>
      </c>
      <c r="AO28" s="64">
        <v>132.02000000000001</v>
      </c>
      <c r="AP28" s="72">
        <f t="shared" si="14"/>
        <v>0.26000000000001933</v>
      </c>
      <c r="AQ28" s="64">
        <v>205.11</v>
      </c>
      <c r="AR28" s="72">
        <f t="shared" si="29"/>
        <v>150.00000000000568</v>
      </c>
      <c r="AS28" s="64">
        <v>329.85</v>
      </c>
      <c r="AT28" s="72">
        <f t="shared" si="30"/>
        <v>210.00000000003638</v>
      </c>
      <c r="AU28" s="64">
        <v>254.31</v>
      </c>
      <c r="AV28" s="72">
        <f t="shared" si="31"/>
        <v>120.00000000000455</v>
      </c>
      <c r="AW28" s="64">
        <v>283.39999999999998</v>
      </c>
      <c r="AX28" s="72">
        <f t="shared" si="32"/>
        <v>319.99999999999318</v>
      </c>
      <c r="AY28" s="64">
        <v>334.28</v>
      </c>
      <c r="AZ28" s="72">
        <f t="shared" si="33"/>
        <v>149.99999999997726</v>
      </c>
      <c r="BA28" s="64">
        <v>355.4</v>
      </c>
      <c r="BB28" s="72">
        <f t="shared" si="34"/>
        <v>269.99999999998181</v>
      </c>
      <c r="BC28" s="64">
        <v>202.3</v>
      </c>
      <c r="BD28" s="72">
        <f t="shared" si="35"/>
        <v>20.000000000010232</v>
      </c>
      <c r="BE28" s="66">
        <v>25557</v>
      </c>
      <c r="BF28" s="72">
        <f t="shared" si="15"/>
        <v>56</v>
      </c>
      <c r="BG28" s="67">
        <v>221.29</v>
      </c>
      <c r="BH28" s="72">
        <f t="shared" si="36"/>
        <v>39.999999999992042</v>
      </c>
      <c r="BI28" s="67">
        <v>278.26</v>
      </c>
      <c r="BJ28" s="72">
        <f t="shared" si="37"/>
        <v>50.000000000011369</v>
      </c>
      <c r="BK28" s="67">
        <v>226.31</v>
      </c>
      <c r="BL28" s="72">
        <f t="shared" si="38"/>
        <v>50.000000000011369</v>
      </c>
      <c r="BM28" s="67">
        <v>209.02</v>
      </c>
      <c r="BN28" s="72">
        <f t="shared" si="39"/>
        <v>40.000000000020464</v>
      </c>
      <c r="BO28" s="67">
        <v>272.89</v>
      </c>
      <c r="BP28" s="72">
        <f t="shared" si="40"/>
        <v>39.99999999996362</v>
      </c>
      <c r="BQ28" s="67">
        <v>35860</v>
      </c>
      <c r="BR28" s="72">
        <f t="shared" si="16"/>
        <v>41</v>
      </c>
      <c r="BS28" s="67">
        <v>190.22</v>
      </c>
      <c r="BT28" s="72">
        <f t="shared" si="41"/>
        <v>50.000000000011369</v>
      </c>
      <c r="BU28" s="67">
        <v>26771</v>
      </c>
      <c r="BV28" s="72">
        <f t="shared" si="1"/>
        <v>45</v>
      </c>
      <c r="BW28" s="67">
        <v>219.57</v>
      </c>
      <c r="BX28" s="72">
        <f t="shared" si="42"/>
        <v>49.999999999982947</v>
      </c>
      <c r="BY28" s="67">
        <v>43920</v>
      </c>
      <c r="BZ28" s="72">
        <f t="shared" si="17"/>
        <v>73</v>
      </c>
      <c r="CA28" s="67">
        <v>26276.5</v>
      </c>
      <c r="CB28" s="72">
        <f t="shared" si="18"/>
        <v>27.5</v>
      </c>
      <c r="CC28" s="67">
        <v>10894.4</v>
      </c>
      <c r="CD28" s="72">
        <f t="shared" si="19"/>
        <v>11.600000000000364</v>
      </c>
      <c r="CE28" s="67">
        <v>5328.2</v>
      </c>
      <c r="CF28" s="72">
        <f t="shared" si="20"/>
        <v>9.5</v>
      </c>
      <c r="CG28" s="67">
        <v>40253.9</v>
      </c>
      <c r="CH28" s="72">
        <f t="shared" si="21"/>
        <v>114.09999999999854</v>
      </c>
      <c r="CI28" s="67">
        <v>831947</v>
      </c>
      <c r="CJ28" s="72">
        <f t="shared" si="2"/>
        <v>283</v>
      </c>
      <c r="CK28" s="67">
        <v>523.03</v>
      </c>
      <c r="CL28" s="71">
        <f t="shared" si="22"/>
        <v>620.00000000000455</v>
      </c>
      <c r="CM28" s="72">
        <v>98.5</v>
      </c>
      <c r="CN28" s="69">
        <v>45</v>
      </c>
      <c r="CO28" s="69">
        <v>118</v>
      </c>
    </row>
    <row r="29" spans="1:93" ht="25.5" customHeight="1" thickBot="1" x14ac:dyDescent="0.45">
      <c r="A29" s="70">
        <v>43887</v>
      </c>
      <c r="B29" s="48"/>
      <c r="C29" s="64">
        <v>1.5375000000000001</v>
      </c>
      <c r="D29" s="71">
        <f t="shared" si="3"/>
        <v>3300.0000000000805</v>
      </c>
      <c r="E29" s="64">
        <v>2.5377000000000001</v>
      </c>
      <c r="F29" s="71">
        <f t="shared" si="4"/>
        <v>4199.9999999999818</v>
      </c>
      <c r="G29" s="64">
        <v>2.3401000000000001</v>
      </c>
      <c r="H29" s="71">
        <f t="shared" si="5"/>
        <v>3600.0000000000477</v>
      </c>
      <c r="I29" s="64">
        <v>1.0994999999999999</v>
      </c>
      <c r="J29" s="71">
        <f t="shared" si="43"/>
        <v>1699.9999999998129</v>
      </c>
      <c r="K29" s="64">
        <v>1.6811</v>
      </c>
      <c r="L29" s="71">
        <f t="shared" si="0"/>
        <v>2299.9999999999686</v>
      </c>
      <c r="M29" s="64">
        <v>1.0758000000000001</v>
      </c>
      <c r="N29" s="71">
        <f t="shared" si="6"/>
        <v>2300.000000000191</v>
      </c>
      <c r="O29" s="64">
        <v>11950</v>
      </c>
      <c r="P29" s="72">
        <f t="shared" si="7"/>
        <v>19</v>
      </c>
      <c r="Q29" s="64">
        <v>4806</v>
      </c>
      <c r="R29" s="72">
        <f t="shared" si="8"/>
        <v>9</v>
      </c>
      <c r="S29" s="64">
        <v>778939.7</v>
      </c>
      <c r="T29" s="72">
        <f t="shared" si="44"/>
        <v>2324.6999999999534</v>
      </c>
      <c r="U29" s="64">
        <v>315139.20000000001</v>
      </c>
      <c r="V29" s="72">
        <f t="shared" si="10"/>
        <v>984.20000000001164</v>
      </c>
      <c r="W29" s="64">
        <v>305.44</v>
      </c>
      <c r="X29" s="72">
        <f t="shared" si="23"/>
        <v>529.99999999997272</v>
      </c>
      <c r="Y29" s="64">
        <v>2.2530999999999999</v>
      </c>
      <c r="Z29" s="72">
        <f t="shared" si="24"/>
        <v>3600.0000000000477</v>
      </c>
      <c r="AA29" s="64">
        <v>306.18</v>
      </c>
      <c r="AB29" s="72">
        <f t="shared" si="25"/>
        <v>569.99999999999318</v>
      </c>
      <c r="AC29" s="64">
        <v>276.39</v>
      </c>
      <c r="AD29" s="72">
        <f t="shared" si="26"/>
        <v>569.99999999999318</v>
      </c>
      <c r="AE29" s="64">
        <v>420.77</v>
      </c>
      <c r="AF29" s="72">
        <f t="shared" si="27"/>
        <v>1039.9999999999636</v>
      </c>
      <c r="AG29" s="64">
        <v>1099.0999999999999</v>
      </c>
      <c r="AH29" s="72">
        <f t="shared" si="11"/>
        <v>2</v>
      </c>
      <c r="AI29" s="64">
        <v>382.27</v>
      </c>
      <c r="AJ29" s="72">
        <f t="shared" si="28"/>
        <v>889.99999999998636</v>
      </c>
      <c r="AK29" s="64">
        <v>132.65</v>
      </c>
      <c r="AL29" s="72">
        <f t="shared" si="12"/>
        <v>0.27000000000001023</v>
      </c>
      <c r="AM29" s="64">
        <v>134.69999999999999</v>
      </c>
      <c r="AN29" s="72">
        <f t="shared" si="13"/>
        <v>0.28999999999999204</v>
      </c>
      <c r="AO29" s="64">
        <v>132.33000000000001</v>
      </c>
      <c r="AP29" s="72">
        <f t="shared" si="14"/>
        <v>0.31000000000000227</v>
      </c>
      <c r="AQ29" s="64">
        <v>205.27</v>
      </c>
      <c r="AR29" s="72">
        <f t="shared" si="29"/>
        <v>159.99999999999659</v>
      </c>
      <c r="AS29" s="64">
        <v>330.06</v>
      </c>
      <c r="AT29" s="72">
        <f t="shared" si="30"/>
        <v>209.99999999997954</v>
      </c>
      <c r="AU29" s="64">
        <v>254.43</v>
      </c>
      <c r="AV29" s="72">
        <f t="shared" si="31"/>
        <v>120.00000000000455</v>
      </c>
      <c r="AW29" s="64">
        <v>283.63</v>
      </c>
      <c r="AX29" s="72">
        <f t="shared" si="32"/>
        <v>230.00000000001819</v>
      </c>
      <c r="AY29" s="64">
        <v>334.43</v>
      </c>
      <c r="AZ29" s="72">
        <f t="shared" si="33"/>
        <v>150.00000000003411</v>
      </c>
      <c r="BA29" s="64">
        <v>355.68</v>
      </c>
      <c r="BB29" s="72">
        <f t="shared" si="34"/>
        <v>280.00000000002956</v>
      </c>
      <c r="BC29" s="64">
        <v>202.31</v>
      </c>
      <c r="BD29" s="72">
        <f t="shared" si="35"/>
        <v>9.9999999999909051</v>
      </c>
      <c r="BE29" s="66">
        <v>25605</v>
      </c>
      <c r="BF29" s="72">
        <f t="shared" si="15"/>
        <v>48</v>
      </c>
      <c r="BG29" s="67">
        <v>221.32</v>
      </c>
      <c r="BH29" s="72">
        <f t="shared" si="36"/>
        <v>30.000000000001137</v>
      </c>
      <c r="BI29" s="67">
        <v>278.3</v>
      </c>
      <c r="BJ29" s="72">
        <f t="shared" si="37"/>
        <v>40.000000000020464</v>
      </c>
      <c r="BK29" s="67">
        <v>226.35</v>
      </c>
      <c r="BL29" s="72">
        <f t="shared" si="38"/>
        <v>39.999999999992042</v>
      </c>
      <c r="BM29" s="67">
        <v>209.06</v>
      </c>
      <c r="BN29" s="72">
        <f t="shared" si="39"/>
        <v>39.999999999992042</v>
      </c>
      <c r="BO29" s="67">
        <v>272.94</v>
      </c>
      <c r="BP29" s="72">
        <f t="shared" si="40"/>
        <v>50.000000000011369</v>
      </c>
      <c r="BQ29" s="67">
        <v>35900</v>
      </c>
      <c r="BR29" s="72">
        <f t="shared" si="16"/>
        <v>40</v>
      </c>
      <c r="BS29" s="67">
        <v>190.26</v>
      </c>
      <c r="BT29" s="72">
        <f t="shared" si="41"/>
        <v>39.999999999992042</v>
      </c>
      <c r="BU29" s="67">
        <v>26811</v>
      </c>
      <c r="BV29" s="72">
        <f t="shared" si="1"/>
        <v>40</v>
      </c>
      <c r="BW29" s="67">
        <v>219.61</v>
      </c>
      <c r="BX29" s="72">
        <f t="shared" si="42"/>
        <v>40.000000000020464</v>
      </c>
      <c r="BY29" s="67">
        <v>43981</v>
      </c>
      <c r="BZ29" s="72">
        <f t="shared" si="17"/>
        <v>61</v>
      </c>
      <c r="CA29" s="67">
        <v>26313.5</v>
      </c>
      <c r="CB29" s="72">
        <f t="shared" si="18"/>
        <v>37</v>
      </c>
      <c r="CC29" s="67">
        <v>10906.5</v>
      </c>
      <c r="CD29" s="72">
        <f t="shared" si="19"/>
        <v>12.100000000000364</v>
      </c>
      <c r="CE29" s="67">
        <v>5333.6</v>
      </c>
      <c r="CF29" s="72">
        <f t="shared" si="20"/>
        <v>5.4000000000005457</v>
      </c>
      <c r="CG29" s="67">
        <v>40363.5</v>
      </c>
      <c r="CH29" s="72">
        <f t="shared" si="21"/>
        <v>109.59999999999854</v>
      </c>
      <c r="CI29" s="67">
        <v>832269</v>
      </c>
      <c r="CJ29" s="72">
        <f t="shared" si="2"/>
        <v>322</v>
      </c>
      <c r="CK29" s="67">
        <v>523.63</v>
      </c>
      <c r="CL29" s="71">
        <f t="shared" si="22"/>
        <v>600.00000000002274</v>
      </c>
      <c r="CM29" s="72">
        <v>110.1</v>
      </c>
      <c r="CN29" s="69">
        <v>38</v>
      </c>
      <c r="CO29" s="69">
        <v>102</v>
      </c>
    </row>
    <row r="30" spans="1:93" ht="25.5" customHeight="1" thickBot="1" x14ac:dyDescent="0.45">
      <c r="A30" s="70">
        <v>43888</v>
      </c>
      <c r="B30" s="48"/>
      <c r="C30" s="64"/>
      <c r="D30" s="71" t="str">
        <f t="shared" si="3"/>
        <v>0</v>
      </c>
      <c r="E30" s="64"/>
      <c r="F30" s="71" t="str">
        <f t="shared" si="4"/>
        <v>0</v>
      </c>
      <c r="G30" s="64"/>
      <c r="H30" s="71" t="str">
        <f t="shared" si="5"/>
        <v>0</v>
      </c>
      <c r="I30" s="64"/>
      <c r="J30" s="71" t="str">
        <f t="shared" si="43"/>
        <v>0</v>
      </c>
      <c r="K30" s="64"/>
      <c r="L30" s="71" t="str">
        <f t="shared" si="0"/>
        <v>0</v>
      </c>
      <c r="M30" s="64"/>
      <c r="N30" s="71" t="str">
        <f t="shared" si="6"/>
        <v/>
      </c>
      <c r="O30" s="64"/>
      <c r="P30" s="72" t="str">
        <f t="shared" si="7"/>
        <v/>
      </c>
      <c r="Q30" s="64"/>
      <c r="R30" s="72" t="str">
        <f t="shared" si="8"/>
        <v/>
      </c>
      <c r="S30" s="64"/>
      <c r="T30" s="72" t="str">
        <f t="shared" si="44"/>
        <v/>
      </c>
      <c r="U30" s="64"/>
      <c r="V30" s="72" t="str">
        <f t="shared" si="10"/>
        <v/>
      </c>
      <c r="W30" s="64"/>
      <c r="X30" s="72" t="str">
        <f t="shared" si="23"/>
        <v/>
      </c>
      <c r="Y30" s="64"/>
      <c r="Z30" s="72" t="str">
        <f t="shared" si="24"/>
        <v/>
      </c>
      <c r="AA30" s="64"/>
      <c r="AB30" s="72" t="str">
        <f t="shared" si="25"/>
        <v/>
      </c>
      <c r="AC30" s="64"/>
      <c r="AD30" s="72" t="str">
        <f t="shared" si="26"/>
        <v/>
      </c>
      <c r="AE30" s="64"/>
      <c r="AF30" s="72" t="str">
        <f t="shared" si="27"/>
        <v/>
      </c>
      <c r="AG30" s="64"/>
      <c r="AH30" s="72" t="str">
        <f t="shared" si="11"/>
        <v/>
      </c>
      <c r="AI30" s="64"/>
      <c r="AJ30" s="72" t="str">
        <f t="shared" si="28"/>
        <v/>
      </c>
      <c r="AK30" s="64"/>
      <c r="AL30" s="72" t="str">
        <f t="shared" si="12"/>
        <v/>
      </c>
      <c r="AM30" s="64"/>
      <c r="AN30" s="72" t="str">
        <f t="shared" si="13"/>
        <v/>
      </c>
      <c r="AO30" s="64"/>
      <c r="AP30" s="72" t="str">
        <f t="shared" si="14"/>
        <v/>
      </c>
      <c r="AQ30" s="64"/>
      <c r="AR30" s="72" t="str">
        <f t="shared" si="29"/>
        <v/>
      </c>
      <c r="AS30" s="64"/>
      <c r="AT30" s="72" t="str">
        <f t="shared" si="30"/>
        <v/>
      </c>
      <c r="AU30" s="64"/>
      <c r="AV30" s="72" t="str">
        <f t="shared" si="31"/>
        <v/>
      </c>
      <c r="AW30" s="64"/>
      <c r="AX30" s="72" t="str">
        <f t="shared" si="32"/>
        <v/>
      </c>
      <c r="AY30" s="64"/>
      <c r="AZ30" s="72" t="str">
        <f t="shared" si="33"/>
        <v/>
      </c>
      <c r="BA30" s="64"/>
      <c r="BB30" s="72" t="str">
        <f t="shared" si="34"/>
        <v/>
      </c>
      <c r="BC30" s="64"/>
      <c r="BD30" s="72" t="str">
        <f t="shared" si="35"/>
        <v/>
      </c>
      <c r="BE30" s="66"/>
      <c r="BF30" s="72" t="str">
        <f t="shared" si="15"/>
        <v/>
      </c>
      <c r="BG30" s="67"/>
      <c r="BH30" s="72" t="str">
        <f t="shared" si="36"/>
        <v/>
      </c>
      <c r="BI30" s="67"/>
      <c r="BJ30" s="72" t="str">
        <f t="shared" si="37"/>
        <v/>
      </c>
      <c r="BK30" s="67"/>
      <c r="BL30" s="72" t="str">
        <f t="shared" si="38"/>
        <v/>
      </c>
      <c r="BM30" s="67"/>
      <c r="BN30" s="72" t="str">
        <f t="shared" si="39"/>
        <v/>
      </c>
      <c r="BO30" s="67"/>
      <c r="BP30" s="72" t="str">
        <f t="shared" si="40"/>
        <v/>
      </c>
      <c r="BQ30" s="67"/>
      <c r="BR30" s="72" t="str">
        <f t="shared" si="16"/>
        <v/>
      </c>
      <c r="BS30" s="67"/>
      <c r="BT30" s="72" t="str">
        <f t="shared" si="41"/>
        <v/>
      </c>
      <c r="BU30" s="67"/>
      <c r="BV30" s="72" t="str">
        <f t="shared" si="1"/>
        <v/>
      </c>
      <c r="BW30" s="67"/>
      <c r="BX30" s="72" t="str">
        <f t="shared" si="42"/>
        <v/>
      </c>
      <c r="BY30" s="67"/>
      <c r="BZ30" s="72" t="str">
        <f t="shared" si="17"/>
        <v/>
      </c>
      <c r="CA30" s="67"/>
      <c r="CB30" s="72" t="str">
        <f t="shared" si="18"/>
        <v/>
      </c>
      <c r="CC30" s="67"/>
      <c r="CD30" s="72" t="str">
        <f t="shared" si="19"/>
        <v/>
      </c>
      <c r="CE30" s="67"/>
      <c r="CF30" s="72" t="str">
        <f t="shared" si="20"/>
        <v/>
      </c>
      <c r="CG30" s="67"/>
      <c r="CH30" s="72" t="str">
        <f t="shared" si="21"/>
        <v/>
      </c>
      <c r="CI30" s="67"/>
      <c r="CJ30" s="72" t="str">
        <f t="shared" si="2"/>
        <v/>
      </c>
      <c r="CK30" s="67"/>
      <c r="CL30" s="71" t="str">
        <f t="shared" si="22"/>
        <v/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487</v>
      </c>
      <c r="R35" s="76">
        <f>SUM(R4:R33)</f>
        <v>223</v>
      </c>
      <c r="AX35" s="72">
        <f t="shared" si="32"/>
        <v>0</v>
      </c>
      <c r="BF35" s="76">
        <f>SUM(BF4:BF33)</f>
        <v>1590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Q34" sqref="Q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25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25">
      <c r="A30" s="27">
        <v>43883</v>
      </c>
      <c r="B30" s="44">
        <v>66</v>
      </c>
      <c r="C30" s="44">
        <v>49</v>
      </c>
      <c r="D30" s="44">
        <v>130</v>
      </c>
      <c r="E30" s="45">
        <v>0</v>
      </c>
      <c r="F30" s="45">
        <v>4543</v>
      </c>
      <c r="G30" s="45">
        <v>10</v>
      </c>
      <c r="H30" s="45">
        <v>1310</v>
      </c>
      <c r="I30" s="45">
        <v>50</v>
      </c>
      <c r="J30" s="45">
        <v>263</v>
      </c>
      <c r="K30" s="46">
        <v>0</v>
      </c>
      <c r="L30" s="46">
        <v>55</v>
      </c>
      <c r="M30" s="46">
        <v>1078</v>
      </c>
      <c r="N30" s="43">
        <v>80</v>
      </c>
      <c r="O30" s="43">
        <v>0</v>
      </c>
      <c r="P30" s="43">
        <v>30</v>
      </c>
      <c r="Q30" s="43">
        <v>2168</v>
      </c>
    </row>
    <row r="31" spans="1:17" x14ac:dyDescent="0.25">
      <c r="A31" s="27">
        <v>43884</v>
      </c>
      <c r="B31" s="44">
        <v>65</v>
      </c>
      <c r="C31" s="44">
        <v>48</v>
      </c>
      <c r="D31" s="44">
        <v>128</v>
      </c>
      <c r="E31" s="45">
        <v>0</v>
      </c>
      <c r="F31" s="45">
        <v>4551</v>
      </c>
      <c r="G31" s="45">
        <v>5</v>
      </c>
      <c r="H31" s="45">
        <v>1312</v>
      </c>
      <c r="I31" s="45">
        <v>50</v>
      </c>
      <c r="J31" s="45">
        <v>263</v>
      </c>
      <c r="K31" s="46">
        <v>0</v>
      </c>
      <c r="L31" s="46">
        <v>50</v>
      </c>
      <c r="M31" s="46">
        <v>1082</v>
      </c>
      <c r="N31" s="43">
        <v>80</v>
      </c>
      <c r="O31" s="43">
        <v>0</v>
      </c>
      <c r="P31" s="43">
        <v>25</v>
      </c>
      <c r="Q31" s="43">
        <v>2170</v>
      </c>
    </row>
    <row r="32" spans="1:17" x14ac:dyDescent="0.25">
      <c r="A32" s="27">
        <v>43885</v>
      </c>
      <c r="B32" s="44">
        <v>68</v>
      </c>
      <c r="C32" s="44">
        <v>52</v>
      </c>
      <c r="D32" s="44">
        <v>135</v>
      </c>
      <c r="E32" s="45">
        <v>0</v>
      </c>
      <c r="F32" s="45">
        <v>4559</v>
      </c>
      <c r="G32" s="45">
        <v>0</v>
      </c>
      <c r="H32" s="45">
        <v>1314</v>
      </c>
      <c r="I32" s="45">
        <v>45</v>
      </c>
      <c r="J32" s="45">
        <v>263</v>
      </c>
      <c r="K32" s="46">
        <v>0</v>
      </c>
      <c r="L32" s="46">
        <v>45</v>
      </c>
      <c r="M32" s="46">
        <v>1085</v>
      </c>
      <c r="N32" s="43">
        <v>80</v>
      </c>
      <c r="O32" s="43">
        <v>0</v>
      </c>
      <c r="P32" s="43">
        <v>20</v>
      </c>
      <c r="Q32" s="43">
        <v>2172</v>
      </c>
    </row>
    <row r="33" spans="1:17" x14ac:dyDescent="0.25">
      <c r="A33" s="27">
        <v>43886</v>
      </c>
      <c r="B33" s="44">
        <v>59</v>
      </c>
      <c r="C33" s="44">
        <v>45</v>
      </c>
      <c r="D33" s="44">
        <v>118</v>
      </c>
      <c r="E33" s="45">
        <v>0</v>
      </c>
      <c r="F33" s="45">
        <v>4567</v>
      </c>
      <c r="G33" s="45">
        <v>0</v>
      </c>
      <c r="H33" s="45">
        <v>1317</v>
      </c>
      <c r="I33" s="45">
        <v>30</v>
      </c>
      <c r="J33" s="45">
        <v>263</v>
      </c>
      <c r="K33" s="46">
        <v>0</v>
      </c>
      <c r="L33" s="46">
        <v>45</v>
      </c>
      <c r="M33" s="46">
        <v>1088</v>
      </c>
      <c r="N33" s="43">
        <v>80</v>
      </c>
      <c r="O33" s="43">
        <v>0</v>
      </c>
      <c r="P33" s="43">
        <v>20</v>
      </c>
      <c r="Q33" s="43">
        <v>2175</v>
      </c>
    </row>
    <row r="34" spans="1:17" x14ac:dyDescent="0.25">
      <c r="A34" s="27">
        <v>43887</v>
      </c>
      <c r="B34" s="44">
        <v>48</v>
      </c>
      <c r="C34" s="44">
        <v>38</v>
      </c>
      <c r="D34" s="44">
        <v>102</v>
      </c>
      <c r="E34" s="45">
        <v>0</v>
      </c>
      <c r="F34" s="45">
        <v>4575</v>
      </c>
      <c r="G34" s="45">
        <v>0</v>
      </c>
      <c r="H34" s="45">
        <v>1319</v>
      </c>
      <c r="I34" s="45">
        <v>20</v>
      </c>
      <c r="J34" s="45">
        <v>263</v>
      </c>
      <c r="K34" s="46">
        <v>0</v>
      </c>
      <c r="L34" s="46">
        <v>40</v>
      </c>
      <c r="M34" s="46">
        <v>1091</v>
      </c>
      <c r="N34" s="43">
        <v>80</v>
      </c>
      <c r="O34" s="43">
        <v>0</v>
      </c>
      <c r="P34" s="43">
        <v>20</v>
      </c>
      <c r="Q34" s="43">
        <v>2177</v>
      </c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2020-02-27T03:32:59Z</dcterms:modified>
</cp:coreProperties>
</file>