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33" i="1" l="1"/>
  <c r="G33" i="1"/>
  <c r="E33" i="1"/>
  <c r="AH36" i="2" l="1"/>
  <c r="AG36" i="2"/>
  <c r="AF36" i="2"/>
  <c r="AH35" i="2"/>
  <c r="AG35" i="2"/>
  <c r="AF35" i="2"/>
  <c r="AH34" i="2"/>
  <c r="AG34" i="2"/>
  <c r="AF34" i="2"/>
  <c r="AH33" i="2"/>
  <c r="AG33" i="2"/>
  <c r="AF33" i="2"/>
  <c r="AH32" i="2"/>
  <c r="AG32" i="2"/>
  <c r="AF32" i="2"/>
  <c r="AH31" i="2"/>
  <c r="AG31" i="2"/>
  <c r="AF31" i="2"/>
  <c r="AH30" i="2"/>
  <c r="AG30" i="2"/>
  <c r="AF30" i="2"/>
  <c r="AH29" i="2"/>
  <c r="AG29" i="2"/>
  <c r="AF29" i="2"/>
  <c r="AH28" i="2"/>
  <c r="AG28" i="2"/>
  <c r="AF28" i="2"/>
  <c r="AH27" i="2"/>
  <c r="AG27" i="2"/>
  <c r="AF27" i="2"/>
  <c r="AH26" i="2"/>
  <c r="AG26" i="2"/>
  <c r="AF26" i="2"/>
  <c r="AH25" i="2"/>
  <c r="AG25" i="2"/>
  <c r="AF25" i="2"/>
  <c r="AH24" i="2"/>
  <c r="AG24" i="2"/>
  <c r="AF24" i="2"/>
  <c r="AH23" i="2"/>
  <c r="AG23" i="2"/>
  <c r="AF23" i="2"/>
  <c r="AH22" i="2"/>
  <c r="AG22" i="2"/>
  <c r="AF22" i="2"/>
  <c r="AH21" i="2"/>
  <c r="AG21" i="2"/>
  <c r="AF21" i="2"/>
  <c r="AH20" i="2"/>
  <c r="AG20" i="2"/>
  <c r="AF20" i="2"/>
  <c r="AH19" i="2"/>
  <c r="AG19" i="2"/>
  <c r="AF19" i="2"/>
  <c r="AH18" i="2"/>
  <c r="AG18" i="2"/>
  <c r="AF18" i="2"/>
  <c r="AH17" i="2"/>
  <c r="AG17" i="2"/>
  <c r="AF17" i="2"/>
  <c r="AH16" i="2"/>
  <c r="AG16" i="2"/>
  <c r="AF16" i="2"/>
  <c r="AH15" i="2"/>
  <c r="AG15" i="2"/>
  <c r="AF15" i="2"/>
  <c r="AH14" i="2"/>
  <c r="AG14" i="2"/>
  <c r="AF14" i="2"/>
  <c r="AH13" i="2"/>
  <c r="AG13" i="2"/>
  <c r="AF13" i="2"/>
  <c r="AH12" i="2"/>
  <c r="AG12" i="2"/>
  <c r="AF12" i="2"/>
  <c r="AH11" i="2"/>
  <c r="AG11" i="2"/>
  <c r="AF11" i="2"/>
  <c r="AH10" i="2"/>
  <c r="AG10" i="2"/>
  <c r="AF10" i="2"/>
  <c r="AH9" i="2"/>
  <c r="AG9" i="2"/>
  <c r="AF9" i="2"/>
  <c r="AH8" i="2"/>
  <c r="AG8" i="2"/>
  <c r="AF8" i="2"/>
  <c r="AH7" i="2"/>
  <c r="AG7" i="2"/>
  <c r="AF7" i="2"/>
  <c r="AH6" i="2"/>
  <c r="AG6" i="2"/>
  <c r="AF6" i="2"/>
  <c r="AI6" i="2"/>
  <c r="AI36" i="2"/>
  <c r="AI35" i="2"/>
  <c r="AI34" i="2"/>
  <c r="AI33" i="2"/>
  <c r="AI32" i="2"/>
  <c r="AI31" i="2"/>
  <c r="AI30" i="2"/>
  <c r="AI29" i="2"/>
  <c r="AI28" i="2"/>
  <c r="AI27" i="2"/>
  <c r="AI26" i="2"/>
  <c r="AI25" i="2"/>
  <c r="AI24" i="2"/>
  <c r="AI23" i="2"/>
  <c r="AI22" i="2"/>
  <c r="AI21" i="2"/>
  <c r="AI20" i="2"/>
  <c r="AI19" i="2"/>
  <c r="AI18" i="2"/>
  <c r="AI17" i="2"/>
  <c r="AI16" i="2"/>
  <c r="AI15" i="2"/>
  <c r="AI14" i="2"/>
  <c r="AI13" i="2"/>
  <c r="AI12" i="2"/>
  <c r="AI11" i="2"/>
  <c r="AI10" i="2"/>
  <c r="AI9" i="2"/>
  <c r="AI8" i="2"/>
  <c r="AI7" i="2"/>
  <c r="AC36" i="2"/>
  <c r="AC35" i="2"/>
  <c r="AC34" i="2"/>
  <c r="AC33" i="2"/>
  <c r="AC32" i="2"/>
  <c r="AC31" i="2"/>
  <c r="AC30" i="2"/>
  <c r="AC29" i="2"/>
  <c r="AC28" i="2"/>
  <c r="AC27" i="2"/>
  <c r="AC26" i="2"/>
  <c r="AC25" i="2"/>
  <c r="AC24" i="2"/>
  <c r="AC23" i="2"/>
  <c r="AC22" i="2"/>
  <c r="AC21" i="2"/>
  <c r="AC20" i="2"/>
  <c r="AC19" i="2"/>
  <c r="AC18" i="2"/>
  <c r="AC17" i="2"/>
  <c r="AC16" i="2"/>
  <c r="AC15" i="2"/>
  <c r="AC14" i="2"/>
  <c r="AC13" i="2"/>
  <c r="AC12" i="2"/>
  <c r="AC11" i="2"/>
  <c r="AC10" i="2"/>
  <c r="AC9" i="2"/>
  <c r="AC8" i="2"/>
  <c r="AC7" i="2"/>
  <c r="AC6" i="2"/>
  <c r="W36" i="2"/>
  <c r="V36" i="2"/>
  <c r="W35" i="2"/>
  <c r="V35" i="2"/>
  <c r="W34" i="2"/>
  <c r="V34" i="2"/>
  <c r="W33" i="2"/>
  <c r="V33" i="2"/>
  <c r="W32" i="2"/>
  <c r="V32" i="2"/>
  <c r="W31" i="2"/>
  <c r="V31" i="2"/>
  <c r="W30" i="2"/>
  <c r="V30" i="2"/>
  <c r="W29" i="2"/>
  <c r="V29" i="2"/>
  <c r="W28" i="2"/>
  <c r="V28" i="2"/>
  <c r="W27" i="2"/>
  <c r="V27" i="2"/>
  <c r="W26" i="2"/>
  <c r="V26" i="2"/>
  <c r="W25" i="2"/>
  <c r="V25" i="2"/>
  <c r="W24" i="2"/>
  <c r="V24" i="2"/>
  <c r="W23" i="2"/>
  <c r="V23" i="2"/>
  <c r="W22" i="2"/>
  <c r="V22" i="2"/>
  <c r="W21" i="2"/>
  <c r="V21" i="2"/>
  <c r="W20" i="2"/>
  <c r="V20" i="2"/>
  <c r="W19" i="2"/>
  <c r="V19" i="2"/>
  <c r="W18" i="2"/>
  <c r="V18" i="2"/>
  <c r="W17" i="2"/>
  <c r="V17" i="2"/>
  <c r="W16" i="2"/>
  <c r="V16" i="2"/>
  <c r="W15" i="2"/>
  <c r="V15" i="2"/>
  <c r="W14" i="2"/>
  <c r="V14" i="2"/>
  <c r="W13" i="2"/>
  <c r="V13" i="2"/>
  <c r="W12" i="2"/>
  <c r="V12" i="2"/>
  <c r="W11" i="2"/>
  <c r="V11" i="2"/>
  <c r="W10" i="2"/>
  <c r="V10" i="2"/>
  <c r="W9" i="2"/>
  <c r="V9" i="2"/>
  <c r="W8" i="2"/>
  <c r="V8" i="2"/>
  <c r="W7" i="2"/>
  <c r="V7" i="2"/>
  <c r="W6" i="2"/>
  <c r="V6" i="2"/>
  <c r="Q36" i="2"/>
  <c r="P36" i="2"/>
  <c r="Q35" i="2"/>
  <c r="P35" i="2"/>
  <c r="Q34" i="2"/>
  <c r="P34" i="2"/>
  <c r="Q33" i="2"/>
  <c r="P33" i="2"/>
  <c r="Q32" i="2"/>
  <c r="P32" i="2"/>
  <c r="Q31" i="2"/>
  <c r="P31" i="2"/>
  <c r="Q30" i="2"/>
  <c r="P30" i="2"/>
  <c r="Q29" i="2"/>
  <c r="P29" i="2"/>
  <c r="Q28" i="2"/>
  <c r="P28" i="2"/>
  <c r="Q27" i="2"/>
  <c r="P27" i="2"/>
  <c r="Q26" i="2"/>
  <c r="P26" i="2"/>
  <c r="Q25" i="2"/>
  <c r="P25" i="2"/>
  <c r="Q24" i="2"/>
  <c r="P24" i="2"/>
  <c r="Q23" i="2"/>
  <c r="P23" i="2"/>
  <c r="Q22" i="2"/>
  <c r="P22" i="2"/>
  <c r="Q21" i="2"/>
  <c r="P21" i="2"/>
  <c r="Q20" i="2"/>
  <c r="P20" i="2"/>
  <c r="Q19" i="2"/>
  <c r="P19" i="2"/>
  <c r="Q18" i="2"/>
  <c r="P18" i="2"/>
  <c r="Q17" i="2"/>
  <c r="P17" i="2"/>
  <c r="Q16" i="2"/>
  <c r="P16" i="2"/>
  <c r="Q15" i="2"/>
  <c r="P15" i="2"/>
  <c r="Q14" i="2"/>
  <c r="P14" i="2"/>
  <c r="Q13" i="2"/>
  <c r="P13" i="2"/>
  <c r="Q12" i="2"/>
  <c r="P12" i="2"/>
  <c r="Q11" i="2"/>
  <c r="P11" i="2"/>
  <c r="Q10" i="2"/>
  <c r="P10" i="2"/>
  <c r="Q9" i="2"/>
  <c r="P9" i="2"/>
  <c r="Q8" i="2"/>
  <c r="P8" i="2"/>
  <c r="Q7" i="2"/>
  <c r="P7" i="2"/>
  <c r="Q6" i="2"/>
  <c r="P6" i="2"/>
  <c r="O36" i="2"/>
  <c r="N36" i="2"/>
  <c r="M36" i="2"/>
  <c r="O35" i="2"/>
  <c r="N35" i="2"/>
  <c r="M35" i="2"/>
  <c r="O34" i="2"/>
  <c r="N34" i="2"/>
  <c r="M34" i="2"/>
  <c r="O33" i="2"/>
  <c r="N33" i="2"/>
  <c r="M33" i="2"/>
  <c r="O32" i="2"/>
  <c r="N32" i="2"/>
  <c r="M32" i="2"/>
  <c r="O31" i="2"/>
  <c r="N31" i="2"/>
  <c r="M31" i="2"/>
  <c r="O30" i="2"/>
  <c r="N30" i="2"/>
  <c r="M30" i="2"/>
  <c r="O29" i="2"/>
  <c r="N29" i="2"/>
  <c r="M29" i="2"/>
  <c r="O28" i="2"/>
  <c r="N28" i="2"/>
  <c r="M28" i="2"/>
  <c r="O27" i="2"/>
  <c r="N27" i="2"/>
  <c r="M27" i="2"/>
  <c r="O26" i="2"/>
  <c r="N26" i="2"/>
  <c r="M26" i="2"/>
  <c r="O25" i="2"/>
  <c r="N25" i="2"/>
  <c r="M25" i="2"/>
  <c r="O24" i="2"/>
  <c r="N24" i="2"/>
  <c r="M24" i="2"/>
  <c r="O23" i="2"/>
  <c r="N23" i="2"/>
  <c r="M23" i="2"/>
  <c r="O22" i="2"/>
  <c r="N22" i="2"/>
  <c r="M22" i="2"/>
  <c r="O21" i="2"/>
  <c r="N21" i="2"/>
  <c r="M21" i="2"/>
  <c r="O20" i="2"/>
  <c r="N20" i="2"/>
  <c r="M20" i="2"/>
  <c r="O19" i="2"/>
  <c r="N19" i="2"/>
  <c r="M19" i="2"/>
  <c r="O18" i="2"/>
  <c r="N18" i="2"/>
  <c r="M18" i="2"/>
  <c r="O17" i="2"/>
  <c r="N17" i="2"/>
  <c r="M17" i="2"/>
  <c r="O16" i="2"/>
  <c r="N16" i="2"/>
  <c r="M16" i="2"/>
  <c r="O15" i="2"/>
  <c r="N15" i="2"/>
  <c r="M15" i="2"/>
  <c r="O14" i="2"/>
  <c r="N14" i="2"/>
  <c r="M14" i="2"/>
  <c r="O13" i="2"/>
  <c r="N13" i="2"/>
  <c r="M13" i="2"/>
  <c r="O12" i="2"/>
  <c r="N12" i="2"/>
  <c r="M12" i="2"/>
  <c r="O11" i="2"/>
  <c r="N11" i="2"/>
  <c r="M11" i="2"/>
  <c r="O10" i="2"/>
  <c r="N10" i="2"/>
  <c r="M10" i="2"/>
  <c r="O9" i="2"/>
  <c r="N9" i="2"/>
  <c r="M9" i="2"/>
  <c r="O8" i="2"/>
  <c r="N8" i="2"/>
  <c r="M8" i="2"/>
  <c r="O7" i="2"/>
  <c r="N7" i="2"/>
  <c r="M7" i="2"/>
  <c r="O6" i="2"/>
  <c r="N6" i="2"/>
  <c r="M6" i="2"/>
  <c r="AN37" i="2" l="1"/>
  <c r="AH37" i="2"/>
  <c r="AG37" i="2"/>
  <c r="AF37" i="2"/>
  <c r="J37" i="2"/>
  <c r="I37" i="2"/>
  <c r="H37" i="2"/>
  <c r="G37" i="2"/>
  <c r="D37" i="2"/>
  <c r="Z33" i="3"/>
  <c r="B32" i="1"/>
  <c r="N32" i="1"/>
  <c r="E31" i="3"/>
  <c r="F31" i="3"/>
  <c r="G31" i="3"/>
  <c r="H31" i="3"/>
  <c r="E32" i="3"/>
  <c r="E32" i="1" s="1"/>
  <c r="F32" i="3"/>
  <c r="G32" i="3"/>
  <c r="H32" i="3"/>
  <c r="I32" i="3"/>
  <c r="J32" i="3"/>
  <c r="K32" i="3"/>
  <c r="L32" i="3"/>
  <c r="M32" i="3"/>
  <c r="Q32" i="3"/>
  <c r="R32" i="3"/>
  <c r="U32" i="3"/>
  <c r="V32" i="3"/>
  <c r="W32" i="3"/>
  <c r="Y32" i="3"/>
  <c r="M32" i="1" s="1"/>
  <c r="B32" i="3"/>
  <c r="Z7" i="2"/>
  <c r="K6" i="2" l="1"/>
  <c r="L6" i="2" l="1"/>
  <c r="AK35" i="2"/>
  <c r="AL35" i="2"/>
  <c r="AM35" i="2"/>
  <c r="AK36" i="2"/>
  <c r="AE36" i="2"/>
  <c r="AD35" i="2"/>
  <c r="AE35" i="2" s="1"/>
  <c r="AD36" i="2"/>
  <c r="T32" i="3" s="1"/>
  <c r="Z35" i="2"/>
  <c r="AA35" i="2" s="1"/>
  <c r="Z36" i="2"/>
  <c r="P32" i="3" s="1"/>
  <c r="AA36" i="2"/>
  <c r="T35" i="2"/>
  <c r="U35" i="2"/>
  <c r="T36" i="2"/>
  <c r="N32" i="3" s="1"/>
  <c r="K32" i="1" s="1"/>
  <c r="R35" i="2"/>
  <c r="S35" i="2"/>
  <c r="R36" i="2"/>
  <c r="O32" i="3" s="1"/>
  <c r="S36" i="2"/>
  <c r="K35" i="2"/>
  <c r="L35" i="2" s="1"/>
  <c r="K36" i="2"/>
  <c r="L36" i="2" s="1"/>
  <c r="Y4" i="3"/>
  <c r="M4" i="1" s="1"/>
  <c r="Y5" i="3"/>
  <c r="M5" i="1" s="1"/>
  <c r="Y6" i="3"/>
  <c r="M6" i="1" s="1"/>
  <c r="Y7" i="3"/>
  <c r="Y8" i="3"/>
  <c r="M8" i="1" s="1"/>
  <c r="Y9" i="3"/>
  <c r="M9" i="1" s="1"/>
  <c r="Y10" i="3"/>
  <c r="M10" i="1" s="1"/>
  <c r="Y11" i="3"/>
  <c r="Y12" i="3"/>
  <c r="M12" i="1" s="1"/>
  <c r="Y13" i="3"/>
  <c r="M13" i="1" s="1"/>
  <c r="Y14" i="3"/>
  <c r="M14" i="1" s="1"/>
  <c r="Y15" i="3"/>
  <c r="M15" i="1" s="1"/>
  <c r="Y16" i="3"/>
  <c r="M16" i="1" s="1"/>
  <c r="Y17" i="3"/>
  <c r="M17" i="1" s="1"/>
  <c r="Y18" i="3"/>
  <c r="M18" i="1" s="1"/>
  <c r="Y19" i="3"/>
  <c r="M19" i="1" s="1"/>
  <c r="Y20" i="3"/>
  <c r="M20" i="1" s="1"/>
  <c r="Y21" i="3"/>
  <c r="M21" i="1" s="1"/>
  <c r="Y22" i="3"/>
  <c r="M22" i="1" s="1"/>
  <c r="Y23" i="3"/>
  <c r="Y24" i="3"/>
  <c r="M24" i="1" s="1"/>
  <c r="Y25" i="3"/>
  <c r="M25" i="1" s="1"/>
  <c r="Y26" i="3"/>
  <c r="M26" i="1" s="1"/>
  <c r="Y27" i="3"/>
  <c r="M27" i="1" s="1"/>
  <c r="Y28" i="3"/>
  <c r="M28" i="1" s="1"/>
  <c r="Y29" i="3"/>
  <c r="M29" i="1" s="1"/>
  <c r="Y30" i="3"/>
  <c r="M30" i="1" s="1"/>
  <c r="Y31" i="3"/>
  <c r="M31" i="1" s="1"/>
  <c r="Y3" i="3"/>
  <c r="M3" i="1" s="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N33" i="1" l="1"/>
  <c r="AL36" i="2"/>
  <c r="AM36" i="2" s="1"/>
  <c r="X32" i="3"/>
  <c r="I32" i="1" s="1"/>
  <c r="G32" i="1"/>
  <c r="S32" i="3"/>
  <c r="AO35" i="2"/>
  <c r="U36" i="2"/>
  <c r="AO36" i="2" s="1"/>
  <c r="Z9" i="2"/>
  <c r="P5" i="3" s="1"/>
  <c r="Z10" i="2"/>
  <c r="AA10" i="2" s="1"/>
  <c r="Z11" i="2"/>
  <c r="AA11" i="2" s="1"/>
  <c r="Z12" i="2"/>
  <c r="Z13" i="2"/>
  <c r="AA13" i="2" s="1"/>
  <c r="Z14" i="2"/>
  <c r="AA14" i="2" s="1"/>
  <c r="Z15" i="2"/>
  <c r="AA15" i="2" s="1"/>
  <c r="Z16" i="2"/>
  <c r="AA16" i="2" s="1"/>
  <c r="AD17" i="2"/>
  <c r="T13" i="3" s="1"/>
  <c r="W31" i="3"/>
  <c r="V31" i="3"/>
  <c r="U31" i="3"/>
  <c r="R31" i="3"/>
  <c r="Q31" i="3"/>
  <c r="M31" i="3"/>
  <c r="L31" i="3"/>
  <c r="K31" i="3"/>
  <c r="J31" i="3"/>
  <c r="I31" i="3"/>
  <c r="P31" i="3"/>
  <c r="R15" i="2"/>
  <c r="O11" i="3" s="1"/>
  <c r="R16" i="2"/>
  <c r="O12" i="3" s="1"/>
  <c r="R17" i="2"/>
  <c r="O13" i="3" s="1"/>
  <c r="R18" i="2"/>
  <c r="R19" i="2"/>
  <c r="O15" i="3" s="1"/>
  <c r="R20" i="2"/>
  <c r="O16" i="3" s="1"/>
  <c r="R21" i="2"/>
  <c r="O17" i="3" s="1"/>
  <c r="R22" i="2"/>
  <c r="O18" i="3" s="1"/>
  <c r="R23" i="2"/>
  <c r="O19" i="3" s="1"/>
  <c r="R24" i="2"/>
  <c r="O20" i="3" s="1"/>
  <c r="R25" i="2"/>
  <c r="R26" i="2"/>
  <c r="R27" i="2"/>
  <c r="O23" i="3" s="1"/>
  <c r="R28" i="2"/>
  <c r="O24" i="3" s="1"/>
  <c r="R29" i="2"/>
  <c r="O25" i="3" s="1"/>
  <c r="R30" i="2"/>
  <c r="O26" i="3" s="1"/>
  <c r="R31" i="2"/>
  <c r="O27" i="3" s="1"/>
  <c r="R32" i="2"/>
  <c r="O28" i="3" s="1"/>
  <c r="R33" i="2"/>
  <c r="R34" i="2"/>
  <c r="O31" i="3"/>
  <c r="R6" i="2"/>
  <c r="R7" i="2"/>
  <c r="R8" i="2"/>
  <c r="O4" i="3" s="1"/>
  <c r="R9" i="2"/>
  <c r="O5" i="3" s="1"/>
  <c r="R10" i="2"/>
  <c r="O6" i="3" s="1"/>
  <c r="R11" i="2"/>
  <c r="R12" i="2"/>
  <c r="O8" i="3" s="1"/>
  <c r="R13" i="2"/>
  <c r="O9" i="3" s="1"/>
  <c r="R14" i="2"/>
  <c r="O10" i="3" s="1"/>
  <c r="T31" i="3"/>
  <c r="AK11" i="2"/>
  <c r="X7" i="3" s="1"/>
  <c r="AK12" i="2"/>
  <c r="X8" i="3" s="1"/>
  <c r="AK15" i="2"/>
  <c r="AK16" i="2"/>
  <c r="AL16" i="2" s="1"/>
  <c r="AM16" i="2" s="1"/>
  <c r="AK20" i="2"/>
  <c r="AK24" i="2"/>
  <c r="X20" i="3" s="1"/>
  <c r="AK28" i="2"/>
  <c r="AK31" i="2"/>
  <c r="AL31" i="2" s="1"/>
  <c r="AM31" i="2" s="1"/>
  <c r="AK32" i="2"/>
  <c r="AK34" i="2"/>
  <c r="AD10" i="2"/>
  <c r="AE10" i="2" s="1"/>
  <c r="AD13" i="2"/>
  <c r="AD14" i="2"/>
  <c r="AD19" i="2"/>
  <c r="AD22" i="2"/>
  <c r="AD26" i="2"/>
  <c r="AD27" i="2"/>
  <c r="AE27" i="2" s="1"/>
  <c r="AD28" i="2"/>
  <c r="AE28" i="2" s="1"/>
  <c r="AD29" i="2"/>
  <c r="AE29" i="2" s="1"/>
  <c r="AD31" i="2"/>
  <c r="AE31" i="2" s="1"/>
  <c r="AD33" i="2"/>
  <c r="AE33" i="2" s="1"/>
  <c r="AK7" i="2"/>
  <c r="AL7" i="2" s="1"/>
  <c r="AM7" i="2" s="1"/>
  <c r="AD8" i="2"/>
  <c r="AD7" i="2"/>
  <c r="AE7" i="2" s="1"/>
  <c r="AD6" i="2"/>
  <c r="T8" i="2"/>
  <c r="N4" i="3" s="1"/>
  <c r="T7" i="2"/>
  <c r="U7" i="2" s="1"/>
  <c r="S8" i="2"/>
  <c r="S7" i="2"/>
  <c r="O3" i="3"/>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T21" i="3" s="1"/>
  <c r="AE26" i="2"/>
  <c r="AD30" i="2"/>
  <c r="AE30" i="2" s="1"/>
  <c r="AD32" i="2"/>
  <c r="T28" i="3" s="1"/>
  <c r="AE32" i="2"/>
  <c r="AD34" i="2"/>
  <c r="AE34" i="2" s="1"/>
  <c r="AD42" i="2"/>
  <c r="D38" i="2"/>
  <c r="D39"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P28" i="3"/>
  <c r="G28" i="1" s="1"/>
  <c r="Z33" i="2"/>
  <c r="AA33" i="2" s="1"/>
  <c r="Z34" i="2"/>
  <c r="P30" i="3" s="1"/>
  <c r="G30" i="1" s="1"/>
  <c r="P3" i="3"/>
  <c r="Z8" i="2"/>
  <c r="AA8" i="2" s="1"/>
  <c r="G5" i="1"/>
  <c r="P9" i="3"/>
  <c r="G9" i="1"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O7" i="3"/>
  <c r="S11" i="2"/>
  <c r="S12" i="2"/>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I33" i="3" s="1"/>
  <c r="J2" i="3"/>
  <c r="J33" i="3" s="1"/>
  <c r="K2" i="3"/>
  <c r="K33" i="3" s="1"/>
  <c r="L2" i="3"/>
  <c r="L33" i="3" s="1"/>
  <c r="M2" i="3"/>
  <c r="M33" i="3" s="1"/>
  <c r="F2" i="3"/>
  <c r="E2" i="3"/>
  <c r="S34" i="2"/>
  <c r="O30" i="3"/>
  <c r="S33" i="2"/>
  <c r="O29" i="3"/>
  <c r="S32" i="2"/>
  <c r="S31" i="2"/>
  <c r="S30" i="2"/>
  <c r="S29" i="2"/>
  <c r="S28" i="2"/>
  <c r="S27" i="2"/>
  <c r="S26" i="2"/>
  <c r="O22" i="3"/>
  <c r="S25" i="2"/>
  <c r="O21" i="3"/>
  <c r="S24" i="2"/>
  <c r="S23" i="2"/>
  <c r="S22" i="2"/>
  <c r="S21" i="2"/>
  <c r="S20" i="2"/>
  <c r="S19" i="2"/>
  <c r="S18" i="2"/>
  <c r="O14" i="3"/>
  <c r="B3" i="3"/>
  <c r="B4" i="3"/>
  <c r="B5" i="3" s="1"/>
  <c r="B6" i="3"/>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U30" i="2"/>
  <c r="AL11" i="2"/>
  <c r="AM11" i="2" s="1"/>
  <c r="D40" i="2"/>
  <c r="G39" i="2"/>
  <c r="T27" i="3"/>
  <c r="P26" i="3"/>
  <c r="G26" i="1" s="1"/>
  <c r="X18" i="3"/>
  <c r="U15" i="2"/>
  <c r="U11" i="2"/>
  <c r="P11" i="3"/>
  <c r="G11" i="1" s="1"/>
  <c r="X27" i="3"/>
  <c r="T22" i="3"/>
  <c r="T5" i="3"/>
  <c r="P24" i="3"/>
  <c r="G24" i="1" s="1"/>
  <c r="N10" i="3"/>
  <c r="AL25" i="2"/>
  <c r="AM25" i="2" s="1"/>
  <c r="X10" i="3"/>
  <c r="T20" i="3"/>
  <c r="T12" i="3"/>
  <c r="T7" i="3"/>
  <c r="P4" i="3"/>
  <c r="G4" i="1" s="1"/>
  <c r="U19" i="2"/>
  <c r="N19" i="3"/>
  <c r="V33" i="3" l="1"/>
  <c r="W33" i="3"/>
  <c r="U33" i="3"/>
  <c r="X9" i="3"/>
  <c r="X2" i="3"/>
  <c r="AK37" i="2"/>
  <c r="T30" i="3"/>
  <c r="T17" i="3"/>
  <c r="AE25" i="2"/>
  <c r="AE6" i="2"/>
  <c r="AD37" i="2"/>
  <c r="T23" i="3"/>
  <c r="T3" i="3"/>
  <c r="P27" i="3"/>
  <c r="S27" i="3" s="1"/>
  <c r="P17" i="3"/>
  <c r="G17" i="1" s="1"/>
  <c r="P15" i="3"/>
  <c r="G15" i="1" s="1"/>
  <c r="P19" i="3"/>
  <c r="G19" i="1" s="1"/>
  <c r="AA6" i="2"/>
  <c r="Z37" i="2"/>
  <c r="Q33" i="3"/>
  <c r="R33" i="3"/>
  <c r="N29" i="3"/>
  <c r="N3" i="3"/>
  <c r="U17" i="2"/>
  <c r="U8" i="2"/>
  <c r="U16" i="2"/>
  <c r="N24" i="3"/>
  <c r="U9" i="2"/>
  <c r="AO9" i="2" s="1"/>
  <c r="T37" i="2"/>
  <c r="U37" i="2" s="1"/>
  <c r="O2" i="3"/>
  <c r="O33" i="3" s="1"/>
  <c r="R37" i="2"/>
  <c r="K28" i="1"/>
  <c r="L7" i="2"/>
  <c r="L37" i="2" s="1"/>
  <c r="K37" i="2"/>
  <c r="S11" i="3"/>
  <c r="S5" i="3"/>
  <c r="E30" i="1"/>
  <c r="E17" i="1"/>
  <c r="N2" i="3"/>
  <c r="U6" i="2"/>
  <c r="AL6" i="2"/>
  <c r="G3" i="1"/>
  <c r="S3" i="3"/>
  <c r="P2" i="3"/>
  <c r="AA7" i="2"/>
  <c r="AO7" i="2" s="1"/>
  <c r="U25" i="2"/>
  <c r="I21" i="1"/>
  <c r="N18" i="3"/>
  <c r="K18" i="1" s="1"/>
  <c r="S23" i="3"/>
  <c r="K30" i="1"/>
  <c r="K24" i="1"/>
  <c r="E29" i="1"/>
  <c r="K7" i="1"/>
  <c r="S30" i="3"/>
  <c r="X31" i="3"/>
  <c r="X26" i="3"/>
  <c r="X13" i="3"/>
  <c r="I13" i="1" s="1"/>
  <c r="AL21" i="2"/>
  <c r="AM21" i="2" s="1"/>
  <c r="I31" i="1"/>
  <c r="T25" i="3"/>
  <c r="I25" i="1" s="1"/>
  <c r="I5" i="1"/>
  <c r="I7" i="1"/>
  <c r="T11" i="3"/>
  <c r="T16" i="3"/>
  <c r="I17" i="1"/>
  <c r="S19" i="3"/>
  <c r="S26" i="3"/>
  <c r="S4" i="3"/>
  <c r="AA17" i="2"/>
  <c r="K15" i="1"/>
  <c r="K11" i="1"/>
  <c r="K8" i="1"/>
  <c r="K4" i="1"/>
  <c r="N31" i="3"/>
  <c r="K31" i="1" s="1"/>
  <c r="K25" i="1"/>
  <c r="K29" i="1"/>
  <c r="E24" i="1"/>
  <c r="E13" i="1"/>
  <c r="E6" i="1"/>
  <c r="X30" i="3"/>
  <c r="AL34" i="2"/>
  <c r="AM34" i="2" s="1"/>
  <c r="I27" i="1"/>
  <c r="AL24" i="2"/>
  <c r="AM24" i="2" s="1"/>
  <c r="AL9" i="2"/>
  <c r="AM9" i="2" s="1"/>
  <c r="X4" i="3"/>
  <c r="X19" i="3"/>
  <c r="AE17" i="2"/>
  <c r="I20" i="1"/>
  <c r="T8" i="3"/>
  <c r="I8" i="1" s="1"/>
  <c r="T24" i="3"/>
  <c r="I22" i="1"/>
  <c r="G13" i="1"/>
  <c r="S13" i="3"/>
  <c r="AO33" i="2"/>
  <c r="S14" i="3"/>
  <c r="P29" i="3"/>
  <c r="AA9" i="2"/>
  <c r="S17" i="3"/>
  <c r="P10" i="3"/>
  <c r="P25" i="3"/>
  <c r="G25" i="1" s="1"/>
  <c r="N9" i="3"/>
  <c r="K9" i="1" s="1"/>
  <c r="N16" i="3"/>
  <c r="K16" i="1" s="1"/>
  <c r="AO15" i="2"/>
  <c r="K3" i="1"/>
  <c r="N27" i="3"/>
  <c r="K27" i="1" s="1"/>
  <c r="K26" i="1"/>
  <c r="K10" i="1"/>
  <c r="K13" i="1"/>
  <c r="N23" i="3"/>
  <c r="K23" i="1" s="1"/>
  <c r="K19" i="1"/>
  <c r="AO28" i="2"/>
  <c r="K5" i="1"/>
  <c r="K12" i="1"/>
  <c r="N20" i="3"/>
  <c r="K20" i="1" s="1"/>
  <c r="AO31" i="2"/>
  <c r="K21" i="1"/>
  <c r="U12" i="2"/>
  <c r="K6" i="1"/>
  <c r="AO20" i="2"/>
  <c r="E12" i="1"/>
  <c r="E9" i="1"/>
  <c r="E7" i="1"/>
  <c r="E4" i="1"/>
  <c r="E3" i="1"/>
  <c r="AO32" i="2"/>
  <c r="E23" i="1"/>
  <c r="E18" i="1"/>
  <c r="E16" i="1"/>
  <c r="E15" i="1"/>
  <c r="E14" i="1"/>
  <c r="E25" i="1"/>
  <c r="AO21" i="2"/>
  <c r="AO16" i="2"/>
  <c r="AO11" i="2"/>
  <c r="E28" i="1"/>
  <c r="E27" i="1"/>
  <c r="E26" i="1"/>
  <c r="E22" i="1"/>
  <c r="E21" i="1"/>
  <c r="E20" i="1"/>
  <c r="E19" i="1"/>
  <c r="E11" i="1"/>
  <c r="E10" i="1"/>
  <c r="E8" i="1"/>
  <c r="E5" i="1"/>
  <c r="E2" i="1"/>
  <c r="AO30" i="2"/>
  <c r="T4" i="3"/>
  <c r="AE8" i="2"/>
  <c r="AO8" i="2" s="1"/>
  <c r="AE19" i="2"/>
  <c r="AO19" i="2" s="1"/>
  <c r="T15" i="3"/>
  <c r="AE13" i="2"/>
  <c r="AO13" i="2" s="1"/>
  <c r="T9" i="3"/>
  <c r="I9" i="1" s="1"/>
  <c r="AL15" i="2"/>
  <c r="AM15" i="2" s="1"/>
  <c r="X11" i="3"/>
  <c r="T18" i="3"/>
  <c r="I18" i="1" s="1"/>
  <c r="AE22" i="2"/>
  <c r="S22" i="3"/>
  <c r="S21" i="3"/>
  <c r="G21" i="1"/>
  <c r="AO23" i="2"/>
  <c r="T10" i="3"/>
  <c r="I10" i="1" s="1"/>
  <c r="AE14" i="2"/>
  <c r="AO14" i="2" s="1"/>
  <c r="AL32" i="2"/>
  <c r="AM32" i="2" s="1"/>
  <c r="X28" i="3"/>
  <c r="I28" i="1" s="1"/>
  <c r="AL28" i="2"/>
  <c r="AM28" i="2" s="1"/>
  <c r="X24" i="3"/>
  <c r="X16" i="3"/>
  <c r="AL20" i="2"/>
  <c r="AM20" i="2" s="1"/>
  <c r="T6" i="3"/>
  <c r="AO22" i="2"/>
  <c r="X3" i="3"/>
  <c r="S24" i="3"/>
  <c r="X12" i="3"/>
  <c r="I12" i="1" s="1"/>
  <c r="AA26" i="2"/>
  <c r="AO26" i="2" s="1"/>
  <c r="N22" i="3"/>
  <c r="K22" i="1" s="1"/>
  <c r="N17" i="3"/>
  <c r="K17" i="1" s="1"/>
  <c r="T19" i="3"/>
  <c r="P18" i="3"/>
  <c r="P7" i="3"/>
  <c r="AA25" i="2"/>
  <c r="AO25" i="2" s="1"/>
  <c r="P12" i="3"/>
  <c r="S9" i="3"/>
  <c r="T26" i="3"/>
  <c r="AL26" i="2"/>
  <c r="AM26" i="2" s="1"/>
  <c r="S28" i="3"/>
  <c r="T29" i="3"/>
  <c r="I29" i="1" s="1"/>
  <c r="R39" i="2"/>
  <c r="AL29" i="2"/>
  <c r="AM29" i="2" s="1"/>
  <c r="AA24" i="2"/>
  <c r="AO24" i="2" s="1"/>
  <c r="P20" i="3"/>
  <c r="S31" i="3"/>
  <c r="G31" i="1"/>
  <c r="AA34" i="2"/>
  <c r="AA18" i="2"/>
  <c r="AO18" i="2" s="1"/>
  <c r="AA12" i="2"/>
  <c r="P8" i="3"/>
  <c r="E31" i="1"/>
  <c r="AE37" i="2"/>
  <c r="AL33" i="2"/>
  <c r="AM33" i="2" s="1"/>
  <c r="AL12" i="2"/>
  <c r="AM12" i="2" s="1"/>
  <c r="T2" i="3"/>
  <c r="T33" i="3" s="1"/>
  <c r="N14" i="3"/>
  <c r="K14" i="1" s="1"/>
  <c r="X23" i="3"/>
  <c r="I23" i="1" s="1"/>
  <c r="T14" i="3"/>
  <c r="I14" i="1" s="1"/>
  <c r="U34" i="2"/>
  <c r="U29" i="2"/>
  <c r="AO29" i="2" s="1"/>
  <c r="X6" i="3"/>
  <c r="X15" i="3"/>
  <c r="U10" i="2"/>
  <c r="AO10" i="2" s="1"/>
  <c r="AL18" i="2"/>
  <c r="AM18" i="2" s="1"/>
  <c r="P6" i="3"/>
  <c r="P16" i="3"/>
  <c r="AA27" i="2"/>
  <c r="AO27" i="2" s="1"/>
  <c r="AM6" i="2" l="1"/>
  <c r="AM37" i="2" s="1"/>
  <c r="AL37" i="2"/>
  <c r="I3" i="1"/>
  <c r="I30" i="1"/>
  <c r="AO17" i="2"/>
  <c r="I24" i="1"/>
  <c r="S15" i="3"/>
  <c r="G27" i="1"/>
  <c r="AA37" i="2"/>
  <c r="G2" i="1"/>
  <c r="P33" i="3"/>
  <c r="AO6" i="2"/>
  <c r="K2" i="1"/>
  <c r="N33" i="3"/>
  <c r="S25" i="3"/>
  <c r="I16" i="1"/>
  <c r="S2" i="3"/>
  <c r="I4" i="1"/>
  <c r="I26" i="1"/>
  <c r="I19" i="1"/>
  <c r="I11" i="1"/>
  <c r="AO34" i="2"/>
  <c r="S29" i="3"/>
  <c r="G29" i="1"/>
  <c r="G10" i="1"/>
  <c r="S10" i="3"/>
  <c r="U38" i="2"/>
  <c r="X33" i="3" s="1"/>
  <c r="AO12" i="2"/>
  <c r="G20" i="1"/>
  <c r="S20" i="3"/>
  <c r="G18" i="1"/>
  <c r="S18" i="3"/>
  <c r="S12" i="3"/>
  <c r="G12" i="1"/>
  <c r="S16" i="3"/>
  <c r="G16" i="1"/>
  <c r="I2" i="1"/>
  <c r="S8" i="3"/>
  <c r="G8" i="1"/>
  <c r="I15" i="1"/>
  <c r="G6" i="1"/>
  <c r="S6" i="3"/>
  <c r="S7" i="3"/>
  <c r="G7" i="1"/>
  <c r="I6" i="1"/>
  <c r="S33" i="3" l="1"/>
  <c r="AO37" i="2"/>
  <c r="U39" i="2"/>
  <c r="Y2" i="3" l="1"/>
  <c r="M2" i="1" l="1"/>
  <c r="M33" i="1" s="1"/>
  <c r="Y33" i="3"/>
</calcChain>
</file>

<file path=xl/comments1.xml><?xml version="1.0" encoding="utf-8"?>
<comments xmlns="http://schemas.openxmlformats.org/spreadsheetml/2006/main">
  <authors>
    <author>Marian Chitian</author>
    <author>Janet Perona</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 ref="Y6" authorId="1" shapeId="0">
      <text>
        <r>
          <rPr>
            <b/>
            <sz val="9"/>
            <color indexed="81"/>
            <rFont val="Tahoma"/>
            <family val="2"/>
          </rPr>
          <t>Digital</t>
        </r>
        <r>
          <rPr>
            <sz val="9"/>
            <color indexed="81"/>
            <rFont val="Tahoma"/>
            <family val="2"/>
          </rPr>
          <t xml:space="preserve">
</t>
        </r>
      </text>
    </comment>
  </commentList>
</comments>
</file>

<file path=xl/sharedStrings.xml><?xml version="1.0" encoding="utf-8"?>
<sst xmlns="http://schemas.openxmlformats.org/spreadsheetml/2006/main" count="220" uniqueCount="105">
  <si>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</si>
  <si>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</si>
  <si>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</si>
  <si>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</si>
  <si>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</si>
  <si>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</si>
  <si>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</si>
  <si>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</si>
  <si>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</si>
  <si>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</si>
  <si>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</si>
  <si>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</si>
  <si>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</si>
  <si>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</si>
  <si>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</si>
  <si>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</si>
  <si>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</si>
  <si>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</si>
  <si>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</si>
  <si>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</si>
  <si>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</si>
  <si>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</si>
  <si>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</si>
  <si>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</si>
  <si>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</si>
  <si>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</si>
  <si>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</si>
  <si>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</si>
  <si>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</si>
  <si>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</si>
  <si>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</si>
  <si>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</si>
  <si>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</si>
  <si>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</si>
  <si>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</si>
  <si>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</si>
  <si>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</si>
  <si>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</si>
  <si>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</si>
  <si>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</si>
  <si>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</si>
  <si>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</si>
  <si>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</si>
  <si>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</si>
  <si>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</si>
  <si>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</si>
  <si>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</si>
  <si>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</si>
  <si>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</si>
  <si>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</si>
  <si>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</si>
  <si>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</si>
  <si>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</si>
  <si>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</si>
  <si>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</si>
  <si>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</si>
  <si>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</si>
  <si>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</si>
  <si>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</si>
  <si>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</si>
  <si>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</si>
  <si>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</si>
  <si>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</si>
  <si>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</si>
  <si>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</si>
  <si>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</si>
  <si>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</si>
  <si>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</si>
  <si>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</si>
  <si>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</si>
  <si>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</si>
  <si>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</si>
  <si>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</si>
  <si>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</si>
  <si>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</si>
  <si>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</si>
  <si>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</si>
  <si>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</si>
  <si>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</si>
  <si>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</si>
  <si>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</si>
  <si>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</si>
  <si>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</si>
  <si>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</si>
  <si>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</si>
  <si>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</si>
  <si>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</si>
  <si>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</si>
  <si>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</si>
  <si>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</si>
  <si>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</si>
  <si>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</si>
  <si>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</si>
  <si>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</si>
  <si>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</si>
  <si>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</si>
  <si>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</si>
  <si>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</si>
  <si>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</si>
  <si>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</si>
  <si>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0.333415/Ton</t>
  </si>
  <si>
    <t>(AED. 6.47/m3 + AED. 0.00 Service)</t>
  </si>
  <si>
    <t>Natural GAS (AED)</t>
  </si>
  <si>
    <t>0001523.21</t>
  </si>
  <si>
    <t>0001523.22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</si>
</sst>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s>
  <cellStyleXfs count="2">
    <xf numFmtId="0" fontId="0" fillId="0" borderId="0"/>
    <xf numFmtId="0" fontId="16" fillId="0" borderId="0"/>
  </cellStyleXfs>
  <cellXfs count="163">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8" borderId="5"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165" fontId="9" fillId="0" borderId="19" xfId="0" applyNumberFormat="1" applyFont="1" applyBorder="1" applyAlignment="1">
      <alignment horizontal="center" vertical="center"/>
    </xf>
    <xf numFmtId="0" fontId="0" fillId="0" borderId="20" xfId="0" applyBorder="1" applyAlignment="1">
      <alignment horizontal="center" vertical="center"/>
    </xf>
    <xf numFmtId="3" fontId="0" fillId="0" borderId="20" xfId="0" applyNumberFormat="1" applyBorder="1" applyAlignment="1">
      <alignment horizontal="center" vertical="center"/>
    </xf>
    <xf numFmtId="4" fontId="0" fillId="0" borderId="20" xfId="0" applyNumberFormat="1" applyBorder="1" applyAlignment="1">
      <alignment horizontal="center" vertical="center"/>
    </xf>
    <xf numFmtId="1" fontId="0" fillId="0" borderId="20" xfId="0" applyNumberFormat="1" applyBorder="1" applyAlignment="1">
      <alignment horizontal="center" vertical="center"/>
    </xf>
    <xf numFmtId="2" fontId="0" fillId="0" borderId="20" xfId="0" applyNumberFormat="1" applyBorder="1" applyAlignment="1">
      <alignment horizontal="center" vertical="center"/>
    </xf>
    <xf numFmtId="166" fontId="0" fillId="0" borderId="20" xfId="0" applyNumberFormat="1" applyBorder="1" applyAlignment="1">
      <alignment horizontal="center" vertical="center"/>
    </xf>
    <xf numFmtId="3" fontId="0" fillId="0" borderId="21"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0" fontId="5" fillId="0" borderId="12" xfId="0" applyFont="1" applyBorder="1" applyAlignment="1">
      <alignment horizontal="center"/>
    </xf>
    <xf numFmtId="0" fontId="0" fillId="0" borderId="13" xfId="0" applyBorder="1" applyAlignment="1">
      <alignment horizontal="center"/>
    </xf>
    <xf numFmtId="0" fontId="10" fillId="0" borderId="13" xfId="0" applyFont="1" applyBorder="1" applyAlignment="1">
      <alignment horizontal="center"/>
    </xf>
    <xf numFmtId="1" fontId="0" fillId="0" borderId="13" xfId="0" applyNumberFormat="1" applyBorder="1" applyAlignment="1">
      <alignment horizontal="center"/>
    </xf>
    <xf numFmtId="1" fontId="0" fillId="0" borderId="23" xfId="0" applyNumberFormat="1" applyBorder="1" applyAlignment="1">
      <alignment horizontal="center"/>
    </xf>
    <xf numFmtId="0" fontId="1" fillId="0" borderId="12" xfId="0" applyFont="1" applyBorder="1" applyAlignment="1">
      <alignment horizontal="center"/>
    </xf>
    <xf numFmtId="0" fontId="9" fillId="0" borderId="13" xfId="0" applyFont="1" applyBorder="1" applyAlignment="1">
      <alignment horizontal="center"/>
    </xf>
    <xf numFmtId="2" fontId="10" fillId="0" borderId="13" xfId="0" applyNumberFormat="1" applyFont="1" applyBorder="1" applyAlignment="1">
      <alignment horizontal="center"/>
    </xf>
    <xf numFmtId="0" fontId="0" fillId="0" borderId="22" xfId="0" applyBorder="1" applyAlignment="1">
      <alignment horizontal="center" vertical="center"/>
    </xf>
    <xf numFmtId="1" fontId="0" fillId="0" borderId="16" xfId="0" applyNumberFormat="1" applyBorder="1" applyAlignment="1">
      <alignment horizontal="center" vertical="center"/>
    </xf>
    <xf numFmtId="1" fontId="0" fillId="0" borderId="17" xfId="0" applyNumberFormat="1" applyBorder="1" applyAlignment="1">
      <alignment horizontal="center" vertical="center"/>
    </xf>
    <xf numFmtId="1" fontId="0" fillId="0" borderId="23" xfId="0" applyNumberFormat="1" applyBorder="1" applyAlignment="1">
      <alignment horizontal="center" vertical="center"/>
    </xf>
    <xf numFmtId="1" fontId="0" fillId="0" borderId="21" xfId="0" applyNumberFormat="1" applyBorder="1" applyAlignment="1">
      <alignment horizontal="center" vertical="center"/>
    </xf>
    <xf numFmtId="1" fontId="0" fillId="0" borderId="13"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selection activeCell="I2" sqref="I2:I33"/>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28" t="s">
        <v>0</v>
      </c>
      <c r="B1" s="129" t="s">
        <v>1</v>
      </c>
      <c r="C1" s="130" t="s">
        <v>2</v>
      </c>
      <c r="D1" s="129" t="s">
        <v>3</v>
      </c>
      <c r="E1" s="131" t="s">
        <v>4</v>
      </c>
      <c r="F1" s="132" t="s">
        <v>5</v>
      </c>
      <c r="G1" s="131" t="s">
        <v>10</v>
      </c>
      <c r="H1" s="132" t="s">
        <v>11</v>
      </c>
      <c r="I1" s="133" t="s">
        <v>82</v>
      </c>
      <c r="J1" s="134" t="s">
        <v>83</v>
      </c>
      <c r="K1" s="131" t="s">
        <v>6</v>
      </c>
      <c r="L1" s="135" t="s">
        <v>7</v>
      </c>
      <c r="M1" s="131" t="s">
        <v>8</v>
      </c>
      <c r="N1" s="136" t="s">
        <v>9</v>
      </c>
    </row>
    <row r="2" spans="1:15" x14ac:dyDescent="0.25">
      <c r="A2" s="119" t="s">
        <v>80</v>
      </c>
      <c r="B2" s="120">
        <v>1</v>
      </c>
      <c r="C2" s="121">
        <v>1</v>
      </c>
      <c r="D2" s="120">
        <v>2021</v>
      </c>
      <c r="E2" s="110">
        <f>Submetering!E2+Submetering!F2+Submetering!G2+Submetering!H2+Submetering!I2+Submetering!J2+Submetering!K2</f>
        <v>27560</v>
      </c>
      <c r="F2" s="122">
        <v>0.2</v>
      </c>
      <c r="G2" s="110">
        <f>Submetering!P2</f>
        <v>426</v>
      </c>
      <c r="H2" s="122">
        <v>6.47</v>
      </c>
      <c r="I2" s="110">
        <f>Submetering!T2-Submetering!T2*15%-Submetering!X2</f>
        <v>18316.809139998266</v>
      </c>
      <c r="J2" s="109">
        <v>0.21</v>
      </c>
      <c r="K2" s="110">
        <f>Submetering!N2-Submetering!O2</f>
        <v>72.653000000006614</v>
      </c>
      <c r="L2" s="122">
        <v>7.84</v>
      </c>
      <c r="M2" s="110">
        <f>Submetering!Y2</f>
        <v>69</v>
      </c>
      <c r="N2" s="111">
        <f>Submetering!Z2</f>
        <v>132</v>
      </c>
    </row>
    <row r="3" spans="1:15" x14ac:dyDescent="0.25">
      <c r="A3" s="123" t="s">
        <v>80</v>
      </c>
      <c r="B3" s="72">
        <f>B2+1</f>
        <v>2</v>
      </c>
      <c r="C3" s="73">
        <v>1</v>
      </c>
      <c r="D3" s="72">
        <v>2021</v>
      </c>
      <c r="E3" s="71">
        <f>Submetering!E3+Submetering!F3+Submetering!G3+Submetering!H3+Submetering!I3+Submetering!J3+Submetering!K3</f>
        <v>25592</v>
      </c>
      <c r="F3" s="74">
        <v>0.2</v>
      </c>
      <c r="G3" s="71">
        <f>Submetering!P3</f>
        <v>425</v>
      </c>
      <c r="H3" s="74">
        <v>6.47</v>
      </c>
      <c r="I3" s="71">
        <f>Submetering!T3-Submetering!T3*15%-Submetering!X3</f>
        <v>17162.751580000837</v>
      </c>
      <c r="J3" s="70">
        <v>0.21</v>
      </c>
      <c r="K3" s="71">
        <f>Submetering!N3-Submetering!O3</f>
        <v>43.419999999998709</v>
      </c>
      <c r="L3" s="74">
        <v>7.84</v>
      </c>
      <c r="M3" s="71">
        <f>Submetering!Y3</f>
        <v>65</v>
      </c>
      <c r="N3" s="113">
        <f>Submetering!Z3</f>
        <v>112</v>
      </c>
    </row>
    <row r="4" spans="1:15" x14ac:dyDescent="0.25">
      <c r="A4" s="123" t="s">
        <v>80</v>
      </c>
      <c r="B4" s="72">
        <f t="shared" ref="B4:B32" si="0">B3+1</f>
        <v>3</v>
      </c>
      <c r="C4" s="73">
        <v>1</v>
      </c>
      <c r="D4" s="72">
        <v>2021</v>
      </c>
      <c r="E4" s="71">
        <f>Submetering!E4+Submetering!F4+Submetering!G4+Submetering!H4+Submetering!I4+Submetering!J4+Submetering!K4</f>
        <v>26699</v>
      </c>
      <c r="F4" s="74">
        <v>0.2</v>
      </c>
      <c r="G4" s="71">
        <f>Submetering!P4</f>
        <v>436</v>
      </c>
      <c r="H4" s="74">
        <v>6.47</v>
      </c>
      <c r="I4" s="71">
        <f>Submetering!T4-Submetering!T4*15%-Submetering!X4</f>
        <v>15638.440259998824</v>
      </c>
      <c r="J4" s="70">
        <v>0.21</v>
      </c>
      <c r="K4" s="71">
        <f>Submetering!N4-Submetering!O4</f>
        <v>58.074000000000069</v>
      </c>
      <c r="L4" s="74">
        <v>7.84</v>
      </c>
      <c r="M4" s="71">
        <f>Submetering!Y4</f>
        <v>72</v>
      </c>
      <c r="N4" s="113">
        <f>Submetering!Z4</f>
        <v>123</v>
      </c>
    </row>
    <row r="5" spans="1:15" x14ac:dyDescent="0.25">
      <c r="A5" s="123" t="s">
        <v>80</v>
      </c>
      <c r="B5" s="72">
        <f t="shared" si="0"/>
        <v>4</v>
      </c>
      <c r="C5" s="73">
        <v>1</v>
      </c>
      <c r="D5" s="72">
        <v>2021</v>
      </c>
      <c r="E5" s="71">
        <f>Submetering!E5+Submetering!F5+Submetering!G5+Submetering!H5+Submetering!I5+Submetering!J5+Submetering!K5</f>
        <v>25872</v>
      </c>
      <c r="F5" s="74">
        <v>0.2</v>
      </c>
      <c r="G5" s="71">
        <f>Submetering!P5</f>
        <v>434</v>
      </c>
      <c r="H5" s="74">
        <v>6.47</v>
      </c>
      <c r="I5" s="71">
        <f>Submetering!T5-Submetering!T5*15%-Submetering!X5</f>
        <v>15642.944820004988</v>
      </c>
      <c r="J5" s="70">
        <v>0.21</v>
      </c>
      <c r="K5" s="81">
        <f>Submetering!N5-Submetering!O5</f>
        <v>43.177000000002863</v>
      </c>
      <c r="L5" s="74">
        <v>7.84</v>
      </c>
      <c r="M5" s="71">
        <f>Submetering!Y5</f>
        <v>71</v>
      </c>
      <c r="N5" s="113">
        <f>Submetering!Z5</f>
        <v>117</v>
      </c>
    </row>
    <row r="6" spans="1:15" x14ac:dyDescent="0.25">
      <c r="A6" s="123" t="s">
        <v>80</v>
      </c>
      <c r="B6" s="72">
        <f t="shared" si="0"/>
        <v>5</v>
      </c>
      <c r="C6" s="73">
        <v>1</v>
      </c>
      <c r="D6" s="72">
        <v>2021</v>
      </c>
      <c r="E6" s="71">
        <f>Submetering!E6+Submetering!F6+Submetering!G6+Submetering!H6+Submetering!I6+Submetering!J6+Submetering!K6</f>
        <v>26699</v>
      </c>
      <c r="F6" s="74">
        <v>0.2</v>
      </c>
      <c r="G6" s="71">
        <f>Submetering!P6</f>
        <v>399</v>
      </c>
      <c r="H6" s="74">
        <v>6.47</v>
      </c>
      <c r="I6" s="71">
        <f>Submetering!T6-Submetering!T6*15%-Submetering!X6</f>
        <v>16077.251059995913</v>
      </c>
      <c r="J6" s="70">
        <v>0.21</v>
      </c>
      <c r="K6" s="71">
        <f>Submetering!N6-Submetering!O6</f>
        <v>-9.270000000006803</v>
      </c>
      <c r="L6" s="74">
        <v>7.84</v>
      </c>
      <c r="M6" s="71">
        <f>Submetering!Y6</f>
        <v>79</v>
      </c>
      <c r="N6" s="113">
        <f>Submetering!Z6</f>
        <v>136</v>
      </c>
    </row>
    <row r="7" spans="1:15" x14ac:dyDescent="0.25">
      <c r="A7" s="123" t="s">
        <v>80</v>
      </c>
      <c r="B7" s="72">
        <f t="shared" si="0"/>
        <v>6</v>
      </c>
      <c r="C7" s="73">
        <v>1</v>
      </c>
      <c r="D7" s="72">
        <v>2021</v>
      </c>
      <c r="E7" s="71">
        <f>Submetering!E7+Submetering!F7+Submetering!G7+Submetering!H7+Submetering!I7+Submetering!J7+Submetering!K7</f>
        <v>26438</v>
      </c>
      <c r="F7" s="74">
        <v>0.2</v>
      </c>
      <c r="G7" s="71">
        <f>Submetering!P7</f>
        <v>401</v>
      </c>
      <c r="H7" s="74">
        <v>6.47</v>
      </c>
      <c r="I7" s="71">
        <f>Submetering!T7-Submetering!T7*15%-Submetering!X7</f>
        <v>17529.452800000003</v>
      </c>
      <c r="J7" s="70">
        <v>0.21</v>
      </c>
      <c r="K7" s="71">
        <f>Submetering!N7-Submetering!O7</f>
        <v>117.31600000000026</v>
      </c>
      <c r="L7" s="74">
        <v>7.84</v>
      </c>
      <c r="M7" s="71">
        <f>Submetering!Y7</f>
        <v>64</v>
      </c>
      <c r="N7" s="113">
        <f>Submetering!Z7</f>
        <v>103</v>
      </c>
    </row>
    <row r="8" spans="1:15" x14ac:dyDescent="0.25">
      <c r="A8" s="123" t="s">
        <v>80</v>
      </c>
      <c r="B8" s="72">
        <f t="shared" si="0"/>
        <v>7</v>
      </c>
      <c r="C8" s="73">
        <v>1</v>
      </c>
      <c r="D8" s="72">
        <v>2021</v>
      </c>
      <c r="E8" s="71">
        <f>Submetering!E8+Submetering!F8+Submetering!G8+Submetering!H8+Submetering!I8+Submetering!J8+Submetering!K8</f>
        <v>28848</v>
      </c>
      <c r="F8" s="74">
        <v>0.2</v>
      </c>
      <c r="G8" s="71">
        <f>Submetering!P8</f>
        <v>451</v>
      </c>
      <c r="H8" s="74">
        <v>6.47</v>
      </c>
      <c r="I8" s="71">
        <f>Submetering!T8-Submetering!T8*15%-Submetering!X8</f>
        <v>17625.283199998543</v>
      </c>
      <c r="J8" s="70">
        <v>0.21</v>
      </c>
      <c r="K8" s="71">
        <f>Submetering!N8-Submetering!O8</f>
        <v>70.815000000002783</v>
      </c>
      <c r="L8" s="74">
        <v>7.84</v>
      </c>
      <c r="M8" s="71">
        <f>Submetering!Y8</f>
        <v>64</v>
      </c>
      <c r="N8" s="113">
        <f>Submetering!Z8</f>
        <v>105</v>
      </c>
    </row>
    <row r="9" spans="1:15" x14ac:dyDescent="0.25">
      <c r="A9" s="123" t="s">
        <v>80</v>
      </c>
      <c r="B9" s="72">
        <f t="shared" si="0"/>
        <v>8</v>
      </c>
      <c r="C9" s="73">
        <v>1</v>
      </c>
      <c r="D9" s="72">
        <v>2021</v>
      </c>
      <c r="E9" s="71">
        <f>Submetering!E9+Submetering!F9+Submetering!G9+Submetering!H9+Submetering!I9+Submetering!J9+Submetering!K9</f>
        <v>28026</v>
      </c>
      <c r="F9" s="74">
        <v>0.2</v>
      </c>
      <c r="G9" s="71">
        <f>Submetering!P9</f>
        <v>480</v>
      </c>
      <c r="H9" s="74">
        <v>6.47</v>
      </c>
      <c r="I9" s="71">
        <f>Submetering!T9-Submetering!T9*15%-Submetering!X9</f>
        <v>13021.185799999999</v>
      </c>
      <c r="J9" s="70">
        <v>0.21</v>
      </c>
      <c r="K9" s="71">
        <f>Submetering!N9-Submetering!O9</f>
        <v>48.558999999997923</v>
      </c>
      <c r="L9" s="74">
        <v>7.84</v>
      </c>
      <c r="M9" s="71">
        <f>Submetering!Y9</f>
        <v>75</v>
      </c>
      <c r="N9" s="113">
        <f>Submetering!Z9</f>
        <v>126</v>
      </c>
      <c r="O9" s="1" t="s">
        <v>12</v>
      </c>
    </row>
    <row r="10" spans="1:15" x14ac:dyDescent="0.25">
      <c r="A10" s="123" t="s">
        <v>80</v>
      </c>
      <c r="B10" s="72">
        <f t="shared" si="0"/>
        <v>9</v>
      </c>
      <c r="C10" s="73">
        <v>1</v>
      </c>
      <c r="D10" s="72">
        <v>2021</v>
      </c>
      <c r="E10" s="71">
        <f>Submetering!E10+Submetering!F10+Submetering!G10+Submetering!H10+Submetering!I10+Submetering!J10+Submetering!K10</f>
        <v>27961</v>
      </c>
      <c r="F10" s="74">
        <v>0.2</v>
      </c>
      <c r="G10" s="71">
        <f>Submetering!P10</f>
        <v>406</v>
      </c>
      <c r="H10" s="74">
        <v>6.47</v>
      </c>
      <c r="I10" s="71">
        <f>Submetering!T10-Submetering!T10*15%-Submetering!X10</f>
        <v>13293.336380005265</v>
      </c>
      <c r="J10" s="70">
        <v>0.21</v>
      </c>
      <c r="K10" s="71">
        <f>Submetering!N10-Submetering!O10</f>
        <v>62.952999999995882</v>
      </c>
      <c r="L10" s="74">
        <v>7.84</v>
      </c>
      <c r="M10" s="71">
        <f>Submetering!Y10</f>
        <v>57</v>
      </c>
      <c r="N10" s="113">
        <f>Submetering!Z10</f>
        <v>89</v>
      </c>
    </row>
    <row r="11" spans="1:15" x14ac:dyDescent="0.25">
      <c r="A11" s="123" t="s">
        <v>80</v>
      </c>
      <c r="B11" s="72">
        <f t="shared" si="0"/>
        <v>10</v>
      </c>
      <c r="C11" s="73">
        <v>1</v>
      </c>
      <c r="D11" s="72">
        <v>2021</v>
      </c>
      <c r="E11" s="71">
        <f>Submetering!E11+Submetering!F11+Submetering!G11+Submetering!H11+Submetering!I11+Submetering!J11+Submetering!K11</f>
        <v>27105</v>
      </c>
      <c r="F11" s="74">
        <v>0.2</v>
      </c>
      <c r="G11" s="71">
        <f>Submetering!P11</f>
        <v>407</v>
      </c>
      <c r="H11" s="74">
        <v>6.47</v>
      </c>
      <c r="I11" s="71">
        <f>Submetering!T11-Submetering!T11*15%-Submetering!X11</f>
        <v>11934.670599994181</v>
      </c>
      <c r="J11" s="70">
        <v>0.21</v>
      </c>
      <c r="K11" s="71">
        <f>Submetering!N11-Submetering!O11</f>
        <v>65.165000000012242</v>
      </c>
      <c r="L11" s="74">
        <v>7.84</v>
      </c>
      <c r="M11" s="71">
        <f>Submetering!Y11</f>
        <v>60</v>
      </c>
      <c r="N11" s="113">
        <f>Submetering!Z11</f>
        <v>90</v>
      </c>
    </row>
    <row r="12" spans="1:15" x14ac:dyDescent="0.25">
      <c r="A12" s="123" t="s">
        <v>80</v>
      </c>
      <c r="B12" s="72">
        <f t="shared" si="0"/>
        <v>11</v>
      </c>
      <c r="C12" s="73">
        <v>1</v>
      </c>
      <c r="D12" s="72">
        <v>2021</v>
      </c>
      <c r="E12" s="71">
        <f>Submetering!E12+Submetering!F12+Submetering!G12+Submetering!H12+Submetering!I12+Submetering!J12+Submetering!K12</f>
        <v>26456</v>
      </c>
      <c r="F12" s="74">
        <v>0.2</v>
      </c>
      <c r="G12" s="71">
        <f>Submetering!P12</f>
        <v>431</v>
      </c>
      <c r="H12" s="74">
        <v>6.47</v>
      </c>
      <c r="I12" s="71">
        <f>Submetering!T12-Submetering!T12*15%-Submetering!X12</f>
        <v>12980.485400002908</v>
      </c>
      <c r="J12" s="70">
        <v>0.21</v>
      </c>
      <c r="K12" s="71">
        <f>Submetering!N12-Submetering!O12</f>
        <v>72.287999999999556</v>
      </c>
      <c r="L12" s="74">
        <v>7.84</v>
      </c>
      <c r="M12" s="71">
        <f>Submetering!Y12</f>
        <v>65</v>
      </c>
      <c r="N12" s="113">
        <f>Submetering!Z12</f>
        <v>98</v>
      </c>
    </row>
    <row r="13" spans="1:15" x14ac:dyDescent="0.25">
      <c r="A13" s="123" t="s">
        <v>80</v>
      </c>
      <c r="B13" s="72">
        <f t="shared" si="0"/>
        <v>12</v>
      </c>
      <c r="C13" s="73">
        <v>1</v>
      </c>
      <c r="D13" s="72">
        <v>2021</v>
      </c>
      <c r="E13" s="71">
        <f>Submetering!E13+Submetering!F13+Submetering!G13+Submetering!H13+Submetering!I13+Submetering!J13+Submetering!K13</f>
        <v>26274</v>
      </c>
      <c r="F13" s="74">
        <v>0.2</v>
      </c>
      <c r="G13" s="71">
        <f>Submetering!P13</f>
        <v>421</v>
      </c>
      <c r="H13" s="74">
        <v>6.47</v>
      </c>
      <c r="I13" s="71">
        <f>Submetering!T13-Submetering!T13*15%-Submetering!X13</f>
        <v>14704.907600002909</v>
      </c>
      <c r="J13" s="70">
        <v>0.21</v>
      </c>
      <c r="K13" s="71">
        <f>Submetering!N13-Submetering!O13</f>
        <v>55.89799999998786</v>
      </c>
      <c r="L13" s="74">
        <v>7.84</v>
      </c>
      <c r="M13" s="71">
        <f>Submetering!Y13</f>
        <v>69</v>
      </c>
      <c r="N13" s="113">
        <f>Submetering!Z13</f>
        <v>110</v>
      </c>
    </row>
    <row r="14" spans="1:15" x14ac:dyDescent="0.25">
      <c r="A14" s="123" t="s">
        <v>80</v>
      </c>
      <c r="B14" s="72">
        <f t="shared" si="0"/>
        <v>13</v>
      </c>
      <c r="C14" s="73">
        <v>1</v>
      </c>
      <c r="D14" s="72">
        <v>2021</v>
      </c>
      <c r="E14" s="71">
        <f>Submetering!E14+Submetering!F14+Submetering!G14+Submetering!H14+Submetering!I14+Submetering!J14+Submetering!K14</f>
        <v>27179</v>
      </c>
      <c r="F14" s="74">
        <v>0.2</v>
      </c>
      <c r="G14" s="71">
        <f>Submetering!P14</f>
        <v>407</v>
      </c>
      <c r="H14" s="74">
        <v>6.47</v>
      </c>
      <c r="I14" s="71">
        <f>Submetering!T14-Submetering!T14*15%-Submetering!X14</f>
        <v>14745.183819999103</v>
      </c>
      <c r="J14" s="70">
        <v>0.21</v>
      </c>
      <c r="K14" s="71">
        <f>Submetering!N14-Submetering!O14</f>
        <v>58.117000000003372</v>
      </c>
      <c r="L14" s="74">
        <v>7.84</v>
      </c>
      <c r="M14" s="71">
        <f>Submetering!Y14</f>
        <v>54</v>
      </c>
      <c r="N14" s="113">
        <f>Submetering!Z14</f>
        <v>93</v>
      </c>
    </row>
    <row r="15" spans="1:15" x14ac:dyDescent="0.25">
      <c r="A15" s="123" t="s">
        <v>80</v>
      </c>
      <c r="B15" s="72">
        <f t="shared" si="0"/>
        <v>14</v>
      </c>
      <c r="C15" s="73">
        <v>1</v>
      </c>
      <c r="D15" s="72">
        <v>2021</v>
      </c>
      <c r="E15" s="71">
        <f>Submetering!E15+Submetering!F15+Submetering!G15+Submetering!H15+Submetering!I15+Submetering!J15+Submetering!K15</f>
        <v>27118</v>
      </c>
      <c r="F15" s="74">
        <v>0.2</v>
      </c>
      <c r="G15" s="71">
        <f>Submetering!P15</f>
        <v>429</v>
      </c>
      <c r="H15" s="74">
        <v>6.47</v>
      </c>
      <c r="I15" s="71">
        <f>Submetering!T15-Submetering!T15*15%-Submetering!X15</f>
        <v>14146.212940001176</v>
      </c>
      <c r="J15" s="70">
        <v>0.21</v>
      </c>
      <c r="K15" s="81">
        <f>Submetering!N15-Submetering!O15</f>
        <v>59.385999999999967</v>
      </c>
      <c r="L15" s="74">
        <v>7.84</v>
      </c>
      <c r="M15" s="71">
        <f>Submetering!Y15</f>
        <v>67</v>
      </c>
      <c r="N15" s="113">
        <f>Submetering!Z15</f>
        <v>118</v>
      </c>
    </row>
    <row r="16" spans="1:15" x14ac:dyDescent="0.25">
      <c r="A16" s="123" t="s">
        <v>80</v>
      </c>
      <c r="B16" s="72">
        <f t="shared" si="0"/>
        <v>15</v>
      </c>
      <c r="C16" s="73">
        <v>1</v>
      </c>
      <c r="D16" s="72">
        <v>2021</v>
      </c>
      <c r="E16" s="71">
        <f>Submetering!E16+Submetering!F16+Submetering!G16+Submetering!H16+Submetering!I16+Submetering!J16+Submetering!K16</f>
        <v>27854</v>
      </c>
      <c r="F16" s="74">
        <v>0.2</v>
      </c>
      <c r="G16" s="71">
        <f>Submetering!P16</f>
        <v>465</v>
      </c>
      <c r="H16" s="74">
        <v>6.47</v>
      </c>
      <c r="I16" s="71">
        <f>Submetering!T16-Submetering!T16*15%-Submetering!X16</f>
        <v>14362.469480000836</v>
      </c>
      <c r="J16" s="70">
        <v>0.21</v>
      </c>
      <c r="K16" s="71">
        <f>Submetering!N16-Submetering!O16</f>
        <v>59.262000000000171</v>
      </c>
      <c r="L16" s="74">
        <v>7.84</v>
      </c>
      <c r="M16" s="71">
        <f>Submetering!Y16</f>
        <v>61</v>
      </c>
      <c r="N16" s="113">
        <f>Submetering!Z16</f>
        <v>103</v>
      </c>
    </row>
    <row r="17" spans="1:14" x14ac:dyDescent="0.25">
      <c r="A17" s="123" t="s">
        <v>80</v>
      </c>
      <c r="B17" s="72">
        <f t="shared" si="0"/>
        <v>16</v>
      </c>
      <c r="C17" s="73">
        <v>1</v>
      </c>
      <c r="D17" s="72">
        <v>2021</v>
      </c>
      <c r="E17" s="71">
        <f>Submetering!E17+Submetering!F17+Submetering!G17+Submetering!H17+Submetering!I17+Submetering!J17+Submetering!K17</f>
        <v>26453</v>
      </c>
      <c r="F17" s="74">
        <v>0.2</v>
      </c>
      <c r="G17" s="71">
        <f>Submetering!P17</f>
        <v>413</v>
      </c>
      <c r="H17" s="74">
        <v>6.47</v>
      </c>
      <c r="I17" s="71">
        <f>Submetering!T17-Submetering!T17*15%-Submetering!X17</f>
        <v>12863.262399998544</v>
      </c>
      <c r="J17" s="70">
        <v>0.21</v>
      </c>
      <c r="K17" s="71">
        <f>Submetering!N17-Submetering!O17</f>
        <v>48.197000000008302</v>
      </c>
      <c r="L17" s="74">
        <v>7.84</v>
      </c>
      <c r="M17" s="71">
        <f>Submetering!Y17</f>
        <v>43</v>
      </c>
      <c r="N17" s="113">
        <f>Submetering!Z17</f>
        <v>56</v>
      </c>
    </row>
    <row r="18" spans="1:14" x14ac:dyDescent="0.25">
      <c r="A18" s="123" t="s">
        <v>80</v>
      </c>
      <c r="B18" s="72">
        <f t="shared" si="0"/>
        <v>17</v>
      </c>
      <c r="C18" s="73">
        <v>1</v>
      </c>
      <c r="D18" s="72">
        <v>2021</v>
      </c>
      <c r="E18" s="71">
        <f>Submetering!E18+Submetering!F18+Submetering!G18+Submetering!H18+Submetering!I18+Submetering!J18+Submetering!K18</f>
        <v>26651</v>
      </c>
      <c r="F18" s="74">
        <v>0.2</v>
      </c>
      <c r="G18" s="71">
        <f>Submetering!P18</f>
        <v>392</v>
      </c>
      <c r="H18" s="74">
        <v>6.47</v>
      </c>
      <c r="I18" s="71">
        <f>Submetering!T18-Submetering!T18*15%-Submetering!X18</f>
        <v>12800.383699997088</v>
      </c>
      <c r="J18" s="70">
        <v>0.21</v>
      </c>
      <c r="K18" s="71">
        <f>Submetering!N18-Submetering!O18</f>
        <v>62.471999999989748</v>
      </c>
      <c r="L18" s="74">
        <v>7.84</v>
      </c>
      <c r="M18" s="71">
        <f>Submetering!Y18</f>
        <v>65</v>
      </c>
      <c r="N18" s="113">
        <f>Submetering!Z18</f>
        <v>90</v>
      </c>
    </row>
    <row r="19" spans="1:14" x14ac:dyDescent="0.25">
      <c r="A19" s="123" t="s">
        <v>80</v>
      </c>
      <c r="B19" s="72">
        <f t="shared" si="0"/>
        <v>18</v>
      </c>
      <c r="C19" s="73">
        <v>1</v>
      </c>
      <c r="D19" s="72">
        <v>2021</v>
      </c>
      <c r="E19" s="71">
        <f>Submetering!E19+Submetering!F19+Submetering!G19+Submetering!H19+Submetering!I19+Submetering!J19+Submetering!K19</f>
        <v>26710</v>
      </c>
      <c r="F19" s="74">
        <v>0.2</v>
      </c>
      <c r="G19" s="71">
        <f>Submetering!P19</f>
        <v>425</v>
      </c>
      <c r="H19" s="74">
        <v>6.47</v>
      </c>
      <c r="I19" s="71">
        <f>Submetering!T19-Submetering!T19*15%-Submetering!X19</f>
        <v>15396.669739998266</v>
      </c>
      <c r="J19" s="70">
        <v>0.21</v>
      </c>
      <c r="K19" s="71">
        <f>Submetering!N19-Submetering!O19</f>
        <v>62.662000000000262</v>
      </c>
      <c r="L19" s="74">
        <v>7.84</v>
      </c>
      <c r="M19" s="71">
        <f>Submetering!Y19</f>
        <v>73</v>
      </c>
      <c r="N19" s="113">
        <f>Submetering!Z19</f>
        <v>98</v>
      </c>
    </row>
    <row r="20" spans="1:14" x14ac:dyDescent="0.25">
      <c r="A20" s="123" t="s">
        <v>80</v>
      </c>
      <c r="B20" s="72">
        <f t="shared" si="0"/>
        <v>19</v>
      </c>
      <c r="C20" s="73">
        <v>1</v>
      </c>
      <c r="D20" s="72">
        <v>2021</v>
      </c>
      <c r="E20" s="71">
        <f>Submetering!E20+Submetering!F20+Submetering!G20+Submetering!H20+Submetering!I20+Submetering!J20+Submetering!K20</f>
        <v>25905</v>
      </c>
      <c r="F20" s="74">
        <v>0.2</v>
      </c>
      <c r="G20" s="71">
        <f>Submetering!P20</f>
        <v>422</v>
      </c>
      <c r="H20" s="74">
        <v>6.47</v>
      </c>
      <c r="I20" s="71">
        <f>Submetering!T20-Submetering!T20*15%-Submetering!X20</f>
        <v>16956.383980005263</v>
      </c>
      <c r="J20" s="70">
        <v>0.21</v>
      </c>
      <c r="K20" s="71">
        <f>Submetering!N20-Submetering!O20</f>
        <v>61.63500000000522</v>
      </c>
      <c r="L20" s="74">
        <v>7.84</v>
      </c>
      <c r="M20" s="71">
        <f>Submetering!Y20</f>
        <v>65</v>
      </c>
      <c r="N20" s="113">
        <f>Submetering!Z20</f>
        <v>91</v>
      </c>
    </row>
    <row r="21" spans="1:14" x14ac:dyDescent="0.25">
      <c r="A21" s="123" t="s">
        <v>80</v>
      </c>
      <c r="B21" s="72">
        <f t="shared" si="0"/>
        <v>20</v>
      </c>
      <c r="C21" s="73">
        <v>1</v>
      </c>
      <c r="D21" s="72">
        <v>2021</v>
      </c>
      <c r="E21" s="71">
        <f>Submetering!E21+Submetering!F21+Submetering!G21+Submetering!H21+Submetering!I21+Submetering!J21+Submetering!K21</f>
        <v>26045</v>
      </c>
      <c r="F21" s="74">
        <v>0.2</v>
      </c>
      <c r="G21" s="71">
        <f>Submetering!P21</f>
        <v>425</v>
      </c>
      <c r="H21" s="74">
        <v>6.47</v>
      </c>
      <c r="I21" s="71">
        <f>Submetering!T21-Submetering!T21*15%-Submetering!X21</f>
        <v>17098.364139998266</v>
      </c>
      <c r="J21" s="70">
        <v>0.21</v>
      </c>
      <c r="K21" s="71">
        <f>Submetering!N21-Submetering!O21</f>
        <v>46.745000000004893</v>
      </c>
      <c r="L21" s="74">
        <v>7.84</v>
      </c>
      <c r="M21" s="71">
        <f>Submetering!Y21</f>
        <v>62</v>
      </c>
      <c r="N21" s="113">
        <f>Submetering!Z21</f>
        <v>87</v>
      </c>
    </row>
    <row r="22" spans="1:14" x14ac:dyDescent="0.25">
      <c r="A22" s="123" t="s">
        <v>80</v>
      </c>
      <c r="B22" s="72">
        <f t="shared" si="0"/>
        <v>21</v>
      </c>
      <c r="C22" s="73">
        <v>1</v>
      </c>
      <c r="D22" s="72">
        <v>2021</v>
      </c>
      <c r="E22" s="71">
        <f>Submetering!E22+Submetering!F22+Submetering!G22+Submetering!H22+Submetering!I22+Submetering!J22+Submetering!K22</f>
        <v>26867</v>
      </c>
      <c r="F22" s="74">
        <v>0.2</v>
      </c>
      <c r="G22" s="71">
        <f>Submetering!P22</f>
        <v>444</v>
      </c>
      <c r="H22" s="74">
        <v>6.47</v>
      </c>
      <c r="I22" s="71">
        <f>Submetering!T22-Submetering!T22*15%-Submetering!X22</f>
        <v>14938.392039998202</v>
      </c>
      <c r="J22" s="70">
        <v>0.21</v>
      </c>
      <c r="K22" s="71">
        <f>Submetering!N22-Submetering!O22</f>
        <v>52.068000000001575</v>
      </c>
      <c r="L22" s="74">
        <v>7.84</v>
      </c>
      <c r="M22" s="71">
        <f>Submetering!Y22</f>
        <v>60</v>
      </c>
      <c r="N22" s="113">
        <f>Submetering!Z22</f>
        <v>89</v>
      </c>
    </row>
    <row r="23" spans="1:14" x14ac:dyDescent="0.25">
      <c r="A23" s="123" t="s">
        <v>80</v>
      </c>
      <c r="B23" s="72">
        <f t="shared" si="0"/>
        <v>22</v>
      </c>
      <c r="C23" s="73">
        <v>1</v>
      </c>
      <c r="D23" s="72">
        <v>2021</v>
      </c>
      <c r="E23" s="71">
        <f>Submetering!E23+Submetering!F23+Submetering!G23+Submetering!H23+Submetering!I23+Submetering!J23+Submetering!K23</f>
        <v>28598</v>
      </c>
      <c r="F23" s="74">
        <v>0.2</v>
      </c>
      <c r="G23" s="71">
        <f>Submetering!P23</f>
        <v>467</v>
      </c>
      <c r="H23" s="74">
        <v>6.47</v>
      </c>
      <c r="I23" s="71">
        <f>Submetering!T23-Submetering!T23*15%-Submetering!X23</f>
        <v>12542.106</v>
      </c>
      <c r="J23" s="70">
        <v>0.21</v>
      </c>
      <c r="K23" s="71">
        <f>Submetering!N23-Submetering!O23</f>
        <v>65.835999999990236</v>
      </c>
      <c r="L23" s="74">
        <v>7.84</v>
      </c>
      <c r="M23" s="71">
        <f>Submetering!Y23</f>
        <v>63</v>
      </c>
      <c r="N23" s="113">
        <f>Submetering!Z23</f>
        <v>92</v>
      </c>
    </row>
    <row r="24" spans="1:14" x14ac:dyDescent="0.25">
      <c r="A24" s="123" t="s">
        <v>80</v>
      </c>
      <c r="B24" s="72">
        <f t="shared" si="0"/>
        <v>23</v>
      </c>
      <c r="C24" s="73">
        <v>1</v>
      </c>
      <c r="D24" s="72">
        <v>2021</v>
      </c>
      <c r="E24" s="71">
        <f>Submetering!E24+Submetering!F24+Submetering!G24+Submetering!H24+Submetering!I24+Submetering!J24+Submetering!K24</f>
        <v>27744</v>
      </c>
      <c r="F24" s="74">
        <v>0.2</v>
      </c>
      <c r="G24" s="71">
        <f>Submetering!P24</f>
        <v>524</v>
      </c>
      <c r="H24" s="74">
        <v>6.47</v>
      </c>
      <c r="I24" s="71">
        <f>Submetering!T24-Submetering!T24*15%-Submetering!X24</f>
        <v>14004.232780000901</v>
      </c>
      <c r="J24" s="70">
        <v>0.21</v>
      </c>
      <c r="K24" s="71">
        <f>Submetering!N24-Submetering!O24</f>
        <v>49.523000000010143</v>
      </c>
      <c r="L24" s="74">
        <v>7.84</v>
      </c>
      <c r="M24" s="71">
        <f>Submetering!Y24</f>
        <v>54</v>
      </c>
      <c r="N24" s="113">
        <f>Submetering!Z24</f>
        <v>79</v>
      </c>
    </row>
    <row r="25" spans="1:14" x14ac:dyDescent="0.25">
      <c r="A25" s="123" t="s">
        <v>80</v>
      </c>
      <c r="B25" s="72">
        <f t="shared" si="0"/>
        <v>24</v>
      </c>
      <c r="C25" s="73">
        <v>1</v>
      </c>
      <c r="D25" s="72">
        <v>2021</v>
      </c>
      <c r="E25" s="71">
        <f>Submetering!E25+Submetering!F25+Submetering!G25+Submetering!H25+Submetering!I25+Submetering!J25+Submetering!K25</f>
        <v>25548</v>
      </c>
      <c r="F25" s="74">
        <v>0.2</v>
      </c>
      <c r="G25" s="71">
        <f>Submetering!P25</f>
        <v>575</v>
      </c>
      <c r="H25" s="74">
        <v>6.47</v>
      </c>
      <c r="I25" s="71">
        <f>Submetering!T25-Submetering!T25*15%-Submetering!X25</f>
        <v>12422.798200002911</v>
      </c>
      <c r="J25" s="70">
        <v>0.21</v>
      </c>
      <c r="K25" s="71">
        <f>Submetering!N25-Submetering!O25</f>
        <v>61.968999999999141</v>
      </c>
      <c r="L25" s="74">
        <v>7.84</v>
      </c>
      <c r="M25" s="71">
        <f>Submetering!Y25</f>
        <v>69</v>
      </c>
      <c r="N25" s="113">
        <f>Submetering!Z25</f>
        <v>91</v>
      </c>
    </row>
    <row r="26" spans="1:14" x14ac:dyDescent="0.25">
      <c r="A26" s="123" t="s">
        <v>80</v>
      </c>
      <c r="B26" s="72">
        <f>B25+1</f>
        <v>25</v>
      </c>
      <c r="C26" s="73">
        <v>1</v>
      </c>
      <c r="D26" s="72">
        <v>2021</v>
      </c>
      <c r="E26" s="71">
        <f>Submetering!E26+Submetering!F26+Submetering!G26+Submetering!H26+Submetering!I26+Submetering!J26+Submetering!K26</f>
        <v>26413</v>
      </c>
      <c r="F26" s="74">
        <v>0.2</v>
      </c>
      <c r="G26" s="71">
        <f>Submetering!P26</f>
        <v>552</v>
      </c>
      <c r="H26" s="74">
        <v>6.47</v>
      </c>
      <c r="I26" s="71">
        <f>Submetering!T26-Submetering!T26*15%-Submetering!X26</f>
        <v>15258.54819999418</v>
      </c>
      <c r="J26" s="70">
        <v>0.21</v>
      </c>
      <c r="K26" s="71">
        <f>Submetering!N26-Submetering!O26</f>
        <v>68.524999999989632</v>
      </c>
      <c r="L26" s="74">
        <v>7.84</v>
      </c>
      <c r="M26" s="71">
        <f>Submetering!Y26</f>
        <v>97</v>
      </c>
      <c r="N26" s="113">
        <f>Submetering!Z26</f>
        <v>136</v>
      </c>
    </row>
    <row r="27" spans="1:14" x14ac:dyDescent="0.25">
      <c r="A27" s="123" t="s">
        <v>80</v>
      </c>
      <c r="B27" s="72">
        <f t="shared" si="0"/>
        <v>26</v>
      </c>
      <c r="C27" s="73">
        <v>1</v>
      </c>
      <c r="D27" s="72">
        <v>2021</v>
      </c>
      <c r="E27" s="71">
        <f>Submetering!E27+Submetering!F27+Submetering!G27+Submetering!H27+Submetering!I27+Submetering!J27+Submetering!K27</f>
        <v>27328</v>
      </c>
      <c r="F27" s="74">
        <v>0.2</v>
      </c>
      <c r="G27" s="71">
        <f>Submetering!P27</f>
        <v>478</v>
      </c>
      <c r="H27" s="74">
        <v>6.47</v>
      </c>
      <c r="I27" s="71">
        <f>Submetering!T27-Submetering!T27*15%-Submetering!X27</f>
        <v>15771.960800001456</v>
      </c>
      <c r="J27" s="70">
        <v>0.21</v>
      </c>
      <c r="K27" s="71">
        <f>Submetering!N27-Submetering!O27</f>
        <v>73.326000000004569</v>
      </c>
      <c r="L27" s="74">
        <v>7.84</v>
      </c>
      <c r="M27" s="71">
        <f>Submetering!Y27</f>
        <v>95</v>
      </c>
      <c r="N27" s="113">
        <f>Submetering!Z27</f>
        <v>135</v>
      </c>
    </row>
    <row r="28" spans="1:14" x14ac:dyDescent="0.25">
      <c r="A28" s="123" t="s">
        <v>80</v>
      </c>
      <c r="B28" s="72">
        <f t="shared" si="0"/>
        <v>27</v>
      </c>
      <c r="C28" s="73">
        <v>1</v>
      </c>
      <c r="D28" s="72">
        <v>2021</v>
      </c>
      <c r="E28" s="71">
        <f>Submetering!E28+Submetering!F28+Submetering!G28+Submetering!H28+Submetering!I28+Submetering!J28+Submetering!K28</f>
        <v>27671</v>
      </c>
      <c r="F28" s="74">
        <v>0.2</v>
      </c>
      <c r="G28" s="71">
        <f>Submetering!P28</f>
        <v>490</v>
      </c>
      <c r="H28" s="74">
        <v>6.47</v>
      </c>
      <c r="I28" s="71">
        <f>Submetering!T28-Submetering!T28*15%-Submetering!X28</f>
        <v>16754.361839998266</v>
      </c>
      <c r="J28" s="70">
        <v>0.21</v>
      </c>
      <c r="K28" s="71">
        <f>Submetering!N28-Submetering!O28</f>
        <v>68.042000000000826</v>
      </c>
      <c r="L28" s="74">
        <v>7.84</v>
      </c>
      <c r="M28" s="71">
        <f>Submetering!Y28</f>
        <v>80</v>
      </c>
      <c r="N28" s="113">
        <f>Submetering!Z28</f>
        <v>109</v>
      </c>
    </row>
    <row r="29" spans="1:14" x14ac:dyDescent="0.25">
      <c r="A29" s="123" t="s">
        <v>80</v>
      </c>
      <c r="B29" s="72">
        <f t="shared" si="0"/>
        <v>28</v>
      </c>
      <c r="C29" s="73">
        <v>1</v>
      </c>
      <c r="D29" s="72">
        <v>2021</v>
      </c>
      <c r="E29" s="71">
        <f>Submetering!E29+Submetering!F29+Submetering!G29+Submetering!H29+Submetering!I29+Submetering!J29+Submetering!K29</f>
        <v>25874</v>
      </c>
      <c r="F29" s="74">
        <v>0.2</v>
      </c>
      <c r="G29" s="71">
        <f>Submetering!P29</f>
        <v>470</v>
      </c>
      <c r="H29" s="74">
        <v>6.47</v>
      </c>
      <c r="I29" s="71">
        <f>Submetering!T29-Submetering!T29*15%-Submetering!X29</f>
        <v>16225.220539999718</v>
      </c>
      <c r="J29" s="70">
        <v>0.21</v>
      </c>
      <c r="K29" s="71">
        <f>Submetering!N29-Submetering!O29</f>
        <v>73.112000000006446</v>
      </c>
      <c r="L29" s="74">
        <v>7.84</v>
      </c>
      <c r="M29" s="71">
        <f>Submetering!Y29</f>
        <v>94</v>
      </c>
      <c r="N29" s="113">
        <f>Submetering!Z29</f>
        <v>155</v>
      </c>
    </row>
    <row r="30" spans="1:14" x14ac:dyDescent="0.25">
      <c r="A30" s="123" t="s">
        <v>80</v>
      </c>
      <c r="B30" s="72">
        <f t="shared" si="0"/>
        <v>29</v>
      </c>
      <c r="C30" s="73">
        <v>1</v>
      </c>
      <c r="D30" s="72">
        <v>2021</v>
      </c>
      <c r="E30" s="71">
        <f>Submetering!E30+Submetering!F30+Submetering!G30+Submetering!H30+Submetering!I30+Submetering!J30+Submetering!K30</f>
        <v>27712</v>
      </c>
      <c r="F30" s="74">
        <v>0.2</v>
      </c>
      <c r="G30" s="71">
        <f>Submetering!P30</f>
        <v>500</v>
      </c>
      <c r="H30" s="74">
        <v>6.47</v>
      </c>
      <c r="I30" s="71">
        <f>Submetering!T30-Submetering!T30*15%-Submetering!X30</f>
        <v>15561.264500001456</v>
      </c>
      <c r="J30" s="70">
        <v>0.21</v>
      </c>
      <c r="K30" s="71">
        <f>Submetering!N30-Submetering!O30</f>
        <v>66.760999999989508</v>
      </c>
      <c r="L30" s="74">
        <v>7.84</v>
      </c>
      <c r="M30" s="71">
        <f>Submetering!Y30</f>
        <v>83</v>
      </c>
      <c r="N30" s="113">
        <f>Submetering!Z30</f>
        <v>133</v>
      </c>
    </row>
    <row r="31" spans="1:14" x14ac:dyDescent="0.25">
      <c r="A31" s="143" t="s">
        <v>80</v>
      </c>
      <c r="B31" s="144">
        <f t="shared" si="0"/>
        <v>30</v>
      </c>
      <c r="C31" s="73">
        <v>1</v>
      </c>
      <c r="D31" s="72">
        <v>2021</v>
      </c>
      <c r="E31" s="141">
        <f>Submetering!E31+Submetering!F31+Submetering!G31+Submetering!H31+Submetering!I31+Submetering!J31+Submetering!K31</f>
        <v>26997</v>
      </c>
      <c r="F31" s="145">
        <v>0.2</v>
      </c>
      <c r="G31" s="141">
        <f>Submetering!P31</f>
        <v>434</v>
      </c>
      <c r="H31" s="145">
        <v>6.47</v>
      </c>
      <c r="I31" s="141">
        <f>Submetering!T31-Submetering!T31*15%-Submetering!X31</f>
        <v>15869.215620003466</v>
      </c>
      <c r="J31" s="140">
        <v>0.21</v>
      </c>
      <c r="K31" s="141">
        <f>Submetering!N31-Submetering!O31</f>
        <v>62.939999999999145</v>
      </c>
      <c r="L31" s="145">
        <v>7.84</v>
      </c>
      <c r="M31" s="141">
        <f>Submetering!Y31</f>
        <v>65</v>
      </c>
      <c r="N31" s="142">
        <f>Submetering!Z31</f>
        <v>95</v>
      </c>
    </row>
    <row r="32" spans="1:14" ht="15.75" thickBot="1" x14ac:dyDescent="0.3">
      <c r="A32" s="124" t="s">
        <v>80</v>
      </c>
      <c r="B32" s="125">
        <f t="shared" si="0"/>
        <v>31</v>
      </c>
      <c r="C32" s="126">
        <v>1</v>
      </c>
      <c r="D32" s="125">
        <v>2021</v>
      </c>
      <c r="E32" s="117">
        <f>Submetering!E32+Submetering!F32+Submetering!G32+Submetering!H32+Submetering!I32+Submetering!J32+Submetering!K32</f>
        <v>27022</v>
      </c>
      <c r="F32" s="127">
        <v>0.2</v>
      </c>
      <c r="G32" s="117">
        <f>Submetering!P32</f>
        <v>433</v>
      </c>
      <c r="H32" s="127">
        <v>6.47</v>
      </c>
      <c r="I32" s="117">
        <f>Submetering!T32-Submetering!T32*15%-Submetering!X32</f>
        <v>15292.235059997369</v>
      </c>
      <c r="J32" s="116">
        <v>0.21</v>
      </c>
      <c r="K32" s="117">
        <f>Submetering!N32-Submetering!O32</f>
        <v>36.461000000004788</v>
      </c>
      <c r="L32" s="127">
        <v>7.84</v>
      </c>
      <c r="M32" s="117">
        <f>Submetering!Y32</f>
        <v>61</v>
      </c>
      <c r="N32" s="118">
        <f>Submetering!Z32</f>
        <v>91</v>
      </c>
    </row>
    <row r="33" spans="5:14" x14ac:dyDescent="0.25">
      <c r="E33" s="4">
        <f>SUM(E2:E32)</f>
        <v>835219</v>
      </c>
      <c r="G33" s="4">
        <f>SUM(G2:G32)</f>
        <v>13862</v>
      </c>
      <c r="I33" s="4">
        <f>SUM(I2:I32)</f>
        <v>466936.78441999923</v>
      </c>
      <c r="M33" s="4">
        <f>SUM(M2:M32)</f>
        <v>2121</v>
      </c>
      <c r="N33" s="4">
        <f>SUM(N2:N32)</f>
        <v>3282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4"/>
  <sheetViews>
    <sheetView workbookViewId="0">
      <pane xSplit="2" ySplit="1" topLeftCell="H2" activePane="bottomRight" state="frozen"/>
      <selection pane="topRight" activeCell="C1" sqref="C1"/>
      <selection pane="bottomLeft" activeCell="A2" sqref="A2"/>
      <selection pane="bottomRight" activeCell="U21" sqref="U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101" t="s">
        <v>0</v>
      </c>
      <c r="B1" s="102" t="s">
        <v>1</v>
      </c>
      <c r="C1" s="103" t="s">
        <v>2</v>
      </c>
      <c r="D1" s="102" t="s">
        <v>3</v>
      </c>
      <c r="E1" s="104" t="s">
        <v>64</v>
      </c>
      <c r="F1" s="104" t="s">
        <v>81</v>
      </c>
      <c r="G1" s="104" t="s">
        <v>84</v>
      </c>
      <c r="H1" s="104" t="s">
        <v>65</v>
      </c>
      <c r="I1" s="104" t="s">
        <v>66</v>
      </c>
      <c r="J1" s="104" t="s">
        <v>67</v>
      </c>
      <c r="K1" s="104" t="s">
        <v>68</v>
      </c>
      <c r="L1" s="105" t="s">
        <v>69</v>
      </c>
      <c r="M1" s="105" t="s">
        <v>70</v>
      </c>
      <c r="N1" s="105" t="s">
        <v>71</v>
      </c>
      <c r="O1" s="105" t="s">
        <v>72</v>
      </c>
      <c r="P1" s="105" t="s">
        <v>73</v>
      </c>
      <c r="Q1" s="105" t="s">
        <v>74</v>
      </c>
      <c r="R1" s="105" t="s">
        <v>75</v>
      </c>
      <c r="S1" s="105" t="s">
        <v>91</v>
      </c>
      <c r="T1" s="105" t="s">
        <v>86</v>
      </c>
      <c r="U1" s="105" t="s">
        <v>87</v>
      </c>
      <c r="V1" s="105" t="s">
        <v>88</v>
      </c>
      <c r="W1" s="105" t="s">
        <v>89</v>
      </c>
      <c r="X1" s="105" t="s">
        <v>90</v>
      </c>
      <c r="Y1" s="106" t="s">
        <v>8</v>
      </c>
      <c r="Z1" s="105" t="s">
        <v>9</v>
      </c>
    </row>
    <row r="2" spans="1:26" x14ac:dyDescent="0.25">
      <c r="A2" s="107" t="s">
        <v>80</v>
      </c>
      <c r="B2" s="108">
        <v>1</v>
      </c>
      <c r="C2" s="109">
        <v>1</v>
      </c>
      <c r="D2" s="108">
        <v>2021</v>
      </c>
      <c r="E2" s="110">
        <f>'FS-AD Daily '!B6</f>
        <v>5215</v>
      </c>
      <c r="F2" s="110">
        <f>'FS-AD Daily '!C6</f>
        <v>2135</v>
      </c>
      <c r="G2" s="110">
        <f>'FS-AD Daily '!D6</f>
        <v>943</v>
      </c>
      <c r="H2" s="110">
        <f>'FS-AD Daily '!E6</f>
        <v>6843</v>
      </c>
      <c r="I2" s="110">
        <f>'FS-AD Daily '!F6</f>
        <v>5860</v>
      </c>
      <c r="J2" s="110">
        <f>'FS-AD Daily '!G6</f>
        <v>2829</v>
      </c>
      <c r="K2" s="110">
        <f>'FS-AD Daily '!H6</f>
        <v>3735</v>
      </c>
      <c r="L2" s="110">
        <f>'FS-AD Daily '!I6</f>
        <v>2339</v>
      </c>
      <c r="M2" s="110">
        <f>'FS-AD Daily '!J6</f>
        <v>7118</v>
      </c>
      <c r="N2" s="110">
        <f>'FS-AD Daily '!T6</f>
        <v>150.16400000000067</v>
      </c>
      <c r="O2" s="110">
        <f>'FS-AD Daily '!R6</f>
        <v>77.510999999994056</v>
      </c>
      <c r="P2" s="110">
        <f>'FS-AD Daily '!Z6</f>
        <v>426</v>
      </c>
      <c r="Q2" s="110">
        <f>'FS-AD Daily '!V6</f>
        <v>129.20000000001164</v>
      </c>
      <c r="R2" s="110">
        <f>'FS-AD Daily '!W6</f>
        <v>0</v>
      </c>
      <c r="S2" s="110">
        <f>P2-Q2-R2</f>
        <v>296.79999999998836</v>
      </c>
      <c r="T2" s="110">
        <f>'FS-AD Daily '!AD6*3.516</f>
        <v>37902.128399999674</v>
      </c>
      <c r="U2" s="110">
        <f>('FS-AD Daily '!AF6)*1000</f>
        <v>19500</v>
      </c>
      <c r="V2" s="110">
        <f>('FS-AD Daily '!AG6)*1000</f>
        <v>6699.9999999970896</v>
      </c>
      <c r="W2" s="110">
        <f>'FS-AD Daily '!AH6*1000</f>
        <v>7299.9999999992724</v>
      </c>
      <c r="X2" s="110">
        <f>('FS-AD Daily '!AK6)*1000</f>
        <v>13900.000000001455</v>
      </c>
      <c r="Y2" s="41">
        <f>'FS-AD Daily '!AN6</f>
        <v>69</v>
      </c>
      <c r="Z2" s="147">
        <v>132</v>
      </c>
    </row>
    <row r="3" spans="1:26" x14ac:dyDescent="0.25">
      <c r="A3" s="112" t="s">
        <v>80</v>
      </c>
      <c r="B3" s="69">
        <f>B2+1</f>
        <v>2</v>
      </c>
      <c r="C3" s="70">
        <v>1</v>
      </c>
      <c r="D3" s="69">
        <v>2021</v>
      </c>
      <c r="E3" s="71">
        <f>'FS-AD Daily '!B7</f>
        <v>4955</v>
      </c>
      <c r="F3" s="71">
        <f>'FS-AD Daily '!C7</f>
        <v>2012</v>
      </c>
      <c r="G3" s="71">
        <f>'FS-AD Daily '!D7</f>
        <v>858</v>
      </c>
      <c r="H3" s="71">
        <f>'FS-AD Daily '!E7</f>
        <v>6183</v>
      </c>
      <c r="I3" s="71">
        <f>'FS-AD Daily '!F7</f>
        <v>5344</v>
      </c>
      <c r="J3" s="71">
        <f>'FS-AD Daily '!G7</f>
        <v>2687</v>
      </c>
      <c r="K3" s="71">
        <f>'FS-AD Daily '!H7</f>
        <v>3553</v>
      </c>
      <c r="L3" s="71">
        <f>'FS-AD Daily '!I7</f>
        <v>2383</v>
      </c>
      <c r="M3" s="71">
        <f>'FS-AD Daily '!J7</f>
        <v>6696</v>
      </c>
      <c r="N3" s="71">
        <f>'FS-AD Daily '!T7</f>
        <v>111.49600000000282</v>
      </c>
      <c r="O3" s="71">
        <f>'FS-AD Daily '!R7</f>
        <v>68.076000000004115</v>
      </c>
      <c r="P3" s="71">
        <f>'FS-AD Daily '!Z7</f>
        <v>425</v>
      </c>
      <c r="Q3" s="71">
        <f>'FS-AD Daily '!V7</f>
        <v>121.69999999995343</v>
      </c>
      <c r="R3" s="71">
        <f>'FS-AD Daily '!W7</f>
        <v>0</v>
      </c>
      <c r="S3" s="71">
        <f t="shared" ref="S3:S31" si="0">P3-Q3-R3</f>
        <v>303.30000000004657</v>
      </c>
      <c r="T3" s="71">
        <f>'FS-AD Daily '!AD7*3.516</f>
        <v>34897.354800000983</v>
      </c>
      <c r="U3" s="71">
        <f>('FS-AD Daily '!AF7)*1000</f>
        <v>17799.999999988358</v>
      </c>
      <c r="V3" s="71">
        <f>('FS-AD Daily '!AG7)*1000</f>
        <v>6400.0000000014552</v>
      </c>
      <c r="W3" s="71">
        <f>'FS-AD Daily '!AH7*1000</f>
        <v>7100.0000000021828</v>
      </c>
      <c r="X3" s="71">
        <f>('FS-AD Daily '!AK7)*1000</f>
        <v>12500</v>
      </c>
      <c r="Y3" s="5">
        <f>'FS-AD Daily '!AN7</f>
        <v>65</v>
      </c>
      <c r="Z3" s="148">
        <v>112</v>
      </c>
    </row>
    <row r="4" spans="1:26" x14ac:dyDescent="0.25">
      <c r="A4" s="112" t="s">
        <v>80</v>
      </c>
      <c r="B4" s="69">
        <f t="shared" ref="B4:B32" si="1">B3+1</f>
        <v>3</v>
      </c>
      <c r="C4" s="70">
        <v>1</v>
      </c>
      <c r="D4" s="69">
        <v>2021</v>
      </c>
      <c r="E4" s="71">
        <f>'FS-AD Daily '!B8</f>
        <v>5843</v>
      </c>
      <c r="F4" s="71">
        <f>'FS-AD Daily '!C8</f>
        <v>2097</v>
      </c>
      <c r="G4" s="71">
        <f>'FS-AD Daily '!D8</f>
        <v>864</v>
      </c>
      <c r="H4" s="71">
        <f>'FS-AD Daily '!E8</f>
        <v>6247</v>
      </c>
      <c r="I4" s="71">
        <f>'FS-AD Daily '!F8</f>
        <v>5286</v>
      </c>
      <c r="J4" s="71">
        <f>'FS-AD Daily '!G8</f>
        <v>2745</v>
      </c>
      <c r="K4" s="71">
        <f>'FS-AD Daily '!H8</f>
        <v>3617</v>
      </c>
      <c r="L4" s="71">
        <f>'FS-AD Daily '!I8</f>
        <v>2350</v>
      </c>
      <c r="M4" s="71">
        <f>'FS-AD Daily '!J8</f>
        <v>6731</v>
      </c>
      <c r="N4" s="71">
        <f>'FS-AD Daily '!T8</f>
        <v>123.03599999999642</v>
      </c>
      <c r="O4" s="71">
        <f>'FS-AD Daily '!R8</f>
        <v>64.961999999996351</v>
      </c>
      <c r="P4" s="71">
        <f>'FS-AD Daily '!Z8</f>
        <v>436</v>
      </c>
      <c r="Q4" s="71">
        <f>'FS-AD Daily '!V8</f>
        <v>119.5</v>
      </c>
      <c r="R4" s="71">
        <f>'FS-AD Daily '!W8</f>
        <v>0</v>
      </c>
      <c r="S4" s="71">
        <f t="shared" si="0"/>
        <v>316.5</v>
      </c>
      <c r="T4" s="71">
        <f>'FS-AD Daily '!AD8*3.516</f>
        <v>33574.635600000329</v>
      </c>
      <c r="U4" s="71">
        <f>('FS-AD Daily '!AF8)*1000</f>
        <v>17700.000000011642</v>
      </c>
      <c r="V4" s="71">
        <f>('FS-AD Daily '!AG8)*1000</f>
        <v>5699.9999999970896</v>
      </c>
      <c r="W4" s="71">
        <f>'FS-AD Daily '!AH8*1000</f>
        <v>6399.9999999978172</v>
      </c>
      <c r="X4" s="71">
        <f>('FS-AD Daily '!AK8)*1000</f>
        <v>12900.000000001455</v>
      </c>
      <c r="Y4" s="5">
        <f>'FS-AD Daily '!AN8</f>
        <v>72</v>
      </c>
      <c r="Z4" s="148">
        <v>123</v>
      </c>
    </row>
    <row r="5" spans="1:26" x14ac:dyDescent="0.25">
      <c r="A5" s="112" t="s">
        <v>80</v>
      </c>
      <c r="B5" s="69">
        <f t="shared" si="1"/>
        <v>4</v>
      </c>
      <c r="C5" s="70">
        <v>1</v>
      </c>
      <c r="D5" s="69">
        <v>2021</v>
      </c>
      <c r="E5" s="71">
        <f>'FS-AD Daily '!B9</f>
        <v>4792</v>
      </c>
      <c r="F5" s="71">
        <f>'FS-AD Daily '!C9</f>
        <v>2271</v>
      </c>
      <c r="G5" s="71">
        <f>'FS-AD Daily '!D9</f>
        <v>903</v>
      </c>
      <c r="H5" s="71">
        <f>'FS-AD Daily '!E9</f>
        <v>6360</v>
      </c>
      <c r="I5" s="71">
        <f>'FS-AD Daily '!F9</f>
        <v>5251</v>
      </c>
      <c r="J5" s="71">
        <f>'FS-AD Daily '!G9</f>
        <v>2640</v>
      </c>
      <c r="K5" s="71">
        <f>'FS-AD Daily '!H9</f>
        <v>3655</v>
      </c>
      <c r="L5" s="71">
        <f>'FS-AD Daily '!I9</f>
        <v>2395</v>
      </c>
      <c r="M5" s="71">
        <f>'FS-AD Daily '!J9</f>
        <v>6939</v>
      </c>
      <c r="N5" s="71">
        <f>'FS-AD Daily '!T9</f>
        <v>108.91800000000148</v>
      </c>
      <c r="O5" s="71">
        <f>'FS-AD Daily '!R9</f>
        <v>65.740999999998621</v>
      </c>
      <c r="P5" s="71">
        <f>'FS-AD Daily '!Z9</f>
        <v>434</v>
      </c>
      <c r="Q5" s="71">
        <f>'FS-AD Daily '!V9</f>
        <v>124.40000000002328</v>
      </c>
      <c r="R5" s="71">
        <f>'FS-AD Daily '!W9</f>
        <v>0</v>
      </c>
      <c r="S5" s="71">
        <f t="shared" si="0"/>
        <v>309.59999999997672</v>
      </c>
      <c r="T5" s="71">
        <f>'FS-AD Daily '!AD9*3.516</f>
        <v>31815.229199999019</v>
      </c>
      <c r="U5" s="71">
        <f>('FS-AD Daily '!AF9)*1000</f>
        <v>17099.999999991269</v>
      </c>
      <c r="V5" s="71">
        <f>('FS-AD Daily '!AG9)*1000</f>
        <v>5900.0000000014552</v>
      </c>
      <c r="W5" s="71">
        <f>'FS-AD Daily '!AH9*1000</f>
        <v>6300.0000000029104</v>
      </c>
      <c r="X5" s="71">
        <f>('FS-AD Daily '!AK9)*1000</f>
        <v>11399.999999994179</v>
      </c>
      <c r="Y5" s="5">
        <f>'FS-AD Daily '!AN9</f>
        <v>71</v>
      </c>
      <c r="Z5" s="148">
        <v>117</v>
      </c>
    </row>
    <row r="6" spans="1:26" x14ac:dyDescent="0.25">
      <c r="A6" s="112" t="s">
        <v>80</v>
      </c>
      <c r="B6" s="69">
        <f t="shared" si="1"/>
        <v>5</v>
      </c>
      <c r="C6" s="70">
        <v>1</v>
      </c>
      <c r="D6" s="69">
        <v>2021</v>
      </c>
      <c r="E6" s="71">
        <f>'FS-AD Daily '!B10</f>
        <v>5218</v>
      </c>
      <c r="F6" s="71">
        <f>'FS-AD Daily '!C10</f>
        <v>2386</v>
      </c>
      <c r="G6" s="71">
        <f>'FS-AD Daily '!D10</f>
        <v>869</v>
      </c>
      <c r="H6" s="71">
        <f>'FS-AD Daily '!E10</f>
        <v>6542</v>
      </c>
      <c r="I6" s="71">
        <f>'FS-AD Daily '!F10</f>
        <v>5317</v>
      </c>
      <c r="J6" s="71">
        <f>'FS-AD Daily '!G10</f>
        <v>2685</v>
      </c>
      <c r="K6" s="71">
        <f>'FS-AD Daily '!H10</f>
        <v>3682</v>
      </c>
      <c r="L6" s="71">
        <f>'FS-AD Daily '!I10</f>
        <v>2364</v>
      </c>
      <c r="M6" s="71">
        <f>'FS-AD Daily '!J10</f>
        <v>6863</v>
      </c>
      <c r="N6" s="71">
        <f>'FS-AD Daily '!T10</f>
        <v>58.79399999999805</v>
      </c>
      <c r="O6" s="71">
        <f>'FS-AD Daily '!R10</f>
        <v>68.064000000004853</v>
      </c>
      <c r="P6" s="71">
        <f>'FS-AD Daily '!Z10</f>
        <v>399</v>
      </c>
      <c r="Q6" s="71">
        <f>'FS-AD Daily '!V10</f>
        <v>112.20000000001164</v>
      </c>
      <c r="R6" s="71">
        <f>'FS-AD Daily '!W10</f>
        <v>0</v>
      </c>
      <c r="S6" s="71">
        <f t="shared" si="0"/>
        <v>286.79999999998836</v>
      </c>
      <c r="T6" s="71">
        <f>'FS-AD Daily '!AD10*3.516</f>
        <v>32090.883600000328</v>
      </c>
      <c r="U6" s="71">
        <f>('FS-AD Daily '!AF10)*1000</f>
        <v>17699.99999999709</v>
      </c>
      <c r="V6" s="71">
        <f>('FS-AD Daily '!AG10)*1000</f>
        <v>5800.0000000029104</v>
      </c>
      <c r="W6" s="71">
        <f>'FS-AD Daily '!AH10*1000</f>
        <v>6099.9999999985448</v>
      </c>
      <c r="X6" s="71">
        <f>('FS-AD Daily '!AK10)*1000</f>
        <v>11200.000000004366</v>
      </c>
      <c r="Y6" s="5">
        <f>'FS-AD Daily '!AN10</f>
        <v>79</v>
      </c>
      <c r="Z6" s="148">
        <v>136</v>
      </c>
    </row>
    <row r="7" spans="1:26" x14ac:dyDescent="0.25">
      <c r="A7" s="112" t="s">
        <v>80</v>
      </c>
      <c r="B7" s="69">
        <f t="shared" si="1"/>
        <v>6</v>
      </c>
      <c r="C7" s="70">
        <v>1</v>
      </c>
      <c r="D7" s="69">
        <v>2021</v>
      </c>
      <c r="E7" s="71">
        <f>'FS-AD Daily '!B11</f>
        <v>5069</v>
      </c>
      <c r="F7" s="71">
        <f>'FS-AD Daily '!C11</f>
        <v>2257</v>
      </c>
      <c r="G7" s="71">
        <f>'FS-AD Daily '!D11</f>
        <v>878</v>
      </c>
      <c r="H7" s="71">
        <f>'FS-AD Daily '!E11</f>
        <v>6623</v>
      </c>
      <c r="I7" s="71">
        <f>'FS-AD Daily '!F11</f>
        <v>5323</v>
      </c>
      <c r="J7" s="71">
        <f>'FS-AD Daily '!G11</f>
        <v>2673</v>
      </c>
      <c r="K7" s="71">
        <f>'FS-AD Daily '!H11</f>
        <v>3615</v>
      </c>
      <c r="L7" s="71">
        <f>'FS-AD Daily '!I11</f>
        <v>2326</v>
      </c>
      <c r="M7" s="71">
        <f>'FS-AD Daily '!J11</f>
        <v>6907</v>
      </c>
      <c r="N7" s="71">
        <f>'FS-AD Daily '!T11</f>
        <v>185.49699999999939</v>
      </c>
      <c r="O7" s="71">
        <f>'FS-AD Daily '!R11</f>
        <v>68.180999999999131</v>
      </c>
      <c r="P7" s="71">
        <f>'FS-AD Daily '!Z11</f>
        <v>401</v>
      </c>
      <c r="Q7" s="71">
        <f>'FS-AD Daily '!V11</f>
        <v>119.5</v>
      </c>
      <c r="R7" s="71">
        <f>'FS-AD Daily '!W11</f>
        <v>0</v>
      </c>
      <c r="S7" s="71">
        <f t="shared" si="0"/>
        <v>281.5</v>
      </c>
      <c r="T7" s="71">
        <f>'FS-AD Daily '!AD11*3.516</f>
        <v>35328.768000000004</v>
      </c>
      <c r="U7" s="71">
        <f>('FS-AD Daily '!AF11)*1000</f>
        <v>18200.000000011642</v>
      </c>
      <c r="V7" s="71">
        <f>('FS-AD Daily '!AG11)*1000</f>
        <v>6599.9999999985448</v>
      </c>
      <c r="W7" s="71">
        <f>'FS-AD Daily '!AH11*1000</f>
        <v>6600.0000000021828</v>
      </c>
      <c r="X7" s="71">
        <f>('FS-AD Daily '!AK11)*1000</f>
        <v>12500</v>
      </c>
      <c r="Y7" s="5">
        <f>'FS-AD Daily '!AN11</f>
        <v>64</v>
      </c>
      <c r="Z7" s="148">
        <v>103</v>
      </c>
    </row>
    <row r="8" spans="1:26" x14ac:dyDescent="0.25">
      <c r="A8" s="112" t="s">
        <v>80</v>
      </c>
      <c r="B8" s="69">
        <f t="shared" si="1"/>
        <v>7</v>
      </c>
      <c r="C8" s="70">
        <v>1</v>
      </c>
      <c r="D8" s="69">
        <v>2021</v>
      </c>
      <c r="E8" s="71">
        <f>'FS-AD Daily '!B12</f>
        <v>6214</v>
      </c>
      <c r="F8" s="71">
        <f>'FS-AD Daily '!C12</f>
        <v>3144</v>
      </c>
      <c r="G8" s="71">
        <f>'FS-AD Daily '!D12</f>
        <v>958</v>
      </c>
      <c r="H8" s="71">
        <f>'FS-AD Daily '!E12</f>
        <v>6739</v>
      </c>
      <c r="I8" s="71">
        <f>'FS-AD Daily '!F12</f>
        <v>5483</v>
      </c>
      <c r="J8" s="71">
        <f>'FS-AD Daily '!G12</f>
        <v>2684</v>
      </c>
      <c r="K8" s="71">
        <f>'FS-AD Daily '!H12</f>
        <v>3626</v>
      </c>
      <c r="L8" s="71">
        <f>'FS-AD Daily '!I12</f>
        <v>2374</v>
      </c>
      <c r="M8" s="71">
        <f>'FS-AD Daily '!J12</f>
        <v>7109</v>
      </c>
      <c r="N8" s="71">
        <f>'FS-AD Daily '!T12</f>
        <v>146.50200000000768</v>
      </c>
      <c r="O8" s="71">
        <f>'FS-AD Daily '!R12</f>
        <v>75.6870000000049</v>
      </c>
      <c r="P8" s="71">
        <f>'FS-AD Daily '!Z12</f>
        <v>451</v>
      </c>
      <c r="Q8" s="71">
        <f>'FS-AD Daily '!V12</f>
        <v>130.09999999997672</v>
      </c>
      <c r="R8" s="71">
        <f>'FS-AD Daily '!W12</f>
        <v>0</v>
      </c>
      <c r="S8" s="71">
        <f t="shared" si="0"/>
        <v>320.90000000002328</v>
      </c>
      <c r="T8" s="71">
        <f>'FS-AD Daily '!AD12*3.516</f>
        <v>34147.392</v>
      </c>
      <c r="U8" s="71">
        <f>('FS-AD Daily '!AF12)*1000</f>
        <v>18899.999999994179</v>
      </c>
      <c r="V8" s="71">
        <f>('FS-AD Daily '!AG12)*1000</f>
        <v>6099.9999999985448</v>
      </c>
      <c r="W8" s="71">
        <f>'FS-AD Daily '!AH12*1000</f>
        <v>6599.9999999985448</v>
      </c>
      <c r="X8" s="71">
        <f>('FS-AD Daily '!AK12)*1000</f>
        <v>11400.000000001455</v>
      </c>
      <c r="Y8" s="5">
        <f>'FS-AD Daily '!AN12</f>
        <v>64</v>
      </c>
      <c r="Z8" s="148">
        <v>105</v>
      </c>
    </row>
    <row r="9" spans="1:26" x14ac:dyDescent="0.25">
      <c r="A9" s="112" t="s">
        <v>80</v>
      </c>
      <c r="B9" s="69">
        <f t="shared" si="1"/>
        <v>8</v>
      </c>
      <c r="C9" s="70">
        <v>1</v>
      </c>
      <c r="D9" s="69">
        <v>2021</v>
      </c>
      <c r="E9" s="71">
        <f>'FS-AD Daily '!B13</f>
        <v>6095</v>
      </c>
      <c r="F9" s="71">
        <f>'FS-AD Daily '!C13</f>
        <v>2860</v>
      </c>
      <c r="G9" s="71">
        <f>'FS-AD Daily '!D13</f>
        <v>908</v>
      </c>
      <c r="H9" s="71">
        <f>'FS-AD Daily '!E13</f>
        <v>6418</v>
      </c>
      <c r="I9" s="71">
        <f>'FS-AD Daily '!F13</f>
        <v>5666</v>
      </c>
      <c r="J9" s="71">
        <f>'FS-AD Daily '!G13</f>
        <v>2596</v>
      </c>
      <c r="K9" s="71">
        <f>'FS-AD Daily '!H13</f>
        <v>3483</v>
      </c>
      <c r="L9" s="71">
        <f>'FS-AD Daily '!I13</f>
        <v>2198</v>
      </c>
      <c r="M9" s="71">
        <f>'FS-AD Daily '!J13</f>
        <v>6802</v>
      </c>
      <c r="N9" s="71">
        <f>'FS-AD Daily '!T13</f>
        <v>131.37699999999313</v>
      </c>
      <c r="O9" s="71">
        <f>'FS-AD Daily '!R13</f>
        <v>82.817999999995209</v>
      </c>
      <c r="P9" s="71">
        <f>'FS-AD Daily '!Z13</f>
        <v>480</v>
      </c>
      <c r="Q9" s="71">
        <f>'FS-AD Daily '!V13</f>
        <v>137.60000000003492</v>
      </c>
      <c r="R9" s="71">
        <f>'FS-AD Daily '!W13</f>
        <v>0</v>
      </c>
      <c r="S9" s="71">
        <f t="shared" si="0"/>
        <v>342.39999999996508</v>
      </c>
      <c r="T9" s="71">
        <f>'FS-AD Daily '!AD13*3.516</f>
        <v>27083.748</v>
      </c>
      <c r="U9" s="71">
        <f>('FS-AD Daily '!AF13)*1000</f>
        <v>14699.99999999709</v>
      </c>
      <c r="V9" s="71">
        <f>('FS-AD Daily '!AG13)*1000</f>
        <v>5000</v>
      </c>
      <c r="W9" s="71">
        <f>'FS-AD Daily '!AH13*1000</f>
        <v>5500</v>
      </c>
      <c r="X9" s="71">
        <f>('FS-AD Daily '!AK13)*1000</f>
        <v>10000</v>
      </c>
      <c r="Y9" s="5">
        <f>'FS-AD Daily '!AN13</f>
        <v>75</v>
      </c>
      <c r="Z9" s="148">
        <v>126</v>
      </c>
    </row>
    <row r="10" spans="1:26" x14ac:dyDescent="0.25">
      <c r="A10" s="112" t="s">
        <v>80</v>
      </c>
      <c r="B10" s="69">
        <f t="shared" si="1"/>
        <v>9</v>
      </c>
      <c r="C10" s="70">
        <v>1</v>
      </c>
      <c r="D10" s="69">
        <v>2021</v>
      </c>
      <c r="E10" s="71">
        <f>'FS-AD Daily '!B14</f>
        <v>6021</v>
      </c>
      <c r="F10" s="71">
        <f>'FS-AD Daily '!C14</f>
        <v>2869</v>
      </c>
      <c r="G10" s="71">
        <f>'FS-AD Daily '!D14</f>
        <v>956</v>
      </c>
      <c r="H10" s="71">
        <f>'FS-AD Daily '!E14</f>
        <v>6385</v>
      </c>
      <c r="I10" s="71">
        <f>'FS-AD Daily '!F14</f>
        <v>5469</v>
      </c>
      <c r="J10" s="71">
        <f>'FS-AD Daily '!G14</f>
        <v>2678</v>
      </c>
      <c r="K10" s="71">
        <f>'FS-AD Daily '!H14</f>
        <v>3583</v>
      </c>
      <c r="L10" s="71">
        <f>'FS-AD Daily '!I14</f>
        <v>2281</v>
      </c>
      <c r="M10" s="71">
        <f>'FS-AD Daily '!J14</f>
        <v>6851</v>
      </c>
      <c r="N10" s="71">
        <f>'FS-AD Daily '!T14</f>
        <v>137.48500000000058</v>
      </c>
      <c r="O10" s="71">
        <f>'FS-AD Daily '!R14</f>
        <v>74.5320000000047</v>
      </c>
      <c r="P10" s="71">
        <f>'FS-AD Daily '!Z14</f>
        <v>406</v>
      </c>
      <c r="Q10" s="71">
        <f>'FS-AD Daily '!V14</f>
        <v>128.79999999998836</v>
      </c>
      <c r="R10" s="71">
        <f>'FS-AD Daily '!W14</f>
        <v>0</v>
      </c>
      <c r="S10" s="71">
        <f t="shared" si="0"/>
        <v>277.20000000001164</v>
      </c>
      <c r="T10" s="71">
        <f>'FS-AD Daily '!AD14*3.516</f>
        <v>26698.042799999344</v>
      </c>
      <c r="U10" s="71">
        <f>('FS-AD Daily '!AF14)*1000</f>
        <v>14600.000000005821</v>
      </c>
      <c r="V10" s="71">
        <f>('FS-AD Daily '!AG14)*1000</f>
        <v>5099.9999999985448</v>
      </c>
      <c r="W10" s="71">
        <f>'FS-AD Daily '!AH14*1000</f>
        <v>5400.0000000014552</v>
      </c>
      <c r="X10" s="71">
        <f>('FS-AD Daily '!AK14)*1000</f>
        <v>9399.9999999941792</v>
      </c>
      <c r="Y10" s="5">
        <f>'FS-AD Daily '!AN14</f>
        <v>57</v>
      </c>
      <c r="Z10" s="148">
        <v>89</v>
      </c>
    </row>
    <row r="11" spans="1:26" x14ac:dyDescent="0.25">
      <c r="A11" s="112" t="s">
        <v>80</v>
      </c>
      <c r="B11" s="69">
        <f t="shared" si="1"/>
        <v>10</v>
      </c>
      <c r="C11" s="70">
        <v>1</v>
      </c>
      <c r="D11" s="69">
        <v>2021</v>
      </c>
      <c r="E11" s="71">
        <f>'FS-AD Daily '!B15</f>
        <v>5612</v>
      </c>
      <c r="F11" s="71">
        <f>'FS-AD Daily '!C15</f>
        <v>2626</v>
      </c>
      <c r="G11" s="71">
        <f>'FS-AD Daily '!D15</f>
        <v>919</v>
      </c>
      <c r="H11" s="71">
        <f>'FS-AD Daily '!E15</f>
        <v>6283</v>
      </c>
      <c r="I11" s="71">
        <f>'FS-AD Daily '!F15</f>
        <v>5461</v>
      </c>
      <c r="J11" s="71">
        <f>'FS-AD Daily '!G15</f>
        <v>2665</v>
      </c>
      <c r="K11" s="71">
        <f>'FS-AD Daily '!H15</f>
        <v>3539</v>
      </c>
      <c r="L11" s="71">
        <f>'FS-AD Daily '!I15</f>
        <v>2283</v>
      </c>
      <c r="M11" s="71">
        <f>'FS-AD Daily '!J15</f>
        <v>6735</v>
      </c>
      <c r="N11" s="71">
        <f>'FS-AD Daily '!T15</f>
        <v>123.9890000000014</v>
      </c>
      <c r="O11" s="71">
        <f>'FS-AD Daily '!R15</f>
        <v>58.823999999989155</v>
      </c>
      <c r="P11" s="71">
        <f>'FS-AD Daily '!Z15</f>
        <v>407</v>
      </c>
      <c r="Q11" s="71">
        <f>'FS-AD Daily '!V15</f>
        <v>114.79999999998836</v>
      </c>
      <c r="R11" s="71">
        <f>'FS-AD Daily '!W15</f>
        <v>0</v>
      </c>
      <c r="S11" s="71">
        <f t="shared" si="0"/>
        <v>292.20000000001164</v>
      </c>
      <c r="T11" s="71">
        <f>'FS-AD Daily '!AD15*3.516</f>
        <v>24158.436000000002</v>
      </c>
      <c r="U11" s="71">
        <f>('FS-AD Daily '!AF15)*1000</f>
        <v>13000</v>
      </c>
      <c r="V11" s="71">
        <f>('FS-AD Daily '!AG15)*1000</f>
        <v>4500</v>
      </c>
      <c r="W11" s="71">
        <f>'FS-AD Daily '!AH15*1000</f>
        <v>5200.0000000007276</v>
      </c>
      <c r="X11" s="71">
        <f>('FS-AD Daily '!AK15)*1000</f>
        <v>8600.0000000058208</v>
      </c>
      <c r="Y11" s="5">
        <f>'FS-AD Daily '!AN15</f>
        <v>60</v>
      </c>
      <c r="Z11" s="148">
        <v>90</v>
      </c>
    </row>
    <row r="12" spans="1:26" x14ac:dyDescent="0.25">
      <c r="A12" s="112" t="s">
        <v>80</v>
      </c>
      <c r="B12" s="69">
        <f t="shared" si="1"/>
        <v>11</v>
      </c>
      <c r="C12" s="70">
        <v>1</v>
      </c>
      <c r="D12" s="69">
        <v>2021</v>
      </c>
      <c r="E12" s="71">
        <f>'FS-AD Daily '!B16</f>
        <v>5261</v>
      </c>
      <c r="F12" s="71">
        <f>'FS-AD Daily '!C16</f>
        <v>2525</v>
      </c>
      <c r="G12" s="71">
        <f>'FS-AD Daily '!D16</f>
        <v>899</v>
      </c>
      <c r="H12" s="71">
        <f>'FS-AD Daily '!E16</f>
        <v>6311</v>
      </c>
      <c r="I12" s="71">
        <f>'FS-AD Daily '!F16</f>
        <v>5341</v>
      </c>
      <c r="J12" s="71">
        <f>'FS-AD Daily '!G16</f>
        <v>2578</v>
      </c>
      <c r="K12" s="71">
        <f>'FS-AD Daily '!H16</f>
        <v>3541</v>
      </c>
      <c r="L12" s="71">
        <f>'FS-AD Daily '!I16</f>
        <v>2331</v>
      </c>
      <c r="M12" s="71">
        <f>'FS-AD Daily '!J16</f>
        <v>6732</v>
      </c>
      <c r="N12" s="71">
        <f>'FS-AD Daily '!T16</f>
        <v>135.35600000000341</v>
      </c>
      <c r="O12" s="71">
        <f>'FS-AD Daily '!R16</f>
        <v>63.068000000003849</v>
      </c>
      <c r="P12" s="71">
        <f>'FS-AD Daily '!Z16</f>
        <v>431</v>
      </c>
      <c r="Q12" s="71">
        <f>'FS-AD Daily '!V16</f>
        <v>122.70000000001164</v>
      </c>
      <c r="R12" s="71">
        <f>'FS-AD Daily '!W16</f>
        <v>0</v>
      </c>
      <c r="S12" s="71">
        <f t="shared" si="0"/>
        <v>308.29999999998836</v>
      </c>
      <c r="T12" s="71">
        <f>'FS-AD Daily '!AD16*3.516</f>
        <v>26682.923999999999</v>
      </c>
      <c r="U12" s="71">
        <f>('FS-AD Daily '!AF16)*1000</f>
        <v>14300.00000000291</v>
      </c>
      <c r="V12" s="71">
        <f>('FS-AD Daily '!AG16)*1000</f>
        <v>4900.0000000014552</v>
      </c>
      <c r="W12" s="71">
        <f>'FS-AD Daily '!AH16*1000</f>
        <v>5000</v>
      </c>
      <c r="X12" s="71">
        <f>('FS-AD Daily '!AK16)*1000</f>
        <v>9699.9999999970896</v>
      </c>
      <c r="Y12" s="5">
        <f>'FS-AD Daily '!AN16</f>
        <v>65</v>
      </c>
      <c r="Z12" s="148">
        <v>98</v>
      </c>
    </row>
    <row r="13" spans="1:26" x14ac:dyDescent="0.25">
      <c r="A13" s="112" t="s">
        <v>80</v>
      </c>
      <c r="B13" s="69">
        <f t="shared" si="1"/>
        <v>12</v>
      </c>
      <c r="C13" s="70">
        <v>1</v>
      </c>
      <c r="D13" s="69">
        <v>2021</v>
      </c>
      <c r="E13" s="71">
        <f>'FS-AD Daily '!B17</f>
        <v>5435</v>
      </c>
      <c r="F13" s="71">
        <f>'FS-AD Daily '!C17</f>
        <v>2082</v>
      </c>
      <c r="G13" s="71">
        <f>'FS-AD Daily '!D17</f>
        <v>885</v>
      </c>
      <c r="H13" s="71">
        <f>'FS-AD Daily '!E17</f>
        <v>6387</v>
      </c>
      <c r="I13" s="71">
        <f>'FS-AD Daily '!F17</f>
        <v>5338</v>
      </c>
      <c r="J13" s="71">
        <f>'FS-AD Daily '!G17</f>
        <v>2577</v>
      </c>
      <c r="K13" s="71">
        <f>'FS-AD Daily '!H17</f>
        <v>3570</v>
      </c>
      <c r="L13" s="71">
        <f>'FS-AD Daily '!I17</f>
        <v>2318</v>
      </c>
      <c r="M13" s="71">
        <f>'FS-AD Daily '!J17</f>
        <v>6669</v>
      </c>
      <c r="N13" s="71">
        <f>'FS-AD Daily '!T17</f>
        <v>120.99899999999252</v>
      </c>
      <c r="O13" s="71">
        <f>'FS-AD Daily '!R17</f>
        <v>65.10100000000466</v>
      </c>
      <c r="P13" s="71">
        <f>'FS-AD Daily '!Z17</f>
        <v>421</v>
      </c>
      <c r="Q13" s="71">
        <f>'FS-AD Daily '!V17</f>
        <v>123.09999999997672</v>
      </c>
      <c r="R13" s="71">
        <f>'FS-AD Daily '!W17</f>
        <v>0</v>
      </c>
      <c r="S13" s="71">
        <f t="shared" si="0"/>
        <v>297.90000000002328</v>
      </c>
      <c r="T13" s="71">
        <f>'FS-AD Daily '!AD17*3.516</f>
        <v>28711.655999999999</v>
      </c>
      <c r="U13" s="71">
        <f>('FS-AD Daily '!AF17)*1000</f>
        <v>15299.999999988358</v>
      </c>
      <c r="V13" s="71">
        <f>('FS-AD Daily '!AG17)*1000</f>
        <v>4900.0000000014552</v>
      </c>
      <c r="W13" s="71">
        <f>'FS-AD Daily '!AH17*1000</f>
        <v>5599.9999999985448</v>
      </c>
      <c r="X13" s="71">
        <f>('FS-AD Daily '!AK17)*1000</f>
        <v>9699.9999999970896</v>
      </c>
      <c r="Y13" s="5">
        <f>'FS-AD Daily '!AN17</f>
        <v>69</v>
      </c>
      <c r="Z13" s="148">
        <v>110</v>
      </c>
    </row>
    <row r="14" spans="1:26" x14ac:dyDescent="0.25">
      <c r="A14" s="112" t="s">
        <v>80</v>
      </c>
      <c r="B14" s="69">
        <f t="shared" si="1"/>
        <v>13</v>
      </c>
      <c r="C14" s="70">
        <v>1</v>
      </c>
      <c r="D14" s="69">
        <v>2021</v>
      </c>
      <c r="E14" s="71">
        <f>'FS-AD Daily '!B18</f>
        <v>6243</v>
      </c>
      <c r="F14" s="71">
        <f>'FS-AD Daily '!C18</f>
        <v>2254</v>
      </c>
      <c r="G14" s="71">
        <f>'FS-AD Daily '!D18</f>
        <v>841</v>
      </c>
      <c r="H14" s="71">
        <f>'FS-AD Daily '!E18</f>
        <v>6224</v>
      </c>
      <c r="I14" s="71">
        <f>'FS-AD Daily '!F18</f>
        <v>5517</v>
      </c>
      <c r="J14" s="71">
        <f>'FS-AD Daily '!G18</f>
        <v>2544</v>
      </c>
      <c r="K14" s="71">
        <f>'FS-AD Daily '!H18</f>
        <v>3556</v>
      </c>
      <c r="L14" s="71">
        <f>'FS-AD Daily '!I18</f>
        <v>2347</v>
      </c>
      <c r="M14" s="71">
        <f>'FS-AD Daily '!J18</f>
        <v>7672</v>
      </c>
      <c r="N14" s="71">
        <f>'FS-AD Daily '!T18</f>
        <v>124.92600000000675</v>
      </c>
      <c r="O14" s="71">
        <f>'FS-AD Daily '!R18</f>
        <v>66.80900000000338</v>
      </c>
      <c r="P14" s="71">
        <f>'FS-AD Daily '!Z18</f>
        <v>407</v>
      </c>
      <c r="Q14" s="71">
        <f>'FS-AD Daily '!V18</f>
        <v>120.79999999998836</v>
      </c>
      <c r="R14" s="71">
        <f>'FS-AD Daily '!W18</f>
        <v>0</v>
      </c>
      <c r="S14" s="71">
        <f t="shared" si="0"/>
        <v>286.20000000001164</v>
      </c>
      <c r="T14" s="71">
        <f>'FS-AD Daily '!AD18*3.516</f>
        <v>29582.569200000657</v>
      </c>
      <c r="U14" s="71">
        <f>('FS-AD Daily '!AF18)*1000</f>
        <v>15600.000000005821</v>
      </c>
      <c r="V14" s="71">
        <f>('FS-AD Daily '!AG18)*1000</f>
        <v>4699.9999999970896</v>
      </c>
      <c r="W14" s="71">
        <f>'FS-AD Daily '!AH18*1000</f>
        <v>5599.9999999985448</v>
      </c>
      <c r="X14" s="71">
        <f>('FS-AD Daily '!AK18)*1000</f>
        <v>10400.000000001455</v>
      </c>
      <c r="Y14" s="5">
        <f>'FS-AD Daily '!AN18</f>
        <v>54</v>
      </c>
      <c r="Z14" s="148">
        <v>93</v>
      </c>
    </row>
    <row r="15" spans="1:26" x14ac:dyDescent="0.25">
      <c r="A15" s="112" t="s">
        <v>80</v>
      </c>
      <c r="B15" s="69">
        <f t="shared" si="1"/>
        <v>14</v>
      </c>
      <c r="C15" s="70">
        <v>1</v>
      </c>
      <c r="D15" s="69">
        <v>2021</v>
      </c>
      <c r="E15" s="71">
        <f>'FS-AD Daily '!B19</f>
        <v>5542</v>
      </c>
      <c r="F15" s="71">
        <f>'FS-AD Daily '!C19</f>
        <v>2716</v>
      </c>
      <c r="G15" s="71">
        <f>'FS-AD Daily '!D19</f>
        <v>896</v>
      </c>
      <c r="H15" s="71">
        <f>'FS-AD Daily '!E19</f>
        <v>6377</v>
      </c>
      <c r="I15" s="71">
        <f>'FS-AD Daily '!F19</f>
        <v>5603</v>
      </c>
      <c r="J15" s="71">
        <f>'FS-AD Daily '!G19</f>
        <v>2432</v>
      </c>
      <c r="K15" s="71">
        <f>'FS-AD Daily '!H19</f>
        <v>3552</v>
      </c>
      <c r="L15" s="71">
        <f>'FS-AD Daily '!I19</f>
        <v>2368</v>
      </c>
      <c r="M15" s="71">
        <f>'FS-AD Daily '!J19</f>
        <v>7624</v>
      </c>
      <c r="N15" s="71">
        <f>'FS-AD Daily '!T19</f>
        <v>131.0879999999961</v>
      </c>
      <c r="O15" s="71">
        <f>'FS-AD Daily '!R19</f>
        <v>71.701999999996133</v>
      </c>
      <c r="P15" s="71">
        <f>'FS-AD Daily '!Z19</f>
        <v>429</v>
      </c>
      <c r="Q15" s="71">
        <f>'FS-AD Daily '!V19</f>
        <v>123</v>
      </c>
      <c r="R15" s="71">
        <f>'FS-AD Daily '!W19</f>
        <v>0</v>
      </c>
      <c r="S15" s="71">
        <f t="shared" si="0"/>
        <v>306</v>
      </c>
      <c r="T15" s="71">
        <f>'FS-AD Daily '!AD19*3.516</f>
        <v>28524.956399999672</v>
      </c>
      <c r="U15" s="71">
        <f>('FS-AD Daily '!AF19)*1000</f>
        <v>15500</v>
      </c>
      <c r="V15" s="71">
        <f>('FS-AD Daily '!AG19)*1000</f>
        <v>4200.0000000043656</v>
      </c>
      <c r="W15" s="71">
        <f>'FS-AD Daily '!AH19*1000</f>
        <v>5300.0000000029104</v>
      </c>
      <c r="X15" s="71">
        <f>('FS-AD Daily '!AK19)*1000</f>
        <v>10099.999999998545</v>
      </c>
      <c r="Y15" s="5">
        <f>'FS-AD Daily '!AN19</f>
        <v>67</v>
      </c>
      <c r="Z15" s="148">
        <v>118</v>
      </c>
    </row>
    <row r="16" spans="1:26" x14ac:dyDescent="0.25">
      <c r="A16" s="112" t="s">
        <v>80</v>
      </c>
      <c r="B16" s="69">
        <f t="shared" si="1"/>
        <v>15</v>
      </c>
      <c r="C16" s="70">
        <v>1</v>
      </c>
      <c r="D16" s="69">
        <v>2021</v>
      </c>
      <c r="E16" s="71">
        <f>'FS-AD Daily '!B20</f>
        <v>5600</v>
      </c>
      <c r="F16" s="71">
        <f>'FS-AD Daily '!C20</f>
        <v>3032</v>
      </c>
      <c r="G16" s="71">
        <f>'FS-AD Daily '!D20</f>
        <v>967</v>
      </c>
      <c r="H16" s="71">
        <f>'FS-AD Daily '!E20</f>
        <v>6595</v>
      </c>
      <c r="I16" s="71">
        <f>'FS-AD Daily '!F20</f>
        <v>5621</v>
      </c>
      <c r="J16" s="71">
        <f>'FS-AD Daily '!G20</f>
        <v>2476</v>
      </c>
      <c r="K16" s="71">
        <f>'FS-AD Daily '!H20</f>
        <v>3563</v>
      </c>
      <c r="L16" s="71">
        <f>'FS-AD Daily '!I20</f>
        <v>2380</v>
      </c>
      <c r="M16" s="71">
        <f>'FS-AD Daily '!J20</f>
        <v>6308</v>
      </c>
      <c r="N16" s="71">
        <f>'FS-AD Daily '!T20</f>
        <v>138.55899999999747</v>
      </c>
      <c r="O16" s="71">
        <f>'FS-AD Daily '!R20</f>
        <v>79.296999999997297</v>
      </c>
      <c r="P16" s="71">
        <f>'FS-AD Daily '!Z20</f>
        <v>465</v>
      </c>
      <c r="Q16" s="71">
        <f>'FS-AD Daily '!V20</f>
        <v>118.20000000001164</v>
      </c>
      <c r="R16" s="71">
        <f>'FS-AD Daily '!W20</f>
        <v>0</v>
      </c>
      <c r="S16" s="71">
        <f t="shared" si="0"/>
        <v>346.79999999998836</v>
      </c>
      <c r="T16" s="71">
        <f>'FS-AD Daily '!AD20*3.516</f>
        <v>28661.728800000983</v>
      </c>
      <c r="U16" s="71">
        <f>('FS-AD Daily '!AF20)*1000</f>
        <v>15199.99999999709</v>
      </c>
      <c r="V16" s="71">
        <f>('FS-AD Daily '!AG20)*1000</f>
        <v>4299.9999999956344</v>
      </c>
      <c r="W16" s="71">
        <f>'FS-AD Daily '!AH20*1000</f>
        <v>5399.9999999978172</v>
      </c>
      <c r="X16" s="71">
        <f>('FS-AD Daily '!AK20)*1000</f>
        <v>10000</v>
      </c>
      <c r="Y16" s="5">
        <f>'FS-AD Daily '!AN20</f>
        <v>61</v>
      </c>
      <c r="Z16" s="148">
        <v>103</v>
      </c>
    </row>
    <row r="17" spans="1:26" x14ac:dyDescent="0.25">
      <c r="A17" s="112" t="s">
        <v>80</v>
      </c>
      <c r="B17" s="69">
        <f t="shared" si="1"/>
        <v>16</v>
      </c>
      <c r="C17" s="70">
        <v>1</v>
      </c>
      <c r="D17" s="69">
        <v>2021</v>
      </c>
      <c r="E17" s="71">
        <f>'FS-AD Daily '!B21</f>
        <v>5121</v>
      </c>
      <c r="F17" s="71">
        <f>'FS-AD Daily '!C21</f>
        <v>2628</v>
      </c>
      <c r="G17" s="71">
        <f>'FS-AD Daily '!D21</f>
        <v>902</v>
      </c>
      <c r="H17" s="71">
        <f>'FS-AD Daily '!E21</f>
        <v>6518</v>
      </c>
      <c r="I17" s="71">
        <f>'FS-AD Daily '!F21</f>
        <v>5305</v>
      </c>
      <c r="J17" s="71">
        <f>'FS-AD Daily '!G21</f>
        <v>2440</v>
      </c>
      <c r="K17" s="71">
        <f>'FS-AD Daily '!H21</f>
        <v>3539</v>
      </c>
      <c r="L17" s="71">
        <f>'FS-AD Daily '!I21</f>
        <v>2383</v>
      </c>
      <c r="M17" s="71">
        <f>'FS-AD Daily '!J21</f>
        <v>6740</v>
      </c>
      <c r="N17" s="71">
        <f>'FS-AD Daily '!T21</f>
        <v>119.30100000000311</v>
      </c>
      <c r="O17" s="71">
        <f>'FS-AD Daily '!R21</f>
        <v>71.103999999994812</v>
      </c>
      <c r="P17" s="71">
        <f>'FS-AD Daily '!Z21</f>
        <v>413</v>
      </c>
      <c r="Q17" s="71">
        <f>'FS-AD Daily '!V21</f>
        <v>122.70000000001164</v>
      </c>
      <c r="R17" s="71">
        <f>'FS-AD Daily '!W21</f>
        <v>0</v>
      </c>
      <c r="S17" s="71">
        <f t="shared" si="0"/>
        <v>290.29999999998836</v>
      </c>
      <c r="T17" s="71">
        <f>'FS-AD Daily '!AD21*3.516</f>
        <v>27368.544000000002</v>
      </c>
      <c r="U17" s="71">
        <f>('FS-AD Daily '!AF21)*1000</f>
        <v>14400.000000008731</v>
      </c>
      <c r="V17" s="71">
        <f>('FS-AD Daily '!AG21)*1000</f>
        <v>4300.0000000029104</v>
      </c>
      <c r="W17" s="71">
        <f>'FS-AD Daily '!AH21*1000</f>
        <v>5299.9999999992724</v>
      </c>
      <c r="X17" s="71">
        <f>('FS-AD Daily '!AK21)*1000</f>
        <v>10400.000000001455</v>
      </c>
      <c r="Y17" s="5">
        <f>'FS-AD Daily '!AN21</f>
        <v>43</v>
      </c>
      <c r="Z17" s="148">
        <v>56</v>
      </c>
    </row>
    <row r="18" spans="1:26" x14ac:dyDescent="0.25">
      <c r="A18" s="112" t="s">
        <v>80</v>
      </c>
      <c r="B18" s="69">
        <f t="shared" si="1"/>
        <v>17</v>
      </c>
      <c r="C18" s="70">
        <v>1</v>
      </c>
      <c r="D18" s="69">
        <v>2021</v>
      </c>
      <c r="E18" s="71">
        <f>'FS-AD Daily '!B22</f>
        <v>5028</v>
      </c>
      <c r="F18" s="71">
        <f>'FS-AD Daily '!C22</f>
        <v>2803</v>
      </c>
      <c r="G18" s="71">
        <f>'FS-AD Daily '!D22</f>
        <v>842</v>
      </c>
      <c r="H18" s="71">
        <f>'FS-AD Daily '!E22</f>
        <v>6701</v>
      </c>
      <c r="I18" s="71">
        <f>'FS-AD Daily '!F22</f>
        <v>5264</v>
      </c>
      <c r="J18" s="71">
        <f>'FS-AD Daily '!G22</f>
        <v>2459</v>
      </c>
      <c r="K18" s="71">
        <f>'FS-AD Daily '!H22</f>
        <v>3554</v>
      </c>
      <c r="L18" s="71">
        <f>'FS-AD Daily '!I22</f>
        <v>2410</v>
      </c>
      <c r="M18" s="71">
        <f>'FS-AD Daily '!J22</f>
        <v>6570</v>
      </c>
      <c r="N18" s="71">
        <f>'FS-AD Daily '!T22</f>
        <v>125.14099999999962</v>
      </c>
      <c r="O18" s="71">
        <f>'FS-AD Daily '!R22</f>
        <v>62.669000000009873</v>
      </c>
      <c r="P18" s="71">
        <f>'FS-AD Daily '!Z22</f>
        <v>392</v>
      </c>
      <c r="Q18" s="71">
        <f>'FS-AD Daily '!V22</f>
        <v>95.099999999976717</v>
      </c>
      <c r="R18" s="71">
        <f>'FS-AD Daily '!W22</f>
        <v>0</v>
      </c>
      <c r="S18" s="71">
        <f t="shared" si="0"/>
        <v>296.90000000002328</v>
      </c>
      <c r="T18" s="71">
        <f>'FS-AD Daily '!AD22*3.516</f>
        <v>27176.921999999999</v>
      </c>
      <c r="U18" s="71">
        <f>('FS-AD Daily '!AF22)*1000</f>
        <v>14500</v>
      </c>
      <c r="V18" s="71">
        <f>('FS-AD Daily '!AG22)*1000</f>
        <v>4300.0000000029104</v>
      </c>
      <c r="W18" s="71">
        <f>'FS-AD Daily '!AH22*1000</f>
        <v>5400.0000000014552</v>
      </c>
      <c r="X18" s="71">
        <f>('FS-AD Daily '!AK22)*1000</f>
        <v>10300.00000000291</v>
      </c>
      <c r="Y18" s="5">
        <f>'FS-AD Daily '!AN22</f>
        <v>65</v>
      </c>
      <c r="Z18" s="148">
        <v>90</v>
      </c>
    </row>
    <row r="19" spans="1:26" x14ac:dyDescent="0.25">
      <c r="A19" s="112" t="s">
        <v>80</v>
      </c>
      <c r="B19" s="69">
        <f t="shared" si="1"/>
        <v>18</v>
      </c>
      <c r="C19" s="70">
        <v>1</v>
      </c>
      <c r="D19" s="69">
        <v>2021</v>
      </c>
      <c r="E19" s="71">
        <f>'FS-AD Daily '!B23</f>
        <v>5067</v>
      </c>
      <c r="F19" s="71">
        <f>'FS-AD Daily '!C23</f>
        <v>2485</v>
      </c>
      <c r="G19" s="71">
        <f>'FS-AD Daily '!D23</f>
        <v>836</v>
      </c>
      <c r="H19" s="71">
        <f>'FS-AD Daily '!E23</f>
        <v>6714</v>
      </c>
      <c r="I19" s="71">
        <f>'FS-AD Daily '!F23</f>
        <v>5497</v>
      </c>
      <c r="J19" s="71">
        <f>'FS-AD Daily '!G23</f>
        <v>2507</v>
      </c>
      <c r="K19" s="71">
        <f>'FS-AD Daily '!H23</f>
        <v>3604</v>
      </c>
      <c r="L19" s="71">
        <f>'FS-AD Daily '!I23</f>
        <v>2423</v>
      </c>
      <c r="M19" s="71">
        <f>'FS-AD Daily '!J23</f>
        <v>6788</v>
      </c>
      <c r="N19" s="71">
        <f>'FS-AD Daily '!T23</f>
        <v>125.57900000000154</v>
      </c>
      <c r="O19" s="71">
        <f>'FS-AD Daily '!R23</f>
        <v>62.917000000001281</v>
      </c>
      <c r="P19" s="71">
        <f>'FS-AD Daily '!Z23</f>
        <v>425</v>
      </c>
      <c r="Q19" s="71">
        <f>'FS-AD Daily '!V23</f>
        <v>118.10000000003492</v>
      </c>
      <c r="R19" s="71">
        <f>'FS-AD Daily '!W23</f>
        <v>0</v>
      </c>
      <c r="S19" s="71">
        <f t="shared" si="0"/>
        <v>306.89999999996508</v>
      </c>
      <c r="T19" s="71">
        <f>'FS-AD Daily '!AD23*3.516</f>
        <v>32701.964399999673</v>
      </c>
      <c r="U19" s="71">
        <f>('FS-AD Daily '!AF23)*1000</f>
        <v>17399.999999994179</v>
      </c>
      <c r="V19" s="71">
        <f>('FS-AD Daily '!AG23)*1000</f>
        <v>5299.9999999956344</v>
      </c>
      <c r="W19" s="71">
        <f>'FS-AD Daily '!AH23*1000</f>
        <v>6099.9999999985448</v>
      </c>
      <c r="X19" s="71">
        <f>('FS-AD Daily '!AK23)*1000</f>
        <v>12400.000000001455</v>
      </c>
      <c r="Y19" s="5">
        <f>'FS-AD Daily '!AN23</f>
        <v>73</v>
      </c>
      <c r="Z19" s="148">
        <v>98</v>
      </c>
    </row>
    <row r="20" spans="1:26" x14ac:dyDescent="0.25">
      <c r="A20" s="112" t="s">
        <v>80</v>
      </c>
      <c r="B20" s="69">
        <f t="shared" si="1"/>
        <v>19</v>
      </c>
      <c r="C20" s="70">
        <v>1</v>
      </c>
      <c r="D20" s="69">
        <v>2021</v>
      </c>
      <c r="E20" s="71">
        <f>'FS-AD Daily '!B24</f>
        <v>5188</v>
      </c>
      <c r="F20" s="71">
        <f>'FS-AD Daily '!C24</f>
        <v>2361</v>
      </c>
      <c r="G20" s="71">
        <f>'FS-AD Daily '!D24</f>
        <v>833</v>
      </c>
      <c r="H20" s="71">
        <f>'FS-AD Daily '!E24</f>
        <v>6257</v>
      </c>
      <c r="I20" s="71">
        <f>'FS-AD Daily '!F24</f>
        <v>5291</v>
      </c>
      <c r="J20" s="71">
        <f>'FS-AD Daily '!G24</f>
        <v>2432</v>
      </c>
      <c r="K20" s="71">
        <f>'FS-AD Daily '!H24</f>
        <v>3543</v>
      </c>
      <c r="L20" s="71">
        <f>'FS-AD Daily '!I24</f>
        <v>2422</v>
      </c>
      <c r="M20" s="71">
        <f>'FS-AD Daily '!J24</f>
        <v>6612</v>
      </c>
      <c r="N20" s="71">
        <f>'FS-AD Daily '!T24</f>
        <v>126.29999999999927</v>
      </c>
      <c r="O20" s="71">
        <f>'FS-AD Daily '!R24</f>
        <v>64.664999999994052</v>
      </c>
      <c r="P20" s="71">
        <f>'FS-AD Daily '!Z24</f>
        <v>422</v>
      </c>
      <c r="Q20" s="71">
        <f>'FS-AD Daily '!V24</f>
        <v>124.79999999998836</v>
      </c>
      <c r="R20" s="71">
        <f>'FS-AD Daily '!W24</f>
        <v>0</v>
      </c>
      <c r="S20" s="71">
        <f t="shared" si="0"/>
        <v>297.20000000001164</v>
      </c>
      <c r="T20" s="71">
        <f>'FS-AD Daily '!AD24*3.516</f>
        <v>37478.098799999345</v>
      </c>
      <c r="U20" s="71">
        <f>('FS-AD Daily '!AF24)*1000</f>
        <v>19600.000000005821</v>
      </c>
      <c r="V20" s="71">
        <f>('FS-AD Daily '!AG24)*1000</f>
        <v>5800.0000000029104</v>
      </c>
      <c r="W20" s="71">
        <f>'FS-AD Daily '!AH24*1000</f>
        <v>6800.0000000029104</v>
      </c>
      <c r="X20" s="71">
        <f>('FS-AD Daily '!AK24)*1000</f>
        <v>14899.999999994179</v>
      </c>
      <c r="Y20" s="5">
        <f>'FS-AD Daily '!AN24</f>
        <v>65</v>
      </c>
      <c r="Z20" s="148">
        <v>91</v>
      </c>
    </row>
    <row r="21" spans="1:26" x14ac:dyDescent="0.25">
      <c r="A21" s="112" t="s">
        <v>80</v>
      </c>
      <c r="B21" s="69">
        <f t="shared" si="1"/>
        <v>20</v>
      </c>
      <c r="C21" s="70">
        <v>1</v>
      </c>
      <c r="D21" s="69">
        <v>2021</v>
      </c>
      <c r="E21" s="71">
        <f>'FS-AD Daily '!B25</f>
        <v>5328</v>
      </c>
      <c r="F21" s="71">
        <f>'FS-AD Daily '!C25</f>
        <v>2093</v>
      </c>
      <c r="G21" s="71">
        <f>'FS-AD Daily '!D25</f>
        <v>885</v>
      </c>
      <c r="H21" s="71">
        <f>'FS-AD Daily '!E25</f>
        <v>6230</v>
      </c>
      <c r="I21" s="71">
        <f>'FS-AD Daily '!F25</f>
        <v>5451</v>
      </c>
      <c r="J21" s="71">
        <f>'FS-AD Daily '!G25</f>
        <v>2489</v>
      </c>
      <c r="K21" s="71">
        <f>'FS-AD Daily '!H25</f>
        <v>3569</v>
      </c>
      <c r="L21" s="71">
        <f>'FS-AD Daily '!I25</f>
        <v>2455</v>
      </c>
      <c r="M21" s="71">
        <f>'FS-AD Daily '!J25</f>
        <v>6705</v>
      </c>
      <c r="N21" s="71">
        <f>'FS-AD Daily '!T25</f>
        <v>120.16800000000148</v>
      </c>
      <c r="O21" s="71">
        <f>'FS-AD Daily '!R25</f>
        <v>73.422999999996591</v>
      </c>
      <c r="P21" s="71">
        <f>'FS-AD Daily '!Z25</f>
        <v>425</v>
      </c>
      <c r="Q21" s="71">
        <f>'FS-AD Daily '!V25</f>
        <v>125.29999999998836</v>
      </c>
      <c r="R21" s="71">
        <f>'FS-AD Daily '!W25</f>
        <v>0</v>
      </c>
      <c r="S21" s="71">
        <f t="shared" si="0"/>
        <v>299.70000000001164</v>
      </c>
      <c r="T21" s="71">
        <f>'FS-AD Daily '!AD25*3.516</f>
        <v>35880.42839999967</v>
      </c>
      <c r="U21" s="71">
        <f>('FS-AD Daily '!AF25)*1000</f>
        <v>18099.999999991269</v>
      </c>
      <c r="V21" s="71">
        <f>('FS-AD Daily '!AG25)*1000</f>
        <v>5900.0000000014552</v>
      </c>
      <c r="W21" s="71">
        <f>'FS-AD Daily '!AH25*1000</f>
        <v>6799.9999999992724</v>
      </c>
      <c r="X21" s="71">
        <f>('FS-AD Daily '!AK25)*1000</f>
        <v>13400.000000001455</v>
      </c>
      <c r="Y21" s="5">
        <f>'FS-AD Daily '!AN25</f>
        <v>62</v>
      </c>
      <c r="Z21" s="148">
        <v>87</v>
      </c>
    </row>
    <row r="22" spans="1:26" x14ac:dyDescent="0.25">
      <c r="A22" s="112" t="s">
        <v>80</v>
      </c>
      <c r="B22" s="69">
        <f t="shared" si="1"/>
        <v>21</v>
      </c>
      <c r="C22" s="70">
        <v>1</v>
      </c>
      <c r="D22" s="69">
        <v>2021</v>
      </c>
      <c r="E22" s="71">
        <f>'FS-AD Daily '!B26</f>
        <v>5707</v>
      </c>
      <c r="F22" s="71">
        <f>'FS-AD Daily '!C26</f>
        <v>2172</v>
      </c>
      <c r="G22" s="71">
        <f>'FS-AD Daily '!D26</f>
        <v>928</v>
      </c>
      <c r="H22" s="71">
        <f>'FS-AD Daily '!E26</f>
        <v>6269</v>
      </c>
      <c r="I22" s="71">
        <f>'FS-AD Daily '!F26</f>
        <v>5694</v>
      </c>
      <c r="J22" s="71">
        <f>'FS-AD Daily '!G26</f>
        <v>2516</v>
      </c>
      <c r="K22" s="71">
        <f>'FS-AD Daily '!H26</f>
        <v>3581</v>
      </c>
      <c r="L22" s="71">
        <f>'FS-AD Daily '!I26</f>
        <v>2467</v>
      </c>
      <c r="M22" s="71">
        <f>'FS-AD Daily '!J26</f>
        <v>7059</v>
      </c>
      <c r="N22" s="71">
        <f>'FS-AD Daily '!T26</f>
        <v>125.07400000000416</v>
      </c>
      <c r="O22" s="71">
        <f>'FS-AD Daily '!R26</f>
        <v>73.006000000002587</v>
      </c>
      <c r="P22" s="71">
        <f>'FS-AD Daily '!Z26</f>
        <v>444</v>
      </c>
      <c r="Q22" s="71">
        <f>'FS-AD Daily '!V26</f>
        <v>120.90000000002328</v>
      </c>
      <c r="R22" s="71">
        <f>'FS-AD Daily '!W26</f>
        <v>0</v>
      </c>
      <c r="S22" s="71">
        <f t="shared" si="0"/>
        <v>323.09999999997672</v>
      </c>
      <c r="T22" s="71">
        <f>'FS-AD Daily '!AD26*3.516</f>
        <v>32633.402400001309</v>
      </c>
      <c r="U22" s="71">
        <f>('FS-AD Daily '!AF26)*1000</f>
        <v>16900.000000008731</v>
      </c>
      <c r="V22" s="71">
        <f>('FS-AD Daily '!AG26)*1000</f>
        <v>5199.9999999970896</v>
      </c>
      <c r="W22" s="71">
        <f>'FS-AD Daily '!AH26*1000</f>
        <v>6500</v>
      </c>
      <c r="X22" s="71">
        <f>('FS-AD Daily '!AK26)*1000</f>
        <v>12800.00000000291</v>
      </c>
      <c r="Y22" s="5">
        <f>'FS-AD Daily '!AN26</f>
        <v>60</v>
      </c>
      <c r="Z22" s="148">
        <v>89</v>
      </c>
    </row>
    <row r="23" spans="1:26" x14ac:dyDescent="0.25">
      <c r="A23" s="112" t="s">
        <v>80</v>
      </c>
      <c r="B23" s="69">
        <f t="shared" si="1"/>
        <v>22</v>
      </c>
      <c r="C23" s="70">
        <v>1</v>
      </c>
      <c r="D23" s="69">
        <v>2021</v>
      </c>
      <c r="E23" s="71">
        <f>'FS-AD Daily '!B27</f>
        <v>7055</v>
      </c>
      <c r="F23" s="71">
        <f>'FS-AD Daily '!C27</f>
        <v>2101</v>
      </c>
      <c r="G23" s="71">
        <f>'FS-AD Daily '!D27</f>
        <v>931</v>
      </c>
      <c r="H23" s="71">
        <f>'FS-AD Daily '!E27</f>
        <v>6603</v>
      </c>
      <c r="I23" s="71">
        <f>'FS-AD Daily '!F27</f>
        <v>5765</v>
      </c>
      <c r="J23" s="71">
        <f>'FS-AD Daily '!G27</f>
        <v>2562</v>
      </c>
      <c r="K23" s="71">
        <f>'FS-AD Daily '!H27</f>
        <v>3581</v>
      </c>
      <c r="L23" s="71">
        <f>'FS-AD Daily '!I27</f>
        <v>2416</v>
      </c>
      <c r="M23" s="71">
        <f>'FS-AD Daily '!J27</f>
        <v>7159</v>
      </c>
      <c r="N23" s="71">
        <f>'FS-AD Daily '!T27</f>
        <v>139.16999999999825</v>
      </c>
      <c r="O23" s="71">
        <f>'FS-AD Daily '!R27</f>
        <v>73.334000000008018</v>
      </c>
      <c r="P23" s="71">
        <f>'FS-AD Daily '!Z27</f>
        <v>467</v>
      </c>
      <c r="Q23" s="71">
        <f>'FS-AD Daily '!V27</f>
        <v>120.70000000001164</v>
      </c>
      <c r="R23" s="71">
        <f>'FS-AD Daily '!W27</f>
        <v>0</v>
      </c>
      <c r="S23" s="71">
        <f t="shared" si="0"/>
        <v>346.29999999998836</v>
      </c>
      <c r="T23" s="71">
        <f>'FS-AD Daily '!AD27*3.516</f>
        <v>27108.36</v>
      </c>
      <c r="U23" s="71">
        <f>('FS-AD Daily '!AF27)*1000</f>
        <v>14799.999999988358</v>
      </c>
      <c r="V23" s="71">
        <f>('FS-AD Daily '!AG27)*1000</f>
        <v>4300.0000000029104</v>
      </c>
      <c r="W23" s="71">
        <f>'FS-AD Daily '!AH27*1000</f>
        <v>5099.9999999985448</v>
      </c>
      <c r="X23" s="71">
        <f>('FS-AD Daily '!AK27)*1000</f>
        <v>10500</v>
      </c>
      <c r="Y23" s="5">
        <f>'FS-AD Daily '!AN27</f>
        <v>63</v>
      </c>
      <c r="Z23" s="148">
        <v>92</v>
      </c>
    </row>
    <row r="24" spans="1:26" x14ac:dyDescent="0.25">
      <c r="A24" s="112" t="s">
        <v>80</v>
      </c>
      <c r="B24" s="69">
        <f t="shared" si="1"/>
        <v>23</v>
      </c>
      <c r="C24" s="70">
        <v>1</v>
      </c>
      <c r="D24" s="69">
        <v>2021</v>
      </c>
      <c r="E24" s="71">
        <f>'FS-AD Daily '!B28</f>
        <v>6504</v>
      </c>
      <c r="F24" s="71">
        <f>'FS-AD Daily '!C28</f>
        <v>2833</v>
      </c>
      <c r="G24" s="71">
        <f>'FS-AD Daily '!D28</f>
        <v>938</v>
      </c>
      <c r="H24" s="71">
        <f>'FS-AD Daily '!E28</f>
        <v>5646</v>
      </c>
      <c r="I24" s="71">
        <f>'FS-AD Daily '!F28</f>
        <v>5514</v>
      </c>
      <c r="J24" s="71">
        <f>'FS-AD Daily '!G28</f>
        <v>2692</v>
      </c>
      <c r="K24" s="71">
        <f>'FS-AD Daily '!H28</f>
        <v>3617</v>
      </c>
      <c r="L24" s="71">
        <f>'FS-AD Daily '!I28</f>
        <v>2285</v>
      </c>
      <c r="M24" s="71">
        <f>'FS-AD Daily '!J28</f>
        <v>7005</v>
      </c>
      <c r="N24" s="71">
        <f>'FS-AD Daily '!T28</f>
        <v>128.73999999999796</v>
      </c>
      <c r="O24" s="71">
        <f>'FS-AD Daily '!R28</f>
        <v>79.21699999998782</v>
      </c>
      <c r="P24" s="71">
        <f>'FS-AD Daily '!Z28</f>
        <v>524</v>
      </c>
      <c r="Q24" s="71">
        <f>'FS-AD Daily '!V28</f>
        <v>222.09999999997672</v>
      </c>
      <c r="R24" s="71">
        <f>'FS-AD Daily '!W28</f>
        <v>0</v>
      </c>
      <c r="S24" s="71">
        <f t="shared" si="0"/>
        <v>301.90000000002328</v>
      </c>
      <c r="T24" s="71">
        <f>'FS-AD Daily '!AD28*3.516</f>
        <v>30122.626799999347</v>
      </c>
      <c r="U24" s="71">
        <f>('FS-AD Daily '!AF28)*1000</f>
        <v>16700.000000011642</v>
      </c>
      <c r="V24" s="71">
        <f>('FS-AD Daily '!AG28)*1000</f>
        <v>5199.9999999970896</v>
      </c>
      <c r="W24" s="71">
        <f>'FS-AD Daily '!AH28*1000</f>
        <v>5200.0000000007276</v>
      </c>
      <c r="X24" s="71">
        <f>('FS-AD Daily '!AK28)*1000</f>
        <v>11599.999999998545</v>
      </c>
      <c r="Y24" s="5">
        <f>'FS-AD Daily '!AN28</f>
        <v>54</v>
      </c>
      <c r="Z24" s="148">
        <v>79</v>
      </c>
    </row>
    <row r="25" spans="1:26" x14ac:dyDescent="0.25">
      <c r="A25" s="112" t="s">
        <v>80</v>
      </c>
      <c r="B25" s="69">
        <f t="shared" si="1"/>
        <v>24</v>
      </c>
      <c r="C25" s="70">
        <v>1</v>
      </c>
      <c r="D25" s="69">
        <v>2021</v>
      </c>
      <c r="E25" s="71">
        <f>'FS-AD Daily '!B29</f>
        <v>5227</v>
      </c>
      <c r="F25" s="71">
        <f>'FS-AD Daily '!C29</f>
        <v>2747</v>
      </c>
      <c r="G25" s="71">
        <f>'FS-AD Daily '!D29</f>
        <v>888</v>
      </c>
      <c r="H25" s="71">
        <f>'FS-AD Daily '!E29</f>
        <v>4739</v>
      </c>
      <c r="I25" s="71">
        <f>'FS-AD Daily '!F29</f>
        <v>5546</v>
      </c>
      <c r="J25" s="71">
        <f>'FS-AD Daily '!G29</f>
        <v>2818</v>
      </c>
      <c r="K25" s="71">
        <f>'FS-AD Daily '!H29</f>
        <v>3583</v>
      </c>
      <c r="L25" s="71">
        <f>'FS-AD Daily '!I29</f>
        <v>2438</v>
      </c>
      <c r="M25" s="71">
        <f>'FS-AD Daily '!J29</f>
        <v>6755</v>
      </c>
      <c r="N25" s="71">
        <f>'FS-AD Daily '!T29</f>
        <v>122.35199999999895</v>
      </c>
      <c r="O25" s="71">
        <f>'FS-AD Daily '!R29</f>
        <v>60.382999999999811</v>
      </c>
      <c r="P25" s="71">
        <f>'FS-AD Daily '!Z29</f>
        <v>575</v>
      </c>
      <c r="Q25" s="71">
        <f>'FS-AD Daily '!V29</f>
        <v>267.70000000001164</v>
      </c>
      <c r="R25" s="71">
        <f>'FS-AD Daily '!W29</f>
        <v>0</v>
      </c>
      <c r="S25" s="71">
        <f t="shared" si="0"/>
        <v>307.29999999998836</v>
      </c>
      <c r="T25" s="71">
        <f>'FS-AD Daily '!AD29*3.516</f>
        <v>27203.292000000001</v>
      </c>
      <c r="U25" s="71">
        <f>('FS-AD Daily '!AF29)*1000</f>
        <v>14399.999999994179</v>
      </c>
      <c r="V25" s="71">
        <f>('FS-AD Daily '!AG29)*1000</f>
        <v>5199.9999999970896</v>
      </c>
      <c r="W25" s="71">
        <f>'FS-AD Daily '!AH29*1000</f>
        <v>5099.9999999985448</v>
      </c>
      <c r="X25" s="71">
        <f>('FS-AD Daily '!AK29)*1000</f>
        <v>10699.99999999709</v>
      </c>
      <c r="Y25" s="5">
        <f>'FS-AD Daily '!AN29</f>
        <v>69</v>
      </c>
      <c r="Z25" s="148">
        <v>91</v>
      </c>
    </row>
    <row r="26" spans="1:26" x14ac:dyDescent="0.25">
      <c r="A26" s="112" t="s">
        <v>80</v>
      </c>
      <c r="B26" s="69">
        <f>B25+1</f>
        <v>25</v>
      </c>
      <c r="C26" s="70">
        <v>1</v>
      </c>
      <c r="D26" s="69">
        <v>2021</v>
      </c>
      <c r="E26" s="71">
        <f>'FS-AD Daily '!B30</f>
        <v>5244</v>
      </c>
      <c r="F26" s="71">
        <f>'FS-AD Daily '!C30</f>
        <v>2752</v>
      </c>
      <c r="G26" s="71">
        <f>'FS-AD Daily '!D30</f>
        <v>879</v>
      </c>
      <c r="H26" s="71">
        <f>'FS-AD Daily '!E30</f>
        <v>5492</v>
      </c>
      <c r="I26" s="71">
        <f>'FS-AD Daily '!F30</f>
        <v>5687</v>
      </c>
      <c r="J26" s="71">
        <f>'FS-AD Daily '!G30</f>
        <v>2723</v>
      </c>
      <c r="K26" s="71">
        <f>'FS-AD Daily '!H30</f>
        <v>3636</v>
      </c>
      <c r="L26" s="71">
        <f>'FS-AD Daily '!I30</f>
        <v>2376</v>
      </c>
      <c r="M26" s="71">
        <f>'FS-AD Daily '!J30</f>
        <v>6752</v>
      </c>
      <c r="N26" s="71">
        <f>'FS-AD Daily '!T30</f>
        <v>136.8389999999963</v>
      </c>
      <c r="O26" s="71">
        <f>'FS-AD Daily '!R30</f>
        <v>68.314000000006672</v>
      </c>
      <c r="P26" s="71">
        <f>'FS-AD Daily '!Z30</f>
        <v>552</v>
      </c>
      <c r="Q26" s="71">
        <f>'FS-AD Daily '!V30</f>
        <v>240.20000000001164</v>
      </c>
      <c r="R26" s="71">
        <f>'FS-AD Daily '!W30</f>
        <v>0</v>
      </c>
      <c r="S26" s="71">
        <f t="shared" si="0"/>
        <v>311.79999999998836</v>
      </c>
      <c r="T26" s="71">
        <f>'FS-AD Daily '!AD30*3.516</f>
        <v>31598.292000000001</v>
      </c>
      <c r="U26" s="71">
        <f>('FS-AD Daily '!AF30)*1000</f>
        <v>16399.999999994179</v>
      </c>
      <c r="V26" s="71">
        <f>('FS-AD Daily '!AG30)*1000</f>
        <v>5600.0000000058208</v>
      </c>
      <c r="W26" s="71">
        <f>'FS-AD Daily '!AH30*1000</f>
        <v>6000</v>
      </c>
      <c r="X26" s="71">
        <f>('FS-AD Daily '!AK30)*1000</f>
        <v>11600.000000005821</v>
      </c>
      <c r="Y26" s="5">
        <f>'FS-AD Daily '!AN30</f>
        <v>97</v>
      </c>
      <c r="Z26" s="148">
        <v>136</v>
      </c>
    </row>
    <row r="27" spans="1:26" x14ac:dyDescent="0.25">
      <c r="A27" s="112" t="s">
        <v>80</v>
      </c>
      <c r="B27" s="69">
        <f t="shared" si="1"/>
        <v>26</v>
      </c>
      <c r="C27" s="70">
        <v>1</v>
      </c>
      <c r="D27" s="69">
        <v>2021</v>
      </c>
      <c r="E27" s="71">
        <f>'FS-AD Daily '!B31</f>
        <v>5409</v>
      </c>
      <c r="F27" s="71">
        <f>'FS-AD Daily '!C31</f>
        <v>2840</v>
      </c>
      <c r="G27" s="71">
        <f>'FS-AD Daily '!D31</f>
        <v>856</v>
      </c>
      <c r="H27" s="71">
        <f>'FS-AD Daily '!E31</f>
        <v>6317</v>
      </c>
      <c r="I27" s="71">
        <f>'FS-AD Daily '!F31</f>
        <v>5688</v>
      </c>
      <c r="J27" s="71">
        <f>'FS-AD Daily '!G31</f>
        <v>2647</v>
      </c>
      <c r="K27" s="71">
        <f>'FS-AD Daily '!H31</f>
        <v>3571</v>
      </c>
      <c r="L27" s="71">
        <f>'FS-AD Daily '!I31</f>
        <v>2368</v>
      </c>
      <c r="M27" s="71">
        <f>'FS-AD Daily '!J31</f>
        <v>6766</v>
      </c>
      <c r="N27" s="71">
        <f>'FS-AD Daily '!T31</f>
        <v>139.88200000000143</v>
      </c>
      <c r="O27" s="71">
        <f>'FS-AD Daily '!R31</f>
        <v>66.555999999996857</v>
      </c>
      <c r="P27" s="71">
        <f>'FS-AD Daily '!Z31</f>
        <v>478</v>
      </c>
      <c r="Q27" s="71">
        <f>'FS-AD Daily '!V31</f>
        <v>134.5</v>
      </c>
      <c r="R27" s="71">
        <f>'FS-AD Daily '!W31</f>
        <v>0</v>
      </c>
      <c r="S27" s="71">
        <f t="shared" si="0"/>
        <v>343.5</v>
      </c>
      <c r="T27" s="71">
        <f>'FS-AD Daily '!AD31*3.516</f>
        <v>34555.248</v>
      </c>
      <c r="U27" s="71">
        <f>('FS-AD Daily '!AF31)*1000</f>
        <v>18100.000000005821</v>
      </c>
      <c r="V27" s="71">
        <f>('FS-AD Daily '!AG31)*1000</f>
        <v>5599.9999999985448</v>
      </c>
      <c r="W27" s="71">
        <f>'FS-AD Daily '!AH31*1000</f>
        <v>6400.0000000014552</v>
      </c>
      <c r="X27" s="71">
        <f>('FS-AD Daily '!AK31)*1000</f>
        <v>13599.999999998545</v>
      </c>
      <c r="Y27" s="5">
        <f>'FS-AD Daily '!AN31</f>
        <v>95</v>
      </c>
      <c r="Z27" s="148">
        <v>135</v>
      </c>
    </row>
    <row r="28" spans="1:26" x14ac:dyDescent="0.25">
      <c r="A28" s="112" t="s">
        <v>80</v>
      </c>
      <c r="B28" s="69">
        <f t="shared" si="1"/>
        <v>27</v>
      </c>
      <c r="C28" s="70">
        <v>1</v>
      </c>
      <c r="D28" s="69">
        <v>2021</v>
      </c>
      <c r="E28" s="71">
        <f>'FS-AD Daily '!B32</f>
        <v>6263</v>
      </c>
      <c r="F28" s="71">
        <f>'FS-AD Daily '!C32</f>
        <v>2404</v>
      </c>
      <c r="G28" s="71">
        <f>'FS-AD Daily '!D32</f>
        <v>854</v>
      </c>
      <c r="H28" s="71">
        <f>'FS-AD Daily '!E32</f>
        <v>6204</v>
      </c>
      <c r="I28" s="71">
        <f>'FS-AD Daily '!F32</f>
        <v>5759</v>
      </c>
      <c r="J28" s="71">
        <f>'FS-AD Daily '!G32</f>
        <v>2597</v>
      </c>
      <c r="K28" s="71">
        <f>'FS-AD Daily '!H32</f>
        <v>3590</v>
      </c>
      <c r="L28" s="71">
        <f>'FS-AD Daily '!I32</f>
        <v>2405</v>
      </c>
      <c r="M28" s="71">
        <f>'FS-AD Daily '!J32</f>
        <v>7060</v>
      </c>
      <c r="N28" s="71">
        <f>'FS-AD Daily '!T32</f>
        <v>139.60500000000684</v>
      </c>
      <c r="O28" s="71">
        <f>'FS-AD Daily '!R32</f>
        <v>71.563000000006014</v>
      </c>
      <c r="P28" s="71">
        <f>'FS-AD Daily '!Z32</f>
        <v>490</v>
      </c>
      <c r="Q28" s="71">
        <f>'FS-AD Daily '!V32</f>
        <v>156.29999999998836</v>
      </c>
      <c r="R28" s="71">
        <f>'FS-AD Daily '!W32</f>
        <v>0</v>
      </c>
      <c r="S28" s="71">
        <f t="shared" si="0"/>
        <v>333.70000000001164</v>
      </c>
      <c r="T28" s="71">
        <f>'FS-AD Daily '!AD32*3.516</f>
        <v>36652.190399999672</v>
      </c>
      <c r="U28" s="71">
        <f>('FS-AD Daily '!AF32)*1000</f>
        <v>19000</v>
      </c>
      <c r="V28" s="71">
        <f>('FS-AD Daily '!AG32)*1000</f>
        <v>6000</v>
      </c>
      <c r="W28" s="71">
        <f>'FS-AD Daily '!AH32*1000</f>
        <v>6799.9999999992724</v>
      </c>
      <c r="X28" s="71">
        <f>('FS-AD Daily '!AK32)*1000</f>
        <v>14400.000000001455</v>
      </c>
      <c r="Y28" s="5">
        <f>'FS-AD Daily '!AN32</f>
        <v>80</v>
      </c>
      <c r="Z28" s="148">
        <v>109</v>
      </c>
    </row>
    <row r="29" spans="1:26" x14ac:dyDescent="0.25">
      <c r="A29" s="112" t="s">
        <v>80</v>
      </c>
      <c r="B29" s="69">
        <f t="shared" si="1"/>
        <v>28</v>
      </c>
      <c r="C29" s="70">
        <v>1</v>
      </c>
      <c r="D29" s="69">
        <v>2021</v>
      </c>
      <c r="E29" s="71">
        <f>'FS-AD Daily '!B33</f>
        <v>4535</v>
      </c>
      <c r="F29" s="71">
        <f>'FS-AD Daily '!C33</f>
        <v>2524</v>
      </c>
      <c r="G29" s="71">
        <f>'FS-AD Daily '!D33</f>
        <v>923</v>
      </c>
      <c r="H29" s="71">
        <f>'FS-AD Daily '!E33</f>
        <v>5870</v>
      </c>
      <c r="I29" s="71">
        <f>'FS-AD Daily '!F33</f>
        <v>5796</v>
      </c>
      <c r="J29" s="71">
        <f>'FS-AD Daily '!G33</f>
        <v>2667</v>
      </c>
      <c r="K29" s="71">
        <f>'FS-AD Daily '!H33</f>
        <v>3559</v>
      </c>
      <c r="L29" s="71">
        <f>'FS-AD Daily '!I33</f>
        <v>2439</v>
      </c>
      <c r="M29" s="71">
        <f>'FS-AD Daily '!J33</f>
        <v>7181</v>
      </c>
      <c r="N29" s="71">
        <f>'FS-AD Daily '!T33</f>
        <v>142.75299999999697</v>
      </c>
      <c r="O29" s="71">
        <f>'FS-AD Daily '!R33</f>
        <v>69.640999999990527</v>
      </c>
      <c r="P29" s="71">
        <f>'FS-AD Daily '!Z33</f>
        <v>470</v>
      </c>
      <c r="Q29" s="71">
        <f>'FS-AD Daily '!V33</f>
        <v>142.29999999998836</v>
      </c>
      <c r="R29" s="71">
        <f>'FS-AD Daily '!W33</f>
        <v>0</v>
      </c>
      <c r="S29" s="71">
        <f t="shared" si="0"/>
        <v>327.70000000001164</v>
      </c>
      <c r="T29" s="71">
        <f>'FS-AD Daily '!AD33*3.516</f>
        <v>34382.612399999671</v>
      </c>
      <c r="U29" s="71">
        <f>('FS-AD Daily '!AF33)*1000</f>
        <v>18000</v>
      </c>
      <c r="V29" s="71">
        <f>('FS-AD Daily '!AG33)*1000</f>
        <v>5900.0000000014552</v>
      </c>
      <c r="W29" s="71">
        <f>'FS-AD Daily '!AH33*1000</f>
        <v>6700.0000000007276</v>
      </c>
      <c r="X29" s="71">
        <f>('FS-AD Daily '!AK33)*1000</f>
        <v>13000</v>
      </c>
      <c r="Y29" s="5">
        <f>'FS-AD Daily '!AN33</f>
        <v>94</v>
      </c>
      <c r="Z29" s="148">
        <v>155</v>
      </c>
    </row>
    <row r="30" spans="1:26" x14ac:dyDescent="0.25">
      <c r="A30" s="112" t="s">
        <v>80</v>
      </c>
      <c r="B30" s="69">
        <f t="shared" si="1"/>
        <v>29</v>
      </c>
      <c r="C30" s="70">
        <v>1</v>
      </c>
      <c r="D30" s="69">
        <v>2021</v>
      </c>
      <c r="E30" s="71">
        <f>'FS-AD Daily '!B34</f>
        <v>5345</v>
      </c>
      <c r="F30" s="71">
        <f>'FS-AD Daily '!C34</f>
        <v>2922</v>
      </c>
      <c r="G30" s="71">
        <f>'FS-AD Daily '!D34</f>
        <v>926</v>
      </c>
      <c r="H30" s="71">
        <f>'FS-AD Daily '!E34</f>
        <v>6174</v>
      </c>
      <c r="I30" s="71">
        <f>'FS-AD Daily '!F34</f>
        <v>6050</v>
      </c>
      <c r="J30" s="71">
        <f>'FS-AD Daily '!G34</f>
        <v>2705</v>
      </c>
      <c r="K30" s="71">
        <f>'FS-AD Daily '!H34</f>
        <v>3590</v>
      </c>
      <c r="L30" s="71">
        <f>'FS-AD Daily '!I34</f>
        <v>2382</v>
      </c>
      <c r="M30" s="71">
        <f>'FS-AD Daily '!J34</f>
        <v>7314</v>
      </c>
      <c r="N30" s="71">
        <f>'FS-AD Daily '!T34</f>
        <v>153.39099999999598</v>
      </c>
      <c r="O30" s="71">
        <f>'FS-AD Daily '!R34</f>
        <v>86.630000000006476</v>
      </c>
      <c r="P30" s="71">
        <f>'FS-AD Daily '!Z34</f>
        <v>500</v>
      </c>
      <c r="Q30" s="71">
        <f>'FS-AD Daily '!V34</f>
        <v>155.59999999997672</v>
      </c>
      <c r="R30" s="71">
        <f>'FS-AD Daily '!W34</f>
        <v>0</v>
      </c>
      <c r="S30" s="71">
        <f t="shared" si="0"/>
        <v>344.40000000002328</v>
      </c>
      <c r="T30" s="71">
        <f>'FS-AD Daily '!AD34*3.516</f>
        <v>34307.370000000003</v>
      </c>
      <c r="U30" s="71">
        <f>('FS-AD Daily '!AF34)*1000</f>
        <v>17600.000000005821</v>
      </c>
      <c r="V30" s="71">
        <f>('FS-AD Daily '!AG34)*1000</f>
        <v>6299.9999999956344</v>
      </c>
      <c r="W30" s="71">
        <f>'FS-AD Daily '!AH34*1000</f>
        <v>6599.9999999985448</v>
      </c>
      <c r="X30" s="71">
        <f>('FS-AD Daily '!AK34)*1000</f>
        <v>13599.999999998545</v>
      </c>
      <c r="Y30" s="5">
        <f>'FS-AD Daily '!AN34</f>
        <v>83</v>
      </c>
      <c r="Z30" s="148">
        <v>133</v>
      </c>
    </row>
    <row r="31" spans="1:26" x14ac:dyDescent="0.25">
      <c r="A31" s="138" t="s">
        <v>80</v>
      </c>
      <c r="B31" s="139">
        <f t="shared" si="1"/>
        <v>30</v>
      </c>
      <c r="C31" s="70">
        <v>1</v>
      </c>
      <c r="D31" s="69">
        <v>2021</v>
      </c>
      <c r="E31" s="71">
        <f>'FS-AD Daily '!B35</f>
        <v>5428</v>
      </c>
      <c r="F31" s="71">
        <f>'FS-AD Daily '!C35</f>
        <v>2858</v>
      </c>
      <c r="G31" s="71">
        <f>'FS-AD Daily '!D35</f>
        <v>887</v>
      </c>
      <c r="H31" s="71">
        <f>'FS-AD Daily '!E35</f>
        <v>5984</v>
      </c>
      <c r="I31" s="141">
        <f>'FS-AD Daily '!F35</f>
        <v>5655</v>
      </c>
      <c r="J31" s="141">
        <f>'FS-AD Daily '!G35</f>
        <v>2609</v>
      </c>
      <c r="K31" s="141">
        <f>'FS-AD Daily '!H35</f>
        <v>3576</v>
      </c>
      <c r="L31" s="141">
        <f>'FS-AD Daily '!I35</f>
        <v>2444</v>
      </c>
      <c r="M31" s="141">
        <f>'FS-AD Daily '!J35</f>
        <v>7001</v>
      </c>
      <c r="N31" s="141">
        <f>'FS-AD Daily '!T35</f>
        <v>142.33900000000358</v>
      </c>
      <c r="O31" s="141">
        <f>'FS-AD Daily '!R35</f>
        <v>79.399000000004435</v>
      </c>
      <c r="P31" s="141">
        <f>'FS-AD Daily '!Z35</f>
        <v>434</v>
      </c>
      <c r="Q31" s="141">
        <f>'FS-AD Daily '!V35</f>
        <v>152.90000000002328</v>
      </c>
      <c r="R31" s="141">
        <f>'FS-AD Daily '!W35</f>
        <v>0</v>
      </c>
      <c r="S31" s="141">
        <f t="shared" si="0"/>
        <v>281.09999999997672</v>
      </c>
      <c r="T31" s="141">
        <f>'FS-AD Daily '!AD35*3.516</f>
        <v>34199.077200000655</v>
      </c>
      <c r="U31" s="141">
        <f>('FS-AD Daily '!AF35)*1000</f>
        <v>17199.99999999709</v>
      </c>
      <c r="V31" s="141">
        <f>('FS-AD Daily '!AG35)*1000</f>
        <v>6200.0000000043656</v>
      </c>
      <c r="W31" s="141">
        <f>'FS-AD Daily '!AH35*1000</f>
        <v>6700.0000000007276</v>
      </c>
      <c r="X31" s="141">
        <f>('FS-AD Daily '!AK35)*1000</f>
        <v>13199.99999999709</v>
      </c>
      <c r="Y31" s="151">
        <f>'FS-AD Daily '!AN35</f>
        <v>65</v>
      </c>
      <c r="Z31" s="149">
        <v>95</v>
      </c>
    </row>
    <row r="32" spans="1:26" ht="15.75" thickBot="1" x14ac:dyDescent="0.3">
      <c r="A32" s="114" t="s">
        <v>80</v>
      </c>
      <c r="B32" s="115">
        <f t="shared" si="1"/>
        <v>31</v>
      </c>
      <c r="C32" s="116">
        <v>1</v>
      </c>
      <c r="D32" s="115">
        <v>2021</v>
      </c>
      <c r="E32" s="117">
        <f>'FS-AD Daily '!B36</f>
        <v>5639</v>
      </c>
      <c r="F32" s="117">
        <f>'FS-AD Daily '!C36</f>
        <v>3185</v>
      </c>
      <c r="G32" s="117">
        <f>'FS-AD Daily '!D36</f>
        <v>827</v>
      </c>
      <c r="H32" s="117">
        <f>'FS-AD Daily '!E36</f>
        <v>5672</v>
      </c>
      <c r="I32" s="117">
        <f>'FS-AD Daily '!F36</f>
        <v>5648</v>
      </c>
      <c r="J32" s="117">
        <f>'FS-AD Daily '!G36</f>
        <v>2513</v>
      </c>
      <c r="K32" s="117">
        <f>'FS-AD Daily '!H36</f>
        <v>3538</v>
      </c>
      <c r="L32" s="117">
        <f>'FS-AD Daily '!I36</f>
        <v>2427</v>
      </c>
      <c r="M32" s="117">
        <f>'FS-AD Daily '!J36</f>
        <v>6743</v>
      </c>
      <c r="N32" s="117">
        <f>'FS-AD Daily '!T36</f>
        <v>105.36999999999898</v>
      </c>
      <c r="O32" s="117">
        <f>'FS-AD Daily '!R36</f>
        <v>68.908999999994194</v>
      </c>
      <c r="P32" s="117">
        <f>'FS-AD Daily '!Z36</f>
        <v>433</v>
      </c>
      <c r="Q32" s="117">
        <f>'FS-AD Daily '!V36</f>
        <v>149.70000000001164</v>
      </c>
      <c r="R32" s="117">
        <f>'FS-AD Daily '!W36</f>
        <v>0</v>
      </c>
      <c r="S32" s="117">
        <f t="shared" ref="S32" si="2">P32-Q32-R32</f>
        <v>283.29999999998836</v>
      </c>
      <c r="T32" s="117">
        <f>'FS-AD Daily '!AD36*3.516</f>
        <v>33637.923600000329</v>
      </c>
      <c r="U32" s="117">
        <f>('FS-AD Daily '!AF36)*1000</f>
        <v>16899.999999994179</v>
      </c>
      <c r="V32" s="117">
        <f>('FS-AD Daily '!AG36)*1000</f>
        <v>5799.9999999956344</v>
      </c>
      <c r="W32" s="117">
        <f>'FS-AD Daily '!AH36*1000</f>
        <v>6700.0000000007276</v>
      </c>
      <c r="X32" s="117">
        <f>('FS-AD Daily '!AK36)*1000</f>
        <v>13300.00000000291</v>
      </c>
      <c r="Y32" s="96">
        <f>'FS-AD Daily '!AN36</f>
        <v>61</v>
      </c>
      <c r="Z32" s="150">
        <v>91</v>
      </c>
    </row>
    <row r="33" spans="9:26" x14ac:dyDescent="0.25">
      <c r="I33" s="4">
        <f t="shared" ref="I33:W33" si="3">SUM(I2:I32)</f>
        <v>171490</v>
      </c>
      <c r="J33" s="4">
        <f t="shared" si="3"/>
        <v>80865</v>
      </c>
      <c r="K33" s="4">
        <f t="shared" si="3"/>
        <v>111101</v>
      </c>
      <c r="L33" s="4">
        <f t="shared" si="3"/>
        <v>73577</v>
      </c>
      <c r="M33" s="4">
        <f t="shared" si="3"/>
        <v>213966</v>
      </c>
      <c r="N33" s="4">
        <f t="shared" si="3"/>
        <v>4020.1900000000023</v>
      </c>
      <c r="O33" s="4">
        <f t="shared" si="3"/>
        <v>2182.1029999999964</v>
      </c>
      <c r="P33" s="4">
        <f t="shared" si="3"/>
        <v>13862</v>
      </c>
      <c r="Q33" s="4">
        <f t="shared" si="3"/>
        <v>4294.5</v>
      </c>
      <c r="R33" s="4">
        <f t="shared" si="3"/>
        <v>0</v>
      </c>
      <c r="S33" s="4">
        <f t="shared" si="3"/>
        <v>9567.5</v>
      </c>
      <c r="T33" s="4">
        <f t="shared" si="3"/>
        <v>976866.80520000076</v>
      </c>
      <c r="U33" s="4">
        <f t="shared" si="3"/>
        <v>515099.99999999127</v>
      </c>
      <c r="V33" s="4">
        <f t="shared" si="3"/>
        <v>167699.99999999709</v>
      </c>
      <c r="W33" s="4">
        <f t="shared" si="3"/>
        <v>187600.00000000218</v>
      </c>
      <c r="X33" s="4">
        <f>'FS-AD Daily '!U38</f>
        <v>14410.602080000048</v>
      </c>
      <c r="Y33" s="4">
        <f>SUM(Y2:Y32)</f>
        <v>2121</v>
      </c>
      <c r="Z33" s="4">
        <f>SUM(Z2:Z32)</f>
        <v>3282</v>
      </c>
    </row>
    <row r="34" spans="9:26" x14ac:dyDescent="0.25">
      <c r="Y34"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2"/>
  <sheetViews>
    <sheetView tabSelected="1" zoomScaleNormal="100" workbookViewId="0">
      <pane xSplit="7" ySplit="4" topLeftCell="N23" activePane="bottomRight" state="frozen"/>
      <selection pane="topRight" activeCell="H1" sqref="H1"/>
      <selection pane="bottomLeft" activeCell="A5" sqref="A5"/>
      <selection pane="bottomRight" activeCell="V36" sqref="V36"/>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58" t="s">
        <v>14</v>
      </c>
      <c r="C1" s="158"/>
      <c r="D1" s="158"/>
      <c r="E1" s="158"/>
      <c r="F1" s="158"/>
      <c r="G1" s="158"/>
      <c r="H1" s="158"/>
      <c r="I1" s="158"/>
      <c r="J1" s="158"/>
      <c r="K1" s="25" t="s">
        <v>15</v>
      </c>
      <c r="L1" s="26" t="s">
        <v>16</v>
      </c>
      <c r="M1" s="27" t="s">
        <v>17</v>
      </c>
      <c r="N1" s="28" t="s">
        <v>18</v>
      </c>
      <c r="O1" s="28" t="s">
        <v>19</v>
      </c>
      <c r="P1" s="65" t="s">
        <v>20</v>
      </c>
      <c r="Q1" s="30" t="s">
        <v>21</v>
      </c>
      <c r="R1" s="31" t="s">
        <v>22</v>
      </c>
      <c r="S1" s="29" t="s">
        <v>23</v>
      </c>
      <c r="T1" s="32" t="s">
        <v>24</v>
      </c>
      <c r="U1" s="33" t="s">
        <v>25</v>
      </c>
      <c r="V1" s="32" t="s">
        <v>26</v>
      </c>
      <c r="W1" s="32" t="s">
        <v>27</v>
      </c>
      <c r="X1" s="159" t="s">
        <v>28</v>
      </c>
      <c r="Y1" s="159"/>
      <c r="Z1" s="34" t="s">
        <v>29</v>
      </c>
      <c r="AA1" s="35" t="s">
        <v>102</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54" t="s">
        <v>41</v>
      </c>
      <c r="L2" s="153" t="s">
        <v>42</v>
      </c>
      <c r="M2" s="10"/>
      <c r="N2" s="10"/>
      <c r="O2" s="10"/>
      <c r="P2" s="10"/>
      <c r="Q2" s="10"/>
      <c r="R2" s="10"/>
      <c r="S2" s="162"/>
      <c r="T2" s="47"/>
      <c r="U2" s="156"/>
      <c r="V2" s="45"/>
      <c r="W2" s="45"/>
      <c r="X2" s="22">
        <v>1</v>
      </c>
      <c r="Y2" s="22">
        <v>2</v>
      </c>
      <c r="Z2" s="23"/>
      <c r="AA2" s="153" t="s">
        <v>101</v>
      </c>
      <c r="AB2" s="43"/>
      <c r="AC2" s="154" t="s">
        <v>43</v>
      </c>
      <c r="AD2" s="155"/>
      <c r="AE2" s="156" t="s">
        <v>100</v>
      </c>
      <c r="AF2" s="45"/>
      <c r="AG2" s="45"/>
      <c r="AH2" s="45"/>
      <c r="AI2" s="44"/>
      <c r="AJ2" s="44"/>
      <c r="AK2" s="44"/>
      <c r="AL2" s="44"/>
      <c r="AM2" s="156" t="s">
        <v>100</v>
      </c>
      <c r="AN2" s="157"/>
      <c r="AO2" s="152"/>
    </row>
    <row r="3" spans="1:44" ht="15" customHeight="1" x14ac:dyDescent="0.25">
      <c r="A3" s="9"/>
      <c r="B3" s="11" t="s">
        <v>44</v>
      </c>
      <c r="C3" s="11" t="s">
        <v>45</v>
      </c>
      <c r="D3" s="11" t="s">
        <v>46</v>
      </c>
      <c r="E3" s="11" t="s">
        <v>47</v>
      </c>
      <c r="F3" s="11" t="s">
        <v>48</v>
      </c>
      <c r="G3" s="11" t="s">
        <v>49</v>
      </c>
      <c r="H3" s="11" t="s">
        <v>50</v>
      </c>
      <c r="I3" s="11" t="s">
        <v>51</v>
      </c>
      <c r="J3" s="11" t="s">
        <v>52</v>
      </c>
      <c r="K3" s="160"/>
      <c r="L3" s="161"/>
      <c r="M3" s="10"/>
      <c r="N3" s="10"/>
      <c r="O3" s="10"/>
      <c r="P3" s="10"/>
      <c r="Q3" s="10"/>
      <c r="R3" s="10"/>
      <c r="S3" s="162"/>
      <c r="T3" s="47"/>
      <c r="U3" s="156"/>
      <c r="V3" s="45"/>
      <c r="W3" s="45"/>
      <c r="X3" s="11"/>
      <c r="Y3" s="11"/>
      <c r="Z3" s="12"/>
      <c r="AA3" s="153"/>
      <c r="AB3" s="43"/>
      <c r="AC3" s="154"/>
      <c r="AD3" s="155"/>
      <c r="AE3" s="156"/>
      <c r="AF3" s="45"/>
      <c r="AG3" s="45"/>
      <c r="AH3" s="45"/>
      <c r="AI3" s="13"/>
      <c r="AJ3" s="44"/>
      <c r="AK3" s="44"/>
      <c r="AL3" s="44"/>
      <c r="AM3" s="156"/>
      <c r="AN3" s="157"/>
      <c r="AO3" s="152"/>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62"/>
      <c r="T4" s="47"/>
      <c r="U4" s="156"/>
      <c r="V4" s="45"/>
      <c r="W4" s="45"/>
      <c r="X4" s="52"/>
      <c r="Y4" s="88">
        <v>761650</v>
      </c>
      <c r="Z4" s="12"/>
      <c r="AA4" s="153"/>
      <c r="AB4" s="87">
        <v>2398066.9</v>
      </c>
      <c r="AC4" s="154"/>
      <c r="AD4" s="155"/>
      <c r="AE4" s="156"/>
      <c r="AF4" s="45"/>
      <c r="AG4" s="45"/>
      <c r="AH4" s="45"/>
      <c r="AI4" s="43">
        <v>40110.5</v>
      </c>
      <c r="AJ4" s="43"/>
      <c r="AK4" s="43"/>
      <c r="AL4" s="43"/>
      <c r="AM4" s="156"/>
      <c r="AN4" s="157"/>
      <c r="AO4" s="152"/>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100" t="e">
        <f>SUM(#REF!)</f>
        <v>#REF!</v>
      </c>
    </row>
    <row r="6" spans="1:44" x14ac:dyDescent="0.25">
      <c r="A6" s="80">
        <v>44197</v>
      </c>
      <c r="B6" s="146">
        <v>5215</v>
      </c>
      <c r="C6" s="86">
        <v>2135</v>
      </c>
      <c r="D6" s="86">
        <v>943</v>
      </c>
      <c r="E6" s="86">
        <v>6843</v>
      </c>
      <c r="F6" s="86">
        <v>5860</v>
      </c>
      <c r="G6" s="86">
        <v>2829</v>
      </c>
      <c r="H6" s="86">
        <v>3735</v>
      </c>
      <c r="I6" s="86">
        <v>2339</v>
      </c>
      <c r="J6" s="86">
        <v>7118</v>
      </c>
      <c r="K6" s="63">
        <f>SUM(B6:H6)</f>
        <v>27560</v>
      </c>
      <c r="L6" s="40">
        <f>K6*0.2</f>
        <v>5512</v>
      </c>
      <c r="M6" s="85">
        <f>55296.61-55150.227</f>
        <v>146.38300000000163</v>
      </c>
      <c r="N6" s="85">
        <f>3939.924-3938.652</f>
        <v>1.2719999999999345</v>
      </c>
      <c r="O6" s="85">
        <f>9250.058-9249.302</f>
        <v>0.75600000000122236</v>
      </c>
      <c r="P6" s="83">
        <f>77891.625-77816.142</f>
        <v>75.482999999992899</v>
      </c>
      <c r="Q6" s="85">
        <f>22052.759-22048.978</f>
        <v>3.7809999999990396</v>
      </c>
      <c r="R6" s="85">
        <f t="shared" ref="R6:R34" si="0">N6+O6+P6</f>
        <v>77.510999999994056</v>
      </c>
      <c r="S6" s="85">
        <f t="shared" ref="S6:S34" si="1">(N6+O6+P6)*7.84</f>
        <v>607.68623999995339</v>
      </c>
      <c r="T6" s="64">
        <f t="shared" ref="T6:T34" si="2">M6+Q6</f>
        <v>150.16400000000067</v>
      </c>
      <c r="U6" s="85">
        <f>T6*7.84</f>
        <v>1177.2857600000052</v>
      </c>
      <c r="V6" s="85">
        <f>315819.4-315690.2</f>
        <v>129.20000000001164</v>
      </c>
      <c r="W6" s="84">
        <f t="shared" ref="W6:W36" si="3">129287.44-129287.44</f>
        <v>0</v>
      </c>
      <c r="X6" s="86" t="s">
        <v>63</v>
      </c>
      <c r="Y6" s="86">
        <v>762076</v>
      </c>
      <c r="Z6" s="61">
        <f>IF((Y6-Y5&lt;0), "0",Y6-Y4)</f>
        <v>426</v>
      </c>
      <c r="AA6" s="91">
        <f>Z6*6.47</f>
        <v>2756.22</v>
      </c>
      <c r="AB6" s="86">
        <v>2408846.7999999998</v>
      </c>
      <c r="AC6" s="86">
        <f>AB4</f>
        <v>2398066.9</v>
      </c>
      <c r="AD6" s="41">
        <f t="shared" ref="AD6:AD36" si="4">IF((AB6-AC6&lt;0), "0",AB6-AC6)</f>
        <v>10779.899999999907</v>
      </c>
      <c r="AE6" s="85">
        <f>AD6*0.333415</f>
        <v>3594.1803584999693</v>
      </c>
      <c r="AF6" s="85">
        <f>81770.1-81750.6</f>
        <v>19.5</v>
      </c>
      <c r="AG6" s="85">
        <f>42757.6-42750.9</f>
        <v>6.6999999999970896</v>
      </c>
      <c r="AH6" s="85">
        <f>25671.1-25663.8</f>
        <v>7.2999999999992724</v>
      </c>
      <c r="AI6" s="75">
        <f>AI4</f>
        <v>40110.5</v>
      </c>
      <c r="AJ6" s="86">
        <v>40124.400000000001</v>
      </c>
      <c r="AK6" s="59">
        <f>IF((AJ6-AI6)&lt;0, "0",AJ6-AI6)</f>
        <v>13.900000000001455</v>
      </c>
      <c r="AL6" s="137">
        <f t="shared" ref="AL6:AL34" si="5">AK6*(284.34513609)</f>
        <v>3952.3973916514137</v>
      </c>
      <c r="AM6" s="85">
        <f>AL6*0.333415</f>
        <v>1317.7885763374561</v>
      </c>
      <c r="AN6" s="41">
        <v>69</v>
      </c>
      <c r="AO6" s="77">
        <f t="shared" ref="AO6:AO34" si="6">L6+U6+AA6+AE6</f>
        <v>13039.686118499974</v>
      </c>
    </row>
    <row r="7" spans="1:44" x14ac:dyDescent="0.25">
      <c r="A7" s="79">
        <v>44198</v>
      </c>
      <c r="B7" s="9">
        <v>4955</v>
      </c>
      <c r="C7" s="87">
        <v>2012</v>
      </c>
      <c r="D7" s="87">
        <v>858</v>
      </c>
      <c r="E7" s="87">
        <v>6183</v>
      </c>
      <c r="F7" s="87">
        <v>5344</v>
      </c>
      <c r="G7" s="87">
        <v>2687</v>
      </c>
      <c r="H7" s="87">
        <v>3553</v>
      </c>
      <c r="I7" s="87">
        <v>2383</v>
      </c>
      <c r="J7" s="87">
        <v>6696</v>
      </c>
      <c r="K7" s="87">
        <f>SUM(B7:H7)</f>
        <v>25592</v>
      </c>
      <c r="L7" s="14">
        <f>K7*0.2</f>
        <v>5118.4000000000005</v>
      </c>
      <c r="M7" s="84">
        <f>55401.684-55296.61</f>
        <v>105.07400000000052</v>
      </c>
      <c r="N7" s="84">
        <f>3941.337-3939.924</f>
        <v>1.4130000000000109</v>
      </c>
      <c r="O7" s="84">
        <f>9250.682-9250.058</f>
        <v>0.62399999999979627</v>
      </c>
      <c r="P7" s="82">
        <f>77957.664-77891.625</f>
        <v>66.039000000004307</v>
      </c>
      <c r="Q7" s="84">
        <f>22059.181-22052.759</f>
        <v>6.4220000000022992</v>
      </c>
      <c r="R7" s="84">
        <f t="shared" si="0"/>
        <v>68.076000000004115</v>
      </c>
      <c r="S7" s="84">
        <f>(N7+O7+P7)*7.84</f>
        <v>533.71584000003224</v>
      </c>
      <c r="T7" s="84">
        <f>M7+Q7</f>
        <v>111.49600000000282</v>
      </c>
      <c r="U7" s="84">
        <f>T7*7.84</f>
        <v>874.12864000002207</v>
      </c>
      <c r="V7" s="84">
        <f>315941.1-315819.4</f>
        <v>121.69999999995343</v>
      </c>
      <c r="W7" s="84">
        <f t="shared" si="3"/>
        <v>0</v>
      </c>
      <c r="X7" s="87" t="s">
        <v>63</v>
      </c>
      <c r="Y7" s="87">
        <v>762501</v>
      </c>
      <c r="Z7" s="5">
        <f>IF((Y7-Y6&lt;0), "0",Y7-Y6)</f>
        <v>425</v>
      </c>
      <c r="AA7" s="14">
        <f t="shared" ref="AA7:AA34" si="7">Z7*6.47</f>
        <v>2749.75</v>
      </c>
      <c r="AB7" s="87">
        <v>2418772.1</v>
      </c>
      <c r="AC7" s="87">
        <f>AB6</f>
        <v>2408846.7999999998</v>
      </c>
      <c r="AD7" s="5">
        <f t="shared" si="4"/>
        <v>9925.3000000002794</v>
      </c>
      <c r="AE7" s="84">
        <f>AD7*0.333415</f>
        <v>3309.2438995000934</v>
      </c>
      <c r="AF7" s="84">
        <f>81787.9-81770.1</f>
        <v>17.799999999988358</v>
      </c>
      <c r="AG7" s="84">
        <f>42764-42757.6</f>
        <v>6.4000000000014552</v>
      </c>
      <c r="AH7" s="84">
        <f>25678.2-25671.1</f>
        <v>7.1000000000021828</v>
      </c>
      <c r="AI7" s="88">
        <f>AJ6</f>
        <v>40124.400000000001</v>
      </c>
      <c r="AJ7" s="87">
        <v>40136.9</v>
      </c>
      <c r="AK7" s="48">
        <f t="shared" ref="AK7:AK34" si="8">IF((AJ7-AI7)&lt;0, "0",AJ7-AI7)</f>
        <v>12.5</v>
      </c>
      <c r="AL7" s="90">
        <f t="shared" si="5"/>
        <v>3554.3142011249997</v>
      </c>
      <c r="AM7" s="84">
        <f>AL7*0.333415</f>
        <v>1185.0616693680918</v>
      </c>
      <c r="AN7" s="5">
        <v>65</v>
      </c>
      <c r="AO7" s="78">
        <f t="shared" si="6"/>
        <v>12051.522539500116</v>
      </c>
    </row>
    <row r="8" spans="1:44" x14ac:dyDescent="0.25">
      <c r="A8" s="79">
        <v>44199</v>
      </c>
      <c r="B8" s="9">
        <v>5843</v>
      </c>
      <c r="C8" s="87">
        <v>2097</v>
      </c>
      <c r="D8" s="87">
        <v>864</v>
      </c>
      <c r="E8" s="87">
        <v>6247</v>
      </c>
      <c r="F8" s="87">
        <v>5286</v>
      </c>
      <c r="G8" s="87">
        <v>2745</v>
      </c>
      <c r="H8" s="87">
        <v>3617</v>
      </c>
      <c r="I8" s="87">
        <v>2350</v>
      </c>
      <c r="J8" s="87">
        <v>6731</v>
      </c>
      <c r="K8" s="87">
        <f>SUM(B8:H8)</f>
        <v>26699</v>
      </c>
      <c r="L8" s="14">
        <f t="shared" ref="L8:L34" si="9">K8*0.2</f>
        <v>5339.8</v>
      </c>
      <c r="M8" s="84">
        <f>55518.123-55401.684</f>
        <v>116.43899999999849</v>
      </c>
      <c r="N8" s="84">
        <f>3942.193-3941.337</f>
        <v>0.85600000000022192</v>
      </c>
      <c r="O8" s="84">
        <f>9251.232-9250.682</f>
        <v>0.5499999999992724</v>
      </c>
      <c r="P8" s="82">
        <f>78021.22-77957.664</f>
        <v>63.555999999996857</v>
      </c>
      <c r="Q8" s="84">
        <f>22065.778-22059.181</f>
        <v>6.5969999999979336</v>
      </c>
      <c r="R8" s="84">
        <f t="shared" si="0"/>
        <v>64.961999999996351</v>
      </c>
      <c r="S8" s="84">
        <f>(N8+O8+P8)*7.84</f>
        <v>509.3020799999714</v>
      </c>
      <c r="T8" s="84">
        <f>M8+Q8</f>
        <v>123.03599999999642</v>
      </c>
      <c r="U8" s="84">
        <f>T8*7.84</f>
        <v>964.60223999997197</v>
      </c>
      <c r="V8" s="84">
        <f>316060.6-315941.1</f>
        <v>119.5</v>
      </c>
      <c r="W8" s="84">
        <f t="shared" si="3"/>
        <v>0</v>
      </c>
      <c r="X8" s="87" t="s">
        <v>63</v>
      </c>
      <c r="Y8" s="87">
        <v>762937</v>
      </c>
      <c r="Z8" s="5">
        <f t="shared" ref="Z8:Z34" si="10">IF((Y8-Y7&lt;0), "0",Y8-Y7)</f>
        <v>436</v>
      </c>
      <c r="AA8" s="14">
        <f t="shared" si="7"/>
        <v>2820.92</v>
      </c>
      <c r="AB8" s="87">
        <v>2428321.2000000002</v>
      </c>
      <c r="AC8" s="87">
        <f t="shared" ref="AC8:AC36" si="11">AB7</f>
        <v>2418772.1</v>
      </c>
      <c r="AD8" s="5">
        <f t="shared" si="4"/>
        <v>9549.1000000000931</v>
      </c>
      <c r="AE8" s="84">
        <f t="shared" ref="AE8:AE36" si="12">AD8*0.333415</f>
        <v>3183.8131765000312</v>
      </c>
      <c r="AF8" s="84">
        <f>81805.6-81787.9</f>
        <v>17.700000000011642</v>
      </c>
      <c r="AG8" s="84">
        <f>42769.7-42764</f>
        <v>5.6999999999970896</v>
      </c>
      <c r="AH8" s="84">
        <f>25684.6-25678.2</f>
        <v>6.3999999999978172</v>
      </c>
      <c r="AI8" s="88">
        <f t="shared" ref="AI8:AI36" si="13">AJ7</f>
        <v>40136.9</v>
      </c>
      <c r="AJ8" s="87">
        <v>40149.800000000003</v>
      </c>
      <c r="AK8" s="48">
        <f t="shared" si="8"/>
        <v>12.900000000001455</v>
      </c>
      <c r="AL8" s="90">
        <f t="shared" si="5"/>
        <v>3668.0522555614134</v>
      </c>
      <c r="AM8" s="84">
        <f t="shared" ref="AM8:AM34" si="14">AL8*0.333415</f>
        <v>1222.9836427880086</v>
      </c>
      <c r="AN8" s="5">
        <v>72</v>
      </c>
      <c r="AO8" s="78">
        <f t="shared" si="6"/>
        <v>12309.135416500003</v>
      </c>
    </row>
    <row r="9" spans="1:44" x14ac:dyDescent="0.25">
      <c r="A9" s="79">
        <v>44200</v>
      </c>
      <c r="B9" s="9">
        <v>4792</v>
      </c>
      <c r="C9" s="87">
        <v>2271</v>
      </c>
      <c r="D9" s="87">
        <v>903</v>
      </c>
      <c r="E9" s="87">
        <v>6360</v>
      </c>
      <c r="F9" s="87">
        <v>5251</v>
      </c>
      <c r="G9" s="87">
        <v>2640</v>
      </c>
      <c r="H9" s="87">
        <v>3655</v>
      </c>
      <c r="I9" s="87">
        <v>2395</v>
      </c>
      <c r="J9" s="87">
        <v>6939</v>
      </c>
      <c r="K9" s="87">
        <f t="shared" ref="K9:K34" si="15">SUM(B9:H9)</f>
        <v>25872</v>
      </c>
      <c r="L9" s="14">
        <f t="shared" si="9"/>
        <v>5174.4000000000005</v>
      </c>
      <c r="M9" s="84">
        <f>55622.282-55518.123</f>
        <v>104.15899999999965</v>
      </c>
      <c r="N9" s="84">
        <f>3943.485-3942.193</f>
        <v>1.2919999999999163</v>
      </c>
      <c r="O9" s="84">
        <f>9251.829-9251.232</f>
        <v>0.59699999999975262</v>
      </c>
      <c r="P9" s="82">
        <f>78085.072-78021.22</f>
        <v>63.851999999998952</v>
      </c>
      <c r="Q9" s="84">
        <f>22070.537-22065.778</f>
        <v>4.7590000000018335</v>
      </c>
      <c r="R9" s="84">
        <f t="shared" si="0"/>
        <v>65.740999999998621</v>
      </c>
      <c r="S9" s="84">
        <f t="shared" si="1"/>
        <v>515.40943999998922</v>
      </c>
      <c r="T9" s="84">
        <f t="shared" si="2"/>
        <v>108.91800000000148</v>
      </c>
      <c r="U9" s="84">
        <f t="shared" ref="U9:U37" si="16">T9*7.84</f>
        <v>853.91712000001166</v>
      </c>
      <c r="V9" s="84">
        <f>316185-316060.6</f>
        <v>124.40000000002328</v>
      </c>
      <c r="W9" s="84">
        <f t="shared" si="3"/>
        <v>0</v>
      </c>
      <c r="X9" s="87" t="s">
        <v>63</v>
      </c>
      <c r="Y9" s="87">
        <v>763371</v>
      </c>
      <c r="Z9" s="5">
        <f t="shared" si="10"/>
        <v>434</v>
      </c>
      <c r="AA9" s="14">
        <f t="shared" si="7"/>
        <v>2807.98</v>
      </c>
      <c r="AB9" s="87">
        <v>2437369.9</v>
      </c>
      <c r="AC9" s="87">
        <f t="shared" si="11"/>
        <v>2428321.2000000002</v>
      </c>
      <c r="AD9" s="5">
        <f t="shared" si="4"/>
        <v>9048.6999999997206</v>
      </c>
      <c r="AE9" s="84">
        <f t="shared" si="12"/>
        <v>3016.9723104999071</v>
      </c>
      <c r="AF9" s="84">
        <f>81822.7-81805.6</f>
        <v>17.099999999991269</v>
      </c>
      <c r="AG9" s="84">
        <f>42775.6-42769.7</f>
        <v>5.9000000000014552</v>
      </c>
      <c r="AH9" s="84">
        <f>25690.9-25684.6</f>
        <v>6.3000000000029104</v>
      </c>
      <c r="AI9" s="88">
        <f t="shared" si="13"/>
        <v>40149.800000000003</v>
      </c>
      <c r="AJ9" s="87">
        <v>40161.199999999997</v>
      </c>
      <c r="AK9" s="48">
        <f t="shared" si="8"/>
        <v>11.399999999994179</v>
      </c>
      <c r="AL9" s="90">
        <f t="shared" si="5"/>
        <v>3241.5345514243445</v>
      </c>
      <c r="AM9" s="84">
        <f t="shared" si="14"/>
        <v>1080.7762424631478</v>
      </c>
      <c r="AN9" s="5">
        <v>71</v>
      </c>
      <c r="AO9" s="78">
        <f t="shared" si="6"/>
        <v>11853.269430499919</v>
      </c>
    </row>
    <row r="10" spans="1:44" x14ac:dyDescent="0.25">
      <c r="A10" s="79">
        <v>44201</v>
      </c>
      <c r="B10" s="9">
        <v>5218</v>
      </c>
      <c r="C10" s="87">
        <v>2386</v>
      </c>
      <c r="D10" s="87">
        <v>869</v>
      </c>
      <c r="E10" s="87">
        <v>6542</v>
      </c>
      <c r="F10" s="87">
        <v>5317</v>
      </c>
      <c r="G10" s="87">
        <v>2685</v>
      </c>
      <c r="H10" s="87">
        <v>3682</v>
      </c>
      <c r="I10" s="87">
        <v>2364</v>
      </c>
      <c r="J10" s="87">
        <v>6863</v>
      </c>
      <c r="K10" s="87">
        <f t="shared" si="15"/>
        <v>26699</v>
      </c>
      <c r="L10" s="14">
        <f t="shared" si="9"/>
        <v>5339.8</v>
      </c>
      <c r="M10" s="84">
        <f>55674.21-55622.282</f>
        <v>51.927999999999884</v>
      </c>
      <c r="N10" s="84">
        <f>3944.355-3943.485</f>
        <v>0.86999999999989086</v>
      </c>
      <c r="O10" s="84">
        <f>9252.321-9251.829</f>
        <v>0.49200000000018917</v>
      </c>
      <c r="P10" s="82">
        <f>78151.774-78085.072</f>
        <v>66.702000000004773</v>
      </c>
      <c r="Q10" s="84">
        <f>22077.403-22070.537</f>
        <v>6.8659999999981665</v>
      </c>
      <c r="R10" s="84">
        <f t="shared" si="0"/>
        <v>68.064000000004853</v>
      </c>
      <c r="S10" s="84">
        <f t="shared" si="1"/>
        <v>533.62176000003808</v>
      </c>
      <c r="T10" s="84">
        <f t="shared" si="2"/>
        <v>58.79399999999805</v>
      </c>
      <c r="U10" s="84">
        <f t="shared" si="16"/>
        <v>460.94495999998469</v>
      </c>
      <c r="V10" s="84">
        <f>316297.2-316185</f>
        <v>112.20000000001164</v>
      </c>
      <c r="W10" s="84">
        <f t="shared" si="3"/>
        <v>0</v>
      </c>
      <c r="X10" s="87" t="s">
        <v>63</v>
      </c>
      <c r="Y10" s="87">
        <v>763770</v>
      </c>
      <c r="Z10" s="5">
        <f t="shared" si="10"/>
        <v>399</v>
      </c>
      <c r="AA10" s="14">
        <f t="shared" si="7"/>
        <v>2581.5299999999997</v>
      </c>
      <c r="AB10" s="88">
        <v>2446497</v>
      </c>
      <c r="AC10" s="87">
        <f t="shared" si="11"/>
        <v>2437369.9</v>
      </c>
      <c r="AD10" s="5">
        <f t="shared" si="4"/>
        <v>9127.1000000000931</v>
      </c>
      <c r="AE10" s="84">
        <f t="shared" si="12"/>
        <v>3043.1120465000313</v>
      </c>
      <c r="AF10" s="84">
        <f>81840.4-81822.7</f>
        <v>17.69999999999709</v>
      </c>
      <c r="AG10" s="84">
        <f>42781.4-42775.6</f>
        <v>5.8000000000029104</v>
      </c>
      <c r="AH10" s="84">
        <f>25697-25690.9</f>
        <v>6.0999999999985448</v>
      </c>
      <c r="AI10" s="88">
        <f t="shared" si="13"/>
        <v>40161.199999999997</v>
      </c>
      <c r="AJ10" s="87">
        <v>40172.400000000001</v>
      </c>
      <c r="AK10" s="48">
        <f t="shared" si="8"/>
        <v>11.200000000004366</v>
      </c>
      <c r="AL10" s="90">
        <f t="shared" si="5"/>
        <v>3184.6655242092411</v>
      </c>
      <c r="AM10" s="84">
        <f t="shared" si="14"/>
        <v>1061.8152557542242</v>
      </c>
      <c r="AN10" s="5">
        <v>79</v>
      </c>
      <c r="AO10" s="78">
        <f t="shared" si="6"/>
        <v>11425.387006500016</v>
      </c>
    </row>
    <row r="11" spans="1:44" x14ac:dyDescent="0.25">
      <c r="A11" s="79">
        <v>44202</v>
      </c>
      <c r="B11" s="9">
        <v>5069</v>
      </c>
      <c r="C11" s="87">
        <v>2257</v>
      </c>
      <c r="D11" s="87">
        <v>878</v>
      </c>
      <c r="E11" s="87">
        <v>6623</v>
      </c>
      <c r="F11" s="87">
        <v>5323</v>
      </c>
      <c r="G11" s="87">
        <v>2673</v>
      </c>
      <c r="H11" s="87">
        <v>3615</v>
      </c>
      <c r="I11" s="87">
        <v>2326</v>
      </c>
      <c r="J11" s="87">
        <v>6907</v>
      </c>
      <c r="K11" s="87">
        <f t="shared" si="15"/>
        <v>26438</v>
      </c>
      <c r="L11" s="14">
        <f t="shared" si="9"/>
        <v>5287.6</v>
      </c>
      <c r="M11" s="84">
        <f>55851.2-55674.21</f>
        <v>176.98999999999796</v>
      </c>
      <c r="N11" s="84">
        <f>3945.797-3944.335</f>
        <v>1.4619999999999891</v>
      </c>
      <c r="O11" s="84">
        <f>9253.097-9252.321</f>
        <v>0.77599999999983993</v>
      </c>
      <c r="P11" s="82">
        <f>78217.717-78151.774</f>
        <v>65.942999999999302</v>
      </c>
      <c r="Q11" s="84">
        <f>22085.91-22077.403</f>
        <v>8.5070000000014261</v>
      </c>
      <c r="R11" s="84">
        <f t="shared" si="0"/>
        <v>68.180999999999131</v>
      </c>
      <c r="S11" s="84">
        <f t="shared" si="1"/>
        <v>534.53903999999318</v>
      </c>
      <c r="T11" s="84">
        <f t="shared" si="2"/>
        <v>185.49699999999939</v>
      </c>
      <c r="U11" s="84">
        <f t="shared" si="16"/>
        <v>1454.2964799999952</v>
      </c>
      <c r="V11" s="84">
        <f>316416.7-316297.2</f>
        <v>119.5</v>
      </c>
      <c r="W11" s="84">
        <f t="shared" si="3"/>
        <v>0</v>
      </c>
      <c r="X11" s="87" t="s">
        <v>63</v>
      </c>
      <c r="Y11" s="87">
        <v>764171</v>
      </c>
      <c r="Z11" s="5">
        <f t="shared" si="10"/>
        <v>401</v>
      </c>
      <c r="AA11" s="14">
        <f t="shared" si="7"/>
        <v>2594.4699999999998</v>
      </c>
      <c r="AB11" s="88">
        <v>2456545</v>
      </c>
      <c r="AC11" s="87">
        <f t="shared" si="11"/>
        <v>2446497</v>
      </c>
      <c r="AD11" s="5">
        <f t="shared" si="4"/>
        <v>10048</v>
      </c>
      <c r="AE11" s="84">
        <f t="shared" si="12"/>
        <v>3350.1539200000002</v>
      </c>
      <c r="AF11" s="84">
        <f>81858.6-81840.4</f>
        <v>18.200000000011642</v>
      </c>
      <c r="AG11" s="84">
        <f>42788-42781.4</f>
        <v>6.5999999999985448</v>
      </c>
      <c r="AH11" s="84">
        <f>25704.2-25697.6</f>
        <v>6.6000000000021828</v>
      </c>
      <c r="AI11" s="88">
        <f t="shared" si="13"/>
        <v>40172.400000000001</v>
      </c>
      <c r="AJ11" s="87">
        <v>40184.9</v>
      </c>
      <c r="AK11" s="48">
        <f t="shared" si="8"/>
        <v>12.5</v>
      </c>
      <c r="AL11" s="90">
        <f t="shared" si="5"/>
        <v>3554.3142011249997</v>
      </c>
      <c r="AM11" s="84">
        <f t="shared" si="14"/>
        <v>1185.0616693680918</v>
      </c>
      <c r="AN11" s="5">
        <v>64</v>
      </c>
      <c r="AO11" s="78">
        <f t="shared" si="6"/>
        <v>12686.520399999996</v>
      </c>
    </row>
    <row r="12" spans="1:44" x14ac:dyDescent="0.25">
      <c r="A12" s="79">
        <v>44203</v>
      </c>
      <c r="B12" s="9">
        <v>6214</v>
      </c>
      <c r="C12" s="87">
        <v>3144</v>
      </c>
      <c r="D12" s="87">
        <v>958</v>
      </c>
      <c r="E12" s="87">
        <v>6739</v>
      </c>
      <c r="F12" s="87">
        <v>5483</v>
      </c>
      <c r="G12" s="87">
        <v>2684</v>
      </c>
      <c r="H12" s="87">
        <v>3626</v>
      </c>
      <c r="I12" s="87">
        <v>2374</v>
      </c>
      <c r="J12" s="87">
        <v>7109</v>
      </c>
      <c r="K12" s="87">
        <f t="shared" si="15"/>
        <v>28848</v>
      </c>
      <c r="L12" s="14">
        <f t="shared" si="9"/>
        <v>5769.6</v>
      </c>
      <c r="M12" s="84">
        <f>55987.213-55851.2</f>
        <v>136.01300000000629</v>
      </c>
      <c r="N12" s="84">
        <f>3947.049-3945.797</f>
        <v>1.2519999999999527</v>
      </c>
      <c r="O12" s="84">
        <f>9253.955-9253.097</f>
        <v>0.85800000000017462</v>
      </c>
      <c r="P12" s="82">
        <f>78291.297-78217.72</f>
        <v>73.577000000004773</v>
      </c>
      <c r="Q12" s="84">
        <f>22096.399-22085.91</f>
        <v>10.489000000001397</v>
      </c>
      <c r="R12" s="84">
        <f t="shared" si="0"/>
        <v>75.6870000000049</v>
      </c>
      <c r="S12" s="84">
        <f t="shared" si="1"/>
        <v>593.38608000003842</v>
      </c>
      <c r="T12" s="84">
        <f t="shared" si="2"/>
        <v>146.50200000000768</v>
      </c>
      <c r="U12" s="84">
        <f t="shared" si="16"/>
        <v>1148.5756800000602</v>
      </c>
      <c r="V12" s="84">
        <f>316546.8-316416.7</f>
        <v>130.09999999997672</v>
      </c>
      <c r="W12" s="84">
        <f t="shared" si="3"/>
        <v>0</v>
      </c>
      <c r="X12" s="87" t="s">
        <v>63</v>
      </c>
      <c r="Y12" s="87">
        <v>764622</v>
      </c>
      <c r="Z12" s="5">
        <f t="shared" si="10"/>
        <v>451</v>
      </c>
      <c r="AA12" s="14">
        <f t="shared" si="7"/>
        <v>2917.97</v>
      </c>
      <c r="AB12" s="88">
        <v>2466257</v>
      </c>
      <c r="AC12" s="87">
        <f t="shared" si="11"/>
        <v>2456545</v>
      </c>
      <c r="AD12" s="5">
        <f t="shared" si="4"/>
        <v>9712</v>
      </c>
      <c r="AE12" s="84">
        <f t="shared" si="12"/>
        <v>3238.1264800000004</v>
      </c>
      <c r="AF12" s="84">
        <f>81877.5-81858.6</f>
        <v>18.899999999994179</v>
      </c>
      <c r="AG12" s="84">
        <f>42794.1-42788</f>
        <v>6.0999999999985448</v>
      </c>
      <c r="AH12" s="84">
        <f>25710.8-25704.2</f>
        <v>6.5999999999985448</v>
      </c>
      <c r="AI12" s="88">
        <f t="shared" si="13"/>
        <v>40184.9</v>
      </c>
      <c r="AJ12" s="87">
        <v>40196.300000000003</v>
      </c>
      <c r="AK12" s="48">
        <f t="shared" si="8"/>
        <v>11.400000000001455</v>
      </c>
      <c r="AL12" s="90">
        <f t="shared" si="5"/>
        <v>3241.5345514264136</v>
      </c>
      <c r="AM12" s="84">
        <f t="shared" si="14"/>
        <v>1080.7762424638377</v>
      </c>
      <c r="AN12" s="5">
        <v>64</v>
      </c>
      <c r="AO12" s="78">
        <f t="shared" si="6"/>
        <v>13074.27216000006</v>
      </c>
    </row>
    <row r="13" spans="1:44" x14ac:dyDescent="0.25">
      <c r="A13" s="79">
        <v>44204</v>
      </c>
      <c r="B13" s="9">
        <v>6095</v>
      </c>
      <c r="C13" s="87">
        <v>2860</v>
      </c>
      <c r="D13" s="87">
        <v>908</v>
      </c>
      <c r="E13" s="87">
        <v>6418</v>
      </c>
      <c r="F13" s="87">
        <v>5666</v>
      </c>
      <c r="G13" s="87">
        <v>2596</v>
      </c>
      <c r="H13" s="87">
        <v>3483</v>
      </c>
      <c r="I13" s="87">
        <v>2198</v>
      </c>
      <c r="J13" s="87">
        <v>6802</v>
      </c>
      <c r="K13" s="87">
        <f t="shared" si="15"/>
        <v>28026</v>
      </c>
      <c r="L13" s="14">
        <f t="shared" si="9"/>
        <v>5605.2000000000007</v>
      </c>
      <c r="M13" s="84">
        <f>56112.189-55987.213</f>
        <v>124.97599999999511</v>
      </c>
      <c r="N13" s="84">
        <f>3948.302-3947.049</f>
        <v>1.2530000000001564</v>
      </c>
      <c r="O13" s="84">
        <f>9254.616-9253.955</f>
        <v>0.66100000000005821</v>
      </c>
      <c r="P13" s="82">
        <f>78372.201-78291.297</f>
        <v>80.903999999994994</v>
      </c>
      <c r="Q13" s="84">
        <f>22102.8-22096.399</f>
        <v>6.4009999999980209</v>
      </c>
      <c r="R13" s="84">
        <f t="shared" si="0"/>
        <v>82.817999999995209</v>
      </c>
      <c r="S13" s="84">
        <f t="shared" si="1"/>
        <v>649.29311999996241</v>
      </c>
      <c r="T13" s="84">
        <f t="shared" si="2"/>
        <v>131.37699999999313</v>
      </c>
      <c r="U13" s="84">
        <f t="shared" si="16"/>
        <v>1029.9956799999461</v>
      </c>
      <c r="V13" s="84">
        <f>316684.4-316546.8</f>
        <v>137.60000000003492</v>
      </c>
      <c r="W13" s="84">
        <f t="shared" si="3"/>
        <v>0</v>
      </c>
      <c r="X13" s="87" t="s">
        <v>63</v>
      </c>
      <c r="Y13" s="87">
        <v>765102</v>
      </c>
      <c r="Z13" s="5">
        <f t="shared" si="10"/>
        <v>480</v>
      </c>
      <c r="AA13" s="14">
        <f t="shared" si="7"/>
        <v>3105.6</v>
      </c>
      <c r="AB13" s="88">
        <v>2473960</v>
      </c>
      <c r="AC13" s="87">
        <f t="shared" si="11"/>
        <v>2466257</v>
      </c>
      <c r="AD13" s="5">
        <f t="shared" si="4"/>
        <v>7703</v>
      </c>
      <c r="AE13" s="84">
        <f t="shared" si="12"/>
        <v>2568.2957450000004</v>
      </c>
      <c r="AF13" s="84">
        <f>81892.2-81877.5</f>
        <v>14.69999999999709</v>
      </c>
      <c r="AG13" s="84">
        <f>42799.1-42794.1</f>
        <v>5</v>
      </c>
      <c r="AH13" s="84">
        <f>25716.3-25710.8</f>
        <v>5.5</v>
      </c>
      <c r="AI13" s="88">
        <f t="shared" si="13"/>
        <v>40196.300000000003</v>
      </c>
      <c r="AJ13" s="87">
        <v>40206.300000000003</v>
      </c>
      <c r="AK13" s="48">
        <f t="shared" si="8"/>
        <v>10</v>
      </c>
      <c r="AL13" s="90">
        <f t="shared" si="5"/>
        <v>2843.4513608999996</v>
      </c>
      <c r="AM13" s="84">
        <f t="shared" si="14"/>
        <v>948.04933549447344</v>
      </c>
      <c r="AN13" s="5">
        <v>75</v>
      </c>
      <c r="AO13" s="78">
        <f t="shared" si="6"/>
        <v>12309.091424999948</v>
      </c>
    </row>
    <row r="14" spans="1:44" x14ac:dyDescent="0.25">
      <c r="A14" s="79">
        <v>44205</v>
      </c>
      <c r="B14" s="9">
        <v>6021</v>
      </c>
      <c r="C14" s="87">
        <v>2869</v>
      </c>
      <c r="D14" s="87">
        <v>956</v>
      </c>
      <c r="E14" s="87">
        <v>6385</v>
      </c>
      <c r="F14" s="87">
        <v>5469</v>
      </c>
      <c r="G14" s="87">
        <v>2678</v>
      </c>
      <c r="H14" s="87">
        <v>3583</v>
      </c>
      <c r="I14" s="87">
        <v>2281</v>
      </c>
      <c r="J14" s="87">
        <v>6851</v>
      </c>
      <c r="K14" s="87">
        <f t="shared" si="15"/>
        <v>27961</v>
      </c>
      <c r="L14" s="14">
        <f t="shared" si="9"/>
        <v>5592.2000000000007</v>
      </c>
      <c r="M14" s="84">
        <f>56240.765-56112.189</f>
        <v>128.57600000000093</v>
      </c>
      <c r="N14" s="84">
        <f>3949.739-3948.302</f>
        <v>1.4369999999998981</v>
      </c>
      <c r="O14" s="84">
        <f>9255.255-9254.616</f>
        <v>0.6389999999992142</v>
      </c>
      <c r="P14" s="82">
        <f>78444.657-78372.201</f>
        <v>72.456000000005588</v>
      </c>
      <c r="Q14" s="84">
        <f>22111.709-22102.8</f>
        <v>8.9089999999996508</v>
      </c>
      <c r="R14" s="84">
        <f>N14+O14+P14</f>
        <v>74.5320000000047</v>
      </c>
      <c r="S14" s="84">
        <f t="shared" si="1"/>
        <v>584.33088000003681</v>
      </c>
      <c r="T14" s="84">
        <f t="shared" si="2"/>
        <v>137.48500000000058</v>
      </c>
      <c r="U14" s="84">
        <f t="shared" si="16"/>
        <v>1077.8824000000045</v>
      </c>
      <c r="V14" s="84">
        <f>316813.2-316684.4</f>
        <v>128.79999999998836</v>
      </c>
      <c r="W14" s="84">
        <f t="shared" si="3"/>
        <v>0</v>
      </c>
      <c r="X14" s="87" t="s">
        <v>63</v>
      </c>
      <c r="Y14" s="87">
        <v>765508</v>
      </c>
      <c r="Z14" s="5">
        <f>IF((Y14-Y13&lt;0), "0",Y14-Y13)</f>
        <v>406</v>
      </c>
      <c r="AA14" s="14">
        <f t="shared" si="7"/>
        <v>2626.8199999999997</v>
      </c>
      <c r="AB14" s="88">
        <v>2481553.2999999998</v>
      </c>
      <c r="AC14" s="87">
        <f t="shared" si="11"/>
        <v>2473960</v>
      </c>
      <c r="AD14" s="5">
        <f t="shared" si="4"/>
        <v>7593.2999999998137</v>
      </c>
      <c r="AE14" s="84">
        <f t="shared" si="12"/>
        <v>2531.7201194999379</v>
      </c>
      <c r="AF14" s="84">
        <f>81906.8-81892.2</f>
        <v>14.600000000005821</v>
      </c>
      <c r="AG14" s="84">
        <f>42804.2-42799.1</f>
        <v>5.0999999999985448</v>
      </c>
      <c r="AH14" s="84">
        <f>25721.7-25716.3</f>
        <v>5.4000000000014552</v>
      </c>
      <c r="AI14" s="88">
        <f t="shared" si="13"/>
        <v>40206.300000000003</v>
      </c>
      <c r="AJ14" s="87">
        <v>40215.699999999997</v>
      </c>
      <c r="AK14" s="48">
        <f t="shared" si="8"/>
        <v>9.3999999999941792</v>
      </c>
      <c r="AL14" s="90">
        <f t="shared" si="5"/>
        <v>2672.8442792443448</v>
      </c>
      <c r="AM14" s="84">
        <f t="shared" si="14"/>
        <v>891.16637536425321</v>
      </c>
      <c r="AN14" s="5">
        <v>57</v>
      </c>
      <c r="AO14" s="78">
        <f t="shared" si="6"/>
        <v>11828.622519499942</v>
      </c>
    </row>
    <row r="15" spans="1:44" x14ac:dyDescent="0.25">
      <c r="A15" s="79">
        <v>44206</v>
      </c>
      <c r="B15" s="9">
        <v>5612</v>
      </c>
      <c r="C15" s="87">
        <v>2626</v>
      </c>
      <c r="D15" s="87">
        <v>919</v>
      </c>
      <c r="E15" s="87">
        <v>6283</v>
      </c>
      <c r="F15" s="87">
        <v>5461</v>
      </c>
      <c r="G15" s="87">
        <v>2665</v>
      </c>
      <c r="H15" s="87">
        <v>3539</v>
      </c>
      <c r="I15" s="87">
        <v>2283</v>
      </c>
      <c r="J15" s="87">
        <v>6735</v>
      </c>
      <c r="K15" s="87">
        <f t="shared" si="15"/>
        <v>27105</v>
      </c>
      <c r="L15" s="14">
        <f t="shared" si="9"/>
        <v>5421</v>
      </c>
      <c r="M15" s="84">
        <f>56354.045-56240.765</f>
        <v>113.27999999999884</v>
      </c>
      <c r="N15" s="84">
        <f>3950.786-3949.739</f>
        <v>1.0470000000000255</v>
      </c>
      <c r="O15" s="84">
        <f>9255.925-9255.255</f>
        <v>0.67000000000007276</v>
      </c>
      <c r="P15" s="82">
        <f>78501.764-78444.657</f>
        <v>57.106999999989057</v>
      </c>
      <c r="Q15" s="84">
        <f>22122.418-22111.709</f>
        <v>10.709000000002561</v>
      </c>
      <c r="R15" s="84">
        <f t="shared" si="0"/>
        <v>58.823999999989155</v>
      </c>
      <c r="S15" s="84">
        <f t="shared" si="1"/>
        <v>461.18015999991496</v>
      </c>
      <c r="T15" s="84">
        <f t="shared" si="2"/>
        <v>123.9890000000014</v>
      </c>
      <c r="U15" s="84">
        <f t="shared" si="16"/>
        <v>972.07376000001091</v>
      </c>
      <c r="V15" s="84">
        <f>316928-316813.2</f>
        <v>114.79999999998836</v>
      </c>
      <c r="W15" s="84">
        <f t="shared" si="3"/>
        <v>0</v>
      </c>
      <c r="X15" s="87" t="s">
        <v>63</v>
      </c>
      <c r="Y15" s="87">
        <v>765915</v>
      </c>
      <c r="Z15" s="5">
        <f t="shared" si="10"/>
        <v>407</v>
      </c>
      <c r="AA15" s="14">
        <f t="shared" si="7"/>
        <v>2633.29</v>
      </c>
      <c r="AB15" s="88">
        <v>2488424.2999999998</v>
      </c>
      <c r="AC15" s="87">
        <f t="shared" si="11"/>
        <v>2481553.2999999998</v>
      </c>
      <c r="AD15" s="5">
        <f t="shared" si="4"/>
        <v>6871</v>
      </c>
      <c r="AE15" s="84">
        <f t="shared" si="12"/>
        <v>2290.8944650000003</v>
      </c>
      <c r="AF15" s="84">
        <f>81919.8-81906.8</f>
        <v>13</v>
      </c>
      <c r="AG15" s="84">
        <f>42808.7-42804.2</f>
        <v>4.5</v>
      </c>
      <c r="AH15" s="84">
        <f>25726.9-25721.7</f>
        <v>5.2000000000007276</v>
      </c>
      <c r="AI15" s="88">
        <f t="shared" si="13"/>
        <v>40215.699999999997</v>
      </c>
      <c r="AJ15" s="87">
        <v>40224.300000000003</v>
      </c>
      <c r="AK15" s="48">
        <f t="shared" si="8"/>
        <v>8.6000000000058208</v>
      </c>
      <c r="AL15" s="90">
        <f t="shared" si="5"/>
        <v>2445.3681703756552</v>
      </c>
      <c r="AM15" s="84">
        <f t="shared" si="14"/>
        <v>815.32242852579907</v>
      </c>
      <c r="AN15" s="5">
        <v>60</v>
      </c>
      <c r="AO15" s="89">
        <f t="shared" si="6"/>
        <v>11317.258225000012</v>
      </c>
    </row>
    <row r="16" spans="1:44" x14ac:dyDescent="0.25">
      <c r="A16" s="79">
        <v>44207</v>
      </c>
      <c r="B16" s="9">
        <v>5261</v>
      </c>
      <c r="C16" s="87">
        <v>2525</v>
      </c>
      <c r="D16" s="87">
        <v>899</v>
      </c>
      <c r="E16" s="87">
        <v>6311</v>
      </c>
      <c r="F16" s="87">
        <v>5341</v>
      </c>
      <c r="G16" s="87">
        <v>2578</v>
      </c>
      <c r="H16" s="87">
        <v>3541</v>
      </c>
      <c r="I16" s="87">
        <v>2331</v>
      </c>
      <c r="J16" s="87">
        <v>6732</v>
      </c>
      <c r="K16" s="87">
        <f t="shared" si="15"/>
        <v>26456</v>
      </c>
      <c r="L16" s="14">
        <f t="shared" si="9"/>
        <v>5291.2000000000007</v>
      </c>
      <c r="M16" s="84">
        <f>56478.777-56354.045</f>
        <v>124.73200000000361</v>
      </c>
      <c r="N16" s="84">
        <f>3951.889-3950.786</f>
        <v>1.1030000000000655</v>
      </c>
      <c r="O16" s="84">
        <f>9256.628-9255.925</f>
        <v>0.70300000000133878</v>
      </c>
      <c r="P16" s="82">
        <f>78563.026-78501.764</f>
        <v>61.262000000002445</v>
      </c>
      <c r="Q16" s="84">
        <f>22133.042-22122.418</f>
        <v>10.623999999999796</v>
      </c>
      <c r="R16" s="84">
        <f t="shared" si="0"/>
        <v>63.068000000003849</v>
      </c>
      <c r="S16" s="84">
        <f t="shared" si="1"/>
        <v>494.45312000003014</v>
      </c>
      <c r="T16" s="84">
        <f t="shared" si="2"/>
        <v>135.35600000000341</v>
      </c>
      <c r="U16" s="84">
        <f t="shared" si="16"/>
        <v>1061.1910400000268</v>
      </c>
      <c r="V16" s="84">
        <f>317050.7-316928</f>
        <v>122.70000000001164</v>
      </c>
      <c r="W16" s="84">
        <f t="shared" si="3"/>
        <v>0</v>
      </c>
      <c r="X16" s="87" t="s">
        <v>63</v>
      </c>
      <c r="Y16" s="87">
        <v>766346</v>
      </c>
      <c r="Z16" s="5">
        <f t="shared" si="10"/>
        <v>431</v>
      </c>
      <c r="AA16" s="14">
        <f t="shared" si="7"/>
        <v>2788.5699999999997</v>
      </c>
      <c r="AB16" s="87">
        <v>2496013.2999999998</v>
      </c>
      <c r="AC16" s="87">
        <f t="shared" si="11"/>
        <v>2488424.2999999998</v>
      </c>
      <c r="AD16" s="5">
        <f t="shared" si="4"/>
        <v>7589</v>
      </c>
      <c r="AE16" s="84">
        <f t="shared" si="12"/>
        <v>2530.286435</v>
      </c>
      <c r="AF16" s="84">
        <f>81934.1-81919.8</f>
        <v>14.30000000000291</v>
      </c>
      <c r="AG16" s="84">
        <f>42813.6-42808.7</f>
        <v>4.9000000000014552</v>
      </c>
      <c r="AH16" s="84">
        <f>25731.9-25726.9</f>
        <v>5</v>
      </c>
      <c r="AI16" s="88">
        <f t="shared" si="13"/>
        <v>40224.300000000003</v>
      </c>
      <c r="AJ16" s="88">
        <v>40234</v>
      </c>
      <c r="AK16" s="48">
        <f t="shared" si="8"/>
        <v>9.6999999999970896</v>
      </c>
      <c r="AL16" s="90">
        <f t="shared" si="5"/>
        <v>2758.1478200721722</v>
      </c>
      <c r="AM16" s="84">
        <f t="shared" si="14"/>
        <v>919.60785542936333</v>
      </c>
      <c r="AN16" s="5">
        <v>65</v>
      </c>
      <c r="AO16" s="78">
        <f t="shared" si="6"/>
        <v>11671.247475000027</v>
      </c>
    </row>
    <row r="17" spans="1:41" x14ac:dyDescent="0.25">
      <c r="A17" s="79">
        <v>44208</v>
      </c>
      <c r="B17" s="9">
        <v>5435</v>
      </c>
      <c r="C17" s="87">
        <v>2082</v>
      </c>
      <c r="D17" s="87">
        <v>885</v>
      </c>
      <c r="E17" s="87">
        <v>6387</v>
      </c>
      <c r="F17" s="87">
        <v>5338</v>
      </c>
      <c r="G17" s="87">
        <v>2577</v>
      </c>
      <c r="H17" s="87">
        <v>3570</v>
      </c>
      <c r="I17" s="87">
        <v>2318</v>
      </c>
      <c r="J17" s="87">
        <v>6669</v>
      </c>
      <c r="K17" s="87">
        <f t="shared" si="15"/>
        <v>26274</v>
      </c>
      <c r="L17" s="14">
        <f t="shared" si="9"/>
        <v>5254.8</v>
      </c>
      <c r="M17" s="84">
        <f>56589.34-56478.777</f>
        <v>110.56299999999464</v>
      </c>
      <c r="N17" s="84">
        <f>3952.771-3951.889</f>
        <v>0.88200000000006185</v>
      </c>
      <c r="O17" s="84">
        <f>9257.232-9256.628</f>
        <v>0.60399999999935972</v>
      </c>
      <c r="P17" s="82">
        <f>78626.641-78563.026</f>
        <v>63.615000000005239</v>
      </c>
      <c r="Q17" s="84">
        <f>22143.478-22133.042</f>
        <v>10.435999999997875</v>
      </c>
      <c r="R17" s="84">
        <f t="shared" si="0"/>
        <v>65.10100000000466</v>
      </c>
      <c r="S17" s="84">
        <f t="shared" si="1"/>
        <v>510.39184000003655</v>
      </c>
      <c r="T17" s="84">
        <f t="shared" si="2"/>
        <v>120.99899999999252</v>
      </c>
      <c r="U17" s="84">
        <f t="shared" si="16"/>
        <v>948.63215999994134</v>
      </c>
      <c r="V17" s="84">
        <f>317173.8-317050.7</f>
        <v>123.09999999997672</v>
      </c>
      <c r="W17" s="84">
        <f t="shared" si="3"/>
        <v>0</v>
      </c>
      <c r="X17" s="87" t="s">
        <v>63</v>
      </c>
      <c r="Y17" s="87">
        <v>766767</v>
      </c>
      <c r="Z17" s="5">
        <f t="shared" si="10"/>
        <v>421</v>
      </c>
      <c r="AA17" s="14">
        <f t="shared" si="7"/>
        <v>2723.87</v>
      </c>
      <c r="AB17" s="87">
        <v>2504179.2999999998</v>
      </c>
      <c r="AC17" s="87">
        <f t="shared" si="11"/>
        <v>2496013.2999999998</v>
      </c>
      <c r="AD17" s="5">
        <f t="shared" si="4"/>
        <v>8166</v>
      </c>
      <c r="AE17" s="84">
        <f t="shared" si="12"/>
        <v>2722.66689</v>
      </c>
      <c r="AF17" s="84">
        <f>81949.4-81934.1</f>
        <v>15.299999999988358</v>
      </c>
      <c r="AG17" s="84">
        <f>42818.5-42813.6</f>
        <v>4.9000000000014552</v>
      </c>
      <c r="AH17" s="84">
        <f>25737.5-25731.9</f>
        <v>5.5999999999985448</v>
      </c>
      <c r="AI17" s="88">
        <f t="shared" si="13"/>
        <v>40234</v>
      </c>
      <c r="AJ17" s="88">
        <v>40243.699999999997</v>
      </c>
      <c r="AK17" s="48">
        <f t="shared" si="8"/>
        <v>9.6999999999970896</v>
      </c>
      <c r="AL17" s="90">
        <f t="shared" si="5"/>
        <v>2758.1478200721722</v>
      </c>
      <c r="AM17" s="84">
        <f t="shared" si="14"/>
        <v>919.60785542936333</v>
      </c>
      <c r="AN17" s="5">
        <v>69</v>
      </c>
      <c r="AO17" s="78">
        <f t="shared" si="6"/>
        <v>11649.969049999941</v>
      </c>
    </row>
    <row r="18" spans="1:41" x14ac:dyDescent="0.25">
      <c r="A18" s="79">
        <v>44209</v>
      </c>
      <c r="B18" s="9">
        <v>6243</v>
      </c>
      <c r="C18" s="87">
        <v>2254</v>
      </c>
      <c r="D18" s="87">
        <v>841</v>
      </c>
      <c r="E18" s="87">
        <v>6224</v>
      </c>
      <c r="F18" s="87">
        <v>5517</v>
      </c>
      <c r="G18" s="87">
        <v>2544</v>
      </c>
      <c r="H18" s="87">
        <v>3556</v>
      </c>
      <c r="I18" s="87">
        <v>2347</v>
      </c>
      <c r="J18" s="87">
        <v>7672</v>
      </c>
      <c r="K18" s="87">
        <f t="shared" si="15"/>
        <v>27179</v>
      </c>
      <c r="L18" s="14">
        <f t="shared" si="9"/>
        <v>5435.8</v>
      </c>
      <c r="M18" s="84">
        <f>56704.472-56589.34</f>
        <v>115.13200000000506</v>
      </c>
      <c r="N18" s="84">
        <f>3953.733-3952.771</f>
        <v>0.96199999999998909</v>
      </c>
      <c r="O18" s="84">
        <f>9257.794-9257.232</f>
        <v>0.56199999999989814</v>
      </c>
      <c r="P18" s="82">
        <f>78691.926-78626.641</f>
        <v>65.285000000003492</v>
      </c>
      <c r="Q18" s="84">
        <f>22153.272-22143.478</f>
        <v>9.794000000001688</v>
      </c>
      <c r="R18" s="84">
        <f t="shared" si="0"/>
        <v>66.80900000000338</v>
      </c>
      <c r="S18" s="84">
        <f t="shared" si="1"/>
        <v>523.78256000002648</v>
      </c>
      <c r="T18" s="84">
        <f t="shared" si="2"/>
        <v>124.92600000000675</v>
      </c>
      <c r="U18" s="84">
        <f t="shared" si="16"/>
        <v>979.41984000005289</v>
      </c>
      <c r="V18" s="84">
        <f>317294.6-317173.8</f>
        <v>120.79999999998836</v>
      </c>
      <c r="W18" s="84">
        <f t="shared" si="3"/>
        <v>0</v>
      </c>
      <c r="X18" s="87" t="s">
        <v>63</v>
      </c>
      <c r="Y18" s="87">
        <v>767174</v>
      </c>
      <c r="Z18" s="5">
        <f t="shared" si="10"/>
        <v>407</v>
      </c>
      <c r="AA18" s="14">
        <f t="shared" si="7"/>
        <v>2633.29</v>
      </c>
      <c r="AB18" s="88">
        <v>2512593</v>
      </c>
      <c r="AC18" s="87">
        <f t="shared" si="11"/>
        <v>2504179.2999999998</v>
      </c>
      <c r="AD18" s="5">
        <f t="shared" si="4"/>
        <v>8413.7000000001863</v>
      </c>
      <c r="AE18" s="84">
        <f t="shared" si="12"/>
        <v>2805.2537855000623</v>
      </c>
      <c r="AF18" s="82">
        <f>81965-81949.4</f>
        <v>15.600000000005821</v>
      </c>
      <c r="AG18" s="82">
        <f>42823.2-42818.5</f>
        <v>4.6999999999970896</v>
      </c>
      <c r="AH18" s="82">
        <f>25743.1-25737.5</f>
        <v>5.5999999999985448</v>
      </c>
      <c r="AI18" s="88">
        <f t="shared" si="13"/>
        <v>40243.699999999997</v>
      </c>
      <c r="AJ18" s="88">
        <v>40254.1</v>
      </c>
      <c r="AK18" s="48">
        <f t="shared" si="8"/>
        <v>10.400000000001455</v>
      </c>
      <c r="AL18" s="90">
        <f t="shared" si="5"/>
        <v>2957.1894153364137</v>
      </c>
      <c r="AM18" s="84">
        <f t="shared" si="14"/>
        <v>985.97130891439042</v>
      </c>
      <c r="AN18" s="5">
        <v>54</v>
      </c>
      <c r="AO18" s="78">
        <f t="shared" si="6"/>
        <v>11853.763625500116</v>
      </c>
    </row>
    <row r="19" spans="1:41" x14ac:dyDescent="0.25">
      <c r="A19" s="79">
        <v>44210</v>
      </c>
      <c r="B19" s="9">
        <v>5542</v>
      </c>
      <c r="C19" s="87">
        <v>2716</v>
      </c>
      <c r="D19" s="87">
        <v>896</v>
      </c>
      <c r="E19" s="87">
        <v>6377</v>
      </c>
      <c r="F19" s="87">
        <v>5603</v>
      </c>
      <c r="G19" s="87">
        <v>2432</v>
      </c>
      <c r="H19" s="87">
        <v>3552</v>
      </c>
      <c r="I19" s="87">
        <v>2368</v>
      </c>
      <c r="J19" s="87">
        <v>7624</v>
      </c>
      <c r="K19" s="87">
        <f t="shared" si="15"/>
        <v>27118</v>
      </c>
      <c r="L19" s="14">
        <f t="shared" si="9"/>
        <v>5423.6</v>
      </c>
      <c r="M19" s="84">
        <f>56825.575-56704.472</f>
        <v>121.10299999999552</v>
      </c>
      <c r="N19" s="84">
        <f>3955.122-3953.733</f>
        <v>1.3889999999996689</v>
      </c>
      <c r="O19" s="84">
        <f>9258.305-9257.794</f>
        <v>0.51100000000042201</v>
      </c>
      <c r="P19" s="82">
        <f>78761.728-78691.926</f>
        <v>69.801999999996042</v>
      </c>
      <c r="Q19" s="84">
        <f>22163.257-22153.272</f>
        <v>9.9850000000005821</v>
      </c>
      <c r="R19" s="84">
        <f t="shared" si="0"/>
        <v>71.701999999996133</v>
      </c>
      <c r="S19" s="84">
        <f t="shared" si="1"/>
        <v>562.14367999996966</v>
      </c>
      <c r="T19" s="84">
        <f t="shared" si="2"/>
        <v>131.0879999999961</v>
      </c>
      <c r="U19" s="84">
        <f t="shared" si="16"/>
        <v>1027.7299199999693</v>
      </c>
      <c r="V19" s="84">
        <f>317417.6-317294.6</f>
        <v>123</v>
      </c>
      <c r="W19" s="84">
        <f t="shared" si="3"/>
        <v>0</v>
      </c>
      <c r="X19" s="87" t="s">
        <v>63</v>
      </c>
      <c r="Y19" s="87">
        <v>767603</v>
      </c>
      <c r="Z19" s="5">
        <f t="shared" si="10"/>
        <v>429</v>
      </c>
      <c r="AA19" s="14">
        <f t="shared" si="7"/>
        <v>2775.63</v>
      </c>
      <c r="AB19" s="88">
        <v>2520705.9</v>
      </c>
      <c r="AC19" s="87">
        <f>AB18</f>
        <v>2512593</v>
      </c>
      <c r="AD19" s="5">
        <f t="shared" si="4"/>
        <v>8112.8999999999069</v>
      </c>
      <c r="AE19" s="84">
        <f t="shared" si="12"/>
        <v>2704.9625534999691</v>
      </c>
      <c r="AF19" s="84">
        <f>81980.5-81965</f>
        <v>15.5</v>
      </c>
      <c r="AG19" s="84">
        <f>42827.4-42823.2</f>
        <v>4.2000000000043656</v>
      </c>
      <c r="AH19" s="84">
        <f>25748.4-25743.1</f>
        <v>5.3000000000029104</v>
      </c>
      <c r="AI19" s="88">
        <f t="shared" si="13"/>
        <v>40254.1</v>
      </c>
      <c r="AJ19" s="88">
        <v>40264.199999999997</v>
      </c>
      <c r="AK19" s="48">
        <f t="shared" si="8"/>
        <v>10.099999999998545</v>
      </c>
      <c r="AL19" s="90">
        <f t="shared" si="5"/>
        <v>2871.8858745085859</v>
      </c>
      <c r="AM19" s="84">
        <f t="shared" si="14"/>
        <v>957.52982884928019</v>
      </c>
      <c r="AN19" s="5">
        <v>67</v>
      </c>
      <c r="AO19" s="78">
        <f t="shared" si="6"/>
        <v>11931.922473499937</v>
      </c>
    </row>
    <row r="20" spans="1:41" x14ac:dyDescent="0.25">
      <c r="A20" s="79">
        <v>44211</v>
      </c>
      <c r="B20" s="9">
        <v>5600</v>
      </c>
      <c r="C20" s="87">
        <v>3032</v>
      </c>
      <c r="D20" s="87">
        <v>967</v>
      </c>
      <c r="E20" s="87">
        <v>6595</v>
      </c>
      <c r="F20" s="87">
        <v>5621</v>
      </c>
      <c r="G20" s="87">
        <v>2476</v>
      </c>
      <c r="H20" s="87">
        <v>3563</v>
      </c>
      <c r="I20" s="87">
        <v>2380</v>
      </c>
      <c r="J20" s="87">
        <v>6308</v>
      </c>
      <c r="K20" s="87">
        <f t="shared" si="15"/>
        <v>27854</v>
      </c>
      <c r="L20" s="14">
        <f t="shared" si="9"/>
        <v>5570.8</v>
      </c>
      <c r="M20" s="84">
        <f>56956.272-56825.575</f>
        <v>130.69700000000012</v>
      </c>
      <c r="N20" s="84">
        <f>3956.227-3955.122</f>
        <v>1.1050000000000182</v>
      </c>
      <c r="O20" s="84">
        <f>9258.99-9258.305</f>
        <v>0.68499999999949068</v>
      </c>
      <c r="P20" s="84">
        <f>78839.235-78761.728</f>
        <v>77.506999999997788</v>
      </c>
      <c r="Q20" s="84">
        <f>22171.119-22163.257</f>
        <v>7.8619999999973516</v>
      </c>
      <c r="R20" s="84">
        <f t="shared" si="0"/>
        <v>79.296999999997297</v>
      </c>
      <c r="S20" s="84">
        <f t="shared" si="1"/>
        <v>621.68847999997877</v>
      </c>
      <c r="T20" s="84">
        <f t="shared" si="2"/>
        <v>138.55899999999747</v>
      </c>
      <c r="U20" s="84">
        <f t="shared" si="16"/>
        <v>1086.3025599999801</v>
      </c>
      <c r="V20" s="84">
        <f>317535.8-317417.6</f>
        <v>118.20000000001164</v>
      </c>
      <c r="W20" s="84">
        <f t="shared" si="3"/>
        <v>0</v>
      </c>
      <c r="X20" s="87" t="s">
        <v>63</v>
      </c>
      <c r="Y20" s="87">
        <v>768068</v>
      </c>
      <c r="Z20" s="5">
        <f t="shared" si="10"/>
        <v>465</v>
      </c>
      <c r="AA20" s="14">
        <f t="shared" si="7"/>
        <v>3008.5499999999997</v>
      </c>
      <c r="AB20" s="88">
        <v>2528857.7000000002</v>
      </c>
      <c r="AC20" s="87">
        <f t="shared" si="11"/>
        <v>2520705.9</v>
      </c>
      <c r="AD20" s="5">
        <f t="shared" si="4"/>
        <v>8151.8000000002794</v>
      </c>
      <c r="AE20" s="84">
        <f t="shared" si="12"/>
        <v>2717.9323970000933</v>
      </c>
      <c r="AF20" s="84">
        <f>81995.7-81980.5</f>
        <v>15.19999999999709</v>
      </c>
      <c r="AG20" s="84">
        <f>42831.7-42827.4</f>
        <v>4.2999999999956344</v>
      </c>
      <c r="AH20" s="84">
        <f>25753.8-25748.4</f>
        <v>5.3999999999978172</v>
      </c>
      <c r="AI20" s="88">
        <f t="shared" si="13"/>
        <v>40264.199999999997</v>
      </c>
      <c r="AJ20" s="88">
        <v>40274.199999999997</v>
      </c>
      <c r="AK20" s="48">
        <f t="shared" si="8"/>
        <v>10</v>
      </c>
      <c r="AL20" s="90">
        <f t="shared" si="5"/>
        <v>2843.4513608999996</v>
      </c>
      <c r="AM20" s="84">
        <f t="shared" si="14"/>
        <v>948.04933549447344</v>
      </c>
      <c r="AN20" s="5">
        <v>61</v>
      </c>
      <c r="AO20" s="78">
        <f t="shared" si="6"/>
        <v>12383.584957000074</v>
      </c>
    </row>
    <row r="21" spans="1:41" x14ac:dyDescent="0.25">
      <c r="A21" s="79">
        <v>44212</v>
      </c>
      <c r="B21" s="9">
        <v>5121</v>
      </c>
      <c r="C21" s="87">
        <v>2628</v>
      </c>
      <c r="D21" s="87">
        <v>902</v>
      </c>
      <c r="E21" s="87">
        <v>6518</v>
      </c>
      <c r="F21" s="87">
        <v>5305</v>
      </c>
      <c r="G21" s="87">
        <v>2440</v>
      </c>
      <c r="H21" s="87">
        <v>3539</v>
      </c>
      <c r="I21" s="87">
        <v>2383</v>
      </c>
      <c r="J21" s="87">
        <v>6740</v>
      </c>
      <c r="K21" s="87">
        <f t="shared" si="15"/>
        <v>26453</v>
      </c>
      <c r="L21" s="14">
        <f t="shared" si="9"/>
        <v>5290.6</v>
      </c>
      <c r="M21" s="84">
        <f>57065.839-56956.272</f>
        <v>109.56700000000274</v>
      </c>
      <c r="N21" s="84">
        <f>3957.599-3956.227</f>
        <v>1.3720000000002983</v>
      </c>
      <c r="O21" s="84">
        <f>9259.75-9258.99</f>
        <v>0.76000000000021828</v>
      </c>
      <c r="P21" s="82">
        <f>78908.207-78839.235</f>
        <v>68.971999999994296</v>
      </c>
      <c r="Q21" s="84">
        <f>22180.853-22171.119</f>
        <v>9.7340000000003783</v>
      </c>
      <c r="R21" s="84">
        <f t="shared" si="0"/>
        <v>71.103999999994812</v>
      </c>
      <c r="S21" s="84">
        <f t="shared" si="1"/>
        <v>557.45535999995934</v>
      </c>
      <c r="T21" s="84">
        <f t="shared" si="2"/>
        <v>119.30100000000311</v>
      </c>
      <c r="U21" s="84">
        <f t="shared" si="16"/>
        <v>935.31984000002444</v>
      </c>
      <c r="V21" s="84">
        <f>317658.5-317535.8</f>
        <v>122.70000000001164</v>
      </c>
      <c r="W21" s="84">
        <f t="shared" si="3"/>
        <v>0</v>
      </c>
      <c r="X21" s="87" t="s">
        <v>63</v>
      </c>
      <c r="Y21" s="87">
        <v>768481</v>
      </c>
      <c r="Z21" s="5">
        <f t="shared" si="10"/>
        <v>413</v>
      </c>
      <c r="AA21" s="14">
        <f t="shared" si="7"/>
        <v>2672.1099999999997</v>
      </c>
      <c r="AB21" s="88">
        <v>2536641.7000000002</v>
      </c>
      <c r="AC21" s="87">
        <f t="shared" si="11"/>
        <v>2528857.7000000002</v>
      </c>
      <c r="AD21" s="5">
        <f t="shared" si="4"/>
        <v>7784</v>
      </c>
      <c r="AE21" s="84">
        <f t="shared" si="12"/>
        <v>2595.3023600000001</v>
      </c>
      <c r="AF21" s="84">
        <f>82010.1-81995.7</f>
        <v>14.400000000008731</v>
      </c>
      <c r="AG21" s="84">
        <f>42836-42831.7</f>
        <v>4.3000000000029104</v>
      </c>
      <c r="AH21" s="84">
        <f>25759.1-25753.8</f>
        <v>5.2999999999992724</v>
      </c>
      <c r="AI21" s="88">
        <f t="shared" si="13"/>
        <v>40274.199999999997</v>
      </c>
      <c r="AJ21" s="88">
        <v>40284.6</v>
      </c>
      <c r="AK21" s="48">
        <f t="shared" si="8"/>
        <v>10.400000000001455</v>
      </c>
      <c r="AL21" s="90">
        <f t="shared" si="5"/>
        <v>2957.1894153364137</v>
      </c>
      <c r="AM21" s="84">
        <f t="shared" si="14"/>
        <v>985.97130891439042</v>
      </c>
      <c r="AN21" s="5">
        <v>43</v>
      </c>
      <c r="AO21" s="78">
        <f t="shared" si="6"/>
        <v>11493.332200000024</v>
      </c>
    </row>
    <row r="22" spans="1:41" x14ac:dyDescent="0.25">
      <c r="A22" s="79">
        <v>44213</v>
      </c>
      <c r="B22" s="9">
        <v>5028</v>
      </c>
      <c r="C22" s="87">
        <v>2803</v>
      </c>
      <c r="D22" s="87">
        <v>842</v>
      </c>
      <c r="E22" s="87">
        <v>6701</v>
      </c>
      <c r="F22" s="87">
        <v>5264</v>
      </c>
      <c r="G22" s="87">
        <v>2459</v>
      </c>
      <c r="H22" s="87">
        <v>3554</v>
      </c>
      <c r="I22" s="87">
        <v>2410</v>
      </c>
      <c r="J22" s="87">
        <v>6570</v>
      </c>
      <c r="K22" s="87">
        <f t="shared" si="15"/>
        <v>26651</v>
      </c>
      <c r="L22" s="14">
        <f t="shared" si="9"/>
        <v>5330.2000000000007</v>
      </c>
      <c r="M22" s="84">
        <f>57181.125-57065.839</f>
        <v>115.28600000000006</v>
      </c>
      <c r="N22" s="84">
        <f>3958.968-3957.599</f>
        <v>1.3689999999996871</v>
      </c>
      <c r="O22" s="84">
        <f>9260.233-9259.75</f>
        <v>0.48300000000017462</v>
      </c>
      <c r="P22" s="82">
        <f>78969.024-78908.207</f>
        <v>60.817000000010012</v>
      </c>
      <c r="Q22" s="84">
        <f>22190.708-22180.853</f>
        <v>9.8549999999995634</v>
      </c>
      <c r="R22" s="84">
        <f t="shared" si="0"/>
        <v>62.669000000009873</v>
      </c>
      <c r="S22" s="84">
        <f t="shared" si="1"/>
        <v>491.3249600000774</v>
      </c>
      <c r="T22" s="84">
        <f t="shared" si="2"/>
        <v>125.14099999999962</v>
      </c>
      <c r="U22" s="84">
        <f t="shared" si="16"/>
        <v>981.10543999999697</v>
      </c>
      <c r="V22" s="84">
        <f>317753.6-317658.5</f>
        <v>95.099999999976717</v>
      </c>
      <c r="W22" s="84">
        <f t="shared" si="3"/>
        <v>0</v>
      </c>
      <c r="X22" s="87" t="s">
        <v>63</v>
      </c>
      <c r="Y22" s="87">
        <v>768873</v>
      </c>
      <c r="Z22" s="5">
        <f t="shared" si="10"/>
        <v>392</v>
      </c>
      <c r="AA22" s="14">
        <f t="shared" si="7"/>
        <v>2536.2399999999998</v>
      </c>
      <c r="AB22" s="88">
        <v>2544371.2000000002</v>
      </c>
      <c r="AC22" s="87">
        <f t="shared" si="11"/>
        <v>2536641.7000000002</v>
      </c>
      <c r="AD22" s="5">
        <f t="shared" si="4"/>
        <v>7729.5</v>
      </c>
      <c r="AE22" s="84">
        <f t="shared" si="12"/>
        <v>2577.1312425000001</v>
      </c>
      <c r="AF22" s="84">
        <f>82024.6-82010.1</f>
        <v>14.5</v>
      </c>
      <c r="AG22" s="84">
        <f>42840.3-42836</f>
        <v>4.3000000000029104</v>
      </c>
      <c r="AH22" s="84">
        <f>25764.5-25759.1</f>
        <v>5.4000000000014552</v>
      </c>
      <c r="AI22" s="88">
        <f t="shared" si="13"/>
        <v>40284.6</v>
      </c>
      <c r="AJ22" s="88">
        <v>40294.9</v>
      </c>
      <c r="AK22" s="48">
        <f t="shared" si="8"/>
        <v>10.30000000000291</v>
      </c>
      <c r="AL22" s="90">
        <f t="shared" si="5"/>
        <v>2928.7549017278275</v>
      </c>
      <c r="AM22" s="84">
        <f t="shared" si="14"/>
        <v>976.49081555958367</v>
      </c>
      <c r="AN22" s="5">
        <v>65</v>
      </c>
      <c r="AO22" s="78">
        <f t="shared" si="6"/>
        <v>11424.676682499998</v>
      </c>
    </row>
    <row r="23" spans="1:41" x14ac:dyDescent="0.25">
      <c r="A23" s="79">
        <v>44214</v>
      </c>
      <c r="B23" s="9">
        <v>5067</v>
      </c>
      <c r="C23" s="87">
        <v>2485</v>
      </c>
      <c r="D23" s="87">
        <v>836</v>
      </c>
      <c r="E23" s="87">
        <v>6714</v>
      </c>
      <c r="F23" s="87">
        <v>5497</v>
      </c>
      <c r="G23" s="87">
        <v>2507</v>
      </c>
      <c r="H23" s="87">
        <v>3604</v>
      </c>
      <c r="I23" s="87">
        <v>2423</v>
      </c>
      <c r="J23" s="87">
        <v>6788</v>
      </c>
      <c r="K23" s="87">
        <f t="shared" si="15"/>
        <v>26710</v>
      </c>
      <c r="L23" s="14">
        <f t="shared" si="9"/>
        <v>5342</v>
      </c>
      <c r="M23" s="84">
        <f>57297.233-57181.125</f>
        <v>116.10800000000017</v>
      </c>
      <c r="N23" s="84">
        <f>3960.121-3958.968</f>
        <v>1.1530000000002474</v>
      </c>
      <c r="O23" s="84">
        <f>9260.83-9260.233</f>
        <v>0.59699999999975262</v>
      </c>
      <c r="P23" s="82">
        <f>79030.191-78969.024</f>
        <v>61.167000000001281</v>
      </c>
      <c r="Q23" s="84">
        <f>22200.179-22190.708</f>
        <v>9.4710000000013679</v>
      </c>
      <c r="R23" s="84">
        <f t="shared" si="0"/>
        <v>62.917000000001281</v>
      </c>
      <c r="S23" s="84">
        <f t="shared" si="1"/>
        <v>493.26928000001004</v>
      </c>
      <c r="T23" s="84">
        <f t="shared" si="2"/>
        <v>125.57900000000154</v>
      </c>
      <c r="U23" s="84">
        <f t="shared" si="16"/>
        <v>984.53936000001204</v>
      </c>
      <c r="V23" s="84">
        <f>317871.7-317753.6</f>
        <v>118.10000000003492</v>
      </c>
      <c r="W23" s="84">
        <f t="shared" si="3"/>
        <v>0</v>
      </c>
      <c r="X23" s="87" t="s">
        <v>63</v>
      </c>
      <c r="Y23" s="87">
        <v>769298</v>
      </c>
      <c r="Z23" s="5">
        <f t="shared" si="10"/>
        <v>425</v>
      </c>
      <c r="AA23" s="14">
        <f t="shared" si="7"/>
        <v>2749.75</v>
      </c>
      <c r="AB23" s="88">
        <v>2553672.1</v>
      </c>
      <c r="AC23" s="87">
        <f t="shared" si="11"/>
        <v>2544371.2000000002</v>
      </c>
      <c r="AD23" s="5">
        <f t="shared" si="4"/>
        <v>9300.8999999999069</v>
      </c>
      <c r="AE23" s="84">
        <f t="shared" si="12"/>
        <v>3101.0595734999692</v>
      </c>
      <c r="AF23" s="84">
        <f>82042-82024.6</f>
        <v>17.399999999994179</v>
      </c>
      <c r="AG23" s="84">
        <f>42845.6-42840.3</f>
        <v>5.2999999999956344</v>
      </c>
      <c r="AH23" s="84">
        <f>25770.6-25764.5</f>
        <v>6.0999999999985448</v>
      </c>
      <c r="AI23" s="88">
        <f t="shared" si="13"/>
        <v>40294.9</v>
      </c>
      <c r="AJ23" s="88">
        <v>40307.300000000003</v>
      </c>
      <c r="AK23" s="48">
        <f t="shared" si="8"/>
        <v>12.400000000001455</v>
      </c>
      <c r="AL23" s="90">
        <f t="shared" si="5"/>
        <v>3525.8796875164135</v>
      </c>
      <c r="AM23" s="84">
        <f t="shared" si="14"/>
        <v>1175.5811760132851</v>
      </c>
      <c r="AN23" s="5">
        <v>73</v>
      </c>
      <c r="AO23" s="78">
        <f t="shared" si="6"/>
        <v>12177.348933499981</v>
      </c>
    </row>
    <row r="24" spans="1:41" x14ac:dyDescent="0.25">
      <c r="A24" s="79">
        <v>44215</v>
      </c>
      <c r="B24" s="9">
        <v>5188</v>
      </c>
      <c r="C24" s="87">
        <v>2361</v>
      </c>
      <c r="D24" s="87">
        <v>833</v>
      </c>
      <c r="E24" s="87">
        <v>6257</v>
      </c>
      <c r="F24" s="87">
        <v>5291</v>
      </c>
      <c r="G24" s="87">
        <v>2432</v>
      </c>
      <c r="H24" s="87">
        <v>3543</v>
      </c>
      <c r="I24" s="87">
        <v>2422</v>
      </c>
      <c r="J24" s="87">
        <v>6612</v>
      </c>
      <c r="K24" s="87">
        <f t="shared" si="15"/>
        <v>25905</v>
      </c>
      <c r="L24" s="14">
        <f t="shared" si="9"/>
        <v>5181</v>
      </c>
      <c r="M24" s="84">
        <f>57414.619-57297.233</f>
        <v>117.3859999999986</v>
      </c>
      <c r="N24" s="84">
        <f>3961.003-3960.121</f>
        <v>0.88200000000006185</v>
      </c>
      <c r="O24" s="84">
        <f>9261.3-9260.83</f>
        <v>0.46999999999934516</v>
      </c>
      <c r="P24" s="82">
        <f>79093.504-79030.191</f>
        <v>63.312999999994645</v>
      </c>
      <c r="Q24" s="84">
        <f>22209.093-22200.179</f>
        <v>8.9140000000006694</v>
      </c>
      <c r="R24" s="84">
        <f t="shared" si="0"/>
        <v>64.664999999994052</v>
      </c>
      <c r="S24" s="84">
        <f t="shared" si="1"/>
        <v>506.97359999995336</v>
      </c>
      <c r="T24" s="84">
        <f t="shared" si="2"/>
        <v>126.29999999999927</v>
      </c>
      <c r="U24" s="84">
        <f t="shared" si="16"/>
        <v>990.19199999999432</v>
      </c>
      <c r="V24" s="84">
        <f>317996.5-317871.7</f>
        <v>124.79999999998836</v>
      </c>
      <c r="W24" s="84">
        <f t="shared" si="3"/>
        <v>0</v>
      </c>
      <c r="X24" s="87" t="s">
        <v>63</v>
      </c>
      <c r="Y24" s="87">
        <v>769720</v>
      </c>
      <c r="Z24" s="5">
        <f t="shared" si="10"/>
        <v>422</v>
      </c>
      <c r="AA24" s="14">
        <f t="shared" si="7"/>
        <v>2730.3399999999997</v>
      </c>
      <c r="AB24" s="88">
        <v>2564331.4</v>
      </c>
      <c r="AC24" s="87">
        <f t="shared" si="11"/>
        <v>2553672.1</v>
      </c>
      <c r="AD24" s="5">
        <f t="shared" si="4"/>
        <v>10659.299999999814</v>
      </c>
      <c r="AE24" s="84">
        <f t="shared" si="12"/>
        <v>3553.9705094999381</v>
      </c>
      <c r="AF24" s="84">
        <f>82061.6-82042</f>
        <v>19.600000000005821</v>
      </c>
      <c r="AG24" s="84">
        <f>42851.4-42845.6</f>
        <v>5.8000000000029104</v>
      </c>
      <c r="AH24" s="84">
        <f>25777.4-25770.6</f>
        <v>6.8000000000029104</v>
      </c>
      <c r="AI24" s="88">
        <f t="shared" si="13"/>
        <v>40307.300000000003</v>
      </c>
      <c r="AJ24" s="87">
        <v>40322.199999999997</v>
      </c>
      <c r="AK24" s="48">
        <f t="shared" si="8"/>
        <v>14.899999999994179</v>
      </c>
      <c r="AL24" s="90">
        <f t="shared" si="5"/>
        <v>4236.742527739345</v>
      </c>
      <c r="AM24" s="84">
        <f t="shared" si="14"/>
        <v>1412.5935098862137</v>
      </c>
      <c r="AN24" s="5">
        <v>65</v>
      </c>
      <c r="AO24" s="78">
        <f t="shared" si="6"/>
        <v>12455.502509499933</v>
      </c>
    </row>
    <row r="25" spans="1:41" x14ac:dyDescent="0.25">
      <c r="A25" s="79">
        <v>44216</v>
      </c>
      <c r="B25" s="9">
        <v>5328</v>
      </c>
      <c r="C25" s="87">
        <v>2093</v>
      </c>
      <c r="D25" s="87">
        <v>885</v>
      </c>
      <c r="E25" s="87">
        <v>6230</v>
      </c>
      <c r="F25" s="87">
        <v>5451</v>
      </c>
      <c r="G25" s="87">
        <v>2489</v>
      </c>
      <c r="H25" s="87">
        <v>3569</v>
      </c>
      <c r="I25" s="87">
        <v>2455</v>
      </c>
      <c r="J25" s="87">
        <v>6705</v>
      </c>
      <c r="K25" s="87">
        <f t="shared" si="15"/>
        <v>26045</v>
      </c>
      <c r="L25" s="14">
        <f t="shared" si="9"/>
        <v>5209</v>
      </c>
      <c r="M25" s="84">
        <f>57525.849-57414.619</f>
        <v>111.2300000000032</v>
      </c>
      <c r="N25" s="84">
        <f>3961.995-3961.003</f>
        <v>0.99199999999973443</v>
      </c>
      <c r="O25" s="84">
        <f>9261.944-9261.3</f>
        <v>0.64400000000023283</v>
      </c>
      <c r="P25" s="82">
        <f>79165.291-79093.504</f>
        <v>71.786999999996624</v>
      </c>
      <c r="Q25" s="84">
        <f>22218.031-22209.093</f>
        <v>8.9379999999982829</v>
      </c>
      <c r="R25" s="84">
        <f t="shared" si="0"/>
        <v>73.422999999996591</v>
      </c>
      <c r="S25" s="84">
        <f t="shared" si="1"/>
        <v>575.63631999997324</v>
      </c>
      <c r="T25" s="84">
        <f t="shared" si="2"/>
        <v>120.16800000000148</v>
      </c>
      <c r="U25" s="84">
        <f t="shared" si="16"/>
        <v>942.1171200000116</v>
      </c>
      <c r="V25" s="84">
        <f>318121.8-317996.5</f>
        <v>125.29999999998836</v>
      </c>
      <c r="W25" s="84">
        <f t="shared" si="3"/>
        <v>0</v>
      </c>
      <c r="X25" s="87" t="s">
        <v>63</v>
      </c>
      <c r="Y25" s="87">
        <v>770145</v>
      </c>
      <c r="Z25" s="5">
        <f t="shared" si="10"/>
        <v>425</v>
      </c>
      <c r="AA25" s="14">
        <f t="shared" si="7"/>
        <v>2749.75</v>
      </c>
      <c r="AB25" s="88">
        <v>2574536.2999999998</v>
      </c>
      <c r="AC25" s="87">
        <f t="shared" si="11"/>
        <v>2564331.4</v>
      </c>
      <c r="AD25" s="5">
        <f t="shared" si="4"/>
        <v>10204.899999999907</v>
      </c>
      <c r="AE25" s="84">
        <f t="shared" si="12"/>
        <v>3402.466733499969</v>
      </c>
      <c r="AF25" s="84">
        <f>82079.7-82061.6</f>
        <v>18.099999999991269</v>
      </c>
      <c r="AG25" s="84">
        <f>42857.3-42851.4</f>
        <v>5.9000000000014552</v>
      </c>
      <c r="AH25" s="84">
        <f>25784.2-25777.4</f>
        <v>6.7999999999992724</v>
      </c>
      <c r="AI25" s="88">
        <f t="shared" si="13"/>
        <v>40322.199999999997</v>
      </c>
      <c r="AJ25" s="87">
        <v>40335.599999999999</v>
      </c>
      <c r="AK25" s="48">
        <f t="shared" si="8"/>
        <v>13.400000000001455</v>
      </c>
      <c r="AL25" s="90">
        <f t="shared" si="5"/>
        <v>3810.2248236064133</v>
      </c>
      <c r="AM25" s="84">
        <f t="shared" si="14"/>
        <v>1270.3861095627324</v>
      </c>
      <c r="AN25" s="5">
        <v>62</v>
      </c>
      <c r="AO25" s="78">
        <f t="shared" si="6"/>
        <v>12303.33385349998</v>
      </c>
    </row>
    <row r="26" spans="1:41" x14ac:dyDescent="0.25">
      <c r="A26" s="79">
        <v>44217</v>
      </c>
      <c r="B26" s="9">
        <v>5707</v>
      </c>
      <c r="C26" s="87">
        <v>2172</v>
      </c>
      <c r="D26" s="87">
        <v>928</v>
      </c>
      <c r="E26" s="87">
        <v>6269</v>
      </c>
      <c r="F26" s="87">
        <v>5694</v>
      </c>
      <c r="G26" s="87">
        <v>2516</v>
      </c>
      <c r="H26" s="87">
        <v>3581</v>
      </c>
      <c r="I26" s="87">
        <v>2467</v>
      </c>
      <c r="J26" s="87">
        <v>7059</v>
      </c>
      <c r="K26" s="87">
        <f t="shared" si="15"/>
        <v>26867</v>
      </c>
      <c r="L26" s="14">
        <f t="shared" si="9"/>
        <v>5373.4000000000005</v>
      </c>
      <c r="M26" s="84">
        <f>57641.999-57525.849</f>
        <v>116.15000000000146</v>
      </c>
      <c r="N26" s="84">
        <f>3964.113-3961.995</f>
        <v>2.1179999999999382</v>
      </c>
      <c r="O26" s="84">
        <f>9262.627-9261.944</f>
        <v>0.68300000000090222</v>
      </c>
      <c r="P26" s="82">
        <f>79235.496-79165.291</f>
        <v>70.205000000001746</v>
      </c>
      <c r="Q26" s="84">
        <f>22226.955-22218.031</f>
        <v>8.9240000000027067</v>
      </c>
      <c r="R26" s="84">
        <f t="shared" si="0"/>
        <v>73.006000000002587</v>
      </c>
      <c r="S26" s="84">
        <f t="shared" si="1"/>
        <v>572.36704000002032</v>
      </c>
      <c r="T26" s="84">
        <f t="shared" si="2"/>
        <v>125.07400000000416</v>
      </c>
      <c r="U26" s="84">
        <f t="shared" si="16"/>
        <v>980.58016000003261</v>
      </c>
      <c r="V26" s="84">
        <f>318242.7-318121.8</f>
        <v>120.90000000002328</v>
      </c>
      <c r="W26" s="84">
        <f t="shared" si="3"/>
        <v>0</v>
      </c>
      <c r="X26" s="87" t="s">
        <v>63</v>
      </c>
      <c r="Y26" s="87">
        <v>770589</v>
      </c>
      <c r="Z26" s="5">
        <f t="shared" si="10"/>
        <v>444</v>
      </c>
      <c r="AA26" s="14">
        <f t="shared" si="7"/>
        <v>2872.68</v>
      </c>
      <c r="AB26" s="88">
        <v>2583817.7000000002</v>
      </c>
      <c r="AC26" s="87">
        <f t="shared" si="11"/>
        <v>2574536.2999999998</v>
      </c>
      <c r="AD26" s="5">
        <f t="shared" si="4"/>
        <v>9281.4000000003725</v>
      </c>
      <c r="AE26" s="84">
        <f t="shared" si="12"/>
        <v>3094.5579810001245</v>
      </c>
      <c r="AF26" s="84">
        <f>82096.6-82079.7</f>
        <v>16.900000000008731</v>
      </c>
      <c r="AG26" s="84">
        <f>42862.5-42857.3</f>
        <v>5.1999999999970896</v>
      </c>
      <c r="AH26" s="84">
        <f>25790.7-25784.2</f>
        <v>6.5</v>
      </c>
      <c r="AI26" s="88">
        <f t="shared" si="13"/>
        <v>40335.599999999999</v>
      </c>
      <c r="AJ26" s="87">
        <v>40348.400000000001</v>
      </c>
      <c r="AK26" s="48">
        <f t="shared" si="8"/>
        <v>12.80000000000291</v>
      </c>
      <c r="AL26" s="90">
        <f t="shared" si="5"/>
        <v>3639.6177419528271</v>
      </c>
      <c r="AM26" s="84">
        <f t="shared" si="14"/>
        <v>1213.503149433202</v>
      </c>
      <c r="AN26" s="5">
        <v>60</v>
      </c>
      <c r="AO26" s="78">
        <f t="shared" si="6"/>
        <v>12321.218141000158</v>
      </c>
    </row>
    <row r="27" spans="1:41" x14ac:dyDescent="0.25">
      <c r="A27" s="79">
        <v>44218</v>
      </c>
      <c r="B27" s="9">
        <v>7055</v>
      </c>
      <c r="C27" s="87">
        <v>2101</v>
      </c>
      <c r="D27" s="87">
        <v>931</v>
      </c>
      <c r="E27" s="87">
        <v>6603</v>
      </c>
      <c r="F27" s="87">
        <v>5765</v>
      </c>
      <c r="G27" s="87">
        <v>2562</v>
      </c>
      <c r="H27" s="87">
        <v>3581</v>
      </c>
      <c r="I27" s="87">
        <v>2416</v>
      </c>
      <c r="J27" s="87">
        <v>7159</v>
      </c>
      <c r="K27" s="87">
        <f t="shared" si="15"/>
        <v>28598</v>
      </c>
      <c r="L27" s="14">
        <f t="shared" si="9"/>
        <v>5719.6</v>
      </c>
      <c r="M27" s="84">
        <f>57773.851-57641.999</f>
        <v>131.85199999999895</v>
      </c>
      <c r="N27" s="84">
        <f>3965.739-3964.113</f>
        <v>1.6260000000002037</v>
      </c>
      <c r="O27" s="84">
        <f>9263.299-9262.627</f>
        <v>0.67200000000048021</v>
      </c>
      <c r="P27" s="82">
        <f>79306.532-79235.496</f>
        <v>71.036000000007334</v>
      </c>
      <c r="Q27" s="84">
        <f>22234.273-22226.955</f>
        <v>7.3179999999993015</v>
      </c>
      <c r="R27" s="84">
        <f t="shared" si="0"/>
        <v>73.334000000008018</v>
      </c>
      <c r="S27" s="84">
        <f t="shared" si="1"/>
        <v>574.93856000006281</v>
      </c>
      <c r="T27" s="84">
        <f t="shared" si="2"/>
        <v>139.16999999999825</v>
      </c>
      <c r="U27" s="84">
        <f t="shared" si="16"/>
        <v>1091.0927999999863</v>
      </c>
      <c r="V27" s="84">
        <f>318363.4-318242.7</f>
        <v>120.70000000001164</v>
      </c>
      <c r="W27" s="84">
        <f t="shared" si="3"/>
        <v>0</v>
      </c>
      <c r="X27" s="87" t="s">
        <v>63</v>
      </c>
      <c r="Y27" s="87">
        <v>771056</v>
      </c>
      <c r="Z27" s="5">
        <f t="shared" si="10"/>
        <v>467</v>
      </c>
      <c r="AA27" s="14">
        <f t="shared" si="7"/>
        <v>3021.49</v>
      </c>
      <c r="AB27" s="88">
        <v>2591527.7000000002</v>
      </c>
      <c r="AC27" s="87">
        <f t="shared" si="11"/>
        <v>2583817.7000000002</v>
      </c>
      <c r="AD27" s="5">
        <f t="shared" si="4"/>
        <v>7710</v>
      </c>
      <c r="AE27" s="84">
        <f t="shared" si="12"/>
        <v>2570.6296500000003</v>
      </c>
      <c r="AF27" s="84">
        <f>82111.4-82096.6</f>
        <v>14.799999999988358</v>
      </c>
      <c r="AG27" s="84">
        <f>42866.8-42862.5</f>
        <v>4.3000000000029104</v>
      </c>
      <c r="AH27" s="84">
        <f>25795.8-25790.7</f>
        <v>5.0999999999985448</v>
      </c>
      <c r="AI27" s="88">
        <f t="shared" si="13"/>
        <v>40348.400000000001</v>
      </c>
      <c r="AJ27" s="87">
        <v>40358.9</v>
      </c>
      <c r="AK27" s="48">
        <f t="shared" si="8"/>
        <v>10.5</v>
      </c>
      <c r="AL27" s="90">
        <f t="shared" si="5"/>
        <v>2985.623928945</v>
      </c>
      <c r="AM27" s="84">
        <f t="shared" si="14"/>
        <v>995.45180226919717</v>
      </c>
      <c r="AN27" s="5">
        <v>63</v>
      </c>
      <c r="AO27" s="78">
        <f t="shared" si="6"/>
        <v>12402.812449999987</v>
      </c>
    </row>
    <row r="28" spans="1:41" x14ac:dyDescent="0.25">
      <c r="A28" s="79">
        <v>44219</v>
      </c>
      <c r="B28" s="9">
        <v>6504</v>
      </c>
      <c r="C28" s="87">
        <v>2833</v>
      </c>
      <c r="D28" s="87">
        <v>938</v>
      </c>
      <c r="E28" s="87">
        <v>5646</v>
      </c>
      <c r="F28" s="87">
        <v>5514</v>
      </c>
      <c r="G28" s="87">
        <v>2692</v>
      </c>
      <c r="H28" s="87">
        <v>3617</v>
      </c>
      <c r="I28" s="87">
        <v>2285</v>
      </c>
      <c r="J28" s="87">
        <v>7005</v>
      </c>
      <c r="K28" s="87">
        <f t="shared" si="15"/>
        <v>27744</v>
      </c>
      <c r="L28" s="14">
        <f t="shared" si="9"/>
        <v>5548.8</v>
      </c>
      <c r="M28" s="84">
        <f>57894.457-57773.851</f>
        <v>120.60599999999977</v>
      </c>
      <c r="N28" s="84">
        <f>3968.034-3965.739</f>
        <v>2.2950000000000728</v>
      </c>
      <c r="O28" s="84">
        <f>9264.023-9263.299</f>
        <v>0.72399999999834108</v>
      </c>
      <c r="P28" s="82">
        <f>79382.73-79306.532</f>
        <v>76.197999999989406</v>
      </c>
      <c r="Q28" s="84">
        <f>22242.407-22234.273</f>
        <v>8.1339999999981956</v>
      </c>
      <c r="R28" s="84">
        <f t="shared" si="0"/>
        <v>79.21699999998782</v>
      </c>
      <c r="S28" s="84">
        <f t="shared" si="1"/>
        <v>621.06127999990451</v>
      </c>
      <c r="T28" s="84">
        <f t="shared" si="2"/>
        <v>128.73999999999796</v>
      </c>
      <c r="U28" s="84">
        <f t="shared" si="16"/>
        <v>1009.321599999984</v>
      </c>
      <c r="V28" s="84">
        <f>318585.5-318363.4</f>
        <v>222.09999999997672</v>
      </c>
      <c r="W28" s="84">
        <f t="shared" si="3"/>
        <v>0</v>
      </c>
      <c r="X28" s="87" t="s">
        <v>63</v>
      </c>
      <c r="Y28" s="87">
        <v>771580</v>
      </c>
      <c r="Z28" s="5">
        <f t="shared" si="10"/>
        <v>524</v>
      </c>
      <c r="AA28" s="14">
        <f t="shared" si="7"/>
        <v>3390.2799999999997</v>
      </c>
      <c r="AB28" s="88">
        <v>2600095</v>
      </c>
      <c r="AC28" s="87">
        <f>AB27</f>
        <v>2591527.7000000002</v>
      </c>
      <c r="AD28" s="5">
        <f t="shared" si="4"/>
        <v>8567.2999999998137</v>
      </c>
      <c r="AE28" s="84">
        <f t="shared" si="12"/>
        <v>2856.4663294999382</v>
      </c>
      <c r="AF28" s="84">
        <f>82128.1-82111.4</f>
        <v>16.700000000011642</v>
      </c>
      <c r="AG28" s="84">
        <f>42872-42866.8</f>
        <v>5.1999999999970896</v>
      </c>
      <c r="AH28" s="84">
        <f>25801-25795.8</f>
        <v>5.2000000000007276</v>
      </c>
      <c r="AI28" s="88">
        <f t="shared" si="13"/>
        <v>40358.9</v>
      </c>
      <c r="AJ28" s="87">
        <v>40370.5</v>
      </c>
      <c r="AK28" s="48">
        <f t="shared" si="8"/>
        <v>11.599999999998545</v>
      </c>
      <c r="AL28" s="90">
        <f t="shared" si="5"/>
        <v>3298.4035786435861</v>
      </c>
      <c r="AM28" s="84">
        <f t="shared" si="14"/>
        <v>1099.7372291734514</v>
      </c>
      <c r="AN28" s="5">
        <v>54</v>
      </c>
      <c r="AO28" s="78">
        <f t="shared" si="6"/>
        <v>12804.86792949992</v>
      </c>
    </row>
    <row r="29" spans="1:41" x14ac:dyDescent="0.25">
      <c r="A29" s="79">
        <v>44220</v>
      </c>
      <c r="B29" s="9">
        <v>5227</v>
      </c>
      <c r="C29" s="87">
        <v>2747</v>
      </c>
      <c r="D29" s="87">
        <v>888</v>
      </c>
      <c r="E29" s="87">
        <v>4739</v>
      </c>
      <c r="F29" s="87">
        <v>5546</v>
      </c>
      <c r="G29" s="87">
        <v>2818</v>
      </c>
      <c r="H29" s="87">
        <v>3583</v>
      </c>
      <c r="I29" s="87">
        <v>2438</v>
      </c>
      <c r="J29" s="87">
        <v>6755</v>
      </c>
      <c r="K29" s="87">
        <f t="shared" si="15"/>
        <v>25548</v>
      </c>
      <c r="L29" s="14">
        <f t="shared" si="9"/>
        <v>5109.6000000000004</v>
      </c>
      <c r="M29" s="84">
        <f>58008.197-57894.457</f>
        <v>113.73999999999796</v>
      </c>
      <c r="N29" s="84">
        <f>3969.042-3968.034</f>
        <v>1.0079999999998108</v>
      </c>
      <c r="O29" s="84">
        <f>9264.493-9264.023</f>
        <v>0.47000000000116415</v>
      </c>
      <c r="P29" s="82">
        <f>79441.635-79382.73</f>
        <v>58.904999999998836</v>
      </c>
      <c r="Q29" s="84">
        <f>22251.019-22242.407</f>
        <v>8.6120000000009895</v>
      </c>
      <c r="R29" s="84">
        <f t="shared" si="0"/>
        <v>60.382999999999811</v>
      </c>
      <c r="S29" s="84">
        <f t="shared" si="1"/>
        <v>473.40271999999851</v>
      </c>
      <c r="T29" s="84">
        <f t="shared" si="2"/>
        <v>122.35199999999895</v>
      </c>
      <c r="U29" s="84">
        <f t="shared" si="16"/>
        <v>959.23967999999172</v>
      </c>
      <c r="V29" s="84">
        <f>318853.2-318585.5</f>
        <v>267.70000000001164</v>
      </c>
      <c r="W29" s="84">
        <f t="shared" si="3"/>
        <v>0</v>
      </c>
      <c r="X29" s="87" t="s">
        <v>63</v>
      </c>
      <c r="Y29" s="87">
        <v>772155</v>
      </c>
      <c r="Z29" s="5">
        <f t="shared" si="10"/>
        <v>575</v>
      </c>
      <c r="AA29" s="14">
        <f t="shared" si="7"/>
        <v>3720.25</v>
      </c>
      <c r="AB29" s="88">
        <v>2607832</v>
      </c>
      <c r="AC29" s="87">
        <f t="shared" si="11"/>
        <v>2600095</v>
      </c>
      <c r="AD29" s="5">
        <f t="shared" si="4"/>
        <v>7737</v>
      </c>
      <c r="AE29" s="84">
        <f t="shared" si="12"/>
        <v>2579.6318550000001</v>
      </c>
      <c r="AF29" s="84">
        <f>82142.5-82128.1</f>
        <v>14.399999999994179</v>
      </c>
      <c r="AG29" s="84">
        <f>42877.2-42872</f>
        <v>5.1999999999970896</v>
      </c>
      <c r="AH29" s="84">
        <f>25806.1-25801</f>
        <v>5.0999999999985448</v>
      </c>
      <c r="AI29" s="88">
        <f t="shared" si="13"/>
        <v>40370.5</v>
      </c>
      <c r="AJ29" s="87">
        <v>40381.199999999997</v>
      </c>
      <c r="AK29" s="48">
        <f t="shared" si="8"/>
        <v>10.69999999999709</v>
      </c>
      <c r="AL29" s="90">
        <f t="shared" si="5"/>
        <v>3042.492956162172</v>
      </c>
      <c r="AM29" s="84">
        <f t="shared" si="14"/>
        <v>1014.4127889788107</v>
      </c>
      <c r="AN29" s="5">
        <v>69</v>
      </c>
      <c r="AO29" s="78">
        <f t="shared" si="6"/>
        <v>12368.721534999991</v>
      </c>
    </row>
    <row r="30" spans="1:41" x14ac:dyDescent="0.25">
      <c r="A30" s="79">
        <v>44221</v>
      </c>
      <c r="B30" s="9">
        <v>5244</v>
      </c>
      <c r="C30" s="87">
        <v>2752</v>
      </c>
      <c r="D30" s="87">
        <v>879</v>
      </c>
      <c r="E30" s="87">
        <v>5492</v>
      </c>
      <c r="F30" s="87">
        <v>5687</v>
      </c>
      <c r="G30" s="87">
        <v>2723</v>
      </c>
      <c r="H30" s="87">
        <v>3636</v>
      </c>
      <c r="I30" s="87">
        <v>2376</v>
      </c>
      <c r="J30" s="87">
        <v>6752</v>
      </c>
      <c r="K30" s="87">
        <f t="shared" si="15"/>
        <v>26413</v>
      </c>
      <c r="L30" s="14">
        <f t="shared" si="9"/>
        <v>5282.6</v>
      </c>
      <c r="M30" s="84">
        <f>58140.041-58008.197</f>
        <v>131.84399999999732</v>
      </c>
      <c r="N30" s="84">
        <f>3971.046-3969.042</f>
        <v>2.0039999999999054</v>
      </c>
      <c r="O30" s="84">
        <f>9264.983-9264.493</f>
        <v>0.48999999999978172</v>
      </c>
      <c r="P30" s="82">
        <f>79507.455-79441.635</f>
        <v>65.820000000006985</v>
      </c>
      <c r="Q30" s="84">
        <f>22256.014-22251.019</f>
        <v>4.9949999999989814</v>
      </c>
      <c r="R30" s="84">
        <f t="shared" si="0"/>
        <v>68.314000000006672</v>
      </c>
      <c r="S30" s="84">
        <f t="shared" si="1"/>
        <v>535.58176000005233</v>
      </c>
      <c r="T30" s="84">
        <f t="shared" si="2"/>
        <v>136.8389999999963</v>
      </c>
      <c r="U30" s="84">
        <f t="shared" si="16"/>
        <v>1072.817759999971</v>
      </c>
      <c r="V30" s="84">
        <f>319093.4-318853.2</f>
        <v>240.20000000001164</v>
      </c>
      <c r="W30" s="84">
        <f t="shared" si="3"/>
        <v>0</v>
      </c>
      <c r="X30" s="87" t="s">
        <v>63</v>
      </c>
      <c r="Y30" s="87">
        <v>772707</v>
      </c>
      <c r="Z30" s="5">
        <f t="shared" si="10"/>
        <v>552</v>
      </c>
      <c r="AA30" s="14">
        <f t="shared" si="7"/>
        <v>3571.44</v>
      </c>
      <c r="AB30" s="88">
        <v>2616819</v>
      </c>
      <c r="AC30" s="87">
        <f t="shared" si="11"/>
        <v>2607832</v>
      </c>
      <c r="AD30" s="5">
        <f t="shared" si="4"/>
        <v>8987</v>
      </c>
      <c r="AE30" s="84">
        <f t="shared" si="12"/>
        <v>2996.4006050000003</v>
      </c>
      <c r="AF30" s="84">
        <f>82158.9-82142.5</f>
        <v>16.399999999994179</v>
      </c>
      <c r="AG30" s="84">
        <f>42882.8-42877.2</f>
        <v>5.6000000000058208</v>
      </c>
      <c r="AH30" s="84">
        <f>25812.1-25806.1</f>
        <v>6</v>
      </c>
      <c r="AI30" s="88">
        <f t="shared" si="13"/>
        <v>40381.199999999997</v>
      </c>
      <c r="AJ30" s="87">
        <v>40392.800000000003</v>
      </c>
      <c r="AK30" s="48">
        <f t="shared" si="8"/>
        <v>11.600000000005821</v>
      </c>
      <c r="AL30" s="90">
        <f t="shared" si="5"/>
        <v>3298.4035786456548</v>
      </c>
      <c r="AM30" s="84">
        <f t="shared" si="14"/>
        <v>1099.737229174141</v>
      </c>
      <c r="AN30" s="5">
        <v>97</v>
      </c>
      <c r="AO30" s="78">
        <f t="shared" si="6"/>
        <v>12923.258364999972</v>
      </c>
    </row>
    <row r="31" spans="1:41" x14ac:dyDescent="0.25">
      <c r="A31" s="79">
        <v>44222</v>
      </c>
      <c r="B31" s="9">
        <v>5409</v>
      </c>
      <c r="C31" s="87">
        <v>2840</v>
      </c>
      <c r="D31" s="87">
        <v>856</v>
      </c>
      <c r="E31" s="87">
        <v>6317</v>
      </c>
      <c r="F31" s="87">
        <v>5688</v>
      </c>
      <c r="G31" s="87">
        <v>2647</v>
      </c>
      <c r="H31" s="87">
        <v>3571</v>
      </c>
      <c r="I31" s="87">
        <v>2368</v>
      </c>
      <c r="J31" s="87">
        <v>6766</v>
      </c>
      <c r="K31" s="87">
        <f t="shared" si="15"/>
        <v>27328</v>
      </c>
      <c r="L31" s="14">
        <f t="shared" si="9"/>
        <v>5465.6</v>
      </c>
      <c r="M31" s="84">
        <f>58273.984-58140.041</f>
        <v>133.9429999999993</v>
      </c>
      <c r="N31" s="84">
        <f>3971.671-3971.046</f>
        <v>0.625</v>
      </c>
      <c r="O31" s="84">
        <f>9265.354-9264.983</f>
        <v>0.37099999999918509</v>
      </c>
      <c r="P31" s="82">
        <f>79573.015-79507.455</f>
        <v>65.559999999997672</v>
      </c>
      <c r="Q31" s="84">
        <f>22261.953-22256.014</f>
        <v>5.9390000000021246</v>
      </c>
      <c r="R31" s="84">
        <f t="shared" si="0"/>
        <v>66.555999999996857</v>
      </c>
      <c r="S31" s="84">
        <f t="shared" si="1"/>
        <v>521.79903999997532</v>
      </c>
      <c r="T31" s="84">
        <f t="shared" si="2"/>
        <v>139.88200000000143</v>
      </c>
      <c r="U31" s="84">
        <f t="shared" si="16"/>
        <v>1096.6748800000112</v>
      </c>
      <c r="V31" s="84">
        <f>319227.9-319093.4</f>
        <v>134.5</v>
      </c>
      <c r="W31" s="84">
        <f t="shared" si="3"/>
        <v>0</v>
      </c>
      <c r="X31" s="87" t="s">
        <v>63</v>
      </c>
      <c r="Y31" s="87">
        <v>773185</v>
      </c>
      <c r="Z31" s="5">
        <f t="shared" si="10"/>
        <v>478</v>
      </c>
      <c r="AA31" s="14">
        <f t="shared" si="7"/>
        <v>3092.66</v>
      </c>
      <c r="AB31" s="88">
        <v>2626647</v>
      </c>
      <c r="AC31" s="87">
        <f t="shared" si="11"/>
        <v>2616819</v>
      </c>
      <c r="AD31" s="5">
        <f t="shared" si="4"/>
        <v>9828</v>
      </c>
      <c r="AE31" s="84">
        <f t="shared" si="12"/>
        <v>3276.8026200000004</v>
      </c>
      <c r="AF31" s="84">
        <f>82177-82158.9</f>
        <v>18.100000000005821</v>
      </c>
      <c r="AG31" s="84">
        <f>42888.4-42882.8</f>
        <v>5.5999999999985448</v>
      </c>
      <c r="AH31" s="84">
        <f>25818.5-25812.1</f>
        <v>6.4000000000014552</v>
      </c>
      <c r="AI31" s="88">
        <f t="shared" si="13"/>
        <v>40392.800000000003</v>
      </c>
      <c r="AJ31" s="87">
        <v>40406.400000000001</v>
      </c>
      <c r="AK31" s="48">
        <f t="shared" si="8"/>
        <v>13.599999999998545</v>
      </c>
      <c r="AL31" s="90">
        <f t="shared" si="5"/>
        <v>3867.0938508235859</v>
      </c>
      <c r="AM31" s="84">
        <f t="shared" si="14"/>
        <v>1289.3470962723459</v>
      </c>
      <c r="AN31" s="5">
        <v>95</v>
      </c>
      <c r="AO31" s="78">
        <f t="shared" si="6"/>
        <v>12931.737500000012</v>
      </c>
    </row>
    <row r="32" spans="1:41" x14ac:dyDescent="0.25">
      <c r="A32" s="79">
        <v>44223</v>
      </c>
      <c r="B32" s="9">
        <v>6263</v>
      </c>
      <c r="C32" s="87">
        <v>2404</v>
      </c>
      <c r="D32" s="87">
        <v>854</v>
      </c>
      <c r="E32" s="87">
        <v>6204</v>
      </c>
      <c r="F32" s="87">
        <v>5759</v>
      </c>
      <c r="G32" s="87">
        <v>2597</v>
      </c>
      <c r="H32" s="87">
        <v>3590</v>
      </c>
      <c r="I32" s="87">
        <v>2405</v>
      </c>
      <c r="J32" s="87">
        <v>7060</v>
      </c>
      <c r="K32" s="87">
        <f t="shared" si="15"/>
        <v>27671</v>
      </c>
      <c r="L32" s="14">
        <f t="shared" si="9"/>
        <v>5534.2000000000007</v>
      </c>
      <c r="M32" s="84">
        <f>58406.052-58273.984</f>
        <v>132.06800000000658</v>
      </c>
      <c r="N32" s="84">
        <f>3974.267-3971.671</f>
        <v>2.5960000000000036</v>
      </c>
      <c r="O32" s="84">
        <f>9265.888-9265.354</f>
        <v>0.53400000000146974</v>
      </c>
      <c r="P32" s="82">
        <f>79641.448-79573.015</f>
        <v>68.43300000000454</v>
      </c>
      <c r="Q32" s="84">
        <f>22269.49-22261.953</f>
        <v>7.5370000000002619</v>
      </c>
      <c r="R32" s="84">
        <f t="shared" si="0"/>
        <v>71.563000000006014</v>
      </c>
      <c r="S32" s="84">
        <f t="shared" si="1"/>
        <v>561.05392000004713</v>
      </c>
      <c r="T32" s="84">
        <f t="shared" si="2"/>
        <v>139.60500000000684</v>
      </c>
      <c r="U32" s="84">
        <f t="shared" si="16"/>
        <v>1094.5032000000535</v>
      </c>
      <c r="V32" s="84">
        <f>319384.2-319227.9</f>
        <v>156.29999999998836</v>
      </c>
      <c r="W32" s="84">
        <f t="shared" si="3"/>
        <v>0</v>
      </c>
      <c r="X32" s="87" t="s">
        <v>63</v>
      </c>
      <c r="Y32" s="87">
        <v>773675</v>
      </c>
      <c r="Z32" s="5">
        <f t="shared" si="10"/>
        <v>490</v>
      </c>
      <c r="AA32" s="14">
        <f t="shared" si="7"/>
        <v>3170.2999999999997</v>
      </c>
      <c r="AB32" s="88">
        <v>2637071.4</v>
      </c>
      <c r="AC32" s="87">
        <f t="shared" si="11"/>
        <v>2626647</v>
      </c>
      <c r="AD32" s="5">
        <f t="shared" si="4"/>
        <v>10424.399999999907</v>
      </c>
      <c r="AE32" s="84">
        <f t="shared" si="12"/>
        <v>3475.6513259999692</v>
      </c>
      <c r="AF32" s="84">
        <f>82196-82177</f>
        <v>19</v>
      </c>
      <c r="AG32" s="84">
        <f>42894.4-42888.4</f>
        <v>6</v>
      </c>
      <c r="AH32" s="84">
        <f>25825.3-25818.5</f>
        <v>6.7999999999992724</v>
      </c>
      <c r="AI32" s="88">
        <f t="shared" si="13"/>
        <v>40406.400000000001</v>
      </c>
      <c r="AJ32" s="87">
        <v>40420.800000000003</v>
      </c>
      <c r="AK32" s="48">
        <f t="shared" si="8"/>
        <v>14.400000000001455</v>
      </c>
      <c r="AL32" s="90">
        <f t="shared" si="5"/>
        <v>4094.5699596964137</v>
      </c>
      <c r="AM32" s="84">
        <f t="shared" si="14"/>
        <v>1365.1910431121798</v>
      </c>
      <c r="AN32" s="5">
        <v>80</v>
      </c>
      <c r="AO32" s="78">
        <f t="shared" si="6"/>
        <v>13274.654526000024</v>
      </c>
    </row>
    <row r="33" spans="1:41" x14ac:dyDescent="0.25">
      <c r="A33" s="79">
        <v>44224</v>
      </c>
      <c r="B33" s="9">
        <v>4535</v>
      </c>
      <c r="C33" s="87">
        <v>2524</v>
      </c>
      <c r="D33" s="87">
        <v>923</v>
      </c>
      <c r="E33" s="87">
        <v>5870</v>
      </c>
      <c r="F33" s="87">
        <v>5796</v>
      </c>
      <c r="G33" s="87">
        <v>2667</v>
      </c>
      <c r="H33" s="87">
        <v>3559</v>
      </c>
      <c r="I33" s="87">
        <v>2439</v>
      </c>
      <c r="J33" s="87">
        <v>7181</v>
      </c>
      <c r="K33" s="87">
        <f t="shared" si="15"/>
        <v>25874</v>
      </c>
      <c r="L33" s="14">
        <f t="shared" si="9"/>
        <v>5174.8</v>
      </c>
      <c r="M33" s="84">
        <f>58535.73-58406.052</f>
        <v>129.67799999999988</v>
      </c>
      <c r="N33" s="84">
        <f>3975.152-3974.267</f>
        <v>0.88500000000021828</v>
      </c>
      <c r="O33" s="84">
        <f>9266.423-9265.888</f>
        <v>0.53499999999985448</v>
      </c>
      <c r="P33" s="82">
        <f>79709.669-79641.448</f>
        <v>68.220999999990454</v>
      </c>
      <c r="Q33" s="84">
        <f>22282.565-22269.49</f>
        <v>13.07499999999709</v>
      </c>
      <c r="R33" s="84">
        <f t="shared" si="0"/>
        <v>69.640999999990527</v>
      </c>
      <c r="S33" s="84">
        <f t="shared" si="1"/>
        <v>545.98543999992569</v>
      </c>
      <c r="T33" s="84">
        <f t="shared" si="2"/>
        <v>142.75299999999697</v>
      </c>
      <c r="U33" s="84">
        <f t="shared" si="16"/>
        <v>1119.1835199999762</v>
      </c>
      <c r="V33" s="84">
        <f>319526.5-319384.2</f>
        <v>142.29999999998836</v>
      </c>
      <c r="W33" s="84">
        <f t="shared" si="3"/>
        <v>0</v>
      </c>
      <c r="X33" s="87" t="s">
        <v>63</v>
      </c>
      <c r="Y33" s="87">
        <v>774145</v>
      </c>
      <c r="Z33" s="5">
        <f t="shared" si="10"/>
        <v>470</v>
      </c>
      <c r="AA33" s="14">
        <f t="shared" si="7"/>
        <v>3040.9</v>
      </c>
      <c r="AB33" s="88">
        <v>2646850.2999999998</v>
      </c>
      <c r="AC33" s="87">
        <f t="shared" si="11"/>
        <v>2637071.4</v>
      </c>
      <c r="AD33" s="5">
        <f t="shared" si="4"/>
        <v>9778.8999999999069</v>
      </c>
      <c r="AE33" s="84">
        <f t="shared" si="12"/>
        <v>3260.4319434999693</v>
      </c>
      <c r="AF33" s="84">
        <f>82214-82196</f>
        <v>18</v>
      </c>
      <c r="AG33" s="84">
        <f>42900.3-42894.4</f>
        <v>5.9000000000014552</v>
      </c>
      <c r="AH33" s="84">
        <f>25832-25825.3</f>
        <v>6.7000000000007276</v>
      </c>
      <c r="AI33" s="88">
        <f t="shared" si="13"/>
        <v>40420.800000000003</v>
      </c>
      <c r="AJ33" s="87">
        <v>40433.800000000003</v>
      </c>
      <c r="AK33" s="48">
        <f t="shared" si="8"/>
        <v>13</v>
      </c>
      <c r="AL33" s="90">
        <f t="shared" si="5"/>
        <v>3696.4867691699997</v>
      </c>
      <c r="AM33" s="84">
        <f t="shared" si="14"/>
        <v>1232.4641361428155</v>
      </c>
      <c r="AN33" s="5">
        <v>94</v>
      </c>
      <c r="AO33" s="78">
        <f t="shared" si="6"/>
        <v>12595.315463499945</v>
      </c>
    </row>
    <row r="34" spans="1:41" x14ac:dyDescent="0.25">
      <c r="A34" s="79">
        <v>44225</v>
      </c>
      <c r="B34" s="9">
        <v>5345</v>
      </c>
      <c r="C34" s="87">
        <v>2922</v>
      </c>
      <c r="D34" s="87">
        <v>926</v>
      </c>
      <c r="E34" s="87">
        <v>6174</v>
      </c>
      <c r="F34" s="87">
        <v>6050</v>
      </c>
      <c r="G34" s="87">
        <v>2705</v>
      </c>
      <c r="H34" s="87">
        <v>3590</v>
      </c>
      <c r="I34" s="87">
        <v>2382</v>
      </c>
      <c r="J34" s="87">
        <v>7314</v>
      </c>
      <c r="K34" s="87">
        <f t="shared" si="15"/>
        <v>27712</v>
      </c>
      <c r="L34" s="14">
        <f t="shared" si="9"/>
        <v>5542.4000000000005</v>
      </c>
      <c r="M34" s="84">
        <f>58684.64-58535.73</f>
        <v>148.90999999999622</v>
      </c>
      <c r="N34" s="84">
        <f>3976.188-3975.152</f>
        <v>1.0360000000000582</v>
      </c>
      <c r="O34" s="84">
        <f>9266.871-9266.423</f>
        <v>0.44799999999850115</v>
      </c>
      <c r="P34" s="82">
        <f>79794.815-79709.669</f>
        <v>85.146000000007916</v>
      </c>
      <c r="Q34" s="84">
        <f>22287.046-22282.565</f>
        <v>4.4809999999997672</v>
      </c>
      <c r="R34" s="84">
        <f t="shared" si="0"/>
        <v>86.630000000006476</v>
      </c>
      <c r="S34" s="84">
        <f t="shared" si="1"/>
        <v>679.17920000005074</v>
      </c>
      <c r="T34" s="84">
        <f t="shared" si="2"/>
        <v>153.39099999999598</v>
      </c>
      <c r="U34" s="84">
        <f t="shared" si="16"/>
        <v>1202.5854399999685</v>
      </c>
      <c r="V34" s="84">
        <f>319682.1-319526.5</f>
        <v>155.59999999997672</v>
      </c>
      <c r="W34" s="84">
        <f t="shared" si="3"/>
        <v>0</v>
      </c>
      <c r="X34" s="87" t="s">
        <v>63</v>
      </c>
      <c r="Y34" s="87">
        <v>774645</v>
      </c>
      <c r="Z34" s="5">
        <f t="shared" si="10"/>
        <v>500</v>
      </c>
      <c r="AA34" s="14">
        <f t="shared" si="7"/>
        <v>3235</v>
      </c>
      <c r="AB34" s="88">
        <v>2656607.7999999998</v>
      </c>
      <c r="AC34" s="87">
        <f t="shared" si="11"/>
        <v>2646850.2999999998</v>
      </c>
      <c r="AD34" s="5">
        <f t="shared" si="4"/>
        <v>9757.5</v>
      </c>
      <c r="AE34" s="84">
        <f t="shared" si="12"/>
        <v>3253.2968625000003</v>
      </c>
      <c r="AF34" s="84">
        <f>82231.6-82214</f>
        <v>17.600000000005821</v>
      </c>
      <c r="AG34" s="84">
        <f>42906.6-42900.3</f>
        <v>6.2999999999956344</v>
      </c>
      <c r="AH34" s="84">
        <f>25838.6-25832</f>
        <v>6.5999999999985448</v>
      </c>
      <c r="AI34" s="88">
        <f t="shared" si="13"/>
        <v>40433.800000000003</v>
      </c>
      <c r="AJ34" s="87">
        <v>40447.4</v>
      </c>
      <c r="AK34" s="48">
        <f t="shared" si="8"/>
        <v>13.599999999998545</v>
      </c>
      <c r="AL34" s="90">
        <f t="shared" si="5"/>
        <v>3867.0938508235859</v>
      </c>
      <c r="AM34" s="84">
        <f t="shared" si="14"/>
        <v>1289.3470962723459</v>
      </c>
      <c r="AN34" s="5">
        <v>83</v>
      </c>
      <c r="AO34" s="78">
        <f t="shared" si="6"/>
        <v>13233.282302499971</v>
      </c>
    </row>
    <row r="35" spans="1:41" x14ac:dyDescent="0.25">
      <c r="A35" s="79">
        <v>44226</v>
      </c>
      <c r="B35" s="9">
        <v>5428</v>
      </c>
      <c r="C35" s="87">
        <v>2858</v>
      </c>
      <c r="D35" s="87">
        <v>887</v>
      </c>
      <c r="E35" s="87">
        <v>5984</v>
      </c>
      <c r="F35" s="87">
        <v>5655</v>
      </c>
      <c r="G35" s="87">
        <v>2609</v>
      </c>
      <c r="H35" s="87">
        <v>3576</v>
      </c>
      <c r="I35" s="87">
        <v>2444</v>
      </c>
      <c r="J35" s="87">
        <v>7001</v>
      </c>
      <c r="K35" s="87">
        <f t="shared" ref="K35:K36" si="17">SUM(B35:H35)</f>
        <v>26997</v>
      </c>
      <c r="L35" s="14">
        <f t="shared" ref="L35:L36" si="18">K35*0.2</f>
        <v>5399.4000000000005</v>
      </c>
      <c r="M35" s="84">
        <f>58815.919-58684.64</f>
        <v>131.27900000000227</v>
      </c>
      <c r="N35" s="84">
        <f>3977.403-3976.188</f>
        <v>1.2149999999996908</v>
      </c>
      <c r="O35" s="84">
        <f>9267.55-9266.871</f>
        <v>0.67900000000008731</v>
      </c>
      <c r="P35" s="82">
        <f>79872.32-79794.815</f>
        <v>77.505000000004657</v>
      </c>
      <c r="Q35" s="84">
        <f>22298.106-22287.046</f>
        <v>11.06000000000131</v>
      </c>
      <c r="R35" s="84">
        <f t="shared" ref="R35:R36" si="19">N35+O35+P35</f>
        <v>79.399000000004435</v>
      </c>
      <c r="S35" s="84">
        <f t="shared" ref="S35:S36" si="20">(N35+O35+P35)*7.84</f>
        <v>622.48816000003478</v>
      </c>
      <c r="T35" s="84">
        <f t="shared" ref="T35:T36" si="21">M35+Q35</f>
        <v>142.33900000000358</v>
      </c>
      <c r="U35" s="84">
        <f t="shared" ref="U35:U36" si="22">T35*7.84</f>
        <v>1115.937760000028</v>
      </c>
      <c r="V35" s="84">
        <f>319835-319682.1</f>
        <v>152.90000000002328</v>
      </c>
      <c r="W35" s="84">
        <f t="shared" si="3"/>
        <v>0</v>
      </c>
      <c r="X35" s="87" t="s">
        <v>103</v>
      </c>
      <c r="Y35" s="87">
        <v>775079</v>
      </c>
      <c r="Z35" s="5">
        <f t="shared" ref="Z35:Z36" si="23">IF((Y35-Y34&lt;0), "0",Y35-Y34)</f>
        <v>434</v>
      </c>
      <c r="AA35" s="14">
        <f t="shared" ref="AA35:AA36" si="24">Z35*6.47</f>
        <v>2807.98</v>
      </c>
      <c r="AB35" s="88">
        <v>2666334.5</v>
      </c>
      <c r="AC35" s="87">
        <f>AB34</f>
        <v>2656607.7999999998</v>
      </c>
      <c r="AD35" s="5">
        <f t="shared" si="4"/>
        <v>9726.7000000001863</v>
      </c>
      <c r="AE35" s="84">
        <f t="shared" si="12"/>
        <v>3243.0276805000622</v>
      </c>
      <c r="AF35" s="84">
        <f>82248.8-82231.6</f>
        <v>17.19999999999709</v>
      </c>
      <c r="AG35" s="84">
        <f>42912.8-42906.6</f>
        <v>6.2000000000043656</v>
      </c>
      <c r="AH35" s="84">
        <f>25845.3-25838.6</f>
        <v>6.7000000000007276</v>
      </c>
      <c r="AI35" s="88">
        <f t="shared" si="13"/>
        <v>40447.4</v>
      </c>
      <c r="AJ35" s="87">
        <v>40460.6</v>
      </c>
      <c r="AK35" s="48">
        <f t="shared" ref="AK35:AK36" si="25">IF((AJ35-AI35)&lt;0, "0",AJ35-AI35)</f>
        <v>13.19999999999709</v>
      </c>
      <c r="AL35" s="90">
        <f t="shared" ref="AL35:AL36" si="26">AK35*(284.34513609)</f>
        <v>3753.3557963871722</v>
      </c>
      <c r="AM35" s="84">
        <f t="shared" ref="AM35:AM36" si="27">AL35*0.333415</f>
        <v>1251.425122852429</v>
      </c>
      <c r="AN35" s="5">
        <v>65</v>
      </c>
      <c r="AO35" s="78">
        <f t="shared" ref="AO35" si="28">L35+U35+AA35+AE35</f>
        <v>12566.345440500092</v>
      </c>
    </row>
    <row r="36" spans="1:41" ht="21.75" thickBot="1" x14ac:dyDescent="0.3">
      <c r="A36" s="92">
        <v>44227</v>
      </c>
      <c r="B36" s="9">
        <v>5639</v>
      </c>
      <c r="C36" s="87">
        <v>3185</v>
      </c>
      <c r="D36" s="87">
        <v>827</v>
      </c>
      <c r="E36" s="87">
        <v>5672</v>
      </c>
      <c r="F36" s="87">
        <v>5648</v>
      </c>
      <c r="G36" s="87">
        <v>2513</v>
      </c>
      <c r="H36" s="87">
        <v>3538</v>
      </c>
      <c r="I36" s="87">
        <v>2427</v>
      </c>
      <c r="J36" s="87">
        <v>6743</v>
      </c>
      <c r="K36" s="93">
        <f t="shared" si="17"/>
        <v>27022</v>
      </c>
      <c r="L36" s="94">
        <f t="shared" si="18"/>
        <v>5404.4000000000005</v>
      </c>
      <c r="M36" s="84">
        <f>58913.457-58815.919</f>
        <v>97.538000000000466</v>
      </c>
      <c r="N36" s="84">
        <f>3978.387-3977.403</f>
        <v>0.98400000000037835</v>
      </c>
      <c r="O36" s="84">
        <f>9268.079-9267.55</f>
        <v>0.52900000000045111</v>
      </c>
      <c r="P36" s="82">
        <f>79939.716-79872.32</f>
        <v>67.395999999993364</v>
      </c>
      <c r="Q36" s="84">
        <f>22305.938-22298.106</f>
        <v>7.8319999999985157</v>
      </c>
      <c r="R36" s="95">
        <f t="shared" si="19"/>
        <v>68.908999999994194</v>
      </c>
      <c r="S36" s="95">
        <f t="shared" si="20"/>
        <v>540.24655999995446</v>
      </c>
      <c r="T36" s="95">
        <f t="shared" si="21"/>
        <v>105.36999999999898</v>
      </c>
      <c r="U36" s="95">
        <f t="shared" si="22"/>
        <v>826.10079999999198</v>
      </c>
      <c r="V36" s="84">
        <f>319984.7-319835</f>
        <v>149.70000000001164</v>
      </c>
      <c r="W36" s="84">
        <f t="shared" si="3"/>
        <v>0</v>
      </c>
      <c r="X36" s="93" t="s">
        <v>104</v>
      </c>
      <c r="Y36" s="87">
        <v>775512</v>
      </c>
      <c r="Z36" s="96">
        <f t="shared" si="23"/>
        <v>433</v>
      </c>
      <c r="AA36" s="94">
        <f t="shared" si="24"/>
        <v>2801.5099999999998</v>
      </c>
      <c r="AB36" s="88">
        <v>2675901.6</v>
      </c>
      <c r="AC36" s="87">
        <f t="shared" si="11"/>
        <v>2666334.5</v>
      </c>
      <c r="AD36" s="96">
        <f t="shared" si="4"/>
        <v>9567.1000000000931</v>
      </c>
      <c r="AE36" s="95">
        <f t="shared" si="12"/>
        <v>3189.8146465000314</v>
      </c>
      <c r="AF36" s="95">
        <f>82265.7-82248.8</f>
        <v>16.899999999994179</v>
      </c>
      <c r="AG36" s="95">
        <f>42918.6-42912.8</f>
        <v>5.7999999999956344</v>
      </c>
      <c r="AH36" s="95">
        <f>25852-25845.3</f>
        <v>6.7000000000007276</v>
      </c>
      <c r="AI36" s="88">
        <f t="shared" si="13"/>
        <v>40460.6</v>
      </c>
      <c r="AJ36" s="87">
        <v>40473.9</v>
      </c>
      <c r="AK36" s="97">
        <f t="shared" si="25"/>
        <v>13.30000000000291</v>
      </c>
      <c r="AL36" s="98">
        <f t="shared" si="26"/>
        <v>3781.7903099978275</v>
      </c>
      <c r="AM36" s="95">
        <f t="shared" si="27"/>
        <v>1260.9056162079257</v>
      </c>
      <c r="AN36" s="96">
        <v>61</v>
      </c>
      <c r="AO36" s="99">
        <f>L36+U36+AA36+AE36</f>
        <v>12221.825446500025</v>
      </c>
    </row>
    <row r="37" spans="1:41" x14ac:dyDescent="0.25">
      <c r="A37" s="76"/>
      <c r="D37" s="6">
        <f>SUM(D6:D36)</f>
        <v>27679</v>
      </c>
      <c r="E37" s="6" t="s">
        <v>93</v>
      </c>
      <c r="G37" s="6">
        <f t="shared" ref="G37:L37" si="29">SUM(G6:G36)</f>
        <v>80865</v>
      </c>
      <c r="H37" s="6">
        <f t="shared" si="29"/>
        <v>111101</v>
      </c>
      <c r="I37" s="6">
        <f t="shared" si="29"/>
        <v>73577</v>
      </c>
      <c r="J37" s="6">
        <f t="shared" si="29"/>
        <v>213966</v>
      </c>
      <c r="K37" s="6">
        <f t="shared" si="29"/>
        <v>835219</v>
      </c>
      <c r="L37" s="15">
        <f t="shared" si="29"/>
        <v>167043.80000000002</v>
      </c>
      <c r="R37" s="16">
        <f>SUM(R6:R36)</f>
        <v>2182.1029999999964</v>
      </c>
      <c r="T37" s="16">
        <f>SUM(T6:T36)</f>
        <v>4020.1900000000023</v>
      </c>
      <c r="U37" s="16">
        <f t="shared" si="16"/>
        <v>31518.289600000018</v>
      </c>
      <c r="Z37" s="17">
        <f>SUM(Z6:Z36)</f>
        <v>13862</v>
      </c>
      <c r="AA37" s="17">
        <f>SUM(AA6:AA36)</f>
        <v>89687.139999999985</v>
      </c>
      <c r="AD37" s="17">
        <f>SUM(AD6:AD36)</f>
        <v>277834.70000000019</v>
      </c>
      <c r="AE37" s="16">
        <f>AD37*0.334569</f>
        <v>92954.877744300058</v>
      </c>
      <c r="AF37" s="16">
        <f>SUM(AF6:AF36)</f>
        <v>515.09999999999127</v>
      </c>
      <c r="AG37" s="16">
        <f>SUM(AG6:AG36)</f>
        <v>167.69999999999709</v>
      </c>
      <c r="AH37" s="16">
        <f>SUM(AH6:AH36)</f>
        <v>187.60000000000218</v>
      </c>
      <c r="AK37" s="42">
        <f>SUM(AK6:AK36)</f>
        <v>363.40000000000146</v>
      </c>
      <c r="AL37" s="42">
        <f>SUM(AL6:AL36)</f>
        <v>103331.0224551064</v>
      </c>
      <c r="AM37" s="42">
        <f>SUM(AM6:AM36)</f>
        <v>34452.1128518693</v>
      </c>
      <c r="AN37" s="42">
        <f>SUM(AN6:AN36)</f>
        <v>2121</v>
      </c>
      <c r="AO37" s="42">
        <f>SUM(AO6:AO36)</f>
        <v>380883.4861005001</v>
      </c>
    </row>
    <row r="38" spans="1:41" x14ac:dyDescent="0.25">
      <c r="D38" s="6" t="e">
        <f>#REF!*24</f>
        <v>#REF!</v>
      </c>
      <c r="E38" s="6" t="s">
        <v>1</v>
      </c>
      <c r="R38" s="16">
        <v>7.84</v>
      </c>
      <c r="T38" s="16" t="s">
        <v>99</v>
      </c>
      <c r="U38" s="16">
        <f>U37-R39</f>
        <v>14410.602080000048</v>
      </c>
    </row>
    <row r="39" spans="1:41" x14ac:dyDescent="0.25">
      <c r="D39" s="6" t="e">
        <f>D38*31</f>
        <v>#REF!</v>
      </c>
      <c r="E39" s="6" t="s">
        <v>2</v>
      </c>
      <c r="F39" s="6" t="s">
        <v>94</v>
      </c>
      <c r="G39" s="6" t="e">
        <f>D39*0.2</f>
        <v>#REF!</v>
      </c>
      <c r="R39" s="16">
        <f>R37*R38</f>
        <v>17107.68751999997</v>
      </c>
      <c r="U39" s="16">
        <f>U38/R38</f>
        <v>1838.0870000000061</v>
      </c>
    </row>
    <row r="40" spans="1:41" x14ac:dyDescent="0.25">
      <c r="D40" s="15" t="e">
        <f>D39*0.2</f>
        <v>#REF!</v>
      </c>
    </row>
    <row r="41" spans="1:41" x14ac:dyDescent="0.25">
      <c r="E41" s="68" t="s">
        <v>98</v>
      </c>
    </row>
    <row r="42" spans="1:41" x14ac:dyDescent="0.25">
      <c r="AD42" s="6">
        <f>G42*0.2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Janet Perona</cp:lastModifiedBy>
  <dcterms:created xsi:type="dcterms:W3CDTF">2017-05-03T09:23:30Z</dcterms:created>
  <dcterms:modified xsi:type="dcterms:W3CDTF">2021-02-10T08:19:37Z</dcterms:modified>
</cp:coreProperties>
</file>