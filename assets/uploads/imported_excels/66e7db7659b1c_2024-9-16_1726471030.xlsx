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303650A9-10B6-4215-B62F-D6D383D2A819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E32" i="2"/>
  <c r="C32" i="2"/>
  <c r="Y31" i="2"/>
  <c r="K31" i="2"/>
  <c r="G31" i="2"/>
  <c r="E31" i="2"/>
  <c r="C31" i="2"/>
  <c r="Y30" i="2"/>
  <c r="K30" i="2"/>
  <c r="G30" i="2"/>
  <c r="E30" i="2"/>
  <c r="C30" i="2"/>
  <c r="Y29" i="2"/>
  <c r="U29" i="2"/>
  <c r="G29" i="3" s="1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H23" i="2" s="1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G34" i="2" s="1"/>
  <c r="E2" i="2"/>
  <c r="C2" i="2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20" i="2"/>
  <c r="I15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<sst xmlns="http://schemas.openxmlformats.org/spreadsheetml/2006/main" count="77" uniqueCount="40">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</sst>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14" workbookViewId="0">
      <selection activeCell="C33" sqref="C33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-82177.2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0</v>
      </c>
      <c r="F17" s="118">
        <f>(September!C17*0.27)/(September!C17+September!E17)</f>
        <v>0.25908749807184855</v>
      </c>
      <c r="G17" s="105">
        <f>September!U17</f>
        <v>0</v>
      </c>
      <c r="H17" s="121">
        <v>0.62</v>
      </c>
      <c r="I17" s="106" t="str">
        <f>September!W17</f>
        <v>0</v>
      </c>
      <c r="J17" s="107">
        <v>2.42</v>
      </c>
      <c r="K17" s="114">
        <f>September!AB17*5.04</f>
        <v>0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0</v>
      </c>
      <c r="P17" s="108">
        <f>September!AD17</f>
        <v>0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0</v>
      </c>
      <c r="F18" s="118" t="e">
        <f>(September!C18*0.27)/(September!C18+September!E18)</f>
        <v>#DIV/0!</v>
      </c>
      <c r="G18" s="105">
        <f>September!U18</f>
        <v>0</v>
      </c>
      <c r="H18" s="121">
        <v>0.62</v>
      </c>
      <c r="I18" s="106">
        <f>September!W18</f>
        <v>0</v>
      </c>
      <c r="J18" s="107">
        <v>2.42</v>
      </c>
      <c r="K18" s="114">
        <f>September!AB18*5.04</f>
        <v>0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0</v>
      </c>
      <c r="P18" s="108">
        <f>September!AD18</f>
        <v>0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0</v>
      </c>
      <c r="F19" s="118" t="e">
        <f>(September!C19*0.27)/(September!C19+September!E19)</f>
        <v>#DIV/0!</v>
      </c>
      <c r="G19" s="105">
        <f>September!U19</f>
        <v>0</v>
      </c>
      <c r="H19" s="121">
        <v>0.62</v>
      </c>
      <c r="I19" s="106">
        <f>September!W19</f>
        <v>0</v>
      </c>
      <c r="J19" s="107">
        <v>2.42</v>
      </c>
      <c r="K19" s="114">
        <f>September!AB19*5.04</f>
        <v>0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0</v>
      </c>
      <c r="P19" s="108">
        <f>September!AD19</f>
        <v>0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0</v>
      </c>
      <c r="F20" s="118" t="e">
        <f>(September!C20*0.27)/(September!C20+September!E20)</f>
        <v>#DIV/0!</v>
      </c>
      <c r="G20" s="105">
        <f>September!U20</f>
        <v>0</v>
      </c>
      <c r="H20" s="121">
        <v>0.62</v>
      </c>
      <c r="I20" s="106">
        <f>September!W20</f>
        <v>0</v>
      </c>
      <c r="J20" s="107">
        <v>2.42</v>
      </c>
      <c r="K20" s="114">
        <f>September!AB20*5.04</f>
        <v>0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0</v>
      </c>
      <c r="P20" s="108">
        <f>September!AD20</f>
        <v>0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33" sqref="A3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45536</v>
      </c>
      <c r="B2" s="8">
        <v>12691724</v>
      </c>
      <c r="C2" s="14">
        <f>B3-B2</f>
        <v>8533</v>
      </c>
      <c r="D2" s="9">
        <v>521626</v>
      </c>
      <c r="E2" s="14">
        <f>D3-D2</f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0">I3-I2</f>
        <v>-324.87999999999738</v>
      </c>
      <c r="K2" s="19">
        <f t="shared" ref="K2:K33" si="1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2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IF((Z2-Z3-AA2)=Z2,"0",(Z2-Z3-AA2))</f>
        <v>205</v>
      </c>
      <c r="AC2" s="12">
        <v>156</v>
      </c>
      <c r="AD2" s="17">
        <v>316</v>
      </c>
    </row>
    <row r="3" spans="1:30" ht="20.7" customHeight="1" x14ac:dyDescent="0.2">
      <c r="A3" s="20">
        <v>45537</v>
      </c>
      <c r="B3" s="10">
        <v>12700257</v>
      </c>
      <c r="C3" s="14">
        <f t="shared" ref="C3:C32" si="3">B4-B3</f>
        <v>8152</v>
      </c>
      <c r="D3" s="11">
        <v>522830</v>
      </c>
      <c r="E3" s="14">
        <f t="shared" ref="E3:E32" si="4">D4-D3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0"/>
        <v>331.68000000000029</v>
      </c>
      <c r="K3" s="20">
        <f t="shared" si="1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2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IF((Z3-Z4-AA3)=Z3,"0",(Z3-Z4-AA3))</f>
        <v>-16305</v>
      </c>
      <c r="AC3" s="13">
        <v>165</v>
      </c>
      <c r="AD3" s="18">
        <v>337</v>
      </c>
    </row>
    <row r="4" spans="1:30" ht="20.7" customHeight="1" x14ac:dyDescent="0.2">
      <c r="A4" s="20">
        <v>45538</v>
      </c>
      <c r="B4" s="10">
        <v>12708409</v>
      </c>
      <c r="C4" s="14">
        <f t="shared" si="3"/>
        <v>8521</v>
      </c>
      <c r="D4" s="11">
        <v>524091</v>
      </c>
      <c r="E4" s="14">
        <f t="shared" si="4"/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0"/>
        <v>-733.92000000000553</v>
      </c>
      <c r="K4" s="20">
        <f t="shared" si="1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2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</row>
    <row r="5" spans="1:30" ht="20.7" customHeight="1" x14ac:dyDescent="0.2">
      <c r="A5" s="20">
        <v>45539</v>
      </c>
      <c r="B5" s="10">
        <v>12716930</v>
      </c>
      <c r="C5" s="14">
        <f t="shared" si="3"/>
        <v>7803</v>
      </c>
      <c r="D5" s="11">
        <v>525316</v>
      </c>
      <c r="E5" s="14">
        <f t="shared" si="4"/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0"/>
        <v>660.03000000000611</v>
      </c>
      <c r="K5" s="20">
        <f t="shared" si="1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2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</row>
    <row r="6" spans="1:30" ht="20.7" customHeight="1" x14ac:dyDescent="0.2">
      <c r="A6" s="20">
        <v>45540</v>
      </c>
      <c r="B6" s="10">
        <v>12724733</v>
      </c>
      <c r="C6" s="14">
        <f t="shared" si="3"/>
        <v>8425</v>
      </c>
      <c r="D6" s="11">
        <v>526526</v>
      </c>
      <c r="E6" s="14">
        <f t="shared" si="4"/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0"/>
        <v>703.02999999999156</v>
      </c>
      <c r="K6" s="20">
        <f t="shared" si="1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2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</row>
    <row r="7" spans="1:30" ht="20.7" customHeight="1" x14ac:dyDescent="0.2">
      <c r="A7" s="20">
        <v>45541</v>
      </c>
      <c r="B7" s="10">
        <v>12733158</v>
      </c>
      <c r="C7" s="14">
        <f t="shared" si="3"/>
        <v>9115</v>
      </c>
      <c r="D7" s="11">
        <v>527775</v>
      </c>
      <c r="E7" s="14">
        <f t="shared" si="4"/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0"/>
        <v>-110.89999999999418</v>
      </c>
      <c r="K7" s="20">
        <f t="shared" si="1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2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</row>
    <row r="8" spans="1:30" ht="20.7" customHeight="1" x14ac:dyDescent="0.2">
      <c r="A8" s="20">
        <v>45542</v>
      </c>
      <c r="B8" s="10">
        <v>12742273</v>
      </c>
      <c r="C8" s="14">
        <f t="shared" si="3"/>
        <v>9054</v>
      </c>
      <c r="D8" s="11">
        <v>529038</v>
      </c>
      <c r="E8" s="14">
        <f t="shared" si="4"/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0"/>
        <v>216.05999999999767</v>
      </c>
      <c r="K8" s="20">
        <f t="shared" si="1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2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</row>
    <row r="9" spans="1:30" ht="20.7" customHeight="1" x14ac:dyDescent="0.2">
      <c r="A9" s="20">
        <v>45543</v>
      </c>
      <c r="B9" s="10">
        <v>12751327</v>
      </c>
      <c r="C9" s="14">
        <f t="shared" si="3"/>
        <v>9247</v>
      </c>
      <c r="D9" s="11">
        <v>530252</v>
      </c>
      <c r="E9" s="14">
        <f t="shared" si="4"/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0"/>
        <v>-869.90000000000146</v>
      </c>
      <c r="K9" s="20">
        <f t="shared" si="1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2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</row>
    <row r="10" spans="1:30" ht="20.7" customHeight="1" x14ac:dyDescent="0.2">
      <c r="A10" s="20">
        <v>45544</v>
      </c>
      <c r="B10" s="10">
        <v>12760574</v>
      </c>
      <c r="C10" s="14">
        <f t="shared" si="3"/>
        <v>8355</v>
      </c>
      <c r="D10" s="11">
        <v>531490</v>
      </c>
      <c r="E10" s="14">
        <f t="shared" si="4"/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0"/>
        <v>-60.519999999996799</v>
      </c>
      <c r="K10" s="20">
        <f t="shared" si="1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2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</row>
    <row r="11" spans="1:30" ht="20.7" customHeight="1" x14ac:dyDescent="0.2">
      <c r="A11" s="20">
        <v>45545</v>
      </c>
      <c r="B11" s="10">
        <v>12768929</v>
      </c>
      <c r="C11" s="14">
        <f t="shared" si="3"/>
        <v>8285</v>
      </c>
      <c r="D11" s="11">
        <v>532751</v>
      </c>
      <c r="E11" s="14">
        <f t="shared" si="4"/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0"/>
        <v>-35.940000000002328</v>
      </c>
      <c r="K11" s="20">
        <f t="shared" si="1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2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</row>
    <row r="12" spans="1:30" ht="20.7" customHeight="1" x14ac:dyDescent="0.2">
      <c r="A12" s="20">
        <v>45546</v>
      </c>
      <c r="B12" s="10">
        <v>12777214</v>
      </c>
      <c r="C12" s="14">
        <f t="shared" si="3"/>
        <v>8284</v>
      </c>
      <c r="D12" s="11">
        <v>534023</v>
      </c>
      <c r="E12" s="14">
        <f t="shared" si="4"/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0"/>
        <v>886.04000000000087</v>
      </c>
      <c r="K12" s="20">
        <f t="shared" si="1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2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</row>
    <row r="13" spans="1:30" ht="20.7" customHeight="1" x14ac:dyDescent="0.2">
      <c r="A13" s="20">
        <v>45547</v>
      </c>
      <c r="B13" s="10">
        <v>12785498</v>
      </c>
      <c r="C13" s="14">
        <f t="shared" si="3"/>
        <v>9214</v>
      </c>
      <c r="D13" s="11">
        <v>535261</v>
      </c>
      <c r="E13" s="14">
        <f t="shared" si="4"/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0"/>
        <v>-312.95000000000437</v>
      </c>
      <c r="K13" s="20">
        <f t="shared" si="1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2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</row>
    <row r="14" spans="1:30" ht="20.7" customHeight="1" x14ac:dyDescent="0.2">
      <c r="A14" s="20">
        <v>45548</v>
      </c>
      <c r="B14" s="10">
        <v>12794712</v>
      </c>
      <c r="C14" s="14">
        <f t="shared" si="3"/>
        <v>8849</v>
      </c>
      <c r="D14" s="11">
        <v>536456</v>
      </c>
      <c r="E14" s="14">
        <f t="shared" si="4"/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0"/>
        <v>3.0300000000061118</v>
      </c>
      <c r="K14" s="20">
        <f t="shared" si="1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2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</row>
    <row r="15" spans="1:30" ht="20.7" customHeight="1" x14ac:dyDescent="0.2">
      <c r="A15" s="20">
        <v>45549</v>
      </c>
      <c r="B15" s="10">
        <v>12803561</v>
      </c>
      <c r="C15" s="14">
        <f t="shared" si="3"/>
        <v>8907</v>
      </c>
      <c r="D15" s="11">
        <v>537704</v>
      </c>
      <c r="E15" s="14">
        <f t="shared" si="4"/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0"/>
        <v>-224.84999999999854</v>
      </c>
      <c r="K15" s="20">
        <f t="shared" si="1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2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</row>
    <row r="16" spans="1:30" ht="20.7" customHeight="1" x14ac:dyDescent="0.2">
      <c r="A16" s="20">
        <v>45550</v>
      </c>
      <c r="B16" s="10">
        <v>12812468</v>
      </c>
      <c r="C16" s="14">
        <f t="shared" si="3"/>
        <v>8758</v>
      </c>
      <c r="D16" s="11">
        <v>538898</v>
      </c>
      <c r="E16" s="14">
        <f t="shared" si="4"/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0"/>
        <v>-13371120.889999999</v>
      </c>
      <c r="K16" s="20">
        <f t="shared" si="1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2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</row>
    <row r="17" spans="1:30" ht="20.7" customHeight="1" x14ac:dyDescent="0.2">
      <c r="A17" s="20">
        <v>45551</v>
      </c>
      <c r="B17" s="10">
        <v>12821226</v>
      </c>
      <c r="C17" s="14">
        <f t="shared" si="3"/>
        <v>-12821226</v>
      </c>
      <c r="D17" s="11">
        <v>540017</v>
      </c>
      <c r="E17" s="14">
        <f t="shared" si="4"/>
        <v>-540017</v>
      </c>
      <c r="F17" s="28">
        <v>1704</v>
      </c>
      <c r="G17" s="75">
        <f t="shared" si="5"/>
        <v>0</v>
      </c>
      <c r="H17" s="77">
        <f t="shared" si="6"/>
        <v>-13361243</v>
      </c>
      <c r="I17" s="81">
        <f t="shared" si="7"/>
        <v>-13406795.199999999</v>
      </c>
      <c r="J17" s="33">
        <f t="shared" si="0"/>
        <v>13361243.199999999</v>
      </c>
      <c r="K17" s="20">
        <f t="shared" si="1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/>
      <c r="U17" s="33">
        <f t="shared" ref="U17:U20" si="11">IF(OR((S17+T17-S18)&lt;0,S17&gt;S16),"0",(S17+T17-S18))</f>
        <v>0</v>
      </c>
      <c r="V17" s="45">
        <v>115755</v>
      </c>
      <c r="W17" s="33" t="str">
        <f t="shared" si="8"/>
        <v>0</v>
      </c>
      <c r="X17" s="48">
        <v>60692</v>
      </c>
      <c r="Y17" s="33">
        <f t="shared" si="9"/>
        <v>-60692</v>
      </c>
      <c r="Z17" s="51">
        <v>6440</v>
      </c>
      <c r="AA17" s="57">
        <v>0</v>
      </c>
      <c r="AB17" s="33" t="str">
        <f t="shared" si="10"/>
        <v>0</v>
      </c>
      <c r="AC17" s="13"/>
      <c r="AD17" s="18"/>
    </row>
    <row r="18" spans="1:30" ht="20.7" customHeight="1" x14ac:dyDescent="0.2">
      <c r="A18" s="20">
        <v>45552</v>
      </c>
      <c r="B18" s="10"/>
      <c r="C18" s="14">
        <f t="shared" si="3"/>
        <v>0</v>
      </c>
      <c r="D18" s="11"/>
      <c r="E18" s="14">
        <f t="shared" si="4"/>
        <v>0</v>
      </c>
      <c r="F18" s="28">
        <v>1704</v>
      </c>
      <c r="G18" s="75">
        <f t="shared" si="5"/>
        <v>0</v>
      </c>
      <c r="H18" s="77">
        <f t="shared" si="6"/>
        <v>0</v>
      </c>
      <c r="I18" s="81">
        <f t="shared" si="7"/>
        <v>-45552</v>
      </c>
      <c r="J18" s="33">
        <f t="shared" si="0"/>
        <v>-1</v>
      </c>
      <c r="K18" s="20">
        <f t="shared" si="1"/>
        <v>45552</v>
      </c>
      <c r="L18" s="34">
        <v>5660</v>
      </c>
      <c r="M18" s="35">
        <v>0</v>
      </c>
      <c r="N18" s="36">
        <v>0</v>
      </c>
      <c r="O18" s="93"/>
      <c r="P18" s="94"/>
      <c r="Q18" s="93"/>
      <c r="R18" s="94"/>
      <c r="S18" s="40"/>
      <c r="T18" s="39"/>
      <c r="U18" s="33">
        <f t="shared" si="11"/>
        <v>0</v>
      </c>
      <c r="V18" s="45"/>
      <c r="W18" s="33">
        <f t="shared" si="8"/>
        <v>0</v>
      </c>
      <c r="X18" s="48"/>
      <c r="Y18" s="33">
        <f t="shared" si="9"/>
        <v>0</v>
      </c>
      <c r="Z18" s="51"/>
      <c r="AA18" s="57">
        <v>0</v>
      </c>
      <c r="AB18" s="33" t="str">
        <f t="shared" si="10"/>
        <v>0</v>
      </c>
      <c r="AC18" s="13"/>
      <c r="AD18" s="18"/>
    </row>
    <row r="19" spans="1:30" ht="20.7" customHeight="1" x14ac:dyDescent="0.2">
      <c r="A19" s="20">
        <v>45553</v>
      </c>
      <c r="B19" s="10"/>
      <c r="C19" s="14">
        <f t="shared" si="3"/>
        <v>0</v>
      </c>
      <c r="D19" s="11"/>
      <c r="E19" s="14">
        <f t="shared" si="4"/>
        <v>0</v>
      </c>
      <c r="F19" s="28">
        <v>1704</v>
      </c>
      <c r="G19" s="75">
        <f t="shared" si="5"/>
        <v>0</v>
      </c>
      <c r="H19" s="77">
        <f t="shared" si="6"/>
        <v>0</v>
      </c>
      <c r="I19" s="81">
        <f t="shared" si="7"/>
        <v>-45553</v>
      </c>
      <c r="J19" s="33">
        <f t="shared" si="0"/>
        <v>-1</v>
      </c>
      <c r="K19" s="20">
        <f t="shared" si="1"/>
        <v>45553</v>
      </c>
      <c r="L19" s="34">
        <v>5660</v>
      </c>
      <c r="M19" s="35">
        <v>0</v>
      </c>
      <c r="N19" s="36">
        <v>0</v>
      </c>
      <c r="O19" s="93"/>
      <c r="P19" s="94"/>
      <c r="Q19" s="93"/>
      <c r="R19" s="94"/>
      <c r="S19" s="40"/>
      <c r="T19" s="39"/>
      <c r="U19" s="33">
        <f t="shared" si="11"/>
        <v>0</v>
      </c>
      <c r="V19" s="45"/>
      <c r="W19" s="33">
        <f t="shared" si="8"/>
        <v>0</v>
      </c>
      <c r="X19" s="48"/>
      <c r="Y19" s="33">
        <f t="shared" si="9"/>
        <v>0</v>
      </c>
      <c r="Z19" s="51"/>
      <c r="AA19" s="57">
        <v>0</v>
      </c>
      <c r="AB19" s="33" t="str">
        <f t="shared" si="10"/>
        <v>0</v>
      </c>
      <c r="AC19" s="13"/>
      <c r="AD19" s="18"/>
    </row>
    <row r="20" spans="1:30" ht="20.7" customHeight="1" x14ac:dyDescent="0.2">
      <c r="A20" s="20">
        <v>45554</v>
      </c>
      <c r="B20" s="10"/>
      <c r="C20" s="14">
        <f t="shared" si="3"/>
        <v>0</v>
      </c>
      <c r="D20" s="11"/>
      <c r="E20" s="14">
        <f t="shared" si="4"/>
        <v>0</v>
      </c>
      <c r="F20" s="28">
        <v>1704</v>
      </c>
      <c r="G20" s="75">
        <f t="shared" si="5"/>
        <v>0</v>
      </c>
      <c r="H20" s="77">
        <f t="shared" si="6"/>
        <v>0</v>
      </c>
      <c r="I20" s="81">
        <f t="shared" si="7"/>
        <v>-45554</v>
      </c>
      <c r="J20" s="33">
        <f t="shared" si="0"/>
        <v>-1</v>
      </c>
      <c r="K20" s="20">
        <f t="shared" si="1"/>
        <v>45554</v>
      </c>
      <c r="L20" s="34">
        <v>5661</v>
      </c>
      <c r="M20" s="35">
        <v>0</v>
      </c>
      <c r="N20" s="36">
        <v>0</v>
      </c>
      <c r="O20" s="93"/>
      <c r="P20" s="94"/>
      <c r="Q20" s="93"/>
      <c r="R20" s="94"/>
      <c r="S20" s="40"/>
      <c r="T20" s="39"/>
      <c r="U20" s="33">
        <f t="shared" si="11"/>
        <v>0</v>
      </c>
      <c r="V20" s="45"/>
      <c r="W20" s="33">
        <f t="shared" si="8"/>
        <v>0</v>
      </c>
      <c r="X20" s="48"/>
      <c r="Y20" s="33">
        <f t="shared" si="9"/>
        <v>0</v>
      </c>
      <c r="Z20" s="51"/>
      <c r="AA20" s="57">
        <v>0</v>
      </c>
      <c r="AB20" s="33" t="str">
        <f t="shared" si="10"/>
        <v>0</v>
      </c>
      <c r="AC20" s="13"/>
      <c r="AD20" s="18"/>
    </row>
    <row r="21" spans="1:30" ht="20.7" customHeight="1" x14ac:dyDescent="0.2">
      <c r="A21" s="20">
        <v>45555</v>
      </c>
      <c r="B21" s="10"/>
      <c r="C21" s="14">
        <f t="shared" si="3"/>
        <v>0</v>
      </c>
      <c r="D21" s="11"/>
      <c r="E21" s="14">
        <f t="shared" si="4"/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-45555</v>
      </c>
      <c r="J21" s="33">
        <f t="shared" si="0"/>
        <v>-1</v>
      </c>
      <c r="K21" s="20">
        <f t="shared" si="1"/>
        <v>45555</v>
      </c>
      <c r="L21" s="34">
        <v>5660</v>
      </c>
      <c r="M21" s="35">
        <v>0</v>
      </c>
      <c r="N21" s="36">
        <v>0</v>
      </c>
      <c r="O21" s="93"/>
      <c r="P21" s="94"/>
      <c r="Q21" s="93"/>
      <c r="R21" s="94"/>
      <c r="S21" s="41"/>
      <c r="T21" s="39"/>
      <c r="U21" s="33">
        <f>IF(OR((S21+T21-S22)&lt;0,S21&gt;S20),"0",(S21+T21-S22))</f>
        <v>0</v>
      </c>
      <c r="V21" s="45"/>
      <c r="W21" s="33">
        <f t="shared" si="8"/>
        <v>0</v>
      </c>
      <c r="X21" s="48"/>
      <c r="Y21" s="33">
        <f t="shared" si="9"/>
        <v>0</v>
      </c>
      <c r="Z21" s="51"/>
      <c r="AA21" s="57">
        <v>0</v>
      </c>
      <c r="AB21" s="33" t="str">
        <f t="shared" si="10"/>
        <v>0</v>
      </c>
      <c r="AC21" s="13"/>
      <c r="AD21" s="18"/>
    </row>
    <row r="22" spans="1:30" ht="20.7" customHeight="1" x14ac:dyDescent="0.2">
      <c r="A22" s="20">
        <v>45556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0"/>
        <v>-1</v>
      </c>
      <c r="K22" s="20">
        <f t="shared" si="1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12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</row>
    <row r="23" spans="1:30" ht="20.7" customHeight="1" x14ac:dyDescent="0.2">
      <c r="A23" s="20">
        <v>45557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0"/>
        <v>-1</v>
      </c>
      <c r="K23" s="20">
        <f t="shared" si="1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12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</row>
    <row r="24" spans="1:30" ht="20.7" customHeight="1" x14ac:dyDescent="0.2">
      <c r="A24" s="20">
        <v>45558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0"/>
        <v>-1</v>
      </c>
      <c r="K24" s="20">
        <f t="shared" si="1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12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</row>
    <row r="25" spans="1:30" ht="20.7" customHeight="1" x14ac:dyDescent="0.2">
      <c r="A25" s="20">
        <v>45559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0"/>
        <v>-1</v>
      </c>
      <c r="K25" s="20">
        <f t="shared" si="1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12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</row>
    <row r="26" spans="1:30" ht="20.7" customHeight="1" x14ac:dyDescent="0.2">
      <c r="A26" s="20">
        <v>45560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0"/>
        <v>-1</v>
      </c>
      <c r="K26" s="20">
        <f t="shared" si="1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12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</row>
    <row r="27" spans="1:30" ht="20.7" customHeight="1" x14ac:dyDescent="0.2">
      <c r="A27" s="20">
        <v>45561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0"/>
        <v>-1</v>
      </c>
      <c r="K27" s="20">
        <f t="shared" si="1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12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</row>
    <row r="28" spans="1:30" ht="20.7" customHeight="1" x14ac:dyDescent="0.2">
      <c r="A28" s="20">
        <v>45562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0"/>
        <v>-1</v>
      </c>
      <c r="K28" s="20">
        <f t="shared" si="1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12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</row>
    <row r="29" spans="1:30" ht="20.7" customHeight="1" x14ac:dyDescent="0.2">
      <c r="A29" s="20">
        <v>45563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0"/>
        <v>-1</v>
      </c>
      <c r="K29" s="20">
        <f t="shared" si="1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12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</row>
    <row r="30" spans="1:30" ht="20.7" customHeight="1" x14ac:dyDescent="0.2">
      <c r="A30" s="20">
        <v>45564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0"/>
        <v>-1</v>
      </c>
      <c r="K30" s="20">
        <f t="shared" si="1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12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</row>
    <row r="31" spans="1:30" ht="20.7" customHeight="1" x14ac:dyDescent="0.2">
      <c r="A31" s="20">
        <v>45565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0"/>
        <v>-1</v>
      </c>
      <c r="K31" s="20">
        <f t="shared" si="1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12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</row>
    <row r="32" spans="1:30" ht="20.7" customHeight="1" thickBot="1" x14ac:dyDescent="0.25">
      <c r="A32" s="20">
        <v>45566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0"/>
        <v>45566</v>
      </c>
      <c r="K32" s="20">
        <f t="shared" si="1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12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</row>
    <row r="33" spans="1:30" ht="20.7" customHeight="1" thickTop="1" thickBot="1" x14ac:dyDescent="0.2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-12691724</v>
      </c>
      <c r="D34" s="85"/>
      <c r="E34" s="84">
        <f>SUM(E2:E33)</f>
        <v>-521626</v>
      </c>
      <c r="F34" s="86"/>
      <c r="G34" s="84">
        <f>SUM(G2:G33)</f>
        <v>0</v>
      </c>
      <c r="H34" s="85">
        <f>SUM(H2:H33)</f>
        <v>-13213350</v>
      </c>
      <c r="I34" s="84">
        <f>SUM(I2:I32)</f>
        <v>-14625453.109999999</v>
      </c>
      <c r="J34" s="84">
        <f>SUM(J2:J33)</f>
        <v>35800.320000000298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1493</v>
      </c>
      <c r="U34" s="84">
        <f>SUM(U2:U33)</f>
        <v>1493</v>
      </c>
      <c r="V34" s="83"/>
      <c r="W34" s="84">
        <f>SUM(W2:W33)</f>
        <v>1788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-13385</v>
      </c>
      <c r="AC34" s="87">
        <f>SUM(AC2:AC33)</f>
        <v>3204</v>
      </c>
      <c r="AD34" s="88">
        <f>SUM(AD2:AD33)</f>
        <v>6197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2024-09-16T06:54:51Z</dcterms:modified>
  <cp:category/>
  <cp:contentStatus/>
</cp:coreProperties>
</file>