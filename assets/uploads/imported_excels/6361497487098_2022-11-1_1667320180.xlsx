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ineering\Meter Readings\Meter Readings\2022\"/>
    </mc:Choice>
  </mc:AlternateContent>
  <xr:revisionPtr revIDLastSave="0" documentId="8_{7A67848E-9CEA-47AB-8545-1C98C599972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3" i="1" l="1"/>
  <c r="L32" i="1"/>
  <c r="O29" i="1"/>
  <c r="Q29" i="1"/>
  <c r="G19" i="1"/>
  <c r="E19" i="1"/>
  <c r="C19" i="1"/>
  <c r="BI15" i="1"/>
  <c r="J13" i="1"/>
  <c r="V9" i="1"/>
  <c r="X9" i="1"/>
  <c r="Z9" i="1"/>
  <c r="AB9" i="1"/>
  <c r="AD9" i="1"/>
  <c r="AG9" i="1"/>
  <c r="BI8" i="1"/>
  <c r="AM7" i="1"/>
  <c r="AK7" i="1"/>
  <c r="AI7" i="1"/>
  <c r="AG7" i="1"/>
  <c r="AB7" i="1"/>
  <c r="Z7" i="1"/>
  <c r="BY34" i="1"/>
  <c r="BW34" i="1"/>
  <c r="BU34" i="1"/>
  <c r="BS34" i="1"/>
  <c r="BQ34" i="1"/>
  <c r="BO34" i="1"/>
  <c r="BM34" i="1"/>
  <c r="BK34" i="1"/>
  <c r="BI34" i="1"/>
  <c r="BF34" i="1"/>
  <c r="BD34" i="1"/>
  <c r="BB34" i="1"/>
  <c r="AZ34" i="1"/>
  <c r="AX34" i="1"/>
  <c r="AV34" i="1"/>
  <c r="AT34" i="1"/>
  <c r="AR34" i="1"/>
  <c r="AO34" i="1"/>
  <c r="AM34" i="1"/>
  <c r="AK34" i="1"/>
  <c r="AI34" i="1"/>
  <c r="AG34" i="1"/>
  <c r="AD34" i="1"/>
  <c r="AB34" i="1"/>
  <c r="Z34" i="1"/>
  <c r="X34" i="1"/>
  <c r="V34" i="1"/>
  <c r="S34" i="1"/>
  <c r="Q34" i="1"/>
  <c r="O34" i="1"/>
  <c r="L34" i="1"/>
  <c r="J34" i="1"/>
  <c r="G34" i="1"/>
  <c r="E34" i="1"/>
  <c r="C34" i="1"/>
  <c r="A34" i="1"/>
  <c r="C4" i="1"/>
  <c r="E4" i="1"/>
  <c r="G4" i="1"/>
  <c r="J4" i="1"/>
  <c r="L4" i="1"/>
  <c r="O4" i="1"/>
  <c r="Q4" i="1"/>
  <c r="S4" i="1"/>
  <c r="V4" i="1"/>
  <c r="X4" i="1"/>
  <c r="Z4" i="1"/>
  <c r="AB4" i="1"/>
  <c r="AD4" i="1"/>
  <c r="AI4" i="1"/>
  <c r="AK4" i="1"/>
  <c r="AM4" i="1"/>
  <c r="AO4" i="1"/>
  <c r="AR4" i="1"/>
  <c r="AT4" i="1"/>
  <c r="AV4" i="1"/>
  <c r="AZ4" i="1"/>
  <c r="BD4" i="1"/>
  <c r="BF4" i="1"/>
  <c r="BK4" i="1"/>
  <c r="BM4" i="1"/>
  <c r="BO4" i="1"/>
  <c r="BQ4" i="1"/>
  <c r="BS4" i="1"/>
  <c r="BU4" i="1"/>
  <c r="BW4" i="1"/>
  <c r="BY4" i="1"/>
  <c r="Z18" i="1"/>
  <c r="X18" i="1"/>
  <c r="AG15" i="1"/>
  <c r="AI15" i="1"/>
  <c r="AK15" i="1"/>
  <c r="AM15" i="1"/>
  <c r="BB11" i="1"/>
  <c r="BD11" i="1"/>
  <c r="BF11" i="1"/>
  <c r="BB4" i="1"/>
  <c r="AX4" i="1"/>
  <c r="AG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BS31" i="1"/>
  <c r="BU31" i="1"/>
  <c r="BW31" i="1"/>
  <c r="G22" i="1"/>
  <c r="G21" i="1"/>
  <c r="AT21" i="1"/>
  <c r="AV21" i="1"/>
  <c r="AX21" i="1"/>
  <c r="AZ21" i="1"/>
  <c r="AB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19" i="1"/>
  <c r="AI18" i="1"/>
  <c r="C17" i="1"/>
  <c r="C13" i="1"/>
  <c r="BY6" i="1"/>
  <c r="BY5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2" i="1"/>
  <c r="BW33" i="1"/>
  <c r="BW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2" i="1"/>
  <c r="BU33" i="1"/>
  <c r="BU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2" i="1"/>
  <c r="BS33" i="1"/>
  <c r="BS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5" i="1"/>
  <c r="BI6" i="1"/>
  <c r="BI7" i="1"/>
  <c r="BI9" i="1"/>
  <c r="BI10" i="1"/>
  <c r="BI11" i="1"/>
  <c r="BI12" i="1"/>
  <c r="BI13" i="1"/>
  <c r="BI14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5" i="1"/>
  <c r="L10" i="1"/>
  <c r="BY36" i="1" l="1"/>
  <c r="BY38" i="1" s="1"/>
  <c r="BY39" i="1" s="1"/>
  <c r="BW36" i="1"/>
  <c r="BW38" i="1" s="1"/>
  <c r="BW39" i="1" s="1"/>
  <c r="BU36" i="1"/>
  <c r="BU38" i="1" s="1"/>
  <c r="BU39" i="1" s="1"/>
  <c r="BS36" i="1"/>
  <c r="BS38" i="1" s="1"/>
  <c r="BS39" i="1" s="1"/>
  <c r="BQ36" i="1"/>
  <c r="BQ38" i="1" s="1"/>
  <c r="BQ39" i="1" s="1"/>
  <c r="BO36" i="1"/>
  <c r="BO38" i="1" s="1"/>
  <c r="BO39" i="1" s="1"/>
  <c r="BM36" i="1"/>
  <c r="BM38" i="1" s="1"/>
  <c r="BM39" i="1" s="1"/>
  <c r="BK36" i="1"/>
  <c r="BK38" i="1" s="1"/>
  <c r="BK39" i="1" s="1"/>
  <c r="BI36" i="1"/>
  <c r="BI38" i="1" s="1"/>
  <c r="BI39" i="1" s="1"/>
  <c r="AB5" i="1"/>
  <c r="BF5" i="1"/>
  <c r="BD5" i="1"/>
  <c r="BB5" i="1"/>
  <c r="AZ5" i="1"/>
  <c r="AX5" i="1"/>
  <c r="AV5" i="1"/>
  <c r="AT5" i="1"/>
  <c r="AR6" i="1"/>
  <c r="AR10" i="1"/>
  <c r="AD5" i="1"/>
  <c r="AE38" i="1" l="1"/>
  <c r="O5" i="1"/>
  <c r="C5" i="1"/>
  <c r="C33" i="1" l="1"/>
  <c r="AB20" i="1"/>
  <c r="AB30" i="1"/>
  <c r="E24" i="1"/>
  <c r="BF22" i="1"/>
  <c r="C15" i="1"/>
  <c r="AB14" i="1"/>
  <c r="AB17" i="1"/>
  <c r="AB16" i="1"/>
  <c r="AB15" i="1"/>
  <c r="AM10" i="1"/>
  <c r="BF6" i="1"/>
  <c r="BF7" i="1"/>
  <c r="BF8" i="1"/>
  <c r="BF9" i="1"/>
  <c r="BF10" i="1"/>
  <c r="BF12" i="1"/>
  <c r="BF13" i="1"/>
  <c r="BF14" i="1"/>
  <c r="BF15" i="1"/>
  <c r="BF16" i="1"/>
  <c r="BF17" i="1"/>
  <c r="BF18" i="1"/>
  <c r="BF19" i="1"/>
  <c r="BF20" i="1"/>
  <c r="BF21" i="1"/>
  <c r="BF23" i="1"/>
  <c r="BF24" i="1"/>
  <c r="BF25" i="1"/>
  <c r="BF26" i="1"/>
  <c r="BF27" i="1"/>
  <c r="BF28" i="1"/>
  <c r="BF29" i="1"/>
  <c r="BF30" i="1"/>
  <c r="BF31" i="1"/>
  <c r="BF32" i="1"/>
  <c r="BF33" i="1"/>
  <c r="BD6" i="1"/>
  <c r="BD7" i="1"/>
  <c r="BD8" i="1"/>
  <c r="BD9" i="1"/>
  <c r="BD10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B6" i="1"/>
  <c r="BB7" i="1"/>
  <c r="BB8" i="1"/>
  <c r="BB9" i="1"/>
  <c r="BB10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AZ6" i="1"/>
  <c r="AZ7" i="1"/>
  <c r="AZ8" i="1"/>
  <c r="AZ9" i="1"/>
  <c r="AZ10" i="1"/>
  <c r="AZ11" i="1"/>
  <c r="AZ12" i="1"/>
  <c r="AZ13" i="1"/>
  <c r="AZ14" i="1"/>
  <c r="AZ15" i="1"/>
  <c r="AZ16" i="1"/>
  <c r="AZ19" i="1"/>
  <c r="AZ20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R7" i="1"/>
  <c r="AR8" i="1"/>
  <c r="AR9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5" i="1"/>
  <c r="AD6" i="1"/>
  <c r="AD7" i="1"/>
  <c r="AD8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B6" i="1"/>
  <c r="AB8" i="1"/>
  <c r="AB10" i="1"/>
  <c r="AB11" i="1"/>
  <c r="AB12" i="1"/>
  <c r="AB13" i="1"/>
  <c r="AB18" i="1"/>
  <c r="AB23" i="1"/>
  <c r="AB24" i="1"/>
  <c r="AB25" i="1"/>
  <c r="AB26" i="1"/>
  <c r="AB27" i="1"/>
  <c r="AB28" i="1"/>
  <c r="AB29" i="1"/>
  <c r="AB32" i="1"/>
  <c r="Z6" i="1"/>
  <c r="Z8" i="1"/>
  <c r="Z10" i="1"/>
  <c r="Z11" i="1"/>
  <c r="Z12" i="1"/>
  <c r="Z13" i="1"/>
  <c r="Z14" i="1"/>
  <c r="Z15" i="1"/>
  <c r="Z16" i="1"/>
  <c r="Z17" i="1"/>
  <c r="Z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3" i="1"/>
  <c r="L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33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5" i="1"/>
  <c r="AM6" i="1"/>
  <c r="AM8" i="1"/>
  <c r="AM9" i="1"/>
  <c r="AM11" i="1"/>
  <c r="AM12" i="1"/>
  <c r="AM13" i="1"/>
  <c r="AM14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5" i="1"/>
  <c r="AK8" i="1"/>
  <c r="AK9" i="1"/>
  <c r="AK10" i="1"/>
  <c r="AK11" i="1"/>
  <c r="AK12" i="1"/>
  <c r="AK13" i="1"/>
  <c r="AK14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30" i="1"/>
  <c r="AK31" i="1"/>
  <c r="AK32" i="1"/>
  <c r="AK33" i="1"/>
  <c r="AK5" i="1"/>
  <c r="AI6" i="1"/>
  <c r="AI8" i="1"/>
  <c r="AI9" i="1"/>
  <c r="AI10" i="1"/>
  <c r="AI11" i="1"/>
  <c r="AI12" i="1"/>
  <c r="AI13" i="1"/>
  <c r="AI14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5" i="1"/>
  <c r="AG6" i="1"/>
  <c r="AG8" i="1"/>
  <c r="AG10" i="1"/>
  <c r="AG11" i="1"/>
  <c r="AG12" i="1"/>
  <c r="AG13" i="1"/>
  <c r="AG14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5" i="1"/>
  <c r="X6" i="1"/>
  <c r="X7" i="1"/>
  <c r="X8" i="1"/>
  <c r="X10" i="1"/>
  <c r="X11" i="1"/>
  <c r="X12" i="1"/>
  <c r="X13" i="1"/>
  <c r="X14" i="1"/>
  <c r="X15" i="1"/>
  <c r="X16" i="1"/>
  <c r="X17" i="1"/>
  <c r="X5" i="1"/>
  <c r="V6" i="1"/>
  <c r="V7" i="1"/>
  <c r="V8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30" i="1"/>
  <c r="Q31" i="1"/>
  <c r="Q32" i="1"/>
  <c r="Q33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5" i="1"/>
  <c r="Q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0" i="1"/>
  <c r="G23" i="1"/>
  <c r="G24" i="1"/>
  <c r="G25" i="1"/>
  <c r="G26" i="1"/>
  <c r="G27" i="1"/>
  <c r="G28" i="1"/>
  <c r="G29" i="1"/>
  <c r="G30" i="1"/>
  <c r="G31" i="1"/>
  <c r="G32" i="1"/>
  <c r="G33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5" i="1"/>
  <c r="C6" i="1"/>
  <c r="C7" i="1"/>
  <c r="C8" i="1"/>
  <c r="C9" i="1"/>
  <c r="C10" i="1"/>
  <c r="C11" i="1"/>
  <c r="C12" i="1"/>
  <c r="C14" i="1"/>
  <c r="C16" i="1"/>
  <c r="C18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L36" i="1" l="1"/>
  <c r="L38" i="1" s="1"/>
  <c r="L39" i="1" s="1"/>
  <c r="AO36" i="1"/>
  <c r="AO38" i="1" s="1"/>
  <c r="AO39" i="1" s="1"/>
  <c r="S36" i="1"/>
  <c r="S38" i="1" s="1"/>
  <c r="S39" i="1" s="1"/>
  <c r="Q36" i="1"/>
  <c r="Q38" i="1" s="1"/>
  <c r="Q39" i="1" s="1"/>
  <c r="O36" i="1"/>
  <c r="O38" i="1" s="1"/>
  <c r="O39" i="1" s="1"/>
  <c r="J36" i="1"/>
  <c r="J38" i="1" s="1"/>
  <c r="J39" i="1" s="1"/>
  <c r="G36" i="1"/>
  <c r="G38" i="1" s="1"/>
  <c r="G39" i="1" s="1"/>
  <c r="C36" i="1"/>
  <c r="C38" i="1" s="1"/>
  <c r="C39" i="1" s="1"/>
  <c r="E36" i="1"/>
  <c r="E38" i="1" s="1"/>
  <c r="E39" i="1" s="1"/>
  <c r="AG36" i="1"/>
  <c r="AG38" i="1" s="1"/>
  <c r="AG39" i="1" s="1"/>
  <c r="AD36" i="1"/>
  <c r="AD38" i="1" s="1"/>
  <c r="AD39" i="1" s="1"/>
  <c r="Z36" i="1"/>
  <c r="Z38" i="1" s="1"/>
  <c r="Z39" i="1" s="1"/>
  <c r="X36" i="1"/>
  <c r="X38" i="1" s="1"/>
  <c r="X39" i="1" s="1"/>
  <c r="V36" i="1"/>
  <c r="V38" i="1" s="1"/>
  <c r="V39" i="1" s="1"/>
  <c r="AI36" i="1"/>
  <c r="AI38" i="1" s="1"/>
  <c r="AI39" i="1" s="1"/>
  <c r="AM36" i="1"/>
  <c r="AM38" i="1" s="1"/>
  <c r="AM39" i="1" s="1"/>
  <c r="BF36" i="1"/>
  <c r="BF38" i="1" s="1"/>
  <c r="BF39" i="1" s="1"/>
  <c r="BD36" i="1"/>
  <c r="BD38" i="1" s="1"/>
  <c r="BD39" i="1" s="1"/>
  <c r="AB22" i="1"/>
  <c r="AB21" i="1"/>
  <c r="AB31" i="1"/>
  <c r="BB36" i="1"/>
  <c r="BB38" i="1" s="1"/>
  <c r="BB39" i="1" s="1"/>
  <c r="AV36" i="1"/>
  <c r="AV38" i="1" s="1"/>
  <c r="AV39" i="1" s="1"/>
  <c r="AR36" i="1"/>
  <c r="AR38" i="1" s="1"/>
  <c r="AR39" i="1" s="1"/>
  <c r="AT36" i="1"/>
  <c r="AT38" i="1" s="1"/>
  <c r="AT39" i="1" s="1"/>
  <c r="AX36" i="1"/>
  <c r="AX38" i="1" s="1"/>
  <c r="AX39" i="1" s="1"/>
  <c r="AB36" i="1" l="1"/>
  <c r="AB38" i="1" s="1"/>
  <c r="AB39" i="1" s="1"/>
  <c r="AK28" i="1"/>
  <c r="AK6" i="1"/>
  <c r="AK29" i="1" l="1"/>
  <c r="AK36" i="1" s="1"/>
  <c r="AZ17" i="1"/>
  <c r="AZ18" i="1"/>
  <c r="AK38" i="1" l="1"/>
  <c r="AK39" i="1" s="1"/>
  <c r="AZ36" i="1"/>
  <c r="AZ38" i="1" s="1"/>
  <c r="AZ39" i="1" s="1"/>
</calcChain>
</file>

<file path=xl/sharedStrings.xml><?xml version="1.0" encoding="utf-8"?>
<sst xmlns="http://schemas.openxmlformats.org/spreadsheetml/2006/main" count="86" uniqueCount="44">
  <si>
    <t>Date</t>
  </si>
  <si>
    <t>Electric (KWH)</t>
  </si>
  <si>
    <t>Gas (Therm)</t>
  </si>
  <si>
    <t>Water (FT3), (THR), (MMBTU)</t>
  </si>
  <si>
    <t>Anthropologie (KWH, BTU )</t>
  </si>
  <si>
    <t>Bygone</t>
  </si>
  <si>
    <t>AHU 1</t>
  </si>
  <si>
    <t>AHU 2</t>
  </si>
  <si>
    <t>AHU 3</t>
  </si>
  <si>
    <t>AHU 4</t>
  </si>
  <si>
    <t>Maximon Meters</t>
  </si>
  <si>
    <t>Engineer</t>
  </si>
  <si>
    <t>Meter 1</t>
  </si>
  <si>
    <t>Consumption</t>
  </si>
  <si>
    <t>Meter 2</t>
  </si>
  <si>
    <t>Meter 3</t>
  </si>
  <si>
    <t>Mina</t>
  </si>
  <si>
    <t>Main</t>
  </si>
  <si>
    <t>Main (FT3)</t>
  </si>
  <si>
    <t>Hot (MMBTU)</t>
  </si>
  <si>
    <t>Chilled (THR)</t>
  </si>
  <si>
    <t>Electric      Main</t>
  </si>
  <si>
    <t>Electric    Chilled</t>
  </si>
  <si>
    <t>Electric        Hot</t>
  </si>
  <si>
    <t>Chilled BTU</t>
  </si>
  <si>
    <t>Heating BTU</t>
  </si>
  <si>
    <t>Heat</t>
  </si>
  <si>
    <t>Chilled</t>
  </si>
  <si>
    <t>Gas</t>
  </si>
  <si>
    <t xml:space="preserve">Water </t>
  </si>
  <si>
    <t>Electric</t>
  </si>
  <si>
    <t>Electric #70</t>
  </si>
  <si>
    <t>Electric #69</t>
  </si>
  <si>
    <t>Electric #67</t>
  </si>
  <si>
    <t>Electric #68</t>
  </si>
  <si>
    <t>Electric #63</t>
  </si>
  <si>
    <t>Electric #64</t>
  </si>
  <si>
    <t>Electric #66</t>
  </si>
  <si>
    <t>Electric #65</t>
  </si>
  <si>
    <t>Water</t>
  </si>
  <si>
    <t>Total</t>
  </si>
  <si>
    <t>September</t>
  </si>
  <si>
    <t>Varience</t>
  </si>
  <si>
    <t>Varience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</si>
</sst>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Garamond"/>
      <family val="1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8" borderId="2" xfId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1" fontId="5" fillId="0" borderId="10" xfId="0" applyNumberFormat="1" applyFont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8" borderId="5" xfId="0" applyFill="1" applyBorder="1" applyAlignment="1">
      <alignment horizontal="center"/>
    </xf>
    <xf numFmtId="0" fontId="1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/>
    </xf>
    <xf numFmtId="0" fontId="10" fillId="13" borderId="10" xfId="0" applyFont="1" applyFill="1" applyBorder="1" applyAlignment="1">
      <alignment horizontal="center"/>
    </xf>
    <xf numFmtId="0" fontId="10" fillId="13" borderId="11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4" fontId="5" fillId="8" borderId="3" xfId="0" applyNumberFormat="1" applyFont="1" applyFill="1" applyBorder="1" applyAlignment="1">
      <alignment horizontal="center"/>
    </xf>
    <xf numFmtId="14" fontId="5" fillId="8" borderId="4" xfId="0" applyNumberFormat="1" applyFont="1" applyFill="1" applyBorder="1" applyAlignment="1">
      <alignment horizontal="center"/>
    </xf>
    <xf numFmtId="14" fontId="5" fillId="8" borderId="5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" fontId="5" fillId="8" borderId="3" xfId="0" applyNumberFormat="1" applyFont="1" applyFill="1" applyBorder="1" applyAlignment="1">
      <alignment horizontal="center"/>
    </xf>
    <xf numFmtId="1" fontId="5" fillId="8" borderId="4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39"/>
  <sheetViews>
    <sheetView tabSelected="1" zoomScale="55" zoomScaleNormal="55" workbookViewId="0">
      <pane ySplit="1" topLeftCell="AB21" activePane="bottomLeft" state="frozen"/>
      <selection pane="bottomLeft" activeCell="AF35" sqref="AF35:AO35"/>
      <selection activeCell="W1" sqref="W1"/>
    </sheetView>
  </sheetViews>
  <sheetFormatPr defaultRowHeight="15"/>
  <cols>
    <col min="1" max="1" width="12.42578125" bestFit="1" customWidth="1"/>
    <col min="2" max="3" width="15.7109375" customWidth="1"/>
    <col min="4" max="4" width="11.85546875" customWidth="1"/>
    <col min="5" max="5" width="13.85546875" customWidth="1"/>
    <col min="6" max="6" width="11" customWidth="1"/>
    <col min="7" max="7" width="13.85546875" customWidth="1"/>
    <col min="8" max="8" width="1.42578125" customWidth="1"/>
    <col min="9" max="9" width="10.140625" customWidth="1"/>
    <col min="10" max="10" width="13.85546875" customWidth="1"/>
    <col min="11" max="11" width="10.28515625" customWidth="1"/>
    <col min="12" max="12" width="14.42578125" customWidth="1"/>
    <col min="13" max="13" width="1.5703125" customWidth="1"/>
    <col min="14" max="14" width="11.42578125" customWidth="1"/>
    <col min="15" max="15" width="14.42578125" customWidth="1"/>
    <col min="16" max="16" width="14.28515625" customWidth="1"/>
    <col min="17" max="17" width="13.85546875" customWidth="1"/>
    <col min="18" max="18" width="15.28515625" customWidth="1"/>
    <col min="19" max="19" width="14" customWidth="1"/>
    <col min="20" max="20" width="1.5703125" customWidth="1"/>
    <col min="21" max="21" width="10.7109375" customWidth="1"/>
    <col min="22" max="22" width="13.85546875" customWidth="1"/>
    <col min="23" max="23" width="11.140625" customWidth="1"/>
    <col min="24" max="24" width="13.85546875" customWidth="1"/>
    <col min="25" max="25" width="9.42578125" customWidth="1"/>
    <col min="26" max="26" width="13.85546875" customWidth="1"/>
    <col min="27" max="27" width="12.42578125" customWidth="1"/>
    <col min="28" max="28" width="13.85546875" customWidth="1"/>
    <col min="29" max="29" width="9.140625" customWidth="1"/>
    <col min="30" max="30" width="13.85546875" customWidth="1"/>
    <col min="31" max="31" width="1.5703125" customWidth="1"/>
    <col min="32" max="32" width="11.42578125" customWidth="1"/>
    <col min="33" max="33" width="13.85546875" customWidth="1"/>
    <col min="34" max="34" width="9.140625" customWidth="1"/>
    <col min="35" max="35" width="13.85546875" customWidth="1"/>
    <col min="36" max="36" width="13.42578125" customWidth="1"/>
    <col min="37" max="37" width="13.85546875" customWidth="1"/>
    <col min="38" max="38" width="9.140625" customWidth="1"/>
    <col min="39" max="39" width="13.85546875" customWidth="1"/>
    <col min="40" max="40" width="9.140625" customWidth="1"/>
    <col min="41" max="41" width="13.85546875" customWidth="1"/>
    <col min="42" max="42" width="1.5703125" customWidth="1"/>
    <col min="44" max="44" width="13.85546875" customWidth="1"/>
    <col min="46" max="46" width="13.85546875" customWidth="1"/>
    <col min="48" max="48" width="13.85546875" customWidth="1"/>
    <col min="50" max="50" width="13.85546875" customWidth="1"/>
    <col min="51" max="51" width="10.85546875" bestFit="1" customWidth="1"/>
    <col min="52" max="52" width="13.85546875" customWidth="1"/>
    <col min="54" max="54" width="13.85546875" customWidth="1"/>
    <col min="56" max="56" width="13.85546875" customWidth="1"/>
    <col min="58" max="58" width="13.85546875" customWidth="1"/>
    <col min="59" max="59" width="1.5703125" customWidth="1"/>
    <col min="61" max="61" width="13.85546875" customWidth="1"/>
    <col min="63" max="63" width="13.85546875" customWidth="1"/>
    <col min="65" max="65" width="13.85546875" customWidth="1"/>
    <col min="67" max="67" width="13.85546875" customWidth="1"/>
    <col min="68" max="68" width="10.85546875" bestFit="1" customWidth="1"/>
    <col min="69" max="69" width="13.85546875" customWidth="1"/>
    <col min="71" max="71" width="13.85546875" customWidth="1"/>
    <col min="73" max="73" width="13.85546875" customWidth="1"/>
    <col min="75" max="75" width="13.85546875" customWidth="1"/>
    <col min="77" max="77" width="13.85546875" customWidth="1"/>
    <col min="78" max="78" width="1.5703125" customWidth="1"/>
    <col min="79" max="79" width="10.5703125" customWidth="1"/>
  </cols>
  <sheetData>
    <row r="1" spans="1:79" s="48" customFormat="1" ht="15.75" customHeight="1">
      <c r="A1" s="64" t="s">
        <v>0</v>
      </c>
      <c r="B1" s="76" t="s">
        <v>1</v>
      </c>
      <c r="C1" s="77"/>
      <c r="D1" s="77"/>
      <c r="E1" s="77"/>
      <c r="F1" s="77"/>
      <c r="G1" s="78"/>
      <c r="H1" s="1"/>
      <c r="I1" s="73" t="s">
        <v>2</v>
      </c>
      <c r="J1" s="74"/>
      <c r="K1" s="74"/>
      <c r="L1" s="75"/>
      <c r="M1" s="1"/>
      <c r="N1" s="79" t="s">
        <v>3</v>
      </c>
      <c r="O1" s="80"/>
      <c r="P1" s="80"/>
      <c r="Q1" s="80"/>
      <c r="R1" s="80"/>
      <c r="S1" s="81"/>
      <c r="T1" s="5"/>
      <c r="U1" s="61" t="s">
        <v>4</v>
      </c>
      <c r="V1" s="62"/>
      <c r="W1" s="62"/>
      <c r="X1" s="62"/>
      <c r="Y1" s="62"/>
      <c r="Z1" s="62"/>
      <c r="AA1" s="62"/>
      <c r="AB1" s="62"/>
      <c r="AC1" s="62"/>
      <c r="AD1" s="63"/>
      <c r="AE1" s="5"/>
      <c r="AF1" s="67" t="s">
        <v>5</v>
      </c>
      <c r="AG1" s="68"/>
      <c r="AH1" s="68"/>
      <c r="AI1" s="68"/>
      <c r="AJ1" s="68"/>
      <c r="AK1" s="68"/>
      <c r="AL1" s="68"/>
      <c r="AM1" s="68"/>
      <c r="AN1" s="69"/>
      <c r="AO1" s="6"/>
      <c r="AP1" s="5"/>
      <c r="AQ1" s="59" t="s">
        <v>6</v>
      </c>
      <c r="AR1" s="60"/>
      <c r="AS1" s="60"/>
      <c r="AT1" s="60"/>
      <c r="AU1" s="59" t="s">
        <v>7</v>
      </c>
      <c r="AV1" s="60"/>
      <c r="AW1" s="60"/>
      <c r="AX1" s="60"/>
      <c r="AY1" s="59" t="s">
        <v>8</v>
      </c>
      <c r="AZ1" s="60"/>
      <c r="BA1" s="60"/>
      <c r="BB1" s="60"/>
      <c r="BC1" s="59" t="s">
        <v>9</v>
      </c>
      <c r="BD1" s="60"/>
      <c r="BE1" s="60"/>
      <c r="BF1" s="60"/>
      <c r="BG1" s="5"/>
      <c r="BH1" s="53" t="s">
        <v>10</v>
      </c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5"/>
      <c r="BZ1" s="5"/>
      <c r="CA1" s="64" t="s">
        <v>11</v>
      </c>
    </row>
    <row r="2" spans="1:79" ht="15" customHeight="1">
      <c r="A2" s="65"/>
      <c r="B2" s="51" t="s">
        <v>12</v>
      </c>
      <c r="C2" s="51" t="s">
        <v>13</v>
      </c>
      <c r="D2" s="51" t="s">
        <v>14</v>
      </c>
      <c r="E2" s="51" t="s">
        <v>13</v>
      </c>
      <c r="F2" s="51" t="s">
        <v>15</v>
      </c>
      <c r="G2" s="51" t="s">
        <v>13</v>
      </c>
      <c r="H2" s="2"/>
      <c r="I2" s="72" t="s">
        <v>16</v>
      </c>
      <c r="J2" s="51" t="s">
        <v>13</v>
      </c>
      <c r="K2" s="72" t="s">
        <v>17</v>
      </c>
      <c r="L2" s="51" t="s">
        <v>13</v>
      </c>
      <c r="M2" s="3"/>
      <c r="N2" s="70" t="s">
        <v>18</v>
      </c>
      <c r="O2" s="51" t="s">
        <v>13</v>
      </c>
      <c r="P2" s="70" t="s">
        <v>19</v>
      </c>
      <c r="Q2" s="51" t="s">
        <v>13</v>
      </c>
      <c r="R2" s="70" t="s">
        <v>20</v>
      </c>
      <c r="S2" s="51" t="s">
        <v>13</v>
      </c>
      <c r="T2" s="3"/>
      <c r="U2" s="49" t="s">
        <v>21</v>
      </c>
      <c r="V2" s="51" t="s">
        <v>13</v>
      </c>
      <c r="W2" s="71" t="s">
        <v>22</v>
      </c>
      <c r="X2" s="51" t="s">
        <v>13</v>
      </c>
      <c r="Y2" s="71" t="s">
        <v>23</v>
      </c>
      <c r="Z2" s="51" t="s">
        <v>13</v>
      </c>
      <c r="AA2" s="49" t="s">
        <v>24</v>
      </c>
      <c r="AB2" s="51" t="s">
        <v>13</v>
      </c>
      <c r="AC2" s="49" t="s">
        <v>25</v>
      </c>
      <c r="AD2" s="51" t="s">
        <v>13</v>
      </c>
      <c r="AE2" s="3"/>
      <c r="AF2" s="51" t="s">
        <v>26</v>
      </c>
      <c r="AG2" s="51" t="s">
        <v>13</v>
      </c>
      <c r="AH2" s="51" t="s">
        <v>27</v>
      </c>
      <c r="AI2" s="51" t="s">
        <v>13</v>
      </c>
      <c r="AJ2" s="51" t="s">
        <v>28</v>
      </c>
      <c r="AK2" s="51" t="s">
        <v>13</v>
      </c>
      <c r="AL2" s="51" t="s">
        <v>29</v>
      </c>
      <c r="AM2" s="51" t="s">
        <v>13</v>
      </c>
      <c r="AN2" s="51" t="s">
        <v>30</v>
      </c>
      <c r="AO2" s="51" t="s">
        <v>13</v>
      </c>
      <c r="AP2" s="3"/>
      <c r="AQ2" s="49" t="s">
        <v>24</v>
      </c>
      <c r="AR2" s="51" t="s">
        <v>13</v>
      </c>
      <c r="AS2" s="49" t="s">
        <v>25</v>
      </c>
      <c r="AT2" s="51" t="s">
        <v>13</v>
      </c>
      <c r="AU2" s="49" t="s">
        <v>24</v>
      </c>
      <c r="AV2" s="51" t="s">
        <v>13</v>
      </c>
      <c r="AW2" s="49" t="s">
        <v>25</v>
      </c>
      <c r="AX2" s="51" t="s">
        <v>13</v>
      </c>
      <c r="AY2" s="49" t="s">
        <v>24</v>
      </c>
      <c r="AZ2" s="51" t="s">
        <v>13</v>
      </c>
      <c r="BA2" s="49" t="s">
        <v>25</v>
      </c>
      <c r="BB2" s="51" t="s">
        <v>13</v>
      </c>
      <c r="BC2" s="49" t="s">
        <v>24</v>
      </c>
      <c r="BD2" s="51" t="s">
        <v>13</v>
      </c>
      <c r="BE2" s="49" t="s">
        <v>25</v>
      </c>
      <c r="BF2" s="51" t="s">
        <v>13</v>
      </c>
      <c r="BG2" s="3"/>
      <c r="BH2" s="49" t="s">
        <v>31</v>
      </c>
      <c r="BI2" s="51" t="s">
        <v>13</v>
      </c>
      <c r="BJ2" s="49" t="s">
        <v>32</v>
      </c>
      <c r="BK2" s="51" t="s">
        <v>13</v>
      </c>
      <c r="BL2" s="49" t="s">
        <v>33</v>
      </c>
      <c r="BM2" s="51" t="s">
        <v>13</v>
      </c>
      <c r="BN2" s="49" t="s">
        <v>34</v>
      </c>
      <c r="BO2" s="51" t="s">
        <v>13</v>
      </c>
      <c r="BP2" s="49" t="s">
        <v>35</v>
      </c>
      <c r="BQ2" s="51" t="s">
        <v>13</v>
      </c>
      <c r="BR2" s="49" t="s">
        <v>36</v>
      </c>
      <c r="BS2" s="51" t="s">
        <v>13</v>
      </c>
      <c r="BT2" s="49" t="s">
        <v>37</v>
      </c>
      <c r="BU2" s="51" t="s">
        <v>13</v>
      </c>
      <c r="BV2" s="49" t="s">
        <v>38</v>
      </c>
      <c r="BW2" s="51" t="s">
        <v>13</v>
      </c>
      <c r="BX2" s="49" t="s">
        <v>39</v>
      </c>
      <c r="BY2" s="51" t="s">
        <v>13</v>
      </c>
      <c r="BZ2" s="3"/>
      <c r="CA2" s="65"/>
    </row>
    <row r="3" spans="1:79" ht="15" customHeight="1">
      <c r="A3" s="66"/>
      <c r="B3" s="52"/>
      <c r="C3" s="52"/>
      <c r="D3" s="52"/>
      <c r="E3" s="52"/>
      <c r="F3" s="52"/>
      <c r="G3" s="52"/>
      <c r="H3" s="2"/>
      <c r="I3" s="72"/>
      <c r="J3" s="52"/>
      <c r="K3" s="72"/>
      <c r="L3" s="52"/>
      <c r="M3" s="4"/>
      <c r="N3" s="52"/>
      <c r="O3" s="52"/>
      <c r="P3" s="52"/>
      <c r="Q3" s="52"/>
      <c r="R3" s="52"/>
      <c r="S3" s="52"/>
      <c r="T3" s="4"/>
      <c r="U3" s="50"/>
      <c r="V3" s="52"/>
      <c r="W3" s="50"/>
      <c r="X3" s="52"/>
      <c r="Y3" s="50"/>
      <c r="Z3" s="52"/>
      <c r="AA3" s="50"/>
      <c r="AB3" s="52"/>
      <c r="AC3" s="50"/>
      <c r="AD3" s="52"/>
      <c r="AE3" s="4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4"/>
      <c r="AQ3" s="50"/>
      <c r="AR3" s="52"/>
      <c r="AS3" s="50"/>
      <c r="AT3" s="52"/>
      <c r="AU3" s="50"/>
      <c r="AV3" s="52"/>
      <c r="AW3" s="50"/>
      <c r="AX3" s="52"/>
      <c r="AY3" s="50"/>
      <c r="AZ3" s="52"/>
      <c r="BA3" s="50"/>
      <c r="BB3" s="52"/>
      <c r="BC3" s="50"/>
      <c r="BD3" s="52"/>
      <c r="BE3" s="50"/>
      <c r="BF3" s="52"/>
      <c r="BG3" s="4"/>
      <c r="BH3" s="50"/>
      <c r="BI3" s="52"/>
      <c r="BJ3" s="50"/>
      <c r="BK3" s="52"/>
      <c r="BL3" s="50"/>
      <c r="BM3" s="52"/>
      <c r="BN3" s="50"/>
      <c r="BO3" s="52"/>
      <c r="BP3" s="50"/>
      <c r="BQ3" s="52"/>
      <c r="BR3" s="50"/>
      <c r="BS3" s="52"/>
      <c r="BT3" s="50"/>
      <c r="BU3" s="52"/>
      <c r="BV3" s="50"/>
      <c r="BW3" s="52"/>
      <c r="BX3" s="50"/>
      <c r="BY3" s="52"/>
      <c r="BZ3" s="4"/>
      <c r="CA3" s="66"/>
    </row>
    <row r="4" spans="1:79" ht="24.75" customHeight="1">
      <c r="A4" s="11">
        <v>44835</v>
      </c>
      <c r="B4" s="7">
        <v>729128</v>
      </c>
      <c r="C4" s="7">
        <f>B4-724940</f>
        <v>4188</v>
      </c>
      <c r="D4" s="7">
        <v>31210104</v>
      </c>
      <c r="E4" s="7">
        <f>D4-31201333</f>
        <v>8771</v>
      </c>
      <c r="F4" s="7">
        <v>8758468</v>
      </c>
      <c r="G4" s="7">
        <f>F4-8755010</f>
        <v>3458</v>
      </c>
      <c r="H4" s="12"/>
      <c r="I4" s="7">
        <v>99114</v>
      </c>
      <c r="J4" s="13">
        <f>I4-98995</f>
        <v>119</v>
      </c>
      <c r="K4" s="7">
        <v>21903</v>
      </c>
      <c r="L4" s="7">
        <f>K4-21895</f>
        <v>8</v>
      </c>
      <c r="M4" s="12"/>
      <c r="N4" s="7">
        <v>63353</v>
      </c>
      <c r="O4" s="13">
        <f>(N4-63296)*1000/7.48</f>
        <v>7620.320855614973</v>
      </c>
      <c r="P4" s="13">
        <v>240898</v>
      </c>
      <c r="Q4" s="13">
        <f>P4-240846</f>
        <v>52</v>
      </c>
      <c r="R4" s="13">
        <v>54291507</v>
      </c>
      <c r="S4" s="13">
        <f>R4-54285407</f>
        <v>6100</v>
      </c>
      <c r="T4" s="14"/>
      <c r="U4" s="7">
        <v>61869</v>
      </c>
      <c r="V4" s="7">
        <f>U4-61504</f>
        <v>365</v>
      </c>
      <c r="W4" s="7">
        <v>1808</v>
      </c>
      <c r="X4" s="7">
        <f>W4-1792</f>
        <v>16</v>
      </c>
      <c r="Y4" s="7">
        <v>324</v>
      </c>
      <c r="Z4" s="7">
        <f>Y4-323</f>
        <v>1</v>
      </c>
      <c r="AA4" s="7">
        <v>851409</v>
      </c>
      <c r="AB4" s="7">
        <f>(AA4-851188)*10000</f>
        <v>2210000</v>
      </c>
      <c r="AC4" s="7">
        <v>368585</v>
      </c>
      <c r="AD4" s="7">
        <f>(AC4-368585)*10000</f>
        <v>0</v>
      </c>
      <c r="AE4" s="14"/>
      <c r="AF4" s="7">
        <v>67138</v>
      </c>
      <c r="AG4" s="7">
        <f>AF4-67138</f>
        <v>0</v>
      </c>
      <c r="AH4" s="13">
        <v>248323</v>
      </c>
      <c r="AI4" s="15">
        <f>AH4-248097</f>
        <v>226</v>
      </c>
      <c r="AJ4" s="15">
        <v>11823355</v>
      </c>
      <c r="AK4" s="15">
        <f>AJ4-11815527</f>
        <v>7828</v>
      </c>
      <c r="AL4" s="13">
        <v>28983</v>
      </c>
      <c r="AM4" s="13">
        <f>AL4-28980</f>
        <v>3</v>
      </c>
      <c r="AN4" s="13">
        <v>17420</v>
      </c>
      <c r="AO4" s="13">
        <f>AN4-16459</f>
        <v>961</v>
      </c>
      <c r="AP4" s="14"/>
      <c r="AQ4" s="21">
        <v>636982</v>
      </c>
      <c r="AR4" s="21">
        <f>(AQ4-636880)*10000</f>
        <v>1020000</v>
      </c>
      <c r="AS4" s="21">
        <v>234978</v>
      </c>
      <c r="AT4" s="21">
        <f>(AS4-234978)*10000</f>
        <v>0</v>
      </c>
      <c r="AU4" s="21">
        <v>96478</v>
      </c>
      <c r="AV4" s="21">
        <f>(AU4-96417)*10000</f>
        <v>610000</v>
      </c>
      <c r="AW4" s="21">
        <v>269527</v>
      </c>
      <c r="AX4" s="21">
        <f>(AW4-269527)*10000</f>
        <v>0</v>
      </c>
      <c r="AY4" s="21">
        <v>486020</v>
      </c>
      <c r="AZ4" s="21">
        <f>(AY4-485911)*10000</f>
        <v>1090000</v>
      </c>
      <c r="BA4" s="21">
        <v>19321</v>
      </c>
      <c r="BB4" s="21">
        <f>(BA4-19321)*10000</f>
        <v>0</v>
      </c>
      <c r="BC4" s="21">
        <v>484278</v>
      </c>
      <c r="BD4" s="21">
        <f>(BC4-484189)*10000</f>
        <v>890000</v>
      </c>
      <c r="BE4" s="21">
        <v>124015</v>
      </c>
      <c r="BF4" s="21">
        <f>(BE4-124015)*10000</f>
        <v>0</v>
      </c>
      <c r="BG4" s="14"/>
      <c r="BH4" s="21">
        <v>1045354</v>
      </c>
      <c r="BI4" s="21">
        <v>0</v>
      </c>
      <c r="BJ4" s="21">
        <v>564397</v>
      </c>
      <c r="BK4" s="21">
        <f>(BJ4-563896)</f>
        <v>501</v>
      </c>
      <c r="BL4" s="21">
        <v>287898</v>
      </c>
      <c r="BM4" s="21">
        <f>(BL4-287701)</f>
        <v>197</v>
      </c>
      <c r="BN4" s="21">
        <v>154782</v>
      </c>
      <c r="BO4" s="21">
        <f>(BN4-154615)</f>
        <v>167</v>
      </c>
      <c r="BP4" s="21">
        <v>147288</v>
      </c>
      <c r="BQ4" s="21">
        <f>(BP4-147239)</f>
        <v>49</v>
      </c>
      <c r="BR4" s="21">
        <v>90449</v>
      </c>
      <c r="BS4" s="21">
        <f>(BR4-90437)</f>
        <v>12</v>
      </c>
      <c r="BT4" s="21">
        <v>509743</v>
      </c>
      <c r="BU4" s="21">
        <f>(BT4-509635)</f>
        <v>108</v>
      </c>
      <c r="BV4" s="21">
        <v>2858</v>
      </c>
      <c r="BW4" s="21">
        <f>(BV4-2857)</f>
        <v>1</v>
      </c>
      <c r="BX4" s="21">
        <v>378405</v>
      </c>
      <c r="BY4" s="21">
        <f>(BX4-378382)</f>
        <v>23</v>
      </c>
      <c r="BZ4" s="14"/>
      <c r="CA4" s="7"/>
    </row>
    <row r="5" spans="1:79" ht="23.25" customHeight="1">
      <c r="A5" s="11">
        <f>A4+1</f>
        <v>44836</v>
      </c>
      <c r="B5" s="7">
        <v>733369</v>
      </c>
      <c r="C5" s="7">
        <f>B5-B4</f>
        <v>4241</v>
      </c>
      <c r="D5" s="7">
        <v>31218935</v>
      </c>
      <c r="E5" s="7">
        <f>D5-D4</f>
        <v>8831</v>
      </c>
      <c r="F5" s="8">
        <v>8762078</v>
      </c>
      <c r="G5" s="8">
        <f>F5-F4</f>
        <v>3610</v>
      </c>
      <c r="H5" s="16"/>
      <c r="I5" s="7">
        <v>99240</v>
      </c>
      <c r="J5" s="13">
        <f>(I5-I4)*1.129</f>
        <v>142.25399999999999</v>
      </c>
      <c r="K5" s="7">
        <v>21910</v>
      </c>
      <c r="L5" s="13">
        <f>(K5-K4)*1.129</f>
        <v>7.9030000000000005</v>
      </c>
      <c r="M5" s="12"/>
      <c r="N5" s="7">
        <v>63439</v>
      </c>
      <c r="O5" s="13">
        <f>(N5-N4)*1000/7.48</f>
        <v>11497.326203208555</v>
      </c>
      <c r="P5" s="7">
        <v>240955</v>
      </c>
      <c r="Q5" s="13">
        <f>P5-P4</f>
        <v>57</v>
      </c>
      <c r="R5" s="7">
        <v>54297780</v>
      </c>
      <c r="S5" s="13">
        <f>R5-R4</f>
        <v>6273</v>
      </c>
      <c r="T5" s="12"/>
      <c r="U5" s="7">
        <v>62224</v>
      </c>
      <c r="V5" s="7">
        <f>U5-U4</f>
        <v>355</v>
      </c>
      <c r="W5" s="7">
        <v>1825</v>
      </c>
      <c r="X5" s="7">
        <f>W5-W4</f>
        <v>17</v>
      </c>
      <c r="Y5" s="7">
        <v>324</v>
      </c>
      <c r="Z5" s="7">
        <f>(Y5-Y4)</f>
        <v>0</v>
      </c>
      <c r="AA5" s="7">
        <v>851610</v>
      </c>
      <c r="AB5" s="7">
        <f>(AA5-AA4)*10000</f>
        <v>2010000</v>
      </c>
      <c r="AC5" s="7">
        <v>368585</v>
      </c>
      <c r="AD5" s="7">
        <f>(AC5-AC4)*10000</f>
        <v>0</v>
      </c>
      <c r="AE5" s="12"/>
      <c r="AF5" s="7">
        <v>67138</v>
      </c>
      <c r="AG5" s="7">
        <f>AF5-AF4</f>
        <v>0</v>
      </c>
      <c r="AH5" s="7">
        <v>248497</v>
      </c>
      <c r="AI5" s="13">
        <f>AH5-AH4</f>
        <v>174</v>
      </c>
      <c r="AJ5" s="7">
        <v>11831031</v>
      </c>
      <c r="AK5" s="13">
        <f>AJ5-AJ4</f>
        <v>7676</v>
      </c>
      <c r="AL5" s="7">
        <v>28986</v>
      </c>
      <c r="AM5" s="13">
        <f>AL5-AL4</f>
        <v>3</v>
      </c>
      <c r="AN5" s="7">
        <v>18230</v>
      </c>
      <c r="AO5" s="13">
        <f>AN5-AN4</f>
        <v>810</v>
      </c>
      <c r="AP5" s="12"/>
      <c r="AQ5" s="21">
        <v>637443</v>
      </c>
      <c r="AR5" s="21">
        <f>(AQ5-AQ4)*10000</f>
        <v>4610000</v>
      </c>
      <c r="AS5" s="21">
        <v>234978</v>
      </c>
      <c r="AT5" s="21">
        <f>(AS5-AS4)*10000</f>
        <v>0</v>
      </c>
      <c r="AU5" s="21">
        <v>96600</v>
      </c>
      <c r="AV5" s="21">
        <f>(AU5-AU4)*10000</f>
        <v>1220000</v>
      </c>
      <c r="AW5" s="21">
        <v>269527</v>
      </c>
      <c r="AX5" s="21">
        <f>(AW5-AW4)*10000</f>
        <v>0</v>
      </c>
      <c r="AY5" s="21">
        <v>486093</v>
      </c>
      <c r="AZ5" s="21">
        <f>(AY5-AY4)*10000</f>
        <v>730000</v>
      </c>
      <c r="BA5" s="21">
        <v>19321</v>
      </c>
      <c r="BB5" s="21">
        <f>(BA5-BA4)*10000</f>
        <v>0</v>
      </c>
      <c r="BC5" s="21">
        <v>484381</v>
      </c>
      <c r="BD5" s="21">
        <f>(BC5-BC4)*10000</f>
        <v>1030000</v>
      </c>
      <c r="BE5" s="21">
        <v>124015</v>
      </c>
      <c r="BF5" s="21">
        <f>(BE5-BE4)*10000</f>
        <v>0</v>
      </c>
      <c r="BG5" s="12"/>
      <c r="BH5" s="21">
        <v>1046407</v>
      </c>
      <c r="BI5" s="21">
        <f>(BH5-BH4)</f>
        <v>1053</v>
      </c>
      <c r="BJ5" s="21">
        <v>564904</v>
      </c>
      <c r="BK5" s="21">
        <f>(BJ5-BJ4)</f>
        <v>507</v>
      </c>
      <c r="BL5" s="21">
        <v>288105</v>
      </c>
      <c r="BM5" s="21">
        <f>(BL5-BL4)</f>
        <v>207</v>
      </c>
      <c r="BN5" s="21">
        <v>154961</v>
      </c>
      <c r="BO5" s="21">
        <f>(BN5-BN4)</f>
        <v>179</v>
      </c>
      <c r="BP5" s="21">
        <v>147335</v>
      </c>
      <c r="BQ5" s="21">
        <f>(BP5-BP4)</f>
        <v>47</v>
      </c>
      <c r="BR5" s="21">
        <v>90463</v>
      </c>
      <c r="BS5" s="21">
        <f>(BR5-BR4)</f>
        <v>14</v>
      </c>
      <c r="BT5" s="21">
        <v>509869</v>
      </c>
      <c r="BU5" s="21">
        <f>(BT5-BT4)</f>
        <v>126</v>
      </c>
      <c r="BV5" s="21">
        <v>2859</v>
      </c>
      <c r="BW5" s="21">
        <f>(BV5-BV4)</f>
        <v>1</v>
      </c>
      <c r="BX5" s="21">
        <v>378443</v>
      </c>
      <c r="BY5" s="21">
        <f>(BX5-BX4)</f>
        <v>38</v>
      </c>
      <c r="BZ5" s="12"/>
      <c r="CA5" s="7"/>
    </row>
    <row r="6" spans="1:79" ht="24" customHeight="1">
      <c r="A6" s="11">
        <f t="shared" ref="A6:A34" si="0">A5+1</f>
        <v>44837</v>
      </c>
      <c r="B6" s="9">
        <v>737436</v>
      </c>
      <c r="C6" s="7">
        <f t="shared" ref="C6:C34" si="1">B6-B5</f>
        <v>4067</v>
      </c>
      <c r="D6" s="7">
        <v>31227371</v>
      </c>
      <c r="E6" s="7">
        <f t="shared" ref="E6:E34" si="2">D6-D5</f>
        <v>8436</v>
      </c>
      <c r="F6" s="8">
        <v>8765645</v>
      </c>
      <c r="G6" s="8">
        <f t="shared" ref="G6:G34" si="3">F6-F5</f>
        <v>3567</v>
      </c>
      <c r="H6" s="16"/>
      <c r="I6" s="7">
        <v>99344</v>
      </c>
      <c r="J6" s="13">
        <f t="shared" ref="J6:K34" si="4">(I6-I5)*1.129</f>
        <v>117.416</v>
      </c>
      <c r="K6" s="7">
        <v>21917</v>
      </c>
      <c r="L6" s="13">
        <f t="shared" ref="L6:L34" si="5">(K6-K5)*1.129</f>
        <v>7.9030000000000005</v>
      </c>
      <c r="M6" s="12"/>
      <c r="N6" s="7">
        <v>63507</v>
      </c>
      <c r="O6" s="13">
        <f t="shared" ref="O6:O34" si="6">(N6-N5)*1000/7.48</f>
        <v>9090.9090909090901</v>
      </c>
      <c r="P6" s="7">
        <v>241012</v>
      </c>
      <c r="Q6" s="13">
        <f t="shared" ref="Q6:Q34" si="7">P6-P5</f>
        <v>57</v>
      </c>
      <c r="R6" s="7">
        <v>54303249</v>
      </c>
      <c r="S6" s="13">
        <f t="shared" ref="S6:S34" si="8">R6-R5</f>
        <v>5469</v>
      </c>
      <c r="T6" s="12"/>
      <c r="U6" s="7">
        <v>62520</v>
      </c>
      <c r="V6" s="7">
        <f t="shared" ref="V6:V34" si="9">U6-U5</f>
        <v>296</v>
      </c>
      <c r="W6" s="7">
        <v>1842</v>
      </c>
      <c r="X6" s="7">
        <f t="shared" ref="X6:X18" si="10">W6-W5</f>
        <v>17</v>
      </c>
      <c r="Y6" s="7">
        <v>326</v>
      </c>
      <c r="Z6" s="7">
        <f t="shared" ref="Z6:Z18" si="11">(Y6-Y5)</f>
        <v>2</v>
      </c>
      <c r="AA6" s="7">
        <v>851843</v>
      </c>
      <c r="AB6" s="7">
        <f t="shared" ref="AB6:AB34" si="12">(AA6-AA5)*10000</f>
        <v>2330000</v>
      </c>
      <c r="AC6" s="7">
        <v>368585</v>
      </c>
      <c r="AD6" s="7">
        <f t="shared" ref="AD6:AD34" si="13">(AC6-AC5)*10000</f>
        <v>0</v>
      </c>
      <c r="AE6" s="12"/>
      <c r="AF6" s="7">
        <v>67138</v>
      </c>
      <c r="AG6" s="7">
        <f t="shared" ref="AG6:AG34" si="14">AF6-AF5</f>
        <v>0</v>
      </c>
      <c r="AH6" s="7">
        <v>248640</v>
      </c>
      <c r="AI6" s="13">
        <f t="shared" ref="AI6:AI34" si="15">AH6-AH5</f>
        <v>143</v>
      </c>
      <c r="AJ6" s="7">
        <v>11837165</v>
      </c>
      <c r="AK6" s="13">
        <f t="shared" ref="AK6:AK33" si="16">AJ6-AJ5</f>
        <v>6134</v>
      </c>
      <c r="AL6" s="7">
        <v>28988</v>
      </c>
      <c r="AM6" s="13">
        <f t="shared" ref="AM6:AM34" si="17">AL6-AL5</f>
        <v>2</v>
      </c>
      <c r="AN6" s="7">
        <v>18999</v>
      </c>
      <c r="AO6" s="13">
        <f t="shared" ref="AO6:AO34" si="18">AN6-AN5</f>
        <v>769</v>
      </c>
      <c r="AP6" s="12"/>
      <c r="AQ6" s="21">
        <v>637560</v>
      </c>
      <c r="AR6" s="21">
        <f>(AQ6-AQ5)*10000</f>
        <v>1170000</v>
      </c>
      <c r="AS6" s="21">
        <v>234978</v>
      </c>
      <c r="AT6" s="21">
        <f t="shared" ref="AT6:AT34" si="19">(AS6-AS5)*10000</f>
        <v>0</v>
      </c>
      <c r="AU6" s="21">
        <v>96645</v>
      </c>
      <c r="AV6" s="21">
        <f t="shared" ref="AV6:AV34" si="20">(AU6-AU5)*10000</f>
        <v>450000</v>
      </c>
      <c r="AW6" s="21">
        <v>269527</v>
      </c>
      <c r="AX6" s="21">
        <f t="shared" ref="AX6:AX34" si="21">(AW6-AW5)*10000</f>
        <v>0</v>
      </c>
      <c r="AY6" s="21">
        <v>486159</v>
      </c>
      <c r="AZ6" s="21">
        <f t="shared" ref="AZ6:AZ34" si="22">(AY6-AY5)*10000</f>
        <v>660000</v>
      </c>
      <c r="BA6" s="21">
        <v>19321</v>
      </c>
      <c r="BB6" s="21">
        <f t="shared" ref="BB6:BB34" si="23">(BA6-BA5)*10000</f>
        <v>0</v>
      </c>
      <c r="BC6" s="21">
        <v>484474</v>
      </c>
      <c r="BD6" s="21">
        <f t="shared" ref="BD6:BD34" si="24">(BC6-BC5)*10000</f>
        <v>930000</v>
      </c>
      <c r="BE6" s="21">
        <v>124015</v>
      </c>
      <c r="BF6" s="21">
        <f t="shared" ref="BF6:BF34" si="25">(BE6-BE5)*10000</f>
        <v>0</v>
      </c>
      <c r="BG6" s="12"/>
      <c r="BH6" s="21">
        <v>1047330</v>
      </c>
      <c r="BI6" s="21">
        <f t="shared" ref="BI6:BI34" si="26">(BH6-BH5)</f>
        <v>923</v>
      </c>
      <c r="BJ6" s="21">
        <v>565378</v>
      </c>
      <c r="BK6" s="21">
        <f t="shared" ref="BK6:BK34" si="27">(BJ6-BJ5)</f>
        <v>474</v>
      </c>
      <c r="BL6" s="21">
        <v>288279</v>
      </c>
      <c r="BM6" s="21">
        <f t="shared" ref="BM6:BM34" si="28">(BL6-BL5)</f>
        <v>174</v>
      </c>
      <c r="BN6" s="21">
        <v>155121</v>
      </c>
      <c r="BO6" s="21">
        <f t="shared" ref="BO6:BO34" si="29">(BN6-BN5)</f>
        <v>160</v>
      </c>
      <c r="BP6" s="21">
        <v>147383</v>
      </c>
      <c r="BQ6" s="21">
        <f t="shared" ref="BQ6:BQ34" si="30">(BP6-BP5)</f>
        <v>48</v>
      </c>
      <c r="BR6" s="21">
        <v>90476</v>
      </c>
      <c r="BS6" s="21">
        <f t="shared" ref="BS6:BS34" si="31">(BR6-BR5)</f>
        <v>13</v>
      </c>
      <c r="BT6" s="21">
        <v>509981</v>
      </c>
      <c r="BU6" s="21">
        <f t="shared" ref="BU6:BU34" si="32">(BT6-BT5)</f>
        <v>112</v>
      </c>
      <c r="BV6" s="21">
        <v>2859</v>
      </c>
      <c r="BW6" s="21">
        <f t="shared" ref="BW6:BW34" si="33">(BV6-BV5)</f>
        <v>0</v>
      </c>
      <c r="BX6" s="21">
        <v>378467</v>
      </c>
      <c r="BY6" s="21">
        <f>(BX6-BX5)</f>
        <v>24</v>
      </c>
      <c r="BZ6" s="12"/>
      <c r="CA6" s="7"/>
    </row>
    <row r="7" spans="1:79" ht="24" customHeight="1">
      <c r="A7" s="11">
        <f t="shared" si="0"/>
        <v>44838</v>
      </c>
      <c r="B7" s="7">
        <v>741557</v>
      </c>
      <c r="C7" s="7">
        <f t="shared" si="1"/>
        <v>4121</v>
      </c>
      <c r="D7" s="7">
        <v>31236025</v>
      </c>
      <c r="E7" s="7">
        <f t="shared" si="2"/>
        <v>8654</v>
      </c>
      <c r="F7" s="7">
        <v>8769325</v>
      </c>
      <c r="G7" s="8">
        <f t="shared" si="3"/>
        <v>3680</v>
      </c>
      <c r="H7" s="12"/>
      <c r="I7" s="7">
        <v>99440</v>
      </c>
      <c r="J7" s="13">
        <f t="shared" si="4"/>
        <v>108.384</v>
      </c>
      <c r="K7" s="7">
        <v>21924</v>
      </c>
      <c r="L7" s="13">
        <f t="shared" si="5"/>
        <v>7.9030000000000005</v>
      </c>
      <c r="M7" s="12"/>
      <c r="N7" s="10">
        <v>63560</v>
      </c>
      <c r="O7" s="13">
        <f t="shared" si="6"/>
        <v>7085.5614973262027</v>
      </c>
      <c r="P7" s="13">
        <v>241088</v>
      </c>
      <c r="Q7" s="13">
        <f t="shared" si="7"/>
        <v>76</v>
      </c>
      <c r="R7" s="10">
        <v>54307251</v>
      </c>
      <c r="S7" s="13">
        <f t="shared" si="8"/>
        <v>4002</v>
      </c>
      <c r="T7" s="14"/>
      <c r="U7" s="13">
        <v>62949</v>
      </c>
      <c r="V7" s="7">
        <f t="shared" si="9"/>
        <v>429</v>
      </c>
      <c r="W7" s="13">
        <v>1861</v>
      </c>
      <c r="X7" s="7">
        <f t="shared" si="10"/>
        <v>19</v>
      </c>
      <c r="Y7" s="13">
        <v>336</v>
      </c>
      <c r="Z7" s="7">
        <f t="shared" si="11"/>
        <v>10</v>
      </c>
      <c r="AA7" s="7">
        <v>852096</v>
      </c>
      <c r="AB7" s="7">
        <f t="shared" si="12"/>
        <v>2530000</v>
      </c>
      <c r="AC7" s="23">
        <v>368648</v>
      </c>
      <c r="AD7" s="7">
        <f t="shared" si="13"/>
        <v>630000</v>
      </c>
      <c r="AE7" s="14"/>
      <c r="AF7" s="10">
        <v>67138</v>
      </c>
      <c r="AG7" s="7">
        <f t="shared" si="14"/>
        <v>0</v>
      </c>
      <c r="AH7" s="10">
        <v>248767</v>
      </c>
      <c r="AI7" s="13">
        <f t="shared" si="15"/>
        <v>127</v>
      </c>
      <c r="AJ7" s="10">
        <v>11842385</v>
      </c>
      <c r="AK7" s="13">
        <f t="shared" si="16"/>
        <v>5220</v>
      </c>
      <c r="AL7" s="10">
        <v>28988</v>
      </c>
      <c r="AM7" s="13">
        <f t="shared" si="17"/>
        <v>0</v>
      </c>
      <c r="AN7" s="13">
        <v>19646</v>
      </c>
      <c r="AO7" s="13">
        <f t="shared" si="18"/>
        <v>647</v>
      </c>
      <c r="AP7" s="14"/>
      <c r="AQ7" s="21">
        <v>637560</v>
      </c>
      <c r="AR7" s="21">
        <f t="shared" ref="AR7:AR34" si="34">(AQ7-AQ6)*10000</f>
        <v>0</v>
      </c>
      <c r="AS7" s="21">
        <v>234978</v>
      </c>
      <c r="AT7" s="21">
        <f t="shared" si="19"/>
        <v>0</v>
      </c>
      <c r="AU7" s="21">
        <v>96645</v>
      </c>
      <c r="AV7" s="21">
        <f t="shared" si="20"/>
        <v>0</v>
      </c>
      <c r="AW7" s="21">
        <v>269527</v>
      </c>
      <c r="AX7" s="21">
        <f t="shared" si="21"/>
        <v>0</v>
      </c>
      <c r="AY7" s="21">
        <v>486170</v>
      </c>
      <c r="AZ7" s="21">
        <f t="shared" si="22"/>
        <v>110000</v>
      </c>
      <c r="BA7" s="21">
        <v>19321</v>
      </c>
      <c r="BB7" s="21">
        <f t="shared" si="23"/>
        <v>0</v>
      </c>
      <c r="BC7" s="21">
        <v>484545</v>
      </c>
      <c r="BD7" s="21">
        <f t="shared" si="24"/>
        <v>710000</v>
      </c>
      <c r="BE7" s="21">
        <v>124015</v>
      </c>
      <c r="BF7" s="21">
        <f t="shared" si="25"/>
        <v>0</v>
      </c>
      <c r="BG7" s="14"/>
      <c r="BH7" s="21">
        <v>1048229</v>
      </c>
      <c r="BI7" s="21">
        <f t="shared" si="26"/>
        <v>899</v>
      </c>
      <c r="BJ7" s="21">
        <v>565854</v>
      </c>
      <c r="BK7" s="21">
        <f t="shared" si="27"/>
        <v>476</v>
      </c>
      <c r="BL7" s="21">
        <v>288448</v>
      </c>
      <c r="BM7" s="21">
        <f t="shared" si="28"/>
        <v>169</v>
      </c>
      <c r="BN7" s="21">
        <v>155274</v>
      </c>
      <c r="BO7" s="21">
        <f t="shared" si="29"/>
        <v>153</v>
      </c>
      <c r="BP7" s="21">
        <v>147434</v>
      </c>
      <c r="BQ7" s="21">
        <f t="shared" si="30"/>
        <v>51</v>
      </c>
      <c r="BR7" s="21">
        <v>90490</v>
      </c>
      <c r="BS7" s="21">
        <f t="shared" si="31"/>
        <v>14</v>
      </c>
      <c r="BT7" s="21">
        <v>510094</v>
      </c>
      <c r="BU7" s="21">
        <f t="shared" si="32"/>
        <v>113</v>
      </c>
      <c r="BV7" s="21">
        <v>2860</v>
      </c>
      <c r="BW7" s="21">
        <f t="shared" si="33"/>
        <v>1</v>
      </c>
      <c r="BX7" s="21">
        <v>378485</v>
      </c>
      <c r="BY7" s="21">
        <f t="shared" ref="BY7:BY34" si="35">(BX7-BX6)</f>
        <v>18</v>
      </c>
      <c r="BZ7" s="14"/>
      <c r="CA7" s="7"/>
    </row>
    <row r="8" spans="1:79" ht="24" customHeight="1">
      <c r="A8" s="11">
        <f t="shared" si="0"/>
        <v>44839</v>
      </c>
      <c r="B8" s="7">
        <v>745607</v>
      </c>
      <c r="C8" s="7">
        <f t="shared" si="1"/>
        <v>4050</v>
      </c>
      <c r="D8" s="7">
        <v>31244332</v>
      </c>
      <c r="E8" s="7">
        <f t="shared" si="2"/>
        <v>8307</v>
      </c>
      <c r="F8" s="7">
        <v>8772815</v>
      </c>
      <c r="G8" s="8">
        <f t="shared" si="3"/>
        <v>3490</v>
      </c>
      <c r="H8" s="12"/>
      <c r="I8" s="7">
        <v>99533</v>
      </c>
      <c r="J8" s="13">
        <f t="shared" si="4"/>
        <v>104.997</v>
      </c>
      <c r="K8" s="13">
        <v>21929</v>
      </c>
      <c r="L8" s="13">
        <f t="shared" si="5"/>
        <v>5.6449999999999996</v>
      </c>
      <c r="M8" s="14"/>
      <c r="N8" s="10">
        <v>63606</v>
      </c>
      <c r="O8" s="13">
        <f t="shared" si="6"/>
        <v>6149.7326203208549</v>
      </c>
      <c r="P8" s="10">
        <v>241165</v>
      </c>
      <c r="Q8" s="13">
        <f t="shared" si="7"/>
        <v>77</v>
      </c>
      <c r="R8" s="13">
        <v>54310726</v>
      </c>
      <c r="S8" s="13">
        <f t="shared" si="8"/>
        <v>3475</v>
      </c>
      <c r="T8" s="14"/>
      <c r="U8" s="13">
        <v>63286</v>
      </c>
      <c r="V8" s="7">
        <f t="shared" si="9"/>
        <v>337</v>
      </c>
      <c r="W8" s="13">
        <v>1879</v>
      </c>
      <c r="X8" s="7">
        <f t="shared" si="10"/>
        <v>18</v>
      </c>
      <c r="Y8" s="13">
        <v>356</v>
      </c>
      <c r="Z8" s="7">
        <f t="shared" si="11"/>
        <v>20</v>
      </c>
      <c r="AA8" s="10">
        <v>852350</v>
      </c>
      <c r="AB8" s="7">
        <f t="shared" si="12"/>
        <v>2540000</v>
      </c>
      <c r="AC8" s="10">
        <v>369208</v>
      </c>
      <c r="AD8" s="7">
        <f t="shared" si="13"/>
        <v>5600000</v>
      </c>
      <c r="AE8" s="14"/>
      <c r="AF8" s="10">
        <v>67138</v>
      </c>
      <c r="AG8" s="7">
        <f t="shared" si="14"/>
        <v>0</v>
      </c>
      <c r="AH8" s="10">
        <v>248920</v>
      </c>
      <c r="AI8" s="13">
        <f t="shared" si="15"/>
        <v>153</v>
      </c>
      <c r="AJ8" s="10">
        <v>11847257</v>
      </c>
      <c r="AK8" s="13">
        <f t="shared" si="16"/>
        <v>4872</v>
      </c>
      <c r="AL8" s="10">
        <v>28989</v>
      </c>
      <c r="AM8" s="13">
        <f t="shared" si="17"/>
        <v>1</v>
      </c>
      <c r="AN8" s="13">
        <v>20388</v>
      </c>
      <c r="AO8" s="13">
        <f t="shared" si="18"/>
        <v>742</v>
      </c>
      <c r="AP8" s="14"/>
      <c r="AQ8" s="21">
        <v>637577</v>
      </c>
      <c r="AR8" s="21">
        <f t="shared" si="34"/>
        <v>170000</v>
      </c>
      <c r="AS8" s="21">
        <v>234978</v>
      </c>
      <c r="AT8" s="21">
        <f t="shared" si="19"/>
        <v>0</v>
      </c>
      <c r="AU8" s="21">
        <v>96660</v>
      </c>
      <c r="AV8" s="21">
        <f t="shared" si="20"/>
        <v>150000</v>
      </c>
      <c r="AW8" s="21">
        <v>269527</v>
      </c>
      <c r="AX8" s="21">
        <f t="shared" si="21"/>
        <v>0</v>
      </c>
      <c r="AY8" s="21">
        <v>486170</v>
      </c>
      <c r="AZ8" s="21">
        <f t="shared" si="22"/>
        <v>0</v>
      </c>
      <c r="BA8" s="21">
        <v>19321</v>
      </c>
      <c r="BB8" s="21">
        <f t="shared" si="23"/>
        <v>0</v>
      </c>
      <c r="BC8" s="21">
        <v>484585</v>
      </c>
      <c r="BD8" s="21">
        <f t="shared" si="24"/>
        <v>400000</v>
      </c>
      <c r="BE8" s="21">
        <v>124015</v>
      </c>
      <c r="BF8" s="21">
        <f t="shared" si="25"/>
        <v>0</v>
      </c>
      <c r="BG8" s="14">
        <v>484585</v>
      </c>
      <c r="BH8" s="21">
        <v>1049095</v>
      </c>
      <c r="BI8" s="21">
        <f t="shared" si="26"/>
        <v>866</v>
      </c>
      <c r="BJ8" s="21">
        <v>566302</v>
      </c>
      <c r="BK8" s="21">
        <f t="shared" si="27"/>
        <v>448</v>
      </c>
      <c r="BL8" s="21">
        <v>288622</v>
      </c>
      <c r="BM8" s="21">
        <f t="shared" si="28"/>
        <v>174</v>
      </c>
      <c r="BN8" s="21">
        <v>155412</v>
      </c>
      <c r="BO8" s="21">
        <f t="shared" si="29"/>
        <v>138</v>
      </c>
      <c r="BP8" s="21">
        <v>147483</v>
      </c>
      <c r="BQ8" s="21">
        <f t="shared" si="30"/>
        <v>49</v>
      </c>
      <c r="BR8" s="21">
        <v>90506</v>
      </c>
      <c r="BS8" s="21">
        <f t="shared" si="31"/>
        <v>16</v>
      </c>
      <c r="BT8" s="21">
        <v>510210</v>
      </c>
      <c r="BU8" s="21">
        <f t="shared" si="32"/>
        <v>116</v>
      </c>
      <c r="BV8" s="21">
        <v>2861</v>
      </c>
      <c r="BW8" s="21">
        <f t="shared" si="33"/>
        <v>1</v>
      </c>
      <c r="BX8" s="21">
        <v>378494</v>
      </c>
      <c r="BY8" s="21">
        <f t="shared" si="35"/>
        <v>9</v>
      </c>
      <c r="BZ8" s="14"/>
      <c r="CA8" s="7"/>
    </row>
    <row r="9" spans="1:79" ht="22.5" customHeight="1">
      <c r="A9" s="11">
        <f t="shared" si="0"/>
        <v>44840</v>
      </c>
      <c r="B9" s="10">
        <v>749559</v>
      </c>
      <c r="C9" s="7">
        <f t="shared" si="1"/>
        <v>3952</v>
      </c>
      <c r="D9" s="7">
        <v>31252592</v>
      </c>
      <c r="E9" s="7">
        <f t="shared" si="2"/>
        <v>8260</v>
      </c>
      <c r="F9" s="7">
        <v>8776221</v>
      </c>
      <c r="G9" s="8">
        <f t="shared" si="3"/>
        <v>3406</v>
      </c>
      <c r="H9" s="12"/>
      <c r="I9" s="7">
        <v>99634</v>
      </c>
      <c r="J9" s="13">
        <f t="shared" si="4"/>
        <v>114.029</v>
      </c>
      <c r="K9" s="13">
        <v>21935</v>
      </c>
      <c r="L9" s="13">
        <f t="shared" si="5"/>
        <v>6.774</v>
      </c>
      <c r="M9" s="14"/>
      <c r="N9" s="10">
        <v>63658</v>
      </c>
      <c r="O9" s="13">
        <f t="shared" si="6"/>
        <v>6951.8716577540099</v>
      </c>
      <c r="P9" s="10">
        <v>241228</v>
      </c>
      <c r="Q9" s="13">
        <f t="shared" si="7"/>
        <v>63</v>
      </c>
      <c r="R9" s="13">
        <v>54315402</v>
      </c>
      <c r="S9" s="13">
        <f t="shared" si="8"/>
        <v>4676</v>
      </c>
      <c r="T9" s="14"/>
      <c r="U9" s="13">
        <v>63609</v>
      </c>
      <c r="V9" s="7">
        <f t="shared" si="9"/>
        <v>323</v>
      </c>
      <c r="W9" s="13">
        <v>1898</v>
      </c>
      <c r="X9" s="7">
        <f t="shared" si="10"/>
        <v>19</v>
      </c>
      <c r="Y9" s="13">
        <v>377</v>
      </c>
      <c r="Z9" s="7">
        <f t="shared" si="11"/>
        <v>21</v>
      </c>
      <c r="AA9" s="10">
        <v>852550</v>
      </c>
      <c r="AB9" s="7">
        <f t="shared" si="12"/>
        <v>2000000</v>
      </c>
      <c r="AC9" s="10">
        <v>369408</v>
      </c>
      <c r="AD9" s="7">
        <f t="shared" si="13"/>
        <v>2000000</v>
      </c>
      <c r="AE9" s="14"/>
      <c r="AF9" s="10">
        <v>67138</v>
      </c>
      <c r="AG9" s="7">
        <f t="shared" si="14"/>
        <v>0</v>
      </c>
      <c r="AH9" s="10">
        <v>249056</v>
      </c>
      <c r="AI9" s="13">
        <f t="shared" si="15"/>
        <v>136</v>
      </c>
      <c r="AJ9" s="10">
        <v>11852813</v>
      </c>
      <c r="AK9" s="13">
        <f t="shared" si="16"/>
        <v>5556</v>
      </c>
      <c r="AL9" s="10">
        <v>28991</v>
      </c>
      <c r="AM9" s="13">
        <f t="shared" si="17"/>
        <v>2</v>
      </c>
      <c r="AN9" s="13">
        <v>21055</v>
      </c>
      <c r="AO9" s="13">
        <f t="shared" si="18"/>
        <v>667</v>
      </c>
      <c r="AP9" s="14"/>
      <c r="AQ9" s="21">
        <v>637744</v>
      </c>
      <c r="AR9" s="21">
        <f t="shared" si="34"/>
        <v>1670000</v>
      </c>
      <c r="AS9" s="21">
        <v>234978</v>
      </c>
      <c r="AT9" s="21">
        <f t="shared" si="19"/>
        <v>0</v>
      </c>
      <c r="AU9" s="21">
        <v>96674</v>
      </c>
      <c r="AV9" s="21">
        <f t="shared" si="20"/>
        <v>140000</v>
      </c>
      <c r="AW9" s="21">
        <v>269527</v>
      </c>
      <c r="AX9" s="21">
        <f t="shared" si="21"/>
        <v>0</v>
      </c>
      <c r="AY9" s="21">
        <v>486170</v>
      </c>
      <c r="AZ9" s="21">
        <f t="shared" si="22"/>
        <v>0</v>
      </c>
      <c r="BA9" s="21">
        <v>19321</v>
      </c>
      <c r="BB9" s="21">
        <f t="shared" si="23"/>
        <v>0</v>
      </c>
      <c r="BC9" s="21">
        <v>484655</v>
      </c>
      <c r="BD9" s="21">
        <f t="shared" si="24"/>
        <v>700000</v>
      </c>
      <c r="BE9" s="21">
        <v>124015</v>
      </c>
      <c r="BF9" s="21">
        <f t="shared" si="25"/>
        <v>0</v>
      </c>
      <c r="BG9" s="14"/>
      <c r="BH9" s="21">
        <v>1049953</v>
      </c>
      <c r="BI9" s="21">
        <f t="shared" si="26"/>
        <v>858</v>
      </c>
      <c r="BJ9" s="21">
        <v>566771</v>
      </c>
      <c r="BK9" s="21">
        <f t="shared" si="27"/>
        <v>469</v>
      </c>
      <c r="BL9" s="21">
        <v>288804</v>
      </c>
      <c r="BM9" s="21">
        <f t="shared" si="28"/>
        <v>182</v>
      </c>
      <c r="BN9" s="21">
        <v>155574</v>
      </c>
      <c r="BO9" s="21">
        <f t="shared" si="29"/>
        <v>162</v>
      </c>
      <c r="BP9" s="21">
        <v>147532</v>
      </c>
      <c r="BQ9" s="21">
        <f t="shared" si="30"/>
        <v>49</v>
      </c>
      <c r="BR9" s="21">
        <v>90523</v>
      </c>
      <c r="BS9" s="21">
        <f t="shared" si="31"/>
        <v>17</v>
      </c>
      <c r="BT9" s="21">
        <v>510305</v>
      </c>
      <c r="BU9" s="21">
        <f t="shared" si="32"/>
        <v>95</v>
      </c>
      <c r="BV9" s="21">
        <v>2862</v>
      </c>
      <c r="BW9" s="21">
        <f t="shared" si="33"/>
        <v>1</v>
      </c>
      <c r="BX9" s="21">
        <v>378513</v>
      </c>
      <c r="BY9" s="21">
        <f t="shared" si="35"/>
        <v>19</v>
      </c>
      <c r="BZ9" s="14"/>
      <c r="CA9" s="7"/>
    </row>
    <row r="10" spans="1:79" ht="22.5" customHeight="1">
      <c r="A10" s="11">
        <f t="shared" si="0"/>
        <v>44841</v>
      </c>
      <c r="B10" s="10">
        <v>753270</v>
      </c>
      <c r="C10" s="7">
        <f t="shared" si="1"/>
        <v>3711</v>
      </c>
      <c r="D10" s="7">
        <v>31261194</v>
      </c>
      <c r="E10" s="7">
        <f t="shared" si="2"/>
        <v>8602</v>
      </c>
      <c r="F10" s="10">
        <v>8779770</v>
      </c>
      <c r="G10" s="8">
        <f t="shared" si="3"/>
        <v>3549</v>
      </c>
      <c r="H10" s="17"/>
      <c r="I10" s="7">
        <v>99740</v>
      </c>
      <c r="J10" s="13">
        <f t="shared" si="4"/>
        <v>119.67400000000001</v>
      </c>
      <c r="K10" s="13">
        <v>21942</v>
      </c>
      <c r="L10" s="13">
        <f t="shared" si="5"/>
        <v>7.9030000000000005</v>
      </c>
      <c r="M10" s="14"/>
      <c r="N10" s="7">
        <v>63707</v>
      </c>
      <c r="O10" s="13">
        <f t="shared" si="6"/>
        <v>6550.8021390374324</v>
      </c>
      <c r="P10" s="7">
        <v>241278</v>
      </c>
      <c r="Q10" s="13">
        <f t="shared" si="7"/>
        <v>50</v>
      </c>
      <c r="R10" s="13">
        <v>24322402</v>
      </c>
      <c r="S10" s="13">
        <f t="shared" si="8"/>
        <v>-29993000</v>
      </c>
      <c r="T10" s="14"/>
      <c r="U10" s="13">
        <v>63926</v>
      </c>
      <c r="V10" s="7">
        <f t="shared" si="9"/>
        <v>317</v>
      </c>
      <c r="W10" s="13">
        <v>1916</v>
      </c>
      <c r="X10" s="7">
        <f t="shared" si="10"/>
        <v>18</v>
      </c>
      <c r="Y10" s="13">
        <v>397</v>
      </c>
      <c r="Z10" s="7">
        <f t="shared" si="11"/>
        <v>20</v>
      </c>
      <c r="AA10" s="10">
        <v>852721</v>
      </c>
      <c r="AB10" s="7">
        <f t="shared" si="12"/>
        <v>1710000</v>
      </c>
      <c r="AC10" s="10">
        <v>369513</v>
      </c>
      <c r="AD10" s="7">
        <f t="shared" si="13"/>
        <v>1050000</v>
      </c>
      <c r="AE10" s="14"/>
      <c r="AF10" s="7">
        <v>67144</v>
      </c>
      <c r="AG10" s="7">
        <f t="shared" si="14"/>
        <v>6</v>
      </c>
      <c r="AH10" s="7">
        <v>249253</v>
      </c>
      <c r="AI10" s="13">
        <f t="shared" si="15"/>
        <v>197</v>
      </c>
      <c r="AJ10" s="7">
        <v>11860345</v>
      </c>
      <c r="AK10" s="13">
        <f t="shared" si="16"/>
        <v>7532</v>
      </c>
      <c r="AL10" s="7">
        <v>28993</v>
      </c>
      <c r="AM10" s="13">
        <f t="shared" si="17"/>
        <v>2</v>
      </c>
      <c r="AN10" s="13">
        <v>21966</v>
      </c>
      <c r="AO10" s="13">
        <f t="shared" si="18"/>
        <v>911</v>
      </c>
      <c r="AP10" s="14"/>
      <c r="AQ10" s="21">
        <v>637940</v>
      </c>
      <c r="AR10" s="21">
        <f>(AQ10-AQ9)*10000</f>
        <v>1960000</v>
      </c>
      <c r="AS10" s="21">
        <v>234978</v>
      </c>
      <c r="AT10" s="21">
        <f t="shared" si="19"/>
        <v>0</v>
      </c>
      <c r="AU10" s="21">
        <v>96682</v>
      </c>
      <c r="AV10" s="21">
        <f t="shared" si="20"/>
        <v>80000</v>
      </c>
      <c r="AW10" s="21">
        <v>269527</v>
      </c>
      <c r="AX10" s="21">
        <f t="shared" si="21"/>
        <v>0</v>
      </c>
      <c r="AY10" s="21">
        <v>486255</v>
      </c>
      <c r="AZ10" s="21">
        <f t="shared" si="22"/>
        <v>850000</v>
      </c>
      <c r="BA10" s="21">
        <v>19321</v>
      </c>
      <c r="BB10" s="21">
        <f t="shared" si="23"/>
        <v>0</v>
      </c>
      <c r="BC10" s="21">
        <v>484727</v>
      </c>
      <c r="BD10" s="21">
        <f t="shared" si="24"/>
        <v>720000</v>
      </c>
      <c r="BE10" s="21">
        <v>124015</v>
      </c>
      <c r="BF10" s="21">
        <f t="shared" si="25"/>
        <v>0</v>
      </c>
      <c r="BG10" s="14">
        <v>6</v>
      </c>
      <c r="BH10" s="21">
        <v>1050804</v>
      </c>
      <c r="BI10" s="21">
        <f t="shared" si="26"/>
        <v>851</v>
      </c>
      <c r="BJ10" s="21">
        <v>567331</v>
      </c>
      <c r="BK10" s="21">
        <f t="shared" si="27"/>
        <v>560</v>
      </c>
      <c r="BL10" s="21">
        <v>288978</v>
      </c>
      <c r="BM10" s="21">
        <f t="shared" si="28"/>
        <v>174</v>
      </c>
      <c r="BN10" s="21">
        <v>155742</v>
      </c>
      <c r="BO10" s="21">
        <f t="shared" si="29"/>
        <v>168</v>
      </c>
      <c r="BP10" s="21">
        <v>147581</v>
      </c>
      <c r="BQ10" s="21">
        <f t="shared" si="30"/>
        <v>49</v>
      </c>
      <c r="BR10" s="21">
        <v>90535</v>
      </c>
      <c r="BS10" s="21">
        <f t="shared" si="31"/>
        <v>12</v>
      </c>
      <c r="BT10" s="21">
        <v>510412</v>
      </c>
      <c r="BU10" s="21">
        <f t="shared" si="32"/>
        <v>107</v>
      </c>
      <c r="BV10" s="21">
        <v>2863</v>
      </c>
      <c r="BW10" s="21">
        <f t="shared" si="33"/>
        <v>1</v>
      </c>
      <c r="BX10" s="21">
        <v>378528</v>
      </c>
      <c r="BY10" s="21">
        <f t="shared" si="35"/>
        <v>15</v>
      </c>
      <c r="BZ10" s="14"/>
      <c r="CA10" s="7"/>
    </row>
    <row r="11" spans="1:79" ht="23.25" customHeight="1">
      <c r="A11" s="11">
        <f t="shared" si="0"/>
        <v>44842</v>
      </c>
      <c r="B11" s="10">
        <v>757101</v>
      </c>
      <c r="C11" s="7">
        <f t="shared" si="1"/>
        <v>3831</v>
      </c>
      <c r="D11" s="7">
        <v>31269838</v>
      </c>
      <c r="E11" s="7">
        <f t="shared" si="2"/>
        <v>8644</v>
      </c>
      <c r="F11" s="7">
        <v>8783337</v>
      </c>
      <c r="G11" s="8">
        <f t="shared" si="3"/>
        <v>3567</v>
      </c>
      <c r="H11" s="12"/>
      <c r="I11" s="7">
        <v>99850</v>
      </c>
      <c r="J11" s="13">
        <f t="shared" si="4"/>
        <v>124.19</v>
      </c>
      <c r="K11" s="7">
        <v>21948</v>
      </c>
      <c r="L11" s="13">
        <f t="shared" si="5"/>
        <v>6.774</v>
      </c>
      <c r="M11" s="12"/>
      <c r="N11" s="7">
        <v>63765</v>
      </c>
      <c r="O11" s="13">
        <f t="shared" si="6"/>
        <v>7754.0106951871658</v>
      </c>
      <c r="P11" s="7">
        <v>241326</v>
      </c>
      <c r="Q11" s="13">
        <f t="shared" si="7"/>
        <v>48</v>
      </c>
      <c r="R11" s="7">
        <v>54330728</v>
      </c>
      <c r="S11" s="13">
        <f t="shared" si="8"/>
        <v>30008326</v>
      </c>
      <c r="T11" s="12"/>
      <c r="U11" s="7">
        <v>64237</v>
      </c>
      <c r="V11" s="7">
        <f t="shared" si="9"/>
        <v>311</v>
      </c>
      <c r="W11" s="7">
        <v>1933</v>
      </c>
      <c r="X11" s="7">
        <f t="shared" si="10"/>
        <v>17</v>
      </c>
      <c r="Y11" s="7">
        <v>416</v>
      </c>
      <c r="Z11" s="7">
        <f t="shared" si="11"/>
        <v>19</v>
      </c>
      <c r="AA11" s="7">
        <v>852890</v>
      </c>
      <c r="AB11" s="7">
        <f t="shared" si="12"/>
        <v>1690000</v>
      </c>
      <c r="AC11" s="7">
        <v>369589</v>
      </c>
      <c r="AD11" s="7">
        <f t="shared" si="13"/>
        <v>760000</v>
      </c>
      <c r="AE11" s="12"/>
      <c r="AF11" s="7">
        <v>67144</v>
      </c>
      <c r="AG11" s="7">
        <f t="shared" si="14"/>
        <v>0</v>
      </c>
      <c r="AH11" s="7">
        <v>249435</v>
      </c>
      <c r="AI11" s="13">
        <f t="shared" si="15"/>
        <v>182</v>
      </c>
      <c r="AJ11" s="7">
        <v>11867810</v>
      </c>
      <c r="AK11" s="13">
        <f t="shared" si="16"/>
        <v>7465</v>
      </c>
      <c r="AL11" s="7">
        <v>28997</v>
      </c>
      <c r="AM11" s="13">
        <f t="shared" si="17"/>
        <v>4</v>
      </c>
      <c r="AN11" s="7">
        <v>22895</v>
      </c>
      <c r="AO11" s="13">
        <f t="shared" si="18"/>
        <v>929</v>
      </c>
      <c r="AP11" s="12"/>
      <c r="AQ11" s="21">
        <v>638108</v>
      </c>
      <c r="AR11" s="21">
        <f t="shared" si="34"/>
        <v>1680000</v>
      </c>
      <c r="AS11" s="21">
        <v>234978</v>
      </c>
      <c r="AT11" s="21">
        <f t="shared" si="19"/>
        <v>0</v>
      </c>
      <c r="AU11" s="21">
        <v>96692</v>
      </c>
      <c r="AV11" s="21">
        <f t="shared" si="20"/>
        <v>100000</v>
      </c>
      <c r="AW11" s="21">
        <v>269527</v>
      </c>
      <c r="AX11" s="21">
        <f t="shared" si="21"/>
        <v>0</v>
      </c>
      <c r="AY11" s="21">
        <v>486384</v>
      </c>
      <c r="AZ11" s="21">
        <f t="shared" si="22"/>
        <v>1290000</v>
      </c>
      <c r="BA11" s="21">
        <v>19321</v>
      </c>
      <c r="BB11" s="21">
        <f t="shared" si="23"/>
        <v>0</v>
      </c>
      <c r="BC11" s="21">
        <v>484794</v>
      </c>
      <c r="BD11" s="21">
        <f t="shared" si="24"/>
        <v>670000</v>
      </c>
      <c r="BE11" s="21">
        <v>124015</v>
      </c>
      <c r="BF11" s="21">
        <f t="shared" si="25"/>
        <v>0</v>
      </c>
      <c r="BG11" s="12"/>
      <c r="BH11" s="21">
        <v>1051678</v>
      </c>
      <c r="BI11" s="21">
        <f t="shared" si="26"/>
        <v>874</v>
      </c>
      <c r="BJ11" s="21">
        <v>567697</v>
      </c>
      <c r="BK11" s="21">
        <f t="shared" si="27"/>
        <v>366</v>
      </c>
      <c r="BL11" s="21">
        <v>289169</v>
      </c>
      <c r="BM11" s="21">
        <f t="shared" si="28"/>
        <v>191</v>
      </c>
      <c r="BN11" s="21">
        <v>155912</v>
      </c>
      <c r="BO11" s="21">
        <f t="shared" si="29"/>
        <v>170</v>
      </c>
      <c r="BP11" s="21">
        <v>147627</v>
      </c>
      <c r="BQ11" s="21">
        <f t="shared" si="30"/>
        <v>46</v>
      </c>
      <c r="BR11" s="21">
        <v>90551</v>
      </c>
      <c r="BS11" s="21">
        <f t="shared" si="31"/>
        <v>16</v>
      </c>
      <c r="BT11" s="21">
        <v>510513</v>
      </c>
      <c r="BU11" s="21">
        <f t="shared" si="32"/>
        <v>101</v>
      </c>
      <c r="BV11" s="21">
        <v>2864</v>
      </c>
      <c r="BW11" s="21">
        <f t="shared" si="33"/>
        <v>1</v>
      </c>
      <c r="BX11" s="21">
        <v>378563</v>
      </c>
      <c r="BY11" s="21">
        <f t="shared" si="35"/>
        <v>35</v>
      </c>
      <c r="BZ11" s="12"/>
      <c r="CA11" s="7"/>
    </row>
    <row r="12" spans="1:79" ht="21.75" customHeight="1">
      <c r="A12" s="11">
        <f t="shared" si="0"/>
        <v>44843</v>
      </c>
      <c r="B12" s="7">
        <v>761510</v>
      </c>
      <c r="C12" s="7">
        <f t="shared" si="1"/>
        <v>4409</v>
      </c>
      <c r="D12" s="7">
        <v>31278769</v>
      </c>
      <c r="E12" s="7">
        <f t="shared" si="2"/>
        <v>8931</v>
      </c>
      <c r="F12" s="7">
        <v>8787204</v>
      </c>
      <c r="G12" s="8">
        <f t="shared" si="3"/>
        <v>3867</v>
      </c>
      <c r="H12" s="12"/>
      <c r="I12" s="7">
        <v>99982</v>
      </c>
      <c r="J12" s="13">
        <f t="shared" si="4"/>
        <v>149.02799999999999</v>
      </c>
      <c r="K12" s="7">
        <v>21955</v>
      </c>
      <c r="L12" s="13">
        <f t="shared" si="5"/>
        <v>7.9030000000000005</v>
      </c>
      <c r="M12" s="12"/>
      <c r="N12" s="7">
        <v>63834</v>
      </c>
      <c r="O12" s="13">
        <f t="shared" si="6"/>
        <v>9224.5989304812829</v>
      </c>
      <c r="P12" s="13">
        <v>241393</v>
      </c>
      <c r="Q12" s="13">
        <f t="shared" si="7"/>
        <v>67</v>
      </c>
      <c r="R12" s="7">
        <v>54336629</v>
      </c>
      <c r="S12" s="13">
        <f t="shared" si="8"/>
        <v>5901</v>
      </c>
      <c r="T12" s="12"/>
      <c r="U12" s="7">
        <v>64559</v>
      </c>
      <c r="V12" s="7">
        <f t="shared" si="9"/>
        <v>322</v>
      </c>
      <c r="W12" s="7">
        <v>1952</v>
      </c>
      <c r="X12" s="7">
        <f t="shared" si="10"/>
        <v>19</v>
      </c>
      <c r="Y12" s="7">
        <v>438</v>
      </c>
      <c r="Z12" s="7">
        <f t="shared" si="11"/>
        <v>22</v>
      </c>
      <c r="AA12" s="7">
        <v>853063</v>
      </c>
      <c r="AB12" s="7">
        <f t="shared" si="12"/>
        <v>1730000</v>
      </c>
      <c r="AC12" s="7">
        <v>369735</v>
      </c>
      <c r="AD12" s="7">
        <f t="shared" si="13"/>
        <v>1460000</v>
      </c>
      <c r="AE12" s="12"/>
      <c r="AF12" s="7">
        <v>67144</v>
      </c>
      <c r="AG12" s="7">
        <f t="shared" si="14"/>
        <v>0</v>
      </c>
      <c r="AH12" s="7">
        <v>249608</v>
      </c>
      <c r="AI12" s="13">
        <f t="shared" si="15"/>
        <v>173</v>
      </c>
      <c r="AJ12" s="7">
        <v>11876160</v>
      </c>
      <c r="AK12" s="13">
        <f t="shared" si="16"/>
        <v>8350</v>
      </c>
      <c r="AL12" s="7">
        <v>29002</v>
      </c>
      <c r="AM12" s="13">
        <f t="shared" si="17"/>
        <v>5</v>
      </c>
      <c r="AN12" s="7">
        <v>23813</v>
      </c>
      <c r="AO12" s="13">
        <f t="shared" si="18"/>
        <v>918</v>
      </c>
      <c r="AP12" s="12"/>
      <c r="AQ12" s="21">
        <v>638408</v>
      </c>
      <c r="AR12" s="21">
        <f t="shared" si="34"/>
        <v>3000000</v>
      </c>
      <c r="AS12" s="21">
        <v>234978</v>
      </c>
      <c r="AT12" s="21">
        <f t="shared" si="19"/>
        <v>0</v>
      </c>
      <c r="AU12" s="21">
        <v>96697</v>
      </c>
      <c r="AV12" s="21">
        <f t="shared" si="20"/>
        <v>50000</v>
      </c>
      <c r="AW12" s="21">
        <v>269527</v>
      </c>
      <c r="AX12" s="21">
        <f t="shared" si="21"/>
        <v>0</v>
      </c>
      <c r="AY12" s="21">
        <v>486438</v>
      </c>
      <c r="AZ12" s="21">
        <f t="shared" si="22"/>
        <v>540000</v>
      </c>
      <c r="BA12" s="21">
        <v>19321</v>
      </c>
      <c r="BB12" s="21">
        <f t="shared" si="23"/>
        <v>0</v>
      </c>
      <c r="BC12" s="21">
        <v>484848</v>
      </c>
      <c r="BD12" s="21">
        <f t="shared" si="24"/>
        <v>540000</v>
      </c>
      <c r="BE12" s="21">
        <v>124015</v>
      </c>
      <c r="BF12" s="21">
        <f t="shared" si="25"/>
        <v>0</v>
      </c>
      <c r="BG12" s="12"/>
      <c r="BH12" s="21">
        <v>1052669</v>
      </c>
      <c r="BI12" s="21">
        <f t="shared" si="26"/>
        <v>991</v>
      </c>
      <c r="BJ12" s="21">
        <v>568209</v>
      </c>
      <c r="BK12" s="21">
        <f t="shared" si="27"/>
        <v>512</v>
      </c>
      <c r="BL12" s="21">
        <v>289380</v>
      </c>
      <c r="BM12" s="21">
        <f t="shared" si="28"/>
        <v>211</v>
      </c>
      <c r="BN12" s="21">
        <v>156104</v>
      </c>
      <c r="BO12" s="21">
        <f t="shared" si="29"/>
        <v>192</v>
      </c>
      <c r="BP12" s="21">
        <v>147674</v>
      </c>
      <c r="BQ12" s="21">
        <f t="shared" si="30"/>
        <v>47</v>
      </c>
      <c r="BR12" s="21">
        <v>90567</v>
      </c>
      <c r="BS12" s="21">
        <f t="shared" si="31"/>
        <v>16</v>
      </c>
      <c r="BT12" s="21">
        <v>510645</v>
      </c>
      <c r="BU12" s="21">
        <f t="shared" si="32"/>
        <v>132</v>
      </c>
      <c r="BV12" s="21">
        <v>2865</v>
      </c>
      <c r="BW12" s="21">
        <f t="shared" si="33"/>
        <v>1</v>
      </c>
      <c r="BX12" s="21">
        <v>378601</v>
      </c>
      <c r="BY12" s="21">
        <f t="shared" si="35"/>
        <v>38</v>
      </c>
      <c r="BZ12" s="12"/>
      <c r="CA12" s="7"/>
    </row>
    <row r="13" spans="1:79" ht="21.75" customHeight="1">
      <c r="A13" s="11">
        <f t="shared" si="0"/>
        <v>44844</v>
      </c>
      <c r="B13" s="7">
        <v>765961</v>
      </c>
      <c r="C13" s="7">
        <f>B13-B12</f>
        <v>4451</v>
      </c>
      <c r="D13" s="7">
        <v>31287530</v>
      </c>
      <c r="E13" s="7">
        <f t="shared" si="2"/>
        <v>8761</v>
      </c>
      <c r="F13" s="7">
        <v>8791004</v>
      </c>
      <c r="G13" s="8">
        <f t="shared" si="3"/>
        <v>3800</v>
      </c>
      <c r="H13" s="12"/>
      <c r="I13" s="7">
        <v>96</v>
      </c>
      <c r="J13" s="13">
        <f>((I13-I12)+100000)*1.129</f>
        <v>128.70599999999999</v>
      </c>
      <c r="K13" s="7">
        <v>21961</v>
      </c>
      <c r="L13" s="13">
        <f t="shared" si="5"/>
        <v>6.774</v>
      </c>
      <c r="M13" s="12"/>
      <c r="N13" s="7">
        <v>63896</v>
      </c>
      <c r="O13" s="13">
        <f t="shared" si="6"/>
        <v>8288.7700534759351</v>
      </c>
      <c r="P13" s="7">
        <v>241461</v>
      </c>
      <c r="Q13" s="13">
        <f t="shared" si="7"/>
        <v>68</v>
      </c>
      <c r="R13" s="7">
        <v>54342231</v>
      </c>
      <c r="S13" s="13">
        <f t="shared" si="8"/>
        <v>5602</v>
      </c>
      <c r="T13" s="12"/>
      <c r="U13" s="7">
        <v>64889</v>
      </c>
      <c r="V13" s="7">
        <f t="shared" si="9"/>
        <v>330</v>
      </c>
      <c r="W13" s="7">
        <v>1972</v>
      </c>
      <c r="X13" s="7">
        <f t="shared" si="10"/>
        <v>20</v>
      </c>
      <c r="Y13" s="7">
        <v>458</v>
      </c>
      <c r="Z13" s="7">
        <f t="shared" si="11"/>
        <v>20</v>
      </c>
      <c r="AA13" s="7">
        <v>853261</v>
      </c>
      <c r="AB13" s="7">
        <f t="shared" si="12"/>
        <v>1980000</v>
      </c>
      <c r="AC13" s="7">
        <v>369959</v>
      </c>
      <c r="AD13" s="7">
        <f t="shared" ref="AD13:AD29" si="36">(AC13-AC12)*10000</f>
        <v>2240000</v>
      </c>
      <c r="AE13" s="12"/>
      <c r="AF13" s="7">
        <v>67144</v>
      </c>
      <c r="AG13" s="7">
        <f t="shared" si="14"/>
        <v>0</v>
      </c>
      <c r="AH13" s="7">
        <v>249727</v>
      </c>
      <c r="AI13" s="13">
        <f t="shared" si="15"/>
        <v>119</v>
      </c>
      <c r="AJ13" s="7">
        <v>11881834</v>
      </c>
      <c r="AK13" s="13">
        <f t="shared" si="16"/>
        <v>5674</v>
      </c>
      <c r="AL13" s="7">
        <v>29004</v>
      </c>
      <c r="AM13" s="13">
        <f t="shared" si="17"/>
        <v>2</v>
      </c>
      <c r="AN13" s="7">
        <v>24497</v>
      </c>
      <c r="AO13" s="13">
        <f t="shared" si="18"/>
        <v>684</v>
      </c>
      <c r="AP13" s="12"/>
      <c r="AQ13" s="21">
        <v>638608</v>
      </c>
      <c r="AR13" s="21">
        <f t="shared" si="34"/>
        <v>2000000</v>
      </c>
      <c r="AS13" s="21">
        <v>234978</v>
      </c>
      <c r="AT13" s="21">
        <f t="shared" si="19"/>
        <v>0</v>
      </c>
      <c r="AU13" s="21">
        <v>96727</v>
      </c>
      <c r="AV13" s="21">
        <f t="shared" si="20"/>
        <v>300000</v>
      </c>
      <c r="AW13" s="21">
        <v>269527</v>
      </c>
      <c r="AX13" s="21">
        <f t="shared" si="21"/>
        <v>0</v>
      </c>
      <c r="AY13" s="21">
        <v>486520</v>
      </c>
      <c r="AZ13" s="21">
        <f t="shared" si="22"/>
        <v>820000</v>
      </c>
      <c r="BA13" s="21">
        <v>19321</v>
      </c>
      <c r="BB13" s="21">
        <f t="shared" si="23"/>
        <v>0</v>
      </c>
      <c r="BC13" s="21">
        <v>484902</v>
      </c>
      <c r="BD13" s="21">
        <f t="shared" si="24"/>
        <v>540000</v>
      </c>
      <c r="BE13" s="21">
        <v>124015</v>
      </c>
      <c r="BF13" s="21">
        <f t="shared" si="25"/>
        <v>0</v>
      </c>
      <c r="BG13" s="12"/>
      <c r="BH13" s="21">
        <v>1053635</v>
      </c>
      <c r="BI13" s="21">
        <f t="shared" si="26"/>
        <v>966</v>
      </c>
      <c r="BJ13" s="21">
        <v>568698</v>
      </c>
      <c r="BK13" s="21">
        <f t="shared" si="27"/>
        <v>489</v>
      </c>
      <c r="BL13" s="21">
        <v>289548</v>
      </c>
      <c r="BM13" s="21">
        <f t="shared" si="28"/>
        <v>168</v>
      </c>
      <c r="BN13" s="21">
        <v>156283</v>
      </c>
      <c r="BO13" s="21">
        <f t="shared" si="29"/>
        <v>179</v>
      </c>
      <c r="BP13" s="21">
        <v>147720</v>
      </c>
      <c r="BQ13" s="21">
        <f t="shared" si="30"/>
        <v>46</v>
      </c>
      <c r="BR13" s="21">
        <v>90585</v>
      </c>
      <c r="BS13" s="21">
        <f t="shared" si="31"/>
        <v>18</v>
      </c>
      <c r="BT13" s="21">
        <v>510765</v>
      </c>
      <c r="BU13" s="21">
        <f t="shared" si="32"/>
        <v>120</v>
      </c>
      <c r="BV13" s="21">
        <v>2865</v>
      </c>
      <c r="BW13" s="21">
        <f t="shared" si="33"/>
        <v>0</v>
      </c>
      <c r="BX13" s="21">
        <v>378622</v>
      </c>
      <c r="BY13" s="21">
        <f t="shared" si="35"/>
        <v>21</v>
      </c>
      <c r="BZ13" s="12"/>
      <c r="CA13" s="7"/>
    </row>
    <row r="14" spans="1:79" ht="22.5" customHeight="1">
      <c r="A14" s="11">
        <f t="shared" si="0"/>
        <v>44845</v>
      </c>
      <c r="B14" s="7">
        <v>769578</v>
      </c>
      <c r="C14" s="7">
        <f t="shared" si="1"/>
        <v>3617</v>
      </c>
      <c r="D14" s="7">
        <v>31295370</v>
      </c>
      <c r="E14" s="7">
        <f t="shared" si="2"/>
        <v>7840</v>
      </c>
      <c r="F14" s="7">
        <v>8794317</v>
      </c>
      <c r="G14" s="8">
        <f t="shared" si="3"/>
        <v>3313</v>
      </c>
      <c r="H14" s="12"/>
      <c r="I14" s="7">
        <v>193</v>
      </c>
      <c r="J14" s="13">
        <f t="shared" si="4"/>
        <v>109.51300000000001</v>
      </c>
      <c r="K14" s="7">
        <v>21967</v>
      </c>
      <c r="L14" s="13">
        <f t="shared" si="5"/>
        <v>6.774</v>
      </c>
      <c r="M14" s="12"/>
      <c r="N14" s="7">
        <v>63953</v>
      </c>
      <c r="O14" s="13">
        <f t="shared" si="6"/>
        <v>7620.320855614973</v>
      </c>
      <c r="P14" s="7">
        <v>241512</v>
      </c>
      <c r="Q14" s="13">
        <f t="shared" si="7"/>
        <v>51</v>
      </c>
      <c r="R14" s="13">
        <v>54347645</v>
      </c>
      <c r="S14" s="13">
        <f t="shared" si="8"/>
        <v>5414</v>
      </c>
      <c r="T14" s="14"/>
      <c r="U14" s="7">
        <v>65187</v>
      </c>
      <c r="V14" s="7">
        <f t="shared" si="9"/>
        <v>298</v>
      </c>
      <c r="W14" s="7">
        <v>1992</v>
      </c>
      <c r="X14" s="7">
        <f t="shared" si="10"/>
        <v>20</v>
      </c>
      <c r="Y14" s="7">
        <v>477</v>
      </c>
      <c r="Z14" s="7">
        <f t="shared" si="11"/>
        <v>19</v>
      </c>
      <c r="AA14" s="10">
        <v>853433</v>
      </c>
      <c r="AB14" s="7">
        <f t="shared" si="12"/>
        <v>1720000</v>
      </c>
      <c r="AC14" s="7">
        <v>370050</v>
      </c>
      <c r="AD14" s="7">
        <f t="shared" si="36"/>
        <v>910000</v>
      </c>
      <c r="AE14" s="14"/>
      <c r="AF14" s="7">
        <v>67144</v>
      </c>
      <c r="AG14" s="7">
        <f t="shared" si="14"/>
        <v>0</v>
      </c>
      <c r="AH14" s="7">
        <v>249879</v>
      </c>
      <c r="AI14" s="13">
        <f t="shared" si="15"/>
        <v>152</v>
      </c>
      <c r="AJ14" s="7">
        <v>11887256</v>
      </c>
      <c r="AK14" s="13">
        <f t="shared" si="16"/>
        <v>5422</v>
      </c>
      <c r="AL14" s="7">
        <v>29005</v>
      </c>
      <c r="AM14" s="13">
        <f t="shared" si="17"/>
        <v>1</v>
      </c>
      <c r="AN14" s="13">
        <v>25270</v>
      </c>
      <c r="AO14" s="13">
        <f t="shared" si="18"/>
        <v>773</v>
      </c>
      <c r="AP14" s="14"/>
      <c r="AQ14" s="21">
        <v>638785</v>
      </c>
      <c r="AR14" s="21">
        <f t="shared" si="34"/>
        <v>1770000</v>
      </c>
      <c r="AS14" s="21">
        <v>234978</v>
      </c>
      <c r="AT14" s="21">
        <f t="shared" si="19"/>
        <v>0</v>
      </c>
      <c r="AU14" s="21">
        <v>96761</v>
      </c>
      <c r="AV14" s="21">
        <f t="shared" si="20"/>
        <v>340000</v>
      </c>
      <c r="AW14" s="21">
        <v>269527</v>
      </c>
      <c r="AX14" s="21">
        <f t="shared" si="21"/>
        <v>0</v>
      </c>
      <c r="AY14" s="21">
        <v>486609</v>
      </c>
      <c r="AZ14" s="21">
        <f t="shared" si="22"/>
        <v>890000</v>
      </c>
      <c r="BA14" s="21">
        <v>19321</v>
      </c>
      <c r="BB14" s="21">
        <f t="shared" si="23"/>
        <v>0</v>
      </c>
      <c r="BC14" s="21">
        <v>484942</v>
      </c>
      <c r="BD14" s="21">
        <f t="shared" si="24"/>
        <v>400000</v>
      </c>
      <c r="BE14" s="21">
        <v>124015</v>
      </c>
      <c r="BF14" s="21">
        <f t="shared" si="25"/>
        <v>0</v>
      </c>
      <c r="BG14" s="14"/>
      <c r="BH14" s="21">
        <v>1054455</v>
      </c>
      <c r="BI14" s="21">
        <f t="shared" si="26"/>
        <v>820</v>
      </c>
      <c r="BJ14" s="21">
        <v>569166</v>
      </c>
      <c r="BK14" s="21">
        <f t="shared" si="27"/>
        <v>468</v>
      </c>
      <c r="BL14" s="21">
        <v>289703</v>
      </c>
      <c r="BM14" s="21">
        <f t="shared" si="28"/>
        <v>155</v>
      </c>
      <c r="BN14" s="21">
        <v>156432</v>
      </c>
      <c r="BO14" s="21">
        <f t="shared" si="29"/>
        <v>149</v>
      </c>
      <c r="BP14" s="21">
        <v>147778</v>
      </c>
      <c r="BQ14" s="21">
        <f t="shared" si="30"/>
        <v>58</v>
      </c>
      <c r="BR14" s="21">
        <v>90601</v>
      </c>
      <c r="BS14" s="21">
        <f t="shared" si="31"/>
        <v>16</v>
      </c>
      <c r="BT14" s="21">
        <v>510861</v>
      </c>
      <c r="BU14" s="21">
        <f t="shared" si="32"/>
        <v>96</v>
      </c>
      <c r="BV14" s="21">
        <v>2866</v>
      </c>
      <c r="BW14" s="21">
        <f t="shared" si="33"/>
        <v>1</v>
      </c>
      <c r="BX14" s="21">
        <v>378639</v>
      </c>
      <c r="BY14" s="21">
        <f t="shared" si="35"/>
        <v>17</v>
      </c>
      <c r="BZ14" s="14"/>
      <c r="CA14" s="7"/>
    </row>
    <row r="15" spans="1:79" ht="22.5" customHeight="1">
      <c r="A15" s="11">
        <f t="shared" si="0"/>
        <v>44846</v>
      </c>
      <c r="B15" s="7">
        <v>773743</v>
      </c>
      <c r="C15" s="7">
        <f t="shared" si="1"/>
        <v>4165</v>
      </c>
      <c r="D15" s="7">
        <v>31304056</v>
      </c>
      <c r="E15" s="7">
        <f t="shared" si="2"/>
        <v>8686</v>
      </c>
      <c r="F15" s="7">
        <v>8798031</v>
      </c>
      <c r="G15" s="8">
        <f t="shared" si="3"/>
        <v>3714</v>
      </c>
      <c r="H15" s="12"/>
      <c r="I15" s="7">
        <v>298</v>
      </c>
      <c r="J15" s="13">
        <f t="shared" si="4"/>
        <v>118.545</v>
      </c>
      <c r="K15" s="7">
        <v>21973</v>
      </c>
      <c r="L15" s="13">
        <f t="shared" si="5"/>
        <v>6.774</v>
      </c>
      <c r="M15" s="12"/>
      <c r="N15" s="7">
        <v>64005</v>
      </c>
      <c r="O15" s="13">
        <f t="shared" si="6"/>
        <v>6951.8716577540099</v>
      </c>
      <c r="P15" s="13">
        <v>241558</v>
      </c>
      <c r="Q15" s="13">
        <f t="shared" si="7"/>
        <v>46</v>
      </c>
      <c r="R15" s="7">
        <v>54353983</v>
      </c>
      <c r="S15" s="13">
        <f t="shared" si="8"/>
        <v>6338</v>
      </c>
      <c r="T15" s="12"/>
      <c r="U15" s="7">
        <v>65513</v>
      </c>
      <c r="V15" s="7">
        <f t="shared" si="9"/>
        <v>326</v>
      </c>
      <c r="W15" s="7">
        <v>2002</v>
      </c>
      <c r="X15" s="7">
        <f t="shared" si="10"/>
        <v>10</v>
      </c>
      <c r="Y15" s="7">
        <v>498</v>
      </c>
      <c r="Z15" s="7">
        <f t="shared" si="11"/>
        <v>21</v>
      </c>
      <c r="AA15" s="7">
        <v>853598</v>
      </c>
      <c r="AB15" s="7">
        <f t="shared" si="12"/>
        <v>1650000</v>
      </c>
      <c r="AC15" s="7">
        <v>370106</v>
      </c>
      <c r="AD15" s="7">
        <f t="shared" si="36"/>
        <v>560000</v>
      </c>
      <c r="AE15" s="12"/>
      <c r="AF15" s="7">
        <v>67144</v>
      </c>
      <c r="AG15" s="7">
        <f t="shared" si="14"/>
        <v>0</v>
      </c>
      <c r="AH15" s="13">
        <v>250040</v>
      </c>
      <c r="AI15" s="13">
        <f t="shared" si="15"/>
        <v>161</v>
      </c>
      <c r="AJ15" s="13">
        <v>11892510</v>
      </c>
      <c r="AK15" s="13">
        <f t="shared" si="16"/>
        <v>5254</v>
      </c>
      <c r="AL15" s="13">
        <v>29007</v>
      </c>
      <c r="AM15" s="13">
        <f t="shared" si="17"/>
        <v>2</v>
      </c>
      <c r="AN15" s="7">
        <v>26085</v>
      </c>
      <c r="AO15" s="13">
        <f t="shared" si="18"/>
        <v>815</v>
      </c>
      <c r="AP15" s="12"/>
      <c r="AQ15" s="21">
        <v>639057</v>
      </c>
      <c r="AR15" s="21">
        <f t="shared" si="34"/>
        <v>2720000</v>
      </c>
      <c r="AS15" s="21">
        <v>234978</v>
      </c>
      <c r="AT15" s="21">
        <f t="shared" si="19"/>
        <v>0</v>
      </c>
      <c r="AU15" s="21">
        <v>96870</v>
      </c>
      <c r="AV15" s="21">
        <f t="shared" si="20"/>
        <v>1090000</v>
      </c>
      <c r="AW15" s="21">
        <v>269527</v>
      </c>
      <c r="AX15" s="21">
        <f t="shared" si="21"/>
        <v>0</v>
      </c>
      <c r="AY15" s="21">
        <v>486693</v>
      </c>
      <c r="AZ15" s="21">
        <f t="shared" si="22"/>
        <v>840000</v>
      </c>
      <c r="BA15" s="21">
        <v>19321</v>
      </c>
      <c r="BB15" s="21">
        <f t="shared" si="23"/>
        <v>0</v>
      </c>
      <c r="BC15" s="21">
        <v>484986</v>
      </c>
      <c r="BD15" s="21">
        <f t="shared" si="24"/>
        <v>440000</v>
      </c>
      <c r="BE15" s="21">
        <v>124015</v>
      </c>
      <c r="BF15" s="21">
        <f t="shared" si="25"/>
        <v>0</v>
      </c>
      <c r="BG15" s="12">
        <v>184986</v>
      </c>
      <c r="BH15" s="21">
        <v>1055292</v>
      </c>
      <c r="BI15" s="21">
        <f t="shared" si="26"/>
        <v>837</v>
      </c>
      <c r="BJ15" s="21">
        <v>569667</v>
      </c>
      <c r="BK15" s="21">
        <f t="shared" si="27"/>
        <v>501</v>
      </c>
      <c r="BL15" s="21">
        <v>289878</v>
      </c>
      <c r="BM15" s="21">
        <f t="shared" si="28"/>
        <v>175</v>
      </c>
      <c r="BN15" s="21">
        <v>156586</v>
      </c>
      <c r="BO15" s="21">
        <f t="shared" si="29"/>
        <v>154</v>
      </c>
      <c r="BP15" s="21">
        <v>147839</v>
      </c>
      <c r="BQ15" s="21">
        <f t="shared" si="30"/>
        <v>61</v>
      </c>
      <c r="BR15" s="21">
        <v>90618</v>
      </c>
      <c r="BS15" s="21">
        <f t="shared" si="31"/>
        <v>17</v>
      </c>
      <c r="BT15" s="21">
        <v>510974</v>
      </c>
      <c r="BU15" s="21">
        <f t="shared" si="32"/>
        <v>113</v>
      </c>
      <c r="BV15" s="21">
        <v>2867</v>
      </c>
      <c r="BW15" s="21">
        <f t="shared" si="33"/>
        <v>1</v>
      </c>
      <c r="BX15" s="21">
        <v>378655</v>
      </c>
      <c r="BY15" s="21">
        <f t="shared" si="35"/>
        <v>16</v>
      </c>
      <c r="BZ15" s="12">
        <v>2867</v>
      </c>
      <c r="CA15" s="7"/>
    </row>
    <row r="16" spans="1:79" ht="21" customHeight="1">
      <c r="A16" s="11">
        <f t="shared" si="0"/>
        <v>44847</v>
      </c>
      <c r="B16" s="7">
        <v>775772</v>
      </c>
      <c r="C16" s="7">
        <f t="shared" si="1"/>
        <v>2029</v>
      </c>
      <c r="D16" s="7">
        <v>31312258</v>
      </c>
      <c r="E16" s="7">
        <f t="shared" si="2"/>
        <v>8202</v>
      </c>
      <c r="F16" s="7">
        <v>8801475</v>
      </c>
      <c r="G16" s="8">
        <f t="shared" si="3"/>
        <v>3444</v>
      </c>
      <c r="H16" s="12"/>
      <c r="I16" s="7">
        <v>392</v>
      </c>
      <c r="J16" s="13">
        <f t="shared" si="4"/>
        <v>106.126</v>
      </c>
      <c r="K16" s="7">
        <v>21980</v>
      </c>
      <c r="L16" s="13">
        <f t="shared" si="5"/>
        <v>7.9030000000000005</v>
      </c>
      <c r="M16" s="12"/>
      <c r="N16" s="7">
        <v>64053</v>
      </c>
      <c r="O16" s="13">
        <f t="shared" si="6"/>
        <v>6417.1122994652405</v>
      </c>
      <c r="P16" s="7">
        <v>241604</v>
      </c>
      <c r="Q16" s="13">
        <f t="shared" si="7"/>
        <v>46</v>
      </c>
      <c r="R16" s="13">
        <v>54360142</v>
      </c>
      <c r="S16" s="13">
        <f t="shared" si="8"/>
        <v>6159</v>
      </c>
      <c r="T16" s="14"/>
      <c r="U16" s="7">
        <v>65826</v>
      </c>
      <c r="V16" s="7">
        <f t="shared" si="9"/>
        <v>313</v>
      </c>
      <c r="W16" s="7">
        <v>2007</v>
      </c>
      <c r="X16" s="7">
        <f t="shared" si="10"/>
        <v>5</v>
      </c>
      <c r="Y16" s="7">
        <v>519</v>
      </c>
      <c r="Z16" s="7">
        <f t="shared" si="11"/>
        <v>21</v>
      </c>
      <c r="AA16" s="7">
        <v>853738</v>
      </c>
      <c r="AB16" s="7">
        <f t="shared" si="12"/>
        <v>1400000</v>
      </c>
      <c r="AC16" s="7">
        <v>370137</v>
      </c>
      <c r="AD16" s="7">
        <f t="shared" si="36"/>
        <v>310000</v>
      </c>
      <c r="AE16" s="14"/>
      <c r="AF16" s="7">
        <v>67144</v>
      </c>
      <c r="AG16" s="7">
        <f t="shared" si="14"/>
        <v>0</v>
      </c>
      <c r="AH16" s="7">
        <v>250178</v>
      </c>
      <c r="AI16" s="13">
        <f t="shared" si="15"/>
        <v>138</v>
      </c>
      <c r="AJ16" s="7">
        <v>11897354</v>
      </c>
      <c r="AK16" s="13">
        <f t="shared" si="16"/>
        <v>4844</v>
      </c>
      <c r="AL16" s="7">
        <v>29008</v>
      </c>
      <c r="AM16" s="13">
        <f t="shared" si="17"/>
        <v>1</v>
      </c>
      <c r="AN16" s="13">
        <v>26741</v>
      </c>
      <c r="AO16" s="13">
        <f t="shared" si="18"/>
        <v>656</v>
      </c>
      <c r="AP16" s="14"/>
      <c r="AQ16" s="21">
        <v>639322</v>
      </c>
      <c r="AR16" s="21">
        <f t="shared" si="34"/>
        <v>2650000</v>
      </c>
      <c r="AS16" s="21">
        <v>234978</v>
      </c>
      <c r="AT16" s="21">
        <f t="shared" si="19"/>
        <v>0</v>
      </c>
      <c r="AU16" s="21">
        <v>96986</v>
      </c>
      <c r="AV16" s="21">
        <f t="shared" si="20"/>
        <v>1160000</v>
      </c>
      <c r="AW16" s="21">
        <v>269527</v>
      </c>
      <c r="AX16" s="21">
        <f t="shared" si="21"/>
        <v>0</v>
      </c>
      <c r="AY16" s="21">
        <v>486765</v>
      </c>
      <c r="AZ16" s="21">
        <f t="shared" si="22"/>
        <v>720000</v>
      </c>
      <c r="BA16" s="21">
        <v>19321</v>
      </c>
      <c r="BB16" s="21">
        <f t="shared" si="23"/>
        <v>0</v>
      </c>
      <c r="BC16" s="21">
        <v>485031</v>
      </c>
      <c r="BD16" s="21">
        <f t="shared" si="24"/>
        <v>450000</v>
      </c>
      <c r="BE16" s="21">
        <v>124015</v>
      </c>
      <c r="BF16" s="21">
        <f t="shared" si="25"/>
        <v>0</v>
      </c>
      <c r="BG16" s="14"/>
      <c r="BH16" s="21">
        <v>1056170</v>
      </c>
      <c r="BI16" s="21">
        <f t="shared" si="26"/>
        <v>878</v>
      </c>
      <c r="BJ16" s="21">
        <v>570168</v>
      </c>
      <c r="BK16" s="21">
        <f t="shared" si="27"/>
        <v>501</v>
      </c>
      <c r="BL16" s="21">
        <v>290047</v>
      </c>
      <c r="BM16" s="21">
        <f t="shared" si="28"/>
        <v>169</v>
      </c>
      <c r="BN16" s="21">
        <v>156734</v>
      </c>
      <c r="BO16" s="21">
        <f t="shared" si="29"/>
        <v>148</v>
      </c>
      <c r="BP16" s="21">
        <v>147900</v>
      </c>
      <c r="BQ16" s="21">
        <f t="shared" si="30"/>
        <v>61</v>
      </c>
      <c r="BR16" s="21">
        <v>90631</v>
      </c>
      <c r="BS16" s="21">
        <f t="shared" si="31"/>
        <v>13</v>
      </c>
      <c r="BT16" s="21">
        <v>511087</v>
      </c>
      <c r="BU16" s="21">
        <f t="shared" si="32"/>
        <v>113</v>
      </c>
      <c r="BV16" s="21">
        <v>2868</v>
      </c>
      <c r="BW16" s="21">
        <f t="shared" si="33"/>
        <v>1</v>
      </c>
      <c r="BX16" s="21">
        <v>378669</v>
      </c>
      <c r="BY16" s="21">
        <f t="shared" si="35"/>
        <v>14</v>
      </c>
      <c r="BZ16" s="14"/>
      <c r="CA16" s="7"/>
    </row>
    <row r="17" spans="1:79" ht="19.5" customHeight="1">
      <c r="A17" s="11">
        <f t="shared" si="0"/>
        <v>44848</v>
      </c>
      <c r="B17" s="7">
        <v>781502</v>
      </c>
      <c r="C17" s="7">
        <f t="shared" si="1"/>
        <v>5730</v>
      </c>
      <c r="D17" s="7">
        <v>31320698</v>
      </c>
      <c r="E17" s="7">
        <f t="shared" si="2"/>
        <v>8440</v>
      </c>
      <c r="F17" s="7">
        <v>8804823</v>
      </c>
      <c r="G17" s="8">
        <f t="shared" si="3"/>
        <v>3348</v>
      </c>
      <c r="H17" s="12"/>
      <c r="I17" s="7">
        <v>495</v>
      </c>
      <c r="J17" s="13">
        <f t="shared" si="4"/>
        <v>116.28700000000001</v>
      </c>
      <c r="K17" s="7">
        <v>21987</v>
      </c>
      <c r="L17" s="13">
        <f t="shared" si="5"/>
        <v>7.9030000000000005</v>
      </c>
      <c r="M17" s="12"/>
      <c r="N17" s="7">
        <v>64108</v>
      </c>
      <c r="O17" s="13">
        <f t="shared" si="6"/>
        <v>7352.9411764705874</v>
      </c>
      <c r="P17" s="13">
        <v>241646</v>
      </c>
      <c r="Q17" s="13">
        <f t="shared" si="7"/>
        <v>42</v>
      </c>
      <c r="R17" s="7">
        <v>54367125</v>
      </c>
      <c r="S17" s="13">
        <f t="shared" si="8"/>
        <v>6983</v>
      </c>
      <c r="T17" s="12"/>
      <c r="U17" s="7">
        <v>66152</v>
      </c>
      <c r="V17" s="7">
        <f t="shared" si="9"/>
        <v>326</v>
      </c>
      <c r="W17" s="7">
        <v>2023</v>
      </c>
      <c r="X17" s="7">
        <f t="shared" si="10"/>
        <v>16</v>
      </c>
      <c r="Y17" s="7">
        <v>539</v>
      </c>
      <c r="Z17" s="7">
        <f t="shared" si="11"/>
        <v>20</v>
      </c>
      <c r="AA17" s="7">
        <v>853965</v>
      </c>
      <c r="AB17" s="7">
        <f t="shared" si="12"/>
        <v>2270000</v>
      </c>
      <c r="AC17" s="7">
        <v>370167</v>
      </c>
      <c r="AD17" s="7">
        <f t="shared" si="36"/>
        <v>300000</v>
      </c>
      <c r="AE17" s="12"/>
      <c r="AF17" s="7">
        <v>67144</v>
      </c>
      <c r="AG17" s="7">
        <f t="shared" si="14"/>
        <v>0</v>
      </c>
      <c r="AH17" s="13">
        <v>250375</v>
      </c>
      <c r="AI17" s="13">
        <f t="shared" si="15"/>
        <v>197</v>
      </c>
      <c r="AJ17" s="13">
        <v>11904448</v>
      </c>
      <c r="AK17" s="13">
        <f t="shared" si="16"/>
        <v>7094</v>
      </c>
      <c r="AL17" s="13">
        <v>29010</v>
      </c>
      <c r="AM17" s="13">
        <f t="shared" si="17"/>
        <v>2</v>
      </c>
      <c r="AN17" s="7">
        <v>27626</v>
      </c>
      <c r="AO17" s="13">
        <f t="shared" si="18"/>
        <v>885</v>
      </c>
      <c r="AP17" s="12"/>
      <c r="AQ17" s="21">
        <v>639544</v>
      </c>
      <c r="AR17" s="21">
        <f t="shared" si="34"/>
        <v>2220000</v>
      </c>
      <c r="AS17" s="21">
        <v>234978</v>
      </c>
      <c r="AT17" s="21">
        <f t="shared" si="19"/>
        <v>0</v>
      </c>
      <c r="AU17" s="21">
        <v>97204</v>
      </c>
      <c r="AV17" s="21">
        <f t="shared" si="20"/>
        <v>2180000</v>
      </c>
      <c r="AW17" s="21">
        <v>269527</v>
      </c>
      <c r="AX17" s="21">
        <f t="shared" si="21"/>
        <v>0</v>
      </c>
      <c r="AY17" s="21">
        <v>486813</v>
      </c>
      <c r="AZ17" s="21">
        <f t="shared" si="22"/>
        <v>480000</v>
      </c>
      <c r="BA17" s="21">
        <v>19321</v>
      </c>
      <c r="BB17" s="21">
        <f t="shared" si="23"/>
        <v>0</v>
      </c>
      <c r="BC17" s="21">
        <v>485098</v>
      </c>
      <c r="BD17" s="21">
        <f t="shared" si="24"/>
        <v>670000</v>
      </c>
      <c r="BE17" s="21">
        <v>124015</v>
      </c>
      <c r="BF17" s="21">
        <f t="shared" si="25"/>
        <v>0</v>
      </c>
      <c r="BG17" s="12"/>
      <c r="BH17" s="21">
        <v>1056946</v>
      </c>
      <c r="BI17" s="21">
        <f t="shared" si="26"/>
        <v>776</v>
      </c>
      <c r="BJ17" s="21">
        <v>570654</v>
      </c>
      <c r="BK17" s="21">
        <f t="shared" si="27"/>
        <v>486</v>
      </c>
      <c r="BL17" s="21">
        <v>290219</v>
      </c>
      <c r="BM17" s="21">
        <f t="shared" si="28"/>
        <v>172</v>
      </c>
      <c r="BN17" s="21">
        <v>156895</v>
      </c>
      <c r="BO17" s="21">
        <f t="shared" si="29"/>
        <v>161</v>
      </c>
      <c r="BP17" s="21">
        <v>147960</v>
      </c>
      <c r="BQ17" s="21">
        <f t="shared" si="30"/>
        <v>60</v>
      </c>
      <c r="BR17" s="21">
        <v>90645</v>
      </c>
      <c r="BS17" s="21">
        <f t="shared" si="31"/>
        <v>14</v>
      </c>
      <c r="BT17" s="21">
        <v>511191</v>
      </c>
      <c r="BU17" s="21">
        <f t="shared" si="32"/>
        <v>104</v>
      </c>
      <c r="BV17" s="21">
        <v>2868</v>
      </c>
      <c r="BW17" s="21">
        <f t="shared" si="33"/>
        <v>0</v>
      </c>
      <c r="BX17" s="21">
        <v>378697</v>
      </c>
      <c r="BY17" s="21">
        <f t="shared" si="35"/>
        <v>28</v>
      </c>
      <c r="BZ17" s="12"/>
      <c r="CA17" s="7"/>
    </row>
    <row r="18" spans="1:79" ht="19.5" customHeight="1">
      <c r="A18" s="11">
        <f t="shared" si="0"/>
        <v>44849</v>
      </c>
      <c r="B18" s="7">
        <v>785747</v>
      </c>
      <c r="C18" s="7">
        <f t="shared" si="1"/>
        <v>4245</v>
      </c>
      <c r="D18" s="7">
        <v>31329164</v>
      </c>
      <c r="E18" s="7">
        <f t="shared" si="2"/>
        <v>8466</v>
      </c>
      <c r="F18" s="7">
        <v>8808473</v>
      </c>
      <c r="G18" s="8">
        <f t="shared" si="3"/>
        <v>3650</v>
      </c>
      <c r="H18" s="12"/>
      <c r="I18" s="7">
        <v>626</v>
      </c>
      <c r="J18" s="13">
        <f t="shared" si="4"/>
        <v>147.899</v>
      </c>
      <c r="K18" s="7">
        <v>21994</v>
      </c>
      <c r="L18" s="13">
        <f t="shared" si="5"/>
        <v>7.9030000000000005</v>
      </c>
      <c r="M18" s="12"/>
      <c r="N18" s="7">
        <v>64168</v>
      </c>
      <c r="O18" s="13">
        <f t="shared" si="6"/>
        <v>8021.3903743315504</v>
      </c>
      <c r="P18" s="7">
        <v>241696</v>
      </c>
      <c r="Q18" s="13">
        <f t="shared" si="7"/>
        <v>50</v>
      </c>
      <c r="R18" s="7">
        <v>54373350</v>
      </c>
      <c r="S18" s="13">
        <f t="shared" si="8"/>
        <v>6225</v>
      </c>
      <c r="T18" s="12"/>
      <c r="U18" s="7">
        <v>66477</v>
      </c>
      <c r="V18" s="7">
        <f t="shared" si="9"/>
        <v>325</v>
      </c>
      <c r="W18" s="7">
        <v>2034</v>
      </c>
      <c r="X18" s="7">
        <f t="shared" si="10"/>
        <v>11</v>
      </c>
      <c r="Y18" s="7">
        <v>559</v>
      </c>
      <c r="Z18" s="7">
        <f t="shared" si="11"/>
        <v>20</v>
      </c>
      <c r="AA18" s="7">
        <v>854152</v>
      </c>
      <c r="AB18" s="7">
        <f t="shared" si="12"/>
        <v>1870000</v>
      </c>
      <c r="AC18" s="7">
        <v>370227</v>
      </c>
      <c r="AD18" s="7">
        <f t="shared" si="36"/>
        <v>600000</v>
      </c>
      <c r="AE18" s="12"/>
      <c r="AF18" s="7">
        <v>67144</v>
      </c>
      <c r="AG18" s="7">
        <f t="shared" si="14"/>
        <v>0</v>
      </c>
      <c r="AH18" s="7">
        <v>250541</v>
      </c>
      <c r="AI18" s="13">
        <f t="shared" si="15"/>
        <v>166</v>
      </c>
      <c r="AJ18" s="7">
        <v>11911550</v>
      </c>
      <c r="AK18" s="13">
        <f t="shared" si="16"/>
        <v>7102</v>
      </c>
      <c r="AL18" s="7">
        <v>29014</v>
      </c>
      <c r="AM18" s="13">
        <f t="shared" si="17"/>
        <v>4</v>
      </c>
      <c r="AN18" s="7">
        <v>28458</v>
      </c>
      <c r="AO18" s="13">
        <f t="shared" si="18"/>
        <v>832</v>
      </c>
      <c r="AP18" s="12"/>
      <c r="AQ18" s="21">
        <v>639884</v>
      </c>
      <c r="AR18" s="21">
        <f t="shared" si="34"/>
        <v>3400000</v>
      </c>
      <c r="AS18" s="21">
        <v>234978</v>
      </c>
      <c r="AT18" s="21">
        <f t="shared" si="19"/>
        <v>0</v>
      </c>
      <c r="AU18" s="21">
        <v>97308</v>
      </c>
      <c r="AV18" s="21">
        <f t="shared" si="20"/>
        <v>1040000</v>
      </c>
      <c r="AW18" s="21">
        <v>269527</v>
      </c>
      <c r="AX18" s="21">
        <f t="shared" si="21"/>
        <v>0</v>
      </c>
      <c r="AY18" s="21">
        <v>486886</v>
      </c>
      <c r="AZ18" s="21">
        <f t="shared" si="22"/>
        <v>730000</v>
      </c>
      <c r="BA18" s="21">
        <v>19321</v>
      </c>
      <c r="BB18" s="21">
        <f t="shared" si="23"/>
        <v>0</v>
      </c>
      <c r="BC18" s="21">
        <v>485165</v>
      </c>
      <c r="BD18" s="21">
        <f t="shared" si="24"/>
        <v>670000</v>
      </c>
      <c r="BE18" s="21">
        <v>124015</v>
      </c>
      <c r="BF18" s="21">
        <f t="shared" si="25"/>
        <v>0</v>
      </c>
      <c r="BG18" s="12"/>
      <c r="BH18" s="21">
        <v>1057901</v>
      </c>
      <c r="BI18" s="21">
        <f t="shared" si="26"/>
        <v>955</v>
      </c>
      <c r="BJ18" s="21">
        <v>571158</v>
      </c>
      <c r="BK18" s="21">
        <f t="shared" si="27"/>
        <v>504</v>
      </c>
      <c r="BL18" s="21">
        <v>290410</v>
      </c>
      <c r="BM18" s="21">
        <f t="shared" si="28"/>
        <v>191</v>
      </c>
      <c r="BN18" s="21">
        <v>157061</v>
      </c>
      <c r="BO18" s="21">
        <f t="shared" si="29"/>
        <v>166</v>
      </c>
      <c r="BP18" s="21">
        <v>148012</v>
      </c>
      <c r="BQ18" s="21">
        <f t="shared" si="30"/>
        <v>52</v>
      </c>
      <c r="BR18" s="21">
        <v>90656</v>
      </c>
      <c r="BS18" s="21">
        <f t="shared" si="31"/>
        <v>11</v>
      </c>
      <c r="BT18" s="21">
        <v>511310</v>
      </c>
      <c r="BU18" s="21">
        <f t="shared" si="32"/>
        <v>119</v>
      </c>
      <c r="BV18" s="21">
        <v>2869</v>
      </c>
      <c r="BW18" s="21">
        <f t="shared" si="33"/>
        <v>1</v>
      </c>
      <c r="BX18" s="21">
        <v>378724</v>
      </c>
      <c r="BY18" s="21">
        <f t="shared" si="35"/>
        <v>27</v>
      </c>
      <c r="BZ18" s="12"/>
      <c r="CA18" s="7"/>
    </row>
    <row r="19" spans="1:79" ht="24" customHeight="1">
      <c r="A19" s="11">
        <f t="shared" si="0"/>
        <v>44850</v>
      </c>
      <c r="B19" s="7">
        <v>790178</v>
      </c>
      <c r="C19" s="7">
        <f t="shared" si="1"/>
        <v>4431</v>
      </c>
      <c r="D19" s="7">
        <v>31337995</v>
      </c>
      <c r="E19" s="7">
        <f t="shared" si="2"/>
        <v>8831</v>
      </c>
      <c r="F19" s="7">
        <v>8813047</v>
      </c>
      <c r="G19" s="8">
        <f t="shared" si="3"/>
        <v>4574</v>
      </c>
      <c r="H19" s="12"/>
      <c r="I19" s="7">
        <v>752</v>
      </c>
      <c r="J19" s="13">
        <f t="shared" si="4"/>
        <v>142.25399999999999</v>
      </c>
      <c r="K19" s="7">
        <v>22000</v>
      </c>
      <c r="L19" s="13">
        <f t="shared" si="5"/>
        <v>6.774</v>
      </c>
      <c r="M19" s="12"/>
      <c r="N19" s="7">
        <v>64242</v>
      </c>
      <c r="O19" s="13">
        <f t="shared" si="6"/>
        <v>9893.048128342245</v>
      </c>
      <c r="P19" s="7">
        <v>241746</v>
      </c>
      <c r="Q19" s="13">
        <f t="shared" si="7"/>
        <v>50</v>
      </c>
      <c r="R19" s="7">
        <v>54380353</v>
      </c>
      <c r="S19" s="13">
        <f t="shared" si="8"/>
        <v>7003</v>
      </c>
      <c r="T19" s="12"/>
      <c r="U19" s="7">
        <v>66797</v>
      </c>
      <c r="V19" s="7">
        <f t="shared" si="9"/>
        <v>320</v>
      </c>
      <c r="W19" s="13">
        <v>2056</v>
      </c>
      <c r="X19" s="13">
        <f>W19-W18</f>
        <v>22</v>
      </c>
      <c r="Y19" s="13">
        <v>580</v>
      </c>
      <c r="Z19" s="13">
        <f>(Y19-Y18)</f>
        <v>21</v>
      </c>
      <c r="AA19" s="7">
        <v>854332</v>
      </c>
      <c r="AB19" s="7">
        <f t="shared" si="12"/>
        <v>1800000</v>
      </c>
      <c r="AC19" s="7">
        <v>370275</v>
      </c>
      <c r="AD19" s="7">
        <f t="shared" si="36"/>
        <v>480000</v>
      </c>
      <c r="AE19" s="12"/>
      <c r="AF19" s="7">
        <v>67144</v>
      </c>
      <c r="AG19" s="7">
        <f t="shared" si="14"/>
        <v>0</v>
      </c>
      <c r="AH19" s="7">
        <v>250722</v>
      </c>
      <c r="AI19" s="13">
        <f t="shared" si="15"/>
        <v>181</v>
      </c>
      <c r="AJ19" s="7">
        <v>11918901</v>
      </c>
      <c r="AK19" s="13">
        <f t="shared" si="16"/>
        <v>7351</v>
      </c>
      <c r="AL19" s="7">
        <v>29017</v>
      </c>
      <c r="AM19" s="13">
        <f t="shared" si="17"/>
        <v>3</v>
      </c>
      <c r="AN19" s="7">
        <v>29358</v>
      </c>
      <c r="AO19" s="13">
        <f t="shared" si="18"/>
        <v>900</v>
      </c>
      <c r="AP19" s="12"/>
      <c r="AQ19" s="21">
        <v>640302</v>
      </c>
      <c r="AR19" s="21">
        <f t="shared" si="34"/>
        <v>4180000</v>
      </c>
      <c r="AS19" s="21">
        <v>234978</v>
      </c>
      <c r="AT19" s="21">
        <f t="shared" si="19"/>
        <v>0</v>
      </c>
      <c r="AU19" s="21">
        <v>97457</v>
      </c>
      <c r="AV19" s="21">
        <f t="shared" si="20"/>
        <v>1490000</v>
      </c>
      <c r="AW19" s="21">
        <v>269527</v>
      </c>
      <c r="AX19" s="21">
        <f t="shared" si="21"/>
        <v>0</v>
      </c>
      <c r="AY19" s="21">
        <v>486998</v>
      </c>
      <c r="AZ19" s="21">
        <f t="shared" si="22"/>
        <v>1120000</v>
      </c>
      <c r="BA19" s="21">
        <v>19321</v>
      </c>
      <c r="BB19" s="21">
        <f t="shared" si="23"/>
        <v>0</v>
      </c>
      <c r="BC19" s="21">
        <v>485220</v>
      </c>
      <c r="BD19" s="21">
        <f t="shared" si="24"/>
        <v>550000</v>
      </c>
      <c r="BE19" s="21">
        <v>124015</v>
      </c>
      <c r="BF19" s="21">
        <f t="shared" si="25"/>
        <v>0</v>
      </c>
      <c r="BG19" s="12"/>
      <c r="BH19" s="21">
        <v>1058873</v>
      </c>
      <c r="BI19" s="21">
        <f t="shared" si="26"/>
        <v>972</v>
      </c>
      <c r="BJ19" s="21">
        <v>571647</v>
      </c>
      <c r="BK19" s="21">
        <f t="shared" si="27"/>
        <v>489</v>
      </c>
      <c r="BL19" s="21">
        <v>290613</v>
      </c>
      <c r="BM19" s="21">
        <f t="shared" si="28"/>
        <v>203</v>
      </c>
      <c r="BN19" s="21">
        <v>157235</v>
      </c>
      <c r="BO19" s="21">
        <f t="shared" si="29"/>
        <v>174</v>
      </c>
      <c r="BP19" s="21">
        <v>148059</v>
      </c>
      <c r="BQ19" s="21">
        <f t="shared" si="30"/>
        <v>47</v>
      </c>
      <c r="BR19" s="21">
        <v>90669</v>
      </c>
      <c r="BS19" s="21">
        <f t="shared" si="31"/>
        <v>13</v>
      </c>
      <c r="BT19" s="21">
        <v>511421</v>
      </c>
      <c r="BU19" s="21">
        <f t="shared" si="32"/>
        <v>111</v>
      </c>
      <c r="BV19" s="21">
        <v>2870</v>
      </c>
      <c r="BW19" s="21">
        <f t="shared" si="33"/>
        <v>1</v>
      </c>
      <c r="BX19" s="21">
        <v>378757</v>
      </c>
      <c r="BY19" s="21">
        <f t="shared" si="35"/>
        <v>33</v>
      </c>
      <c r="BZ19" s="12"/>
      <c r="CA19" s="7"/>
    </row>
    <row r="20" spans="1:79" ht="20.25" customHeight="1">
      <c r="A20" s="11">
        <f t="shared" si="0"/>
        <v>44851</v>
      </c>
      <c r="B20" s="7">
        <v>794273</v>
      </c>
      <c r="C20" s="7">
        <f t="shared" si="1"/>
        <v>4095</v>
      </c>
      <c r="D20" s="7">
        <v>31346213</v>
      </c>
      <c r="E20" s="7">
        <f t="shared" si="2"/>
        <v>8218</v>
      </c>
      <c r="F20" s="7">
        <v>8815771</v>
      </c>
      <c r="G20" s="8">
        <f t="shared" si="3"/>
        <v>2724</v>
      </c>
      <c r="H20" s="12"/>
      <c r="I20" s="7">
        <v>856</v>
      </c>
      <c r="J20" s="13">
        <f t="shared" si="4"/>
        <v>117.416</v>
      </c>
      <c r="K20" s="7">
        <v>22006</v>
      </c>
      <c r="L20" s="13">
        <f t="shared" si="5"/>
        <v>6.774</v>
      </c>
      <c r="M20" s="12"/>
      <c r="N20" s="7">
        <v>64297</v>
      </c>
      <c r="O20" s="13">
        <f t="shared" si="6"/>
        <v>7352.9411764705874</v>
      </c>
      <c r="P20" s="7">
        <v>241790</v>
      </c>
      <c r="Q20" s="13">
        <f t="shared" si="7"/>
        <v>44</v>
      </c>
      <c r="R20" s="7">
        <v>54386185</v>
      </c>
      <c r="S20" s="13">
        <f t="shared" si="8"/>
        <v>5832</v>
      </c>
      <c r="T20" s="12"/>
      <c r="U20" s="7">
        <v>67101</v>
      </c>
      <c r="V20" s="7">
        <f t="shared" si="9"/>
        <v>304</v>
      </c>
      <c r="W20" s="7">
        <v>2076</v>
      </c>
      <c r="X20" s="13">
        <f t="shared" ref="X20:X34" si="37">W20-W19</f>
        <v>20</v>
      </c>
      <c r="Y20" s="7">
        <v>598</v>
      </c>
      <c r="Z20" s="13">
        <f t="shared" ref="Z20:Z34" si="38">(Y20-Y19)</f>
        <v>18</v>
      </c>
      <c r="AA20" s="7">
        <v>854512</v>
      </c>
      <c r="AB20" s="7">
        <f t="shared" si="12"/>
        <v>1800000</v>
      </c>
      <c r="AC20" s="7">
        <v>370338</v>
      </c>
      <c r="AD20" s="7">
        <f t="shared" si="36"/>
        <v>630000</v>
      </c>
      <c r="AE20" s="12"/>
      <c r="AF20" s="7">
        <v>67144</v>
      </c>
      <c r="AG20" s="7">
        <f t="shared" si="14"/>
        <v>0</v>
      </c>
      <c r="AH20" s="7">
        <v>250876</v>
      </c>
      <c r="AI20" s="13">
        <f t="shared" si="15"/>
        <v>154</v>
      </c>
      <c r="AJ20" s="7">
        <v>11926618</v>
      </c>
      <c r="AK20" s="13">
        <f t="shared" si="16"/>
        <v>7717</v>
      </c>
      <c r="AL20" s="7">
        <v>29019</v>
      </c>
      <c r="AM20" s="13">
        <f t="shared" si="17"/>
        <v>2</v>
      </c>
      <c r="AN20" s="7">
        <v>31080</v>
      </c>
      <c r="AO20" s="13">
        <f t="shared" si="18"/>
        <v>1722</v>
      </c>
      <c r="AP20" s="12"/>
      <c r="AQ20" s="21">
        <v>640477</v>
      </c>
      <c r="AR20" s="21">
        <f t="shared" si="34"/>
        <v>1750000</v>
      </c>
      <c r="AS20" s="21">
        <v>234978</v>
      </c>
      <c r="AT20" s="21">
        <f t="shared" si="19"/>
        <v>0</v>
      </c>
      <c r="AU20" s="21">
        <v>97646</v>
      </c>
      <c r="AV20" s="21">
        <f t="shared" si="20"/>
        <v>1890000</v>
      </c>
      <c r="AW20" s="21">
        <v>269527</v>
      </c>
      <c r="AX20" s="21">
        <f t="shared" si="21"/>
        <v>0</v>
      </c>
      <c r="AY20" s="21">
        <v>487057</v>
      </c>
      <c r="AZ20" s="21">
        <f t="shared" si="22"/>
        <v>590000</v>
      </c>
      <c r="BA20" s="21">
        <v>19321</v>
      </c>
      <c r="BB20" s="21">
        <f t="shared" si="23"/>
        <v>0</v>
      </c>
      <c r="BC20" s="21">
        <v>485234</v>
      </c>
      <c r="BD20" s="21">
        <f t="shared" si="24"/>
        <v>140000</v>
      </c>
      <c r="BE20" s="21">
        <v>124015</v>
      </c>
      <c r="BF20" s="21">
        <f t="shared" si="25"/>
        <v>0</v>
      </c>
      <c r="BG20" s="12"/>
      <c r="BH20" s="21">
        <v>1059846</v>
      </c>
      <c r="BI20" s="21">
        <f t="shared" si="26"/>
        <v>973</v>
      </c>
      <c r="BJ20" s="21">
        <v>572131</v>
      </c>
      <c r="BK20" s="21">
        <f t="shared" si="27"/>
        <v>484</v>
      </c>
      <c r="BL20" s="21">
        <v>290793</v>
      </c>
      <c r="BM20" s="21">
        <f t="shared" si="28"/>
        <v>180</v>
      </c>
      <c r="BN20" s="21">
        <v>157402</v>
      </c>
      <c r="BO20" s="21">
        <f t="shared" si="29"/>
        <v>167</v>
      </c>
      <c r="BP20" s="21">
        <v>148105</v>
      </c>
      <c r="BQ20" s="21">
        <f t="shared" si="30"/>
        <v>46</v>
      </c>
      <c r="BR20" s="21">
        <v>90686</v>
      </c>
      <c r="BS20" s="21">
        <f t="shared" si="31"/>
        <v>17</v>
      </c>
      <c r="BT20" s="21">
        <v>511527</v>
      </c>
      <c r="BU20" s="21">
        <f t="shared" si="32"/>
        <v>106</v>
      </c>
      <c r="BV20" s="21">
        <v>2871</v>
      </c>
      <c r="BW20" s="21">
        <f t="shared" si="33"/>
        <v>1</v>
      </c>
      <c r="BX20" s="21">
        <v>378773</v>
      </c>
      <c r="BY20" s="21">
        <f t="shared" si="35"/>
        <v>16</v>
      </c>
      <c r="BZ20" s="12"/>
      <c r="CA20" s="7"/>
    </row>
    <row r="21" spans="1:79" ht="21" customHeight="1">
      <c r="A21" s="11">
        <f t="shared" si="0"/>
        <v>44852</v>
      </c>
      <c r="B21" s="7">
        <v>798306</v>
      </c>
      <c r="C21" s="7">
        <f t="shared" si="1"/>
        <v>4033</v>
      </c>
      <c r="D21" s="7">
        <v>31354935</v>
      </c>
      <c r="E21" s="7">
        <f t="shared" si="2"/>
        <v>8722</v>
      </c>
      <c r="F21" s="7">
        <v>8819535</v>
      </c>
      <c r="G21" s="8">
        <f>F21-F20</f>
        <v>3764</v>
      </c>
      <c r="H21" s="12"/>
      <c r="I21" s="7">
        <v>965</v>
      </c>
      <c r="J21" s="13">
        <f t="shared" si="4"/>
        <v>123.06100000000001</v>
      </c>
      <c r="K21" s="7">
        <v>22013</v>
      </c>
      <c r="L21" s="13">
        <f t="shared" si="5"/>
        <v>7.9030000000000005</v>
      </c>
      <c r="M21" s="12"/>
      <c r="N21" s="7">
        <v>64339</v>
      </c>
      <c r="O21" s="13">
        <f t="shared" si="6"/>
        <v>5614.9732620320856</v>
      </c>
      <c r="P21" s="7">
        <v>241836</v>
      </c>
      <c r="Q21" s="13">
        <f t="shared" si="7"/>
        <v>46</v>
      </c>
      <c r="R21" s="7">
        <v>54392184</v>
      </c>
      <c r="S21" s="13">
        <f t="shared" si="8"/>
        <v>5999</v>
      </c>
      <c r="T21" s="12"/>
      <c r="U21" s="7">
        <v>67438</v>
      </c>
      <c r="V21" s="7">
        <f t="shared" si="9"/>
        <v>337</v>
      </c>
      <c r="W21" s="7">
        <v>2092</v>
      </c>
      <c r="X21" s="13">
        <f t="shared" si="37"/>
        <v>16</v>
      </c>
      <c r="Y21" s="7">
        <v>619</v>
      </c>
      <c r="Z21" s="13">
        <f t="shared" si="38"/>
        <v>21</v>
      </c>
      <c r="AA21" s="7">
        <v>854707</v>
      </c>
      <c r="AB21" s="7">
        <f t="shared" si="12"/>
        <v>1950000</v>
      </c>
      <c r="AC21" s="7">
        <v>370444</v>
      </c>
      <c r="AD21" s="7">
        <f t="shared" si="36"/>
        <v>1060000</v>
      </c>
      <c r="AE21" s="12"/>
      <c r="AF21" s="7">
        <v>67144</v>
      </c>
      <c r="AG21" s="7">
        <f t="shared" si="14"/>
        <v>0</v>
      </c>
      <c r="AH21" s="7">
        <v>251036</v>
      </c>
      <c r="AI21" s="13">
        <f t="shared" si="15"/>
        <v>160</v>
      </c>
      <c r="AJ21" s="7">
        <v>11932412</v>
      </c>
      <c r="AK21" s="13">
        <f t="shared" si="16"/>
        <v>5794</v>
      </c>
      <c r="AL21" s="7">
        <v>29020</v>
      </c>
      <c r="AM21" s="13">
        <f t="shared" si="17"/>
        <v>1</v>
      </c>
      <c r="AN21" s="7">
        <v>31089</v>
      </c>
      <c r="AO21" s="13">
        <f t="shared" si="18"/>
        <v>9</v>
      </c>
      <c r="AP21" s="12"/>
      <c r="AQ21" s="21">
        <v>640556</v>
      </c>
      <c r="AR21" s="21">
        <f t="shared" si="34"/>
        <v>790000</v>
      </c>
      <c r="AS21" s="21">
        <v>234978</v>
      </c>
      <c r="AT21" s="21">
        <f t="shared" si="19"/>
        <v>0</v>
      </c>
      <c r="AU21" s="21">
        <v>97827</v>
      </c>
      <c r="AV21" s="21">
        <f t="shared" si="20"/>
        <v>1810000</v>
      </c>
      <c r="AW21" s="21">
        <v>269527</v>
      </c>
      <c r="AX21" s="21">
        <f t="shared" si="21"/>
        <v>0</v>
      </c>
      <c r="AY21" s="21">
        <v>487095</v>
      </c>
      <c r="AZ21" s="21">
        <f t="shared" si="22"/>
        <v>380000</v>
      </c>
      <c r="BA21" s="21">
        <v>19321</v>
      </c>
      <c r="BB21" s="21">
        <f t="shared" si="23"/>
        <v>0</v>
      </c>
      <c r="BC21" s="21">
        <v>485249</v>
      </c>
      <c r="BD21" s="21">
        <f t="shared" si="24"/>
        <v>150000</v>
      </c>
      <c r="BE21" s="21">
        <v>124015</v>
      </c>
      <c r="BF21" s="21">
        <f t="shared" si="25"/>
        <v>0</v>
      </c>
      <c r="BG21" s="12"/>
      <c r="BH21" s="21">
        <v>1060844</v>
      </c>
      <c r="BI21" s="21">
        <f t="shared" si="26"/>
        <v>998</v>
      </c>
      <c r="BJ21" s="21">
        <v>572656</v>
      </c>
      <c r="BK21" s="21">
        <f t="shared" si="27"/>
        <v>525</v>
      </c>
      <c r="BL21" s="21">
        <v>290976</v>
      </c>
      <c r="BM21" s="21">
        <f t="shared" si="28"/>
        <v>183</v>
      </c>
      <c r="BN21" s="21">
        <v>157505</v>
      </c>
      <c r="BO21" s="21">
        <f t="shared" si="29"/>
        <v>103</v>
      </c>
      <c r="BP21" s="21">
        <v>148152</v>
      </c>
      <c r="BQ21" s="21">
        <f t="shared" si="30"/>
        <v>47</v>
      </c>
      <c r="BR21" s="21">
        <v>90699</v>
      </c>
      <c r="BS21" s="21">
        <f t="shared" si="31"/>
        <v>13</v>
      </c>
      <c r="BT21" s="21">
        <v>511625</v>
      </c>
      <c r="BU21" s="21">
        <f t="shared" si="32"/>
        <v>98</v>
      </c>
      <c r="BV21" s="21">
        <v>2872</v>
      </c>
      <c r="BW21" s="21">
        <f t="shared" si="33"/>
        <v>1</v>
      </c>
      <c r="BX21" s="21">
        <v>378789</v>
      </c>
      <c r="BY21" s="21">
        <f t="shared" si="35"/>
        <v>16</v>
      </c>
      <c r="BZ21" s="12"/>
      <c r="CA21" s="7"/>
    </row>
    <row r="22" spans="1:79" ht="18.75" customHeight="1">
      <c r="A22" s="11">
        <f t="shared" si="0"/>
        <v>44853</v>
      </c>
      <c r="B22" s="7">
        <v>802081</v>
      </c>
      <c r="C22" s="7">
        <f t="shared" si="1"/>
        <v>3775</v>
      </c>
      <c r="D22" s="7">
        <v>31362577</v>
      </c>
      <c r="E22" s="7">
        <f t="shared" si="2"/>
        <v>7642</v>
      </c>
      <c r="F22" s="7">
        <v>8822866</v>
      </c>
      <c r="G22" s="8">
        <f>F22-F21</f>
        <v>3331</v>
      </c>
      <c r="H22" s="12"/>
      <c r="I22" s="7">
        <v>1059</v>
      </c>
      <c r="J22" s="13">
        <f t="shared" si="4"/>
        <v>106.126</v>
      </c>
      <c r="K22" s="7">
        <v>22019</v>
      </c>
      <c r="L22" s="13">
        <f t="shared" si="5"/>
        <v>6.774</v>
      </c>
      <c r="M22" s="12"/>
      <c r="N22" s="7">
        <v>64375</v>
      </c>
      <c r="O22" s="13">
        <f t="shared" si="6"/>
        <v>4812.8342245989306</v>
      </c>
      <c r="P22" s="13">
        <v>241896</v>
      </c>
      <c r="Q22" s="13">
        <f t="shared" si="7"/>
        <v>60</v>
      </c>
      <c r="R22" s="7">
        <v>54395859</v>
      </c>
      <c r="S22" s="13">
        <f t="shared" si="8"/>
        <v>3675</v>
      </c>
      <c r="T22" s="12"/>
      <c r="U22" s="7">
        <v>67719</v>
      </c>
      <c r="V22" s="7">
        <f t="shared" si="9"/>
        <v>281</v>
      </c>
      <c r="W22" s="7">
        <v>2103</v>
      </c>
      <c r="X22" s="13">
        <f t="shared" si="37"/>
        <v>11</v>
      </c>
      <c r="Y22" s="7">
        <v>638</v>
      </c>
      <c r="Z22" s="13">
        <f t="shared" si="38"/>
        <v>19</v>
      </c>
      <c r="AA22" s="7">
        <v>854907</v>
      </c>
      <c r="AB22" s="7">
        <f t="shared" si="12"/>
        <v>2000000</v>
      </c>
      <c r="AC22" s="7">
        <v>370509</v>
      </c>
      <c r="AD22" s="7">
        <f t="shared" si="36"/>
        <v>650000</v>
      </c>
      <c r="AE22" s="12"/>
      <c r="AF22" s="7">
        <v>67144</v>
      </c>
      <c r="AG22" s="7">
        <f t="shared" si="14"/>
        <v>0</v>
      </c>
      <c r="AH22" s="13">
        <v>251168</v>
      </c>
      <c r="AI22" s="13">
        <f t="shared" si="15"/>
        <v>132</v>
      </c>
      <c r="AJ22" s="13">
        <v>11937622</v>
      </c>
      <c r="AK22" s="13">
        <f t="shared" si="16"/>
        <v>5210</v>
      </c>
      <c r="AL22" s="13">
        <v>29021</v>
      </c>
      <c r="AM22" s="13">
        <f t="shared" si="17"/>
        <v>1</v>
      </c>
      <c r="AN22" s="7">
        <v>31600</v>
      </c>
      <c r="AO22" s="13">
        <f t="shared" si="18"/>
        <v>511</v>
      </c>
      <c r="AP22" s="12"/>
      <c r="AQ22" s="21">
        <v>640600</v>
      </c>
      <c r="AR22" s="21">
        <f t="shared" si="34"/>
        <v>440000</v>
      </c>
      <c r="AS22" s="21">
        <v>234978</v>
      </c>
      <c r="AT22" s="21">
        <f t="shared" si="19"/>
        <v>0</v>
      </c>
      <c r="AU22" s="21">
        <v>97827</v>
      </c>
      <c r="AV22" s="21">
        <f t="shared" si="20"/>
        <v>0</v>
      </c>
      <c r="AW22" s="21">
        <v>269527</v>
      </c>
      <c r="AX22" s="21">
        <f t="shared" si="21"/>
        <v>0</v>
      </c>
      <c r="AY22" s="21">
        <v>487134</v>
      </c>
      <c r="AZ22" s="21">
        <f t="shared" si="22"/>
        <v>390000</v>
      </c>
      <c r="BA22" s="21">
        <v>19321</v>
      </c>
      <c r="BB22" s="21">
        <f t="shared" si="23"/>
        <v>0</v>
      </c>
      <c r="BC22" s="21">
        <v>485375</v>
      </c>
      <c r="BD22" s="21">
        <f t="shared" si="24"/>
        <v>1260000</v>
      </c>
      <c r="BE22" s="21">
        <v>124015</v>
      </c>
      <c r="BF22" s="21">
        <f t="shared" si="25"/>
        <v>0</v>
      </c>
      <c r="BG22" s="12"/>
      <c r="BH22" s="21">
        <v>1061604</v>
      </c>
      <c r="BI22" s="21">
        <f t="shared" si="26"/>
        <v>760</v>
      </c>
      <c r="BJ22" s="21">
        <v>573113</v>
      </c>
      <c r="BK22" s="21">
        <f t="shared" si="27"/>
        <v>457</v>
      </c>
      <c r="BL22" s="21">
        <v>291134</v>
      </c>
      <c r="BM22" s="21">
        <f t="shared" si="28"/>
        <v>158</v>
      </c>
      <c r="BN22" s="21">
        <v>157685</v>
      </c>
      <c r="BO22" s="21">
        <f t="shared" si="29"/>
        <v>180</v>
      </c>
      <c r="BP22" s="21">
        <v>148197</v>
      </c>
      <c r="BQ22" s="21">
        <f t="shared" si="30"/>
        <v>45</v>
      </c>
      <c r="BR22" s="21">
        <v>90707</v>
      </c>
      <c r="BS22" s="21">
        <f t="shared" si="31"/>
        <v>8</v>
      </c>
      <c r="BT22" s="21">
        <v>511735</v>
      </c>
      <c r="BU22" s="21">
        <f t="shared" si="32"/>
        <v>110</v>
      </c>
      <c r="BV22" s="21">
        <v>2873</v>
      </c>
      <c r="BW22" s="21">
        <f t="shared" si="33"/>
        <v>1</v>
      </c>
      <c r="BX22" s="21">
        <v>378797</v>
      </c>
      <c r="BY22" s="21">
        <f t="shared" si="35"/>
        <v>8</v>
      </c>
      <c r="BZ22" s="12"/>
      <c r="CA22" s="7"/>
    </row>
    <row r="23" spans="1:79" ht="21" customHeight="1">
      <c r="A23" s="11">
        <f t="shared" si="0"/>
        <v>44854</v>
      </c>
      <c r="B23" s="7">
        <v>806040</v>
      </c>
      <c r="C23" s="7">
        <f t="shared" si="1"/>
        <v>3959</v>
      </c>
      <c r="D23" s="7">
        <v>31370534</v>
      </c>
      <c r="E23" s="7">
        <f t="shared" si="2"/>
        <v>7957</v>
      </c>
      <c r="F23" s="7">
        <v>8826280</v>
      </c>
      <c r="G23" s="8">
        <f t="shared" si="3"/>
        <v>3414</v>
      </c>
      <c r="H23" s="12"/>
      <c r="I23" s="7">
        <v>1156</v>
      </c>
      <c r="J23" s="13">
        <f t="shared" si="4"/>
        <v>109.51300000000001</v>
      </c>
      <c r="K23" s="7">
        <v>22025</v>
      </c>
      <c r="L23" s="13">
        <f t="shared" si="5"/>
        <v>6.774</v>
      </c>
      <c r="M23" s="12"/>
      <c r="N23" s="7">
        <v>64417</v>
      </c>
      <c r="O23" s="13">
        <f t="shared" si="6"/>
        <v>5614.9732620320856</v>
      </c>
      <c r="P23" s="13">
        <v>241966</v>
      </c>
      <c r="Q23" s="13">
        <f t="shared" si="7"/>
        <v>70</v>
      </c>
      <c r="R23" s="7">
        <v>54399289</v>
      </c>
      <c r="S23" s="13">
        <f t="shared" si="8"/>
        <v>3430</v>
      </c>
      <c r="T23" s="12"/>
      <c r="U23" s="7">
        <v>68070</v>
      </c>
      <c r="V23" s="7">
        <f t="shared" si="9"/>
        <v>351</v>
      </c>
      <c r="W23" s="7">
        <v>2123</v>
      </c>
      <c r="X23" s="13">
        <f t="shared" si="37"/>
        <v>20</v>
      </c>
      <c r="Y23" s="7">
        <v>659</v>
      </c>
      <c r="Z23" s="13">
        <f t="shared" si="38"/>
        <v>21</v>
      </c>
      <c r="AA23" s="7">
        <v>855117</v>
      </c>
      <c r="AB23" s="7">
        <f t="shared" si="12"/>
        <v>2100000</v>
      </c>
      <c r="AC23" s="7">
        <v>370831</v>
      </c>
      <c r="AD23" s="7">
        <f t="shared" si="36"/>
        <v>3220000</v>
      </c>
      <c r="AE23" s="12"/>
      <c r="AF23" s="7">
        <v>67144</v>
      </c>
      <c r="AG23" s="7">
        <f t="shared" si="14"/>
        <v>0</v>
      </c>
      <c r="AH23" s="13">
        <v>251309</v>
      </c>
      <c r="AI23" s="13">
        <f t="shared" si="15"/>
        <v>141</v>
      </c>
      <c r="AJ23" s="13">
        <v>11942687</v>
      </c>
      <c r="AK23" s="13">
        <f t="shared" si="16"/>
        <v>5065</v>
      </c>
      <c r="AL23" s="13">
        <v>29023</v>
      </c>
      <c r="AM23" s="13">
        <f t="shared" si="17"/>
        <v>2</v>
      </c>
      <c r="AN23" s="7">
        <v>32302</v>
      </c>
      <c r="AO23" s="13">
        <f t="shared" si="18"/>
        <v>702</v>
      </c>
      <c r="AP23" s="12"/>
      <c r="AQ23" s="21">
        <v>640710</v>
      </c>
      <c r="AR23" s="21">
        <f t="shared" si="34"/>
        <v>1100000</v>
      </c>
      <c r="AS23" s="21">
        <v>234978</v>
      </c>
      <c r="AT23" s="21">
        <f t="shared" si="19"/>
        <v>0</v>
      </c>
      <c r="AU23" s="21">
        <v>97827</v>
      </c>
      <c r="AV23" s="21">
        <f t="shared" si="20"/>
        <v>0</v>
      </c>
      <c r="AW23" s="21">
        <v>269527</v>
      </c>
      <c r="AX23" s="21">
        <f t="shared" si="21"/>
        <v>0</v>
      </c>
      <c r="AY23" s="21">
        <v>487158</v>
      </c>
      <c r="AZ23" s="21">
        <f t="shared" si="22"/>
        <v>240000</v>
      </c>
      <c r="BA23" s="21">
        <v>19321</v>
      </c>
      <c r="BB23" s="21">
        <f t="shared" si="23"/>
        <v>0</v>
      </c>
      <c r="BC23" s="21">
        <v>485465</v>
      </c>
      <c r="BD23" s="21">
        <f t="shared" si="24"/>
        <v>900000</v>
      </c>
      <c r="BE23" s="21">
        <v>124015</v>
      </c>
      <c r="BF23" s="21">
        <f t="shared" si="25"/>
        <v>0</v>
      </c>
      <c r="BG23" s="12"/>
      <c r="BH23" s="21">
        <v>1062379</v>
      </c>
      <c r="BI23" s="21">
        <f t="shared" si="26"/>
        <v>775</v>
      </c>
      <c r="BJ23" s="21">
        <v>573587</v>
      </c>
      <c r="BK23" s="21">
        <f t="shared" si="27"/>
        <v>474</v>
      </c>
      <c r="BL23" s="21">
        <v>291300</v>
      </c>
      <c r="BM23" s="21">
        <f t="shared" si="28"/>
        <v>166</v>
      </c>
      <c r="BN23" s="21">
        <v>157812</v>
      </c>
      <c r="BO23" s="21">
        <f t="shared" si="29"/>
        <v>127</v>
      </c>
      <c r="BP23" s="21">
        <v>148245</v>
      </c>
      <c r="BQ23" s="21">
        <f t="shared" si="30"/>
        <v>48</v>
      </c>
      <c r="BR23" s="21">
        <v>90723</v>
      </c>
      <c r="BS23" s="21">
        <f t="shared" si="31"/>
        <v>16</v>
      </c>
      <c r="BT23" s="21">
        <v>511846</v>
      </c>
      <c r="BU23" s="21">
        <f t="shared" si="32"/>
        <v>111</v>
      </c>
      <c r="BV23" s="21">
        <v>2874</v>
      </c>
      <c r="BW23" s="21">
        <f t="shared" si="33"/>
        <v>1</v>
      </c>
      <c r="BX23" s="21">
        <v>378815</v>
      </c>
      <c r="BY23" s="21">
        <f t="shared" si="35"/>
        <v>18</v>
      </c>
      <c r="BZ23" s="12"/>
      <c r="CA23" s="7"/>
    </row>
    <row r="24" spans="1:79" ht="22.5" customHeight="1">
      <c r="A24" s="11">
        <f t="shared" si="0"/>
        <v>44855</v>
      </c>
      <c r="B24" s="7">
        <v>810096</v>
      </c>
      <c r="C24" s="7">
        <f t="shared" si="1"/>
        <v>4056</v>
      </c>
      <c r="D24" s="7">
        <v>31378742</v>
      </c>
      <c r="E24" s="7">
        <f t="shared" si="2"/>
        <v>8208</v>
      </c>
      <c r="F24" s="7">
        <v>8829820</v>
      </c>
      <c r="G24" s="8">
        <f t="shared" si="3"/>
        <v>3540</v>
      </c>
      <c r="H24" s="12"/>
      <c r="I24" s="7">
        <v>1255</v>
      </c>
      <c r="J24" s="13">
        <f t="shared" si="4"/>
        <v>111.771</v>
      </c>
      <c r="K24" s="7">
        <v>22031</v>
      </c>
      <c r="L24" s="13">
        <f t="shared" si="5"/>
        <v>6.774</v>
      </c>
      <c r="M24" s="12"/>
      <c r="N24" s="7">
        <v>64465</v>
      </c>
      <c r="O24" s="13">
        <f t="shared" si="6"/>
        <v>6417.1122994652405</v>
      </c>
      <c r="P24" s="13">
        <v>242036</v>
      </c>
      <c r="Q24" s="13">
        <f t="shared" si="7"/>
        <v>70</v>
      </c>
      <c r="R24" s="7">
        <v>54403479</v>
      </c>
      <c r="S24" s="13">
        <f t="shared" si="8"/>
        <v>4190</v>
      </c>
      <c r="T24" s="12"/>
      <c r="U24" s="7">
        <v>68430</v>
      </c>
      <c r="V24" s="7">
        <f t="shared" si="9"/>
        <v>360</v>
      </c>
      <c r="W24" s="7">
        <v>2144</v>
      </c>
      <c r="X24" s="13">
        <f t="shared" si="37"/>
        <v>21</v>
      </c>
      <c r="Y24" s="7">
        <v>679</v>
      </c>
      <c r="Z24" s="13">
        <f t="shared" si="38"/>
        <v>20</v>
      </c>
      <c r="AA24" s="7"/>
      <c r="AB24" s="7">
        <f t="shared" si="12"/>
        <v>-8551170000</v>
      </c>
      <c r="AC24" s="7">
        <v>371171</v>
      </c>
      <c r="AD24" s="7">
        <f t="shared" si="36"/>
        <v>3400000</v>
      </c>
      <c r="AE24" s="12"/>
      <c r="AF24" s="7">
        <v>67144</v>
      </c>
      <c r="AG24" s="7">
        <f t="shared" si="14"/>
        <v>0</v>
      </c>
      <c r="AH24" s="13">
        <v>251462</v>
      </c>
      <c r="AI24" s="13">
        <f t="shared" si="15"/>
        <v>153</v>
      </c>
      <c r="AJ24" s="13">
        <v>11948952</v>
      </c>
      <c r="AK24" s="13">
        <f t="shared" si="16"/>
        <v>6265</v>
      </c>
      <c r="AL24" s="13">
        <v>29025</v>
      </c>
      <c r="AM24" s="13">
        <f t="shared" si="17"/>
        <v>2</v>
      </c>
      <c r="AN24" s="7">
        <v>33105</v>
      </c>
      <c r="AO24" s="13">
        <f t="shared" si="18"/>
        <v>803</v>
      </c>
      <c r="AP24" s="12"/>
      <c r="AQ24" s="21">
        <v>640737</v>
      </c>
      <c r="AR24" s="21">
        <f t="shared" si="34"/>
        <v>270000</v>
      </c>
      <c r="AS24" s="21">
        <v>234978</v>
      </c>
      <c r="AT24" s="21">
        <f t="shared" si="19"/>
        <v>0</v>
      </c>
      <c r="AU24" s="21">
        <v>97847</v>
      </c>
      <c r="AV24" s="21">
        <f t="shared" si="20"/>
        <v>200000</v>
      </c>
      <c r="AW24" s="21">
        <v>269541</v>
      </c>
      <c r="AX24" s="21">
        <f t="shared" si="21"/>
        <v>140000</v>
      </c>
      <c r="AY24" s="21">
        <v>487205</v>
      </c>
      <c r="AZ24" s="21">
        <f t="shared" si="22"/>
        <v>470000</v>
      </c>
      <c r="BA24" s="21">
        <v>19321</v>
      </c>
      <c r="BB24" s="21">
        <f t="shared" si="23"/>
        <v>0</v>
      </c>
      <c r="BC24" s="21">
        <v>485274</v>
      </c>
      <c r="BD24" s="21">
        <f t="shared" si="24"/>
        <v>-1910000</v>
      </c>
      <c r="BE24" s="21">
        <v>124015</v>
      </c>
      <c r="BF24" s="21">
        <f t="shared" si="25"/>
        <v>0</v>
      </c>
      <c r="BG24" s="12"/>
      <c r="BH24" s="21">
        <v>1063196</v>
      </c>
      <c r="BI24" s="21">
        <f t="shared" si="26"/>
        <v>817</v>
      </c>
      <c r="BJ24" s="21">
        <v>574078</v>
      </c>
      <c r="BK24" s="21">
        <f t="shared" si="27"/>
        <v>491</v>
      </c>
      <c r="BL24" s="21">
        <v>291472</v>
      </c>
      <c r="BM24" s="21">
        <f t="shared" si="28"/>
        <v>172</v>
      </c>
      <c r="BN24" s="21">
        <v>157955</v>
      </c>
      <c r="BO24" s="21">
        <f t="shared" si="29"/>
        <v>143</v>
      </c>
      <c r="BP24" s="21">
        <v>148297</v>
      </c>
      <c r="BQ24" s="21">
        <f t="shared" si="30"/>
        <v>52</v>
      </c>
      <c r="BR24" s="21">
        <v>90735</v>
      </c>
      <c r="BS24" s="21">
        <f t="shared" si="31"/>
        <v>12</v>
      </c>
      <c r="BT24" s="21">
        <v>511951</v>
      </c>
      <c r="BU24" s="21">
        <f t="shared" si="32"/>
        <v>105</v>
      </c>
      <c r="BV24" s="21">
        <v>2874</v>
      </c>
      <c r="BW24" s="21">
        <f t="shared" si="33"/>
        <v>0</v>
      </c>
      <c r="BX24" s="21">
        <v>378830</v>
      </c>
      <c r="BY24" s="21">
        <f t="shared" si="35"/>
        <v>15</v>
      </c>
      <c r="BZ24" s="12"/>
      <c r="CA24" s="7"/>
    </row>
    <row r="25" spans="1:79" ht="22.5" customHeight="1">
      <c r="A25" s="11">
        <f t="shared" si="0"/>
        <v>44856</v>
      </c>
      <c r="B25" s="7">
        <v>814224</v>
      </c>
      <c r="C25" s="7">
        <f t="shared" si="1"/>
        <v>4128</v>
      </c>
      <c r="D25" s="7">
        <v>31386955</v>
      </c>
      <c r="E25" s="7">
        <f t="shared" si="2"/>
        <v>8213</v>
      </c>
      <c r="F25" s="7">
        <v>8833463</v>
      </c>
      <c r="G25" s="8">
        <f t="shared" si="3"/>
        <v>3643</v>
      </c>
      <c r="H25" s="12"/>
      <c r="I25" s="7">
        <v>1371</v>
      </c>
      <c r="J25" s="13">
        <f t="shared" si="4"/>
        <v>130.964</v>
      </c>
      <c r="K25" s="7">
        <v>22038</v>
      </c>
      <c r="L25" s="13">
        <f t="shared" si="5"/>
        <v>7.9030000000000005</v>
      </c>
      <c r="M25" s="12"/>
      <c r="N25" s="7">
        <v>64525</v>
      </c>
      <c r="O25" s="13">
        <f t="shared" si="6"/>
        <v>8021.3903743315504</v>
      </c>
      <c r="P25" s="7">
        <v>242099</v>
      </c>
      <c r="Q25" s="13">
        <f t="shared" si="7"/>
        <v>63</v>
      </c>
      <c r="R25" s="7">
        <v>54408527</v>
      </c>
      <c r="S25" s="13">
        <f t="shared" si="8"/>
        <v>5048</v>
      </c>
      <c r="T25" s="12"/>
      <c r="U25" s="7">
        <v>68786</v>
      </c>
      <c r="V25" s="7">
        <f t="shared" si="9"/>
        <v>356</v>
      </c>
      <c r="W25" s="7">
        <v>2158</v>
      </c>
      <c r="X25" s="13">
        <f t="shared" si="37"/>
        <v>14</v>
      </c>
      <c r="Y25" s="7">
        <v>699</v>
      </c>
      <c r="Z25" s="13">
        <f t="shared" si="38"/>
        <v>20</v>
      </c>
      <c r="AA25" s="7">
        <v>855673</v>
      </c>
      <c r="AB25" s="7">
        <f t="shared" si="12"/>
        <v>8556730000</v>
      </c>
      <c r="AC25" s="7">
        <v>371400</v>
      </c>
      <c r="AD25" s="7">
        <f t="shared" si="36"/>
        <v>2290000</v>
      </c>
      <c r="AE25" s="12"/>
      <c r="AF25" s="7">
        <v>67144</v>
      </c>
      <c r="AG25" s="7">
        <f t="shared" si="14"/>
        <v>0</v>
      </c>
      <c r="AH25" s="7">
        <v>251646</v>
      </c>
      <c r="AI25" s="13">
        <f t="shared" si="15"/>
        <v>184</v>
      </c>
      <c r="AJ25" s="7">
        <v>11957013</v>
      </c>
      <c r="AK25" s="13">
        <f t="shared" si="16"/>
        <v>8061</v>
      </c>
      <c r="AL25" s="7">
        <v>29028</v>
      </c>
      <c r="AM25" s="13">
        <f t="shared" si="17"/>
        <v>3</v>
      </c>
      <c r="AN25" s="7">
        <v>34008</v>
      </c>
      <c r="AO25" s="13">
        <f t="shared" si="18"/>
        <v>903</v>
      </c>
      <c r="AP25" s="12"/>
      <c r="AQ25" s="21">
        <v>641000</v>
      </c>
      <c r="AR25" s="21">
        <f t="shared" si="34"/>
        <v>2630000</v>
      </c>
      <c r="AS25" s="21">
        <v>234978</v>
      </c>
      <c r="AT25" s="21">
        <f t="shared" si="19"/>
        <v>0</v>
      </c>
      <c r="AU25" s="21">
        <v>97986</v>
      </c>
      <c r="AV25" s="21">
        <f t="shared" si="20"/>
        <v>1390000</v>
      </c>
      <c r="AW25" s="21">
        <v>269541</v>
      </c>
      <c r="AX25" s="21">
        <f t="shared" si="21"/>
        <v>0</v>
      </c>
      <c r="AY25" s="21">
        <v>487205</v>
      </c>
      <c r="AZ25" s="21">
        <f t="shared" si="22"/>
        <v>0</v>
      </c>
      <c r="BA25" s="21">
        <v>19321</v>
      </c>
      <c r="BB25" s="21">
        <f t="shared" si="23"/>
        <v>0</v>
      </c>
      <c r="BC25" s="21">
        <v>485287</v>
      </c>
      <c r="BD25" s="21">
        <f t="shared" si="24"/>
        <v>130000</v>
      </c>
      <c r="BE25" s="21">
        <v>124015</v>
      </c>
      <c r="BF25" s="21">
        <f t="shared" si="25"/>
        <v>0</v>
      </c>
      <c r="BG25" s="12"/>
      <c r="BH25" s="21">
        <v>1064166</v>
      </c>
      <c r="BI25" s="21">
        <f t="shared" si="26"/>
        <v>970</v>
      </c>
      <c r="BJ25" s="21">
        <v>574590</v>
      </c>
      <c r="BK25" s="21">
        <f t="shared" si="27"/>
        <v>512</v>
      </c>
      <c r="BL25" s="21">
        <v>291654</v>
      </c>
      <c r="BM25" s="21">
        <f t="shared" si="28"/>
        <v>182</v>
      </c>
      <c r="BN25" s="21">
        <v>158117</v>
      </c>
      <c r="BO25" s="21">
        <f t="shared" si="29"/>
        <v>162</v>
      </c>
      <c r="BP25" s="21">
        <v>148337</v>
      </c>
      <c r="BQ25" s="21">
        <f t="shared" si="30"/>
        <v>40</v>
      </c>
      <c r="BR25" s="21">
        <v>90744</v>
      </c>
      <c r="BS25" s="21">
        <f t="shared" si="31"/>
        <v>9</v>
      </c>
      <c r="BT25" s="21">
        <v>512058</v>
      </c>
      <c r="BU25" s="21">
        <f t="shared" si="32"/>
        <v>107</v>
      </c>
      <c r="BV25" s="21">
        <v>2875</v>
      </c>
      <c r="BW25" s="21">
        <f t="shared" si="33"/>
        <v>1</v>
      </c>
      <c r="BX25" s="21">
        <v>378859</v>
      </c>
      <c r="BY25" s="21">
        <f t="shared" si="35"/>
        <v>29</v>
      </c>
      <c r="BZ25" s="12"/>
      <c r="CA25" s="7"/>
    </row>
    <row r="26" spans="1:79" ht="22.5" customHeight="1">
      <c r="A26" s="11">
        <f t="shared" si="0"/>
        <v>44857</v>
      </c>
      <c r="B26" s="7">
        <v>818491</v>
      </c>
      <c r="C26" s="7">
        <f t="shared" si="1"/>
        <v>4267</v>
      </c>
      <c r="D26" s="7">
        <v>31395309</v>
      </c>
      <c r="E26" s="7">
        <f t="shared" si="2"/>
        <v>8354</v>
      </c>
      <c r="F26" s="7">
        <v>8837176</v>
      </c>
      <c r="G26" s="8">
        <f t="shared" si="3"/>
        <v>3713</v>
      </c>
      <c r="H26" s="12"/>
      <c r="I26" s="7">
        <v>1495</v>
      </c>
      <c r="J26" s="13">
        <f t="shared" si="4"/>
        <v>139.99600000000001</v>
      </c>
      <c r="K26" s="7">
        <v>22045</v>
      </c>
      <c r="L26" s="13">
        <f t="shared" si="5"/>
        <v>7.9030000000000005</v>
      </c>
      <c r="M26" s="12"/>
      <c r="N26" s="7">
        <v>64592</v>
      </c>
      <c r="O26" s="13">
        <f t="shared" si="6"/>
        <v>8957.2192513368973</v>
      </c>
      <c r="P26" s="13">
        <v>242156</v>
      </c>
      <c r="Q26" s="13">
        <f t="shared" si="7"/>
        <v>57</v>
      </c>
      <c r="R26" s="7">
        <v>54414243</v>
      </c>
      <c r="S26" s="13">
        <f t="shared" si="8"/>
        <v>5716</v>
      </c>
      <c r="T26" s="12"/>
      <c r="U26" s="7">
        <v>69141</v>
      </c>
      <c r="V26" s="7">
        <f t="shared" si="9"/>
        <v>355</v>
      </c>
      <c r="W26" s="7">
        <v>2159</v>
      </c>
      <c r="X26" s="13">
        <f t="shared" si="37"/>
        <v>1</v>
      </c>
      <c r="Y26" s="7">
        <v>719</v>
      </c>
      <c r="Z26" s="13">
        <f t="shared" si="38"/>
        <v>20</v>
      </c>
      <c r="AA26" s="7">
        <v>855673</v>
      </c>
      <c r="AB26" s="7">
        <f t="shared" si="12"/>
        <v>0</v>
      </c>
      <c r="AC26" s="7">
        <v>371458</v>
      </c>
      <c r="AD26" s="7">
        <f t="shared" si="36"/>
        <v>580000</v>
      </c>
      <c r="AE26" s="12"/>
      <c r="AF26" s="7">
        <v>67144</v>
      </c>
      <c r="AG26" s="7">
        <f t="shared" si="14"/>
        <v>0</v>
      </c>
      <c r="AH26" s="13">
        <v>251807</v>
      </c>
      <c r="AI26" s="13">
        <f t="shared" si="15"/>
        <v>161</v>
      </c>
      <c r="AJ26" s="13">
        <v>11964650</v>
      </c>
      <c r="AK26" s="13">
        <f t="shared" si="16"/>
        <v>7637</v>
      </c>
      <c r="AL26" s="13">
        <v>29032</v>
      </c>
      <c r="AM26" s="13">
        <f t="shared" si="17"/>
        <v>4</v>
      </c>
      <c r="AN26" s="7">
        <v>34859</v>
      </c>
      <c r="AO26" s="13">
        <f t="shared" si="18"/>
        <v>851</v>
      </c>
      <c r="AP26" s="12"/>
      <c r="AQ26" s="21">
        <v>641267</v>
      </c>
      <c r="AR26" s="21">
        <f t="shared" si="34"/>
        <v>2670000</v>
      </c>
      <c r="AS26" s="21">
        <v>234978</v>
      </c>
      <c r="AT26" s="21">
        <f t="shared" si="19"/>
        <v>0</v>
      </c>
      <c r="AU26" s="21">
        <v>98139</v>
      </c>
      <c r="AV26" s="21">
        <f t="shared" si="20"/>
        <v>1530000</v>
      </c>
      <c r="AW26" s="21">
        <v>269541</v>
      </c>
      <c r="AX26" s="21">
        <f t="shared" si="21"/>
        <v>0</v>
      </c>
      <c r="AY26" s="21">
        <v>487270</v>
      </c>
      <c r="AZ26" s="21">
        <f t="shared" si="22"/>
        <v>650000</v>
      </c>
      <c r="BA26" s="21">
        <v>19321</v>
      </c>
      <c r="BB26" s="21">
        <f t="shared" si="23"/>
        <v>0</v>
      </c>
      <c r="BC26" s="21">
        <v>485302</v>
      </c>
      <c r="BD26" s="21">
        <f t="shared" si="24"/>
        <v>150000</v>
      </c>
      <c r="BE26" s="21">
        <v>124015</v>
      </c>
      <c r="BF26" s="21">
        <f t="shared" si="25"/>
        <v>0</v>
      </c>
      <c r="BG26" s="12"/>
      <c r="BH26" s="21">
        <v>1065222</v>
      </c>
      <c r="BI26" s="21">
        <f t="shared" si="26"/>
        <v>1056</v>
      </c>
      <c r="BJ26" s="21">
        <v>575104</v>
      </c>
      <c r="BK26" s="21">
        <f t="shared" si="27"/>
        <v>514</v>
      </c>
      <c r="BL26" s="21">
        <v>291855</v>
      </c>
      <c r="BM26" s="21">
        <f t="shared" si="28"/>
        <v>201</v>
      </c>
      <c r="BN26" s="21">
        <v>158299</v>
      </c>
      <c r="BO26" s="21">
        <f t="shared" si="29"/>
        <v>182</v>
      </c>
      <c r="BP26" s="21">
        <v>148377</v>
      </c>
      <c r="BQ26" s="21">
        <f t="shared" si="30"/>
        <v>40</v>
      </c>
      <c r="BR26" s="21">
        <v>90757</v>
      </c>
      <c r="BS26" s="21">
        <f t="shared" si="31"/>
        <v>13</v>
      </c>
      <c r="BT26" s="21">
        <v>512176</v>
      </c>
      <c r="BU26" s="21">
        <f t="shared" si="32"/>
        <v>118</v>
      </c>
      <c r="BV26" s="21">
        <v>2876</v>
      </c>
      <c r="BW26" s="21">
        <f t="shared" si="33"/>
        <v>1</v>
      </c>
      <c r="BX26" s="21">
        <v>378895</v>
      </c>
      <c r="BY26" s="21">
        <f t="shared" si="35"/>
        <v>36</v>
      </c>
      <c r="BZ26" s="12"/>
      <c r="CA26" s="7"/>
    </row>
    <row r="27" spans="1:79" ht="21" customHeight="1">
      <c r="A27" s="11">
        <f t="shared" si="0"/>
        <v>44858</v>
      </c>
      <c r="B27" s="7">
        <v>822675</v>
      </c>
      <c r="C27" s="7">
        <f t="shared" si="1"/>
        <v>4184</v>
      </c>
      <c r="D27" s="7">
        <v>31403758</v>
      </c>
      <c r="E27" s="7">
        <f t="shared" si="2"/>
        <v>8449</v>
      </c>
      <c r="F27" s="7">
        <v>8841026</v>
      </c>
      <c r="G27" s="8">
        <f t="shared" si="3"/>
        <v>3850</v>
      </c>
      <c r="H27" s="12"/>
      <c r="I27" s="7">
        <v>1601</v>
      </c>
      <c r="J27" s="13">
        <f t="shared" si="4"/>
        <v>119.67400000000001</v>
      </c>
      <c r="K27" s="7">
        <v>22052</v>
      </c>
      <c r="L27" s="13">
        <f t="shared" si="5"/>
        <v>7.9030000000000005</v>
      </c>
      <c r="M27" s="12"/>
      <c r="N27" s="7">
        <v>64653</v>
      </c>
      <c r="O27" s="13">
        <f t="shared" si="6"/>
        <v>8155.0802139037432</v>
      </c>
      <c r="P27" s="7">
        <v>242211</v>
      </c>
      <c r="Q27" s="13">
        <f t="shared" si="7"/>
        <v>55</v>
      </c>
      <c r="R27" s="7">
        <v>54419301</v>
      </c>
      <c r="S27" s="13">
        <f t="shared" si="8"/>
        <v>5058</v>
      </c>
      <c r="T27" s="12"/>
      <c r="U27" s="7">
        <v>69486</v>
      </c>
      <c r="V27" s="7">
        <f t="shared" si="9"/>
        <v>345</v>
      </c>
      <c r="W27" s="7">
        <v>2178</v>
      </c>
      <c r="X27" s="13">
        <f t="shared" si="37"/>
        <v>19</v>
      </c>
      <c r="Y27" s="7">
        <v>739</v>
      </c>
      <c r="Z27" s="13">
        <f t="shared" si="38"/>
        <v>20</v>
      </c>
      <c r="AA27" s="7">
        <v>855902</v>
      </c>
      <c r="AB27" s="7">
        <f t="shared" si="12"/>
        <v>2290000</v>
      </c>
      <c r="AC27" s="7">
        <v>371571</v>
      </c>
      <c r="AD27" s="7">
        <f t="shared" si="36"/>
        <v>1130000</v>
      </c>
      <c r="AE27" s="12"/>
      <c r="AF27" s="7">
        <v>67144</v>
      </c>
      <c r="AG27" s="7">
        <f t="shared" si="14"/>
        <v>0</v>
      </c>
      <c r="AH27" s="7">
        <v>251938</v>
      </c>
      <c r="AI27" s="13">
        <f t="shared" si="15"/>
        <v>131</v>
      </c>
      <c r="AJ27" s="7">
        <v>11971727</v>
      </c>
      <c r="AK27" s="13">
        <f t="shared" si="16"/>
        <v>7077</v>
      </c>
      <c r="AL27" s="7">
        <v>29035</v>
      </c>
      <c r="AM27" s="13">
        <f t="shared" si="17"/>
        <v>3</v>
      </c>
      <c r="AN27" s="7">
        <v>35647</v>
      </c>
      <c r="AO27" s="13">
        <f t="shared" si="18"/>
        <v>788</v>
      </c>
      <c r="AP27" s="12"/>
      <c r="AQ27" s="21">
        <v>641556</v>
      </c>
      <c r="AR27" s="21">
        <f t="shared" si="34"/>
        <v>2890000</v>
      </c>
      <c r="AS27" s="21">
        <v>234978</v>
      </c>
      <c r="AT27" s="21">
        <f t="shared" si="19"/>
        <v>0</v>
      </c>
      <c r="AU27" s="21">
        <v>98175</v>
      </c>
      <c r="AV27" s="21">
        <f t="shared" si="20"/>
        <v>360000</v>
      </c>
      <c r="AW27" s="21">
        <v>269541</v>
      </c>
      <c r="AX27" s="21">
        <f t="shared" si="21"/>
        <v>0</v>
      </c>
      <c r="AY27" s="21">
        <v>487304</v>
      </c>
      <c r="AZ27" s="21">
        <f t="shared" si="22"/>
        <v>340000</v>
      </c>
      <c r="BA27" s="21">
        <v>19321</v>
      </c>
      <c r="BB27" s="21">
        <f t="shared" si="23"/>
        <v>0</v>
      </c>
      <c r="BC27" s="21">
        <v>485314</v>
      </c>
      <c r="BD27" s="21">
        <f t="shared" si="24"/>
        <v>120000</v>
      </c>
      <c r="BE27" s="21">
        <v>124015</v>
      </c>
      <c r="BF27" s="21">
        <f t="shared" si="25"/>
        <v>0</v>
      </c>
      <c r="BG27" s="12"/>
      <c r="BH27" s="21">
        <v>1066150</v>
      </c>
      <c r="BI27" s="21">
        <f t="shared" si="26"/>
        <v>928</v>
      </c>
      <c r="BJ27" s="21">
        <v>575596</v>
      </c>
      <c r="BK27" s="21">
        <f t="shared" si="27"/>
        <v>492</v>
      </c>
      <c r="BL27" s="21">
        <v>292037</v>
      </c>
      <c r="BM27" s="21">
        <f t="shared" si="28"/>
        <v>182</v>
      </c>
      <c r="BN27" s="21">
        <v>158470</v>
      </c>
      <c r="BO27" s="21">
        <f t="shared" si="29"/>
        <v>171</v>
      </c>
      <c r="BP27" s="21">
        <v>148423</v>
      </c>
      <c r="BQ27" s="21">
        <f t="shared" si="30"/>
        <v>46</v>
      </c>
      <c r="BR27" s="21">
        <v>90773</v>
      </c>
      <c r="BS27" s="21">
        <f t="shared" si="31"/>
        <v>16</v>
      </c>
      <c r="BT27" s="21">
        <v>512293</v>
      </c>
      <c r="BU27" s="21">
        <f t="shared" si="32"/>
        <v>117</v>
      </c>
      <c r="BV27" s="21">
        <v>2877</v>
      </c>
      <c r="BW27" s="21">
        <f t="shared" si="33"/>
        <v>1</v>
      </c>
      <c r="BX27" s="21">
        <v>378913</v>
      </c>
      <c r="BY27" s="21">
        <f t="shared" si="35"/>
        <v>18</v>
      </c>
      <c r="BZ27" s="12"/>
      <c r="CA27" s="7"/>
    </row>
    <row r="28" spans="1:79" ht="22.5" customHeight="1">
      <c r="A28" s="11">
        <f t="shared" si="0"/>
        <v>44859</v>
      </c>
      <c r="B28" s="7"/>
      <c r="C28" s="7">
        <f t="shared" si="1"/>
        <v>-822675</v>
      </c>
      <c r="D28" s="7"/>
      <c r="E28" s="7">
        <f t="shared" si="2"/>
        <v>-31403758</v>
      </c>
      <c r="F28" s="7"/>
      <c r="G28" s="8">
        <f t="shared" si="3"/>
        <v>-8841026</v>
      </c>
      <c r="H28" s="12"/>
      <c r="I28" s="7"/>
      <c r="J28" s="13">
        <f t="shared" si="4"/>
        <v>-1807.529</v>
      </c>
      <c r="K28" s="7"/>
      <c r="L28" s="13">
        <f t="shared" si="5"/>
        <v>-24896.707999999999</v>
      </c>
      <c r="M28" s="12"/>
      <c r="N28" s="7"/>
      <c r="O28" s="13">
        <f t="shared" si="6"/>
        <v>-8643449.1978609618</v>
      </c>
      <c r="P28" s="7"/>
      <c r="Q28" s="13">
        <f t="shared" si="7"/>
        <v>-242211</v>
      </c>
      <c r="R28" s="7"/>
      <c r="S28" s="13">
        <f t="shared" si="8"/>
        <v>-54419301</v>
      </c>
      <c r="T28" s="12"/>
      <c r="U28" s="7"/>
      <c r="V28" s="7">
        <f t="shared" si="9"/>
        <v>-69486</v>
      </c>
      <c r="W28" s="7"/>
      <c r="X28" s="13">
        <f t="shared" si="37"/>
        <v>-2178</v>
      </c>
      <c r="Y28" s="7"/>
      <c r="Z28" s="13">
        <f t="shared" si="38"/>
        <v>-739</v>
      </c>
      <c r="AA28" s="7"/>
      <c r="AB28" s="7">
        <f t="shared" si="12"/>
        <v>-8559020000</v>
      </c>
      <c r="AC28" s="7"/>
      <c r="AD28" s="7">
        <f t="shared" si="36"/>
        <v>-3715710000</v>
      </c>
      <c r="AE28" s="12"/>
      <c r="AF28" s="7"/>
      <c r="AG28" s="7">
        <f t="shared" si="14"/>
        <v>-67144</v>
      </c>
      <c r="AH28" s="7"/>
      <c r="AI28" s="13">
        <f t="shared" si="15"/>
        <v>-251938</v>
      </c>
      <c r="AJ28" s="13"/>
      <c r="AK28" s="13">
        <f t="shared" si="16"/>
        <v>-11971727</v>
      </c>
      <c r="AL28" s="7"/>
      <c r="AM28" s="13">
        <f t="shared" si="17"/>
        <v>-29035</v>
      </c>
      <c r="AN28" s="7"/>
      <c r="AO28" s="13">
        <f t="shared" si="18"/>
        <v>-35647</v>
      </c>
      <c r="AP28" s="12"/>
      <c r="AQ28" s="21"/>
      <c r="AR28" s="21">
        <f t="shared" si="34"/>
        <v>-6415560000</v>
      </c>
      <c r="AS28" s="21"/>
      <c r="AT28" s="21">
        <f t="shared" si="19"/>
        <v>-2349780000</v>
      </c>
      <c r="AU28" s="21"/>
      <c r="AV28" s="21">
        <f t="shared" si="20"/>
        <v>-981750000</v>
      </c>
      <c r="AW28" s="21"/>
      <c r="AX28" s="21">
        <f t="shared" si="21"/>
        <v>-2695410000</v>
      </c>
      <c r="AY28" s="21"/>
      <c r="AZ28" s="21">
        <f t="shared" si="22"/>
        <v>-4873040000</v>
      </c>
      <c r="BA28" s="21"/>
      <c r="BB28" s="21">
        <f t="shared" si="23"/>
        <v>-193210000</v>
      </c>
      <c r="BC28" s="21"/>
      <c r="BD28" s="21">
        <f t="shared" si="24"/>
        <v>-4853140000</v>
      </c>
      <c r="BE28" s="21"/>
      <c r="BF28" s="21">
        <f t="shared" si="25"/>
        <v>-1240150000</v>
      </c>
      <c r="BG28" s="12"/>
      <c r="BH28" s="21"/>
      <c r="BI28" s="21">
        <f t="shared" si="26"/>
        <v>-1066150</v>
      </c>
      <c r="BJ28" s="21"/>
      <c r="BK28" s="21">
        <f t="shared" si="27"/>
        <v>-575596</v>
      </c>
      <c r="BL28" s="21"/>
      <c r="BM28" s="21">
        <f t="shared" si="28"/>
        <v>-292037</v>
      </c>
      <c r="BN28" s="21"/>
      <c r="BO28" s="21">
        <f t="shared" si="29"/>
        <v>-158470</v>
      </c>
      <c r="BP28" s="21"/>
      <c r="BQ28" s="21">
        <f t="shared" si="30"/>
        <v>-148423</v>
      </c>
      <c r="BR28" s="21"/>
      <c r="BS28" s="21">
        <f t="shared" si="31"/>
        <v>-90773</v>
      </c>
      <c r="BT28" s="21"/>
      <c r="BU28" s="21">
        <f t="shared" si="32"/>
        <v>-512293</v>
      </c>
      <c r="BV28" s="21"/>
      <c r="BW28" s="21">
        <f t="shared" si="33"/>
        <v>-2877</v>
      </c>
      <c r="BX28" s="21"/>
      <c r="BY28" s="21">
        <f t="shared" si="35"/>
        <v>-378913</v>
      </c>
      <c r="BZ28" s="12"/>
      <c r="CA28" s="7"/>
    </row>
    <row r="29" spans="1:79" ht="21" customHeight="1">
      <c r="A29" s="11">
        <f t="shared" si="0"/>
        <v>44860</v>
      </c>
      <c r="B29" s="7">
        <v>830083</v>
      </c>
      <c r="C29" s="7">
        <f t="shared" si="1"/>
        <v>830083</v>
      </c>
      <c r="D29" s="7">
        <v>31420039</v>
      </c>
      <c r="E29" s="7">
        <f t="shared" si="2"/>
        <v>31420039</v>
      </c>
      <c r="F29" s="7">
        <v>8847960</v>
      </c>
      <c r="G29" s="8">
        <f t="shared" si="3"/>
        <v>8847960</v>
      </c>
      <c r="H29" s="12"/>
      <c r="I29" s="7">
        <v>1798</v>
      </c>
      <c r="J29" s="13">
        <f t="shared" si="4"/>
        <v>2029.942</v>
      </c>
      <c r="K29" s="7">
        <v>22066</v>
      </c>
      <c r="L29" s="13">
        <f t="shared" si="5"/>
        <v>24912.513999999999</v>
      </c>
      <c r="M29" s="12"/>
      <c r="N29" s="7">
        <v>64735</v>
      </c>
      <c r="O29" s="13">
        <f t="shared" si="6"/>
        <v>8654411.7647058815</v>
      </c>
      <c r="P29" s="13">
        <v>242310</v>
      </c>
      <c r="Q29" s="13">
        <f t="shared" si="7"/>
        <v>242310</v>
      </c>
      <c r="R29" s="7">
        <v>54430050</v>
      </c>
      <c r="S29" s="13">
        <f t="shared" si="8"/>
        <v>54430050</v>
      </c>
      <c r="T29" s="12"/>
      <c r="U29" s="7">
        <v>70149</v>
      </c>
      <c r="V29" s="7">
        <f t="shared" si="9"/>
        <v>70149</v>
      </c>
      <c r="W29" s="7">
        <v>2219</v>
      </c>
      <c r="X29" s="13">
        <f t="shared" si="37"/>
        <v>2219</v>
      </c>
      <c r="Y29" s="7">
        <v>777</v>
      </c>
      <c r="Z29" s="13">
        <f t="shared" si="38"/>
        <v>777</v>
      </c>
      <c r="AA29" s="7">
        <v>856310</v>
      </c>
      <c r="AB29" s="7">
        <f t="shared" si="12"/>
        <v>8563100000</v>
      </c>
      <c r="AC29" s="7">
        <v>371782</v>
      </c>
      <c r="AD29" s="7">
        <f t="shared" si="36"/>
        <v>3717820000</v>
      </c>
      <c r="AE29" s="12"/>
      <c r="AF29" s="7">
        <v>67144</v>
      </c>
      <c r="AG29" s="7">
        <f t="shared" si="14"/>
        <v>67144</v>
      </c>
      <c r="AH29" s="13">
        <v>252251</v>
      </c>
      <c r="AI29" s="13">
        <f t="shared" si="15"/>
        <v>252251</v>
      </c>
      <c r="AJ29" s="13">
        <v>11983130</v>
      </c>
      <c r="AK29" s="13">
        <f t="shared" si="16"/>
        <v>11983130</v>
      </c>
      <c r="AL29" s="13">
        <v>29037</v>
      </c>
      <c r="AM29" s="13">
        <f t="shared" si="17"/>
        <v>29037</v>
      </c>
      <c r="AN29" s="7">
        <v>37094</v>
      </c>
      <c r="AO29" s="13">
        <f t="shared" si="18"/>
        <v>37094</v>
      </c>
      <c r="AP29" s="12"/>
      <c r="AQ29" s="21">
        <v>642499</v>
      </c>
      <c r="AR29" s="21">
        <f t="shared" si="34"/>
        <v>6424990000</v>
      </c>
      <c r="AS29" s="21">
        <v>234978</v>
      </c>
      <c r="AT29" s="21">
        <f t="shared" si="19"/>
        <v>2349780000</v>
      </c>
      <c r="AU29" s="21">
        <v>98400</v>
      </c>
      <c r="AV29" s="21">
        <f t="shared" si="20"/>
        <v>984000000</v>
      </c>
      <c r="AW29" s="21">
        <v>269541</v>
      </c>
      <c r="AX29" s="21">
        <f t="shared" si="21"/>
        <v>2695410000</v>
      </c>
      <c r="AY29" s="21">
        <v>487363</v>
      </c>
      <c r="AZ29" s="21">
        <f t="shared" si="22"/>
        <v>4873630000</v>
      </c>
      <c r="BA29" s="21">
        <v>19321</v>
      </c>
      <c r="BB29" s="21">
        <f t="shared" si="23"/>
        <v>193210000</v>
      </c>
      <c r="BC29" s="21">
        <v>485335</v>
      </c>
      <c r="BD29" s="21">
        <f t="shared" si="24"/>
        <v>4853350000</v>
      </c>
      <c r="BE29" s="21">
        <v>124015</v>
      </c>
      <c r="BF29" s="21">
        <f t="shared" si="25"/>
        <v>1240150000</v>
      </c>
      <c r="BG29" s="12"/>
      <c r="BH29" s="21">
        <v>1067905</v>
      </c>
      <c r="BI29" s="21">
        <f t="shared" si="26"/>
        <v>1067905</v>
      </c>
      <c r="BJ29" s="21">
        <v>576591</v>
      </c>
      <c r="BK29" s="21">
        <f t="shared" si="27"/>
        <v>576591</v>
      </c>
      <c r="BL29" s="21">
        <v>292349</v>
      </c>
      <c r="BM29" s="21">
        <f t="shared" si="28"/>
        <v>292349</v>
      </c>
      <c r="BN29" s="21">
        <v>158769</v>
      </c>
      <c r="BO29" s="21">
        <f t="shared" si="29"/>
        <v>158769</v>
      </c>
      <c r="BP29" s="21">
        <v>148509</v>
      </c>
      <c r="BQ29" s="21">
        <f t="shared" si="30"/>
        <v>148509</v>
      </c>
      <c r="BR29" s="21">
        <v>90797</v>
      </c>
      <c r="BS29" s="21">
        <f t="shared" si="31"/>
        <v>90797</v>
      </c>
      <c r="BT29" s="21">
        <v>512504</v>
      </c>
      <c r="BU29" s="21">
        <f t="shared" si="32"/>
        <v>512504</v>
      </c>
      <c r="BV29" s="21">
        <v>2879</v>
      </c>
      <c r="BW29" s="21">
        <f t="shared" si="33"/>
        <v>2879</v>
      </c>
      <c r="BX29" s="21">
        <v>378945</v>
      </c>
      <c r="BY29" s="21">
        <f t="shared" si="35"/>
        <v>378945</v>
      </c>
      <c r="BZ29" s="12"/>
      <c r="CA29" s="7"/>
    </row>
    <row r="30" spans="1:79" ht="22.5" customHeight="1">
      <c r="A30" s="11">
        <f t="shared" si="0"/>
        <v>44861</v>
      </c>
      <c r="B30" s="7">
        <v>833670</v>
      </c>
      <c r="C30" s="7">
        <f t="shared" si="1"/>
        <v>3587</v>
      </c>
      <c r="D30" s="7">
        <v>31428258</v>
      </c>
      <c r="E30" s="7">
        <f t="shared" si="2"/>
        <v>8219</v>
      </c>
      <c r="F30" s="7">
        <v>8851310</v>
      </c>
      <c r="G30" s="8">
        <f t="shared" si="3"/>
        <v>3350</v>
      </c>
      <c r="H30" s="12"/>
      <c r="I30" s="7">
        <v>1895</v>
      </c>
      <c r="J30" s="13">
        <f t="shared" si="4"/>
        <v>109.51300000000001</v>
      </c>
      <c r="K30" s="7">
        <v>22073</v>
      </c>
      <c r="L30" s="13">
        <f t="shared" si="5"/>
        <v>7.9030000000000005</v>
      </c>
      <c r="M30" s="12"/>
      <c r="N30" s="7">
        <v>64780</v>
      </c>
      <c r="O30" s="13">
        <f t="shared" si="6"/>
        <v>6016.0427807486631</v>
      </c>
      <c r="P30" s="13">
        <v>242366</v>
      </c>
      <c r="Q30" s="13">
        <f t="shared" si="7"/>
        <v>56</v>
      </c>
      <c r="R30" s="7">
        <v>54436767</v>
      </c>
      <c r="S30" s="13">
        <f t="shared" si="8"/>
        <v>6717</v>
      </c>
      <c r="T30" s="12"/>
      <c r="U30" s="7">
        <v>70469</v>
      </c>
      <c r="V30" s="7">
        <f t="shared" si="9"/>
        <v>320</v>
      </c>
      <c r="W30" s="7">
        <v>2232</v>
      </c>
      <c r="X30" s="13">
        <f t="shared" si="37"/>
        <v>13</v>
      </c>
      <c r="Y30" s="7">
        <v>797</v>
      </c>
      <c r="Z30" s="13">
        <f t="shared" si="38"/>
        <v>20</v>
      </c>
      <c r="AA30" s="7">
        <v>856558</v>
      </c>
      <c r="AB30" s="7">
        <f t="shared" si="12"/>
        <v>2480000</v>
      </c>
      <c r="AC30" s="7">
        <v>371888</v>
      </c>
      <c r="AD30" s="7">
        <f t="shared" si="13"/>
        <v>1060000</v>
      </c>
      <c r="AE30" s="12"/>
      <c r="AF30" s="7">
        <v>67144</v>
      </c>
      <c r="AG30" s="7">
        <f t="shared" si="14"/>
        <v>0</v>
      </c>
      <c r="AH30" s="13">
        <v>252390</v>
      </c>
      <c r="AI30" s="13">
        <f t="shared" si="15"/>
        <v>139</v>
      </c>
      <c r="AJ30" s="13">
        <v>11988291</v>
      </c>
      <c r="AK30" s="13">
        <f t="shared" si="16"/>
        <v>5161</v>
      </c>
      <c r="AL30" s="13">
        <v>29038</v>
      </c>
      <c r="AM30" s="13">
        <f t="shared" si="17"/>
        <v>1</v>
      </c>
      <c r="AN30" s="7">
        <v>37756</v>
      </c>
      <c r="AO30" s="13">
        <f t="shared" si="18"/>
        <v>662</v>
      </c>
      <c r="AP30" s="12"/>
      <c r="AQ30" s="21">
        <v>643006</v>
      </c>
      <c r="AR30" s="21">
        <f t="shared" si="34"/>
        <v>5070000</v>
      </c>
      <c r="AS30" s="21">
        <v>234978</v>
      </c>
      <c r="AT30" s="21">
        <f t="shared" si="19"/>
        <v>0</v>
      </c>
      <c r="AU30" s="21">
        <v>98526</v>
      </c>
      <c r="AV30" s="21">
        <f t="shared" si="20"/>
        <v>1260000</v>
      </c>
      <c r="AW30" s="21">
        <v>269541</v>
      </c>
      <c r="AX30" s="21">
        <f t="shared" si="21"/>
        <v>0</v>
      </c>
      <c r="AY30" s="21">
        <v>487422</v>
      </c>
      <c r="AZ30" s="21">
        <f t="shared" si="22"/>
        <v>590000</v>
      </c>
      <c r="BA30" s="21">
        <v>19321</v>
      </c>
      <c r="BB30" s="21">
        <f t="shared" si="23"/>
        <v>0</v>
      </c>
      <c r="BC30" s="21">
        <v>485347</v>
      </c>
      <c r="BD30" s="21">
        <f t="shared" si="24"/>
        <v>120000</v>
      </c>
      <c r="BE30" s="21">
        <v>124015</v>
      </c>
      <c r="BF30" s="21">
        <f t="shared" si="25"/>
        <v>0</v>
      </c>
      <c r="BG30" s="12"/>
      <c r="BH30" s="21">
        <v>1068716</v>
      </c>
      <c r="BI30" s="21">
        <f t="shared" si="26"/>
        <v>811</v>
      </c>
      <c r="BJ30" s="21">
        <v>577091</v>
      </c>
      <c r="BK30" s="21">
        <f t="shared" si="27"/>
        <v>500</v>
      </c>
      <c r="BL30" s="21">
        <v>292522</v>
      </c>
      <c r="BM30" s="21">
        <f t="shared" si="28"/>
        <v>173</v>
      </c>
      <c r="BN30" s="21">
        <v>158912</v>
      </c>
      <c r="BO30" s="21">
        <f t="shared" si="29"/>
        <v>143</v>
      </c>
      <c r="BP30" s="21">
        <v>148556</v>
      </c>
      <c r="BQ30" s="21">
        <f t="shared" si="30"/>
        <v>47</v>
      </c>
      <c r="BR30" s="21">
        <v>90813</v>
      </c>
      <c r="BS30" s="21">
        <f t="shared" si="31"/>
        <v>16</v>
      </c>
      <c r="BT30" s="21">
        <v>512601</v>
      </c>
      <c r="BU30" s="21">
        <f t="shared" si="32"/>
        <v>97</v>
      </c>
      <c r="BV30" s="21">
        <v>2880</v>
      </c>
      <c r="BW30" s="21">
        <f t="shared" si="33"/>
        <v>1</v>
      </c>
      <c r="BX30" s="21">
        <v>378961</v>
      </c>
      <c r="BY30" s="21">
        <f t="shared" si="35"/>
        <v>16</v>
      </c>
      <c r="BZ30" s="12"/>
      <c r="CA30" s="7"/>
    </row>
    <row r="31" spans="1:79" ht="23.25" customHeight="1">
      <c r="A31" s="11">
        <f t="shared" si="0"/>
        <v>44862</v>
      </c>
      <c r="B31" s="7">
        <v>837743</v>
      </c>
      <c r="C31" s="7">
        <f t="shared" si="1"/>
        <v>4073</v>
      </c>
      <c r="D31" s="7">
        <v>31436905</v>
      </c>
      <c r="E31" s="7">
        <f t="shared" si="2"/>
        <v>8647</v>
      </c>
      <c r="F31" s="7">
        <v>8854719</v>
      </c>
      <c r="G31" s="8">
        <f t="shared" si="3"/>
        <v>3409</v>
      </c>
      <c r="H31" s="12"/>
      <c r="I31" s="7">
        <v>1992</v>
      </c>
      <c r="J31" s="13">
        <f t="shared" si="4"/>
        <v>109.51300000000001</v>
      </c>
      <c r="K31" s="7">
        <v>22080</v>
      </c>
      <c r="L31" s="13">
        <f t="shared" si="5"/>
        <v>7.9030000000000005</v>
      </c>
      <c r="M31" s="12"/>
      <c r="N31" s="7">
        <v>64841</v>
      </c>
      <c r="O31" s="13">
        <f t="shared" si="6"/>
        <v>8155.0802139037432</v>
      </c>
      <c r="P31" s="13">
        <v>242421</v>
      </c>
      <c r="Q31" s="13">
        <f t="shared" si="7"/>
        <v>55</v>
      </c>
      <c r="R31" s="7">
        <v>54442616</v>
      </c>
      <c r="S31" s="13">
        <f t="shared" si="8"/>
        <v>5849</v>
      </c>
      <c r="T31" s="12"/>
      <c r="U31" s="7">
        <v>70815</v>
      </c>
      <c r="V31" s="7">
        <f t="shared" si="9"/>
        <v>346</v>
      </c>
      <c r="W31" s="7">
        <v>2241</v>
      </c>
      <c r="X31" s="13">
        <f t="shared" si="37"/>
        <v>9</v>
      </c>
      <c r="Y31" s="7">
        <v>816</v>
      </c>
      <c r="Z31" s="13">
        <f t="shared" si="38"/>
        <v>19</v>
      </c>
      <c r="AA31" s="7">
        <v>856744</v>
      </c>
      <c r="AB31" s="7">
        <f t="shared" si="12"/>
        <v>1860000</v>
      </c>
      <c r="AC31" s="7">
        <v>371918</v>
      </c>
      <c r="AD31" s="7">
        <f t="shared" si="13"/>
        <v>300000</v>
      </c>
      <c r="AE31" s="12"/>
      <c r="AF31" s="7">
        <v>45543</v>
      </c>
      <c r="AG31" s="7">
        <f t="shared" si="14"/>
        <v>-21601</v>
      </c>
      <c r="AH31" s="13">
        <v>252582</v>
      </c>
      <c r="AI31" s="13">
        <f t="shared" si="15"/>
        <v>192</v>
      </c>
      <c r="AJ31" s="13">
        <v>11995210</v>
      </c>
      <c r="AK31" s="13">
        <f t="shared" si="16"/>
        <v>6919</v>
      </c>
      <c r="AL31" s="13">
        <v>29039</v>
      </c>
      <c r="AM31" s="13">
        <f t="shared" si="17"/>
        <v>1</v>
      </c>
      <c r="AN31" s="7">
        <v>38658</v>
      </c>
      <c r="AO31" s="13">
        <f t="shared" si="18"/>
        <v>902</v>
      </c>
      <c r="AP31" s="12"/>
      <c r="AQ31" s="21">
        <v>643164</v>
      </c>
      <c r="AR31" s="21">
        <f t="shared" si="34"/>
        <v>1580000</v>
      </c>
      <c r="AS31" s="21">
        <v>234978</v>
      </c>
      <c r="AT31" s="21">
        <f t="shared" si="19"/>
        <v>0</v>
      </c>
      <c r="AU31" s="21">
        <v>98576</v>
      </c>
      <c r="AV31" s="21">
        <f t="shared" si="20"/>
        <v>500000</v>
      </c>
      <c r="AW31" s="21">
        <v>269541</v>
      </c>
      <c r="AX31" s="21">
        <f t="shared" si="21"/>
        <v>0</v>
      </c>
      <c r="AY31" s="21">
        <v>487425</v>
      </c>
      <c r="AZ31" s="21">
        <f t="shared" si="22"/>
        <v>30000</v>
      </c>
      <c r="BA31" s="21">
        <v>19321</v>
      </c>
      <c r="BB31" s="21">
        <f t="shared" si="23"/>
        <v>0</v>
      </c>
      <c r="BC31" s="21">
        <v>485358</v>
      </c>
      <c r="BD31" s="21">
        <f t="shared" si="24"/>
        <v>110000</v>
      </c>
      <c r="BE31" s="21">
        <v>124015</v>
      </c>
      <c r="BF31" s="21">
        <f t="shared" si="25"/>
        <v>0</v>
      </c>
      <c r="BG31" s="12"/>
      <c r="BH31" s="21">
        <v>1069600</v>
      </c>
      <c r="BI31" s="21">
        <f t="shared" si="26"/>
        <v>884</v>
      </c>
      <c r="BJ31" s="21">
        <v>577579</v>
      </c>
      <c r="BK31" s="21">
        <f t="shared" si="27"/>
        <v>488</v>
      </c>
      <c r="BL31" s="21">
        <v>292695</v>
      </c>
      <c r="BM31" s="21">
        <f t="shared" si="28"/>
        <v>173</v>
      </c>
      <c r="BN31" s="21">
        <v>159057</v>
      </c>
      <c r="BO31" s="21">
        <f t="shared" si="29"/>
        <v>145</v>
      </c>
      <c r="BP31" s="21">
        <v>148603</v>
      </c>
      <c r="BQ31" s="21">
        <f t="shared" si="30"/>
        <v>47</v>
      </c>
      <c r="BR31" s="21">
        <v>90826</v>
      </c>
      <c r="BS31" s="21">
        <f t="shared" si="31"/>
        <v>13</v>
      </c>
      <c r="BT31" s="21">
        <v>512700</v>
      </c>
      <c r="BU31" s="21">
        <f t="shared" si="32"/>
        <v>99</v>
      </c>
      <c r="BV31" s="21">
        <v>2881</v>
      </c>
      <c r="BW31" s="21">
        <f t="shared" si="33"/>
        <v>1</v>
      </c>
      <c r="BX31" s="21">
        <v>378976</v>
      </c>
      <c r="BY31" s="21">
        <f t="shared" si="35"/>
        <v>15</v>
      </c>
      <c r="BZ31" s="12"/>
      <c r="CA31" s="7"/>
    </row>
    <row r="32" spans="1:79" ht="23.25" customHeight="1">
      <c r="A32" s="11">
        <f t="shared" si="0"/>
        <v>44863</v>
      </c>
      <c r="B32" s="7">
        <v>841945</v>
      </c>
      <c r="C32" s="7">
        <f t="shared" si="1"/>
        <v>4202</v>
      </c>
      <c r="D32" s="7">
        <v>31445390</v>
      </c>
      <c r="E32" s="7">
        <f t="shared" si="2"/>
        <v>8485</v>
      </c>
      <c r="F32" s="7">
        <v>8859450</v>
      </c>
      <c r="G32" s="8">
        <f t="shared" si="3"/>
        <v>4731</v>
      </c>
      <c r="H32" s="12"/>
      <c r="I32" s="7">
        <v>2103</v>
      </c>
      <c r="J32" s="13">
        <f t="shared" si="4"/>
        <v>125.319</v>
      </c>
      <c r="K32" s="7">
        <v>22087</v>
      </c>
      <c r="L32" s="13">
        <f t="shared" si="5"/>
        <v>7.9030000000000005</v>
      </c>
      <c r="M32" s="12"/>
      <c r="N32" s="7">
        <v>64890</v>
      </c>
      <c r="O32" s="13">
        <f t="shared" si="6"/>
        <v>6550.8021390374324</v>
      </c>
      <c r="P32" s="7">
        <v>242485</v>
      </c>
      <c r="Q32" s="13">
        <f t="shared" si="7"/>
        <v>64</v>
      </c>
      <c r="R32" s="7">
        <v>54447283</v>
      </c>
      <c r="S32" s="13">
        <f t="shared" si="8"/>
        <v>4667</v>
      </c>
      <c r="T32" s="12"/>
      <c r="U32" s="7">
        <v>71154</v>
      </c>
      <c r="V32" s="7">
        <f t="shared" si="9"/>
        <v>339</v>
      </c>
      <c r="W32" s="7">
        <v>2251</v>
      </c>
      <c r="X32" s="13">
        <f t="shared" si="37"/>
        <v>10</v>
      </c>
      <c r="Y32" s="7">
        <v>838</v>
      </c>
      <c r="Z32" s="13">
        <f t="shared" si="38"/>
        <v>22</v>
      </c>
      <c r="AA32" s="7">
        <v>856944</v>
      </c>
      <c r="AB32" s="7">
        <f t="shared" si="12"/>
        <v>2000000</v>
      </c>
      <c r="AC32" s="7">
        <v>372062</v>
      </c>
      <c r="AD32" s="7">
        <f t="shared" si="13"/>
        <v>1440000</v>
      </c>
      <c r="AE32" s="12"/>
      <c r="AF32" s="7">
        <v>45544</v>
      </c>
      <c r="AG32" s="7">
        <f t="shared" si="14"/>
        <v>1</v>
      </c>
      <c r="AH32" s="7">
        <v>252602</v>
      </c>
      <c r="AI32" s="13">
        <f t="shared" si="15"/>
        <v>20</v>
      </c>
      <c r="AJ32" s="7">
        <v>11998501</v>
      </c>
      <c r="AK32" s="13">
        <f t="shared" si="16"/>
        <v>3291</v>
      </c>
      <c r="AL32" s="7">
        <v>29045</v>
      </c>
      <c r="AM32" s="13">
        <f t="shared" si="17"/>
        <v>6</v>
      </c>
      <c r="AN32" s="7">
        <v>38670</v>
      </c>
      <c r="AO32" s="13">
        <f t="shared" si="18"/>
        <v>12</v>
      </c>
      <c r="AP32" s="12"/>
      <c r="AQ32" s="21">
        <v>643339</v>
      </c>
      <c r="AR32" s="21">
        <f t="shared" si="34"/>
        <v>1750000</v>
      </c>
      <c r="AS32" s="21">
        <v>234978</v>
      </c>
      <c r="AT32" s="21">
        <f t="shared" si="19"/>
        <v>0</v>
      </c>
      <c r="AU32" s="21">
        <v>98576</v>
      </c>
      <c r="AV32" s="21">
        <f t="shared" si="20"/>
        <v>0</v>
      </c>
      <c r="AW32" s="21">
        <v>269541</v>
      </c>
      <c r="AX32" s="21">
        <f t="shared" si="21"/>
        <v>0</v>
      </c>
      <c r="AY32" s="21">
        <v>487425</v>
      </c>
      <c r="AZ32" s="21">
        <f t="shared" si="22"/>
        <v>0</v>
      </c>
      <c r="BA32" s="21">
        <v>19321</v>
      </c>
      <c r="BB32" s="21">
        <f t="shared" si="23"/>
        <v>0</v>
      </c>
      <c r="BC32" s="21">
        <v>485370</v>
      </c>
      <c r="BD32" s="21">
        <f t="shared" si="24"/>
        <v>120000</v>
      </c>
      <c r="BE32" s="21">
        <v>124015</v>
      </c>
      <c r="BF32" s="21">
        <f t="shared" si="25"/>
        <v>0</v>
      </c>
      <c r="BG32" s="12"/>
      <c r="BH32" s="21">
        <v>1070532</v>
      </c>
      <c r="BI32" s="21">
        <f t="shared" si="26"/>
        <v>932</v>
      </c>
      <c r="BJ32" s="21">
        <v>578092</v>
      </c>
      <c r="BK32" s="21">
        <f t="shared" si="27"/>
        <v>513</v>
      </c>
      <c r="BL32" s="21">
        <v>292879</v>
      </c>
      <c r="BM32" s="21">
        <f t="shared" si="28"/>
        <v>184</v>
      </c>
      <c r="BN32" s="21">
        <v>159217</v>
      </c>
      <c r="BO32" s="21">
        <f t="shared" si="29"/>
        <v>160</v>
      </c>
      <c r="BP32" s="21">
        <v>148641</v>
      </c>
      <c r="BQ32" s="21">
        <f t="shared" si="30"/>
        <v>38</v>
      </c>
      <c r="BR32" s="21">
        <v>90835</v>
      </c>
      <c r="BS32" s="21">
        <f t="shared" si="31"/>
        <v>9</v>
      </c>
      <c r="BT32" s="21">
        <v>512794</v>
      </c>
      <c r="BU32" s="21">
        <f t="shared" si="32"/>
        <v>94</v>
      </c>
      <c r="BV32" s="21">
        <v>2882</v>
      </c>
      <c r="BW32" s="21">
        <f t="shared" si="33"/>
        <v>1</v>
      </c>
      <c r="BX32" s="21">
        <v>379003</v>
      </c>
      <c r="BY32" s="21">
        <f t="shared" si="35"/>
        <v>27</v>
      </c>
      <c r="BZ32" s="12"/>
      <c r="CA32" s="7"/>
    </row>
    <row r="33" spans="1:79" ht="21.75" customHeight="1">
      <c r="A33" s="11">
        <v>44</v>
      </c>
      <c r="B33" s="18">
        <v>850113</v>
      </c>
      <c r="C33" s="7">
        <f t="shared" si="1"/>
        <v>8168</v>
      </c>
      <c r="D33" s="7">
        <v>31461790</v>
      </c>
      <c r="E33" s="7">
        <f t="shared" si="2"/>
        <v>16400</v>
      </c>
      <c r="F33" s="18">
        <v>8865691</v>
      </c>
      <c r="G33" s="8">
        <f t="shared" si="3"/>
        <v>6241</v>
      </c>
      <c r="H33" s="12"/>
      <c r="I33" s="7">
        <v>2320</v>
      </c>
      <c r="J33" s="13">
        <f t="shared" si="4"/>
        <v>244.99299999999999</v>
      </c>
      <c r="K33" s="7">
        <v>22099</v>
      </c>
      <c r="L33" s="13">
        <f t="shared" si="5"/>
        <v>13.548</v>
      </c>
      <c r="M33" s="12"/>
      <c r="N33" s="7">
        <v>64986</v>
      </c>
      <c r="O33" s="13">
        <f t="shared" si="6"/>
        <v>12834.224598930481</v>
      </c>
      <c r="P33" s="7">
        <v>242608</v>
      </c>
      <c r="Q33" s="13">
        <f t="shared" si="7"/>
        <v>123</v>
      </c>
      <c r="R33" s="7">
        <v>54457353</v>
      </c>
      <c r="S33" s="13">
        <f t="shared" si="8"/>
        <v>10070</v>
      </c>
      <c r="T33" s="12"/>
      <c r="U33" s="7">
        <v>71819</v>
      </c>
      <c r="V33" s="7">
        <f t="shared" si="9"/>
        <v>665</v>
      </c>
      <c r="W33" s="7">
        <v>2264</v>
      </c>
      <c r="X33" s="13">
        <f t="shared" si="37"/>
        <v>13</v>
      </c>
      <c r="Y33" s="7">
        <v>872</v>
      </c>
      <c r="Z33" s="13">
        <f t="shared" si="38"/>
        <v>34</v>
      </c>
      <c r="AA33" s="7">
        <v>857467</v>
      </c>
      <c r="AB33" s="7">
        <f t="shared" si="12"/>
        <v>5230000</v>
      </c>
      <c r="AC33" s="7">
        <v>372527</v>
      </c>
      <c r="AD33" s="7">
        <f t="shared" si="13"/>
        <v>4650000</v>
      </c>
      <c r="AE33" s="12"/>
      <c r="AF33" s="7">
        <v>45543</v>
      </c>
      <c r="AG33" s="7">
        <f t="shared" si="14"/>
        <v>-1</v>
      </c>
      <c r="AH33" s="7">
        <v>253042</v>
      </c>
      <c r="AI33" s="13">
        <f t="shared" si="15"/>
        <v>440</v>
      </c>
      <c r="AJ33" s="7">
        <v>12019832</v>
      </c>
      <c r="AK33" s="13">
        <f t="shared" si="16"/>
        <v>21331</v>
      </c>
      <c r="AL33" s="7">
        <v>29048</v>
      </c>
      <c r="AM33" s="13">
        <f t="shared" si="17"/>
        <v>3</v>
      </c>
      <c r="AN33" s="7">
        <v>41064</v>
      </c>
      <c r="AO33" s="13">
        <f t="shared" si="18"/>
        <v>2394</v>
      </c>
      <c r="AP33" s="12"/>
      <c r="AQ33" s="21">
        <v>643688</v>
      </c>
      <c r="AR33" s="21">
        <f t="shared" si="34"/>
        <v>3490000</v>
      </c>
      <c r="AS33" s="21">
        <v>234978</v>
      </c>
      <c r="AT33" s="21">
        <f t="shared" si="19"/>
        <v>0</v>
      </c>
      <c r="AU33" s="21">
        <v>98654</v>
      </c>
      <c r="AV33" s="21">
        <f t="shared" si="20"/>
        <v>780000</v>
      </c>
      <c r="AW33" s="21">
        <v>269541</v>
      </c>
      <c r="AX33" s="21">
        <f t="shared" si="21"/>
        <v>0</v>
      </c>
      <c r="AY33" s="21">
        <v>487927</v>
      </c>
      <c r="AZ33" s="21">
        <f t="shared" si="22"/>
        <v>5020000</v>
      </c>
      <c r="BA33" s="21">
        <v>19321</v>
      </c>
      <c r="BB33" s="21">
        <f t="shared" si="23"/>
        <v>0</v>
      </c>
      <c r="BC33" s="21">
        <v>485395</v>
      </c>
      <c r="BD33" s="21">
        <f t="shared" si="24"/>
        <v>250000</v>
      </c>
      <c r="BE33" s="21">
        <v>124015</v>
      </c>
      <c r="BF33" s="21">
        <f t="shared" si="25"/>
        <v>0</v>
      </c>
      <c r="BG33" s="12"/>
      <c r="BH33" s="21">
        <v>1072494</v>
      </c>
      <c r="BI33" s="21">
        <f t="shared" si="26"/>
        <v>1962</v>
      </c>
      <c r="BJ33" s="21">
        <v>579082</v>
      </c>
      <c r="BK33" s="21">
        <f t="shared" si="27"/>
        <v>990</v>
      </c>
      <c r="BL33" s="21">
        <v>293237</v>
      </c>
      <c r="BM33" s="21">
        <f t="shared" si="28"/>
        <v>358</v>
      </c>
      <c r="BN33" s="21">
        <v>159516</v>
      </c>
      <c r="BO33" s="21">
        <f t="shared" si="29"/>
        <v>299</v>
      </c>
      <c r="BP33" s="21">
        <v>148730</v>
      </c>
      <c r="BQ33" s="21">
        <f t="shared" si="30"/>
        <v>89</v>
      </c>
      <c r="BR33" s="21">
        <v>90866</v>
      </c>
      <c r="BS33" s="21">
        <f t="shared" si="31"/>
        <v>31</v>
      </c>
      <c r="BT33" s="21">
        <v>512983</v>
      </c>
      <c r="BU33" s="21">
        <f t="shared" si="32"/>
        <v>189</v>
      </c>
      <c r="BV33" s="21">
        <v>2884</v>
      </c>
      <c r="BW33" s="21">
        <f t="shared" si="33"/>
        <v>2</v>
      </c>
      <c r="BX33" s="21">
        <v>379043</v>
      </c>
      <c r="BY33" s="21">
        <f t="shared" si="35"/>
        <v>40</v>
      </c>
      <c r="BZ33" s="12"/>
      <c r="CA33" s="7"/>
    </row>
    <row r="34" spans="1:79" ht="21" customHeight="1">
      <c r="A34" s="11">
        <f t="shared" si="0"/>
        <v>45</v>
      </c>
      <c r="B34" s="25">
        <v>852083</v>
      </c>
      <c r="C34" s="7">
        <f t="shared" si="1"/>
        <v>1970</v>
      </c>
      <c r="D34" s="25">
        <v>31466271</v>
      </c>
      <c r="E34" s="7">
        <f t="shared" si="2"/>
        <v>4481</v>
      </c>
      <c r="F34" s="25">
        <v>8867465</v>
      </c>
      <c r="G34" s="8">
        <f t="shared" si="3"/>
        <v>1774</v>
      </c>
      <c r="H34" s="12"/>
      <c r="I34" s="25">
        <v>2349</v>
      </c>
      <c r="J34" s="13">
        <f t="shared" si="4"/>
        <v>32.741</v>
      </c>
      <c r="K34" s="25">
        <v>22103</v>
      </c>
      <c r="L34" s="13">
        <f t="shared" si="5"/>
        <v>4.516</v>
      </c>
      <c r="M34" s="12"/>
      <c r="N34" s="7">
        <v>65014</v>
      </c>
      <c r="O34" s="13">
        <f t="shared" si="6"/>
        <v>3743.3155080213901</v>
      </c>
      <c r="P34" s="7">
        <v>242641</v>
      </c>
      <c r="Q34" s="13">
        <f t="shared" si="7"/>
        <v>33</v>
      </c>
      <c r="R34" s="7">
        <v>54459652</v>
      </c>
      <c r="S34" s="13">
        <f t="shared" si="8"/>
        <v>2299</v>
      </c>
      <c r="T34" s="12"/>
      <c r="U34" s="7">
        <v>72002</v>
      </c>
      <c r="V34" s="7">
        <f t="shared" si="9"/>
        <v>183</v>
      </c>
      <c r="W34" s="7">
        <v>2269</v>
      </c>
      <c r="X34" s="13">
        <f t="shared" si="37"/>
        <v>5</v>
      </c>
      <c r="Y34" s="7">
        <v>881</v>
      </c>
      <c r="Z34" s="13">
        <f t="shared" si="38"/>
        <v>9</v>
      </c>
      <c r="AA34" s="7">
        <v>857989</v>
      </c>
      <c r="AB34" s="7">
        <f t="shared" si="12"/>
        <v>5220000</v>
      </c>
      <c r="AC34" s="7">
        <v>372989</v>
      </c>
      <c r="AD34" s="7">
        <f t="shared" si="13"/>
        <v>4620000</v>
      </c>
      <c r="AE34" s="12"/>
      <c r="AF34" s="7">
        <v>45543</v>
      </c>
      <c r="AG34" s="7">
        <f t="shared" si="14"/>
        <v>0</v>
      </c>
      <c r="AH34" s="7">
        <v>253103</v>
      </c>
      <c r="AI34" s="13">
        <f t="shared" si="15"/>
        <v>61</v>
      </c>
      <c r="AJ34" s="7">
        <v>12022946</v>
      </c>
      <c r="AK34" s="13">
        <f>AJ34-AJ33</f>
        <v>3114</v>
      </c>
      <c r="AL34" s="7">
        <v>29048</v>
      </c>
      <c r="AM34" s="13">
        <f t="shared" si="17"/>
        <v>0</v>
      </c>
      <c r="AN34" s="7">
        <v>41385</v>
      </c>
      <c r="AO34" s="13">
        <f t="shared" si="18"/>
        <v>321</v>
      </c>
      <c r="AP34" s="12"/>
      <c r="AQ34" s="21">
        <v>643692</v>
      </c>
      <c r="AR34" s="21">
        <f t="shared" si="34"/>
        <v>40000</v>
      </c>
      <c r="AS34" s="21">
        <v>234978</v>
      </c>
      <c r="AT34" s="21">
        <f t="shared" si="19"/>
        <v>0</v>
      </c>
      <c r="AU34" s="21">
        <v>98656</v>
      </c>
      <c r="AV34" s="21">
        <f t="shared" si="20"/>
        <v>20000</v>
      </c>
      <c r="AW34" s="21">
        <v>269541</v>
      </c>
      <c r="AX34" s="21">
        <f t="shared" si="21"/>
        <v>0</v>
      </c>
      <c r="AY34" s="21">
        <v>487428</v>
      </c>
      <c r="AZ34" s="21">
        <f t="shared" si="22"/>
        <v>-4990000</v>
      </c>
      <c r="BA34" s="21">
        <v>19321</v>
      </c>
      <c r="BB34" s="21">
        <f t="shared" si="23"/>
        <v>0</v>
      </c>
      <c r="BC34" s="21">
        <v>485403</v>
      </c>
      <c r="BD34" s="21">
        <f t="shared" si="24"/>
        <v>80000</v>
      </c>
      <c r="BE34" s="21">
        <v>124015</v>
      </c>
      <c r="BF34" s="21">
        <f t="shared" si="25"/>
        <v>0</v>
      </c>
      <c r="BG34" s="12"/>
      <c r="BH34" s="21">
        <v>1072912</v>
      </c>
      <c r="BI34" s="21">
        <f t="shared" si="26"/>
        <v>418</v>
      </c>
      <c r="BJ34" s="21">
        <v>579370</v>
      </c>
      <c r="BK34" s="21">
        <f t="shared" si="27"/>
        <v>288</v>
      </c>
      <c r="BL34" s="21">
        <v>293319</v>
      </c>
      <c r="BM34" s="21">
        <f t="shared" si="28"/>
        <v>82</v>
      </c>
      <c r="BN34" s="21">
        <v>159593</v>
      </c>
      <c r="BO34" s="21">
        <f t="shared" si="29"/>
        <v>77</v>
      </c>
      <c r="BP34" s="21">
        <v>148762</v>
      </c>
      <c r="BQ34" s="21">
        <f t="shared" si="30"/>
        <v>32</v>
      </c>
      <c r="BR34" s="21">
        <v>90877</v>
      </c>
      <c r="BS34" s="21">
        <f t="shared" si="31"/>
        <v>11</v>
      </c>
      <c r="BT34" s="21">
        <v>513034</v>
      </c>
      <c r="BU34" s="21">
        <f t="shared" si="32"/>
        <v>51</v>
      </c>
      <c r="BV34" s="21">
        <v>2884</v>
      </c>
      <c r="BW34" s="21">
        <f t="shared" si="33"/>
        <v>0</v>
      </c>
      <c r="BX34" s="21">
        <v>379049</v>
      </c>
      <c r="BY34" s="21">
        <f t="shared" si="35"/>
        <v>6</v>
      </c>
      <c r="BZ34" s="12"/>
      <c r="CA34" s="7"/>
    </row>
    <row r="35" spans="1:79" ht="19.5" customHeight="1">
      <c r="A35" s="82"/>
      <c r="B35" s="83"/>
      <c r="C35" s="83"/>
      <c r="D35" s="83"/>
      <c r="E35" s="83"/>
      <c r="F35" s="83"/>
      <c r="G35" s="84"/>
      <c r="H35" s="29"/>
      <c r="I35" s="85"/>
      <c r="J35" s="86"/>
      <c r="K35" s="86"/>
      <c r="L35" s="87"/>
      <c r="M35" s="24"/>
      <c r="N35" s="88"/>
      <c r="O35" s="89"/>
      <c r="P35" s="89"/>
      <c r="Q35" s="89"/>
      <c r="R35" s="89"/>
      <c r="S35" s="90"/>
      <c r="T35" s="20"/>
      <c r="U35" s="85"/>
      <c r="V35" s="86"/>
      <c r="W35" s="86"/>
      <c r="X35" s="86"/>
      <c r="Y35" s="86"/>
      <c r="Z35" s="86"/>
      <c r="AA35" s="86"/>
      <c r="AB35" s="86"/>
      <c r="AC35" s="86"/>
      <c r="AD35" s="87"/>
      <c r="AE35" s="20"/>
      <c r="AF35" s="85"/>
      <c r="AG35" s="86"/>
      <c r="AH35" s="86"/>
      <c r="AI35" s="86"/>
      <c r="AJ35" s="86"/>
      <c r="AK35" s="86"/>
      <c r="AL35" s="86"/>
      <c r="AM35" s="86"/>
      <c r="AN35" s="86"/>
      <c r="AO35" s="87"/>
      <c r="AP35" s="20"/>
      <c r="AQ35" s="56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8"/>
      <c r="BG35" s="20"/>
      <c r="BH35" s="56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8"/>
      <c r="BX35" s="47"/>
      <c r="BY35" s="47"/>
      <c r="BZ35" s="20"/>
      <c r="CA35" s="19"/>
    </row>
    <row r="36" spans="1:79" ht="15.75">
      <c r="A36" s="26" t="s">
        <v>40</v>
      </c>
      <c r="B36" s="27"/>
      <c r="C36" s="28">
        <f>SUM(C4:C34)</f>
        <v>127143</v>
      </c>
      <c r="D36" s="27"/>
      <c r="E36" s="28">
        <f t="shared" ref="E36:G36" si="39">SUM(E4:E34)</f>
        <v>264938</v>
      </c>
      <c r="F36" s="27"/>
      <c r="G36" s="28">
        <f t="shared" si="39"/>
        <v>112455</v>
      </c>
      <c r="H36" s="36"/>
      <c r="I36" s="27"/>
      <c r="J36" s="15">
        <f>SUM(J4:J34)</f>
        <v>3771.3150000000001</v>
      </c>
      <c r="K36" s="27"/>
      <c r="L36" s="15">
        <f>SUM(L4:L34)</f>
        <v>233.80000000000183</v>
      </c>
      <c r="M36" s="37"/>
      <c r="N36" s="27"/>
      <c r="O36" s="41">
        <f>SUM(O4:O34)</f>
        <v>229679.14438502604</v>
      </c>
      <c r="P36" s="27"/>
      <c r="Q36" s="38">
        <f t="shared" ref="Q36" si="40">SUM(Q4:Q35)</f>
        <v>1795</v>
      </c>
      <c r="R36" s="27"/>
      <c r="S36" s="39">
        <f>SUM(S4:S35)</f>
        <v>174245</v>
      </c>
      <c r="T36" s="36"/>
      <c r="U36" s="27"/>
      <c r="V36" s="28">
        <f>SUM(V4:V34)</f>
        <v>10498</v>
      </c>
      <c r="W36" s="27"/>
      <c r="X36" s="28">
        <f>SUM(X4:X34)</f>
        <v>477</v>
      </c>
      <c r="Y36" s="27"/>
      <c r="Z36" s="28">
        <f>SUM(Z4:Z34)</f>
        <v>558</v>
      </c>
      <c r="AA36" s="27"/>
      <c r="AB36" s="28">
        <f>SUM(AB4:AB34)</f>
        <v>68010000</v>
      </c>
      <c r="AC36" s="27"/>
      <c r="AD36" s="28">
        <f>SUM(AD4:AD34)</f>
        <v>44040000</v>
      </c>
      <c r="AE36" s="36"/>
      <c r="AF36" s="27"/>
      <c r="AG36" s="28">
        <f>SUM(AG4:AG34)</f>
        <v>-21595</v>
      </c>
      <c r="AH36" s="27"/>
      <c r="AI36" s="15">
        <f>SUM(AI4:AI34)</f>
        <v>5006</v>
      </c>
      <c r="AJ36" s="27"/>
      <c r="AK36" s="15">
        <f>SUM(AK4:AK34)</f>
        <v>207419</v>
      </c>
      <c r="AL36" s="27"/>
      <c r="AM36" s="15">
        <f>SUM(AM4:AM34)</f>
        <v>68</v>
      </c>
      <c r="AN36" s="27"/>
      <c r="AO36" s="15">
        <f>SUM(AO4:AO34)</f>
        <v>24926</v>
      </c>
      <c r="AP36" s="36"/>
      <c r="AQ36" s="44"/>
      <c r="AR36" s="21">
        <f>SUM(AR4:AR34)</f>
        <v>68120000</v>
      </c>
      <c r="AS36" s="44"/>
      <c r="AT36" s="21">
        <f t="shared" ref="AT36:BB36" si="41">SUM(AT4:AT34)</f>
        <v>0</v>
      </c>
      <c r="AU36" s="44"/>
      <c r="AV36" s="21">
        <f t="shared" si="41"/>
        <v>22390000</v>
      </c>
      <c r="AW36" s="44"/>
      <c r="AX36" s="21">
        <f t="shared" si="41"/>
        <v>140000</v>
      </c>
      <c r="AY36" s="44"/>
      <c r="AZ36" s="21">
        <f t="shared" si="41"/>
        <v>15170000</v>
      </c>
      <c r="BA36" s="44"/>
      <c r="BB36" s="21">
        <f t="shared" si="41"/>
        <v>0</v>
      </c>
      <c r="BC36" s="44"/>
      <c r="BD36" s="21">
        <f>SUM(BD4:BD34)</f>
        <v>12140000</v>
      </c>
      <c r="BE36" s="44"/>
      <c r="BF36" s="21">
        <f>SUM(BF4:BF34)</f>
        <v>0</v>
      </c>
      <c r="BG36" s="20"/>
      <c r="BH36" s="44"/>
      <c r="BI36" s="21">
        <f>SUM(BI4:BI34)</f>
        <v>27558</v>
      </c>
      <c r="BJ36" s="44"/>
      <c r="BK36" s="21">
        <f t="shared" ref="BK36" si="42">SUM(BK4:BK34)</f>
        <v>15474</v>
      </c>
      <c r="BL36" s="44"/>
      <c r="BM36" s="21">
        <f t="shared" ref="BM36" si="43">SUM(BM4:BM34)</f>
        <v>5618</v>
      </c>
      <c r="BN36" s="44"/>
      <c r="BO36" s="21">
        <f t="shared" ref="BO36" si="44">SUM(BO4:BO34)</f>
        <v>4978</v>
      </c>
      <c r="BP36" s="44"/>
      <c r="BQ36" s="21">
        <f t="shared" ref="BQ36" si="45">SUM(BQ4:BQ34)</f>
        <v>1523</v>
      </c>
      <c r="BR36" s="44"/>
      <c r="BS36" s="21">
        <f t="shared" ref="BS36" si="46">SUM(BS4:BS34)</f>
        <v>440</v>
      </c>
      <c r="BT36" s="44"/>
      <c r="BU36" s="21">
        <f>SUM(BU4:BU34)</f>
        <v>3399</v>
      </c>
      <c r="BV36" s="44"/>
      <c r="BW36" s="21">
        <f>SUM(BW4:BW34)</f>
        <v>27</v>
      </c>
      <c r="BX36" s="44"/>
      <c r="BY36" s="21">
        <f>SUM(BY4:BY34)</f>
        <v>667</v>
      </c>
      <c r="BZ36" s="20"/>
      <c r="CA36" s="7"/>
    </row>
    <row r="37" spans="1:79">
      <c r="A37" s="21" t="s">
        <v>41</v>
      </c>
      <c r="B37" s="32"/>
      <c r="C37" s="30">
        <v>119023</v>
      </c>
      <c r="D37" s="32"/>
      <c r="E37" s="30">
        <v>27225</v>
      </c>
      <c r="F37" s="32"/>
      <c r="G37" s="30">
        <v>107231</v>
      </c>
      <c r="H37" s="31"/>
      <c r="I37" s="32"/>
      <c r="J37" s="30">
        <v>3813</v>
      </c>
      <c r="K37" s="32"/>
      <c r="L37" s="30">
        <v>235</v>
      </c>
      <c r="M37" s="31"/>
      <c r="N37" s="32"/>
      <c r="O37" s="30">
        <v>226604</v>
      </c>
      <c r="P37" s="32"/>
      <c r="Q37" s="30">
        <v>1315</v>
      </c>
      <c r="R37" s="32"/>
      <c r="S37" s="30">
        <v>340788</v>
      </c>
      <c r="T37" s="31"/>
      <c r="U37" s="32"/>
      <c r="V37" s="30">
        <v>11011</v>
      </c>
      <c r="W37" s="32"/>
      <c r="X37" s="30">
        <v>492</v>
      </c>
      <c r="Y37" s="32"/>
      <c r="Z37" s="30">
        <v>24</v>
      </c>
      <c r="AA37" s="43"/>
      <c r="AB37" s="30">
        <v>89840000</v>
      </c>
      <c r="AC37" s="43"/>
      <c r="AD37" s="30">
        <v>10000</v>
      </c>
      <c r="AE37" s="31">
        <v>12241</v>
      </c>
      <c r="AF37" s="32"/>
      <c r="AG37" s="30">
        <v>0</v>
      </c>
      <c r="AH37" s="32"/>
      <c r="AI37" s="30">
        <v>5067</v>
      </c>
      <c r="AJ37" s="32"/>
      <c r="AK37" s="30">
        <v>189032</v>
      </c>
      <c r="AL37" s="32"/>
      <c r="AM37" s="30">
        <v>30</v>
      </c>
      <c r="AN37" s="32"/>
      <c r="AO37" s="30">
        <v>24311</v>
      </c>
      <c r="AP37" s="40"/>
      <c r="AQ37" s="44"/>
      <c r="AR37" s="21">
        <v>106650000</v>
      </c>
      <c r="AS37" s="44"/>
      <c r="AT37" s="21">
        <v>0</v>
      </c>
      <c r="AU37" s="44"/>
      <c r="AV37" s="21">
        <v>37810000</v>
      </c>
      <c r="AW37" s="44"/>
      <c r="AX37" s="21">
        <v>0</v>
      </c>
      <c r="AY37" s="44"/>
      <c r="AZ37" s="21">
        <v>53060000</v>
      </c>
      <c r="BA37" s="44"/>
      <c r="BB37" s="21">
        <v>0</v>
      </c>
      <c r="BC37" s="44"/>
      <c r="BD37" s="21">
        <v>70750000</v>
      </c>
      <c r="BE37" s="44"/>
      <c r="BF37" s="21">
        <v>0</v>
      </c>
      <c r="BG37" s="46"/>
      <c r="BH37" s="44"/>
      <c r="BI37" s="21">
        <v>26141</v>
      </c>
      <c r="BJ37" s="44"/>
      <c r="BK37" s="21">
        <v>15327</v>
      </c>
      <c r="BL37" s="44"/>
      <c r="BM37" s="21">
        <v>5631</v>
      </c>
      <c r="BN37" s="44"/>
      <c r="BO37" s="21">
        <v>4855</v>
      </c>
      <c r="BP37" s="44"/>
      <c r="BQ37" s="21">
        <v>1539</v>
      </c>
      <c r="BR37" s="44"/>
      <c r="BS37" s="21">
        <v>423</v>
      </c>
      <c r="BT37" s="44"/>
      <c r="BU37" s="21">
        <v>3130</v>
      </c>
      <c r="BV37" s="44"/>
      <c r="BW37" s="21">
        <v>29</v>
      </c>
      <c r="BX37" s="44"/>
      <c r="BY37" s="21">
        <v>594</v>
      </c>
      <c r="BZ37" s="46"/>
      <c r="CA37" s="45"/>
    </row>
    <row r="38" spans="1:79" ht="15.75">
      <c r="A38" s="21" t="s">
        <v>42</v>
      </c>
      <c r="B38" s="22"/>
      <c r="C38" s="7">
        <f>C36-C37</f>
        <v>8120</v>
      </c>
      <c r="D38" s="22"/>
      <c r="E38" s="7">
        <f>E36-E37</f>
        <v>237713</v>
      </c>
      <c r="F38" s="22"/>
      <c r="G38" s="7">
        <f>G36-G37</f>
        <v>5224</v>
      </c>
      <c r="H38" s="12"/>
      <c r="I38" s="22"/>
      <c r="J38" s="13">
        <f>J36-J37</f>
        <v>-41.684999999999945</v>
      </c>
      <c r="K38" s="22"/>
      <c r="L38" s="13">
        <f>L36-L37</f>
        <v>-1.1999999999981696</v>
      </c>
      <c r="M38" s="12"/>
      <c r="N38" s="22"/>
      <c r="O38" s="7">
        <f>O36-O37</f>
        <v>3075.1443850260403</v>
      </c>
      <c r="P38" s="22"/>
      <c r="Q38" s="7">
        <f>Q36-Q37</f>
        <v>480</v>
      </c>
      <c r="R38" s="22"/>
      <c r="S38" s="13">
        <f>S36-S37</f>
        <v>-166543</v>
      </c>
      <c r="T38" s="12"/>
      <c r="U38" s="22"/>
      <c r="V38" s="7">
        <f>V36-V37</f>
        <v>-513</v>
      </c>
      <c r="W38" s="22"/>
      <c r="X38" s="7">
        <f>X36-X37</f>
        <v>-15</v>
      </c>
      <c r="Y38" s="22"/>
      <c r="Z38" s="7">
        <f>Z36-Z37</f>
        <v>534</v>
      </c>
      <c r="AA38" s="22"/>
      <c r="AB38" s="7">
        <f>AB36-AB37</f>
        <v>-21830000</v>
      </c>
      <c r="AC38" s="22"/>
      <c r="AD38" s="7">
        <f>AD36-AD37</f>
        <v>44030000</v>
      </c>
      <c r="AE38" s="12">
        <f t="shared" ref="AE38" si="47">AE36-AE37</f>
        <v>-12241</v>
      </c>
      <c r="AF38" s="22"/>
      <c r="AG38" s="7">
        <f>AG36-AG37</f>
        <v>-21595</v>
      </c>
      <c r="AH38" s="22"/>
      <c r="AI38" s="7">
        <f t="shared" ref="AI38:BF38" si="48">AI36-AI37</f>
        <v>-61</v>
      </c>
      <c r="AJ38" s="22"/>
      <c r="AK38" s="7">
        <f t="shared" si="48"/>
        <v>18387</v>
      </c>
      <c r="AL38" s="22"/>
      <c r="AM38" s="7">
        <f t="shared" si="48"/>
        <v>38</v>
      </c>
      <c r="AN38" s="22"/>
      <c r="AO38" s="7">
        <f t="shared" si="48"/>
        <v>615</v>
      </c>
      <c r="AP38" s="12"/>
      <c r="AQ38" s="22"/>
      <c r="AR38" s="7">
        <f t="shared" si="48"/>
        <v>-38530000</v>
      </c>
      <c r="AS38" s="22"/>
      <c r="AT38" s="7">
        <f t="shared" si="48"/>
        <v>0</v>
      </c>
      <c r="AU38" s="22"/>
      <c r="AV38" s="7">
        <f t="shared" si="48"/>
        <v>-15420000</v>
      </c>
      <c r="AW38" s="22"/>
      <c r="AX38" s="7">
        <f t="shared" si="48"/>
        <v>140000</v>
      </c>
      <c r="AY38" s="22"/>
      <c r="AZ38" s="7">
        <f t="shared" si="48"/>
        <v>-37890000</v>
      </c>
      <c r="BA38" s="22"/>
      <c r="BB38" s="7">
        <f t="shared" si="48"/>
        <v>0</v>
      </c>
      <c r="BC38" s="22"/>
      <c r="BD38" s="7">
        <f t="shared" si="48"/>
        <v>-58610000</v>
      </c>
      <c r="BE38" s="22"/>
      <c r="BF38" s="7">
        <f t="shared" si="48"/>
        <v>0</v>
      </c>
      <c r="BG38" s="46"/>
      <c r="BH38" s="22"/>
      <c r="BI38" s="7">
        <f t="shared" ref="BI38" si="49">BI36-BI37</f>
        <v>1417</v>
      </c>
      <c r="BJ38" s="22"/>
      <c r="BK38" s="7">
        <f t="shared" ref="BK38" si="50">BK36-BK37</f>
        <v>147</v>
      </c>
      <c r="BL38" s="22"/>
      <c r="BM38" s="7">
        <f t="shared" ref="BM38" si="51">BM36-BM37</f>
        <v>-13</v>
      </c>
      <c r="BN38" s="22"/>
      <c r="BO38" s="7">
        <f t="shared" ref="BO38" si="52">BO36-BO37</f>
        <v>123</v>
      </c>
      <c r="BP38" s="22"/>
      <c r="BQ38" s="7">
        <f t="shared" ref="BQ38" si="53">BQ36-BQ37</f>
        <v>-16</v>
      </c>
      <c r="BR38" s="22"/>
      <c r="BS38" s="7">
        <f t="shared" ref="BS38" si="54">BS36-BS37</f>
        <v>17</v>
      </c>
      <c r="BT38" s="22"/>
      <c r="BU38" s="7">
        <f t="shared" ref="BU38" si="55">BU36-BU37</f>
        <v>269</v>
      </c>
      <c r="BV38" s="22"/>
      <c r="BW38" s="7">
        <f t="shared" ref="BW38" si="56">BW36-BW37</f>
        <v>-2</v>
      </c>
      <c r="BX38" s="22"/>
      <c r="BY38" s="7">
        <f t="shared" ref="BY38" si="57">BY36-BY37</f>
        <v>73</v>
      </c>
      <c r="BZ38" s="46"/>
      <c r="CA38" s="45"/>
    </row>
    <row r="39" spans="1:79">
      <c r="A39" s="21" t="s">
        <v>43</v>
      </c>
      <c r="B39" s="35"/>
      <c r="C39" s="33">
        <f>C38/C37</f>
        <v>6.8222108332003054E-2</v>
      </c>
      <c r="D39" s="35"/>
      <c r="E39" s="33">
        <f>E38/E37</f>
        <v>8.7314233241505974</v>
      </c>
      <c r="F39" s="35"/>
      <c r="G39" s="33">
        <f>G38/G37</f>
        <v>4.8717255271330119E-2</v>
      </c>
      <c r="H39" s="34"/>
      <c r="I39" s="35"/>
      <c r="J39" s="33">
        <f>J38/J37</f>
        <v>-1.0932336742722251E-2</v>
      </c>
      <c r="K39" s="35"/>
      <c r="L39" s="33">
        <f>L38/L37</f>
        <v>-5.1063829787156151E-3</v>
      </c>
      <c r="M39" s="34"/>
      <c r="N39" s="35"/>
      <c r="O39" s="33">
        <f>O38/O37</f>
        <v>1.3570565325528411E-2</v>
      </c>
      <c r="P39" s="35"/>
      <c r="Q39" s="33">
        <f>Q38/Q37</f>
        <v>0.36501901140684412</v>
      </c>
      <c r="R39" s="35"/>
      <c r="S39" s="33">
        <f>S38/S37</f>
        <v>-0.4886997194736904</v>
      </c>
      <c r="T39" s="34"/>
      <c r="U39" s="35"/>
      <c r="V39" s="42">
        <f>V38/V37</f>
        <v>-4.6589773862501134E-2</v>
      </c>
      <c r="W39" s="35"/>
      <c r="X39" s="42">
        <f>X38/X37</f>
        <v>-3.048780487804878E-2</v>
      </c>
      <c r="Y39" s="35"/>
      <c r="Z39" s="42">
        <f>Z38/Z37</f>
        <v>22.25</v>
      </c>
      <c r="AA39" s="35"/>
      <c r="AB39" s="42">
        <f>AB38/AB37</f>
        <v>-0.24298753339269813</v>
      </c>
      <c r="AC39" s="35"/>
      <c r="AD39" s="42">
        <f>AD38/AD37</f>
        <v>4403</v>
      </c>
      <c r="AE39" s="34"/>
      <c r="AF39" s="35"/>
      <c r="AG39" s="33" t="e">
        <f>AG38/AG37</f>
        <v>#DIV/0!</v>
      </c>
      <c r="AH39" s="35"/>
      <c r="AI39" s="33">
        <f t="shared" ref="AI39:BF39" si="58">AI38/AI37</f>
        <v>-1.2038681665679889E-2</v>
      </c>
      <c r="AJ39" s="35"/>
      <c r="AK39" s="33">
        <f t="shared" si="58"/>
        <v>9.7269245418765082E-2</v>
      </c>
      <c r="AL39" s="35"/>
      <c r="AM39" s="33">
        <f t="shared" si="58"/>
        <v>1.2666666666666666</v>
      </c>
      <c r="AN39" s="35"/>
      <c r="AO39" s="33">
        <f t="shared" si="58"/>
        <v>2.5297190572168976E-2</v>
      </c>
      <c r="AP39" s="34"/>
      <c r="AQ39" s="35"/>
      <c r="AR39" s="33">
        <f t="shared" si="58"/>
        <v>-0.36127519924988277</v>
      </c>
      <c r="AS39" s="35"/>
      <c r="AT39" s="33" t="e">
        <f t="shared" si="58"/>
        <v>#DIV/0!</v>
      </c>
      <c r="AU39" s="35"/>
      <c r="AV39" s="33">
        <f t="shared" si="58"/>
        <v>-0.40782861676805077</v>
      </c>
      <c r="AW39" s="35"/>
      <c r="AX39" s="33" t="e">
        <f t="shared" si="58"/>
        <v>#DIV/0!</v>
      </c>
      <c r="AY39" s="35"/>
      <c r="AZ39" s="33">
        <f t="shared" si="58"/>
        <v>-0.71409724839804001</v>
      </c>
      <c r="BA39" s="35"/>
      <c r="BB39" s="33" t="e">
        <f t="shared" si="58"/>
        <v>#DIV/0!</v>
      </c>
      <c r="BC39" s="35"/>
      <c r="BD39" s="33">
        <f t="shared" si="58"/>
        <v>-0.82840989399293286</v>
      </c>
      <c r="BE39" s="35"/>
      <c r="BF39" s="33" t="e">
        <f t="shared" si="58"/>
        <v>#DIV/0!</v>
      </c>
      <c r="BG39" s="46"/>
      <c r="BH39" s="35"/>
      <c r="BI39" s="33">
        <f t="shared" ref="BI39" si="59">BI38/BI37</f>
        <v>5.4206036494395773E-2</v>
      </c>
      <c r="BJ39" s="35"/>
      <c r="BK39" s="33">
        <f t="shared" ref="BK39" si="60">BK38/BK37</f>
        <v>9.5909179878645532E-3</v>
      </c>
      <c r="BL39" s="35"/>
      <c r="BM39" s="33">
        <f t="shared" ref="BM39" si="61">BM38/BM37</f>
        <v>-2.3086485526549456E-3</v>
      </c>
      <c r="BN39" s="35"/>
      <c r="BO39" s="33">
        <f t="shared" ref="BO39" si="62">BO38/BO37</f>
        <v>2.5334706488156538E-2</v>
      </c>
      <c r="BP39" s="35"/>
      <c r="BQ39" s="33">
        <f t="shared" ref="BQ39" si="63">BQ38/BQ37</f>
        <v>-1.0396361273554255E-2</v>
      </c>
      <c r="BR39" s="35"/>
      <c r="BS39" s="33">
        <f t="shared" ref="BS39" si="64">BS38/BS37</f>
        <v>4.0189125295508277E-2</v>
      </c>
      <c r="BT39" s="35"/>
      <c r="BU39" s="33">
        <f t="shared" ref="BU39" si="65">BU38/BU37</f>
        <v>8.5942492012779551E-2</v>
      </c>
      <c r="BV39" s="35"/>
      <c r="BW39" s="33">
        <f t="shared" ref="BW39" si="66">BW38/BW37</f>
        <v>-6.8965517241379309E-2</v>
      </c>
      <c r="BX39" s="35"/>
      <c r="BY39" s="33">
        <f t="shared" ref="BY39" si="67">BY38/BY37</f>
        <v>0.12289562289562289</v>
      </c>
      <c r="BZ39" s="46"/>
      <c r="CA39" s="45"/>
    </row>
  </sheetData>
  <mergeCells count="89">
    <mergeCell ref="AQ35:BF35"/>
    <mergeCell ref="A35:G35"/>
    <mergeCell ref="I35:L35"/>
    <mergeCell ref="N35:S35"/>
    <mergeCell ref="U35:AD35"/>
    <mergeCell ref="AF35:AO35"/>
    <mergeCell ref="A1:A3"/>
    <mergeCell ref="R2:R3"/>
    <mergeCell ref="U2:U3"/>
    <mergeCell ref="W2:W3"/>
    <mergeCell ref="Y2:Y3"/>
    <mergeCell ref="I2:I3"/>
    <mergeCell ref="K2:K3"/>
    <mergeCell ref="N2:N3"/>
    <mergeCell ref="P2:P3"/>
    <mergeCell ref="I1:L1"/>
    <mergeCell ref="B1:G1"/>
    <mergeCell ref="N1:S1"/>
    <mergeCell ref="O2:O3"/>
    <mergeCell ref="Q2:Q3"/>
    <mergeCell ref="S2:S3"/>
    <mergeCell ref="J2:J3"/>
    <mergeCell ref="CA1:CA3"/>
    <mergeCell ref="AF2:AF3"/>
    <mergeCell ref="AH2:AH3"/>
    <mergeCell ref="AJ2:AJ3"/>
    <mergeCell ref="AL2:AL3"/>
    <mergeCell ref="AN2:AN3"/>
    <mergeCell ref="AF1:AN1"/>
    <mergeCell ref="AO2:AO3"/>
    <mergeCell ref="AQ2:AQ3"/>
    <mergeCell ref="AR2:AR3"/>
    <mergeCell ref="AS2:AS3"/>
    <mergeCell ref="AT2:AT3"/>
    <mergeCell ref="AQ1:AT1"/>
    <mergeCell ref="AU1:AX1"/>
    <mergeCell ref="AU2:AU3"/>
    <mergeCell ref="AV2:AV3"/>
    <mergeCell ref="L2:L3"/>
    <mergeCell ref="C2:C3"/>
    <mergeCell ref="B2:B3"/>
    <mergeCell ref="E2:E3"/>
    <mergeCell ref="F2:F3"/>
    <mergeCell ref="G2:G3"/>
    <mergeCell ref="D2:D3"/>
    <mergeCell ref="U1:AD1"/>
    <mergeCell ref="AG2:AG3"/>
    <mergeCell ref="AI2:AI3"/>
    <mergeCell ref="AK2:AK3"/>
    <mergeCell ref="AM2:AM3"/>
    <mergeCell ref="Z2:Z3"/>
    <mergeCell ref="X2:X3"/>
    <mergeCell ref="V2:V3"/>
    <mergeCell ref="AB2:AB3"/>
    <mergeCell ref="AD2:AD3"/>
    <mergeCell ref="AA2:AA3"/>
    <mergeCell ref="AC2:AC3"/>
    <mergeCell ref="AW2:AW3"/>
    <mergeCell ref="AX2:AX3"/>
    <mergeCell ref="AY1:BB1"/>
    <mergeCell ref="AY2:AY3"/>
    <mergeCell ref="AZ2:AZ3"/>
    <mergeCell ref="BA2:BA3"/>
    <mergeCell ref="BB2:BB3"/>
    <mergeCell ref="BC1:BF1"/>
    <mergeCell ref="BC2:BC3"/>
    <mergeCell ref="BD2:BD3"/>
    <mergeCell ref="BE2:BE3"/>
    <mergeCell ref="BF2:BF3"/>
    <mergeCell ref="BH35:BW35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X2:BX3"/>
    <mergeCell ref="BY2:BY3"/>
    <mergeCell ref="BH1:BY1"/>
    <mergeCell ref="BT2:BT3"/>
    <mergeCell ref="BU2:BU3"/>
    <mergeCell ref="BV2:BV3"/>
    <mergeCell ref="BW2:BW3"/>
  </mergeCells>
  <pageMargins left="0" right="0" top="0" bottom="0" header="0" footer="0"/>
  <pageSetup paperSize="5" scale="74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3" ma:contentTypeDescription="Create a new document." ma:contentTypeScope="" ma:versionID="4512b646ce50b6a094eb54bf724b0066">
  <xsd:schema xmlns:xsd="http://www.w3.org/2001/XMLSchema" xmlns:xs="http://www.w3.org/2001/XMLSchema" xmlns:p="http://schemas.microsoft.com/office/2006/metadata/properties" xmlns:ns2="e3f63b28-de07-48fa-b7b1-a0fc4c7d8ca0" xmlns:ns3="baa1c6d5-3c52-4404-a336-2822c00004da" targetNamespace="http://schemas.microsoft.com/office/2006/metadata/properties" ma:root="true" ma:fieldsID="f7e10943aad524a68bdaa4f27eb366f4" ns2:_="" ns3:_="">
    <xsd:import namespace="e3f63b28-de07-48fa-b7b1-a0fc4c7d8ca0"/>
    <xsd:import namespace="baa1c6d5-3c52-4404-a336-2822c0000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36a207d-84e1-44db-8fbb-6bfd1cb28478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B43E33-A257-4216-8482-121691CB86B0}"/>
</file>

<file path=customXml/itemProps2.xml><?xml version="1.0" encoding="utf-8"?>
<ds:datastoreItem xmlns:ds="http://schemas.openxmlformats.org/officeDocument/2006/customXml" ds:itemID="{E0F9F7C4-8B0B-4B5B-A7E2-8A16D2FFAE70}"/>
</file>

<file path=customXml/itemProps3.xml><?xml version="1.0" encoding="utf-8"?>
<ds:datastoreItem xmlns:ds="http://schemas.openxmlformats.org/officeDocument/2006/customXml" ds:itemID="{6247A8BB-DD77-41E3-80BD-EFC50C363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Baltimore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/>
  <cp:revision/>
  <dcterms:created xsi:type="dcterms:W3CDTF">2014-07-01T13:26:04Z</dcterms:created>
  <dcterms:modified xsi:type="dcterms:W3CDTF">2022-11-01T16:29:18Z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