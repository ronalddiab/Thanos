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4" i="3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" i="3"/>
  <c r="B32" i="3"/>
  <c r="F32" i="3"/>
  <c r="G32" i="3"/>
  <c r="H32" i="3"/>
  <c r="I32" i="3"/>
  <c r="J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3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E32" i="4"/>
  <c r="F32" i="4"/>
  <c r="G32" i="4"/>
  <c r="H32" i="4"/>
  <c r="I32" i="4"/>
  <c r="J32" i="4"/>
  <c r="K32" i="4"/>
  <c r="L32" i="4"/>
  <c r="N32" i="4"/>
  <c r="O32" i="4"/>
  <c r="E32" i="3" s="1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1" i="3"/>
  <c r="G24" i="3"/>
  <c r="G29" i="3"/>
  <c r="G2" i="3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E2" i="3" s="1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P3" i="4"/>
  <c r="E3" i="3" s="1"/>
  <c r="S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E6" i="3" s="1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E7" i="3" s="1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E9" i="3" s="1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E11" i="3" s="1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E15" i="3" s="1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E16" i="3" s="1"/>
  <c r="P16" i="4"/>
  <c r="Q16" i="4"/>
  <c r="R16" i="4"/>
  <c r="S16" i="4"/>
  <c r="U16" i="4"/>
  <c r="V16" i="4"/>
  <c r="W16" i="4"/>
  <c r="X16" i="4"/>
  <c r="Y16" i="4"/>
  <c r="Z16" i="4"/>
  <c r="K16" i="3"/>
  <c r="AA16" i="4"/>
  <c r="E17" i="4"/>
  <c r="F17" i="4"/>
  <c r="G17" i="4"/>
  <c r="H17" i="4"/>
  <c r="I17" i="4"/>
  <c r="J17" i="4"/>
  <c r="K17" i="4"/>
  <c r="L17" i="4"/>
  <c r="N17" i="4"/>
  <c r="O17" i="4"/>
  <c r="P17" i="4"/>
  <c r="E17" i="3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E18" i="3" s="1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E19" i="3" s="1"/>
  <c r="S19" i="4"/>
  <c r="U19" i="4"/>
  <c r="V19" i="4"/>
  <c r="W19" i="4"/>
  <c r="X19" i="4"/>
  <c r="Y19" i="4"/>
  <c r="Z19" i="4"/>
  <c r="K19" i="3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E26" i="3" s="1"/>
  <c r="P26" i="4"/>
  <c r="Q26" i="4"/>
  <c r="R26" i="4"/>
  <c r="S26" i="4"/>
  <c r="U26" i="4"/>
  <c r="V26" i="4"/>
  <c r="W26" i="4"/>
  <c r="X26" i="4"/>
  <c r="Y26" i="4"/>
  <c r="Z26" i="4"/>
  <c r="K26" i="3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F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/>
  <c r="T16" i="4"/>
  <c r="E25" i="3"/>
  <c r="E28" i="3" l="1"/>
  <c r="E24" i="3"/>
  <c r="E22" i="3"/>
  <c r="E8" i="3"/>
  <c r="E20" i="3"/>
  <c r="E12" i="3"/>
  <c r="E5" i="3"/>
  <c r="E29" i="3"/>
  <c r="E13" i="3"/>
  <c r="E31" i="3"/>
  <c r="E27" i="3"/>
  <c r="E21" i="3"/>
  <c r="E30" i="3"/>
  <c r="E23" i="3"/>
  <c r="E14" i="3"/>
  <c r="E10" i="3"/>
</calcChain>
</file>

<file path=xl/sharedStrings.xml><?xml version="1.0" encoding="utf-8"?>
<sst xmlns="http://schemas.openxmlformats.org/spreadsheetml/2006/main" count="142" uniqueCount="74">
  <si>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</si>
  <si>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</si>
  <si>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</si>
  <si>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</si>
  <si>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</si>
  <si>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</si>
  <si>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</si>
  <si>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</si>
  <si>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</si>
  <si>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Room Night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</si>
  <si>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</si>
  <si>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</si>
  <si>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</si>
  <si>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</si>
  <si>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</si>
  <si>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</si>
  <si>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</si>
  <si>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</si>
  <si>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</si>
  <si>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</si>
  <si>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</si>
  <si>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</si>
  <si>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</si>
  <si>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</si>
  <si>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</si>
  <si>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</si>
  <si>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</si>
  <si>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</si>
  <si>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</si>
  <si>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</si>
  <si>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</si>
  <si>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</si>
  <si>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</si>
  <si>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</si>
  <si>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</si>
  <si>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</si>
  <si>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</si>
  <si>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</si>
  <si>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</si>
  <si>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</si>
  <si>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</si>
  <si>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</si>
  <si>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</si>
  <si>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</si>
  <si>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Total</t>
  </si>
  <si>
    <t>Sitronel</t>
  </si>
  <si>
    <t>Zez</t>
  </si>
  <si>
    <t>TRUCK DELIVERY (KG)</t>
  </si>
  <si>
    <t>Sub Total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</si>
  <si>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</si>
  <si>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</si>
  <si>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</si>
  <si>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</si>
  <si>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</si>
  <si>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</si>
  <si>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</si>
  <si>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</si>
  <si>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</si>
  <si>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</si>
  <si>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</si>
  <si>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</si>
  <si>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</si>
  <si>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</si>
  <si>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</si>
  <si>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</si>
  <si>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</si>
  <si>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</si>
  <si>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</si>
  <si>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</si>
  <si>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</si>
  <si>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</si>
  <si>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4,5kg</t>
  </si>
  <si>
    <t>20kg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</si>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</sst>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0;[Red]0.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11" xfId="0" applyNumberFormat="1" applyFont="1" applyBorder="1"/>
    <xf numFmtId="2" fontId="12" fillId="0" borderId="11" xfId="0" applyNumberFormat="1" applyFont="1" applyBorder="1" applyAlignment="1">
      <alignment vertical="center" wrapText="1"/>
    </xf>
    <xf numFmtId="165" fontId="14" fillId="0" borderId="11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5" fillId="0" borderId="2" xfId="0" applyNumberFormat="1" applyFont="1" applyBorder="1" applyAlignment="1">
      <alignment horizontal="right"/>
    </xf>
    <xf numFmtId="4" fontId="12" fillId="0" borderId="7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5" fillId="0" borderId="7" xfId="0" applyNumberFormat="1" applyFont="1" applyBorder="1" applyAlignment="1">
      <alignment horizontal="right"/>
    </xf>
    <xf numFmtId="165" fontId="14" fillId="0" borderId="11" xfId="0" applyNumberFormat="1" applyFont="1" applyBorder="1" applyAlignment="1">
      <alignment horizontal="right" wrapText="1"/>
    </xf>
    <xf numFmtId="4" fontId="15" fillId="0" borderId="12" xfId="0" applyNumberFormat="1" applyFont="1" applyBorder="1" applyAlignment="1">
      <alignment horizontal="right"/>
    </xf>
    <xf numFmtId="4" fontId="15" fillId="0" borderId="10" xfId="0" applyNumberFormat="1" applyFont="1" applyBorder="1" applyAlignment="1">
      <alignment horizontal="right"/>
    </xf>
    <xf numFmtId="2" fontId="15" fillId="0" borderId="13" xfId="0" applyNumberFormat="1" applyFont="1" applyBorder="1"/>
    <xf numFmtId="2" fontId="15" fillId="0" borderId="11" xfId="0" applyNumberFormat="1" applyFont="1" applyBorder="1"/>
    <xf numFmtId="2" fontId="15" fillId="0" borderId="7" xfId="0" applyNumberFormat="1" applyFont="1" applyBorder="1"/>
    <xf numFmtId="2" fontId="15" fillId="0" borderId="2" xfId="0" applyNumberFormat="1" applyFont="1" applyBorder="1"/>
    <xf numFmtId="2" fontId="15" fillId="0" borderId="6" xfId="0" applyNumberFormat="1" applyFont="1" applyBorder="1"/>
    <xf numFmtId="2" fontId="15" fillId="0" borderId="9" xfId="0" applyNumberFormat="1" applyFont="1" applyBorder="1"/>
    <xf numFmtId="4" fontId="15" fillId="0" borderId="9" xfId="0" applyNumberFormat="1" applyFont="1" applyBorder="1" applyAlignment="1">
      <alignment horizontal="right"/>
    </xf>
    <xf numFmtId="3" fontId="12" fillId="0" borderId="9" xfId="0" applyNumberFormat="1" applyFont="1" applyBorder="1"/>
    <xf numFmtId="0" fontId="12" fillId="0" borderId="9" xfId="0" applyFont="1" applyBorder="1"/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M9" sqref="M9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34</v>
      </c>
      <c r="H1" s="6" t="s">
        <v>35</v>
      </c>
      <c r="I1" s="8" t="s">
        <v>6</v>
      </c>
      <c r="J1" s="6" t="s">
        <v>7</v>
      </c>
      <c r="K1" s="29" t="s">
        <v>36</v>
      </c>
      <c r="L1" s="6" t="s">
        <v>37</v>
      </c>
      <c r="M1" s="8" t="s">
        <v>73</v>
      </c>
    </row>
    <row r="2" spans="1:13" s="13" customFormat="1" x14ac:dyDescent="0.25">
      <c r="A2" s="1" t="s">
        <v>11</v>
      </c>
      <c r="B2" s="10">
        <v>1</v>
      </c>
      <c r="C2" s="11">
        <v>12</v>
      </c>
      <c r="D2" s="1">
        <v>2020</v>
      </c>
      <c r="E2" s="12">
        <f>'Submetering '!O2+'Submetering '!P2+'Submetering '!Q2+'Submetering '!R2+'Submetering '!S2</f>
        <v>27041</v>
      </c>
      <c r="F2" s="11">
        <v>5.79</v>
      </c>
      <c r="G2" s="12">
        <f>'Submetering '!AB2</f>
        <v>201.54838709677421</v>
      </c>
      <c r="H2" s="11">
        <v>18.899999999999999</v>
      </c>
      <c r="I2" s="12">
        <f>'FS Seychelles'!R3+'FS Seychelles'!T3+'FS Seychelles'!U3+'FS Seychelles'!V3</f>
        <v>408</v>
      </c>
      <c r="J2" s="11">
        <v>0</v>
      </c>
      <c r="K2" s="30">
        <f>'Submetering '!Z2</f>
        <v>43</v>
      </c>
      <c r="L2" s="11">
        <v>0</v>
      </c>
      <c r="M2" s="96">
        <f>'FS Seychelles'!B3</f>
        <v>52.46</v>
      </c>
    </row>
    <row r="3" spans="1:13" s="15" customFormat="1" x14ac:dyDescent="0.25">
      <c r="A3" s="1" t="s">
        <v>11</v>
      </c>
      <c r="B3" s="14">
        <f>B2+1</f>
        <v>2</v>
      </c>
      <c r="C3" s="11">
        <v>12</v>
      </c>
      <c r="D3" s="1">
        <v>2020</v>
      </c>
      <c r="E3" s="12">
        <f>'Submetering '!O3+'Submetering '!P3+'Submetering '!Q3+'Submetering '!R3+'Submetering '!S3</f>
        <v>39491</v>
      </c>
      <c r="F3" s="11">
        <f>F2</f>
        <v>5.79</v>
      </c>
      <c r="G3" s="12">
        <f>'Submetering '!AB3</f>
        <v>201.54838709677421</v>
      </c>
      <c r="H3" s="11">
        <f>H2</f>
        <v>18.899999999999999</v>
      </c>
      <c r="I3" s="12">
        <f>'FS Seychelles'!R4+'FS Seychelles'!T4+'FS Seychelles'!U4+'FS Seychelles'!V4</f>
        <v>414</v>
      </c>
      <c r="J3" s="11">
        <f>J2</f>
        <v>0</v>
      </c>
      <c r="K3" s="30">
        <f>'Submetering '!Z3</f>
        <v>66</v>
      </c>
      <c r="L3" s="11">
        <f>L2</f>
        <v>0</v>
      </c>
      <c r="M3" s="96">
        <f>'FS Seychelles'!B4</f>
        <v>57.38</v>
      </c>
    </row>
    <row r="4" spans="1:13" s="15" customFormat="1" x14ac:dyDescent="0.25">
      <c r="A4" s="1" t="s">
        <v>11</v>
      </c>
      <c r="B4" s="14">
        <f t="shared" ref="B4:B32" si="0">B3+1</f>
        <v>3</v>
      </c>
      <c r="C4" s="11">
        <v>12</v>
      </c>
      <c r="D4" s="1">
        <v>2020</v>
      </c>
      <c r="E4" s="12">
        <f>'Submetering '!O4+'Submetering '!P4+'Submetering '!Q4+'Submetering '!R4+'Submetering '!S4</f>
        <v>23321</v>
      </c>
      <c r="F4" s="11">
        <f t="shared" ref="F4:F32" si="1">F3</f>
        <v>5.79</v>
      </c>
      <c r="G4" s="12">
        <f>'Submetering '!AB4</f>
        <v>201.54838709677421</v>
      </c>
      <c r="H4" s="11">
        <f t="shared" ref="H4:H32" si="2">H3</f>
        <v>18.899999999999999</v>
      </c>
      <c r="I4" s="12">
        <f>'FS Seychelles'!R5+'FS Seychelles'!T5+'FS Seychelles'!U5+'FS Seychelles'!V5</f>
        <v>431</v>
      </c>
      <c r="J4" s="11">
        <f t="shared" ref="J4:L32" si="3">J3</f>
        <v>0</v>
      </c>
      <c r="K4" s="30">
        <f>'Submetering '!Z4</f>
        <v>57</v>
      </c>
      <c r="L4" s="11">
        <f t="shared" si="3"/>
        <v>0</v>
      </c>
      <c r="M4" s="96">
        <f>'FS Seychelles'!B5</f>
        <v>70.489999999999995</v>
      </c>
    </row>
    <row r="5" spans="1:13" s="15" customFormat="1" x14ac:dyDescent="0.25">
      <c r="A5" s="1" t="s">
        <v>11</v>
      </c>
      <c r="B5" s="14">
        <f t="shared" si="0"/>
        <v>4</v>
      </c>
      <c r="C5" s="11">
        <v>12</v>
      </c>
      <c r="D5" s="1">
        <v>2020</v>
      </c>
      <c r="E5" s="12">
        <f>'Submetering '!O5+'Submetering '!P5+'Submetering '!Q5+'Submetering '!R5+'Submetering '!S5</f>
        <v>27774</v>
      </c>
      <c r="F5" s="11">
        <f t="shared" si="1"/>
        <v>5.79</v>
      </c>
      <c r="G5" s="12">
        <f>'Submetering '!AB5</f>
        <v>201.54838709677421</v>
      </c>
      <c r="H5" s="11">
        <f t="shared" si="2"/>
        <v>18.899999999999999</v>
      </c>
      <c r="I5" s="12">
        <f>'FS Seychelles'!R6+'FS Seychelles'!T6+'FS Seychelles'!U6+'FS Seychelles'!V6</f>
        <v>502</v>
      </c>
      <c r="J5" s="11">
        <f t="shared" si="3"/>
        <v>0</v>
      </c>
      <c r="K5" s="30">
        <f>'Submetering '!Z5</f>
        <v>102</v>
      </c>
      <c r="L5" s="11">
        <f t="shared" si="3"/>
        <v>0</v>
      </c>
      <c r="M5" s="96">
        <f>'FS Seychelles'!B6</f>
        <v>70</v>
      </c>
    </row>
    <row r="6" spans="1:13" s="15" customFormat="1" x14ac:dyDescent="0.25">
      <c r="A6" s="1" t="s">
        <v>11</v>
      </c>
      <c r="B6" s="14">
        <f t="shared" si="0"/>
        <v>5</v>
      </c>
      <c r="C6" s="11">
        <v>12</v>
      </c>
      <c r="D6" s="1">
        <v>2020</v>
      </c>
      <c r="E6" s="12">
        <f>'Submetering '!O6+'Submetering '!P6+'Submetering '!Q6+'Submetering '!R6+'Submetering '!S6</f>
        <v>27629</v>
      </c>
      <c r="F6" s="11">
        <f t="shared" si="1"/>
        <v>5.79</v>
      </c>
      <c r="G6" s="12">
        <f>'Submetering '!AB6</f>
        <v>201.54838709677421</v>
      </c>
      <c r="H6" s="11">
        <f t="shared" si="2"/>
        <v>18.899999999999999</v>
      </c>
      <c r="I6" s="12">
        <f>'FS Seychelles'!R7+'FS Seychelles'!T7+'FS Seychelles'!U7+'FS Seychelles'!V7</f>
        <v>457</v>
      </c>
      <c r="J6" s="11">
        <f t="shared" si="3"/>
        <v>0</v>
      </c>
      <c r="K6" s="30">
        <f>'Submetering '!Z6</f>
        <v>122</v>
      </c>
      <c r="L6" s="11">
        <f t="shared" si="3"/>
        <v>0</v>
      </c>
      <c r="M6" s="96">
        <f>'FS Seychelles'!B7</f>
        <v>48.05</v>
      </c>
    </row>
    <row r="7" spans="1:13" s="15" customFormat="1" x14ac:dyDescent="0.25">
      <c r="A7" s="1" t="s">
        <v>11</v>
      </c>
      <c r="B7" s="14">
        <f t="shared" si="0"/>
        <v>6</v>
      </c>
      <c r="C7" s="11">
        <v>12</v>
      </c>
      <c r="D7" s="1">
        <v>2020</v>
      </c>
      <c r="E7" s="12">
        <f>'Submetering '!O7+'Submetering '!P7+'Submetering '!Q7+'Submetering '!R7+'Submetering '!S7</f>
        <v>26152</v>
      </c>
      <c r="F7" s="11">
        <f t="shared" si="1"/>
        <v>5.79</v>
      </c>
      <c r="G7" s="12">
        <f>'Submetering '!AB7</f>
        <v>201.54838709677421</v>
      </c>
      <c r="H7" s="11">
        <f t="shared" si="2"/>
        <v>18.899999999999999</v>
      </c>
      <c r="I7" s="12">
        <f>'FS Seychelles'!R8+'FS Seychelles'!T8+'FS Seychelles'!U8+'FS Seychelles'!V8</f>
        <v>484</v>
      </c>
      <c r="J7" s="11">
        <f t="shared" si="3"/>
        <v>0</v>
      </c>
      <c r="K7" s="30">
        <f>'Submetering '!Z7</f>
        <v>67</v>
      </c>
      <c r="L7" s="11">
        <f t="shared" si="3"/>
        <v>0</v>
      </c>
      <c r="M7" s="96">
        <f>'FS Seychelles'!B8</f>
        <v>54.55</v>
      </c>
    </row>
    <row r="8" spans="1:13" s="15" customFormat="1" x14ac:dyDescent="0.25">
      <c r="A8" s="1" t="s">
        <v>11</v>
      </c>
      <c r="B8" s="14">
        <f t="shared" si="0"/>
        <v>7</v>
      </c>
      <c r="C8" s="11">
        <v>12</v>
      </c>
      <c r="D8" s="1">
        <v>2020</v>
      </c>
      <c r="E8" s="12">
        <f>'Submetering '!O8+'Submetering '!P8+'Submetering '!Q8+'Submetering '!R8+'Submetering '!S8</f>
        <v>38871</v>
      </c>
      <c r="F8" s="11">
        <f t="shared" si="1"/>
        <v>5.79</v>
      </c>
      <c r="G8" s="12">
        <f>'Submetering '!AB8</f>
        <v>201.54838709677421</v>
      </c>
      <c r="H8" s="11">
        <f t="shared" si="2"/>
        <v>18.899999999999999</v>
      </c>
      <c r="I8" s="12">
        <f>'FS Seychelles'!R9+'FS Seychelles'!T9+'FS Seychelles'!U9+'FS Seychelles'!V9</f>
        <v>500</v>
      </c>
      <c r="J8" s="11">
        <f t="shared" si="3"/>
        <v>0</v>
      </c>
      <c r="K8" s="30">
        <f>'Submetering '!Z8</f>
        <v>110</v>
      </c>
      <c r="L8" s="11">
        <f t="shared" si="3"/>
        <v>0</v>
      </c>
      <c r="M8" s="96">
        <f>'FS Seychelles'!B9</f>
        <v>40.26</v>
      </c>
    </row>
    <row r="9" spans="1:13" s="15" customFormat="1" x14ac:dyDescent="0.25">
      <c r="A9" s="1" t="s">
        <v>11</v>
      </c>
      <c r="B9" s="14">
        <f t="shared" si="0"/>
        <v>8</v>
      </c>
      <c r="C9" s="11">
        <v>12</v>
      </c>
      <c r="D9" s="1">
        <v>2020</v>
      </c>
      <c r="E9" s="12">
        <f>'Submetering '!O9+'Submetering '!P9+'Submetering '!Q9+'Submetering '!R9+'Submetering '!S9</f>
        <v>24511</v>
      </c>
      <c r="F9" s="11">
        <f t="shared" si="1"/>
        <v>5.79</v>
      </c>
      <c r="G9" s="12">
        <f>'Submetering '!AB9</f>
        <v>201.54838709677421</v>
      </c>
      <c r="H9" s="11">
        <f t="shared" si="2"/>
        <v>18.899999999999999</v>
      </c>
      <c r="I9" s="12">
        <f>'FS Seychelles'!R10+'FS Seychelles'!T10+'FS Seychelles'!U10+'FS Seychelles'!V10</f>
        <v>416</v>
      </c>
      <c r="J9" s="11">
        <f t="shared" si="3"/>
        <v>0</v>
      </c>
      <c r="K9" s="30">
        <f>'Submetering '!Z9</f>
        <v>115</v>
      </c>
      <c r="L9" s="11">
        <f t="shared" si="3"/>
        <v>0</v>
      </c>
      <c r="M9" s="96">
        <f>'FS Seychelles'!B10</f>
        <v>35.06</v>
      </c>
    </row>
    <row r="10" spans="1:13" s="15" customFormat="1" x14ac:dyDescent="0.25">
      <c r="A10" s="1" t="s">
        <v>11</v>
      </c>
      <c r="B10" s="14">
        <f t="shared" si="0"/>
        <v>9</v>
      </c>
      <c r="C10" s="11">
        <v>12</v>
      </c>
      <c r="D10" s="1">
        <v>2020</v>
      </c>
      <c r="E10" s="12">
        <f>'Submetering '!O10+'Submetering '!P10+'Submetering '!Q10+'Submetering '!R10+'Submetering '!S10</f>
        <v>26837</v>
      </c>
      <c r="F10" s="11">
        <f t="shared" si="1"/>
        <v>5.79</v>
      </c>
      <c r="G10" s="12">
        <f>'Submetering '!AB10</f>
        <v>201.54838709677421</v>
      </c>
      <c r="H10" s="11">
        <f t="shared" si="2"/>
        <v>18.899999999999999</v>
      </c>
      <c r="I10" s="12">
        <f>'FS Seychelles'!R11+'FS Seychelles'!T11+'FS Seychelles'!U11+'FS Seychelles'!V11</f>
        <v>482</v>
      </c>
      <c r="J10" s="11">
        <f t="shared" si="3"/>
        <v>0</v>
      </c>
      <c r="K10" s="30">
        <f>'Submetering '!Z10</f>
        <v>83</v>
      </c>
      <c r="L10" s="11">
        <f t="shared" si="3"/>
        <v>0</v>
      </c>
      <c r="M10" s="96">
        <f>'FS Seychelles'!B11</f>
        <v>35.06</v>
      </c>
    </row>
    <row r="11" spans="1:13" s="15" customFormat="1" x14ac:dyDescent="0.25">
      <c r="A11" s="1" t="s">
        <v>11</v>
      </c>
      <c r="B11" s="14">
        <f t="shared" si="0"/>
        <v>10</v>
      </c>
      <c r="C11" s="11">
        <v>12</v>
      </c>
      <c r="D11" s="1">
        <v>2020</v>
      </c>
      <c r="E11" s="12">
        <f>'Submetering '!O11+'Submetering '!P11+'Submetering '!Q11+'Submetering '!R11+'Submetering '!S11</f>
        <v>14526</v>
      </c>
      <c r="F11" s="11">
        <f t="shared" si="1"/>
        <v>5.79</v>
      </c>
      <c r="G11" s="12">
        <f>'Submetering '!AB11</f>
        <v>201.54838709677421</v>
      </c>
      <c r="H11" s="11">
        <f t="shared" si="2"/>
        <v>18.899999999999999</v>
      </c>
      <c r="I11" s="12">
        <f>'FS Seychelles'!R12+'FS Seychelles'!T12+'FS Seychelles'!U12+'FS Seychelles'!V12</f>
        <v>431</v>
      </c>
      <c r="J11" s="11">
        <f t="shared" si="3"/>
        <v>0</v>
      </c>
      <c r="K11" s="30">
        <f>'Submetering '!Z11</f>
        <v>13</v>
      </c>
      <c r="L11" s="11">
        <f t="shared" si="3"/>
        <v>0</v>
      </c>
      <c r="M11" s="96">
        <f>'FS Seychelles'!B12</f>
        <v>43.16</v>
      </c>
    </row>
    <row r="12" spans="1:13" s="15" customFormat="1" x14ac:dyDescent="0.25">
      <c r="A12" s="1" t="s">
        <v>11</v>
      </c>
      <c r="B12" s="14">
        <f t="shared" si="0"/>
        <v>11</v>
      </c>
      <c r="C12" s="11">
        <v>12</v>
      </c>
      <c r="D12" s="1">
        <v>2020</v>
      </c>
      <c r="E12" s="12">
        <f>'Submetering '!O12+'Submetering '!P12+'Submetering '!Q12+'Submetering '!R12+'Submetering '!S12</f>
        <v>29124</v>
      </c>
      <c r="F12" s="11">
        <f t="shared" si="1"/>
        <v>5.79</v>
      </c>
      <c r="G12" s="12">
        <f>'Submetering '!AB12</f>
        <v>201.54838709677421</v>
      </c>
      <c r="H12" s="11">
        <f t="shared" si="2"/>
        <v>18.899999999999999</v>
      </c>
      <c r="I12" s="12">
        <f>'FS Seychelles'!R13+'FS Seychelles'!T13+'FS Seychelles'!U13+'FS Seychelles'!V13</f>
        <v>489</v>
      </c>
      <c r="J12" s="11">
        <f t="shared" si="3"/>
        <v>0</v>
      </c>
      <c r="K12" s="30">
        <f>'Submetering '!Z12</f>
        <v>125</v>
      </c>
      <c r="L12" s="11">
        <f t="shared" si="3"/>
        <v>0</v>
      </c>
      <c r="M12" s="96">
        <f>'FS Seychelles'!B13</f>
        <v>60</v>
      </c>
    </row>
    <row r="13" spans="1:13" s="15" customFormat="1" x14ac:dyDescent="0.25">
      <c r="A13" s="1" t="s">
        <v>11</v>
      </c>
      <c r="B13" s="14">
        <f t="shared" si="0"/>
        <v>12</v>
      </c>
      <c r="C13" s="11">
        <v>12</v>
      </c>
      <c r="D13" s="1">
        <v>2020</v>
      </c>
      <c r="E13" s="12">
        <f>'Submetering '!O13+'Submetering '!P13+'Submetering '!Q13+'Submetering '!R13+'Submetering '!S13</f>
        <v>25666</v>
      </c>
      <c r="F13" s="11">
        <f t="shared" si="1"/>
        <v>5.79</v>
      </c>
      <c r="G13" s="12">
        <f>'Submetering '!AB13</f>
        <v>201.54838709677421</v>
      </c>
      <c r="H13" s="11">
        <f t="shared" si="2"/>
        <v>18.899999999999999</v>
      </c>
      <c r="I13" s="12">
        <f>'FS Seychelles'!R14+'FS Seychelles'!T14+'FS Seychelles'!U14+'FS Seychelles'!V14</f>
        <v>487</v>
      </c>
      <c r="J13" s="11">
        <f t="shared" si="3"/>
        <v>0</v>
      </c>
      <c r="K13" s="30">
        <f>'Submetering '!Z13</f>
        <v>120</v>
      </c>
      <c r="L13" s="11">
        <f t="shared" si="3"/>
        <v>0</v>
      </c>
      <c r="M13" s="96">
        <f>'FS Seychelles'!B14</f>
        <v>60</v>
      </c>
    </row>
    <row r="14" spans="1:13" s="15" customFormat="1" x14ac:dyDescent="0.25">
      <c r="A14" s="1" t="s">
        <v>11</v>
      </c>
      <c r="B14" s="14">
        <f t="shared" si="0"/>
        <v>13</v>
      </c>
      <c r="C14" s="11">
        <v>12</v>
      </c>
      <c r="D14" s="1">
        <v>2020</v>
      </c>
      <c r="E14" s="12">
        <f>'Submetering '!O14+'Submetering '!P14+'Submetering '!Q14+'Submetering '!R14+'Submetering '!S14</f>
        <v>29199</v>
      </c>
      <c r="F14" s="11">
        <f t="shared" si="1"/>
        <v>5.79</v>
      </c>
      <c r="G14" s="12">
        <f>'Submetering '!AB14</f>
        <v>201.54838709677421</v>
      </c>
      <c r="H14" s="11">
        <f t="shared" si="2"/>
        <v>18.899999999999999</v>
      </c>
      <c r="I14" s="12">
        <f>'FS Seychelles'!R15+'FS Seychelles'!T15+'FS Seychelles'!U15+'FS Seychelles'!V15</f>
        <v>466</v>
      </c>
      <c r="J14" s="11">
        <f t="shared" si="3"/>
        <v>0</v>
      </c>
      <c r="K14" s="30">
        <f>'Submetering '!Z14</f>
        <v>122</v>
      </c>
      <c r="L14" s="11">
        <f t="shared" si="3"/>
        <v>0</v>
      </c>
      <c r="M14" s="96">
        <f>'FS Seychelles'!B15</f>
        <v>67.37</v>
      </c>
    </row>
    <row r="15" spans="1:13" s="15" customFormat="1" x14ac:dyDescent="0.25">
      <c r="A15" s="1" t="s">
        <v>11</v>
      </c>
      <c r="B15" s="14">
        <f t="shared" si="0"/>
        <v>14</v>
      </c>
      <c r="C15" s="11">
        <v>12</v>
      </c>
      <c r="D15" s="1">
        <v>2020</v>
      </c>
      <c r="E15" s="12">
        <f>'Submetering '!O15+'Submetering '!P15+'Submetering '!Q15+'Submetering '!R15+'Submetering '!S15</f>
        <v>32213</v>
      </c>
      <c r="F15" s="11">
        <f t="shared" si="1"/>
        <v>5.79</v>
      </c>
      <c r="G15" s="12">
        <f>'Submetering '!AB15</f>
        <v>201.54838709677421</v>
      </c>
      <c r="H15" s="11">
        <f t="shared" si="2"/>
        <v>18.899999999999999</v>
      </c>
      <c r="I15" s="12">
        <f>'FS Seychelles'!R16+'FS Seychelles'!T16+'FS Seychelles'!U16+'FS Seychelles'!V16</f>
        <v>481</v>
      </c>
      <c r="J15" s="11">
        <f t="shared" si="3"/>
        <v>0</v>
      </c>
      <c r="K15" s="30">
        <f>'Submetering '!Z15</f>
        <v>113</v>
      </c>
      <c r="L15" s="11">
        <f t="shared" si="3"/>
        <v>0</v>
      </c>
      <c r="M15" s="96">
        <f>'FS Seychelles'!B16</f>
        <v>95.08</v>
      </c>
    </row>
    <row r="16" spans="1:13" s="15" customFormat="1" x14ac:dyDescent="0.25">
      <c r="A16" s="1" t="s">
        <v>11</v>
      </c>
      <c r="B16" s="14">
        <f t="shared" si="0"/>
        <v>15</v>
      </c>
      <c r="C16" s="11">
        <v>12</v>
      </c>
      <c r="D16" s="1">
        <v>2020</v>
      </c>
      <c r="E16" s="12">
        <f>'Submetering '!O16+'Submetering '!P16+'Submetering '!Q16+'Submetering '!R16+'Submetering '!S16</f>
        <v>39950</v>
      </c>
      <c r="F16" s="11">
        <f t="shared" si="1"/>
        <v>5.79</v>
      </c>
      <c r="G16" s="12">
        <f>'Submetering '!AB16</f>
        <v>201.54838709677421</v>
      </c>
      <c r="H16" s="11">
        <f t="shared" si="2"/>
        <v>18.899999999999999</v>
      </c>
      <c r="I16" s="12">
        <f>'FS Seychelles'!R17+'FS Seychelles'!T17+'FS Seychelles'!U17+'FS Seychelles'!V17</f>
        <v>593</v>
      </c>
      <c r="J16" s="11">
        <f t="shared" si="3"/>
        <v>0</v>
      </c>
      <c r="K16" s="30">
        <f>'Submetering '!Z16</f>
        <v>125</v>
      </c>
      <c r="L16" s="11">
        <f t="shared" si="3"/>
        <v>0</v>
      </c>
      <c r="M16" s="96">
        <f>'FS Seychelles'!B17</f>
        <v>92.75</v>
      </c>
    </row>
    <row r="17" spans="1:13" s="15" customFormat="1" x14ac:dyDescent="0.25">
      <c r="A17" s="1" t="s">
        <v>11</v>
      </c>
      <c r="B17" s="14">
        <f t="shared" si="0"/>
        <v>16</v>
      </c>
      <c r="C17" s="11">
        <v>12</v>
      </c>
      <c r="D17" s="1">
        <v>2020</v>
      </c>
      <c r="E17" s="12">
        <f>'Submetering '!O17+'Submetering '!P17+'Submetering '!Q17+'Submetering '!R17+'Submetering '!S17</f>
        <v>19069</v>
      </c>
      <c r="F17" s="11">
        <f t="shared" si="1"/>
        <v>5.79</v>
      </c>
      <c r="G17" s="12">
        <f>'Submetering '!AB17</f>
        <v>201.54838709677421</v>
      </c>
      <c r="H17" s="11">
        <f t="shared" si="2"/>
        <v>18.899999999999999</v>
      </c>
      <c r="I17" s="12">
        <f>'FS Seychelles'!R18+'FS Seychelles'!T18+'FS Seychelles'!U18+'FS Seychelles'!V18</f>
        <v>563</v>
      </c>
      <c r="J17" s="11">
        <f t="shared" si="3"/>
        <v>0</v>
      </c>
      <c r="K17" s="30">
        <f>'Submetering '!Z17</f>
        <v>118</v>
      </c>
      <c r="L17" s="11">
        <f t="shared" si="3"/>
        <v>0</v>
      </c>
      <c r="M17" s="96">
        <f>'FS Seychelles'!B18</f>
        <v>80.28</v>
      </c>
    </row>
    <row r="18" spans="1:13" s="15" customFormat="1" x14ac:dyDescent="0.25">
      <c r="A18" s="1" t="s">
        <v>11</v>
      </c>
      <c r="B18" s="14">
        <f t="shared" si="0"/>
        <v>17</v>
      </c>
      <c r="C18" s="11">
        <v>12</v>
      </c>
      <c r="D18" s="1">
        <v>2020</v>
      </c>
      <c r="E18" s="12">
        <f>'Submetering '!O18+'Submetering '!P18+'Submetering '!Q18+'Submetering '!R18+'Submetering '!S18</f>
        <v>28892</v>
      </c>
      <c r="F18" s="11">
        <f t="shared" si="1"/>
        <v>5.79</v>
      </c>
      <c r="G18" s="12">
        <f>'Submetering '!AB18</f>
        <v>201.54838709677421</v>
      </c>
      <c r="H18" s="11">
        <f t="shared" si="2"/>
        <v>18.899999999999999</v>
      </c>
      <c r="I18" s="12">
        <f>'FS Seychelles'!R19+'FS Seychelles'!T19+'FS Seychelles'!U19+'FS Seychelles'!V19</f>
        <v>553</v>
      </c>
      <c r="J18" s="11">
        <f t="shared" si="3"/>
        <v>0</v>
      </c>
      <c r="K18" s="30">
        <f>'Submetering '!Z18</f>
        <v>121</v>
      </c>
      <c r="L18" s="11">
        <f t="shared" si="3"/>
        <v>0</v>
      </c>
      <c r="M18" s="96">
        <f>'FS Seychelles'!B19</f>
        <v>86.15</v>
      </c>
    </row>
    <row r="19" spans="1:13" s="15" customFormat="1" x14ac:dyDescent="0.25">
      <c r="A19" s="1" t="s">
        <v>11</v>
      </c>
      <c r="B19" s="14">
        <f t="shared" si="0"/>
        <v>18</v>
      </c>
      <c r="C19" s="11">
        <v>12</v>
      </c>
      <c r="D19" s="1">
        <v>2020</v>
      </c>
      <c r="E19" s="12">
        <f>'Submetering '!O19+'Submetering '!P19+'Submetering '!Q19+'Submetering '!R19+'Submetering '!S19</f>
        <v>29874</v>
      </c>
      <c r="F19" s="11">
        <f t="shared" si="1"/>
        <v>5.79</v>
      </c>
      <c r="G19" s="12">
        <f>'Submetering '!AB19</f>
        <v>201.54838709677421</v>
      </c>
      <c r="H19" s="11">
        <f t="shared" si="2"/>
        <v>18.899999999999999</v>
      </c>
      <c r="I19" s="12">
        <f>'FS Seychelles'!R20+'FS Seychelles'!T20+'FS Seychelles'!U20+'FS Seychelles'!V20</f>
        <v>516</v>
      </c>
      <c r="J19" s="11">
        <f t="shared" si="3"/>
        <v>0</v>
      </c>
      <c r="K19" s="30">
        <f>'Submetering '!Z19</f>
        <v>117</v>
      </c>
      <c r="L19" s="11">
        <f t="shared" si="3"/>
        <v>0</v>
      </c>
      <c r="M19" s="96">
        <f>'FS Seychelles'!B20</f>
        <v>90</v>
      </c>
    </row>
    <row r="20" spans="1:13" s="15" customFormat="1" x14ac:dyDescent="0.25">
      <c r="A20" s="1" t="s">
        <v>11</v>
      </c>
      <c r="B20" s="14">
        <f t="shared" si="0"/>
        <v>19</v>
      </c>
      <c r="C20" s="11">
        <v>12</v>
      </c>
      <c r="D20" s="1">
        <v>2020</v>
      </c>
      <c r="E20" s="12">
        <f>'Submetering '!O20+'Submetering '!P20+'Submetering '!Q20+'Submetering '!R20+'Submetering '!S20</f>
        <v>33883</v>
      </c>
      <c r="F20" s="11">
        <f t="shared" si="1"/>
        <v>5.79</v>
      </c>
      <c r="G20" s="12">
        <f>'Submetering '!AB20</f>
        <v>201.54838709677421</v>
      </c>
      <c r="H20" s="11">
        <f t="shared" si="2"/>
        <v>18.899999999999999</v>
      </c>
      <c r="I20" s="12">
        <f>'FS Seychelles'!R21+'FS Seychelles'!T21+'FS Seychelles'!U21+'FS Seychelles'!V21</f>
        <v>572</v>
      </c>
      <c r="J20" s="11">
        <f t="shared" si="3"/>
        <v>0</v>
      </c>
      <c r="K20" s="30">
        <f>'Submetering '!Z20</f>
        <v>117</v>
      </c>
      <c r="L20" s="11">
        <f t="shared" si="3"/>
        <v>0</v>
      </c>
      <c r="M20" s="96">
        <f>'FS Seychelles'!B21</f>
        <v>72</v>
      </c>
    </row>
    <row r="21" spans="1:13" s="15" customFormat="1" x14ac:dyDescent="0.25">
      <c r="A21" s="1" t="s">
        <v>11</v>
      </c>
      <c r="B21" s="14">
        <f t="shared" si="0"/>
        <v>20</v>
      </c>
      <c r="C21" s="11">
        <v>12</v>
      </c>
      <c r="D21" s="1">
        <v>2020</v>
      </c>
      <c r="E21" s="12">
        <f>'Submetering '!O21+'Submetering '!P21+'Submetering '!Q21+'Submetering '!R21+'Submetering '!S21</f>
        <v>32555</v>
      </c>
      <c r="F21" s="11">
        <f t="shared" si="1"/>
        <v>5.79</v>
      </c>
      <c r="G21" s="12">
        <f>'Submetering '!AB21</f>
        <v>201.54838709677421</v>
      </c>
      <c r="H21" s="11">
        <f t="shared" si="2"/>
        <v>18.899999999999999</v>
      </c>
      <c r="I21" s="12">
        <f>'FS Seychelles'!R22+'FS Seychelles'!T22+'FS Seychelles'!U22+'FS Seychelles'!V22</f>
        <v>618</v>
      </c>
      <c r="J21" s="11">
        <f t="shared" si="3"/>
        <v>0</v>
      </c>
      <c r="K21" s="30">
        <f>'Submetering '!Z21</f>
        <v>136</v>
      </c>
      <c r="L21" s="11">
        <f t="shared" si="3"/>
        <v>0</v>
      </c>
      <c r="M21" s="96">
        <f>'FS Seychelles'!B22</f>
        <v>72.22</v>
      </c>
    </row>
    <row r="22" spans="1:13" s="15" customFormat="1" x14ac:dyDescent="0.25">
      <c r="A22" s="1" t="s">
        <v>11</v>
      </c>
      <c r="B22" s="14">
        <f t="shared" si="0"/>
        <v>21</v>
      </c>
      <c r="C22" s="11">
        <v>12</v>
      </c>
      <c r="D22" s="1">
        <v>2020</v>
      </c>
      <c r="E22" s="12">
        <f>'Submetering '!O22+'Submetering '!P22+'Submetering '!Q22+'Submetering '!R22+'Submetering '!S22</f>
        <v>32833</v>
      </c>
      <c r="F22" s="11">
        <f t="shared" si="1"/>
        <v>5.79</v>
      </c>
      <c r="G22" s="12">
        <f>'Submetering '!AB22</f>
        <v>201.54838709677421</v>
      </c>
      <c r="H22" s="11">
        <f t="shared" si="2"/>
        <v>18.899999999999999</v>
      </c>
      <c r="I22" s="12">
        <f>'FS Seychelles'!R23+'FS Seychelles'!T23+'FS Seychelles'!U23+'FS Seychelles'!V23</f>
        <v>556</v>
      </c>
      <c r="J22" s="11">
        <f t="shared" si="3"/>
        <v>0</v>
      </c>
      <c r="K22" s="30">
        <f>'Submetering '!Z22</f>
        <v>109</v>
      </c>
      <c r="L22" s="11">
        <f t="shared" si="3"/>
        <v>0</v>
      </c>
      <c r="M22" s="96">
        <f>'FS Seychelles'!B23</f>
        <v>61.97</v>
      </c>
    </row>
    <row r="23" spans="1:13" s="15" customFormat="1" x14ac:dyDescent="0.25">
      <c r="A23" s="1" t="s">
        <v>11</v>
      </c>
      <c r="B23" s="14">
        <f t="shared" si="0"/>
        <v>22</v>
      </c>
      <c r="C23" s="11">
        <v>12</v>
      </c>
      <c r="D23" s="1">
        <v>2020</v>
      </c>
      <c r="E23" s="12">
        <f>'Submetering '!O23+'Submetering '!P23+'Submetering '!Q23+'Submetering '!R23+'Submetering '!S23</f>
        <v>25640</v>
      </c>
      <c r="F23" s="11">
        <f t="shared" si="1"/>
        <v>5.79</v>
      </c>
      <c r="G23" s="12">
        <f>'Submetering '!AB23</f>
        <v>201.54838709677421</v>
      </c>
      <c r="H23" s="11">
        <f t="shared" si="2"/>
        <v>18.899999999999999</v>
      </c>
      <c r="I23" s="12">
        <f>'FS Seychelles'!R24+'FS Seychelles'!T24+'FS Seychelles'!U24+'FS Seychelles'!V24</f>
        <v>674</v>
      </c>
      <c r="J23" s="11">
        <f t="shared" si="3"/>
        <v>0</v>
      </c>
      <c r="K23" s="30">
        <f>'Submetering '!Z23</f>
        <v>119</v>
      </c>
      <c r="L23" s="11">
        <f t="shared" si="3"/>
        <v>0</v>
      </c>
      <c r="M23" s="96">
        <f>'FS Seychelles'!B24</f>
        <v>46.32</v>
      </c>
    </row>
    <row r="24" spans="1:13" s="15" customFormat="1" x14ac:dyDescent="0.25">
      <c r="A24" s="1" t="s">
        <v>11</v>
      </c>
      <c r="B24" s="14">
        <f t="shared" si="0"/>
        <v>23</v>
      </c>
      <c r="C24" s="11">
        <v>12</v>
      </c>
      <c r="D24" s="1">
        <v>2020</v>
      </c>
      <c r="E24" s="12">
        <f>'Submetering '!O24+'Submetering '!P24+'Submetering '!Q24+'Submetering '!R24+'Submetering '!S24</f>
        <v>27218</v>
      </c>
      <c r="F24" s="11">
        <f t="shared" si="1"/>
        <v>5.79</v>
      </c>
      <c r="G24" s="12">
        <f>'Submetering '!AB24</f>
        <v>201.54838709677421</v>
      </c>
      <c r="H24" s="11">
        <f t="shared" si="2"/>
        <v>18.899999999999999</v>
      </c>
      <c r="I24" s="12">
        <f>'FS Seychelles'!R25+'FS Seychelles'!T25+'FS Seychelles'!U25+'FS Seychelles'!V25</f>
        <v>589</v>
      </c>
      <c r="J24" s="11">
        <f t="shared" si="3"/>
        <v>0</v>
      </c>
      <c r="K24" s="30">
        <f>'Submetering '!Z24</f>
        <v>122</v>
      </c>
      <c r="L24" s="11">
        <f t="shared" si="3"/>
        <v>0</v>
      </c>
      <c r="M24" s="96">
        <f>'FS Seychelles'!B25</f>
        <v>35.79</v>
      </c>
    </row>
    <row r="25" spans="1:13" s="15" customFormat="1" x14ac:dyDescent="0.25">
      <c r="A25" s="1" t="s">
        <v>11</v>
      </c>
      <c r="B25" s="14">
        <f t="shared" si="0"/>
        <v>24</v>
      </c>
      <c r="C25" s="11">
        <v>12</v>
      </c>
      <c r="D25" s="1">
        <v>2020</v>
      </c>
      <c r="E25" s="12">
        <f>'Submetering '!O25+'Submetering '!P25+'Submetering '!Q25+'Submetering '!R25+'Submetering '!S25</f>
        <v>23576</v>
      </c>
      <c r="F25" s="11">
        <f t="shared" si="1"/>
        <v>5.79</v>
      </c>
      <c r="G25" s="12">
        <f>'Submetering '!AB25</f>
        <v>201.54838709677421</v>
      </c>
      <c r="H25" s="11">
        <f t="shared" si="2"/>
        <v>18.899999999999999</v>
      </c>
      <c r="I25" s="12">
        <f>'FS Seychelles'!R26+'FS Seychelles'!T26+'FS Seychelles'!U26+'FS Seychelles'!V26</f>
        <v>490</v>
      </c>
      <c r="J25" s="11">
        <f t="shared" si="3"/>
        <v>0</v>
      </c>
      <c r="K25" s="30">
        <f>'Submetering '!Z25</f>
        <v>118</v>
      </c>
      <c r="L25" s="11">
        <f t="shared" si="3"/>
        <v>0</v>
      </c>
      <c r="M25" s="96">
        <f>'FS Seychelles'!B26</f>
        <v>35.79</v>
      </c>
    </row>
    <row r="26" spans="1:13" s="15" customFormat="1" x14ac:dyDescent="0.25">
      <c r="A26" s="1" t="s">
        <v>11</v>
      </c>
      <c r="B26" s="14">
        <f>B25+1</f>
        <v>25</v>
      </c>
      <c r="C26" s="11">
        <v>12</v>
      </c>
      <c r="D26" s="1">
        <v>2020</v>
      </c>
      <c r="E26" s="12">
        <f>'Submetering '!O26+'Submetering '!P26+'Submetering '!Q26+'Submetering '!R26+'Submetering '!S26</f>
        <v>32401</v>
      </c>
      <c r="F26" s="11">
        <f t="shared" si="1"/>
        <v>5.79</v>
      </c>
      <c r="G26" s="12">
        <f>'Submetering '!AB26</f>
        <v>201.54838709677421</v>
      </c>
      <c r="H26" s="11">
        <f t="shared" si="2"/>
        <v>18.899999999999999</v>
      </c>
      <c r="I26" s="12">
        <f>'FS Seychelles'!R27+'FS Seychelles'!T27+'FS Seychelles'!U27+'FS Seychelles'!V27</f>
        <v>425</v>
      </c>
      <c r="J26" s="11">
        <f t="shared" si="3"/>
        <v>0</v>
      </c>
      <c r="K26" s="30">
        <f>'Submetering '!Z26</f>
        <v>120</v>
      </c>
      <c r="L26" s="11">
        <f t="shared" si="3"/>
        <v>0</v>
      </c>
      <c r="M26" s="96">
        <f>'FS Seychelles'!B27</f>
        <v>46.15</v>
      </c>
    </row>
    <row r="27" spans="1:13" s="15" customFormat="1" x14ac:dyDescent="0.25">
      <c r="A27" s="1" t="s">
        <v>11</v>
      </c>
      <c r="B27" s="14">
        <f t="shared" si="0"/>
        <v>26</v>
      </c>
      <c r="C27" s="11">
        <v>12</v>
      </c>
      <c r="D27" s="1">
        <v>2020</v>
      </c>
      <c r="E27" s="12">
        <f>'Submetering '!O27+'Submetering '!P27+'Submetering '!Q27+'Submetering '!R27+'Submetering '!S27</f>
        <v>29174</v>
      </c>
      <c r="F27" s="11">
        <f t="shared" si="1"/>
        <v>5.79</v>
      </c>
      <c r="G27" s="12">
        <f>'Submetering '!AB27</f>
        <v>201.54838709677421</v>
      </c>
      <c r="H27" s="11">
        <f t="shared" si="2"/>
        <v>18.899999999999999</v>
      </c>
      <c r="I27" s="12">
        <f>'FS Seychelles'!R28+'FS Seychelles'!T28+'FS Seychelles'!U28+'FS Seychelles'!V28</f>
        <v>501</v>
      </c>
      <c r="J27" s="11">
        <f t="shared" si="3"/>
        <v>0</v>
      </c>
      <c r="K27" s="30">
        <f>'Submetering '!Z27</f>
        <v>120</v>
      </c>
      <c r="L27" s="11">
        <f t="shared" si="3"/>
        <v>0</v>
      </c>
      <c r="M27" s="96">
        <f>'FS Seychelles'!B28</f>
        <v>37.14</v>
      </c>
    </row>
    <row r="28" spans="1:13" s="15" customFormat="1" x14ac:dyDescent="0.25">
      <c r="A28" s="1" t="s">
        <v>11</v>
      </c>
      <c r="B28" s="14">
        <f t="shared" si="0"/>
        <v>27</v>
      </c>
      <c r="C28" s="11">
        <v>12</v>
      </c>
      <c r="D28" s="1">
        <v>2020</v>
      </c>
      <c r="E28" s="12">
        <f>'Submetering '!O28+'Submetering '!P28+'Submetering '!Q28+'Submetering '!R28+'Submetering '!S28</f>
        <v>29153</v>
      </c>
      <c r="F28" s="11">
        <f t="shared" si="1"/>
        <v>5.79</v>
      </c>
      <c r="G28" s="12">
        <f>'Submetering '!AB28</f>
        <v>201.54838709677421</v>
      </c>
      <c r="H28" s="11">
        <f t="shared" si="2"/>
        <v>18.899999999999999</v>
      </c>
      <c r="I28" s="12">
        <f>'FS Seychelles'!R29+'FS Seychelles'!T29+'FS Seychelles'!U29+'FS Seychelles'!V29</f>
        <v>481</v>
      </c>
      <c r="J28" s="11">
        <f t="shared" si="3"/>
        <v>0</v>
      </c>
      <c r="K28" s="30">
        <f>'Submetering '!Z28</f>
        <v>97</v>
      </c>
      <c r="L28" s="11">
        <f t="shared" si="3"/>
        <v>0</v>
      </c>
      <c r="M28" s="96">
        <f>'FS Seychelles'!B29</f>
        <v>38.24</v>
      </c>
    </row>
    <row r="29" spans="1:13" s="15" customFormat="1" x14ac:dyDescent="0.25">
      <c r="A29" s="1" t="s">
        <v>11</v>
      </c>
      <c r="B29" s="14">
        <f t="shared" si="0"/>
        <v>28</v>
      </c>
      <c r="C29" s="11">
        <v>12</v>
      </c>
      <c r="D29" s="1">
        <v>2020</v>
      </c>
      <c r="E29" s="12">
        <f>'Submetering '!O29+'Submetering '!P29+'Submetering '!Q29+'Submetering '!R29+'Submetering '!S29</f>
        <v>28066</v>
      </c>
      <c r="F29" s="11">
        <f t="shared" si="1"/>
        <v>5.79</v>
      </c>
      <c r="G29" s="12">
        <f>'Submetering '!AB29</f>
        <v>201.54838709677421</v>
      </c>
      <c r="H29" s="11">
        <f t="shared" si="2"/>
        <v>18.899999999999999</v>
      </c>
      <c r="I29" s="12">
        <f>'FS Seychelles'!R30+'FS Seychelles'!T30+'FS Seychelles'!U30+'FS Seychelles'!V30</f>
        <v>475</v>
      </c>
      <c r="J29" s="11">
        <f t="shared" si="3"/>
        <v>0</v>
      </c>
      <c r="K29" s="30">
        <f>'Submetering '!Z29</f>
        <v>84</v>
      </c>
      <c r="L29" s="11">
        <f t="shared" si="3"/>
        <v>0</v>
      </c>
      <c r="M29" s="96">
        <f>'FS Seychelles'!B30</f>
        <v>29.85</v>
      </c>
    </row>
    <row r="30" spans="1:13" s="15" customFormat="1" x14ac:dyDescent="0.25">
      <c r="A30" s="1" t="s">
        <v>11</v>
      </c>
      <c r="B30" s="14">
        <f t="shared" si="0"/>
        <v>29</v>
      </c>
      <c r="C30" s="11">
        <v>12</v>
      </c>
      <c r="D30" s="1">
        <v>2020</v>
      </c>
      <c r="E30" s="12">
        <f>'Submetering '!O30+'Submetering '!P30+'Submetering '!Q30+'Submetering '!R30+'Submetering '!S30</f>
        <v>27307</v>
      </c>
      <c r="F30" s="11">
        <f t="shared" si="1"/>
        <v>5.79</v>
      </c>
      <c r="G30" s="12">
        <f>'Submetering '!AB30</f>
        <v>201.54838709677421</v>
      </c>
      <c r="H30" s="11">
        <f t="shared" si="2"/>
        <v>18.899999999999999</v>
      </c>
      <c r="I30" s="12">
        <f>'FS Seychelles'!R31+'FS Seychelles'!T31+'FS Seychelles'!U31+'FS Seychelles'!V31</f>
        <v>566</v>
      </c>
      <c r="J30" s="11">
        <f t="shared" si="3"/>
        <v>0</v>
      </c>
      <c r="K30" s="30">
        <f>'Submetering '!Z30</f>
        <v>62</v>
      </c>
      <c r="L30" s="11">
        <f t="shared" si="3"/>
        <v>0</v>
      </c>
      <c r="M30" s="96">
        <f>'FS Seychelles'!B31</f>
        <v>27.14</v>
      </c>
    </row>
    <row r="31" spans="1:13" s="13" customFormat="1" x14ac:dyDescent="0.25">
      <c r="A31" s="1" t="s">
        <v>11</v>
      </c>
      <c r="B31" s="14">
        <f t="shared" si="0"/>
        <v>30</v>
      </c>
      <c r="C31" s="11">
        <v>12</v>
      </c>
      <c r="D31" s="1">
        <v>2020</v>
      </c>
      <c r="E31" s="12">
        <f>'Submetering '!O31+'Submetering '!P31+'Submetering '!Q31+'Submetering '!R31+'Submetering '!S31</f>
        <v>28923</v>
      </c>
      <c r="F31" s="11">
        <f t="shared" si="1"/>
        <v>5.79</v>
      </c>
      <c r="G31" s="12">
        <f>'Submetering '!AB31</f>
        <v>201.54838709677421</v>
      </c>
      <c r="H31" s="11">
        <f t="shared" si="2"/>
        <v>18.899999999999999</v>
      </c>
      <c r="I31" s="12">
        <f>'FS Seychelles'!R32+'FS Seychelles'!T32+'FS Seychelles'!U32+'FS Seychelles'!V32</f>
        <v>491</v>
      </c>
      <c r="J31" s="11">
        <f t="shared" si="3"/>
        <v>0</v>
      </c>
      <c r="K31" s="30">
        <f>'Submetering '!Z31</f>
        <v>126</v>
      </c>
      <c r="L31" s="11">
        <f t="shared" si="3"/>
        <v>0</v>
      </c>
      <c r="M31" s="96">
        <f>'FS Seychelles'!B32</f>
        <v>27.14</v>
      </c>
    </row>
    <row r="32" spans="1:13" x14ac:dyDescent="0.25">
      <c r="A32" s="1" t="s">
        <v>11</v>
      </c>
      <c r="B32" s="14">
        <f t="shared" si="0"/>
        <v>31</v>
      </c>
      <c r="C32" s="11">
        <v>12</v>
      </c>
      <c r="D32" s="1">
        <v>2020</v>
      </c>
      <c r="E32" s="12">
        <f>'Submetering '!O32+'Submetering '!P32+'Submetering '!Q32+'Submetering '!R32+'Submetering '!S32</f>
        <v>25863</v>
      </c>
      <c r="F32" s="11">
        <f t="shared" si="1"/>
        <v>5.79</v>
      </c>
      <c r="G32" s="12">
        <f>'Submetering '!AB32</f>
        <v>201.54838709677421</v>
      </c>
      <c r="H32" s="11">
        <f t="shared" si="2"/>
        <v>18.899999999999999</v>
      </c>
      <c r="I32" s="12">
        <f>'FS Seychelles'!R33+'FS Seychelles'!T33+'FS Seychelles'!U33+'FS Seychelles'!V33</f>
        <v>372</v>
      </c>
      <c r="J32" s="11">
        <f t="shared" si="3"/>
        <v>0</v>
      </c>
      <c r="K32" s="30">
        <f>'Submetering '!Z32</f>
        <v>127</v>
      </c>
      <c r="L32" s="11">
        <f t="shared" si="3"/>
        <v>0</v>
      </c>
      <c r="M32" s="96">
        <f>'FS Seychelles'!B33</f>
        <v>25.71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J1" workbookViewId="0">
      <selection activeCell="AB2" sqref="AB2:AB32"/>
    </sheetView>
  </sheetViews>
  <sheetFormatPr defaultColWidth="11.5703125" defaultRowHeight="15" x14ac:dyDescent="0.25"/>
  <cols>
    <col min="1" max="1" width="22.28515625" style="27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8" t="s">
        <v>0</v>
      </c>
      <c r="B1" s="25" t="s">
        <v>1</v>
      </c>
      <c r="C1" s="25" t="s">
        <v>2</v>
      </c>
      <c r="D1" s="25" t="s">
        <v>3</v>
      </c>
      <c r="E1" s="26" t="s">
        <v>9</v>
      </c>
      <c r="F1" s="26" t="s">
        <v>12</v>
      </c>
      <c r="G1" s="26" t="s">
        <v>13</v>
      </c>
      <c r="H1" s="26" t="s">
        <v>14</v>
      </c>
      <c r="I1" s="26" t="s">
        <v>15</v>
      </c>
      <c r="J1" s="26" t="s">
        <v>16</v>
      </c>
      <c r="K1" s="26" t="s">
        <v>17</v>
      </c>
      <c r="L1" s="26" t="s">
        <v>18</v>
      </c>
      <c r="M1" s="26" t="s">
        <v>19</v>
      </c>
      <c r="N1" s="26" t="s">
        <v>20</v>
      </c>
      <c r="O1" s="26" t="s">
        <v>21</v>
      </c>
      <c r="P1" s="26" t="s">
        <v>22</v>
      </c>
      <c r="Q1" s="26" t="s">
        <v>23</v>
      </c>
      <c r="R1" s="26" t="s">
        <v>24</v>
      </c>
      <c r="S1" s="26" t="s">
        <v>25</v>
      </c>
      <c r="T1" s="26" t="s">
        <v>26</v>
      </c>
      <c r="U1" s="26" t="s">
        <v>27</v>
      </c>
      <c r="V1" s="26" t="s">
        <v>28</v>
      </c>
      <c r="W1" s="26" t="s">
        <v>29</v>
      </c>
      <c r="X1" s="26" t="s">
        <v>30</v>
      </c>
      <c r="Y1" s="26" t="s">
        <v>31</v>
      </c>
      <c r="Z1" s="26" t="s">
        <v>32</v>
      </c>
      <c r="AA1" s="26" t="s">
        <v>33</v>
      </c>
      <c r="AB1" s="26" t="s">
        <v>10</v>
      </c>
    </row>
    <row r="2" spans="1:28" x14ac:dyDescent="0.25">
      <c r="A2" s="1" t="s">
        <v>11</v>
      </c>
      <c r="B2" s="11">
        <v>1</v>
      </c>
      <c r="C2" s="11">
        <v>1</v>
      </c>
      <c r="D2" s="11">
        <v>2020</v>
      </c>
      <c r="E2" s="18">
        <f>'FS Seychelles'!B3</f>
        <v>52.46</v>
      </c>
      <c r="F2" s="18">
        <f>'FS Seychelles'!C3*1000</f>
        <v>2585.6</v>
      </c>
      <c r="G2" s="18">
        <f>'FS Seychelles'!D3*1000</f>
        <v>4685.8240000000005</v>
      </c>
      <c r="H2" s="18">
        <f>'FS Seychelles'!E3*1000</f>
        <v>4351.4879999999994</v>
      </c>
      <c r="I2" s="18">
        <f>'FS Seychelles'!F3*1000</f>
        <v>1085.6959999999999</v>
      </c>
      <c r="J2" s="18">
        <f>'FS Seychelles'!G3*1000</f>
        <v>2283.2640000000001</v>
      </c>
      <c r="K2" s="18">
        <f>'FS Seychelles'!H3*1000</f>
        <v>1438.9760000000001</v>
      </c>
      <c r="L2" s="18">
        <f>'FS Seychelles'!I3*1000</f>
        <v>1326.848</v>
      </c>
      <c r="M2" s="18">
        <f>'FS Seychelles'!J3*1000</f>
        <v>1814.528</v>
      </c>
      <c r="N2" s="18">
        <f>'FS Seychelles'!K3*1000</f>
        <v>3011.0720000000001</v>
      </c>
      <c r="O2" s="18">
        <f>'FS Seychelles'!L3</f>
        <v>5715</v>
      </c>
      <c r="P2" s="18">
        <f>'FS Seychelles'!M3</f>
        <v>9463</v>
      </c>
      <c r="Q2" s="18">
        <f>'FS Seychelles'!N3</f>
        <v>8462</v>
      </c>
      <c r="R2" s="18">
        <f>'FS Seychelles'!O3</f>
        <v>3401</v>
      </c>
      <c r="S2" s="18">
        <f>'FS Seychelles'!P3</f>
        <v>0</v>
      </c>
      <c r="T2" s="18">
        <f>'FS Seychelles'!Q3</f>
        <v>7419</v>
      </c>
      <c r="U2" s="18">
        <f>'FS Seychelles'!R3</f>
        <v>45</v>
      </c>
      <c r="V2" s="18">
        <f>'FS Seychelles'!S3</f>
        <v>43</v>
      </c>
      <c r="W2" s="18">
        <f>'FS Seychelles'!T3</f>
        <v>49</v>
      </c>
      <c r="X2" s="18">
        <f>'FS Seychelles'!U3</f>
        <v>171</v>
      </c>
      <c r="Y2" s="18">
        <f>'FS Seychelles'!V3</f>
        <v>143</v>
      </c>
      <c r="Z2" s="18">
        <f>'FS Seychelles'!W3</f>
        <v>43</v>
      </c>
      <c r="AA2" s="18">
        <f>'FS Seychelles'!X3</f>
        <v>0</v>
      </c>
      <c r="AB2" s="18">
        <f>6248/31</f>
        <v>201.54838709677421</v>
      </c>
    </row>
    <row r="3" spans="1:28" x14ac:dyDescent="0.25">
      <c r="A3" s="1" t="s">
        <v>11</v>
      </c>
      <c r="B3" s="11">
        <f>B2+1</f>
        <v>2</v>
      </c>
      <c r="C3" s="11">
        <v>1</v>
      </c>
      <c r="D3" s="11">
        <v>2020</v>
      </c>
      <c r="E3" s="18">
        <f>'FS Seychelles'!B4</f>
        <v>57.38</v>
      </c>
      <c r="F3" s="18">
        <f>'FS Seychelles'!C4*1000</f>
        <v>2678.2720000000004</v>
      </c>
      <c r="G3" s="18">
        <f>'FS Seychelles'!D4*1000</f>
        <v>4651.5199999999995</v>
      </c>
      <c r="H3" s="18">
        <f>'FS Seychelles'!E4*1000</f>
        <v>4289.0240000000003</v>
      </c>
      <c r="I3" s="18">
        <f>'FS Seychelles'!F4*1000</f>
        <v>1095.424</v>
      </c>
      <c r="J3" s="18">
        <f>'FS Seychelles'!G4*1000</f>
        <v>2377.9839999999999</v>
      </c>
      <c r="K3" s="18">
        <f>'FS Seychelles'!H4*1000</f>
        <v>1631.4880000000001</v>
      </c>
      <c r="L3" s="18">
        <f>'FS Seychelles'!I4*1000</f>
        <v>1350.528</v>
      </c>
      <c r="M3" s="18">
        <f>'FS Seychelles'!J4*1000</f>
        <v>1865.472</v>
      </c>
      <c r="N3" s="18">
        <f>'FS Seychelles'!K4*1000</f>
        <v>3127.2959999999998</v>
      </c>
      <c r="O3" s="18">
        <v>12417</v>
      </c>
      <c r="P3" s="18">
        <f>'FS Seychelles'!M4</f>
        <v>6344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48</v>
      </c>
      <c r="V3" s="18">
        <f>'FS Seychelles'!S4</f>
        <v>36</v>
      </c>
      <c r="W3" s="18">
        <f>'FS Seychelles'!T4</f>
        <v>54</v>
      </c>
      <c r="X3" s="18">
        <f>'FS Seychelles'!U4</f>
        <v>163</v>
      </c>
      <c r="Y3" s="18">
        <f>'FS Seychelles'!V4</f>
        <v>149</v>
      </c>
      <c r="Z3" s="18">
        <f>'FS Seychelles'!W4</f>
        <v>66</v>
      </c>
      <c r="AA3" s="18">
        <f>'FS Seychelles'!X4</f>
        <v>0</v>
      </c>
      <c r="AB3" s="18">
        <f t="shared" ref="AB3:AB32" si="0">6248/31</f>
        <v>201.54838709677421</v>
      </c>
    </row>
    <row r="4" spans="1:28" x14ac:dyDescent="0.25">
      <c r="A4" s="1" t="s">
        <v>11</v>
      </c>
      <c r="B4" s="11">
        <f t="shared" ref="B4:B32" si="1">B3+1</f>
        <v>3</v>
      </c>
      <c r="C4" s="11">
        <v>1</v>
      </c>
      <c r="D4" s="11">
        <v>2020</v>
      </c>
      <c r="E4" s="18">
        <f>'FS Seychelles'!B5</f>
        <v>70.489999999999995</v>
      </c>
      <c r="F4" s="18">
        <f>'FS Seychelles'!C5*1000</f>
        <v>2870.7840000000001</v>
      </c>
      <c r="G4" s="18">
        <f>'FS Seychelles'!D5*1000</f>
        <v>4998.1440000000002</v>
      </c>
      <c r="H4" s="18">
        <f>'FS Seychelles'!E5*1000</f>
        <v>4386.3040000000001</v>
      </c>
      <c r="I4" s="18">
        <f>'FS Seychelles'!F5*1000</f>
        <v>1448.96</v>
      </c>
      <c r="J4" s="18">
        <f>'FS Seychelles'!G5*1000</f>
        <v>2325.248</v>
      </c>
      <c r="K4" s="18">
        <f>'FS Seychelles'!H5*1000</f>
        <v>1622.2719999999999</v>
      </c>
      <c r="L4" s="18">
        <f>'FS Seychelles'!I5*1000</f>
        <v>1371.52</v>
      </c>
      <c r="M4" s="18">
        <f>'FS Seychelles'!J5*1000</f>
        <v>1912.32</v>
      </c>
      <c r="N4" s="18">
        <f>'FS Seychelles'!K5*1000</f>
        <v>3165.9519999999998</v>
      </c>
      <c r="O4" s="18">
        <f>'FS Seychelles'!L5</f>
        <v>10158</v>
      </c>
      <c r="P4" s="18">
        <f>'FS Seychelles'!M5</f>
        <v>4554</v>
      </c>
      <c r="Q4" s="18">
        <f>'FS Seychelles'!N5</f>
        <v>8609</v>
      </c>
      <c r="R4" s="18">
        <f>'FS Seychelles'!O5</f>
        <v>0</v>
      </c>
      <c r="S4" s="18">
        <f>'FS Seychelles'!P5</f>
        <v>0</v>
      </c>
      <c r="T4" s="18">
        <f>'FS Seychelles'!Q5</f>
        <v>6126</v>
      </c>
      <c r="U4" s="18">
        <f>'FS Seychelles'!R5</f>
        <v>54</v>
      </c>
      <c r="V4" s="18">
        <f>'FS Seychelles'!S5</f>
        <v>37</v>
      </c>
      <c r="W4" s="18">
        <f>'FS Seychelles'!T5</f>
        <v>72</v>
      </c>
      <c r="X4" s="18">
        <f>'FS Seychelles'!U5</f>
        <v>155</v>
      </c>
      <c r="Y4" s="18">
        <f>'FS Seychelles'!V5</f>
        <v>150</v>
      </c>
      <c r="Z4" s="18">
        <f>'FS Seychelles'!W5</f>
        <v>57</v>
      </c>
      <c r="AA4" s="18">
        <f>'FS Seychelles'!X5</f>
        <v>0</v>
      </c>
      <c r="AB4" s="18">
        <f t="shared" si="0"/>
        <v>201.54838709677421</v>
      </c>
    </row>
    <row r="5" spans="1:28" x14ac:dyDescent="0.25">
      <c r="A5" s="1" t="s">
        <v>11</v>
      </c>
      <c r="B5" s="11">
        <f t="shared" si="1"/>
        <v>4</v>
      </c>
      <c r="C5" s="11">
        <v>1</v>
      </c>
      <c r="D5" s="11">
        <v>2020</v>
      </c>
      <c r="E5" s="18">
        <f>'FS Seychelles'!B6</f>
        <v>70</v>
      </c>
      <c r="F5" s="18">
        <f>'FS Seychelles'!C6*1000</f>
        <v>2918.6559999999999</v>
      </c>
      <c r="G5" s="18">
        <f>'FS Seychelles'!D6*1000</f>
        <v>5558.7840000000006</v>
      </c>
      <c r="H5" s="18">
        <f>'FS Seychelles'!E6*1000</f>
        <v>4680.7040000000006</v>
      </c>
      <c r="I5" s="18">
        <f>'FS Seychelles'!F6*1000</f>
        <v>1928.4479999999999</v>
      </c>
      <c r="J5" s="18">
        <f>'FS Seychelles'!G6*1000</f>
        <v>2352.384</v>
      </c>
      <c r="K5" s="18">
        <f>'FS Seychelles'!H6*1000</f>
        <v>1671.9360000000001</v>
      </c>
      <c r="L5" s="18">
        <f>'FS Seychelles'!I6*1000</f>
        <v>1360.5119999999999</v>
      </c>
      <c r="M5" s="18">
        <f>'FS Seychelles'!J6*1000</f>
        <v>1949.44</v>
      </c>
      <c r="N5" s="18">
        <f>'FS Seychelles'!K6*1000</f>
        <v>3195.3919999999998</v>
      </c>
      <c r="O5" s="18">
        <f>'FS Seychelles'!L6</f>
        <v>5502</v>
      </c>
      <c r="P5" s="18">
        <f>'FS Seychelles'!M6</f>
        <v>8799</v>
      </c>
      <c r="Q5" s="18">
        <f>'FS Seychelles'!N6</f>
        <v>7927</v>
      </c>
      <c r="R5" s="18">
        <f>'FS Seychelles'!O6</f>
        <v>5546</v>
      </c>
      <c r="S5" s="18">
        <f>'FS Seychelles'!P6</f>
        <v>0</v>
      </c>
      <c r="T5" s="18">
        <f>'FS Seychelles'!Q6</f>
        <v>7721</v>
      </c>
      <c r="U5" s="18">
        <f>'FS Seychelles'!R6</f>
        <v>49</v>
      </c>
      <c r="V5" s="18">
        <f>'FS Seychelles'!S6</f>
        <v>38</v>
      </c>
      <c r="W5" s="18">
        <f>'FS Seychelles'!T6</f>
        <v>108</v>
      </c>
      <c r="X5" s="18">
        <f>'FS Seychelles'!U6</f>
        <v>170</v>
      </c>
      <c r="Y5" s="18">
        <f>'FS Seychelles'!V6</f>
        <v>175</v>
      </c>
      <c r="Z5" s="18">
        <f>'FS Seychelles'!W6</f>
        <v>102</v>
      </c>
      <c r="AA5" s="18">
        <f>'FS Seychelles'!X6</f>
        <v>0</v>
      </c>
      <c r="AB5" s="18">
        <f t="shared" si="0"/>
        <v>201.54838709677421</v>
      </c>
    </row>
    <row r="6" spans="1:28" x14ac:dyDescent="0.25">
      <c r="A6" s="1" t="s">
        <v>11</v>
      </c>
      <c r="B6" s="11">
        <f t="shared" si="1"/>
        <v>5</v>
      </c>
      <c r="C6" s="11">
        <v>1</v>
      </c>
      <c r="D6" s="11">
        <v>2020</v>
      </c>
      <c r="E6" s="18">
        <f>'FS Seychelles'!B7</f>
        <v>48.05</v>
      </c>
      <c r="F6" s="18">
        <f>'FS Seychelles'!C7*1000</f>
        <v>2961.6639999999998</v>
      </c>
      <c r="G6" s="18">
        <f>'FS Seychelles'!D7*1000</f>
        <v>5575.1679999999997</v>
      </c>
      <c r="H6" s="18">
        <f>'FS Seychelles'!E7*1000</f>
        <v>4891.1360000000004</v>
      </c>
      <c r="I6" s="18">
        <f>'FS Seychelles'!F7*1000</f>
        <v>1651.4560000000001</v>
      </c>
      <c r="J6" s="18">
        <f>'FS Seychelles'!G7*1000</f>
        <v>2201.0879999999997</v>
      </c>
      <c r="K6" s="18">
        <f>'FS Seychelles'!H7*1000</f>
        <v>1909.248</v>
      </c>
      <c r="L6" s="18">
        <f>'FS Seychelles'!I7*1000</f>
        <v>1380.48</v>
      </c>
      <c r="M6" s="18">
        <f>'FS Seychelles'!J7*1000</f>
        <v>2256</v>
      </c>
      <c r="N6" s="18">
        <f>'FS Seychelles'!K7*1000</f>
        <v>3205.12</v>
      </c>
      <c r="O6" s="18">
        <f>'FS Seychelles'!L7</f>
        <v>9551</v>
      </c>
      <c r="P6" s="18">
        <f>'FS Seychelles'!M7</f>
        <v>4243</v>
      </c>
      <c r="Q6" s="18">
        <f>'FS Seychelles'!N7</f>
        <v>9911</v>
      </c>
      <c r="R6" s="18">
        <f>'FS Seychelles'!O7</f>
        <v>3924</v>
      </c>
      <c r="S6" s="18">
        <f>'FS Seychelles'!P7</f>
        <v>0</v>
      </c>
      <c r="T6" s="18">
        <f>'FS Seychelles'!Q7</f>
        <v>7627</v>
      </c>
      <c r="U6" s="18">
        <f>'FS Seychelles'!R7</f>
        <v>59</v>
      </c>
      <c r="V6" s="18">
        <f>'FS Seychelles'!S7</f>
        <v>40</v>
      </c>
      <c r="W6" s="18">
        <f>'FS Seychelles'!T7</f>
        <v>54</v>
      </c>
      <c r="X6" s="18">
        <f>'FS Seychelles'!U7</f>
        <v>189</v>
      </c>
      <c r="Y6" s="18">
        <f>'FS Seychelles'!V7</f>
        <v>155</v>
      </c>
      <c r="Z6" s="18">
        <f>'FS Seychelles'!W7</f>
        <v>122</v>
      </c>
      <c r="AA6" s="18">
        <f>'FS Seychelles'!X7</f>
        <v>0</v>
      </c>
      <c r="AB6" s="18">
        <f t="shared" si="0"/>
        <v>201.54838709677421</v>
      </c>
    </row>
    <row r="7" spans="1:28" x14ac:dyDescent="0.25">
      <c r="A7" s="1" t="s">
        <v>11</v>
      </c>
      <c r="B7" s="11">
        <f t="shared" si="1"/>
        <v>6</v>
      </c>
      <c r="C7" s="11">
        <v>1</v>
      </c>
      <c r="D7" s="11">
        <v>2020</v>
      </c>
      <c r="E7" s="18">
        <f>'FS Seychelles'!B8</f>
        <v>54.55</v>
      </c>
      <c r="F7" s="18">
        <f>'FS Seychelles'!C8*1000</f>
        <v>3083.7759999999998</v>
      </c>
      <c r="G7" s="18">
        <f>'FS Seychelles'!D8*1000</f>
        <v>5469.1840000000002</v>
      </c>
      <c r="H7" s="18">
        <f>'FS Seychelles'!E8*1000</f>
        <v>4579.84</v>
      </c>
      <c r="I7" s="18">
        <f>'FS Seychelles'!F8*1000</f>
        <v>1466.3679999999999</v>
      </c>
      <c r="J7" s="18">
        <f>'FS Seychelles'!G8*1000</f>
        <v>2498.8160000000003</v>
      </c>
      <c r="K7" s="18">
        <f>'FS Seychelles'!H8*1000</f>
        <v>1852.672</v>
      </c>
      <c r="L7" s="18">
        <f>'FS Seychelles'!I8*1000</f>
        <v>1377.152</v>
      </c>
      <c r="M7" s="18">
        <f>'FS Seychelles'!J8*1000</f>
        <v>2142.5920000000001</v>
      </c>
      <c r="N7" s="18">
        <f>'FS Seychelles'!K8*1000</f>
        <v>3109.12</v>
      </c>
      <c r="O7" s="18">
        <f>'FS Seychelles'!L8</f>
        <v>11821</v>
      </c>
      <c r="P7" s="18">
        <f>'FS Seychelles'!M8</f>
        <v>1514</v>
      </c>
      <c r="Q7" s="18">
        <f>'FS Seychelles'!N8</f>
        <v>1075</v>
      </c>
      <c r="R7" s="18">
        <f>'FS Seychelles'!O8</f>
        <v>11742</v>
      </c>
      <c r="S7" s="18">
        <f>'FS Seychelles'!P8</f>
        <v>0</v>
      </c>
      <c r="T7" s="18">
        <f>'FS Seychelles'!Q8</f>
        <v>7445</v>
      </c>
      <c r="U7" s="18">
        <f>'FS Seychelles'!R8</f>
        <v>53</v>
      </c>
      <c r="V7" s="18">
        <f>'FS Seychelles'!S8</f>
        <v>28</v>
      </c>
      <c r="W7" s="18">
        <f>'FS Seychelles'!T8</f>
        <v>64</v>
      </c>
      <c r="X7" s="18">
        <f>'FS Seychelles'!U8</f>
        <v>183</v>
      </c>
      <c r="Y7" s="18">
        <f>'FS Seychelles'!V8</f>
        <v>184</v>
      </c>
      <c r="Z7" s="18">
        <f>'FS Seychelles'!W8</f>
        <v>67</v>
      </c>
      <c r="AA7" s="18">
        <f>'FS Seychelles'!X8</f>
        <v>0</v>
      </c>
      <c r="AB7" s="18">
        <f t="shared" si="0"/>
        <v>201.54838709677421</v>
      </c>
    </row>
    <row r="8" spans="1:28" x14ac:dyDescent="0.25">
      <c r="A8" s="1" t="s">
        <v>11</v>
      </c>
      <c r="B8" s="11">
        <f t="shared" si="1"/>
        <v>7</v>
      </c>
      <c r="C8" s="11">
        <v>1</v>
      </c>
      <c r="D8" s="11">
        <v>2020</v>
      </c>
      <c r="E8" s="18">
        <f>'FS Seychelles'!B9</f>
        <v>40.26</v>
      </c>
      <c r="F8" s="18">
        <f>'FS Seychelles'!C9*1000</f>
        <v>686.84800000000007</v>
      </c>
      <c r="G8" s="18">
        <f>'FS Seychelles'!D9*1000</f>
        <v>1412.6080000000002</v>
      </c>
      <c r="H8" s="18">
        <f>'FS Seychelles'!E9*1000</f>
        <v>1276.4159999999999</v>
      </c>
      <c r="I8" s="18">
        <f>'FS Seychelles'!F9*1000</f>
        <v>370.68800000000005</v>
      </c>
      <c r="J8" s="18">
        <f>'FS Seychelles'!G9*1000</f>
        <v>623.10400000000004</v>
      </c>
      <c r="K8" s="18">
        <f>'FS Seychelles'!H9*1000</f>
        <v>494.08000000000004</v>
      </c>
      <c r="L8" s="18">
        <f>'FS Seychelles'!I9*1000</f>
        <v>473.21600000000001</v>
      </c>
      <c r="M8" s="18">
        <f>'FS Seychelles'!J9*1000</f>
        <v>540.28800000000001</v>
      </c>
      <c r="N8" s="18">
        <f>'FS Seychelles'!K9*1000</f>
        <v>958.20799999999997</v>
      </c>
      <c r="O8" s="18">
        <f>'FS Seychelles'!L9</f>
        <v>10172</v>
      </c>
      <c r="P8" s="18">
        <f>'FS Seychelles'!M9</f>
        <v>13864</v>
      </c>
      <c r="Q8" s="18">
        <f>'FS Seychelles'!N9</f>
        <v>10810</v>
      </c>
      <c r="R8" s="18">
        <f>'FS Seychelles'!O9</f>
        <v>4025</v>
      </c>
      <c r="S8" s="18">
        <f>'FS Seychelles'!P9</f>
        <v>0</v>
      </c>
      <c r="T8" s="18">
        <f>'FS Seychelles'!Q9</f>
        <v>10788</v>
      </c>
      <c r="U8" s="18">
        <f>'FS Seychelles'!R9</f>
        <v>60</v>
      </c>
      <c r="V8" s="18">
        <f>'FS Seychelles'!S9</f>
        <v>40</v>
      </c>
      <c r="W8" s="18">
        <f>'FS Seychelles'!T9</f>
        <v>82</v>
      </c>
      <c r="X8" s="18">
        <f>'FS Seychelles'!U9</f>
        <v>202</v>
      </c>
      <c r="Y8" s="18">
        <f>'FS Seychelles'!V9</f>
        <v>156</v>
      </c>
      <c r="Z8" s="18">
        <f>'FS Seychelles'!W9</f>
        <v>110</v>
      </c>
      <c r="AA8" s="18">
        <f>'FS Seychelles'!X9</f>
        <v>0</v>
      </c>
      <c r="AB8" s="18">
        <f t="shared" si="0"/>
        <v>201.54838709677421</v>
      </c>
    </row>
    <row r="9" spans="1:28" x14ac:dyDescent="0.25">
      <c r="A9" s="1" t="s">
        <v>11</v>
      </c>
      <c r="B9" s="11">
        <f t="shared" si="1"/>
        <v>8</v>
      </c>
      <c r="C9" s="11">
        <v>1</v>
      </c>
      <c r="D9" s="11">
        <v>2020</v>
      </c>
      <c r="E9" s="18">
        <f>'FS Seychelles'!B10</f>
        <v>35.06</v>
      </c>
      <c r="F9" s="18">
        <f>'FS Seychelles'!C10*1000</f>
        <v>1058.048</v>
      </c>
      <c r="G9" s="18">
        <f>'FS Seychelles'!D10*1000</f>
        <v>1925.12</v>
      </c>
      <c r="H9" s="18">
        <f>'FS Seychelles'!E10*1000</f>
        <v>1872.896</v>
      </c>
      <c r="I9" s="18">
        <f>'FS Seychelles'!F10*1000</f>
        <v>590.59199999999998</v>
      </c>
      <c r="J9" s="18">
        <f>'FS Seychelles'!G10*1000</f>
        <v>953.6</v>
      </c>
      <c r="K9" s="18">
        <f>'FS Seychelles'!H10*1000</f>
        <v>642.81600000000003</v>
      </c>
      <c r="L9" s="18">
        <f>'FS Seychelles'!I10*1000</f>
        <v>610.81600000000003</v>
      </c>
      <c r="M9" s="18">
        <f>'FS Seychelles'!J10*1000</f>
        <v>830.20799999999997</v>
      </c>
      <c r="N9" s="18">
        <f>'FS Seychelles'!K10*1000</f>
        <v>1459.712</v>
      </c>
      <c r="O9" s="18">
        <f>'FS Seychelles'!L10</f>
        <v>5564</v>
      </c>
      <c r="P9" s="18">
        <f>'FS Seychelles'!M10</f>
        <v>10365</v>
      </c>
      <c r="Q9" s="18">
        <f>'FS Seychelles'!N10</f>
        <v>0</v>
      </c>
      <c r="R9" s="18">
        <f>'FS Seychelles'!O10</f>
        <v>8582</v>
      </c>
      <c r="S9" s="18">
        <f>'FS Seychelles'!P10</f>
        <v>0</v>
      </c>
      <c r="T9" s="18">
        <f>'FS Seychelles'!Q10</f>
        <v>6872</v>
      </c>
      <c r="U9" s="18">
        <f>'FS Seychelles'!R10</f>
        <v>59</v>
      </c>
      <c r="V9" s="18">
        <f>'FS Seychelles'!S10</f>
        <v>16</v>
      </c>
      <c r="W9" s="18">
        <f>'FS Seychelles'!T10</f>
        <v>47</v>
      </c>
      <c r="X9" s="18">
        <f>'FS Seychelles'!U10</f>
        <v>151</v>
      </c>
      <c r="Y9" s="18">
        <f>'FS Seychelles'!V10</f>
        <v>159</v>
      </c>
      <c r="Z9" s="18">
        <f>'FS Seychelles'!W10</f>
        <v>115</v>
      </c>
      <c r="AA9" s="18">
        <f>'FS Seychelles'!X10</f>
        <v>0</v>
      </c>
      <c r="AB9" s="18">
        <f t="shared" si="0"/>
        <v>201.54838709677421</v>
      </c>
    </row>
    <row r="10" spans="1:28" x14ac:dyDescent="0.25">
      <c r="A10" s="1" t="s">
        <v>11</v>
      </c>
      <c r="B10" s="11">
        <f t="shared" si="1"/>
        <v>9</v>
      </c>
      <c r="C10" s="11">
        <v>1</v>
      </c>
      <c r="D10" s="11">
        <v>2020</v>
      </c>
      <c r="E10" s="18">
        <f>'FS Seychelles'!B11</f>
        <v>35.06</v>
      </c>
      <c r="F10" s="18">
        <f>'FS Seychelles'!C11*1000</f>
        <v>2911.232</v>
      </c>
      <c r="G10" s="18">
        <f>'FS Seychelles'!D11*1000</f>
        <v>5153.7920000000004</v>
      </c>
      <c r="H10" s="18">
        <f>'FS Seychelles'!E11*1000</f>
        <v>4811.2640000000001</v>
      </c>
      <c r="I10" s="18">
        <f>'FS Seychelles'!F11*1000</f>
        <v>1615.104</v>
      </c>
      <c r="J10" s="18">
        <f>'FS Seychelles'!G11*1000</f>
        <v>2383.616</v>
      </c>
      <c r="K10" s="18">
        <f>'FS Seychelles'!H11*1000</f>
        <v>1843.712</v>
      </c>
      <c r="L10" s="18">
        <f>'FS Seychelles'!I11*1000</f>
        <v>1402.752</v>
      </c>
      <c r="M10" s="18">
        <f>'FS Seychelles'!J11*1000</f>
        <v>1887.232</v>
      </c>
      <c r="N10" s="18">
        <f>'FS Seychelles'!K11*1000</f>
        <v>3356.16</v>
      </c>
      <c r="O10" s="18">
        <f>'FS Seychelles'!L11</f>
        <v>5071</v>
      </c>
      <c r="P10" s="18">
        <f>'FS Seychelles'!M11</f>
        <v>11550</v>
      </c>
      <c r="Q10" s="18">
        <f>'FS Seychelles'!N11</f>
        <v>0</v>
      </c>
      <c r="R10" s="18">
        <f>'FS Seychelles'!O11</f>
        <v>10216</v>
      </c>
      <c r="S10" s="18">
        <f>'FS Seychelles'!P11</f>
        <v>0</v>
      </c>
      <c r="T10" s="18">
        <f>'FS Seychelles'!Q11</f>
        <v>7684</v>
      </c>
      <c r="U10" s="18">
        <f>'FS Seychelles'!R11</f>
        <v>62</v>
      </c>
      <c r="V10" s="18">
        <f>'FS Seychelles'!S11</f>
        <v>60</v>
      </c>
      <c r="W10" s="18">
        <f>'FS Seychelles'!T11</f>
        <v>58</v>
      </c>
      <c r="X10" s="18">
        <f>'FS Seychelles'!U11</f>
        <v>178</v>
      </c>
      <c r="Y10" s="18">
        <f>'FS Seychelles'!V11</f>
        <v>184</v>
      </c>
      <c r="Z10" s="18">
        <f>'FS Seychelles'!W11</f>
        <v>83</v>
      </c>
      <c r="AA10" s="18">
        <f>'FS Seychelles'!X11</f>
        <v>0</v>
      </c>
      <c r="AB10" s="18">
        <f t="shared" si="0"/>
        <v>201.54838709677421</v>
      </c>
    </row>
    <row r="11" spans="1:28" x14ac:dyDescent="0.25">
      <c r="A11" s="1" t="s">
        <v>11</v>
      </c>
      <c r="B11" s="11">
        <f t="shared" si="1"/>
        <v>10</v>
      </c>
      <c r="C11" s="11">
        <v>1</v>
      </c>
      <c r="D11" s="11">
        <v>2020</v>
      </c>
      <c r="E11" s="18">
        <f>'FS Seychelles'!B12</f>
        <v>43.16</v>
      </c>
      <c r="F11" s="18">
        <f>'FS Seychelles'!C12*1000</f>
        <v>2360.8319999999999</v>
      </c>
      <c r="G11" s="18">
        <f>'FS Seychelles'!D12*1000</f>
        <v>4877.8240000000005</v>
      </c>
      <c r="H11" s="18">
        <f>'FS Seychelles'!E12*1000</f>
        <v>4507.6479999999992</v>
      </c>
      <c r="I11" s="18">
        <f>'FS Seychelles'!F12*1000</f>
        <v>1412.8639999999998</v>
      </c>
      <c r="J11" s="18">
        <f>'FS Seychelles'!G12*1000</f>
        <v>2410.4960000000001</v>
      </c>
      <c r="K11" s="18">
        <f>'FS Seychelles'!H12*1000</f>
        <v>2101.7600000000002</v>
      </c>
      <c r="L11" s="18">
        <f>'FS Seychelles'!I12*1000</f>
        <v>1431.2959999999998</v>
      </c>
      <c r="M11" s="18">
        <f>'FS Seychelles'!J12*1000</f>
        <v>1608.8320000000001</v>
      </c>
      <c r="N11" s="18">
        <f>'FS Seychelles'!K12*1000</f>
        <v>3417.6000000000004</v>
      </c>
      <c r="O11" s="18">
        <f>'FS Seychelles'!L12</f>
        <v>4119</v>
      </c>
      <c r="P11" s="18">
        <f>'FS Seychelles'!M12</f>
        <v>832</v>
      </c>
      <c r="Q11" s="18">
        <f>'FS Seychelles'!N12</f>
        <v>0</v>
      </c>
      <c r="R11" s="18">
        <f>'FS Seychelles'!O12</f>
        <v>9575</v>
      </c>
      <c r="S11" s="18">
        <f>'FS Seychelles'!P12</f>
        <v>0</v>
      </c>
      <c r="T11" s="18">
        <f>'FS Seychelles'!Q12</f>
        <v>4178</v>
      </c>
      <c r="U11" s="18">
        <f>'FS Seychelles'!R12</f>
        <v>60</v>
      </c>
      <c r="V11" s="18">
        <f>'FS Seychelles'!S12</f>
        <v>14</v>
      </c>
      <c r="W11" s="18">
        <f>'FS Seychelles'!T12</f>
        <v>59</v>
      </c>
      <c r="X11" s="18">
        <f>'FS Seychelles'!U12</f>
        <v>168</v>
      </c>
      <c r="Y11" s="18">
        <f>'FS Seychelles'!V12</f>
        <v>144</v>
      </c>
      <c r="Z11" s="18">
        <f>'FS Seychelles'!W12</f>
        <v>13</v>
      </c>
      <c r="AA11" s="18">
        <f>'FS Seychelles'!X12</f>
        <v>0</v>
      </c>
      <c r="AB11" s="18">
        <f t="shared" si="0"/>
        <v>201.54838709677421</v>
      </c>
    </row>
    <row r="12" spans="1:28" x14ac:dyDescent="0.25">
      <c r="A12" s="1" t="s">
        <v>11</v>
      </c>
      <c r="B12" s="11">
        <f t="shared" si="1"/>
        <v>11</v>
      </c>
      <c r="C12" s="11">
        <v>1</v>
      </c>
      <c r="D12" s="11">
        <v>2020</v>
      </c>
      <c r="E12" s="18">
        <f>'FS Seychelles'!B13</f>
        <v>60</v>
      </c>
      <c r="F12" s="18">
        <f>'FS Seychelles'!C13*1000</f>
        <v>2808.8320000000003</v>
      </c>
      <c r="G12" s="18">
        <f>'FS Seychelles'!D13*1000</f>
        <v>5433.3440000000001</v>
      </c>
      <c r="H12" s="18">
        <f>'FS Seychelles'!E13*1000</f>
        <v>5079.5519999999997</v>
      </c>
      <c r="I12" s="18">
        <f>'FS Seychelles'!F13*1000</f>
        <v>1626.88</v>
      </c>
      <c r="J12" s="18">
        <f>'FS Seychelles'!G13*1000</f>
        <v>2707.9680000000003</v>
      </c>
      <c r="K12" s="18">
        <f>'FS Seychelles'!H13*1000</f>
        <v>2911.232</v>
      </c>
      <c r="L12" s="18">
        <f>'FS Seychelles'!I13*1000</f>
        <v>1364.48</v>
      </c>
      <c r="M12" s="18">
        <f>'FS Seychelles'!J13*1000</f>
        <v>1727.36</v>
      </c>
      <c r="N12" s="18">
        <f>'FS Seychelles'!K13*1000</f>
        <v>3308.288</v>
      </c>
      <c r="O12" s="18">
        <f>'FS Seychelles'!L13</f>
        <v>3714</v>
      </c>
      <c r="P12" s="18">
        <f>'FS Seychelles'!M13</f>
        <v>11077</v>
      </c>
      <c r="Q12" s="18">
        <f>'FS Seychelles'!N13</f>
        <v>3831</v>
      </c>
      <c r="R12" s="18">
        <f>'FS Seychelles'!O13</f>
        <v>10502</v>
      </c>
      <c r="S12" s="18">
        <f>'FS Seychelles'!P13</f>
        <v>0</v>
      </c>
      <c r="T12" s="18">
        <f>'FS Seychelles'!Q13</f>
        <v>8235</v>
      </c>
      <c r="U12" s="18">
        <f>'FS Seychelles'!R13</f>
        <v>60</v>
      </c>
      <c r="V12" s="18">
        <f>'FS Seychelles'!S13</f>
        <v>43</v>
      </c>
      <c r="W12" s="18">
        <f>'FS Seychelles'!T13</f>
        <v>51</v>
      </c>
      <c r="X12" s="18">
        <f>'FS Seychelles'!U13</f>
        <v>194</v>
      </c>
      <c r="Y12" s="18">
        <f>'FS Seychelles'!V13</f>
        <v>184</v>
      </c>
      <c r="Z12" s="18">
        <f>'FS Seychelles'!W13</f>
        <v>125</v>
      </c>
      <c r="AA12" s="18">
        <f>'FS Seychelles'!X13</f>
        <v>0</v>
      </c>
      <c r="AB12" s="18">
        <f t="shared" si="0"/>
        <v>201.54838709677421</v>
      </c>
    </row>
    <row r="13" spans="1:28" x14ac:dyDescent="0.25">
      <c r="A13" s="1" t="s">
        <v>11</v>
      </c>
      <c r="B13" s="11">
        <f t="shared" si="1"/>
        <v>12</v>
      </c>
      <c r="C13" s="11">
        <v>1</v>
      </c>
      <c r="D13" s="11">
        <v>2020</v>
      </c>
      <c r="E13" s="18">
        <f>'FS Seychelles'!B14</f>
        <v>60</v>
      </c>
      <c r="F13" s="18">
        <f>'FS Seychelles'!C14*1000</f>
        <v>3076.6079999999997</v>
      </c>
      <c r="G13" s="18">
        <f>'FS Seychelles'!D14*1000</f>
        <v>5463.5519999999997</v>
      </c>
      <c r="H13" s="18">
        <f>'FS Seychelles'!E14*1000</f>
        <v>5140.4800000000005</v>
      </c>
      <c r="I13" s="18">
        <f>'FS Seychelles'!F14*1000</f>
        <v>1895.68</v>
      </c>
      <c r="J13" s="18">
        <f>'FS Seychelles'!G14*1000</f>
        <v>2534.4</v>
      </c>
      <c r="K13" s="18">
        <f>'FS Seychelles'!H14*1000</f>
        <v>2919.68</v>
      </c>
      <c r="L13" s="18">
        <f>'FS Seychelles'!I14*1000</f>
        <v>1396.096</v>
      </c>
      <c r="M13" s="18">
        <f>'FS Seychelles'!J14*1000</f>
        <v>1970.944</v>
      </c>
      <c r="N13" s="18">
        <f>'FS Seychelles'!K14*1000</f>
        <v>3414.0160000000001</v>
      </c>
      <c r="O13" s="18">
        <f>'FS Seychelles'!L14</f>
        <v>10738</v>
      </c>
      <c r="P13" s="18">
        <f>'FS Seychelles'!M14</f>
        <v>386</v>
      </c>
      <c r="Q13" s="18">
        <f>'FS Seychelles'!N14</f>
        <v>10737</v>
      </c>
      <c r="R13" s="18">
        <f>'FS Seychelles'!O14</f>
        <v>3805</v>
      </c>
      <c r="S13" s="18">
        <f>'FS Seychelles'!P14</f>
        <v>0</v>
      </c>
      <c r="T13" s="18">
        <f>'FS Seychelles'!Q14</f>
        <v>7742</v>
      </c>
      <c r="U13" s="18">
        <f>'FS Seychelles'!R14</f>
        <v>63</v>
      </c>
      <c r="V13" s="18">
        <f>'FS Seychelles'!S14</f>
        <v>41</v>
      </c>
      <c r="W13" s="18">
        <f>'FS Seychelles'!T14</f>
        <v>53</v>
      </c>
      <c r="X13" s="18">
        <f>'FS Seychelles'!U14</f>
        <v>216</v>
      </c>
      <c r="Y13" s="18">
        <f>'FS Seychelles'!V14</f>
        <v>155</v>
      </c>
      <c r="Z13" s="18">
        <f>'FS Seychelles'!W14</f>
        <v>120</v>
      </c>
      <c r="AA13" s="18">
        <f>'FS Seychelles'!X14</f>
        <v>0</v>
      </c>
      <c r="AB13" s="18">
        <f t="shared" si="0"/>
        <v>201.54838709677421</v>
      </c>
    </row>
    <row r="14" spans="1:28" x14ac:dyDescent="0.25">
      <c r="A14" s="1" t="s">
        <v>11</v>
      </c>
      <c r="B14" s="11">
        <f t="shared" si="1"/>
        <v>13</v>
      </c>
      <c r="C14" s="11">
        <v>1</v>
      </c>
      <c r="D14" s="11">
        <v>2020</v>
      </c>
      <c r="E14" s="18">
        <f>'FS Seychelles'!B15</f>
        <v>67.37</v>
      </c>
      <c r="F14" s="18">
        <f>'FS Seychelles'!C15*1000</f>
        <v>2988.288</v>
      </c>
      <c r="G14" s="18">
        <f>'FS Seychelles'!D15*1000</f>
        <v>5610.4960000000001</v>
      </c>
      <c r="H14" s="18">
        <f>'FS Seychelles'!E15*1000</f>
        <v>4929.5360000000001</v>
      </c>
      <c r="I14" s="18">
        <f>'FS Seychelles'!F15*1000</f>
        <v>1956.864</v>
      </c>
      <c r="J14" s="18">
        <f>'FS Seychelles'!G15*1000</f>
        <v>2510.8480000000004</v>
      </c>
      <c r="K14" s="18">
        <f>'FS Seychelles'!H15*1000</f>
        <v>3069.9519999999998</v>
      </c>
      <c r="L14" s="18">
        <f>'FS Seychelles'!I15*1000</f>
        <v>1374.4639999999999</v>
      </c>
      <c r="M14" s="18">
        <f>'FS Seychelles'!J15*1000</f>
        <v>1887.36</v>
      </c>
      <c r="N14" s="18">
        <f>'FS Seychelles'!K15*1000</f>
        <v>3444.48</v>
      </c>
      <c r="O14" s="18">
        <f>'FS Seychelles'!L15</f>
        <v>6745</v>
      </c>
      <c r="P14" s="18">
        <f>'FS Seychelles'!M15</f>
        <v>7657</v>
      </c>
      <c r="Q14" s="18">
        <f>'FS Seychelles'!N15</f>
        <v>7159</v>
      </c>
      <c r="R14" s="18">
        <f>'FS Seychelles'!O15</f>
        <v>7638</v>
      </c>
      <c r="S14" s="18">
        <f>'FS Seychelles'!P15</f>
        <v>0</v>
      </c>
      <c r="T14" s="18">
        <f>'FS Seychelles'!Q15</f>
        <v>8386</v>
      </c>
      <c r="U14" s="18">
        <f>'FS Seychelles'!R15</f>
        <v>69</v>
      </c>
      <c r="V14" s="18">
        <f>'FS Seychelles'!S15</f>
        <v>49</v>
      </c>
      <c r="W14" s="18">
        <f>'FS Seychelles'!T15</f>
        <v>49</v>
      </c>
      <c r="X14" s="18">
        <f>'FS Seychelles'!U15</f>
        <v>169</v>
      </c>
      <c r="Y14" s="18">
        <f>'FS Seychelles'!V15</f>
        <v>179</v>
      </c>
      <c r="Z14" s="18">
        <f>'FS Seychelles'!W15</f>
        <v>122</v>
      </c>
      <c r="AA14" s="18">
        <f>'FS Seychelles'!X15</f>
        <v>0</v>
      </c>
      <c r="AB14" s="18">
        <f t="shared" si="0"/>
        <v>201.54838709677421</v>
      </c>
    </row>
    <row r="15" spans="1:28" x14ac:dyDescent="0.25">
      <c r="A15" s="1" t="s">
        <v>11</v>
      </c>
      <c r="B15" s="11">
        <f t="shared" si="1"/>
        <v>14</v>
      </c>
      <c r="C15" s="11">
        <v>1</v>
      </c>
      <c r="D15" s="11">
        <v>2020</v>
      </c>
      <c r="E15" s="18">
        <f>'FS Seychelles'!B16</f>
        <v>95.08</v>
      </c>
      <c r="F15" s="18">
        <f>'FS Seychelles'!C16*1000</f>
        <v>3285.7599999999998</v>
      </c>
      <c r="G15" s="18">
        <f>'FS Seychelles'!D16*1000</f>
        <v>6023.1679999999997</v>
      </c>
      <c r="H15" s="18">
        <f>'FS Seychelles'!E16*1000</f>
        <v>5428.7359999999999</v>
      </c>
      <c r="I15" s="18">
        <f>'FS Seychelles'!F16*1000</f>
        <v>2321.6640000000002</v>
      </c>
      <c r="J15" s="18">
        <f>'FS Seychelles'!G16*1000</f>
        <v>2665.4719999999998</v>
      </c>
      <c r="K15" s="18">
        <f>'FS Seychelles'!H16*1000</f>
        <v>3084.0320000000002</v>
      </c>
      <c r="L15" s="18">
        <f>'FS Seychelles'!I16*1000</f>
        <v>1406.9760000000001</v>
      </c>
      <c r="M15" s="18">
        <f>'FS Seychelles'!J16*1000</f>
        <v>1910.0159999999998</v>
      </c>
      <c r="N15" s="18">
        <f>'FS Seychelles'!K16*1000</f>
        <v>3622.9119999999998</v>
      </c>
      <c r="O15" s="18">
        <f>'FS Seychelles'!L16</f>
        <v>7526</v>
      </c>
      <c r="P15" s="18">
        <f>'FS Seychelles'!M16</f>
        <v>8254</v>
      </c>
      <c r="Q15" s="18">
        <f>'FS Seychelles'!N16</f>
        <v>7680</v>
      </c>
      <c r="R15" s="18">
        <f>'FS Seychelles'!O16</f>
        <v>8753</v>
      </c>
      <c r="S15" s="18">
        <f>'FS Seychelles'!P16</f>
        <v>0</v>
      </c>
      <c r="T15" s="18">
        <f>'FS Seychelles'!Q17</f>
        <v>11076</v>
      </c>
      <c r="U15" s="18">
        <f>'FS Seychelles'!R16</f>
        <v>70</v>
      </c>
      <c r="V15" s="18">
        <f>'FS Seychelles'!S16</f>
        <v>16</v>
      </c>
      <c r="W15" s="18">
        <f>'FS Seychelles'!T16</f>
        <v>55</v>
      </c>
      <c r="X15" s="18">
        <f>'FS Seychelles'!U16</f>
        <v>194</v>
      </c>
      <c r="Y15" s="18">
        <f>'FS Seychelles'!V16</f>
        <v>162</v>
      </c>
      <c r="Z15" s="18">
        <f>'FS Seychelles'!W16</f>
        <v>113</v>
      </c>
      <c r="AA15" s="18">
        <f>'FS Seychelles'!X16</f>
        <v>0</v>
      </c>
      <c r="AB15" s="18">
        <f t="shared" si="0"/>
        <v>201.54838709677421</v>
      </c>
    </row>
    <row r="16" spans="1:28" x14ac:dyDescent="0.25">
      <c r="A16" s="1" t="s">
        <v>11</v>
      </c>
      <c r="B16" s="11">
        <f t="shared" si="1"/>
        <v>15</v>
      </c>
      <c r="C16" s="11">
        <v>1</v>
      </c>
      <c r="D16" s="11">
        <v>2020</v>
      </c>
      <c r="E16" s="18">
        <f>'FS Seychelles'!B17</f>
        <v>92.75</v>
      </c>
      <c r="F16" s="18">
        <f>'FS Seychelles'!C17*1000</f>
        <v>2767.36</v>
      </c>
      <c r="G16" s="18">
        <f>'FS Seychelles'!D17*1000</f>
        <v>5468.6719999999996</v>
      </c>
      <c r="H16" s="18">
        <f>'FS Seychelles'!E17*1000</f>
        <v>5293.0559999999996</v>
      </c>
      <c r="I16" s="18">
        <f>'FS Seychelles'!F17*1000</f>
        <v>2203.3919999999998</v>
      </c>
      <c r="J16" s="18">
        <f>'FS Seychelles'!G17*1000</f>
        <v>2583.808</v>
      </c>
      <c r="K16" s="18">
        <f>'FS Seychelles'!H17*1000</f>
        <v>2639.8719999999998</v>
      </c>
      <c r="L16" s="18">
        <f>'FS Seychelles'!I17*1000</f>
        <v>1443.7120000000002</v>
      </c>
      <c r="M16" s="18">
        <f>'FS Seychelles'!J17*1000</f>
        <v>1686.3999999999999</v>
      </c>
      <c r="N16" s="18">
        <f>'FS Seychelles'!K17*1000</f>
        <v>3652.096</v>
      </c>
      <c r="O16" s="18">
        <f>'FS Seychelles'!L17</f>
        <v>10762</v>
      </c>
      <c r="P16" s="18">
        <f>'FS Seychelles'!M17</f>
        <v>8581</v>
      </c>
      <c r="Q16" s="18">
        <f>'FS Seychelles'!N17</f>
        <v>8149</v>
      </c>
      <c r="R16" s="18">
        <f>'FS Seychelles'!O17</f>
        <v>12458</v>
      </c>
      <c r="S16" s="18">
        <f>'FS Seychelles'!P17</f>
        <v>0</v>
      </c>
      <c r="T16" s="18">
        <f>'FS Seychelles'!Q18</f>
        <v>5246</v>
      </c>
      <c r="U16" s="18">
        <f>'FS Seychelles'!R17</f>
        <v>75</v>
      </c>
      <c r="V16" s="18">
        <f>'FS Seychelles'!S17</f>
        <v>39</v>
      </c>
      <c r="W16" s="18">
        <f>'FS Seychelles'!T17</f>
        <v>68</v>
      </c>
      <c r="X16" s="18">
        <f>'FS Seychelles'!U17</f>
        <v>242</v>
      </c>
      <c r="Y16" s="18">
        <f>'FS Seychelles'!V17</f>
        <v>208</v>
      </c>
      <c r="Z16" s="18">
        <f>'FS Seychelles'!W17</f>
        <v>125</v>
      </c>
      <c r="AA16" s="18">
        <f>'FS Seychelles'!X17</f>
        <v>0</v>
      </c>
      <c r="AB16" s="18">
        <f t="shared" si="0"/>
        <v>201.54838709677421</v>
      </c>
    </row>
    <row r="17" spans="1:28" x14ac:dyDescent="0.25">
      <c r="A17" s="1" t="s">
        <v>11</v>
      </c>
      <c r="B17" s="11">
        <f t="shared" si="1"/>
        <v>16</v>
      </c>
      <c r="C17" s="11">
        <v>1</v>
      </c>
      <c r="D17" s="11">
        <v>2020</v>
      </c>
      <c r="E17" s="18">
        <f>'FS Seychelles'!B18</f>
        <v>80.28</v>
      </c>
      <c r="F17" s="18">
        <f>'FS Seychelles'!C18*1000</f>
        <v>3014.1439999999998</v>
      </c>
      <c r="G17" s="18">
        <f>'FS Seychelles'!D18*1000</f>
        <v>5719.5520000000006</v>
      </c>
      <c r="H17" s="18">
        <f>'FS Seychelles'!E18*1000</f>
        <v>5372.4160000000002</v>
      </c>
      <c r="I17" s="18">
        <f>'FS Seychelles'!F18*1000</f>
        <v>2482.944</v>
      </c>
      <c r="J17" s="18">
        <f>'FS Seychelles'!G18*1000</f>
        <v>2683.904</v>
      </c>
      <c r="K17" s="18">
        <f>'FS Seychelles'!H18*1000</f>
        <v>2650.1120000000001</v>
      </c>
      <c r="L17" s="18">
        <f>'FS Seychelles'!I18*1000</f>
        <v>1398.4</v>
      </c>
      <c r="M17" s="18">
        <f>'FS Seychelles'!J18*1000</f>
        <v>1800.8319999999999</v>
      </c>
      <c r="N17" s="18">
        <f>'FS Seychelles'!K18*1000</f>
        <v>3721.4719999999998</v>
      </c>
      <c r="O17" s="18">
        <f>'FS Seychelles'!L18</f>
        <v>0</v>
      </c>
      <c r="P17" s="18">
        <f>'FS Seychelles'!M18</f>
        <v>10699</v>
      </c>
      <c r="Q17" s="18">
        <f>'FS Seychelles'!N18</f>
        <v>4173</v>
      </c>
      <c r="R17" s="18">
        <f>'FS Seychelles'!O18</f>
        <v>4197</v>
      </c>
      <c r="S17" s="18">
        <f>'FS Seychelles'!P18</f>
        <v>0</v>
      </c>
      <c r="T17" s="18">
        <f>'FS Seychelles'!Q18</f>
        <v>5246</v>
      </c>
      <c r="U17" s="18">
        <f>'FS Seychelles'!R18</f>
        <v>64</v>
      </c>
      <c r="V17" s="18">
        <f>'FS Seychelles'!S18</f>
        <v>32</v>
      </c>
      <c r="W17" s="18">
        <f>'FS Seychelles'!T18</f>
        <v>79</v>
      </c>
      <c r="X17" s="18">
        <f>'FS Seychelles'!U18</f>
        <v>224</v>
      </c>
      <c r="Y17" s="18">
        <f>'FS Seychelles'!V18</f>
        <v>196</v>
      </c>
      <c r="Z17" s="18">
        <f>'FS Seychelles'!W18</f>
        <v>118</v>
      </c>
      <c r="AA17" s="18">
        <f>'FS Seychelles'!X18</f>
        <v>0</v>
      </c>
      <c r="AB17" s="18">
        <f t="shared" si="0"/>
        <v>201.54838709677421</v>
      </c>
    </row>
    <row r="18" spans="1:28" x14ac:dyDescent="0.25">
      <c r="A18" s="1" t="s">
        <v>11</v>
      </c>
      <c r="B18" s="11">
        <f t="shared" si="1"/>
        <v>17</v>
      </c>
      <c r="C18" s="11">
        <v>1</v>
      </c>
      <c r="D18" s="11">
        <v>2020</v>
      </c>
      <c r="E18" s="18">
        <f>'FS Seychelles'!B19</f>
        <v>86.15</v>
      </c>
      <c r="F18" s="18">
        <f>'FS Seychelles'!C19*1000</f>
        <v>2867.2</v>
      </c>
      <c r="G18" s="18">
        <f>'FS Seychelles'!D19*1000</f>
        <v>5123.0719999999992</v>
      </c>
      <c r="H18" s="18">
        <f>'FS Seychelles'!E19*1000</f>
        <v>4983.808</v>
      </c>
      <c r="I18" s="18">
        <f>'FS Seychelles'!F19*1000</f>
        <v>2725.8879999999999</v>
      </c>
      <c r="J18" s="18">
        <f>'FS Seychelles'!G19*1000</f>
        <v>2680.0639999999999</v>
      </c>
      <c r="K18" s="18">
        <f>'FS Seychelles'!H19*1000</f>
        <v>2537.4720000000002</v>
      </c>
      <c r="L18" s="18">
        <f>'FS Seychelles'!I19*1000</f>
        <v>1445.248</v>
      </c>
      <c r="M18" s="18">
        <f>'FS Seychelles'!J19*1000</f>
        <v>1903.36</v>
      </c>
      <c r="N18" s="18">
        <f>'FS Seychelles'!K19*1000</f>
        <v>3601.4080000000004</v>
      </c>
      <c r="O18" s="18">
        <f>'FS Seychelles'!L19</f>
        <v>14148</v>
      </c>
      <c r="P18" s="18">
        <f>'FS Seychelles'!M19</f>
        <v>6641</v>
      </c>
      <c r="Q18" s="18">
        <f>'FS Seychelles'!N19</f>
        <v>0</v>
      </c>
      <c r="R18" s="18">
        <f>'FS Seychelles'!O19</f>
        <v>8103</v>
      </c>
      <c r="S18" s="18">
        <f>'FS Seychelles'!P19</f>
        <v>0</v>
      </c>
      <c r="T18" s="18">
        <f>'FS Seychelles'!Q19</f>
        <v>7971</v>
      </c>
      <c r="U18" s="18">
        <f>'FS Seychelles'!R19</f>
        <v>65</v>
      </c>
      <c r="V18" s="18">
        <f>'FS Seychelles'!S19</f>
        <v>0</v>
      </c>
      <c r="W18" s="18">
        <f>'FS Seychelles'!T19</f>
        <v>84</v>
      </c>
      <c r="X18" s="18">
        <f>'FS Seychelles'!U19</f>
        <v>226</v>
      </c>
      <c r="Y18" s="18">
        <f>'FS Seychelles'!V19</f>
        <v>178</v>
      </c>
      <c r="Z18" s="18">
        <f>'FS Seychelles'!W19</f>
        <v>121</v>
      </c>
      <c r="AA18" s="18">
        <f>'FS Seychelles'!X19</f>
        <v>0</v>
      </c>
      <c r="AB18" s="18">
        <f t="shared" si="0"/>
        <v>201.54838709677421</v>
      </c>
    </row>
    <row r="19" spans="1:28" x14ac:dyDescent="0.25">
      <c r="A19" s="1" t="s">
        <v>11</v>
      </c>
      <c r="B19" s="11">
        <f t="shared" si="1"/>
        <v>18</v>
      </c>
      <c r="C19" s="11">
        <v>1</v>
      </c>
      <c r="D19" s="11">
        <v>2020</v>
      </c>
      <c r="E19" s="18">
        <f>'FS Seychelles'!B20</f>
        <v>90</v>
      </c>
      <c r="F19" s="18">
        <f>'FS Seychelles'!C20*1000</f>
        <v>3270.6559999999999</v>
      </c>
      <c r="G19" s="18">
        <f>'FS Seychelles'!D20*1000</f>
        <v>5633.0239999999994</v>
      </c>
      <c r="H19" s="18">
        <f>'FS Seychelles'!E20*1000</f>
        <v>5171.2</v>
      </c>
      <c r="I19" s="18">
        <f>'FS Seychelles'!F20*1000</f>
        <v>2867.712</v>
      </c>
      <c r="J19" s="18">
        <f>'FS Seychelles'!G20*1000</f>
        <v>3309.8240000000001</v>
      </c>
      <c r="K19" s="18">
        <f>'FS Seychelles'!H20*1000</f>
        <v>2918.6559999999999</v>
      </c>
      <c r="L19" s="18">
        <f>'FS Seychelles'!I20*1000</f>
        <v>1396.2239999999999</v>
      </c>
      <c r="M19" s="18">
        <f>'FS Seychelles'!J20*1000</f>
        <v>1941.248</v>
      </c>
      <c r="N19" s="18">
        <f>'FS Seychelles'!K20*1000</f>
        <v>3682.0479999999998</v>
      </c>
      <c r="O19" s="18">
        <f>'FS Seychelles'!L20</f>
        <v>0</v>
      </c>
      <c r="P19" s="18">
        <f>'FS Seychelles'!M20</f>
        <v>14930</v>
      </c>
      <c r="Q19" s="18">
        <f>'FS Seychelles'!N20</f>
        <v>14944</v>
      </c>
      <c r="R19" s="18">
        <f>'FS Seychelles'!O20</f>
        <v>0</v>
      </c>
      <c r="S19" s="18">
        <f>'FS Seychelles'!P20</f>
        <v>0</v>
      </c>
      <c r="T19" s="18">
        <f>'FS Seychelles'!Q20</f>
        <v>8044</v>
      </c>
      <c r="U19" s="18">
        <f>'FS Seychelles'!R20</f>
        <v>74</v>
      </c>
      <c r="V19" s="18">
        <f>'FS Seychelles'!S20</f>
        <v>0</v>
      </c>
      <c r="W19" s="18">
        <f>'FS Seychelles'!T20</f>
        <v>85</v>
      </c>
      <c r="X19" s="18">
        <f>'FS Seychelles'!U20</f>
        <v>163</v>
      </c>
      <c r="Y19" s="18">
        <f>'FS Seychelles'!V20</f>
        <v>194</v>
      </c>
      <c r="Z19" s="18">
        <f>'FS Seychelles'!W20</f>
        <v>117</v>
      </c>
      <c r="AA19" s="18">
        <f>'FS Seychelles'!X20</f>
        <v>0</v>
      </c>
      <c r="AB19" s="18">
        <f t="shared" si="0"/>
        <v>201.54838709677421</v>
      </c>
    </row>
    <row r="20" spans="1:28" x14ac:dyDescent="0.25">
      <c r="A20" s="1" t="s">
        <v>11</v>
      </c>
      <c r="B20" s="11">
        <f t="shared" si="1"/>
        <v>19</v>
      </c>
      <c r="C20" s="11">
        <v>1</v>
      </c>
      <c r="D20" s="11">
        <v>2020</v>
      </c>
      <c r="E20" s="18">
        <f>'FS Seychelles'!B21</f>
        <v>72</v>
      </c>
      <c r="F20" s="18">
        <f>'FS Seychelles'!C21*1000</f>
        <v>3386.1119999999996</v>
      </c>
      <c r="G20" s="18">
        <f>'FS Seychelles'!D21*1000</f>
        <v>5477.3759999999993</v>
      </c>
      <c r="H20" s="18">
        <f>'FS Seychelles'!E21*1000</f>
        <v>5111.2960000000003</v>
      </c>
      <c r="I20" s="18">
        <f>'FS Seychelles'!F21*1000</f>
        <v>2586.3679999999999</v>
      </c>
      <c r="J20" s="18">
        <f>'FS Seychelles'!G21*1000</f>
        <v>3621.12</v>
      </c>
      <c r="K20" s="18">
        <f>'FS Seychelles'!H21*1000</f>
        <v>2886.6559999999999</v>
      </c>
      <c r="L20" s="18">
        <f>'FS Seychelles'!I21*1000</f>
        <v>1413.248</v>
      </c>
      <c r="M20" s="18">
        <f>'FS Seychelles'!J21*1000</f>
        <v>2276.096</v>
      </c>
      <c r="N20" s="18">
        <f>'FS Seychelles'!K21*1000</f>
        <v>3590.1439999999998</v>
      </c>
      <c r="O20" s="18">
        <f>'FS Seychelles'!L21</f>
        <v>10750</v>
      </c>
      <c r="P20" s="18">
        <f>'FS Seychelles'!M21</f>
        <v>6172</v>
      </c>
      <c r="Q20" s="18">
        <f>'FS Seychelles'!N21</f>
        <v>8747</v>
      </c>
      <c r="R20" s="18">
        <f>'FS Seychelles'!O21</f>
        <v>8214</v>
      </c>
      <c r="S20" s="18">
        <f>'FS Seychelles'!P21</f>
        <v>0</v>
      </c>
      <c r="T20" s="18">
        <f>'FS Seychelles'!Q21</f>
        <v>9405</v>
      </c>
      <c r="U20" s="18">
        <f>'FS Seychelles'!R21</f>
        <v>68</v>
      </c>
      <c r="V20" s="18">
        <f>'FS Seychelles'!S21</f>
        <v>0</v>
      </c>
      <c r="W20" s="18">
        <f>'FS Seychelles'!T21</f>
        <v>106</v>
      </c>
      <c r="X20" s="18">
        <f>'FS Seychelles'!U21</f>
        <v>218</v>
      </c>
      <c r="Y20" s="18">
        <f>'FS Seychelles'!V21</f>
        <v>180</v>
      </c>
      <c r="Z20" s="18">
        <f>'FS Seychelles'!W21</f>
        <v>117</v>
      </c>
      <c r="AA20" s="18">
        <f>'FS Seychelles'!X21</f>
        <v>0</v>
      </c>
      <c r="AB20" s="18">
        <f t="shared" si="0"/>
        <v>201.54838709677421</v>
      </c>
    </row>
    <row r="21" spans="1:28" x14ac:dyDescent="0.25">
      <c r="A21" s="1" t="s">
        <v>11</v>
      </c>
      <c r="B21" s="11">
        <f t="shared" si="1"/>
        <v>20</v>
      </c>
      <c r="C21" s="11">
        <v>1</v>
      </c>
      <c r="D21" s="11">
        <v>2020</v>
      </c>
      <c r="E21" s="18">
        <f>'FS Seychelles'!B22</f>
        <v>72.22</v>
      </c>
      <c r="F21" s="18">
        <f>'FS Seychelles'!C22*1000</f>
        <v>3501.8240000000001</v>
      </c>
      <c r="G21" s="18">
        <f>'FS Seychelles'!D22*1000</f>
        <v>5582.3359999999993</v>
      </c>
      <c r="H21" s="18">
        <f>'FS Seychelles'!E22*1000</f>
        <v>5194.24</v>
      </c>
      <c r="I21" s="18">
        <f>'FS Seychelles'!F22*1000</f>
        <v>2589.44</v>
      </c>
      <c r="J21" s="18">
        <f>'FS Seychelles'!G22*1000</f>
        <v>3770.88</v>
      </c>
      <c r="K21" s="18">
        <f>'FS Seychelles'!H22*1000</f>
        <v>3020.288</v>
      </c>
      <c r="L21" s="18">
        <f>'FS Seychelles'!I22*1000</f>
        <v>1412.992</v>
      </c>
      <c r="M21" s="18">
        <f>'FS Seychelles'!J22*1000</f>
        <v>2149.8879999999999</v>
      </c>
      <c r="N21" s="18">
        <f>'FS Seychelles'!K22*1000</f>
        <v>3519.4879999999998</v>
      </c>
      <c r="O21" s="18">
        <f>'FS Seychelles'!L22</f>
        <v>5226</v>
      </c>
      <c r="P21" s="18">
        <f>'FS Seychelles'!M22</f>
        <v>11041</v>
      </c>
      <c r="Q21" s="18">
        <f>'FS Seychelles'!N22</f>
        <v>11282</v>
      </c>
      <c r="R21" s="18">
        <f>'FS Seychelles'!O22</f>
        <v>5006</v>
      </c>
      <c r="S21" s="18">
        <f>'FS Seychelles'!P23</f>
        <v>0</v>
      </c>
      <c r="T21" s="18">
        <f>'FS Seychelles'!Q22</f>
        <v>8778</v>
      </c>
      <c r="U21" s="18">
        <f>'FS Seychelles'!R22</f>
        <v>66</v>
      </c>
      <c r="V21" s="18">
        <f>'FS Seychelles'!S22</f>
        <v>0</v>
      </c>
      <c r="W21" s="18">
        <f>'FS Seychelles'!T22</f>
        <v>138</v>
      </c>
      <c r="X21" s="18">
        <f>'FS Seychelles'!U22</f>
        <v>220</v>
      </c>
      <c r="Y21" s="18">
        <f>'FS Seychelles'!V22</f>
        <v>194</v>
      </c>
      <c r="Z21" s="18">
        <f>'FS Seychelles'!W22</f>
        <v>136</v>
      </c>
      <c r="AA21" s="18">
        <f>'FS Seychelles'!X22</f>
        <v>0</v>
      </c>
      <c r="AB21" s="18">
        <f t="shared" si="0"/>
        <v>201.54838709677421</v>
      </c>
    </row>
    <row r="22" spans="1:28" x14ac:dyDescent="0.25">
      <c r="A22" s="1" t="s">
        <v>11</v>
      </c>
      <c r="B22" s="11">
        <f t="shared" si="1"/>
        <v>21</v>
      </c>
      <c r="C22" s="11">
        <v>1</v>
      </c>
      <c r="D22" s="11">
        <v>2020</v>
      </c>
      <c r="E22" s="18">
        <f>'FS Seychelles'!B23</f>
        <v>61.97</v>
      </c>
      <c r="F22" s="18">
        <f>'FS Seychelles'!C23*1000</f>
        <v>3436.288</v>
      </c>
      <c r="G22" s="18">
        <f>'FS Seychelles'!D23*1000</f>
        <v>5616.1279999999997</v>
      </c>
      <c r="H22" s="18">
        <f>'FS Seychelles'!E23*1000</f>
        <v>5223.9359999999997</v>
      </c>
      <c r="I22" s="18">
        <f>'FS Seychelles'!F23*1000</f>
        <v>2734.5920000000001</v>
      </c>
      <c r="J22" s="18">
        <f>'FS Seychelles'!G23*1000</f>
        <v>3863.5519999999997</v>
      </c>
      <c r="K22" s="18">
        <f>'FS Seychelles'!H23*1000</f>
        <v>3103.2320000000004</v>
      </c>
      <c r="L22" s="18">
        <f>'FS Seychelles'!I23*1000</f>
        <v>1385.6</v>
      </c>
      <c r="M22" s="18">
        <f>'FS Seychelles'!J23*1000</f>
        <v>2030.08</v>
      </c>
      <c r="N22" s="18">
        <f>'FS Seychelles'!K23*1000</f>
        <v>3700.7359999999999</v>
      </c>
      <c r="O22" s="18">
        <f>'FS Seychelles'!L23</f>
        <v>4233</v>
      </c>
      <c r="P22" s="18">
        <f>'FS Seychelles'!M23</f>
        <v>12184</v>
      </c>
      <c r="Q22" s="18">
        <f>'FS Seychelles'!N23</f>
        <v>12136</v>
      </c>
      <c r="R22" s="18">
        <f>'FS Seychelles'!O23</f>
        <v>4280</v>
      </c>
      <c r="S22" s="18">
        <f>'FS Seychelles'!P24</f>
        <v>0</v>
      </c>
      <c r="T22" s="18">
        <f>'FS Seychelles'!Q23</f>
        <v>9021</v>
      </c>
      <c r="U22" s="18">
        <f>'FS Seychelles'!R23</f>
        <v>61</v>
      </c>
      <c r="V22" s="18">
        <f>'FS Seychelles'!S23</f>
        <v>0</v>
      </c>
      <c r="W22" s="18">
        <f>'FS Seychelles'!T23</f>
        <v>118</v>
      </c>
      <c r="X22" s="18">
        <f>'FS Seychelles'!U23</f>
        <v>209</v>
      </c>
      <c r="Y22" s="18">
        <f>'FS Seychelles'!V23</f>
        <v>168</v>
      </c>
      <c r="Z22" s="18">
        <f>'FS Seychelles'!W23</f>
        <v>109</v>
      </c>
      <c r="AA22" s="18">
        <f>'FS Seychelles'!X23</f>
        <v>0</v>
      </c>
      <c r="AB22" s="18">
        <f t="shared" si="0"/>
        <v>201.54838709677421</v>
      </c>
    </row>
    <row r="23" spans="1:28" x14ac:dyDescent="0.25">
      <c r="A23" s="1" t="s">
        <v>11</v>
      </c>
      <c r="B23" s="11">
        <f t="shared" si="1"/>
        <v>22</v>
      </c>
      <c r="C23" s="11">
        <v>1</v>
      </c>
      <c r="D23" s="11">
        <v>2020</v>
      </c>
      <c r="E23" s="18">
        <f>'FS Seychelles'!B24</f>
        <v>46.32</v>
      </c>
      <c r="F23" s="18">
        <f>'FS Seychelles'!C24*1000</f>
        <v>3278.08</v>
      </c>
      <c r="G23" s="18">
        <f>'FS Seychelles'!D24*1000</f>
        <v>5520.384</v>
      </c>
      <c r="H23" s="18">
        <f>'FS Seychelles'!E24*1000</f>
        <v>5553.152</v>
      </c>
      <c r="I23" s="18">
        <f>'FS Seychelles'!F24*1000</f>
        <v>2888.7040000000002</v>
      </c>
      <c r="J23" s="18">
        <f>'FS Seychelles'!G24*1000</f>
        <v>3349.2479999999996</v>
      </c>
      <c r="K23" s="18">
        <f>'FS Seychelles'!H24*1000</f>
        <v>3084.288</v>
      </c>
      <c r="L23" s="18">
        <f>'FS Seychelles'!I24*1000</f>
        <v>1354.4959999999999</v>
      </c>
      <c r="M23" s="18">
        <f>'FS Seychelles'!J24*1000</f>
        <v>2222.5920000000001</v>
      </c>
      <c r="N23" s="18">
        <f>'FS Seychelles'!K24*1000</f>
        <v>3822.848</v>
      </c>
      <c r="O23" s="18">
        <f>'FS Seychelles'!L24</f>
        <v>0</v>
      </c>
      <c r="P23" s="18">
        <f>'FS Seychelles'!M24</f>
        <v>15416</v>
      </c>
      <c r="Q23" s="18">
        <f>'FS Seychelles'!N24</f>
        <v>0</v>
      </c>
      <c r="R23" s="18">
        <f>'FS Seychelles'!O24</f>
        <v>10224</v>
      </c>
      <c r="S23" s="18">
        <f>'FS Seychelles'!P25</f>
        <v>0</v>
      </c>
      <c r="T23" s="18">
        <f>'FS Seychelles'!Q24</f>
        <v>7175</v>
      </c>
      <c r="U23" s="18">
        <f>'FS Seychelles'!R24</f>
        <v>65</v>
      </c>
      <c r="V23" s="18">
        <f>'FS Seychelles'!S24</f>
        <v>0</v>
      </c>
      <c r="W23" s="18">
        <f>'FS Seychelles'!T24</f>
        <v>141</v>
      </c>
      <c r="X23" s="18">
        <f>'FS Seychelles'!U24</f>
        <v>288</v>
      </c>
      <c r="Y23" s="18">
        <f>'FS Seychelles'!V24</f>
        <v>180</v>
      </c>
      <c r="Z23" s="18">
        <f>'FS Seychelles'!W24</f>
        <v>119</v>
      </c>
      <c r="AA23" s="18">
        <f>'FS Seychelles'!X24</f>
        <v>0</v>
      </c>
      <c r="AB23" s="18">
        <f t="shared" si="0"/>
        <v>201.54838709677421</v>
      </c>
    </row>
    <row r="24" spans="1:28" x14ac:dyDescent="0.25">
      <c r="A24" s="1" t="s">
        <v>11</v>
      </c>
      <c r="B24" s="11">
        <f t="shared" si="1"/>
        <v>23</v>
      </c>
      <c r="C24" s="11">
        <v>1</v>
      </c>
      <c r="D24" s="11">
        <v>2020</v>
      </c>
      <c r="E24" s="18">
        <f>'FS Seychelles'!B25</f>
        <v>35.79</v>
      </c>
      <c r="F24" s="18">
        <f>'FS Seychelles'!C25*1000</f>
        <v>2888.96</v>
      </c>
      <c r="G24" s="18">
        <f>'FS Seychelles'!D25*1000</f>
        <v>4764.1600000000008</v>
      </c>
      <c r="H24" s="18">
        <f>'FS Seychelles'!E25*1000</f>
        <v>5035.0080000000007</v>
      </c>
      <c r="I24" s="18">
        <f>'FS Seychelles'!F25*1000</f>
        <v>2789.6320000000001</v>
      </c>
      <c r="J24" s="18">
        <f>'FS Seychelles'!G25*1000</f>
        <v>2667.0080000000003</v>
      </c>
      <c r="K24" s="18">
        <f>'FS Seychelles'!H25*1000</f>
        <v>1995.7760000000001</v>
      </c>
      <c r="L24" s="18">
        <f>'FS Seychelles'!I25*1000</f>
        <v>1273.6000000000001</v>
      </c>
      <c r="M24" s="18">
        <f>'FS Seychelles'!J25*1000</f>
        <v>1607.9359999999999</v>
      </c>
      <c r="N24" s="18">
        <f>'FS Seychelles'!K25*1000</f>
        <v>3601.152</v>
      </c>
      <c r="O24" s="18">
        <f>'FS Seychelles'!L25</f>
        <v>13710</v>
      </c>
      <c r="P24" s="18">
        <f>'FS Seychelles'!M25</f>
        <v>0</v>
      </c>
      <c r="Q24" s="18">
        <f>'FS Seychelles'!N25</f>
        <v>13508</v>
      </c>
      <c r="R24" s="18">
        <f>'FS Seychelles'!O25</f>
        <v>0</v>
      </c>
      <c r="S24" s="18">
        <f>'FS Seychelles'!P25</f>
        <v>0</v>
      </c>
      <c r="T24" s="18">
        <f>'FS Seychelles'!Q25</f>
        <v>8890</v>
      </c>
      <c r="U24" s="18">
        <f>'FS Seychelles'!R25</f>
        <v>61</v>
      </c>
      <c r="V24" s="18">
        <f>'FS Seychelles'!S25</f>
        <v>0</v>
      </c>
      <c r="W24" s="18">
        <f>'FS Seychelles'!T25</f>
        <v>161</v>
      </c>
      <c r="X24" s="18">
        <f>'FS Seychelles'!U25</f>
        <v>178</v>
      </c>
      <c r="Y24" s="18">
        <f>'FS Seychelles'!V25</f>
        <v>189</v>
      </c>
      <c r="Z24" s="18">
        <f>'FS Seychelles'!W25</f>
        <v>122</v>
      </c>
      <c r="AA24" s="18">
        <f>'FS Seychelles'!X25</f>
        <v>0</v>
      </c>
      <c r="AB24" s="18">
        <f t="shared" si="0"/>
        <v>201.54838709677421</v>
      </c>
    </row>
    <row r="25" spans="1:28" x14ac:dyDescent="0.25">
      <c r="A25" s="1" t="s">
        <v>11</v>
      </c>
      <c r="B25" s="11">
        <f t="shared" si="1"/>
        <v>24</v>
      </c>
      <c r="C25" s="11">
        <v>1</v>
      </c>
      <c r="D25" s="11">
        <v>2020</v>
      </c>
      <c r="E25" s="18">
        <f>'FS Seychelles'!B26</f>
        <v>35.79</v>
      </c>
      <c r="F25" s="18">
        <f>'FS Seychelles'!C26*1000</f>
        <v>3091.712</v>
      </c>
      <c r="G25" s="18">
        <f>'FS Seychelles'!D26*1000</f>
        <v>4687.8719999999994</v>
      </c>
      <c r="H25" s="18">
        <f>'FS Seychelles'!E26*1000</f>
        <v>5014.5280000000002</v>
      </c>
      <c r="I25" s="18">
        <f>'FS Seychelles'!F26*1000</f>
        <v>2471.1680000000001</v>
      </c>
      <c r="J25" s="18">
        <f>'FS Seychelles'!G26*1000</f>
        <v>3140.6079999999997</v>
      </c>
      <c r="K25" s="18">
        <f>'FS Seychelles'!H26*1000</f>
        <v>2004.9920000000002</v>
      </c>
      <c r="L25" s="18">
        <f>'FS Seychelles'!I26*1000</f>
        <v>1250.3040000000001</v>
      </c>
      <c r="M25" s="18">
        <f>'FS Seychelles'!J26*1000</f>
        <v>1875.4559999999999</v>
      </c>
      <c r="N25" s="18">
        <f>'FS Seychelles'!K26*1000</f>
        <v>3686.4</v>
      </c>
      <c r="O25" s="18">
        <f>'FS Seychelles'!L26</f>
        <v>4287</v>
      </c>
      <c r="P25" s="18">
        <f>'FS Seychelles'!M26</f>
        <v>0</v>
      </c>
      <c r="Q25" s="18">
        <f>'FS Seychelles'!N26</f>
        <v>9714</v>
      </c>
      <c r="R25" s="18">
        <f>'FS Seychelles'!O26</f>
        <v>9575</v>
      </c>
      <c r="S25" s="18">
        <f>'FS Seychelles'!P26</f>
        <v>0</v>
      </c>
      <c r="T25" s="18">
        <f>'FS Seychelles'!Q26</f>
        <v>6017</v>
      </c>
      <c r="U25" s="18">
        <f>'FS Seychelles'!R26</f>
        <v>56</v>
      </c>
      <c r="V25" s="18">
        <f>'FS Seychelles'!S26</f>
        <v>0</v>
      </c>
      <c r="W25" s="18">
        <f>'FS Seychelles'!T26</f>
        <v>113</v>
      </c>
      <c r="X25" s="18">
        <f>'FS Seychelles'!U26</f>
        <v>170</v>
      </c>
      <c r="Y25" s="18">
        <f>'FS Seychelles'!V26</f>
        <v>151</v>
      </c>
      <c r="Z25" s="18">
        <f>'FS Seychelles'!W26</f>
        <v>118</v>
      </c>
      <c r="AA25" s="18">
        <f>'FS Seychelles'!X26</f>
        <v>0</v>
      </c>
      <c r="AB25" s="18">
        <f t="shared" si="0"/>
        <v>201.54838709677421</v>
      </c>
    </row>
    <row r="26" spans="1:28" x14ac:dyDescent="0.25">
      <c r="A26" s="1" t="s">
        <v>11</v>
      </c>
      <c r="B26" s="11">
        <f>B25+1</f>
        <v>25</v>
      </c>
      <c r="C26" s="11">
        <v>1</v>
      </c>
      <c r="D26" s="11">
        <v>2020</v>
      </c>
      <c r="E26" s="18">
        <f>'FS Seychelles'!B27</f>
        <v>46.15</v>
      </c>
      <c r="F26" s="18">
        <f>'FS Seychelles'!C27*1000</f>
        <v>3389.9520000000002</v>
      </c>
      <c r="G26" s="18">
        <f>'FS Seychelles'!D27*1000</f>
        <v>5148.6720000000005</v>
      </c>
      <c r="H26" s="18">
        <f>'FS Seychelles'!E27*1000</f>
        <v>5178.88</v>
      </c>
      <c r="I26" s="18">
        <f>'FS Seychelles'!F27*1000</f>
        <v>2425.6000000000004</v>
      </c>
      <c r="J26" s="18">
        <f>'FS Seychelles'!G27*1000</f>
        <v>3140.864</v>
      </c>
      <c r="K26" s="18">
        <f>'FS Seychelles'!H27*1000</f>
        <v>2218.752</v>
      </c>
      <c r="L26" s="18">
        <f>'FS Seychelles'!I27*1000</f>
        <v>1284.6079999999999</v>
      </c>
      <c r="M26" s="18">
        <f>'FS Seychelles'!J27*1000</f>
        <v>1992.96</v>
      </c>
      <c r="N26" s="18">
        <f>'FS Seychelles'!K27*1000</f>
        <v>3631.8719999999998</v>
      </c>
      <c r="O26" s="18">
        <f>'FS Seychelles'!L27</f>
        <v>11089</v>
      </c>
      <c r="P26" s="18">
        <f>'FS Seychelles'!M27</f>
        <v>5020</v>
      </c>
      <c r="Q26" s="18">
        <f>'FS Seychelles'!N27</f>
        <v>11058</v>
      </c>
      <c r="R26" s="18">
        <f>'FS Seychelles'!O27</f>
        <v>5234</v>
      </c>
      <c r="S26" s="18">
        <f>'FS Seychelles'!P27</f>
        <v>0</v>
      </c>
      <c r="T26" s="18">
        <f>'FS Seychelles'!Q27</f>
        <v>9338</v>
      </c>
      <c r="U26" s="18">
        <f>'FS Seychelles'!R27</f>
        <v>52</v>
      </c>
      <c r="V26" s="18">
        <f>'FS Seychelles'!S27</f>
        <v>0</v>
      </c>
      <c r="W26" s="18">
        <f>'FS Seychelles'!T27</f>
        <v>151</v>
      </c>
      <c r="X26" s="18">
        <f>'FS Seychelles'!U27</f>
        <v>138</v>
      </c>
      <c r="Y26" s="18">
        <f>'FS Seychelles'!V27</f>
        <v>84</v>
      </c>
      <c r="Z26" s="18">
        <f>'FS Seychelles'!W27</f>
        <v>120</v>
      </c>
      <c r="AA26" s="18">
        <f>'FS Seychelles'!X27</f>
        <v>0</v>
      </c>
      <c r="AB26" s="18">
        <f t="shared" si="0"/>
        <v>201.54838709677421</v>
      </c>
    </row>
    <row r="27" spans="1:28" x14ac:dyDescent="0.25">
      <c r="A27" s="1" t="s">
        <v>11</v>
      </c>
      <c r="B27" s="11">
        <f t="shared" si="1"/>
        <v>26</v>
      </c>
      <c r="C27" s="11">
        <v>1</v>
      </c>
      <c r="D27" s="11">
        <v>2020</v>
      </c>
      <c r="E27" s="18">
        <f>'FS Seychelles'!B28</f>
        <v>37.14</v>
      </c>
      <c r="F27" s="18">
        <f>'FS Seychelles'!C28*1000</f>
        <v>3112.96</v>
      </c>
      <c r="G27" s="18">
        <f>'FS Seychelles'!D28*1000</f>
        <v>5211.1359999999995</v>
      </c>
      <c r="H27" s="18">
        <f>'FS Seychelles'!E28*1000</f>
        <v>5191.68</v>
      </c>
      <c r="I27" s="18">
        <f>'FS Seychelles'!F28*1000</f>
        <v>2334.4639999999999</v>
      </c>
      <c r="J27" s="18">
        <f>'FS Seychelles'!G28*1000</f>
        <v>3083.2639999999997</v>
      </c>
      <c r="K27" s="18">
        <f>'FS Seychelles'!H28*1000</f>
        <v>2213.3759999999997</v>
      </c>
      <c r="L27" s="18">
        <f>'FS Seychelles'!I28*1000</f>
        <v>1312.64</v>
      </c>
      <c r="M27" s="18">
        <f>'FS Seychelles'!J28*1000</f>
        <v>2059.7759999999998</v>
      </c>
      <c r="N27" s="18">
        <f>'FS Seychelles'!K28*1000</f>
        <v>3575.808</v>
      </c>
      <c r="O27" s="18">
        <f>'FS Seychelles'!L28</f>
        <v>4275</v>
      </c>
      <c r="P27" s="18">
        <f>'FS Seychelles'!M28</f>
        <v>10299</v>
      </c>
      <c r="Q27" s="18">
        <f>'FS Seychelles'!N28</f>
        <v>3558</v>
      </c>
      <c r="R27" s="18">
        <f>'FS Seychelles'!O28</f>
        <v>11042</v>
      </c>
      <c r="S27" s="18">
        <f>'FS Seychelles'!P28</f>
        <v>0</v>
      </c>
      <c r="T27" s="18">
        <f>'FS Seychelles'!Q28</f>
        <v>8259</v>
      </c>
      <c r="U27" s="18">
        <f>'FS Seychelles'!R28</f>
        <v>47</v>
      </c>
      <c r="V27" s="18">
        <f>'FS Seychelles'!S28</f>
        <v>0</v>
      </c>
      <c r="W27" s="18">
        <f>'FS Seychelles'!T28</f>
        <v>168</v>
      </c>
      <c r="X27" s="18">
        <f>'FS Seychelles'!U28</f>
        <v>183</v>
      </c>
      <c r="Y27" s="18">
        <f>'FS Seychelles'!V28</f>
        <v>103</v>
      </c>
      <c r="Z27" s="18">
        <f>'FS Seychelles'!W28</f>
        <v>120</v>
      </c>
      <c r="AA27" s="18">
        <f>'FS Seychelles'!X28</f>
        <v>0</v>
      </c>
      <c r="AB27" s="18">
        <f t="shared" si="0"/>
        <v>201.54838709677421</v>
      </c>
    </row>
    <row r="28" spans="1:28" x14ac:dyDescent="0.25">
      <c r="A28" s="1" t="s">
        <v>11</v>
      </c>
      <c r="B28" s="11">
        <f t="shared" si="1"/>
        <v>27</v>
      </c>
      <c r="C28" s="11">
        <v>1</v>
      </c>
      <c r="D28" s="11">
        <v>2020</v>
      </c>
      <c r="E28" s="18">
        <f>'FS Seychelles'!B29</f>
        <v>38.24</v>
      </c>
      <c r="F28" s="18">
        <f>'FS Seychelles'!C29*1000</f>
        <v>3071.4879999999998</v>
      </c>
      <c r="G28" s="18">
        <f>'FS Seychelles'!D29*1000</f>
        <v>5127.6799999999994</v>
      </c>
      <c r="H28" s="18">
        <f>'FS Seychelles'!E29*1000</f>
        <v>5236.2240000000002</v>
      </c>
      <c r="I28" s="18">
        <f>'FS Seychelles'!F29*1000</f>
        <v>2415.8719999999998</v>
      </c>
      <c r="J28" s="18">
        <f>'FS Seychelles'!G29*1000</f>
        <v>3078.1439999999998</v>
      </c>
      <c r="K28" s="18">
        <f>'FS Seychelles'!H29*1000</f>
        <v>2060.288</v>
      </c>
      <c r="L28" s="18">
        <f>'FS Seychelles'!I29*1000</f>
        <v>1319.5520000000001</v>
      </c>
      <c r="M28" s="18">
        <f>'FS Seychelles'!J29*1000</f>
        <v>2029.0560000000003</v>
      </c>
      <c r="N28" s="18">
        <f>'FS Seychelles'!K29*1000</f>
        <v>3494.1439999999998</v>
      </c>
      <c r="O28" s="18">
        <f>'FS Seychelles'!L29</f>
        <v>9988</v>
      </c>
      <c r="P28" s="18">
        <f>'FS Seychelles'!M29</f>
        <v>4604</v>
      </c>
      <c r="Q28" s="18">
        <f>'FS Seychelles'!N29</f>
        <v>4635</v>
      </c>
      <c r="R28" s="18">
        <f>'FS Seychelles'!O29</f>
        <v>9926</v>
      </c>
      <c r="S28" s="18">
        <f>'FS Seychelles'!P29</f>
        <v>0</v>
      </c>
      <c r="T28" s="18">
        <f>'FS Seychelles'!Q29</f>
        <v>8068</v>
      </c>
      <c r="U28" s="18">
        <f>'FS Seychelles'!R29</f>
        <v>45</v>
      </c>
      <c r="V28" s="18">
        <f>'FS Seychelles'!S29</f>
        <v>0</v>
      </c>
      <c r="W28" s="18">
        <f>'FS Seychelles'!T29</f>
        <v>172</v>
      </c>
      <c r="X28" s="18">
        <f>'FS Seychelles'!U29</f>
        <v>163</v>
      </c>
      <c r="Y28" s="18">
        <f>'FS Seychelles'!V29</f>
        <v>101</v>
      </c>
      <c r="Z28" s="18">
        <f>'FS Seychelles'!W29</f>
        <v>97</v>
      </c>
      <c r="AA28" s="18">
        <f>'FS Seychelles'!X29</f>
        <v>0</v>
      </c>
      <c r="AB28" s="18">
        <f t="shared" si="0"/>
        <v>201.54838709677421</v>
      </c>
    </row>
    <row r="29" spans="1:28" x14ac:dyDescent="0.25">
      <c r="A29" s="1" t="s">
        <v>11</v>
      </c>
      <c r="B29" s="11">
        <f t="shared" si="1"/>
        <v>28</v>
      </c>
      <c r="C29" s="11">
        <v>1</v>
      </c>
      <c r="D29" s="11">
        <v>2020</v>
      </c>
      <c r="E29" s="18">
        <f>'FS Seychelles'!B30</f>
        <v>29.85</v>
      </c>
      <c r="F29" s="18">
        <f>'FS Seychelles'!C30*1000</f>
        <v>2645.76</v>
      </c>
      <c r="G29" s="18">
        <f>'FS Seychelles'!D30*1000</f>
        <v>4878.848</v>
      </c>
      <c r="H29" s="18">
        <f>'FS Seychelles'!E30*1000</f>
        <v>4991.4880000000003</v>
      </c>
      <c r="I29" s="18">
        <f>'FS Seychelles'!F30*1000</f>
        <v>2116.3519999999999</v>
      </c>
      <c r="J29" s="18">
        <f>'FS Seychelles'!G30*1000</f>
        <v>3089.152</v>
      </c>
      <c r="K29" s="18">
        <f>'FS Seychelles'!H30*1000</f>
        <v>1961.9839999999999</v>
      </c>
      <c r="L29" s="18">
        <f>'FS Seychelles'!I30*1000</f>
        <v>1269.8879999999999</v>
      </c>
      <c r="M29" s="18">
        <f>'FS Seychelles'!J30*1000</f>
        <v>1968.6399999999999</v>
      </c>
      <c r="N29" s="18">
        <f>'FS Seychelles'!K30*1000</f>
        <v>3724.0319999999997</v>
      </c>
      <c r="O29" s="18">
        <f>'FS Seychelles'!L30</f>
        <v>9983</v>
      </c>
      <c r="P29" s="18">
        <f>'FS Seychelles'!M30</f>
        <v>4040</v>
      </c>
      <c r="Q29" s="18">
        <f>'FS Seychelles'!N30</f>
        <v>4098</v>
      </c>
      <c r="R29" s="18">
        <f>'FS Seychelles'!O30</f>
        <v>9945</v>
      </c>
      <c r="S29" s="18">
        <f>'FS Seychelles'!P30</f>
        <v>0</v>
      </c>
      <c r="T29" s="18">
        <f>'FS Seychelles'!Q30</f>
        <v>7913</v>
      </c>
      <c r="U29" s="18">
        <f>'FS Seychelles'!R30</f>
        <v>36</v>
      </c>
      <c r="V29" s="18">
        <f>'FS Seychelles'!S30</f>
        <v>38</v>
      </c>
      <c r="W29" s="18">
        <f>'FS Seychelles'!T30</f>
        <v>155</v>
      </c>
      <c r="X29" s="18">
        <f>'FS Seychelles'!U30</f>
        <v>194</v>
      </c>
      <c r="Y29" s="18">
        <f>'FS Seychelles'!V30</f>
        <v>90</v>
      </c>
      <c r="Z29" s="18">
        <f>'FS Seychelles'!W30</f>
        <v>84</v>
      </c>
      <c r="AA29" s="18">
        <f>'FS Seychelles'!X30</f>
        <v>0</v>
      </c>
      <c r="AB29" s="18">
        <f t="shared" si="0"/>
        <v>201.54838709677421</v>
      </c>
    </row>
    <row r="30" spans="1:28" x14ac:dyDescent="0.25">
      <c r="A30" s="1" t="s">
        <v>11</v>
      </c>
      <c r="B30" s="11">
        <f t="shared" si="1"/>
        <v>29</v>
      </c>
      <c r="C30" s="11">
        <v>1</v>
      </c>
      <c r="D30" s="11">
        <v>2020</v>
      </c>
      <c r="E30" s="18">
        <f>'FS Seychelles'!B31</f>
        <v>27.14</v>
      </c>
      <c r="F30" s="18">
        <f>'FS Seychelles'!C31*1000</f>
        <v>2468.3519999999999</v>
      </c>
      <c r="G30" s="18">
        <f>'FS Seychelles'!D31*1000</f>
        <v>4787.2000000000007</v>
      </c>
      <c r="H30" s="18">
        <f>'FS Seychelles'!E31*1000</f>
        <v>4873.2160000000003</v>
      </c>
      <c r="I30" s="18">
        <f>'FS Seychelles'!F31*1000</f>
        <v>1982.4639999999999</v>
      </c>
      <c r="J30" s="18">
        <f>'FS Seychelles'!G31*1000</f>
        <v>3078.1439999999998</v>
      </c>
      <c r="K30" s="18">
        <f>'FS Seychelles'!H31*1000</f>
        <v>1904.64</v>
      </c>
      <c r="L30" s="18">
        <f>'FS Seychelles'!I31*1000</f>
        <v>1238.912</v>
      </c>
      <c r="M30" s="18">
        <f>'FS Seychelles'!J31*1000</f>
        <v>1881.856</v>
      </c>
      <c r="N30" s="18">
        <f>'FS Seychelles'!K31*1000</f>
        <v>3605.5039999999999</v>
      </c>
      <c r="O30" s="18">
        <f>'FS Seychelles'!L31</f>
        <v>8971</v>
      </c>
      <c r="P30" s="18">
        <f>'FS Seychelles'!M31</f>
        <v>4633</v>
      </c>
      <c r="Q30" s="18">
        <f>'FS Seychelles'!N31</f>
        <v>4803</v>
      </c>
      <c r="R30" s="18">
        <f>'FS Seychelles'!O31</f>
        <v>8900</v>
      </c>
      <c r="S30" s="18">
        <f>'FS Seychelles'!P31</f>
        <v>0</v>
      </c>
      <c r="T30" s="18">
        <f>'FS Seychelles'!Q31</f>
        <v>7661</v>
      </c>
      <c r="U30" s="18">
        <f>'FS Seychelles'!R31</f>
        <v>44</v>
      </c>
      <c r="V30" s="18">
        <f>'FS Seychelles'!S31</f>
        <v>0</v>
      </c>
      <c r="W30" s="18">
        <f>'FS Seychelles'!T31</f>
        <v>172</v>
      </c>
      <c r="X30" s="18">
        <f>'FS Seychelles'!U31</f>
        <v>242</v>
      </c>
      <c r="Y30" s="18">
        <f>'FS Seychelles'!V31</f>
        <v>108</v>
      </c>
      <c r="Z30" s="18">
        <f>'FS Seychelles'!W31</f>
        <v>62</v>
      </c>
      <c r="AA30" s="18">
        <f>'FS Seychelles'!X31</f>
        <v>0</v>
      </c>
      <c r="AB30" s="18">
        <f t="shared" si="0"/>
        <v>201.54838709677421</v>
      </c>
    </row>
    <row r="31" spans="1:28" x14ac:dyDescent="0.25">
      <c r="A31" s="1" t="s">
        <v>11</v>
      </c>
      <c r="B31" s="11">
        <f t="shared" si="1"/>
        <v>30</v>
      </c>
      <c r="C31" s="11">
        <v>1</v>
      </c>
      <c r="D31" s="11">
        <v>2020</v>
      </c>
      <c r="E31" s="18">
        <f>'FS Seychelles'!B32</f>
        <v>27.14</v>
      </c>
      <c r="F31" s="18">
        <f>'FS Seychelles'!C32*1000</f>
        <v>2870.2719999999999</v>
      </c>
      <c r="G31" s="18">
        <f>'FS Seychelles'!D32*1000</f>
        <v>5121.0240000000003</v>
      </c>
      <c r="H31" s="18">
        <f>'FS Seychelles'!E32*1000</f>
        <v>5046.2719999999999</v>
      </c>
      <c r="I31" s="18">
        <f>'FS Seychelles'!F32*1000</f>
        <v>2174.4639999999999</v>
      </c>
      <c r="J31" s="18">
        <f>'FS Seychelles'!G32*1000</f>
        <v>3144.7039999999997</v>
      </c>
      <c r="K31" s="18">
        <f>'FS Seychelles'!H32*1000</f>
        <v>2125.3119999999999</v>
      </c>
      <c r="L31" s="18">
        <f>'FS Seychelles'!I32*1000</f>
        <v>1258.3679999999999</v>
      </c>
      <c r="M31" s="18">
        <f>'FS Seychelles'!J32*1000</f>
        <v>1961.9839999999999</v>
      </c>
      <c r="N31" s="18">
        <f>'FS Seychelles'!K32*1000</f>
        <v>3627.2639999999997</v>
      </c>
      <c r="O31" s="18">
        <f>'FS Seychelles'!L32</f>
        <v>9929</v>
      </c>
      <c r="P31" s="18">
        <f>'FS Seychelles'!M32</f>
        <v>4529</v>
      </c>
      <c r="Q31" s="18">
        <f>'FS Seychelles'!N32</f>
        <v>4535</v>
      </c>
      <c r="R31" s="18">
        <f>'FS Seychelles'!O32</f>
        <v>9930</v>
      </c>
      <c r="S31" s="18">
        <f>'FS Seychelles'!P32</f>
        <v>0</v>
      </c>
      <c r="T31" s="18">
        <f>'FS Seychelles'!Q32</f>
        <v>8013</v>
      </c>
      <c r="U31" s="18">
        <f>'FS Seychelles'!R32</f>
        <v>34</v>
      </c>
      <c r="V31" s="18">
        <f>'FS Seychelles'!S32</f>
        <v>40</v>
      </c>
      <c r="W31" s="18">
        <f>'FS Seychelles'!T32</f>
        <v>129</v>
      </c>
      <c r="X31" s="18">
        <f>'FS Seychelles'!U32</f>
        <v>217</v>
      </c>
      <c r="Y31" s="18">
        <f>'FS Seychelles'!V32</f>
        <v>111</v>
      </c>
      <c r="Z31" s="18">
        <f>'FS Seychelles'!W32</f>
        <v>126</v>
      </c>
      <c r="AA31" s="18">
        <f>'FS Seychelles'!X32</f>
        <v>0</v>
      </c>
      <c r="AB31" s="18">
        <f t="shared" si="0"/>
        <v>201.54838709677421</v>
      </c>
    </row>
    <row r="32" spans="1:28" x14ac:dyDescent="0.25">
      <c r="A32" s="1" t="s">
        <v>11</v>
      </c>
      <c r="B32" s="11">
        <f t="shared" si="1"/>
        <v>31</v>
      </c>
      <c r="C32" s="11">
        <v>1</v>
      </c>
      <c r="D32" s="11">
        <v>2020</v>
      </c>
      <c r="E32" s="18">
        <f>'FS Seychelles'!B33</f>
        <v>25.71</v>
      </c>
      <c r="F32" s="18">
        <f>'FS Seychelles'!C33*1000</f>
        <v>2451.712</v>
      </c>
      <c r="G32" s="18">
        <f>'FS Seychelles'!D33*1000</f>
        <v>4418.0479999999998</v>
      </c>
      <c r="H32" s="18">
        <f>'FS Seychelles'!E33*1000</f>
        <v>4780.5439999999999</v>
      </c>
      <c r="I32" s="18">
        <f>'FS Seychelles'!F33*1000</f>
        <v>1879.5519999999999</v>
      </c>
      <c r="J32" s="18">
        <f>'FS Seychelles'!G33*1000</f>
        <v>2734.848</v>
      </c>
      <c r="K32" s="18">
        <f>'FS Seychelles'!H33*1000</f>
        <v>1999.8720000000001</v>
      </c>
      <c r="L32" s="18">
        <f>'FS Seychelles'!I33*1000</f>
        <v>1279.232</v>
      </c>
      <c r="M32" s="18">
        <f>'FS Seychelles'!J33*1000</f>
        <v>1626.88</v>
      </c>
      <c r="N32" s="18">
        <f>'FS Seychelles'!K33*1000</f>
        <v>3458.0479999999998</v>
      </c>
      <c r="O32" s="18">
        <f>'FS Seychelles'!L33</f>
        <v>8441</v>
      </c>
      <c r="P32" s="18">
        <f>'FS Seychelles'!M33</f>
        <v>4488</v>
      </c>
      <c r="Q32" s="18">
        <f>'FS Seychelles'!N33</f>
        <v>4428</v>
      </c>
      <c r="R32" s="18">
        <f>'FS Seychelles'!O33</f>
        <v>8506</v>
      </c>
      <c r="S32" s="18">
        <f>'FS Seychelles'!P33</f>
        <v>0</v>
      </c>
      <c r="T32" s="18">
        <f>'FS Seychelles'!Q33</f>
        <v>7275</v>
      </c>
      <c r="U32" s="18">
        <f>'FS Seychelles'!R33</f>
        <v>29</v>
      </c>
      <c r="V32" s="18">
        <f>'FS Seychelles'!S33</f>
        <v>0</v>
      </c>
      <c r="W32" s="18">
        <f>'FS Seychelles'!T33</f>
        <v>99</v>
      </c>
      <c r="X32" s="18">
        <f>'FS Seychelles'!U33</f>
        <v>146</v>
      </c>
      <c r="Y32" s="18">
        <f>'FS Seychelles'!V33</f>
        <v>98</v>
      </c>
      <c r="Z32" s="18">
        <f>'FS Seychelles'!W33</f>
        <v>127</v>
      </c>
      <c r="AA32" s="18">
        <f>'FS Seychelles'!X33</f>
        <v>0</v>
      </c>
      <c r="AB32" s="18">
        <f t="shared" si="0"/>
        <v>201.54838709677421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"/>
  <sheetViews>
    <sheetView topLeftCell="C1" zoomScaleNormal="100" workbookViewId="0">
      <selection activeCell="AA10" sqref="AA10"/>
    </sheetView>
  </sheetViews>
  <sheetFormatPr defaultRowHeight="12.75" x14ac:dyDescent="0.2"/>
  <cols>
    <col min="1" max="1" width="10.42578125" style="19" bestFit="1" customWidth="1"/>
    <col min="2" max="2" width="12.7109375" style="35" customWidth="1"/>
    <col min="3" max="3" width="9.140625" style="19"/>
    <col min="4" max="11" width="9.140625" style="44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1.85546875" style="19" customWidth="1"/>
    <col min="25" max="25" width="13.5703125" style="40" customWidth="1"/>
    <col min="26" max="27" width="9.140625" style="40"/>
    <col min="28" max="16384" width="9.140625" style="19"/>
  </cols>
  <sheetData>
    <row r="1" spans="1:27" x14ac:dyDescent="0.2">
      <c r="C1" s="68"/>
      <c r="D1" s="68"/>
      <c r="E1" s="68"/>
      <c r="F1" s="68"/>
      <c r="G1" s="68"/>
      <c r="H1" s="68"/>
      <c r="I1" s="68"/>
      <c r="J1" s="68"/>
      <c r="K1" s="68"/>
    </row>
    <row r="2" spans="1:27" s="24" customFormat="1" ht="31.5" customHeight="1" x14ac:dyDescent="0.2">
      <c r="A2" s="33" t="s">
        <v>8</v>
      </c>
      <c r="B2" s="48" t="s">
        <v>9</v>
      </c>
      <c r="C2" s="49" t="s">
        <v>62</v>
      </c>
      <c r="D2" s="50" t="s">
        <v>63</v>
      </c>
      <c r="E2" s="50" t="s">
        <v>64</v>
      </c>
      <c r="F2" s="50" t="s">
        <v>65</v>
      </c>
      <c r="G2" s="50" t="s">
        <v>66</v>
      </c>
      <c r="H2" s="50" t="s">
        <v>67</v>
      </c>
      <c r="I2" s="50" t="s">
        <v>68</v>
      </c>
      <c r="J2" s="50" t="s">
        <v>69</v>
      </c>
      <c r="K2" s="50" t="s">
        <v>70</v>
      </c>
      <c r="L2" s="51" t="s">
        <v>49</v>
      </c>
      <c r="M2" s="51" t="s">
        <v>50</v>
      </c>
      <c r="N2" s="51" t="s">
        <v>51</v>
      </c>
      <c r="O2" s="51" t="s">
        <v>52</v>
      </c>
      <c r="P2" s="51" t="s">
        <v>53</v>
      </c>
      <c r="Q2" s="52" t="s">
        <v>54</v>
      </c>
      <c r="R2" s="46" t="s">
        <v>55</v>
      </c>
      <c r="S2" s="46" t="s">
        <v>56</v>
      </c>
      <c r="T2" s="46" t="s">
        <v>57</v>
      </c>
      <c r="U2" s="46" t="s">
        <v>58</v>
      </c>
      <c r="V2" s="46" t="s">
        <v>59</v>
      </c>
      <c r="W2" s="46" t="s">
        <v>60</v>
      </c>
      <c r="X2" s="53" t="s">
        <v>61</v>
      </c>
      <c r="Y2" s="70" t="s">
        <v>10</v>
      </c>
      <c r="Z2" s="70"/>
      <c r="AA2" s="70"/>
    </row>
    <row r="3" spans="1:27" ht="15" customHeight="1" x14ac:dyDescent="0.2">
      <c r="A3" s="21">
        <v>44166</v>
      </c>
      <c r="B3" s="76">
        <v>52.46</v>
      </c>
      <c r="C3" s="77">
        <v>2.5855999999999999</v>
      </c>
      <c r="D3" s="78">
        <v>4.6858240000000002</v>
      </c>
      <c r="E3" s="78">
        <v>4.3514879999999998</v>
      </c>
      <c r="F3" s="78">
        <v>1.085696</v>
      </c>
      <c r="G3" s="78">
        <v>2.283264</v>
      </c>
      <c r="H3" s="78">
        <v>1.438976</v>
      </c>
      <c r="I3" s="78">
        <v>1.326848</v>
      </c>
      <c r="J3" s="78">
        <v>1.8145279999999999</v>
      </c>
      <c r="K3" s="78">
        <v>3.011072</v>
      </c>
      <c r="L3" s="79">
        <v>5715</v>
      </c>
      <c r="M3" s="22">
        <v>9463</v>
      </c>
      <c r="N3" s="22">
        <v>8462</v>
      </c>
      <c r="O3" s="22">
        <v>3401</v>
      </c>
      <c r="P3" s="22">
        <v>0</v>
      </c>
      <c r="Q3" s="80">
        <f>1556+2557+2295+1011</f>
        <v>7419</v>
      </c>
      <c r="R3" s="32">
        <v>45</v>
      </c>
      <c r="S3" s="32">
        <v>43</v>
      </c>
      <c r="T3" s="32">
        <v>49</v>
      </c>
      <c r="U3" s="32">
        <v>171</v>
      </c>
      <c r="V3" s="32">
        <v>143</v>
      </c>
      <c r="W3" s="32">
        <v>43</v>
      </c>
      <c r="X3" s="38">
        <v>0</v>
      </c>
      <c r="Y3" s="71" t="s">
        <v>38</v>
      </c>
      <c r="Z3" s="71"/>
      <c r="AA3" s="71"/>
    </row>
    <row r="4" spans="1:27" ht="16.5" customHeight="1" x14ac:dyDescent="0.2">
      <c r="A4" s="21">
        <v>44167</v>
      </c>
      <c r="B4" s="76">
        <v>57.38</v>
      </c>
      <c r="C4" s="77">
        <v>2.6782720000000002</v>
      </c>
      <c r="D4" s="78">
        <v>4.6515199999999997</v>
      </c>
      <c r="E4" s="78">
        <v>4.2890240000000004</v>
      </c>
      <c r="F4" s="78">
        <v>1.095424</v>
      </c>
      <c r="G4" s="78">
        <v>2.3779840000000001</v>
      </c>
      <c r="H4" s="78">
        <v>1.631488</v>
      </c>
      <c r="I4" s="78">
        <v>1.350528</v>
      </c>
      <c r="J4" s="78">
        <v>1.865472</v>
      </c>
      <c r="K4" s="78">
        <v>3.1272959999999999</v>
      </c>
      <c r="L4" s="81">
        <v>9096</v>
      </c>
      <c r="M4" s="34">
        <v>6344</v>
      </c>
      <c r="N4" s="34">
        <v>8062</v>
      </c>
      <c r="O4" s="34">
        <v>0</v>
      </c>
      <c r="P4" s="34">
        <v>0</v>
      </c>
      <c r="Q4" s="80">
        <f>2447+1646+2288</f>
        <v>6381</v>
      </c>
      <c r="R4" s="32">
        <v>48</v>
      </c>
      <c r="S4" s="32">
        <v>36</v>
      </c>
      <c r="T4" s="32">
        <v>54</v>
      </c>
      <c r="U4" s="32">
        <v>163</v>
      </c>
      <c r="V4" s="32">
        <v>149</v>
      </c>
      <c r="W4" s="32">
        <v>66</v>
      </c>
      <c r="X4" s="38">
        <v>0</v>
      </c>
      <c r="Y4" s="36" t="s">
        <v>39</v>
      </c>
      <c r="Z4" s="43" t="s">
        <v>40</v>
      </c>
      <c r="AA4" s="36" t="s">
        <v>41</v>
      </c>
    </row>
    <row r="5" spans="1:27" ht="15" x14ac:dyDescent="0.2">
      <c r="A5" s="21">
        <v>44168</v>
      </c>
      <c r="B5" s="76">
        <v>70.489999999999995</v>
      </c>
      <c r="C5" s="77">
        <v>2.870784</v>
      </c>
      <c r="D5" s="78">
        <v>4.9981439999999999</v>
      </c>
      <c r="E5" s="78">
        <v>4.386304</v>
      </c>
      <c r="F5" s="78">
        <v>1.44896</v>
      </c>
      <c r="G5" s="78">
        <v>2.3252480000000002</v>
      </c>
      <c r="H5" s="78">
        <v>1.6222719999999999</v>
      </c>
      <c r="I5" s="78">
        <v>1.3715200000000001</v>
      </c>
      <c r="J5" s="78">
        <v>1.91232</v>
      </c>
      <c r="K5" s="78">
        <v>3.1659519999999999</v>
      </c>
      <c r="L5" s="81">
        <v>10158</v>
      </c>
      <c r="M5" s="34">
        <v>4554</v>
      </c>
      <c r="N5" s="34">
        <v>8609</v>
      </c>
      <c r="O5" s="34">
        <v>0</v>
      </c>
      <c r="P5" s="34">
        <v>0</v>
      </c>
      <c r="Q5" s="80">
        <f>2668+1250+2208</f>
        <v>6126</v>
      </c>
      <c r="R5" s="32">
        <v>54</v>
      </c>
      <c r="S5" s="32">
        <v>37</v>
      </c>
      <c r="T5" s="20">
        <v>72</v>
      </c>
      <c r="U5" s="20">
        <v>155</v>
      </c>
      <c r="V5" s="20">
        <v>150</v>
      </c>
      <c r="W5" s="20">
        <v>57</v>
      </c>
      <c r="X5" s="38">
        <v>0</v>
      </c>
      <c r="Y5" s="37" t="s">
        <v>71</v>
      </c>
      <c r="Z5" s="41">
        <v>0</v>
      </c>
      <c r="AA5" s="37"/>
    </row>
    <row r="6" spans="1:27" ht="15" x14ac:dyDescent="0.2">
      <c r="A6" s="21">
        <v>44169</v>
      </c>
      <c r="B6" s="82">
        <v>70</v>
      </c>
      <c r="C6" s="77">
        <v>2.9186559999999999</v>
      </c>
      <c r="D6" s="78">
        <v>5.5587840000000002</v>
      </c>
      <c r="E6" s="78">
        <v>4.6807040000000004</v>
      </c>
      <c r="F6" s="78">
        <v>1.9284479999999999</v>
      </c>
      <c r="G6" s="78">
        <v>2.3523839999999998</v>
      </c>
      <c r="H6" s="78">
        <v>1.6719360000000001</v>
      </c>
      <c r="I6" s="78">
        <v>1.3605119999999999</v>
      </c>
      <c r="J6" s="78">
        <v>1.9494400000000001</v>
      </c>
      <c r="K6" s="78">
        <v>3.195392</v>
      </c>
      <c r="L6" s="81">
        <v>5502</v>
      </c>
      <c r="M6" s="34">
        <v>8799</v>
      </c>
      <c r="N6" s="34">
        <v>7927</v>
      </c>
      <c r="O6" s="34">
        <v>5546</v>
      </c>
      <c r="P6" s="34">
        <v>0</v>
      </c>
      <c r="Q6" s="80">
        <f>1612+2347+2140+1622</f>
        <v>7721</v>
      </c>
      <c r="R6" s="32">
        <v>49</v>
      </c>
      <c r="S6" s="32">
        <v>38</v>
      </c>
      <c r="T6" s="20">
        <v>108</v>
      </c>
      <c r="U6" s="20">
        <v>170</v>
      </c>
      <c r="V6" s="20">
        <v>175</v>
      </c>
      <c r="W6" s="20">
        <v>102</v>
      </c>
      <c r="X6" s="38">
        <v>0</v>
      </c>
      <c r="Y6" s="37" t="s">
        <v>42</v>
      </c>
      <c r="Z6" s="41">
        <v>2</v>
      </c>
      <c r="AA6" s="37"/>
    </row>
    <row r="7" spans="1:27" ht="15" x14ac:dyDescent="0.2">
      <c r="A7" s="21">
        <v>44170</v>
      </c>
      <c r="B7" s="76">
        <v>48.05</v>
      </c>
      <c r="C7" s="77">
        <v>2.9616639999999999</v>
      </c>
      <c r="D7" s="78">
        <v>5.5751679999999997</v>
      </c>
      <c r="E7" s="78">
        <v>4.8911360000000004</v>
      </c>
      <c r="F7" s="78">
        <v>1.651456</v>
      </c>
      <c r="G7" s="78">
        <v>2.2010879999999999</v>
      </c>
      <c r="H7" s="78">
        <v>1.9092480000000001</v>
      </c>
      <c r="I7" s="78">
        <v>1.3804799999999999</v>
      </c>
      <c r="J7" s="78">
        <v>2.2559999999999998</v>
      </c>
      <c r="K7" s="78">
        <v>3.20512</v>
      </c>
      <c r="L7" s="81">
        <v>9551</v>
      </c>
      <c r="M7" s="34">
        <v>4243</v>
      </c>
      <c r="N7" s="34">
        <v>9911</v>
      </c>
      <c r="O7" s="34">
        <v>3924</v>
      </c>
      <c r="P7" s="34">
        <v>0</v>
      </c>
      <c r="Q7" s="80">
        <f>2584+1150+2648+1245</f>
        <v>7627</v>
      </c>
      <c r="R7" s="61">
        <v>59</v>
      </c>
      <c r="S7" s="61">
        <v>40</v>
      </c>
      <c r="T7" s="61">
        <v>54</v>
      </c>
      <c r="U7" s="61">
        <v>189</v>
      </c>
      <c r="V7" s="61">
        <v>155</v>
      </c>
      <c r="W7" s="61">
        <v>122</v>
      </c>
      <c r="X7" s="38">
        <v>0</v>
      </c>
      <c r="Y7" s="37" t="s">
        <v>43</v>
      </c>
      <c r="Z7" s="41">
        <v>12</v>
      </c>
      <c r="AA7" s="37"/>
    </row>
    <row r="8" spans="1:27" ht="15" x14ac:dyDescent="0.2">
      <c r="A8" s="21">
        <v>44171</v>
      </c>
      <c r="B8" s="76">
        <v>54.55</v>
      </c>
      <c r="C8" s="77">
        <v>3.0837759999999999</v>
      </c>
      <c r="D8" s="78">
        <v>5.4691840000000003</v>
      </c>
      <c r="E8" s="78">
        <v>4.5798399999999999</v>
      </c>
      <c r="F8" s="78">
        <v>1.4663679999999999</v>
      </c>
      <c r="G8" s="78">
        <v>2.4988160000000001</v>
      </c>
      <c r="H8" s="78">
        <v>1.8526720000000001</v>
      </c>
      <c r="I8" s="78">
        <v>1.3771519999999999</v>
      </c>
      <c r="J8" s="78">
        <v>2.1425920000000001</v>
      </c>
      <c r="K8" s="78">
        <v>3.1091199999999999</v>
      </c>
      <c r="L8" s="81">
        <v>11821</v>
      </c>
      <c r="M8" s="34">
        <v>1514</v>
      </c>
      <c r="N8" s="34">
        <v>1075</v>
      </c>
      <c r="O8" s="34">
        <v>11742</v>
      </c>
      <c r="P8" s="34">
        <v>0</v>
      </c>
      <c r="Q8" s="80">
        <f>3170+382+329+3564</f>
        <v>7445</v>
      </c>
      <c r="R8" s="61">
        <v>53</v>
      </c>
      <c r="S8" s="61">
        <v>28</v>
      </c>
      <c r="T8" s="61">
        <v>64</v>
      </c>
      <c r="U8" s="61">
        <v>183</v>
      </c>
      <c r="V8" s="61">
        <v>184</v>
      </c>
      <c r="W8" s="61">
        <v>67</v>
      </c>
      <c r="X8" s="38">
        <v>0</v>
      </c>
      <c r="Y8" s="37" t="s">
        <v>72</v>
      </c>
      <c r="Z8" s="41">
        <v>68</v>
      </c>
      <c r="AA8" s="37"/>
    </row>
    <row r="9" spans="1:27" ht="15" customHeight="1" x14ac:dyDescent="0.2">
      <c r="A9" s="21">
        <v>44172</v>
      </c>
      <c r="B9" s="76">
        <v>40.26</v>
      </c>
      <c r="C9" s="77">
        <v>0.68684800000000001</v>
      </c>
      <c r="D9" s="78">
        <v>1.4126080000000001</v>
      </c>
      <c r="E9" s="78">
        <v>1.276416</v>
      </c>
      <c r="F9" s="78">
        <v>0.37068800000000002</v>
      </c>
      <c r="G9" s="78">
        <v>0.62310399999999999</v>
      </c>
      <c r="H9" s="78">
        <v>0.49408000000000002</v>
      </c>
      <c r="I9" s="78">
        <v>0.47321600000000003</v>
      </c>
      <c r="J9" s="78">
        <v>0.54028799999999999</v>
      </c>
      <c r="K9" s="78">
        <v>0.95820799999999995</v>
      </c>
      <c r="L9" s="83">
        <v>10172</v>
      </c>
      <c r="M9" s="80">
        <v>13864</v>
      </c>
      <c r="N9" s="80">
        <v>10810</v>
      </c>
      <c r="O9" s="80">
        <v>4025</v>
      </c>
      <c r="P9" s="80">
        <v>0</v>
      </c>
      <c r="Q9" s="80">
        <f>2810+3797+2940+1241</f>
        <v>10788</v>
      </c>
      <c r="R9" s="32">
        <v>60</v>
      </c>
      <c r="S9" s="32">
        <v>40</v>
      </c>
      <c r="T9" s="32">
        <v>82</v>
      </c>
      <c r="U9" s="32">
        <v>202</v>
      </c>
      <c r="V9" s="32">
        <v>156</v>
      </c>
      <c r="W9" s="32">
        <v>110</v>
      </c>
      <c r="X9" s="38">
        <v>0</v>
      </c>
      <c r="Y9" s="56"/>
      <c r="Z9" s="42" t="s">
        <v>44</v>
      </c>
      <c r="AA9" s="37">
        <v>2148</v>
      </c>
    </row>
    <row r="10" spans="1:27" ht="15.75" customHeight="1" x14ac:dyDescent="0.2">
      <c r="A10" s="21">
        <v>44173</v>
      </c>
      <c r="B10" s="76">
        <v>35.06</v>
      </c>
      <c r="C10" s="77">
        <v>1.0580480000000001</v>
      </c>
      <c r="D10" s="78">
        <v>1.9251199999999999</v>
      </c>
      <c r="E10" s="78">
        <v>1.8728959999999999</v>
      </c>
      <c r="F10" s="78">
        <v>0.59059200000000001</v>
      </c>
      <c r="G10" s="78">
        <v>0.9536</v>
      </c>
      <c r="H10" s="78">
        <v>0.64281600000000005</v>
      </c>
      <c r="I10" s="78">
        <v>0.61081600000000003</v>
      </c>
      <c r="J10" s="78">
        <v>0.83020799999999995</v>
      </c>
      <c r="K10" s="78">
        <v>1.4597119999999999</v>
      </c>
      <c r="L10" s="83">
        <v>5564</v>
      </c>
      <c r="M10" s="80">
        <v>10365</v>
      </c>
      <c r="N10" s="80">
        <v>0</v>
      </c>
      <c r="O10" s="80">
        <v>8582</v>
      </c>
      <c r="P10" s="80">
        <v>0</v>
      </c>
      <c r="Q10" s="80">
        <f>1527+2746+2599</f>
        <v>6872</v>
      </c>
      <c r="R10" s="32">
        <v>59</v>
      </c>
      <c r="S10" s="32">
        <v>16</v>
      </c>
      <c r="T10" s="32">
        <v>47</v>
      </c>
      <c r="U10" s="32">
        <v>151</v>
      </c>
      <c r="V10" s="32">
        <v>159</v>
      </c>
      <c r="W10" s="32">
        <v>115</v>
      </c>
      <c r="X10" s="38">
        <v>0</v>
      </c>
      <c r="Y10" s="57"/>
      <c r="Z10" s="58"/>
      <c r="AA10" s="59"/>
    </row>
    <row r="11" spans="1:27" ht="15" customHeight="1" x14ac:dyDescent="0.2">
      <c r="A11" s="21">
        <v>44174</v>
      </c>
      <c r="B11" s="76">
        <v>35.06</v>
      </c>
      <c r="C11" s="77">
        <v>2.911232</v>
      </c>
      <c r="D11" s="84">
        <v>5.1537920000000002</v>
      </c>
      <c r="E11" s="84">
        <v>4.8112640000000004</v>
      </c>
      <c r="F11" s="84">
        <v>1.6151040000000001</v>
      </c>
      <c r="G11" s="84">
        <v>2.383616</v>
      </c>
      <c r="H11" s="84">
        <v>1.843712</v>
      </c>
      <c r="I11" s="84">
        <v>1.402752</v>
      </c>
      <c r="J11" s="84">
        <v>1.887232</v>
      </c>
      <c r="K11" s="84">
        <v>3.35616</v>
      </c>
      <c r="L11" s="83">
        <v>5071</v>
      </c>
      <c r="M11" s="80">
        <v>11550</v>
      </c>
      <c r="N11" s="80">
        <v>0</v>
      </c>
      <c r="O11" s="80">
        <v>10216</v>
      </c>
      <c r="P11" s="80">
        <v>0</v>
      </c>
      <c r="Q11" s="80">
        <f>1301+3217+3166</f>
        <v>7684</v>
      </c>
      <c r="R11" s="32">
        <v>62</v>
      </c>
      <c r="S11" s="32">
        <v>60</v>
      </c>
      <c r="T11" s="32">
        <v>58</v>
      </c>
      <c r="U11" s="32">
        <v>178</v>
      </c>
      <c r="V11" s="32">
        <v>184</v>
      </c>
      <c r="W11" s="32">
        <v>83</v>
      </c>
      <c r="X11" s="38">
        <v>0</v>
      </c>
      <c r="Y11" s="72" t="s">
        <v>47</v>
      </c>
      <c r="Z11" s="73"/>
      <c r="AA11" s="73"/>
    </row>
    <row r="12" spans="1:27" ht="15" customHeight="1" x14ac:dyDescent="0.2">
      <c r="A12" s="21">
        <v>44175</v>
      </c>
      <c r="B12" s="76">
        <v>43.16</v>
      </c>
      <c r="C12" s="77">
        <v>2.3608319999999998</v>
      </c>
      <c r="D12" s="78">
        <v>4.8778240000000004</v>
      </c>
      <c r="E12" s="78">
        <v>4.5076479999999997</v>
      </c>
      <c r="F12" s="78">
        <v>1.4128639999999999</v>
      </c>
      <c r="G12" s="78">
        <v>2.4104960000000002</v>
      </c>
      <c r="H12" s="78">
        <v>2.1017600000000001</v>
      </c>
      <c r="I12" s="78">
        <v>1.4312959999999999</v>
      </c>
      <c r="J12" s="78">
        <v>1.608832</v>
      </c>
      <c r="K12" s="78">
        <v>3.4176000000000002</v>
      </c>
      <c r="L12" s="83">
        <v>4119</v>
      </c>
      <c r="M12" s="80">
        <v>832</v>
      </c>
      <c r="N12" s="80">
        <v>0</v>
      </c>
      <c r="O12" s="80">
        <v>9575</v>
      </c>
      <c r="P12" s="80">
        <v>0</v>
      </c>
      <c r="Q12" s="80">
        <f>1180+126+2872</f>
        <v>4178</v>
      </c>
      <c r="R12" s="32">
        <v>60</v>
      </c>
      <c r="S12" s="32">
        <v>14</v>
      </c>
      <c r="T12" s="32">
        <v>59</v>
      </c>
      <c r="U12" s="32">
        <v>168</v>
      </c>
      <c r="V12" s="32">
        <v>144</v>
      </c>
      <c r="W12" s="32">
        <v>13</v>
      </c>
      <c r="X12" s="38">
        <v>0</v>
      </c>
      <c r="Y12" s="47"/>
      <c r="Z12" s="74" t="s">
        <v>48</v>
      </c>
      <c r="AA12" s="75"/>
    </row>
    <row r="13" spans="1:27" ht="15" customHeight="1" x14ac:dyDescent="0.2">
      <c r="A13" s="21">
        <v>44176</v>
      </c>
      <c r="B13" s="82">
        <v>60</v>
      </c>
      <c r="C13" s="77">
        <v>2.8088320000000002</v>
      </c>
      <c r="D13" s="78">
        <v>5.433344</v>
      </c>
      <c r="E13" s="78">
        <v>5.0795519999999996</v>
      </c>
      <c r="F13" s="78">
        <v>1.6268800000000001</v>
      </c>
      <c r="G13" s="78">
        <v>2.7079680000000002</v>
      </c>
      <c r="H13" s="78">
        <v>2.911232</v>
      </c>
      <c r="I13" s="78">
        <v>1.3644799999999999</v>
      </c>
      <c r="J13" s="78">
        <v>1.72736</v>
      </c>
      <c r="K13" s="78">
        <v>3.3082880000000001</v>
      </c>
      <c r="L13" s="83">
        <v>3714</v>
      </c>
      <c r="M13" s="80">
        <v>11077</v>
      </c>
      <c r="N13" s="80">
        <v>3831</v>
      </c>
      <c r="O13" s="80">
        <v>10502</v>
      </c>
      <c r="P13" s="80">
        <v>0</v>
      </c>
      <c r="Q13" s="80">
        <f>1039+2946+1043+3207</f>
        <v>8235</v>
      </c>
      <c r="R13" s="32">
        <v>60</v>
      </c>
      <c r="S13" s="32">
        <v>43</v>
      </c>
      <c r="T13" s="20">
        <v>51</v>
      </c>
      <c r="U13" s="20">
        <v>194</v>
      </c>
      <c r="V13" s="20">
        <v>184</v>
      </c>
      <c r="W13" s="20">
        <v>125</v>
      </c>
      <c r="X13" s="38">
        <v>0</v>
      </c>
      <c r="Y13" s="55" t="s">
        <v>45</v>
      </c>
      <c r="Z13" s="62">
        <v>3000</v>
      </c>
      <c r="AA13" s="63"/>
    </row>
    <row r="14" spans="1:27" ht="15" customHeight="1" x14ac:dyDescent="0.2">
      <c r="A14" s="21">
        <v>44177</v>
      </c>
      <c r="B14" s="82">
        <v>60</v>
      </c>
      <c r="C14" s="77">
        <v>3.0766079999999998</v>
      </c>
      <c r="D14" s="78">
        <v>5.463552</v>
      </c>
      <c r="E14" s="78">
        <v>5.1404800000000002</v>
      </c>
      <c r="F14" s="78">
        <v>1.89568</v>
      </c>
      <c r="G14" s="78">
        <v>2.5344000000000002</v>
      </c>
      <c r="H14" s="78">
        <v>2.9196800000000001</v>
      </c>
      <c r="I14" s="78">
        <v>1.396096</v>
      </c>
      <c r="J14" s="78">
        <v>1.970944</v>
      </c>
      <c r="K14" s="78">
        <v>3.4140160000000002</v>
      </c>
      <c r="L14" s="83">
        <v>10738</v>
      </c>
      <c r="M14" s="80">
        <v>386</v>
      </c>
      <c r="N14" s="80">
        <v>10737</v>
      </c>
      <c r="O14" s="80">
        <v>3805</v>
      </c>
      <c r="P14" s="80">
        <v>0</v>
      </c>
      <c r="Q14" s="80">
        <f>2820+1128+2652+1142</f>
        <v>7742</v>
      </c>
      <c r="R14" s="32">
        <v>63</v>
      </c>
      <c r="S14" s="32">
        <v>41</v>
      </c>
      <c r="T14" s="20">
        <v>53</v>
      </c>
      <c r="U14" s="20">
        <v>216</v>
      </c>
      <c r="V14" s="60">
        <v>155</v>
      </c>
      <c r="W14" s="20">
        <v>120</v>
      </c>
      <c r="X14" s="38">
        <v>0</v>
      </c>
      <c r="Y14" s="55" t="s">
        <v>46</v>
      </c>
      <c r="Z14" s="62">
        <v>1100</v>
      </c>
      <c r="AA14" s="63"/>
    </row>
    <row r="15" spans="1:27" ht="15" x14ac:dyDescent="0.2">
      <c r="A15" s="21">
        <v>44178</v>
      </c>
      <c r="B15" s="82">
        <v>67.37</v>
      </c>
      <c r="C15" s="77">
        <v>2.9882879999999998</v>
      </c>
      <c r="D15" s="78">
        <v>5.6104960000000004</v>
      </c>
      <c r="E15" s="78">
        <v>4.9295359999999997</v>
      </c>
      <c r="F15" s="78">
        <v>1.9568639999999999</v>
      </c>
      <c r="G15" s="78">
        <v>2.5108480000000002</v>
      </c>
      <c r="H15" s="78">
        <v>3.0699519999999998</v>
      </c>
      <c r="I15" s="78">
        <v>1.3744639999999999</v>
      </c>
      <c r="J15" s="78">
        <v>1.8873599999999999</v>
      </c>
      <c r="K15" s="78">
        <v>3.44448</v>
      </c>
      <c r="L15" s="83">
        <v>6745</v>
      </c>
      <c r="M15" s="80">
        <v>7657</v>
      </c>
      <c r="N15" s="80">
        <v>7159</v>
      </c>
      <c r="O15" s="80">
        <v>7638</v>
      </c>
      <c r="P15" s="80">
        <v>0</v>
      </c>
      <c r="Q15" s="80">
        <f>1874+1977+2289+2246</f>
        <v>8386</v>
      </c>
      <c r="R15" s="32">
        <v>69</v>
      </c>
      <c r="S15" s="32">
        <v>49</v>
      </c>
      <c r="T15" s="20">
        <v>49</v>
      </c>
      <c r="U15" s="20">
        <v>169</v>
      </c>
      <c r="V15" s="60">
        <v>179</v>
      </c>
      <c r="W15" s="20">
        <v>122</v>
      </c>
      <c r="X15" s="38">
        <v>0</v>
      </c>
      <c r="Y15" s="54"/>
      <c r="Z15" s="42" t="s">
        <v>44</v>
      </c>
      <c r="AA15" s="37">
        <v>4100</v>
      </c>
    </row>
    <row r="16" spans="1:27" ht="15" customHeight="1" x14ac:dyDescent="0.2">
      <c r="A16" s="21">
        <v>44179</v>
      </c>
      <c r="B16" s="82">
        <v>95.08</v>
      </c>
      <c r="C16" s="77">
        <v>3.2857599999999998</v>
      </c>
      <c r="D16" s="78">
        <v>6.0231680000000001</v>
      </c>
      <c r="E16" s="78">
        <v>5.4287359999999998</v>
      </c>
      <c r="F16" s="78">
        <v>2.3216640000000002</v>
      </c>
      <c r="G16" s="78">
        <v>2.6654719999999998</v>
      </c>
      <c r="H16" s="78">
        <v>3.0840320000000001</v>
      </c>
      <c r="I16" s="78">
        <v>1.406976</v>
      </c>
      <c r="J16" s="78">
        <v>1.9100159999999999</v>
      </c>
      <c r="K16" s="78">
        <v>3.6229119999999999</v>
      </c>
      <c r="L16" s="83">
        <v>7526</v>
      </c>
      <c r="M16" s="80">
        <v>8254</v>
      </c>
      <c r="N16" s="80">
        <v>7680</v>
      </c>
      <c r="O16" s="80">
        <v>8753</v>
      </c>
      <c r="P16" s="80">
        <v>0</v>
      </c>
      <c r="Q16" s="80">
        <f>2040+2212+2040+2884</f>
        <v>9176</v>
      </c>
      <c r="R16" s="32">
        <v>70</v>
      </c>
      <c r="S16" s="32">
        <v>16</v>
      </c>
      <c r="T16" s="32">
        <v>55</v>
      </c>
      <c r="U16" s="32">
        <v>194</v>
      </c>
      <c r="V16" s="32">
        <v>162</v>
      </c>
      <c r="W16" s="32">
        <v>113</v>
      </c>
      <c r="X16" s="38">
        <v>0</v>
      </c>
      <c r="Y16" s="64"/>
      <c r="Z16" s="65"/>
      <c r="AA16" s="66"/>
    </row>
    <row r="17" spans="1:28" ht="15" customHeight="1" x14ac:dyDescent="0.2">
      <c r="A17" s="21">
        <v>44180</v>
      </c>
      <c r="B17" s="82">
        <v>92.75</v>
      </c>
      <c r="C17" s="77">
        <v>2.76736</v>
      </c>
      <c r="D17" s="78">
        <v>5.4686719999999998</v>
      </c>
      <c r="E17" s="78">
        <v>5.293056</v>
      </c>
      <c r="F17" s="78">
        <v>2.203392</v>
      </c>
      <c r="G17" s="78">
        <v>2.5838079999999999</v>
      </c>
      <c r="H17" s="78">
        <v>2.639872</v>
      </c>
      <c r="I17" s="78">
        <v>1.4437120000000001</v>
      </c>
      <c r="J17" s="78">
        <v>1.6863999999999999</v>
      </c>
      <c r="K17" s="78">
        <v>3.6520959999999998</v>
      </c>
      <c r="L17" s="83">
        <v>10762</v>
      </c>
      <c r="M17" s="80">
        <v>8581</v>
      </c>
      <c r="N17" s="80">
        <v>8149</v>
      </c>
      <c r="O17" s="80">
        <v>12458</v>
      </c>
      <c r="P17" s="80">
        <v>0</v>
      </c>
      <c r="Q17" s="80">
        <f>2916+2259+2221+3680</f>
        <v>11076</v>
      </c>
      <c r="R17" s="32">
        <v>75</v>
      </c>
      <c r="S17" s="32">
        <v>39</v>
      </c>
      <c r="T17" s="32">
        <v>68</v>
      </c>
      <c r="U17" s="32">
        <v>242</v>
      </c>
      <c r="V17" s="32">
        <v>208</v>
      </c>
      <c r="W17" s="32">
        <v>125</v>
      </c>
      <c r="X17" s="38">
        <v>0</v>
      </c>
      <c r="Y17" s="64"/>
      <c r="Z17" s="65"/>
      <c r="AA17" s="66"/>
    </row>
    <row r="18" spans="1:28" ht="15" customHeight="1" x14ac:dyDescent="0.2">
      <c r="A18" s="21">
        <v>44181</v>
      </c>
      <c r="B18" s="82">
        <v>80.28</v>
      </c>
      <c r="C18" s="77">
        <v>3.0141439999999999</v>
      </c>
      <c r="D18" s="78">
        <v>5.7195520000000002</v>
      </c>
      <c r="E18" s="78">
        <v>5.3724160000000003</v>
      </c>
      <c r="F18" s="78">
        <v>2.4829439999999998</v>
      </c>
      <c r="G18" s="78">
        <v>2.6839040000000001</v>
      </c>
      <c r="H18" s="78">
        <v>2.650112</v>
      </c>
      <c r="I18" s="78">
        <v>1.3984000000000001</v>
      </c>
      <c r="J18" s="78">
        <v>1.800832</v>
      </c>
      <c r="K18" s="78">
        <v>3.7214719999999999</v>
      </c>
      <c r="L18" s="83">
        <v>0</v>
      </c>
      <c r="M18" s="80">
        <v>10699</v>
      </c>
      <c r="N18" s="80">
        <v>4173</v>
      </c>
      <c r="O18" s="80">
        <v>4197</v>
      </c>
      <c r="P18" s="80">
        <v>0</v>
      </c>
      <c r="Q18" s="80">
        <f>2848+1134+1264</f>
        <v>5246</v>
      </c>
      <c r="R18" s="32">
        <v>64</v>
      </c>
      <c r="S18" s="32">
        <v>32</v>
      </c>
      <c r="T18" s="32">
        <v>79</v>
      </c>
      <c r="U18" s="32">
        <v>224</v>
      </c>
      <c r="V18" s="32">
        <v>196</v>
      </c>
      <c r="W18" s="32">
        <v>118</v>
      </c>
      <c r="X18" s="38">
        <v>0</v>
      </c>
      <c r="Y18" s="64"/>
      <c r="Z18" s="65"/>
      <c r="AA18" s="66"/>
    </row>
    <row r="19" spans="1:28" ht="15" customHeight="1" x14ac:dyDescent="0.2">
      <c r="A19" s="21">
        <v>44182</v>
      </c>
      <c r="B19" s="82">
        <v>86.15</v>
      </c>
      <c r="C19" s="77">
        <v>2.8672</v>
      </c>
      <c r="D19" s="78">
        <v>5.1230719999999996</v>
      </c>
      <c r="E19" s="78">
        <v>4.9838079999999998</v>
      </c>
      <c r="F19" s="78">
        <v>2.7258879999999999</v>
      </c>
      <c r="G19" s="78">
        <v>2.6800639999999998</v>
      </c>
      <c r="H19" s="78">
        <v>2.5374720000000002</v>
      </c>
      <c r="I19" s="78">
        <v>1.4452480000000001</v>
      </c>
      <c r="J19" s="78">
        <v>1.9033599999999999</v>
      </c>
      <c r="K19" s="78">
        <v>3.6014080000000002</v>
      </c>
      <c r="L19" s="83">
        <v>14148</v>
      </c>
      <c r="M19" s="80">
        <v>6641</v>
      </c>
      <c r="N19" s="80">
        <v>0</v>
      </c>
      <c r="O19" s="80">
        <v>8103</v>
      </c>
      <c r="P19" s="80">
        <v>0</v>
      </c>
      <c r="Q19" s="80">
        <f>3907+1690+2374</f>
        <v>7971</v>
      </c>
      <c r="R19" s="32">
        <v>65</v>
      </c>
      <c r="S19" s="32">
        <v>0</v>
      </c>
      <c r="T19" s="32">
        <v>84</v>
      </c>
      <c r="U19" s="32">
        <v>226</v>
      </c>
      <c r="V19" s="32">
        <v>178</v>
      </c>
      <c r="W19" s="32">
        <v>121</v>
      </c>
      <c r="X19" s="38">
        <v>0</v>
      </c>
      <c r="Y19" s="64"/>
      <c r="Z19" s="65"/>
      <c r="AA19" s="66"/>
    </row>
    <row r="20" spans="1:28" ht="15" customHeight="1" x14ac:dyDescent="0.2">
      <c r="A20" s="21">
        <v>44183</v>
      </c>
      <c r="B20" s="82">
        <v>90</v>
      </c>
      <c r="C20" s="77">
        <v>3.2706559999999998</v>
      </c>
      <c r="D20" s="78">
        <v>5.6330239999999998</v>
      </c>
      <c r="E20" s="78">
        <v>5.1711999999999998</v>
      </c>
      <c r="F20" s="78">
        <v>2.867712</v>
      </c>
      <c r="G20" s="78">
        <v>3.3098239999999999</v>
      </c>
      <c r="H20" s="78">
        <v>2.9186559999999999</v>
      </c>
      <c r="I20" s="78">
        <v>1.3962239999999999</v>
      </c>
      <c r="J20" s="78">
        <v>1.9412480000000001</v>
      </c>
      <c r="K20" s="78">
        <v>3.682048</v>
      </c>
      <c r="L20" s="83">
        <v>0</v>
      </c>
      <c r="M20" s="80">
        <v>14930</v>
      </c>
      <c r="N20" s="80">
        <v>14944</v>
      </c>
      <c r="O20" s="80">
        <v>0</v>
      </c>
      <c r="P20" s="80">
        <v>0</v>
      </c>
      <c r="Q20" s="80">
        <f>4023+4021</f>
        <v>8044</v>
      </c>
      <c r="R20" s="32">
        <v>74</v>
      </c>
      <c r="S20" s="32">
        <v>0</v>
      </c>
      <c r="T20" s="32">
        <v>85</v>
      </c>
      <c r="U20" s="32">
        <v>163</v>
      </c>
      <c r="V20" s="32">
        <v>194</v>
      </c>
      <c r="W20" s="32">
        <v>117</v>
      </c>
      <c r="X20" s="38">
        <v>0</v>
      </c>
      <c r="Y20" s="64"/>
      <c r="Z20" s="65"/>
      <c r="AA20" s="66"/>
    </row>
    <row r="21" spans="1:28" ht="15" customHeight="1" x14ac:dyDescent="0.2">
      <c r="A21" s="21">
        <v>44184</v>
      </c>
      <c r="B21" s="82">
        <v>72</v>
      </c>
      <c r="C21" s="77">
        <v>3.3861119999999998</v>
      </c>
      <c r="D21" s="78">
        <v>5.4773759999999996</v>
      </c>
      <c r="E21" s="78">
        <v>5.1112960000000003</v>
      </c>
      <c r="F21" s="78">
        <v>2.5863679999999998</v>
      </c>
      <c r="G21" s="78">
        <v>3.6211199999999999</v>
      </c>
      <c r="H21" s="78">
        <v>2.8866559999999999</v>
      </c>
      <c r="I21" s="78">
        <v>1.4132480000000001</v>
      </c>
      <c r="J21" s="78">
        <v>2.2760959999999999</v>
      </c>
      <c r="K21" s="78">
        <v>3.590144</v>
      </c>
      <c r="L21" s="83">
        <v>10750</v>
      </c>
      <c r="M21" s="80">
        <v>6172</v>
      </c>
      <c r="N21" s="80">
        <v>8747</v>
      </c>
      <c r="O21" s="80">
        <v>8214</v>
      </c>
      <c r="P21" s="80">
        <v>0</v>
      </c>
      <c r="Q21" s="80">
        <f>2939+1661+2363+2442</f>
        <v>9405</v>
      </c>
      <c r="R21" s="32">
        <v>68</v>
      </c>
      <c r="S21" s="32">
        <v>0</v>
      </c>
      <c r="T21" s="32">
        <v>106</v>
      </c>
      <c r="U21" s="32">
        <v>218</v>
      </c>
      <c r="V21" s="32">
        <v>180</v>
      </c>
      <c r="W21" s="32">
        <v>117</v>
      </c>
      <c r="X21" s="38">
        <v>0</v>
      </c>
      <c r="Y21" s="64"/>
      <c r="Z21" s="65"/>
      <c r="AA21" s="66"/>
      <c r="AB21" s="23"/>
    </row>
    <row r="22" spans="1:28" ht="15" customHeight="1" x14ac:dyDescent="0.2">
      <c r="A22" s="21">
        <v>44185</v>
      </c>
      <c r="B22" s="76">
        <v>72.22</v>
      </c>
      <c r="C22" s="77">
        <v>3.501824</v>
      </c>
      <c r="D22" s="78">
        <v>5.5823359999999997</v>
      </c>
      <c r="E22" s="78">
        <v>5.1942399999999997</v>
      </c>
      <c r="F22" s="78">
        <v>2.5894400000000002</v>
      </c>
      <c r="G22" s="78">
        <v>3.77088</v>
      </c>
      <c r="H22" s="78">
        <v>3.0202879999999999</v>
      </c>
      <c r="I22" s="78">
        <v>1.412992</v>
      </c>
      <c r="J22" s="78">
        <v>2.1498879999999998</v>
      </c>
      <c r="K22" s="78">
        <v>3.5194879999999999</v>
      </c>
      <c r="L22" s="83">
        <v>5226</v>
      </c>
      <c r="M22" s="80">
        <v>11041</v>
      </c>
      <c r="N22" s="80">
        <v>11282</v>
      </c>
      <c r="O22" s="80">
        <v>5006</v>
      </c>
      <c r="P22" s="80">
        <v>0</v>
      </c>
      <c r="Q22" s="80">
        <f>1364+2928+3038+1448</f>
        <v>8778</v>
      </c>
      <c r="R22" s="32">
        <v>66</v>
      </c>
      <c r="S22" s="32">
        <v>0</v>
      </c>
      <c r="T22" s="32">
        <v>138</v>
      </c>
      <c r="U22" s="32">
        <v>220</v>
      </c>
      <c r="V22" s="32">
        <v>194</v>
      </c>
      <c r="W22" s="32">
        <v>136</v>
      </c>
      <c r="X22" s="38">
        <v>0</v>
      </c>
      <c r="Y22" s="64"/>
      <c r="Z22" s="65"/>
      <c r="AA22" s="66"/>
      <c r="AB22" s="23"/>
    </row>
    <row r="23" spans="1:28" ht="15" customHeight="1" x14ac:dyDescent="0.2">
      <c r="A23" s="21">
        <v>44186</v>
      </c>
      <c r="B23" s="76">
        <v>61.97</v>
      </c>
      <c r="C23" s="77">
        <v>3.4362879999999998</v>
      </c>
      <c r="D23" s="78">
        <v>5.6161279999999998</v>
      </c>
      <c r="E23" s="78">
        <v>5.2239360000000001</v>
      </c>
      <c r="F23" s="78">
        <v>2.7345920000000001</v>
      </c>
      <c r="G23" s="78">
        <v>3.8635519999999999</v>
      </c>
      <c r="H23" s="78">
        <v>3.1032320000000002</v>
      </c>
      <c r="I23" s="78">
        <v>1.3855999999999999</v>
      </c>
      <c r="J23" s="78">
        <v>2.0300799999999999</v>
      </c>
      <c r="K23" s="78">
        <v>3.700736</v>
      </c>
      <c r="L23" s="83">
        <v>4233</v>
      </c>
      <c r="M23" s="80">
        <v>12184</v>
      </c>
      <c r="N23" s="80">
        <v>12136</v>
      </c>
      <c r="O23" s="80">
        <v>4280</v>
      </c>
      <c r="P23" s="80">
        <v>0</v>
      </c>
      <c r="Q23" s="80">
        <f>1250+3230+3268+1273</f>
        <v>9021</v>
      </c>
      <c r="R23" s="32">
        <v>61</v>
      </c>
      <c r="S23" s="32">
        <v>0</v>
      </c>
      <c r="T23" s="32">
        <v>118</v>
      </c>
      <c r="U23" s="32">
        <v>209</v>
      </c>
      <c r="V23" s="32">
        <v>168</v>
      </c>
      <c r="W23" s="32">
        <v>109</v>
      </c>
      <c r="X23" s="38">
        <v>0</v>
      </c>
      <c r="Y23" s="64"/>
      <c r="Z23" s="65"/>
      <c r="AA23" s="66"/>
      <c r="AB23" s="23"/>
    </row>
    <row r="24" spans="1:28" ht="15" customHeight="1" x14ac:dyDescent="0.2">
      <c r="A24" s="21">
        <v>44187</v>
      </c>
      <c r="B24" s="76">
        <v>46.32</v>
      </c>
      <c r="C24" s="77">
        <v>3.2780800000000001</v>
      </c>
      <c r="D24" s="78">
        <v>5.520384</v>
      </c>
      <c r="E24" s="78">
        <v>5.5531519999999999</v>
      </c>
      <c r="F24" s="78">
        <v>2.8887040000000002</v>
      </c>
      <c r="G24" s="78">
        <v>3.3492479999999998</v>
      </c>
      <c r="H24" s="78">
        <v>3.0842879999999999</v>
      </c>
      <c r="I24" s="78">
        <v>1.3544959999999999</v>
      </c>
      <c r="J24" s="78">
        <v>2.2225920000000001</v>
      </c>
      <c r="K24" s="78">
        <v>3.822848</v>
      </c>
      <c r="L24" s="79">
        <v>0</v>
      </c>
      <c r="M24" s="32">
        <v>15416</v>
      </c>
      <c r="N24" s="22">
        <v>0</v>
      </c>
      <c r="O24" s="32">
        <v>10224</v>
      </c>
      <c r="P24" s="22">
        <v>0</v>
      </c>
      <c r="Q24" s="22">
        <f>4152+3023</f>
        <v>7175</v>
      </c>
      <c r="R24" s="32">
        <v>65</v>
      </c>
      <c r="S24" s="32">
        <v>0</v>
      </c>
      <c r="T24" s="32">
        <v>141</v>
      </c>
      <c r="U24" s="32">
        <v>288</v>
      </c>
      <c r="V24" s="32">
        <v>180</v>
      </c>
      <c r="W24" s="32">
        <v>119</v>
      </c>
      <c r="X24" s="38">
        <v>0</v>
      </c>
      <c r="Y24" s="64"/>
      <c r="Z24" s="65"/>
      <c r="AA24" s="66"/>
      <c r="AB24" s="23"/>
    </row>
    <row r="25" spans="1:28" ht="15" customHeight="1" x14ac:dyDescent="0.2">
      <c r="A25" s="21">
        <v>44188</v>
      </c>
      <c r="B25" s="76">
        <v>35.79</v>
      </c>
      <c r="C25" s="77">
        <v>2.88896</v>
      </c>
      <c r="D25" s="78">
        <v>4.7641600000000004</v>
      </c>
      <c r="E25" s="78">
        <v>5.0350080000000004</v>
      </c>
      <c r="F25" s="78">
        <v>2.7896320000000001</v>
      </c>
      <c r="G25" s="78">
        <v>2.667008</v>
      </c>
      <c r="H25" s="78">
        <v>1.995776</v>
      </c>
      <c r="I25" s="78">
        <v>1.2736000000000001</v>
      </c>
      <c r="J25" s="78">
        <v>1.607936</v>
      </c>
      <c r="K25" s="78">
        <v>3.6011519999999999</v>
      </c>
      <c r="L25" s="83">
        <v>13710</v>
      </c>
      <c r="M25" s="80">
        <v>0</v>
      </c>
      <c r="N25" s="80">
        <v>13508</v>
      </c>
      <c r="O25" s="80">
        <v>0</v>
      </c>
      <c r="P25" s="80">
        <v>0</v>
      </c>
      <c r="Q25" s="80">
        <f>3740+5150</f>
        <v>8890</v>
      </c>
      <c r="R25" s="32">
        <v>61</v>
      </c>
      <c r="S25" s="32">
        <v>0</v>
      </c>
      <c r="T25" s="20">
        <v>161</v>
      </c>
      <c r="U25" s="20">
        <v>178</v>
      </c>
      <c r="V25" s="20">
        <v>189</v>
      </c>
      <c r="W25" s="20">
        <v>122</v>
      </c>
      <c r="X25" s="38">
        <v>0</v>
      </c>
      <c r="Y25" s="64"/>
      <c r="Z25" s="65"/>
      <c r="AA25" s="66"/>
      <c r="AB25" s="23"/>
    </row>
    <row r="26" spans="1:28" ht="15" customHeight="1" x14ac:dyDescent="0.2">
      <c r="A26" s="21">
        <v>44189</v>
      </c>
      <c r="B26" s="76">
        <v>35.79</v>
      </c>
      <c r="C26" s="77">
        <v>3.0917119999999998</v>
      </c>
      <c r="D26" s="78">
        <v>4.6878719999999996</v>
      </c>
      <c r="E26" s="78">
        <v>5.0145280000000003</v>
      </c>
      <c r="F26" s="78">
        <v>2.471168</v>
      </c>
      <c r="G26" s="78">
        <v>3.1406079999999998</v>
      </c>
      <c r="H26" s="78">
        <v>2.0049920000000001</v>
      </c>
      <c r="I26" s="78">
        <v>1.2503040000000001</v>
      </c>
      <c r="J26" s="78">
        <v>1.875456</v>
      </c>
      <c r="K26" s="78">
        <v>3.6863999999999999</v>
      </c>
      <c r="L26" s="83">
        <v>4287</v>
      </c>
      <c r="M26" s="80">
        <v>0</v>
      </c>
      <c r="N26" s="80">
        <v>9714</v>
      </c>
      <c r="O26" s="80">
        <v>9575</v>
      </c>
      <c r="P26" s="80">
        <v>0</v>
      </c>
      <c r="Q26" s="80">
        <f>1166+2288+2563</f>
        <v>6017</v>
      </c>
      <c r="R26" s="32">
        <v>56</v>
      </c>
      <c r="S26" s="32">
        <v>0</v>
      </c>
      <c r="T26" s="20">
        <v>113</v>
      </c>
      <c r="U26" s="20">
        <v>170</v>
      </c>
      <c r="V26" s="20">
        <v>151</v>
      </c>
      <c r="W26" s="20">
        <v>118</v>
      </c>
      <c r="X26" s="38">
        <v>0</v>
      </c>
      <c r="Y26" s="64"/>
      <c r="Z26" s="65"/>
      <c r="AA26" s="66"/>
      <c r="AB26" s="23"/>
    </row>
    <row r="27" spans="1:28" ht="15" customHeight="1" x14ac:dyDescent="0.2">
      <c r="A27" s="21">
        <v>44190</v>
      </c>
      <c r="B27" s="76">
        <v>46.15</v>
      </c>
      <c r="C27" s="77">
        <v>3.3899520000000001</v>
      </c>
      <c r="D27" s="78">
        <v>5.1486720000000004</v>
      </c>
      <c r="E27" s="78">
        <v>5.1788800000000004</v>
      </c>
      <c r="F27" s="78">
        <v>2.4256000000000002</v>
      </c>
      <c r="G27" s="78">
        <v>3.1408640000000001</v>
      </c>
      <c r="H27" s="78">
        <v>2.2187519999999998</v>
      </c>
      <c r="I27" s="78">
        <v>1.284608</v>
      </c>
      <c r="J27" s="78">
        <v>1.9929600000000001</v>
      </c>
      <c r="K27" s="78">
        <v>3.631872</v>
      </c>
      <c r="L27" s="83">
        <v>11089</v>
      </c>
      <c r="M27" s="80">
        <v>5020</v>
      </c>
      <c r="N27" s="80">
        <v>11058</v>
      </c>
      <c r="O27" s="80">
        <v>5234</v>
      </c>
      <c r="P27" s="80">
        <v>0</v>
      </c>
      <c r="Q27" s="80">
        <f>2997+1602+2983+1756</f>
        <v>9338</v>
      </c>
      <c r="R27" s="32">
        <v>52</v>
      </c>
      <c r="S27" s="32">
        <v>0</v>
      </c>
      <c r="T27" s="20">
        <v>151</v>
      </c>
      <c r="U27" s="20">
        <v>138</v>
      </c>
      <c r="V27" s="20">
        <v>84</v>
      </c>
      <c r="W27" s="20">
        <v>120</v>
      </c>
      <c r="X27" s="38">
        <v>0</v>
      </c>
      <c r="Y27" s="64"/>
      <c r="Z27" s="65"/>
      <c r="AA27" s="66"/>
      <c r="AB27" s="23"/>
    </row>
    <row r="28" spans="1:28" ht="15" customHeight="1" x14ac:dyDescent="0.2">
      <c r="A28" s="21">
        <v>44191</v>
      </c>
      <c r="B28" s="76">
        <v>37.14</v>
      </c>
      <c r="C28" s="77">
        <v>3.1129600000000002</v>
      </c>
      <c r="D28" s="78">
        <v>5.2111359999999998</v>
      </c>
      <c r="E28" s="78">
        <v>5.1916799999999999</v>
      </c>
      <c r="F28" s="78">
        <v>2.3344640000000001</v>
      </c>
      <c r="G28" s="78">
        <v>3.0832639999999998</v>
      </c>
      <c r="H28" s="78">
        <v>2.2133759999999998</v>
      </c>
      <c r="I28" s="78">
        <v>1.31264</v>
      </c>
      <c r="J28" s="78">
        <v>2.0597759999999998</v>
      </c>
      <c r="K28" s="78">
        <v>3.5758079999999999</v>
      </c>
      <c r="L28" s="83">
        <v>4275</v>
      </c>
      <c r="M28" s="80">
        <v>10299</v>
      </c>
      <c r="N28" s="80">
        <v>3558</v>
      </c>
      <c r="O28" s="80">
        <v>11042</v>
      </c>
      <c r="P28" s="80">
        <v>0</v>
      </c>
      <c r="Q28" s="80">
        <f>1156+2823+987+3293</f>
        <v>8259</v>
      </c>
      <c r="R28" s="32">
        <v>47</v>
      </c>
      <c r="S28" s="32">
        <v>0</v>
      </c>
      <c r="T28" s="20">
        <v>168</v>
      </c>
      <c r="U28" s="20">
        <v>183</v>
      </c>
      <c r="V28" s="20">
        <v>103</v>
      </c>
      <c r="W28" s="20">
        <v>120</v>
      </c>
      <c r="X28" s="38">
        <v>0</v>
      </c>
      <c r="Y28" s="64"/>
      <c r="Z28" s="65"/>
      <c r="AA28" s="66"/>
      <c r="AB28" s="23"/>
    </row>
    <row r="29" spans="1:28" ht="15" customHeight="1" x14ac:dyDescent="0.2">
      <c r="A29" s="21">
        <v>44192</v>
      </c>
      <c r="B29" s="76">
        <v>38.24</v>
      </c>
      <c r="C29" s="77">
        <v>3.071488</v>
      </c>
      <c r="D29" s="78">
        <v>5.1276799999999998</v>
      </c>
      <c r="E29" s="78">
        <v>5.236224</v>
      </c>
      <c r="F29" s="78">
        <v>2.4158719999999998</v>
      </c>
      <c r="G29" s="78">
        <v>3.078144</v>
      </c>
      <c r="H29" s="78">
        <v>2.0602879999999999</v>
      </c>
      <c r="I29" s="78">
        <v>1.3195520000000001</v>
      </c>
      <c r="J29" s="78">
        <v>2.0290560000000002</v>
      </c>
      <c r="K29" s="78">
        <v>3.4941439999999999</v>
      </c>
      <c r="L29" s="83">
        <v>9988</v>
      </c>
      <c r="M29" s="80">
        <v>4604</v>
      </c>
      <c r="N29" s="80">
        <v>4635</v>
      </c>
      <c r="O29" s="80">
        <v>9926</v>
      </c>
      <c r="P29" s="80">
        <v>0</v>
      </c>
      <c r="Q29" s="80">
        <f>2686+1264+1244+2874</f>
        <v>8068</v>
      </c>
      <c r="R29" s="32">
        <v>45</v>
      </c>
      <c r="S29" s="32">
        <v>0</v>
      </c>
      <c r="T29" s="32">
        <v>172</v>
      </c>
      <c r="U29" s="32">
        <v>163</v>
      </c>
      <c r="V29" s="32">
        <v>101</v>
      </c>
      <c r="W29" s="32">
        <v>97</v>
      </c>
      <c r="X29" s="38">
        <v>0</v>
      </c>
      <c r="Y29" s="64"/>
      <c r="Z29" s="65"/>
      <c r="AA29" s="66"/>
      <c r="AB29" s="23"/>
    </row>
    <row r="30" spans="1:28" ht="15" customHeight="1" x14ac:dyDescent="0.2">
      <c r="A30" s="21">
        <v>44193</v>
      </c>
      <c r="B30" s="76">
        <v>29.85</v>
      </c>
      <c r="C30" s="77">
        <v>2.6457600000000001</v>
      </c>
      <c r="D30" s="78">
        <v>4.8788479999999996</v>
      </c>
      <c r="E30" s="78">
        <v>4.9914880000000004</v>
      </c>
      <c r="F30" s="78">
        <v>2.116352</v>
      </c>
      <c r="G30" s="78">
        <v>3.0891519999999999</v>
      </c>
      <c r="H30" s="78">
        <v>1.961984</v>
      </c>
      <c r="I30" s="78">
        <v>1.2698879999999999</v>
      </c>
      <c r="J30" s="78">
        <v>1.9686399999999999</v>
      </c>
      <c r="K30" s="78">
        <v>3.7240319999999998</v>
      </c>
      <c r="L30" s="83">
        <v>9983</v>
      </c>
      <c r="M30" s="80">
        <v>4040</v>
      </c>
      <c r="N30" s="80">
        <v>4098</v>
      </c>
      <c r="O30" s="80">
        <v>9945</v>
      </c>
      <c r="P30" s="80">
        <v>0</v>
      </c>
      <c r="Q30" s="80">
        <f>2669+1099+1115+3030</f>
        <v>7913</v>
      </c>
      <c r="R30" s="32">
        <v>36</v>
      </c>
      <c r="S30" s="32">
        <v>38</v>
      </c>
      <c r="T30" s="20">
        <v>155</v>
      </c>
      <c r="U30" s="20">
        <v>194</v>
      </c>
      <c r="V30" s="20">
        <v>90</v>
      </c>
      <c r="W30" s="20">
        <v>84</v>
      </c>
      <c r="X30" s="38">
        <v>0</v>
      </c>
      <c r="Y30" s="64"/>
      <c r="Z30" s="65"/>
      <c r="AA30" s="66"/>
      <c r="AB30" s="23"/>
    </row>
    <row r="31" spans="1:28" ht="15" customHeight="1" x14ac:dyDescent="0.2">
      <c r="A31" s="21">
        <v>44194</v>
      </c>
      <c r="B31" s="76">
        <v>27.14</v>
      </c>
      <c r="C31" s="77">
        <v>2.4683519999999999</v>
      </c>
      <c r="D31" s="78">
        <v>4.7872000000000003</v>
      </c>
      <c r="E31" s="78">
        <v>4.8732160000000002</v>
      </c>
      <c r="F31" s="78">
        <v>1.982464</v>
      </c>
      <c r="G31" s="78">
        <v>3.078144</v>
      </c>
      <c r="H31" s="78">
        <v>1.9046400000000001</v>
      </c>
      <c r="I31" s="78">
        <v>1.238912</v>
      </c>
      <c r="J31" s="78">
        <v>1.881856</v>
      </c>
      <c r="K31" s="78">
        <v>3.6055039999999998</v>
      </c>
      <c r="L31" s="85">
        <v>8971</v>
      </c>
      <c r="M31" s="86">
        <v>4633</v>
      </c>
      <c r="N31" s="86">
        <v>4803</v>
      </c>
      <c r="O31" s="80">
        <v>8900</v>
      </c>
      <c r="P31" s="80">
        <v>0</v>
      </c>
      <c r="Q31" s="80">
        <f>2451+1258+1314+2638</f>
        <v>7661</v>
      </c>
      <c r="R31" s="32">
        <v>44</v>
      </c>
      <c r="S31" s="32">
        <v>0</v>
      </c>
      <c r="T31" s="32">
        <v>172</v>
      </c>
      <c r="U31" s="32">
        <v>242</v>
      </c>
      <c r="V31" s="32">
        <v>108</v>
      </c>
      <c r="W31" s="32">
        <v>62</v>
      </c>
      <c r="X31" s="38">
        <v>0</v>
      </c>
      <c r="Y31" s="64"/>
      <c r="Z31" s="65"/>
      <c r="AA31" s="66"/>
      <c r="AB31" s="23"/>
    </row>
    <row r="32" spans="1:28" ht="15" customHeight="1" x14ac:dyDescent="0.2">
      <c r="A32" s="21">
        <v>44195</v>
      </c>
      <c r="B32" s="82">
        <v>27.14</v>
      </c>
      <c r="C32" s="77">
        <v>2.8702719999999999</v>
      </c>
      <c r="D32" s="78">
        <v>5.1210240000000002</v>
      </c>
      <c r="E32" s="78">
        <v>5.0462720000000001</v>
      </c>
      <c r="F32" s="78">
        <v>2.174464</v>
      </c>
      <c r="G32" s="78">
        <v>3.1447039999999999</v>
      </c>
      <c r="H32" s="78">
        <v>2.1253120000000001</v>
      </c>
      <c r="I32" s="78">
        <v>1.2583679999999999</v>
      </c>
      <c r="J32" s="78">
        <v>1.961984</v>
      </c>
      <c r="K32" s="78">
        <v>3.6272639999999998</v>
      </c>
      <c r="L32" s="87">
        <v>9929</v>
      </c>
      <c r="M32" s="88">
        <v>4529</v>
      </c>
      <c r="N32" s="88">
        <v>4535</v>
      </c>
      <c r="O32" s="89">
        <v>9930</v>
      </c>
      <c r="P32" s="90">
        <v>0</v>
      </c>
      <c r="Q32" s="80">
        <f>2723+1208+1240+2842</f>
        <v>8013</v>
      </c>
      <c r="R32" s="32">
        <v>34</v>
      </c>
      <c r="S32" s="32">
        <v>40</v>
      </c>
      <c r="T32" s="32">
        <v>129</v>
      </c>
      <c r="U32" s="32">
        <v>217</v>
      </c>
      <c r="V32" s="32">
        <v>111</v>
      </c>
      <c r="W32" s="32">
        <v>126</v>
      </c>
      <c r="X32" s="20">
        <v>0</v>
      </c>
      <c r="Y32" s="64"/>
      <c r="Z32" s="65"/>
      <c r="AA32" s="66"/>
      <c r="AB32" s="23"/>
    </row>
    <row r="33" spans="1:27" ht="12.75" customHeight="1" x14ac:dyDescent="0.2">
      <c r="A33" s="21">
        <v>44196</v>
      </c>
      <c r="B33" s="76">
        <v>25.71</v>
      </c>
      <c r="C33" s="77">
        <v>2.4517120000000001</v>
      </c>
      <c r="D33" s="78">
        <v>4.4180479999999998</v>
      </c>
      <c r="E33" s="78">
        <v>4.7805439999999999</v>
      </c>
      <c r="F33" s="78">
        <v>1.8795519999999999</v>
      </c>
      <c r="G33" s="78">
        <v>2.7348479999999999</v>
      </c>
      <c r="H33" s="78">
        <v>1.9998720000000001</v>
      </c>
      <c r="I33" s="78">
        <v>1.2792319999999999</v>
      </c>
      <c r="J33" s="78">
        <v>1.6268800000000001</v>
      </c>
      <c r="K33" s="78">
        <v>3.4580479999999998</v>
      </c>
      <c r="L33" s="87">
        <v>8441</v>
      </c>
      <c r="M33" s="88">
        <v>4488</v>
      </c>
      <c r="N33" s="88">
        <v>4428</v>
      </c>
      <c r="O33" s="91">
        <v>8506</v>
      </c>
      <c r="P33" s="92">
        <v>0</v>
      </c>
      <c r="Q33" s="93">
        <f>2220+1222+1194+2639</f>
        <v>7275</v>
      </c>
      <c r="R33" s="94">
        <v>29</v>
      </c>
      <c r="S33" s="94">
        <v>0</v>
      </c>
      <c r="T33" s="94">
        <v>99</v>
      </c>
      <c r="U33" s="94">
        <v>146</v>
      </c>
      <c r="V33" s="94">
        <v>98</v>
      </c>
      <c r="W33" s="94">
        <v>127</v>
      </c>
      <c r="X33" s="95">
        <v>0</v>
      </c>
      <c r="Y33" s="67"/>
      <c r="Z33" s="68"/>
      <c r="AA33" s="69"/>
    </row>
    <row r="39" spans="1:27" x14ac:dyDescent="0.2">
      <c r="X39" s="45"/>
      <c r="Y39" s="39"/>
      <c r="Z39" s="39"/>
    </row>
    <row r="40" spans="1:27" x14ac:dyDescent="0.2">
      <c r="X40" s="45"/>
      <c r="Y40" s="39"/>
      <c r="Z40" s="39"/>
    </row>
    <row r="41" spans="1:27" x14ac:dyDescent="0.2">
      <c r="X41" s="45"/>
      <c r="Y41" s="39"/>
      <c r="Z41" s="39"/>
    </row>
    <row r="42" spans="1:27" x14ac:dyDescent="0.2">
      <c r="X42" s="45"/>
      <c r="Y42" s="39"/>
      <c r="Z42" s="39"/>
    </row>
    <row r="43" spans="1:27" x14ac:dyDescent="0.2">
      <c r="X43" s="45"/>
      <c r="Y43" s="39"/>
      <c r="Z43" s="39"/>
    </row>
    <row r="44" spans="1:27" x14ac:dyDescent="0.2">
      <c r="X44" s="45"/>
      <c r="Y44" s="39"/>
      <c r="Z44" s="39"/>
    </row>
    <row r="45" spans="1:27" x14ac:dyDescent="0.2">
      <c r="X45" s="45"/>
      <c r="Y45" s="39"/>
      <c r="Z45" s="39"/>
    </row>
    <row r="46" spans="1:27" x14ac:dyDescent="0.2">
      <c r="X46" s="45"/>
      <c r="Y46" s="39"/>
      <c r="Z46" s="39"/>
    </row>
    <row r="47" spans="1:27" x14ac:dyDescent="0.2">
      <c r="X47" s="45"/>
      <c r="Y47" s="39"/>
      <c r="Z47" s="39"/>
    </row>
    <row r="48" spans="1:27" x14ac:dyDescent="0.2">
      <c r="X48" s="45"/>
      <c r="Y48" s="39"/>
      <c r="Z48" s="39"/>
    </row>
    <row r="49" spans="24:26" x14ac:dyDescent="0.2">
      <c r="X49" s="45"/>
      <c r="Y49" s="39"/>
      <c r="Z49" s="39"/>
    </row>
    <row r="50" spans="24:26" x14ac:dyDescent="0.2">
      <c r="X50" s="45"/>
      <c r="Y50" s="39"/>
      <c r="Z50" s="39"/>
    </row>
  </sheetData>
  <mergeCells count="8">
    <mergeCell ref="Z13:AA13"/>
    <mergeCell ref="Z14:AA14"/>
    <mergeCell ref="Y16:AA33"/>
    <mergeCell ref="C1:K1"/>
    <mergeCell ref="Y2:AA2"/>
    <mergeCell ref="Y3:AA3"/>
    <mergeCell ref="Y11:AA11"/>
    <mergeCell ref="Z12:AA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2021-01-04T08:11:21Z</dcterms:modified>
</cp:coreProperties>
</file>