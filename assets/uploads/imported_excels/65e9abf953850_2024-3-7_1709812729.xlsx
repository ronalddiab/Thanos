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Y\OneDrive - ACCOR\Desktop\new system\file system new\"/>
    </mc:Choice>
  </mc:AlternateContent>
  <xr:revisionPtr revIDLastSave="19" documentId="8_{0E87D81A-2713-453A-BACC-951AB6069C90}" xr6:coauthVersionLast="36" xr6:coauthVersionMax="47" xr10:uidLastSave="{0DC78CB0-8F2C-4424-8F5C-708D6DF2074E}"/>
  <bookViews>
    <workbookView xWindow="-105" yWindow="-105" windowWidth="19395" windowHeight="10275" tabRatio="500" activeTab="1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</workbook>
</file>

<file path=xl/calcChain.xml><?xml version="1.0" encoding="utf-8"?>
<calcChain xmlns="http://schemas.openxmlformats.org/spreadsheetml/2006/main"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D17" i="16"/>
  <c r="E16" i="16"/>
  <c r="D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E17" i="1" s="1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E29" i="1" l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5"/>
  <c r="F31" i="36"/>
  <c r="D18" i="11"/>
  <c r="F18" i="11" s="1"/>
  <c r="F10" i="12"/>
  <c r="F11" i="12" s="1"/>
  <c r="F14" i="16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3" i="33" l="1"/>
  <c r="G23" i="33" s="1"/>
  <c r="G31" i="33" s="1"/>
  <c r="F19" i="30"/>
  <c r="F19" i="24"/>
  <c r="G19" i="24" s="1"/>
  <c r="G30" i="24" s="1"/>
  <c r="G8" i="29"/>
  <c r="G28" i="29" s="1"/>
  <c r="F19" i="27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G32" i="33"/>
  <c r="F30" i="28"/>
  <c r="G19" i="21"/>
  <c r="G30" i="21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32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4" i="35"/>
  <c r="H15" i="35" s="1"/>
  <c r="E46" i="35"/>
  <c r="F19" i="6"/>
  <c r="L28" i="36"/>
  <c r="F23" i="20"/>
  <c r="G23" i="20" s="1"/>
  <c r="G31" i="20" s="1"/>
  <c r="F31" i="20"/>
  <c r="G19" i="34" l="1"/>
  <c r="G30" i="34" s="1"/>
  <c r="G32" i="34" s="1"/>
  <c r="G32" i="24"/>
  <c r="G32" i="21"/>
  <c r="F30" i="26"/>
  <c r="G32" i="29"/>
  <c r="F30" i="17"/>
  <c r="F30" i="14"/>
  <c r="G19" i="16"/>
  <c r="G30" i="16" s="1"/>
  <c r="G32" i="16" s="1"/>
  <c r="G32" i="14"/>
  <c r="F30" i="12"/>
  <c r="G32" i="9"/>
  <c r="G32" i="25"/>
  <c r="F30" i="32"/>
  <c r="G19" i="4"/>
  <c r="G30" i="4" s="1"/>
  <c r="G32" i="4" s="1"/>
  <c r="F30" i="23"/>
  <c r="G19" i="7"/>
  <c r="G30" i="7" s="1"/>
  <c r="G32" i="7" s="1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<sst xmlns="http://schemas.openxmlformats.org/spreadsheetml/2006/main" count="2311" uniqueCount="181">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</sst>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64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>
        <f>INT('Daily Meter'!O13*434/100)</f>
        <v>409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17280.000000000437</v>
      </c>
      <c r="F10" s="5">
        <v>0.44</v>
      </c>
      <c r="G10" s="6">
        <f>Submetering!M10</f>
        <v>496.17000000002156</v>
      </c>
      <c r="H10" s="12">
        <v>2.5</v>
      </c>
      <c r="I10" s="6">
        <f>Submetering!L10</f>
        <v>34975.070999999996</v>
      </c>
      <c r="J10" s="5">
        <v>0.06</v>
      </c>
      <c r="K10" s="275">
        <f>Submetering!K10</f>
        <v>5061.2520000008271</v>
      </c>
      <c r="L10" s="5">
        <v>1.1399999999999999</v>
      </c>
      <c r="M10" s="6">
        <f>INT('Daily Meter'!O14*434/100)</f>
        <v>391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17136.000000000131</v>
      </c>
      <c r="F11" s="5">
        <v>0.44</v>
      </c>
      <c r="G11" s="6">
        <f>Submetering!M11</f>
        <v>563.87999999997851</v>
      </c>
      <c r="H11" s="12">
        <v>2.5</v>
      </c>
      <c r="I11" s="6">
        <f>Submetering!L11</f>
        <v>60931.413</v>
      </c>
      <c r="J11" s="5">
        <v>0.06</v>
      </c>
      <c r="K11" s="275">
        <f>Submetering!K11</f>
        <v>5061.251999998758</v>
      </c>
      <c r="L11" s="5">
        <v>1.1399999999999999</v>
      </c>
      <c r="M11" s="6">
        <f>INT('Daily Meter'!O15*434/100)</f>
        <v>353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17375.999999999694</v>
      </c>
      <c r="F12" s="5">
        <v>0.44</v>
      </c>
      <c r="G12" s="6">
        <f>Submetering!M12</f>
        <v>507.27000000002158</v>
      </c>
      <c r="H12" s="12">
        <v>2.5</v>
      </c>
      <c r="I12" s="6">
        <f>Submetering!L12</f>
        <v>56092.095000000001</v>
      </c>
      <c r="J12" s="5">
        <v>0.06</v>
      </c>
      <c r="K12" s="275">
        <f>Submetering!K12</f>
        <v>5374.0260000004137</v>
      </c>
      <c r="L12" s="5">
        <v>1.1399999999999999</v>
      </c>
      <c r="M12" s="6">
        <f>INT('Daily Meter'!O16*434/100)</f>
        <v>384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16607.999999999738</v>
      </c>
      <c r="F13" s="5">
        <v>0.44</v>
      </c>
      <c r="G13" s="6">
        <f>Submetering!M13</f>
        <v>522.43999999998925</v>
      </c>
      <c r="H13" s="12">
        <v>2.5</v>
      </c>
      <c r="I13" s="6">
        <f>Submetering!L13</f>
        <v>46193.49</v>
      </c>
      <c r="J13" s="5">
        <v>0.06</v>
      </c>
      <c r="K13" s="275">
        <f>Submetering!K13</f>
        <v>4663.1760000004133</v>
      </c>
      <c r="L13" s="5">
        <v>1.1399999999999999</v>
      </c>
      <c r="M13" s="6">
        <f>INT('Daily Meter'!O17*434/100)</f>
        <v>345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16704.000000000742</v>
      </c>
      <c r="F14" s="5">
        <v>0.44</v>
      </c>
      <c r="G14" s="6">
        <f>Submetering!M14</f>
        <v>550.92999999997846</v>
      </c>
      <c r="H14" s="12">
        <v>2.5</v>
      </c>
      <c r="I14" s="6">
        <f>Submetering!L14</f>
        <v>38054.637000000002</v>
      </c>
      <c r="J14" s="5">
        <v>0.06</v>
      </c>
      <c r="K14" s="275">
        <f>Submetering!K14</f>
        <v>5032.8179999991717</v>
      </c>
      <c r="L14" s="5">
        <v>1.1399999999999999</v>
      </c>
      <c r="M14" s="6">
        <f>INT('Daily Meter'!O18*434/100)</f>
        <v>329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16560</v>
      </c>
      <c r="F15" s="5">
        <v>0.44</v>
      </c>
      <c r="G15" s="6">
        <f>Submetering!M15</f>
        <v>526.88000000003228</v>
      </c>
      <c r="H15" s="12">
        <v>2.5</v>
      </c>
      <c r="I15" s="6">
        <f>Submetering!L15</f>
        <v>41134.203000000001</v>
      </c>
      <c r="J15" s="5">
        <v>0.06</v>
      </c>
      <c r="K15" s="275">
        <f>Submetering!K15</f>
        <v>5487.7620000008274</v>
      </c>
      <c r="L15" s="5">
        <v>1.1399999999999999</v>
      </c>
      <c r="M15" s="6">
        <f>INT('Daily Meter'!O19*434/100)</f>
        <v>327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16751.999999999607</v>
      </c>
      <c r="F16" s="5">
        <v>0.44</v>
      </c>
      <c r="G16" s="6">
        <f>Submetering!M16</f>
        <v>455.83999999998923</v>
      </c>
      <c r="H16" s="12">
        <v>2.5</v>
      </c>
      <c r="I16" s="6">
        <f>Submetering!L16</f>
        <v>33875.226000000002</v>
      </c>
      <c r="J16" s="5">
        <v>0.06</v>
      </c>
      <c r="K16" s="275">
        <f>Submetering!K16</f>
        <v>6170.1779999991722</v>
      </c>
      <c r="L16" s="5">
        <v>1.1399999999999999</v>
      </c>
      <c r="M16" s="6">
        <f>INT('Daily Meter'!O20*434/100)</f>
        <v>333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16896.000000000131</v>
      </c>
      <c r="F17" s="5">
        <v>0.44</v>
      </c>
      <c r="G17" s="6">
        <f>Submetering!M17</f>
        <v>481.37000000002155</v>
      </c>
      <c r="H17" s="12">
        <v>2.5</v>
      </c>
      <c r="I17" s="6">
        <f>Submetering!L17</f>
        <v>41134.203000000001</v>
      </c>
      <c r="J17" s="5">
        <v>0.06</v>
      </c>
      <c r="K17" s="275">
        <f>Submetering!K17</f>
        <v>7023.1980000012409</v>
      </c>
      <c r="L17" s="5">
        <v>1.1399999999999999</v>
      </c>
      <c r="M17" s="6">
        <f>INT('Daily Meter'!O21*434/100)</f>
        <v>337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17279.999999999782</v>
      </c>
      <c r="F18" s="5">
        <v>0.44</v>
      </c>
      <c r="G18" s="6">
        <f>Submetering!M18</f>
        <v>438.81999999996771</v>
      </c>
      <c r="H18" s="12">
        <v>2.5</v>
      </c>
      <c r="I18" s="6">
        <f>Submetering!L18</f>
        <v>34535.133000000002</v>
      </c>
      <c r="J18" s="5">
        <v>0.06</v>
      </c>
      <c r="K18" s="275">
        <f>Submetering!K18</f>
        <v>7762.4819999987576</v>
      </c>
      <c r="L18" s="5">
        <v>1.1399999999999999</v>
      </c>
      <c r="M18" s="6">
        <f>INT('Daily Meter'!O22*434/100)</f>
        <v>307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16943.999999999651</v>
      </c>
      <c r="F19" s="5">
        <v>0.44</v>
      </c>
      <c r="G19" s="6">
        <f>Submetering!M19</f>
        <v>566.47000000002151</v>
      </c>
      <c r="H19" s="12">
        <v>2.5</v>
      </c>
      <c r="I19" s="6">
        <f>Submetering!L19</f>
        <v>48173.210999999996</v>
      </c>
      <c r="J19" s="5">
        <v>0.06</v>
      </c>
      <c r="K19" s="275">
        <f>Submetering!K19</f>
        <v>7677.1799999999994</v>
      </c>
      <c r="L19" s="5">
        <v>1.1399999999999999</v>
      </c>
      <c r="M19" s="6">
        <f>INT('Daily Meter'!O23*434/100)</f>
        <v>298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16944.000000000306</v>
      </c>
      <c r="F20" s="5">
        <v>0.44</v>
      </c>
      <c r="G20" s="6">
        <f>Submetering!M20</f>
        <v>547.22999999997853</v>
      </c>
      <c r="H20" s="12">
        <v>2.5</v>
      </c>
      <c r="I20" s="6">
        <f>Submetering!L20</f>
        <v>40694.264999999999</v>
      </c>
      <c r="J20" s="5">
        <v>0.06</v>
      </c>
      <c r="K20" s="275">
        <f>Submetering!K20</f>
        <v>6539.82</v>
      </c>
      <c r="L20" s="5">
        <v>1.1399999999999999</v>
      </c>
      <c r="M20" s="6">
        <f>INT('Daily Meter'!O24*434/100)</f>
        <v>374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16848.000000000611</v>
      </c>
      <c r="F21" s="5">
        <v>0.44</v>
      </c>
      <c r="G21" s="6">
        <f>Submetering!M21</f>
        <v>523.55000000000007</v>
      </c>
      <c r="H21" s="12">
        <v>2.5</v>
      </c>
      <c r="I21" s="6">
        <f>Submetering!L21</f>
        <v>51032.807999999997</v>
      </c>
      <c r="J21" s="5">
        <v>0.06</v>
      </c>
      <c r="K21" s="275">
        <f>Submetering!K21</f>
        <v>5914.2720000008267</v>
      </c>
      <c r="L21" s="5">
        <v>1.1399999999999999</v>
      </c>
      <c r="M21" s="6">
        <f>INT('Daily Meter'!O25*434/100)</f>
        <v>434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16943.999999999651</v>
      </c>
      <c r="F22" s="5">
        <v>0.44</v>
      </c>
      <c r="G22" s="6">
        <f>Submetering!M22</f>
        <v>564.25</v>
      </c>
      <c r="H22" s="12">
        <v>2.5</v>
      </c>
      <c r="I22" s="6">
        <f>Submetering!L22</f>
        <v>39814.388999999996</v>
      </c>
      <c r="J22" s="5">
        <v>0.06</v>
      </c>
      <c r="K22" s="275">
        <f>Submetering!K22</f>
        <v>5828.9699999999993</v>
      </c>
      <c r="L22" s="5">
        <v>1.1399999999999999</v>
      </c>
      <c r="M22" s="6">
        <f>INT('Daily Meter'!O26*434/100)</f>
        <v>434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Submetering!E23+Submetering!F23+Submetering!G23+Submetering!H23+Submetering!I23+Submetering!J23</f>
        <v>16943.999999999651</v>
      </c>
      <c r="F23" s="5">
        <v>0.44</v>
      </c>
      <c r="G23" s="6">
        <f>Submetering!M23</f>
        <v>584.6</v>
      </c>
      <c r="H23" s="12">
        <v>2.5</v>
      </c>
      <c r="I23" s="6">
        <f>Submetering!L23</f>
        <v>51692.714999999997</v>
      </c>
      <c r="J23" s="5">
        <v>0.06</v>
      </c>
      <c r="K23" s="275">
        <f>Submetering!K23</f>
        <v>5942.706000000413</v>
      </c>
      <c r="L23" s="5">
        <v>1.1399999999999999</v>
      </c>
      <c r="M23" s="6">
        <f>INT('Daily Meter'!O27*434/100)</f>
        <v>426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Submetering!E24+Submetering!F24+Submetering!G24+Submetering!H24+Submetering!I24+Submetering!J24</f>
        <v>16992.000000000698</v>
      </c>
      <c r="F24" s="5">
        <v>0.44</v>
      </c>
      <c r="G24" s="6">
        <f>Submetering!M24</f>
        <v>593.11000000001081</v>
      </c>
      <c r="H24" s="12">
        <v>2.5</v>
      </c>
      <c r="I24" s="6">
        <f>Submetering!L24</f>
        <v>49712.993999999999</v>
      </c>
      <c r="J24" s="5">
        <v>0.06</v>
      </c>
      <c r="K24" s="275">
        <f>Submetering!K24</f>
        <v>5743.667999999172</v>
      </c>
      <c r="L24" s="5">
        <v>1.1399999999999999</v>
      </c>
      <c r="M24" s="6">
        <f>INT('Daily Meter'!O28*434/100)</f>
        <v>417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Submetering!E25+Submetering!F25+Submetering!G25+Submetering!H25+Submetering!I25+Submetering!J25</f>
        <v>17279.999999999782</v>
      </c>
      <c r="F25" s="5">
        <v>0.44</v>
      </c>
      <c r="G25" s="6">
        <f>Submetering!M25</f>
        <v>610.5</v>
      </c>
      <c r="H25" s="12">
        <v>2.5</v>
      </c>
      <c r="I25" s="6">
        <f>Submetering!L25</f>
        <v>62471.195999999996</v>
      </c>
      <c r="J25" s="5">
        <v>0.06</v>
      </c>
      <c r="K25" s="275">
        <f>Submetering!K25</f>
        <v>6170.1779999991722</v>
      </c>
      <c r="L25" s="5">
        <v>1.1399999999999999</v>
      </c>
      <c r="M25" s="6">
        <f>INT('Daily Meter'!O29*434/100)</f>
        <v>410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Submetering!E26+Submetering!F26+Submetering!G26+Submetering!H26+Submetering!I26+Submetering!J26</f>
        <v>16895.999999999694</v>
      </c>
      <c r="F26" s="5">
        <v>0.44</v>
      </c>
      <c r="G26" s="6">
        <f>Submetering!M26</f>
        <v>599.02999999997849</v>
      </c>
      <c r="H26" s="12">
        <v>2.5</v>
      </c>
      <c r="I26" s="6">
        <f>Submetering!L26</f>
        <v>39374.451000000001</v>
      </c>
      <c r="J26" s="5">
        <v>0.06</v>
      </c>
      <c r="K26" s="275">
        <f>Submetering!K26</f>
        <v>6881.0280000012408</v>
      </c>
      <c r="L26" s="5">
        <v>1.1399999999999999</v>
      </c>
      <c r="M26" s="6">
        <f>INT('Daily Meter'!O30*434/100)</f>
        <v>332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Submetering!E27+Submetering!F27+Submetering!G27+Submetering!H27+Submetering!I27+Submetering!J27</f>
        <v>16655.999999999913</v>
      </c>
      <c r="F27" s="5">
        <v>0.44</v>
      </c>
      <c r="G27" s="6">
        <f>Submetering!M27</f>
        <v>458.0600000000108</v>
      </c>
      <c r="H27" s="12">
        <v>2.5</v>
      </c>
      <c r="I27" s="6">
        <f>Submetering!L27</f>
        <v>58731.722999999998</v>
      </c>
      <c r="J27" s="5">
        <v>0.06</v>
      </c>
      <c r="K27" s="275">
        <f>Submetering!K27</f>
        <v>6881.0279999991717</v>
      </c>
      <c r="L27" s="5">
        <v>1.1399999999999999</v>
      </c>
      <c r="M27" s="6">
        <f>INT('Daily Meter'!O31*434/100)</f>
        <v>332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275">
        <f>Submetering!K28</f>
        <v>0</v>
      </c>
      <c r="L28" s="5">
        <v>1.1399999999999999</v>
      </c>
      <c r="M28" s="6">
        <f>INT('Daily Meter'!O32*434/100)</f>
        <v>386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>
        <f>Submetering!E29+Submetering!F29+Submetering!G29+Submetering!H29+Submetering!I29+Submetering!J29</f>
        <v>17040</v>
      </c>
      <c r="F29" s="5">
        <v>0.44</v>
      </c>
      <c r="G29" s="6">
        <f>Submetering!M29</f>
        <v>573.5</v>
      </c>
      <c r="H29" s="12">
        <v>2.5</v>
      </c>
      <c r="I29" s="6">
        <f>Submetering!L29</f>
        <v>40034.358</v>
      </c>
      <c r="J29" s="5">
        <v>0.06</v>
      </c>
      <c r="K29" s="275">
        <f>Submetering!K29</f>
        <v>6369.2160000004133</v>
      </c>
      <c r="L29" s="5">
        <v>1.1399999999999999</v>
      </c>
      <c r="M29" s="6">
        <f>INT('Daily Meter'!O33*434/100)</f>
        <v>420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>
        <f>Submetering!E30+Submetering!F30+Submetering!G30+Submetering!H30+Submetering!I30+Submetering!J30</f>
        <v>17088.000000000175</v>
      </c>
      <c r="F30" s="5">
        <v>0.44</v>
      </c>
      <c r="G30" s="6">
        <f>Submetering!M30</f>
        <v>586.08000000003233</v>
      </c>
      <c r="H30" s="12">
        <v>2.5</v>
      </c>
      <c r="I30" s="6">
        <f>Submetering!L30</f>
        <v>53012.528999999995</v>
      </c>
      <c r="J30" s="5">
        <v>0.06</v>
      </c>
      <c r="K30" s="275">
        <f>Submetering!K30</f>
        <v>5942.706000000413</v>
      </c>
      <c r="L30" s="5">
        <v>1.1399999999999999</v>
      </c>
      <c r="M30" s="6">
        <f>INT('Daily Meter'!O34*434/100)</f>
        <v>409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abSelected="1" topLeftCell="B1" zoomScaleNormal="100" workbookViewId="0">
      <selection activeCell="K3" sqref="K3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>
        <f>Total!M9</f>
        <v>409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IF(('Daily Meter'!H14-'Daily Meter'!H13)&lt;0,"0",'Daily Meter'!H14-'Daily Meter'!H13)*480</f>
        <v>3360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2255.9999999999127</v>
      </c>
      <c r="H10" s="6">
        <f>IF(('Daily Meter'!K14-'Daily Meter'!K13)&lt;0,"0",'Daily Meter'!K14-'Daily Meter'!K13)*480</f>
        <v>1440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5061.2520000008271</v>
      </c>
      <c r="L10" s="6">
        <f>IF(('Daily Meter'!C14-'Daily Meter'!C13)&lt;0,"0",'Daily Meter'!C14-'Daily Meter'!C13)*219.969</f>
        <v>34975.070999999996</v>
      </c>
      <c r="M10" s="6">
        <f>IF(('Daily Meter'!N14-'Daily Meter'!N13)&lt;0,"0",'Daily Meter'!N14-'Daily Meter'!N13)*3.7</f>
        <v>496.17000000002156</v>
      </c>
      <c r="N10" s="6">
        <f>Total!M10</f>
        <v>391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2160</v>
      </c>
      <c r="G11" s="6">
        <f>IF(('Daily Meter'!J15-'Daily Meter'!J14)&lt;0,"0",'Daily Meter'!J15-'Daily Meter'!J14)*480</f>
        <v>2352.0000000002619</v>
      </c>
      <c r="H11" s="6">
        <f>IF(('Daily Meter'!K15-'Daily Meter'!K14)&lt;0,"0",'Daily Meter'!K15-'Daily Meter'!K14)*480</f>
        <v>1343.999999999869</v>
      </c>
      <c r="I11" s="6">
        <f>IF(('Daily Meter'!L15-'Daily Meter'!L14)&lt;0,"0",'Daily Meter'!L15-'Daily Meter'!L14)*480</f>
        <v>2255.9999999999127</v>
      </c>
      <c r="J11" s="6">
        <f>IF(('Daily Meter'!M15-'Daily Meter'!M14)&lt;0,"0",'Daily Meter'!M15-'Daily Meter'!M14)*480</f>
        <v>5520</v>
      </c>
      <c r="K11" s="6">
        <f>IF(('Daily Meter'!B15-'Daily Meter'!B14)&lt;0,"0",'Daily Meter'!B15-'Daily Meter'!B14)*284.34</f>
        <v>5061.251999998758</v>
      </c>
      <c r="L11" s="6">
        <f>IF(('Daily Meter'!C15-'Daily Meter'!C14)&lt;0,"0",'Daily Meter'!C15-'Daily Meter'!C14)*219.969</f>
        <v>60931.413</v>
      </c>
      <c r="M11" s="6">
        <f>IF(('Daily Meter'!N15-'Daily Meter'!N14)&lt;0,"0",'Daily Meter'!N15-'Daily Meter'!N14)*3.7</f>
        <v>563.87999999997851</v>
      </c>
      <c r="N11" s="6">
        <f>Total!M11</f>
        <v>353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IF(('Daily Meter'!H16-'Daily Meter'!H15)&lt;0,"0",'Daily Meter'!H16-'Daily Meter'!H15)*480</f>
        <v>3551.9999999998254</v>
      </c>
      <c r="F12" s="6">
        <f>IF(('Daily Meter'!I16-'Daily Meter'!I15)&lt;0,"0",'Daily Meter'!I16-'Daily Meter'!I15)*480</f>
        <v>2111.9999999998254</v>
      </c>
      <c r="G12" s="6">
        <f>IF(('Daily Meter'!J16-'Daily Meter'!J15)&lt;0,"0",'Daily Meter'!J16-'Daily Meter'!J15)*480</f>
        <v>2303.9999999996508</v>
      </c>
      <c r="H12" s="6">
        <f>IF(('Daily Meter'!K16-'Daily Meter'!K15)&lt;0,"0",'Daily Meter'!K16-'Daily Meter'!K15)*480</f>
        <v>1536.000000000131</v>
      </c>
      <c r="I12" s="6">
        <f>IF(('Daily Meter'!L16-'Daily Meter'!L15)&lt;0,"0",'Daily Meter'!L16-'Daily Meter'!L15)*480</f>
        <v>2255.9999999999127</v>
      </c>
      <c r="J12" s="6">
        <f>IF(('Daily Meter'!M16-'Daily Meter'!M15)&lt;0,"0",'Daily Meter'!M16-'Daily Meter'!M15)*480</f>
        <v>5616.0000000003492</v>
      </c>
      <c r="K12" s="6">
        <f>IF(('Daily Meter'!B16-'Daily Meter'!B15)&lt;0,"0",'Daily Meter'!B16-'Daily Meter'!B15)*284.34</f>
        <v>5374.0260000004137</v>
      </c>
      <c r="L12" s="6">
        <f>IF(('Daily Meter'!C16-'Daily Meter'!C15)&lt;0,"0",'Daily Meter'!C16-'Daily Meter'!C15)*219.969</f>
        <v>56092.095000000001</v>
      </c>
      <c r="M12" s="6">
        <f>IF(('Daily Meter'!N16-'Daily Meter'!N15)&lt;0,"0",'Daily Meter'!N16-'Daily Meter'!N15)*3.7</f>
        <v>507.27000000002158</v>
      </c>
      <c r="N12" s="6">
        <f>Total!M12</f>
        <v>384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IF(('Daily Meter'!H17-'Daily Meter'!H16)&lt;0,"0",'Daily Meter'!H17-'Daily Meter'!H16)*480</f>
        <v>3408.0000000001746</v>
      </c>
      <c r="F13" s="6">
        <f>IF(('Daily Meter'!I17-'Daily Meter'!I16)&lt;0,"0",'Daily Meter'!I17-'Daily Meter'!I16)*480</f>
        <v>1920</v>
      </c>
      <c r="G13" s="6">
        <f>IF(('Daily Meter'!J17-'Daily Meter'!J16)&lt;0,"0",'Daily Meter'!J17-'Daily Meter'!J16)*480</f>
        <v>2160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2208.0000000001746</v>
      </c>
      <c r="J13" s="6">
        <f>IF(('Daily Meter'!M17-'Daily Meter'!M16)&lt;0,"0",'Daily Meter'!M17-'Daily Meter'!M16)*480</f>
        <v>5615.9999999994761</v>
      </c>
      <c r="K13" s="6">
        <f>IF(('Daily Meter'!B17-'Daily Meter'!B16)&lt;0,"0",'Daily Meter'!B17-'Daily Meter'!B16)*284.34</f>
        <v>4663.1760000004133</v>
      </c>
      <c r="L13" s="6">
        <f>IF(('Daily Meter'!C17-'Daily Meter'!C16)&lt;0,"0",'Daily Meter'!C17-'Daily Meter'!C16)*219.969</f>
        <v>46193.49</v>
      </c>
      <c r="M13" s="6">
        <f>IF(('Daily Meter'!N17-'Daily Meter'!N16)&lt;0,"0",'Daily Meter'!N17-'Daily Meter'!N16)*3.7</f>
        <v>522.43999999998925</v>
      </c>
      <c r="N13" s="6">
        <f>Total!M13</f>
        <v>345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IF(('Daily Meter'!H18-'Daily Meter'!H17)&lt;0,"0",'Daily Meter'!H18-'Daily Meter'!H17)*480</f>
        <v>3407.9999999997381</v>
      </c>
      <c r="F14" s="6">
        <f>IF(('Daily Meter'!I18-'Daily Meter'!I17)&lt;0,"0",'Daily Meter'!I18-'Daily Meter'!I17)*480</f>
        <v>2064.0000000000873</v>
      </c>
      <c r="G14" s="6">
        <f>IF(('Daily Meter'!J18-'Daily Meter'!J17)&lt;0,"0",'Daily Meter'!J18-'Daily Meter'!J17)*480</f>
        <v>2112.0000000002619</v>
      </c>
      <c r="H14" s="6">
        <f>IF(('Daily Meter'!K18-'Daily Meter'!K17)&lt;0,"0",'Daily Meter'!K18-'Daily Meter'!K17)*480</f>
        <v>1296.000000000131</v>
      </c>
      <c r="I14" s="6">
        <f>IF(('Daily Meter'!L18-'Daily Meter'!L17)&lt;0,"0",'Daily Meter'!L18-'Daily Meter'!L17)*480</f>
        <v>2160</v>
      </c>
      <c r="J14" s="6">
        <f>IF(('Daily Meter'!M18-'Daily Meter'!M17)&lt;0,"0",'Daily Meter'!M18-'Daily Meter'!M17)*480</f>
        <v>5664.0000000005239</v>
      </c>
      <c r="K14" s="6">
        <f>IF(('Daily Meter'!B18-'Daily Meter'!B17)&lt;0,"0",'Daily Meter'!B18-'Daily Meter'!B17)*284.34</f>
        <v>5032.8179999991717</v>
      </c>
      <c r="L14" s="6">
        <f>IF(('Daily Meter'!C18-'Daily Meter'!C17)&lt;0,"0",'Daily Meter'!C18-'Daily Meter'!C17)*219.969</f>
        <v>38054.637000000002</v>
      </c>
      <c r="M14" s="6">
        <f>IF(('Daily Meter'!N18-'Daily Meter'!N17)&lt;0,"0",'Daily Meter'!N18-'Daily Meter'!N17)*3.7</f>
        <v>550.92999999997846</v>
      </c>
      <c r="N14" s="6">
        <f>Total!M14</f>
        <v>329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IF(('Daily Meter'!H19-'Daily Meter'!H18)&lt;0,"0",'Daily Meter'!H19-'Daily Meter'!H18)*480</f>
        <v>3408.0000000001746</v>
      </c>
      <c r="F15" s="6">
        <f>IF(('Daily Meter'!I19-'Daily Meter'!I18)&lt;0,"0",'Daily Meter'!I19-'Daily Meter'!I18)*480</f>
        <v>2111.9999999998254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1295.9999999999127</v>
      </c>
      <c r="I15" s="6">
        <f>IF(('Daily Meter'!L19-'Daily Meter'!L18)&lt;0,"0",'Daily Meter'!L19-'Daily Meter'!L18)*480</f>
        <v>2160</v>
      </c>
      <c r="J15" s="6">
        <f>IF(('Daily Meter'!M19-'Daily Meter'!M18)&lt;0,"0",'Daily Meter'!M19-'Daily Meter'!M18)*480</f>
        <v>5568.0000000001746</v>
      </c>
      <c r="K15" s="6">
        <f>IF(('Daily Meter'!B19-'Daily Meter'!B18)&lt;0,"0",'Daily Meter'!B19-'Daily Meter'!B18)*284.34</f>
        <v>5487.7620000008274</v>
      </c>
      <c r="L15" s="6">
        <f>IF(('Daily Meter'!C19-'Daily Meter'!C18)&lt;0,"0",'Daily Meter'!C19-'Daily Meter'!C18)*219.969</f>
        <v>41134.203000000001</v>
      </c>
      <c r="M15" s="6">
        <f>IF(('Daily Meter'!N19-'Daily Meter'!N18)&lt;0,"0",'Daily Meter'!N19-'Daily Meter'!N18)*3.7</f>
        <v>526.88000000003228</v>
      </c>
      <c r="N15" s="6">
        <f>Total!M15</f>
        <v>327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IF(('Daily Meter'!H20-'Daily Meter'!H19)&lt;0,"0",'Daily Meter'!H20-'Daily Meter'!H19)*480</f>
        <v>3407.9999999997381</v>
      </c>
      <c r="F16" s="6">
        <f>IF(('Daily Meter'!I20-'Daily Meter'!I19)&lt;0,"0",'Daily Meter'!I20-'Daily Meter'!I19)*480</f>
        <v>2064.0000000000873</v>
      </c>
      <c r="G16" s="6">
        <f>IF(('Daily Meter'!J20-'Daily Meter'!J19)&lt;0,"0",'Daily Meter'!J20-'Daily Meter'!J19)*480</f>
        <v>2064.0000000000873</v>
      </c>
      <c r="H16" s="6">
        <f>IF(('Daily Meter'!K20-'Daily Meter'!K19)&lt;0,"0",'Daily Meter'!K20-'Daily Meter'!K19)*480</f>
        <v>1392.0000000000437</v>
      </c>
      <c r="I16" s="6">
        <f>IF(('Daily Meter'!L20-'Daily Meter'!L19)&lt;0,"0",'Daily Meter'!L20-'Daily Meter'!L19)*480</f>
        <v>2160</v>
      </c>
      <c r="J16" s="6">
        <f>IF(('Daily Meter'!M20-'Daily Meter'!M19)&lt;0,"0",'Daily Meter'!M20-'Daily Meter'!M19)*480</f>
        <v>5663.9999999996508</v>
      </c>
      <c r="K16" s="6">
        <f>IF(('Daily Meter'!B20-'Daily Meter'!B19)&lt;0,"0",'Daily Meter'!B20-'Daily Meter'!B19)*284.34</f>
        <v>6170.1779999991722</v>
      </c>
      <c r="L16" s="6">
        <f>IF(('Daily Meter'!C20-'Daily Meter'!C19)&lt;0,"0",'Daily Meter'!C20-'Daily Meter'!C19)*219.969</f>
        <v>33875.226000000002</v>
      </c>
      <c r="M16" s="6">
        <f>IF(('Daily Meter'!N20-'Daily Meter'!N19)&lt;0,"0",'Daily Meter'!N20-'Daily Meter'!N19)*3.7</f>
        <v>455.83999999998923</v>
      </c>
      <c r="N16" s="6">
        <f>Total!M16</f>
        <v>333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IF(('Daily Meter'!H21-'Daily Meter'!H20)&lt;0,"0",'Daily Meter'!H21-'Daily Meter'!H20)*480</f>
        <v>3360</v>
      </c>
      <c r="F17" s="6">
        <f>IF(('Daily Meter'!I21-'Daily Meter'!I20)&lt;0,"0",'Daily Meter'!I21-'Daily Meter'!I20)*480</f>
        <v>2111.9999999998254</v>
      </c>
      <c r="G17" s="6">
        <f>IF(('Daily Meter'!J21-'Daily Meter'!J20)&lt;0,"0",'Daily Meter'!J21-'Daily Meter'!J20)*480</f>
        <v>2015.9999999999127</v>
      </c>
      <c r="H17" s="6">
        <f>IF(('Daily Meter'!K21-'Daily Meter'!K20)&lt;0,"0",'Daily Meter'!K21-'Daily Meter'!K20)*480</f>
        <v>1392.0000000000437</v>
      </c>
      <c r="I17" s="6">
        <f>IF(('Daily Meter'!L21-'Daily Meter'!L20)&lt;0,"0",'Daily Meter'!L21-'Daily Meter'!L20)*480</f>
        <v>2160</v>
      </c>
      <c r="J17" s="6">
        <f>IF(('Daily Meter'!M21-'Daily Meter'!M20)&lt;0,"0",'Daily Meter'!M21-'Daily Meter'!M20)*480</f>
        <v>5856.0000000003492</v>
      </c>
      <c r="K17" s="6">
        <f>IF(('Daily Meter'!B21-'Daily Meter'!B20)&lt;0,"0",'Daily Meter'!B21-'Daily Meter'!B20)*284.34</f>
        <v>7023.1980000012409</v>
      </c>
      <c r="L17" s="6">
        <f>IF(('Daily Meter'!C21-'Daily Meter'!C20)&lt;0,"0",'Daily Meter'!C21-'Daily Meter'!C20)*219.969</f>
        <v>41134.203000000001</v>
      </c>
      <c r="M17" s="6">
        <f>IF(('Daily Meter'!N21-'Daily Meter'!N20)&lt;0,"0",'Daily Meter'!N21-'Daily Meter'!N20)*3.7</f>
        <v>481.37000000002155</v>
      </c>
      <c r="N17" s="6">
        <f>Total!M17</f>
        <v>337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IF(('Daily Meter'!H22-'Daily Meter'!H21)&lt;0,"0",'Daily Meter'!H22-'Daily Meter'!H21)*480</f>
        <v>3504.0000000000873</v>
      </c>
      <c r="F18" s="6">
        <f>IF(('Daily Meter'!I22-'Daily Meter'!I21)&lt;0,"0",'Daily Meter'!I22-'Daily Meter'!I21)*480</f>
        <v>2112.0000000002619</v>
      </c>
      <c r="G18" s="6">
        <f>IF(('Daily Meter'!J22-'Daily Meter'!J21)&lt;0,"0",'Daily Meter'!J22-'Daily Meter'!J21)*480</f>
        <v>2111.9999999998254</v>
      </c>
      <c r="H18" s="6">
        <f>IF(('Daily Meter'!K22-'Daily Meter'!K21)&lt;0,"0",'Daily Meter'!K22-'Daily Meter'!K21)*480</f>
        <v>1487.9999999999563</v>
      </c>
      <c r="I18" s="6">
        <f>IF(('Daily Meter'!L22-'Daily Meter'!L21)&lt;0,"0",'Daily Meter'!L22-'Daily Meter'!L21)*480</f>
        <v>2208.0000000001746</v>
      </c>
      <c r="J18" s="6">
        <f>IF(('Daily Meter'!M22-'Daily Meter'!M21)&lt;0,"0",'Daily Meter'!M22-'Daily Meter'!M21)*480</f>
        <v>5855.9999999994761</v>
      </c>
      <c r="K18" s="6">
        <f>IF(('Daily Meter'!B22-'Daily Meter'!B21)&lt;0,"0",'Daily Meter'!B22-'Daily Meter'!B21)*284.34</f>
        <v>7762.4819999987576</v>
      </c>
      <c r="L18" s="6">
        <f>IF(('Daily Meter'!C22-'Daily Meter'!C21)&lt;0,"0",'Daily Meter'!C22-'Daily Meter'!C21)*219.969</f>
        <v>34535.133000000002</v>
      </c>
      <c r="M18" s="6">
        <f>IF(('Daily Meter'!N22-'Daily Meter'!N21)&lt;0,"0",'Daily Meter'!N22-'Daily Meter'!N21)*3.7</f>
        <v>438.81999999996771</v>
      </c>
      <c r="N18" s="6">
        <f>Total!M18</f>
        <v>307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IF(('Daily Meter'!H23-'Daily Meter'!H22)&lt;0,"0",'Daily Meter'!H23-'Daily Meter'!H22)*480</f>
        <v>3455.9999999999127</v>
      </c>
      <c r="F19" s="6">
        <f>IF(('Daily Meter'!I23-'Daily Meter'!I22)&lt;0,"0",'Daily Meter'!I23-'Daily Meter'!I22)*480</f>
        <v>1967.9999999997381</v>
      </c>
      <c r="G19" s="6">
        <f>IF(('Daily Meter'!J23-'Daily Meter'!J22)&lt;0,"0",'Daily Meter'!J23-'Daily Meter'!J22)*480</f>
        <v>2112.0000000002619</v>
      </c>
      <c r="H19" s="6">
        <f>IF(('Daily Meter'!K23-'Daily Meter'!K22)&lt;0,"0",'Daily Meter'!K23-'Daily Meter'!K22)*480</f>
        <v>1440</v>
      </c>
      <c r="I19" s="6">
        <f>IF(('Daily Meter'!L23-'Daily Meter'!L22)&lt;0,"0",'Daily Meter'!L23-'Daily Meter'!L22)*480</f>
        <v>2207.9999999997381</v>
      </c>
      <c r="J19" s="6">
        <f>IF(('Daily Meter'!M23-'Daily Meter'!M22)&lt;0,"0",'Daily Meter'!M23-'Daily Meter'!M22)*480</f>
        <v>5760</v>
      </c>
      <c r="K19" s="6">
        <f>IF(('Daily Meter'!B23-'Daily Meter'!B22)&lt;0,"0",'Daily Meter'!B23-'Daily Meter'!B22)*284.34</f>
        <v>7677.1799999999994</v>
      </c>
      <c r="L19" s="6">
        <f>IF(('Daily Meter'!C23-'Daily Meter'!C22)&lt;0,"0",'Daily Meter'!C23-'Daily Meter'!C22)*219.969</f>
        <v>48173.210999999996</v>
      </c>
      <c r="M19" s="6">
        <f>IF(('Daily Meter'!N23-'Daily Meter'!N22)&lt;0,"0",'Daily Meter'!N23-'Daily Meter'!N22)*3.7</f>
        <v>566.47000000002151</v>
      </c>
      <c r="N19" s="6">
        <f>Total!M19</f>
        <v>298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IF(('Daily Meter'!H24-'Daily Meter'!H23)&lt;0,"0",'Daily Meter'!H24-'Daily Meter'!H23)*480</f>
        <v>3456.0000000003492</v>
      </c>
      <c r="F20" s="6">
        <f>IF(('Daily Meter'!I24-'Daily Meter'!I23)&lt;0,"0",'Daily Meter'!I24-'Daily Meter'!I23)*480</f>
        <v>2016.0000000003492</v>
      </c>
      <c r="G20" s="6">
        <f>IF(('Daily Meter'!J24-'Daily Meter'!J23)&lt;0,"0",'Daily Meter'!J24-'Daily Meter'!J23)*480</f>
        <v>2207.9999999997381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2160</v>
      </c>
      <c r="J20" s="6">
        <f>IF(('Daily Meter'!M24-'Daily Meter'!M23)&lt;0,"0",'Daily Meter'!M24-'Daily Meter'!M23)*480</f>
        <v>5711.9999999998254</v>
      </c>
      <c r="K20" s="6">
        <f>IF(('Daily Meter'!B24-'Daily Meter'!B23)&lt;0,"0",'Daily Meter'!B24-'Daily Meter'!B23)*284.34</f>
        <v>6539.82</v>
      </c>
      <c r="L20" s="6">
        <f>IF(('Daily Meter'!C24-'Daily Meter'!C23)&lt;0,"0",'Daily Meter'!C24-'Daily Meter'!C23)*219.969</f>
        <v>40694.264999999999</v>
      </c>
      <c r="M20" s="6">
        <f>IF(('Daily Meter'!N24-'Daily Meter'!N23)&lt;0,"0",'Daily Meter'!N24-'Daily Meter'!N23)*3.7</f>
        <v>547.22999999997853</v>
      </c>
      <c r="N20" s="6">
        <f>Total!M20</f>
        <v>374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2063.9999999996508</v>
      </c>
      <c r="G21" s="6">
        <f>IF(('Daily Meter'!J25-'Daily Meter'!J24)&lt;0,"0",'Daily Meter'!J25-'Daily Meter'!J24)*480</f>
        <v>2256.0000000003492</v>
      </c>
      <c r="H21" s="6">
        <f>IF(('Daily Meter'!K25-'Daily Meter'!K24)&lt;0,"0",'Daily Meter'!K25-'Daily Meter'!K24)*480</f>
        <v>1295.9999999999127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5664.0000000005239</v>
      </c>
      <c r="K21" s="6">
        <f>IF(('Daily Meter'!B25-'Daily Meter'!B24)&lt;0,"0",'Daily Meter'!B25-'Daily Meter'!B24)*284.34</f>
        <v>5914.2720000008267</v>
      </c>
      <c r="L21" s="6">
        <f>IF(('Daily Meter'!C25-'Daily Meter'!C24)&lt;0,"0",'Daily Meter'!C25-'Daily Meter'!C24)*219.969</f>
        <v>51032.807999999997</v>
      </c>
      <c r="M21" s="6">
        <f>IF(('Daily Meter'!N25-'Daily Meter'!N24)&lt;0,"0",'Daily Meter'!N25-'Daily Meter'!N24)*3.7</f>
        <v>523.55000000000007</v>
      </c>
      <c r="N21" s="6">
        <f>Total!M21</f>
        <v>434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IF(('Daily Meter'!H26-'Daily Meter'!H25)&lt;0,"0",'Daily Meter'!H26-'Daily Meter'!H25)*480</f>
        <v>3311.9999999998254</v>
      </c>
      <c r="F22" s="6">
        <f>IF(('Daily Meter'!I26-'Daily Meter'!I25)&lt;0,"0",'Daily Meter'!I26-'Daily Meter'!I25)*480</f>
        <v>2208.0000000001746</v>
      </c>
      <c r="G22" s="6">
        <f>IF(('Daily Meter'!J26-'Daily Meter'!J25)&lt;0,"0",'Daily Meter'!J26-'Daily Meter'!J25)*480</f>
        <v>2207.9999999997381</v>
      </c>
      <c r="H22" s="6">
        <f>IF(('Daily Meter'!K26-'Daily Meter'!K25)&lt;0,"0",'Daily Meter'!K26-'Daily Meter'!K25)*480</f>
        <v>1440</v>
      </c>
      <c r="I22" s="6">
        <f>IF(('Daily Meter'!L26-'Daily Meter'!L25)&lt;0,"0",'Daily Meter'!L26-'Daily Meter'!L25)*480</f>
        <v>2207.9999999997381</v>
      </c>
      <c r="J22" s="6">
        <f>IF(('Daily Meter'!M26-'Daily Meter'!M25)&lt;0,"0",'Daily Meter'!M26-'Daily Meter'!M25)*480</f>
        <v>5568.0000000001746</v>
      </c>
      <c r="K22" s="6">
        <f>IF(('Daily Meter'!B26-'Daily Meter'!B25)&lt;0,"0",'Daily Meter'!B26-'Daily Meter'!B25)*284.34</f>
        <v>5828.9699999999993</v>
      </c>
      <c r="L22" s="6">
        <f>IF(('Daily Meter'!C26-'Daily Meter'!C25)&lt;0,"0",'Daily Meter'!C26-'Daily Meter'!C25)*219.969</f>
        <v>39814.388999999996</v>
      </c>
      <c r="M22" s="6">
        <f>IF(('Daily Meter'!N26-'Daily Meter'!N25)&lt;0,"0",'Daily Meter'!N26-'Daily Meter'!N25)*3.7</f>
        <v>564.25</v>
      </c>
      <c r="N22" s="6">
        <f>Total!M22</f>
        <v>434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IF(('Daily Meter'!H27-'Daily Meter'!H26)&lt;0,"0",'Daily Meter'!H27-'Daily Meter'!H26)*480</f>
        <v>3455.9999999999127</v>
      </c>
      <c r="F23" s="6">
        <f>IF(('Daily Meter'!I27-'Daily Meter'!I26)&lt;0,"0",'Daily Meter'!I27-'Daily Meter'!I26)*480</f>
        <v>2111.9999999998254</v>
      </c>
      <c r="G23" s="6">
        <f>IF(('Daily Meter'!J27-'Daily Meter'!J26)&lt;0,"0",'Daily Meter'!J27-'Daily Meter'!J26)*480</f>
        <v>2255.9999999999127</v>
      </c>
      <c r="H23" s="6">
        <f>IF(('Daily Meter'!K27-'Daily Meter'!K26)&lt;0,"0",'Daily Meter'!K27-'Daily Meter'!K26)*480</f>
        <v>1344.0000000000873</v>
      </c>
      <c r="I23" s="6">
        <f>IF(('Daily Meter'!L27-'Daily Meter'!L26)&lt;0,"0",'Daily Meter'!L27-'Daily Meter'!L26)*480</f>
        <v>2112.0000000002619</v>
      </c>
      <c r="J23" s="6">
        <f>IF(('Daily Meter'!M27-'Daily Meter'!M26)&lt;0,"0",'Daily Meter'!M27-'Daily Meter'!M26)*480</f>
        <v>5663.9999999996508</v>
      </c>
      <c r="K23" s="6">
        <f>IF(('Daily Meter'!B27-'Daily Meter'!B26)&lt;0,"0",'Daily Meter'!B27-'Daily Meter'!B26)*284.34</f>
        <v>5942.706000000413</v>
      </c>
      <c r="L23" s="6">
        <f>IF(('Daily Meter'!C27-'Daily Meter'!C26)&lt;0,"0",'Daily Meter'!C27-'Daily Meter'!C26)*219.969</f>
        <v>51692.714999999997</v>
      </c>
      <c r="M23" s="6">
        <f>IF(('Daily Meter'!N27-'Daily Meter'!N26)&lt;0,"0",'Daily Meter'!N27-'Daily Meter'!N26)*3.7</f>
        <v>584.6</v>
      </c>
      <c r="N23" s="6">
        <f>Total!M23</f>
        <v>426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IF(('Daily Meter'!H28-'Daily Meter'!H27)&lt;0,"0",'Daily Meter'!H28-'Daily Meter'!H27)*480</f>
        <v>3360</v>
      </c>
      <c r="F24" s="6">
        <f>IF(('Daily Meter'!I28-'Daily Meter'!I27)&lt;0,"0",'Daily Meter'!I28-'Daily Meter'!I27)*480</f>
        <v>2112.0000000002619</v>
      </c>
      <c r="G24" s="6">
        <f>IF(('Daily Meter'!J28-'Daily Meter'!J27)&lt;0,"0",'Daily Meter'!J28-'Daily Meter'!J27)*480</f>
        <v>2256.0000000003492</v>
      </c>
      <c r="H24" s="6">
        <f>IF(('Daily Meter'!K28-'Daily Meter'!K27)&lt;0,"0",'Daily Meter'!K28-'Daily Meter'!K27)*480</f>
        <v>1391.9999999998254</v>
      </c>
      <c r="I24" s="6">
        <f>IF(('Daily Meter'!L28-'Daily Meter'!L27)&lt;0,"0",'Daily Meter'!L28-'Daily Meter'!L27)*480</f>
        <v>2255.9999999999127</v>
      </c>
      <c r="J24" s="6">
        <f>IF(('Daily Meter'!M28-'Daily Meter'!M27)&lt;0,"0",'Daily Meter'!M28-'Daily Meter'!M27)*480</f>
        <v>5616.0000000003492</v>
      </c>
      <c r="K24" s="6">
        <f>IF(('Daily Meter'!B28-'Daily Meter'!B27)&lt;0,"0",'Daily Meter'!B28-'Daily Meter'!B27)*284.34</f>
        <v>5743.667999999172</v>
      </c>
      <c r="L24" s="6">
        <f>IF(('Daily Meter'!C28-'Daily Meter'!C27)&lt;0,"0",'Daily Meter'!C28-'Daily Meter'!C27)*219.969</f>
        <v>49712.993999999999</v>
      </c>
      <c r="M24" s="6">
        <f>IF(('Daily Meter'!N28-'Daily Meter'!N27)&lt;0,"0",'Daily Meter'!N28-'Daily Meter'!N27)*3.7</f>
        <v>593.11000000001081</v>
      </c>
      <c r="N24" s="6">
        <f>Total!M24</f>
        <v>417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IF(('Daily Meter'!H29-'Daily Meter'!H28)&lt;0,"0",'Daily Meter'!H29-'Daily Meter'!H28)*480</f>
        <v>3504.0000000000873</v>
      </c>
      <c r="F25" s="6">
        <f>IF(('Daily Meter'!I29-'Daily Meter'!I28)&lt;0,"0",'Daily Meter'!I29-'Daily Meter'!I28)*480</f>
        <v>2111.9999999998254</v>
      </c>
      <c r="G25" s="6">
        <f>IF(('Daily Meter'!J29-'Daily Meter'!J28)&lt;0,"0",'Daily Meter'!J29-'Daily Meter'!J28)*480</f>
        <v>2255.9999999999127</v>
      </c>
      <c r="H25" s="6">
        <f>IF(('Daily Meter'!K29-'Daily Meter'!K28)&lt;0,"0",'Daily Meter'!K29-'Daily Meter'!K28)*480</f>
        <v>1392.0000000000437</v>
      </c>
      <c r="I25" s="6">
        <f>IF(('Daily Meter'!L29-'Daily Meter'!L28)&lt;0,"0",'Daily Meter'!L29-'Daily Meter'!L28)*480</f>
        <v>2255.9999999999127</v>
      </c>
      <c r="J25" s="6">
        <f>IF(('Daily Meter'!M29-'Daily Meter'!M28)&lt;0,"0",'Daily Meter'!M29-'Daily Meter'!M28)*480</f>
        <v>5760</v>
      </c>
      <c r="K25" s="6">
        <f>IF(('Daily Meter'!B29-'Daily Meter'!B28)&lt;0,"0",'Daily Meter'!B29-'Daily Meter'!B28)*284.34</f>
        <v>6170.1779999991722</v>
      </c>
      <c r="L25" s="6">
        <f>IF(('Daily Meter'!C29-'Daily Meter'!C28)&lt;0,"0",'Daily Meter'!C29-'Daily Meter'!C28)*219.969</f>
        <v>62471.195999999996</v>
      </c>
      <c r="M25" s="6">
        <f>IF(('Daily Meter'!N29-'Daily Meter'!N28)&lt;0,"0",'Daily Meter'!N29-'Daily Meter'!N28)*3.7</f>
        <v>610.5</v>
      </c>
      <c r="N25" s="6">
        <f>Total!M25</f>
        <v>410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IF(('Daily Meter'!H30-'Daily Meter'!H29)&lt;0,"0",'Daily Meter'!H30-'Daily Meter'!H29)*480</f>
        <v>3455.9999999999127</v>
      </c>
      <c r="F26" s="6">
        <f>IF(('Daily Meter'!I30-'Daily Meter'!I29)&lt;0,"0",'Daily Meter'!I30-'Daily Meter'!I29)*480</f>
        <v>2064.0000000000873</v>
      </c>
      <c r="G26" s="6">
        <f>IF(('Daily Meter'!J30-'Daily Meter'!J29)&lt;0,"0",'Daily Meter'!J30-'Daily Meter'!J29)*480</f>
        <v>2160</v>
      </c>
      <c r="H26" s="6">
        <f>IF(('Daily Meter'!K30-'Daily Meter'!K29)&lt;0,"0",'Daily Meter'!K30-'Daily Meter'!K29)*480</f>
        <v>1392.0000000000437</v>
      </c>
      <c r="I26" s="6">
        <f>IF(('Daily Meter'!L30-'Daily Meter'!L29)&lt;0,"0",'Daily Meter'!L30-'Daily Meter'!L29)*480</f>
        <v>2208.0000000001746</v>
      </c>
      <c r="J26" s="6">
        <f>IF(('Daily Meter'!M30-'Daily Meter'!M29)&lt;0,"0",'Daily Meter'!M30-'Daily Meter'!M29)*480</f>
        <v>5615.9999999994761</v>
      </c>
      <c r="K26" s="6">
        <f>IF(('Daily Meter'!B30-'Daily Meter'!B29)&lt;0,"0",'Daily Meter'!B30-'Daily Meter'!B29)*284.34</f>
        <v>6881.0280000012408</v>
      </c>
      <c r="L26" s="6">
        <f>IF(('Daily Meter'!C30-'Daily Meter'!C29)&lt;0,"0",'Daily Meter'!C30-'Daily Meter'!C29)*219.969</f>
        <v>39374.451000000001</v>
      </c>
      <c r="M26" s="6">
        <f>IF(('Daily Meter'!N30-'Daily Meter'!N29)&lt;0,"0",'Daily Meter'!N30-'Daily Meter'!N29)*3.7</f>
        <v>599.02999999997849</v>
      </c>
      <c r="N26" s="6">
        <f>Total!M26</f>
        <v>332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IF(('Daily Meter'!H31-'Daily Meter'!H30)&lt;0,"0",'Daily Meter'!H31-'Daily Meter'!H30)*480</f>
        <v>3408.0000000001746</v>
      </c>
      <c r="F27" s="6">
        <f>IF(('Daily Meter'!I31-'Daily Meter'!I30)&lt;0,"0",'Daily Meter'!I31-'Daily Meter'!I30)*480</f>
        <v>2111.9999999998254</v>
      </c>
      <c r="G27" s="6">
        <f>IF(('Daily Meter'!J31-'Daily Meter'!J30)&lt;0,"0",'Daily Meter'!J31-'Daily Meter'!J30)*480</f>
        <v>1967.9999999997381</v>
      </c>
      <c r="H27" s="6">
        <f>IF(('Daily Meter'!K31-'Daily Meter'!K30)&lt;0,"0",'Daily Meter'!K31-'Daily Meter'!K30)*480</f>
        <v>1295.9999999999127</v>
      </c>
      <c r="I27" s="6">
        <f>IF(('Daily Meter'!L31-'Daily Meter'!L30)&lt;0,"0",'Daily Meter'!L31-'Daily Meter'!L30)*480</f>
        <v>2207.9999999997381</v>
      </c>
      <c r="J27" s="6">
        <f>IF(('Daily Meter'!M31-'Daily Meter'!M30)&lt;0,"0",'Daily Meter'!M31-'Daily Meter'!M30)*480</f>
        <v>5664.0000000005239</v>
      </c>
      <c r="K27" s="6">
        <f>IF(('Daily Meter'!B31-'Daily Meter'!B30)&lt;0,"0",'Daily Meter'!B31-'Daily Meter'!B30)*284.34</f>
        <v>6881.0279999991717</v>
      </c>
      <c r="L27" s="6">
        <f>IF(('Daily Meter'!C31-'Daily Meter'!C30)&lt;0,"0",'Daily Meter'!C31-'Daily Meter'!C30)*219.969</f>
        <v>58731.722999999998</v>
      </c>
      <c r="M27" s="6">
        <f>IF(('Daily Meter'!N31-'Daily Meter'!N30)&lt;0,"0",'Daily Meter'!N31-'Daily Meter'!N30)*3.7</f>
        <v>458.0600000000108</v>
      </c>
      <c r="N27" s="6">
        <f>Total!M27</f>
        <v>332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386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>
        <f>IF(('Daily Meter'!H33-'Daily Meter'!H32)&lt;0,"0",'Daily Meter'!H33-'Daily Meter'!H32)*480</f>
        <v>3311.9999999998254</v>
      </c>
      <c r="F29" s="6">
        <f>IF(('Daily Meter'!I33-'Daily Meter'!I32)&lt;0,"0",'Daily Meter'!I33-'Daily Meter'!I32)*480</f>
        <v>2256.0000000003492</v>
      </c>
      <c r="G29" s="6">
        <f>IF(('Daily Meter'!J33-'Daily Meter'!J32)&lt;0,"0",'Daily Meter'!J33-'Daily Meter'!J32)*480</f>
        <v>2352.0000000002619</v>
      </c>
      <c r="H29" s="6">
        <f>IF(('Daily Meter'!K33-'Daily Meter'!K32)&lt;0,"0",'Daily Meter'!K33-'Daily Meter'!K32)*480</f>
        <v>1344.0000000000873</v>
      </c>
      <c r="I29" s="6">
        <f>IF(('Daily Meter'!L33-'Daily Meter'!L32)&lt;0,"0",'Daily Meter'!L33-'Daily Meter'!L32)*480</f>
        <v>2208.0000000001746</v>
      </c>
      <c r="J29" s="6">
        <f>IF(('Daily Meter'!M33-'Daily Meter'!M32)&lt;0,"0",'Daily Meter'!M33-'Daily Meter'!M32)*480</f>
        <v>5567.9999999993015</v>
      </c>
      <c r="K29" s="6">
        <f>IF(('Daily Meter'!B33-'Daily Meter'!B32)&lt;0,"0",'Daily Meter'!B33-'Daily Meter'!B32)*284.34</f>
        <v>6369.2160000004133</v>
      </c>
      <c r="L29" s="6">
        <f>IF(('Daily Meter'!C33-'Daily Meter'!C32)&lt;0,"0",'Daily Meter'!C33-'Daily Meter'!C32)*219.969</f>
        <v>40034.358</v>
      </c>
      <c r="M29" s="6">
        <f>IF(('Daily Meter'!N33-'Daily Meter'!N32)&lt;0,"0",'Daily Meter'!N33-'Daily Meter'!N32)*3.7</f>
        <v>573.5</v>
      </c>
      <c r="N29" s="6">
        <f>Total!M29</f>
        <v>420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>
        <f>IF(('Daily Meter'!H34-'Daily Meter'!H33)&lt;0,"0",'Daily Meter'!H34-'Daily Meter'!H33)*480</f>
        <v>3408.0000000001746</v>
      </c>
      <c r="F30" s="6">
        <f>IF(('Daily Meter'!I34-'Daily Meter'!I33)&lt;0,"0",'Daily Meter'!I34-'Daily Meter'!I33)*480</f>
        <v>2303.9999999996508</v>
      </c>
      <c r="G30" s="6">
        <f>IF(('Daily Meter'!J34-'Daily Meter'!J33)&lt;0,"0",'Daily Meter'!J34-'Daily Meter'!J33)*480</f>
        <v>2304.0000000000873</v>
      </c>
      <c r="H30" s="6">
        <f>IF(('Daily Meter'!K34-'Daily Meter'!K33)&lt;0,"0",'Daily Meter'!K34-'Daily Meter'!K33)*480</f>
        <v>1344.0000000000873</v>
      </c>
      <c r="I30" s="6">
        <f>IF(('Daily Meter'!L34-'Daily Meter'!L33)&lt;0,"0",'Daily Meter'!L34-'Daily Meter'!L33)*480</f>
        <v>2160</v>
      </c>
      <c r="J30" s="6">
        <f>IF(('Daily Meter'!M34-'Daily Meter'!M33)&lt;0,"0",'Daily Meter'!M34-'Daily Meter'!M33)*480</f>
        <v>5568.0000000001746</v>
      </c>
      <c r="K30" s="6">
        <f>IF(('Daily Meter'!B34-'Daily Meter'!B33)&lt;0,"0",'Daily Meter'!B34-'Daily Meter'!B33)*284.34</f>
        <v>5942.706000000413</v>
      </c>
      <c r="L30" s="6">
        <f>IF(('Daily Meter'!C34-'Daily Meter'!C33)&lt;0,"0",'Daily Meter'!C34-'Daily Meter'!C33)*219.969</f>
        <v>53012.528999999995</v>
      </c>
      <c r="M30" s="6">
        <f>IF(('Daily Meter'!N34-'Daily Meter'!N33)&lt;0,"0",'Daily Meter'!N34-'Daily Meter'!N33)*3.7</f>
        <v>586.08000000003233</v>
      </c>
      <c r="N30" s="6">
        <f>Total!M30</f>
        <v>409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O31" sqref="O31"/>
    </sheetView>
  </sheetViews>
  <sheetFormatPr defaultColWidth="8.5703125" defaultRowHeight="1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318" t="s">
        <v>180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Q1" s="16" t="s">
        <v>22</v>
      </c>
    </row>
    <row r="2" spans="1:17" s="13" customFormat="1">
      <c r="A2" s="17"/>
      <c r="B2" s="18" t="s">
        <v>23</v>
      </c>
      <c r="C2" s="319" t="s">
        <v>24</v>
      </c>
      <c r="D2" s="319"/>
      <c r="E2" s="319"/>
      <c r="F2" s="319"/>
      <c r="G2" s="319"/>
      <c r="H2" s="320" t="s">
        <v>25</v>
      </c>
      <c r="I2" s="320"/>
      <c r="J2" s="320"/>
      <c r="K2" s="320"/>
      <c r="L2" s="320"/>
      <c r="M2" s="320"/>
      <c r="N2" s="321" t="s">
        <v>26</v>
      </c>
      <c r="O2" s="322" t="s">
        <v>27</v>
      </c>
    </row>
    <row r="3" spans="1:17" s="13" customFormat="1">
      <c r="A3" s="323" t="s">
        <v>28</v>
      </c>
      <c r="B3" s="19" t="s">
        <v>29</v>
      </c>
      <c r="C3" s="20" t="s">
        <v>30</v>
      </c>
      <c r="D3" s="324" t="s">
        <v>31</v>
      </c>
      <c r="E3" s="324"/>
      <c r="F3" s="325" t="s">
        <v>32</v>
      </c>
      <c r="G3" s="325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321"/>
      <c r="O3" s="322"/>
    </row>
    <row r="4" spans="1:17" s="13" customFormat="1">
      <c r="A4" s="323"/>
      <c r="B4" s="19" t="s">
        <v>36</v>
      </c>
      <c r="C4" s="22" t="s">
        <v>37</v>
      </c>
      <c r="D4" s="326" t="s">
        <v>38</v>
      </c>
      <c r="E4" s="326"/>
      <c r="F4" s="327" t="s">
        <v>39</v>
      </c>
      <c r="G4" s="327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323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304">
        <v>94.24</v>
      </c>
    </row>
    <row r="14" spans="1:17">
      <c r="A14" s="28">
        <v>9</v>
      </c>
      <c r="B14" s="294">
        <v>54285.8</v>
      </c>
      <c r="C14" s="295">
        <v>210865</v>
      </c>
      <c r="D14" s="27" t="s">
        <v>12</v>
      </c>
      <c r="E14" s="27" t="s">
        <v>12</v>
      </c>
      <c r="F14" s="27" t="s">
        <v>12</v>
      </c>
      <c r="G14" s="27" t="s">
        <v>12</v>
      </c>
      <c r="H14" s="296">
        <v>6835.3</v>
      </c>
      <c r="I14" s="297">
        <v>4126.1000000000004</v>
      </c>
      <c r="J14" s="298">
        <v>4410.7</v>
      </c>
      <c r="K14" s="299">
        <v>2471.9</v>
      </c>
      <c r="L14" s="300">
        <v>5749</v>
      </c>
      <c r="M14" s="301">
        <v>15463.4</v>
      </c>
      <c r="N14" s="302">
        <v>95345.3</v>
      </c>
      <c r="O14" s="303">
        <v>90.32</v>
      </c>
    </row>
    <row r="15" spans="1:17">
      <c r="A15" s="28">
        <v>10</v>
      </c>
      <c r="B15" s="294">
        <v>54303.6</v>
      </c>
      <c r="C15" s="295">
        <v>211142</v>
      </c>
      <c r="D15" s="27" t="s">
        <v>12</v>
      </c>
      <c r="E15" s="27" t="s">
        <v>12</v>
      </c>
      <c r="F15" s="27" t="s">
        <v>12</v>
      </c>
      <c r="G15" s="27" t="s">
        <v>12</v>
      </c>
      <c r="H15" s="296">
        <v>6842.6</v>
      </c>
      <c r="I15" s="297">
        <v>4130.6000000000004</v>
      </c>
      <c r="J15" s="298">
        <v>4415.6000000000004</v>
      </c>
      <c r="K15" s="299">
        <v>2474.6999999999998</v>
      </c>
      <c r="L15" s="300">
        <v>5753.7</v>
      </c>
      <c r="M15" s="301">
        <v>15474.9</v>
      </c>
      <c r="N15" s="302">
        <v>95497.7</v>
      </c>
      <c r="O15" s="303">
        <v>81.34</v>
      </c>
    </row>
    <row r="16" spans="1:17">
      <c r="A16" s="28">
        <v>11</v>
      </c>
      <c r="B16" s="294">
        <v>54322.5</v>
      </c>
      <c r="C16" s="295">
        <v>211397</v>
      </c>
      <c r="D16" s="27" t="s">
        <v>12</v>
      </c>
      <c r="E16" s="27" t="s">
        <v>12</v>
      </c>
      <c r="F16" s="27" t="s">
        <v>12</v>
      </c>
      <c r="G16" s="27" t="s">
        <v>12</v>
      </c>
      <c r="H16" s="296">
        <v>6850</v>
      </c>
      <c r="I16" s="297">
        <v>4135</v>
      </c>
      <c r="J16" s="298">
        <v>4420.3999999999996</v>
      </c>
      <c r="K16" s="299">
        <v>2477.9</v>
      </c>
      <c r="L16" s="300">
        <v>5758.4</v>
      </c>
      <c r="M16" s="301">
        <v>15486.6</v>
      </c>
      <c r="N16" s="302">
        <v>95634.8</v>
      </c>
      <c r="O16" s="303">
        <v>88.48</v>
      </c>
    </row>
    <row r="17" spans="1:17">
      <c r="A17" s="28">
        <v>12</v>
      </c>
      <c r="B17" s="294">
        <v>54338.9</v>
      </c>
      <c r="C17" s="295">
        <v>211607</v>
      </c>
      <c r="D17" s="27" t="s">
        <v>12</v>
      </c>
      <c r="E17" s="27" t="s">
        <v>12</v>
      </c>
      <c r="F17" s="27" t="s">
        <v>12</v>
      </c>
      <c r="G17" s="27" t="s">
        <v>12</v>
      </c>
      <c r="H17" s="296">
        <v>6857.1</v>
      </c>
      <c r="I17" s="297">
        <v>4139</v>
      </c>
      <c r="J17" s="298">
        <v>4424.8999999999996</v>
      </c>
      <c r="K17" s="299">
        <v>2480.6</v>
      </c>
      <c r="L17" s="300">
        <v>5763</v>
      </c>
      <c r="M17" s="301">
        <v>15498.3</v>
      </c>
      <c r="N17" s="302">
        <v>95776</v>
      </c>
      <c r="O17" s="303">
        <v>79.72</v>
      </c>
    </row>
    <row r="18" spans="1:17">
      <c r="A18" s="28">
        <v>13</v>
      </c>
      <c r="B18" s="294">
        <v>54356.6</v>
      </c>
      <c r="C18" s="295">
        <v>211780</v>
      </c>
      <c r="D18" s="27" t="s">
        <v>12</v>
      </c>
      <c r="E18" s="27" t="s">
        <v>12</v>
      </c>
      <c r="F18" s="27" t="s">
        <v>12</v>
      </c>
      <c r="G18" s="27" t="s">
        <v>12</v>
      </c>
      <c r="H18" s="296">
        <v>6864.2</v>
      </c>
      <c r="I18" s="297">
        <v>4143.3</v>
      </c>
      <c r="J18" s="298">
        <v>4429.3</v>
      </c>
      <c r="K18" s="299">
        <v>2483.3000000000002</v>
      </c>
      <c r="L18" s="300">
        <v>5767.5</v>
      </c>
      <c r="M18" s="301">
        <v>15510.1</v>
      </c>
      <c r="N18" s="302">
        <v>95924.9</v>
      </c>
      <c r="O18" s="309">
        <v>75.81</v>
      </c>
    </row>
    <row r="19" spans="1:17">
      <c r="A19" s="28">
        <v>14</v>
      </c>
      <c r="B19" s="305">
        <v>54375.9</v>
      </c>
      <c r="C19" s="306">
        <v>211967</v>
      </c>
      <c r="D19" s="307"/>
      <c r="E19" s="307"/>
      <c r="F19" s="307"/>
      <c r="G19" s="308"/>
      <c r="H19" s="305">
        <v>6871.3</v>
      </c>
      <c r="I19" s="305">
        <v>4147.7</v>
      </c>
      <c r="J19" s="305">
        <v>4433.5</v>
      </c>
      <c r="K19" s="305">
        <v>2486</v>
      </c>
      <c r="L19" s="305">
        <v>5772</v>
      </c>
      <c r="M19" s="305">
        <v>15521.7</v>
      </c>
      <c r="N19" s="305">
        <v>96067.3</v>
      </c>
      <c r="O19" s="309">
        <v>75.349999999999994</v>
      </c>
    </row>
    <row r="20" spans="1:17">
      <c r="A20" s="28">
        <v>15</v>
      </c>
      <c r="B20" s="305">
        <v>54397.599999999999</v>
      </c>
      <c r="C20" s="306">
        <v>212121</v>
      </c>
      <c r="D20" s="307"/>
      <c r="E20" s="307"/>
      <c r="F20" s="307"/>
      <c r="G20" s="308"/>
      <c r="H20" s="305">
        <v>6878.4</v>
      </c>
      <c r="I20" s="305">
        <v>4152</v>
      </c>
      <c r="J20" s="305">
        <v>4437.8</v>
      </c>
      <c r="K20" s="305">
        <v>2488.9</v>
      </c>
      <c r="L20" s="305">
        <v>5776.5</v>
      </c>
      <c r="M20" s="305">
        <v>15533.5</v>
      </c>
      <c r="N20" s="305">
        <v>96190.5</v>
      </c>
      <c r="O20" s="317">
        <v>76.73</v>
      </c>
    </row>
    <row r="21" spans="1:17">
      <c r="A21" s="28">
        <v>16</v>
      </c>
      <c r="B21" s="310">
        <v>54422.3</v>
      </c>
      <c r="C21" s="310">
        <v>212308</v>
      </c>
      <c r="D21" s="310"/>
      <c r="E21" s="310"/>
      <c r="F21" s="310"/>
      <c r="G21" s="310"/>
      <c r="H21" s="310">
        <v>6885.4</v>
      </c>
      <c r="I21" s="310">
        <v>4156.3999999999996</v>
      </c>
      <c r="J21" s="310">
        <v>4442</v>
      </c>
      <c r="K21" s="310">
        <v>2491.8000000000002</v>
      </c>
      <c r="L21" s="310">
        <v>5781</v>
      </c>
      <c r="M21" s="310">
        <v>15545.7</v>
      </c>
      <c r="N21" s="310">
        <v>96320.6</v>
      </c>
      <c r="O21" s="316">
        <v>77.650000000000006</v>
      </c>
    </row>
    <row r="22" spans="1:17">
      <c r="A22" s="28">
        <v>17</v>
      </c>
      <c r="B22" s="311">
        <v>54449.599999999999</v>
      </c>
      <c r="C22" s="312">
        <v>212465</v>
      </c>
      <c r="D22" s="313"/>
      <c r="E22" s="313"/>
      <c r="F22" s="313"/>
      <c r="G22" s="314"/>
      <c r="H22" s="311">
        <v>6892.7</v>
      </c>
      <c r="I22" s="311">
        <v>4160.8</v>
      </c>
      <c r="J22" s="311">
        <v>4446.3999999999996</v>
      </c>
      <c r="K22" s="311">
        <v>2494.9</v>
      </c>
      <c r="L22" s="311">
        <v>5785.6</v>
      </c>
      <c r="M22" s="311">
        <v>15557.9</v>
      </c>
      <c r="N22" s="311">
        <v>96439.2</v>
      </c>
      <c r="O22" s="315">
        <v>70.739999999999995</v>
      </c>
    </row>
    <row r="23" spans="1:17">
      <c r="A23" s="28">
        <v>18</v>
      </c>
      <c r="B23" s="311">
        <v>54476.6</v>
      </c>
      <c r="C23" s="312">
        <v>212684</v>
      </c>
      <c r="D23" s="313"/>
      <c r="E23" s="313"/>
      <c r="F23" s="313"/>
      <c r="G23" s="314"/>
      <c r="H23" s="311">
        <v>6899.9</v>
      </c>
      <c r="I23" s="311">
        <v>4164.8999999999996</v>
      </c>
      <c r="J23" s="311">
        <v>4450.8</v>
      </c>
      <c r="K23" s="311">
        <v>2497.9</v>
      </c>
      <c r="L23" s="311">
        <v>5790.2</v>
      </c>
      <c r="M23" s="311">
        <v>15569.9</v>
      </c>
      <c r="N23" s="311">
        <v>96592.3</v>
      </c>
      <c r="O23" s="315">
        <v>68.89</v>
      </c>
      <c r="P23" s="29"/>
      <c r="Q23" s="29"/>
    </row>
    <row r="24" spans="1:17">
      <c r="A24" s="28">
        <v>19</v>
      </c>
      <c r="B24" s="311">
        <v>54499.6</v>
      </c>
      <c r="C24" s="312">
        <v>212869</v>
      </c>
      <c r="D24" s="313"/>
      <c r="E24" s="313"/>
      <c r="F24" s="313"/>
      <c r="G24" s="314"/>
      <c r="H24" s="311">
        <v>6907.1</v>
      </c>
      <c r="I24" s="311">
        <v>4169.1000000000004</v>
      </c>
      <c r="J24" s="311">
        <v>4455.3999999999996</v>
      </c>
      <c r="K24" s="311">
        <v>2500.8000000000002</v>
      </c>
      <c r="L24" s="311">
        <v>5794.7</v>
      </c>
      <c r="M24" s="311">
        <v>15581.8</v>
      </c>
      <c r="N24" s="311">
        <v>96740.2</v>
      </c>
      <c r="O24" s="315">
        <v>86.18</v>
      </c>
    </row>
    <row r="25" spans="1:17">
      <c r="A25" s="28">
        <v>20</v>
      </c>
      <c r="B25" s="311">
        <v>54520.4</v>
      </c>
      <c r="C25" s="312">
        <v>213101</v>
      </c>
      <c r="D25" s="313"/>
      <c r="E25" s="313"/>
      <c r="F25" s="313"/>
      <c r="G25" s="314"/>
      <c r="H25" s="311">
        <v>6914.1</v>
      </c>
      <c r="I25" s="311">
        <v>4173.3999999999996</v>
      </c>
      <c r="J25" s="311">
        <v>4460.1000000000004</v>
      </c>
      <c r="K25" s="311">
        <v>2503.5</v>
      </c>
      <c r="L25" s="311">
        <v>5799.3</v>
      </c>
      <c r="M25" s="311">
        <v>15593.6</v>
      </c>
      <c r="N25" s="311">
        <v>96881.7</v>
      </c>
      <c r="O25" s="315">
        <v>100</v>
      </c>
    </row>
    <row r="26" spans="1:17">
      <c r="A26" s="28">
        <v>21</v>
      </c>
      <c r="B26" s="311">
        <v>54540.9</v>
      </c>
      <c r="C26" s="312">
        <v>213282</v>
      </c>
      <c r="D26" s="313"/>
      <c r="E26" s="313"/>
      <c r="F26" s="313"/>
      <c r="G26" s="314"/>
      <c r="H26" s="311">
        <v>6921</v>
      </c>
      <c r="I26" s="311">
        <v>4178</v>
      </c>
      <c r="J26" s="311">
        <v>4464.7</v>
      </c>
      <c r="K26" s="311">
        <v>2506.5</v>
      </c>
      <c r="L26" s="311">
        <v>5803.9</v>
      </c>
      <c r="M26" s="311">
        <v>15605.2</v>
      </c>
      <c r="N26" s="311">
        <v>97034.2</v>
      </c>
      <c r="O26" s="315">
        <v>100</v>
      </c>
    </row>
    <row r="27" spans="1:17">
      <c r="A27" s="28">
        <v>22</v>
      </c>
      <c r="B27" s="311">
        <v>54561.8</v>
      </c>
      <c r="C27" s="312">
        <v>213517</v>
      </c>
      <c r="D27" s="313"/>
      <c r="E27" s="313"/>
      <c r="F27" s="313"/>
      <c r="G27" s="314"/>
      <c r="H27" s="311">
        <v>6928.2</v>
      </c>
      <c r="I27" s="311">
        <v>4182.3999999999996</v>
      </c>
      <c r="J27" s="311">
        <v>4469.3999999999996</v>
      </c>
      <c r="K27" s="311">
        <v>2509.3000000000002</v>
      </c>
      <c r="L27" s="311">
        <v>5808.3</v>
      </c>
      <c r="M27" s="311">
        <v>15617</v>
      </c>
      <c r="N27" s="311">
        <v>97192.2</v>
      </c>
      <c r="O27" s="315">
        <v>98.16</v>
      </c>
    </row>
    <row r="28" spans="1:17">
      <c r="A28" s="28">
        <v>23</v>
      </c>
      <c r="B28" s="311">
        <v>54582</v>
      </c>
      <c r="C28" s="312">
        <v>213743</v>
      </c>
      <c r="D28" s="313"/>
      <c r="E28" s="313"/>
      <c r="F28" s="313"/>
      <c r="G28" s="314"/>
      <c r="H28" s="311">
        <v>6935.2</v>
      </c>
      <c r="I28" s="311">
        <v>4186.8</v>
      </c>
      <c r="J28" s="311">
        <v>4474.1000000000004</v>
      </c>
      <c r="K28" s="311">
        <v>2512.1999999999998</v>
      </c>
      <c r="L28" s="311">
        <v>5813</v>
      </c>
      <c r="M28" s="311">
        <v>15628.7</v>
      </c>
      <c r="N28" s="311">
        <v>97352.5</v>
      </c>
      <c r="O28" s="315">
        <v>96.31</v>
      </c>
    </row>
    <row r="29" spans="1:17">
      <c r="A29" s="28">
        <v>24</v>
      </c>
      <c r="B29" s="311">
        <v>54603.7</v>
      </c>
      <c r="C29" s="312">
        <v>214027</v>
      </c>
      <c r="D29" s="313"/>
      <c r="E29" s="313"/>
      <c r="F29" s="313"/>
      <c r="G29" s="314"/>
      <c r="H29" s="311">
        <v>6942.5</v>
      </c>
      <c r="I29" s="311">
        <v>4191.2</v>
      </c>
      <c r="J29" s="311">
        <v>4478.8</v>
      </c>
      <c r="K29" s="311">
        <v>2515.1</v>
      </c>
      <c r="L29" s="311">
        <v>5817.7</v>
      </c>
      <c r="M29" s="311">
        <v>15640.7</v>
      </c>
      <c r="N29" s="311">
        <v>97517.5</v>
      </c>
      <c r="O29" s="315">
        <v>94.7</v>
      </c>
      <c r="P29" s="30"/>
    </row>
    <row r="30" spans="1:17">
      <c r="A30" s="28">
        <v>25</v>
      </c>
      <c r="B30" s="311">
        <v>54627.9</v>
      </c>
      <c r="C30" s="312">
        <v>214206</v>
      </c>
      <c r="D30" s="311"/>
      <c r="E30" s="311"/>
      <c r="F30" s="311"/>
      <c r="G30" s="311"/>
      <c r="H30" s="311">
        <v>6949.7</v>
      </c>
      <c r="I30" s="311">
        <v>4195.5</v>
      </c>
      <c r="J30" s="311">
        <v>4483.3</v>
      </c>
      <c r="K30" s="311">
        <v>2518</v>
      </c>
      <c r="L30" s="311">
        <v>5822.3</v>
      </c>
      <c r="M30" s="311">
        <v>15652.4</v>
      </c>
      <c r="N30" s="311">
        <v>97679.4</v>
      </c>
      <c r="O30" s="315">
        <v>76.5</v>
      </c>
      <c r="P30" s="31"/>
      <c r="Q30" s="31"/>
    </row>
    <row r="31" spans="1:17">
      <c r="A31" s="28">
        <v>26</v>
      </c>
      <c r="B31" s="311">
        <v>54652.1</v>
      </c>
      <c r="C31" s="312">
        <v>214473</v>
      </c>
      <c r="D31" s="311"/>
      <c r="E31" s="311"/>
      <c r="F31" s="311"/>
      <c r="G31" s="311"/>
      <c r="H31" s="311">
        <v>6956.8</v>
      </c>
      <c r="I31" s="311">
        <v>4199.8999999999996</v>
      </c>
      <c r="J31" s="311">
        <v>4487.3999999999996</v>
      </c>
      <c r="K31" s="311">
        <v>2520.6999999999998</v>
      </c>
      <c r="L31" s="311">
        <v>5826.9</v>
      </c>
      <c r="M31" s="311">
        <v>15664.2</v>
      </c>
      <c r="N31" s="311">
        <v>97803.199999999997</v>
      </c>
      <c r="O31" s="363">
        <v>76.5</v>
      </c>
    </row>
    <row r="32" spans="1:17">
      <c r="A32" s="28">
        <v>27</v>
      </c>
      <c r="B32" s="360">
        <v>54652.1</v>
      </c>
      <c r="C32" s="361">
        <v>214473</v>
      </c>
      <c r="D32" s="360"/>
      <c r="E32" s="360"/>
      <c r="F32" s="360"/>
      <c r="G32" s="360"/>
      <c r="H32" s="360">
        <v>6956.8</v>
      </c>
      <c r="I32" s="360">
        <v>4199.8999999999996</v>
      </c>
      <c r="J32" s="360">
        <v>4487.3999999999996</v>
      </c>
      <c r="K32" s="360">
        <v>2520.6999999999998</v>
      </c>
      <c r="L32" s="360">
        <v>5826.9</v>
      </c>
      <c r="M32" s="360">
        <v>15664.2</v>
      </c>
      <c r="N32" s="360">
        <v>97803.199999999997</v>
      </c>
      <c r="O32" s="362">
        <v>89.17</v>
      </c>
    </row>
    <row r="33" spans="1:17">
      <c r="A33" s="28">
        <v>28</v>
      </c>
      <c r="B33" s="360">
        <v>54674.5</v>
      </c>
      <c r="C33" s="361">
        <v>214655</v>
      </c>
      <c r="D33" s="360"/>
      <c r="E33" s="360"/>
      <c r="F33" s="360"/>
      <c r="G33" s="360"/>
      <c r="H33" s="360">
        <v>6963.7</v>
      </c>
      <c r="I33" s="360">
        <v>4204.6000000000004</v>
      </c>
      <c r="J33" s="360">
        <v>4492.3</v>
      </c>
      <c r="K33" s="360">
        <v>2523.5</v>
      </c>
      <c r="L33" s="360">
        <v>5831.5</v>
      </c>
      <c r="M33" s="360">
        <v>15675.8</v>
      </c>
      <c r="N33" s="360">
        <v>97958.2</v>
      </c>
      <c r="O33" s="362">
        <v>97</v>
      </c>
    </row>
    <row r="34" spans="1:17">
      <c r="A34" s="28">
        <v>29</v>
      </c>
      <c r="B34" s="360">
        <v>54695.4</v>
      </c>
      <c r="C34" s="361">
        <v>214896</v>
      </c>
      <c r="D34" s="360"/>
      <c r="E34" s="360"/>
      <c r="F34" s="360"/>
      <c r="G34" s="360"/>
      <c r="H34" s="360">
        <v>6970.8</v>
      </c>
      <c r="I34" s="360">
        <v>4209.3999999999996</v>
      </c>
      <c r="J34" s="360">
        <v>4497.1000000000004</v>
      </c>
      <c r="K34" s="360">
        <v>2526.3000000000002</v>
      </c>
      <c r="L34" s="360">
        <v>5836</v>
      </c>
      <c r="M34" s="360">
        <v>15687.4</v>
      </c>
      <c r="N34" s="360">
        <v>98116.6</v>
      </c>
      <c r="O34" s="362">
        <v>94.24</v>
      </c>
    </row>
    <row r="35" spans="1:17">
      <c r="A35" s="28">
        <v>30</v>
      </c>
      <c r="B35" s="360">
        <v>54717.5</v>
      </c>
      <c r="C35" s="361">
        <v>215091</v>
      </c>
      <c r="D35" s="360"/>
      <c r="E35" s="360"/>
      <c r="F35" s="360"/>
      <c r="G35" s="360"/>
      <c r="H35" s="360">
        <v>6977.9</v>
      </c>
      <c r="I35" s="360">
        <v>4214.3999999999996</v>
      </c>
      <c r="J35" s="360">
        <v>4501.6000000000004</v>
      </c>
      <c r="K35" s="360">
        <v>2529.1</v>
      </c>
      <c r="L35" s="360">
        <v>5840.6</v>
      </c>
      <c r="M35" s="360">
        <v>15699</v>
      </c>
      <c r="N35" s="360">
        <v>98271.7</v>
      </c>
      <c r="O35" s="362">
        <v>96.31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thickBo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82.999655172413796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0" sqref="D10:D18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53496.247179998965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8</v>
      </c>
      <c r="D3" s="42" t="s">
        <v>48</v>
      </c>
      <c r="E3" s="43">
        <f>'Daily Meter'!O13</f>
        <v>94.24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9</v>
      </c>
      <c r="D3" s="42" t="s">
        <v>48</v>
      </c>
      <c r="E3" s="43">
        <f>'Daily Meter'!O14</f>
        <v>90.32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>
        <f>'Daily Meter'!B14</f>
        <v>54285.8</v>
      </c>
      <c r="F7" s="62">
        <f>E7-D7</f>
        <v>17.80000000000291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5061.2520000008271</v>
      </c>
      <c r="G8" s="66">
        <f>F8*0.63</f>
        <v>3188.5887600005212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>
        <f>'Daily Meter'!C14</f>
        <v>210865</v>
      </c>
      <c r="F10" s="62">
        <f>E10-D10</f>
        <v>159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34975.070999999996</v>
      </c>
      <c r="G11" s="74">
        <f>F11*0.06</f>
        <v>2098.5042599999997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>
        <f>'Daily Meter'!H14</f>
        <v>6835.3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>
        <f>'Daily Meter'!I14</f>
        <v>4126.1000000000004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>
        <f>'Daily Meter'!J14</f>
        <v>4410.7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>
        <f>'Daily Meter'!K14</f>
        <v>2471.9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>
        <f>'Daily Meter'!L14</f>
        <v>5749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>
        <f>'Daily Meter'!M14</f>
        <v>15463.4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17280.000000000437</v>
      </c>
      <c r="G19" s="66">
        <f>F19*0.43</f>
        <v>7430.4000000001879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>
        <f>'Daily Meter'!N14</f>
        <v>95345.3</v>
      </c>
      <c r="F22" s="85">
        <f>E22-D22</f>
        <v>134.10000000000582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496.17000000002156</v>
      </c>
      <c r="G23" s="89">
        <f>F23*2.5</f>
        <v>1240.4250000000538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5061.2520000008271</v>
      </c>
      <c r="G28" s="99">
        <f>G8</f>
        <v>3188.5887600005212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34975.070999999996</v>
      </c>
      <c r="G29" s="99">
        <f>G11</f>
        <v>2098.5042599999997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17280.000000000437</v>
      </c>
      <c r="G30" s="99">
        <f>G19</f>
        <v>7430.4000000001879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134.10000000000582</v>
      </c>
      <c r="G31" s="99">
        <f>G23</f>
        <v>1240.4250000000538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13957.918020000761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10</v>
      </c>
      <c r="D3" s="42" t="s">
        <v>48</v>
      </c>
      <c r="E3" s="43">
        <f>'Daily Meter'!O15</f>
        <v>81.34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'9'!E7</f>
        <v>54285.8</v>
      </c>
      <c r="E7" s="61">
        <f>'Daily Meter'!B15</f>
        <v>54303.6</v>
      </c>
      <c r="F7" s="62">
        <f>E7-D7</f>
        <v>17.799999999995634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5061.251999998758</v>
      </c>
      <c r="G8" s="66">
        <f>F8*0.63</f>
        <v>3188.5887599992175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'9'!E10</f>
        <v>210865</v>
      </c>
      <c r="E10" s="61">
        <f>'Daily Meter'!C15</f>
        <v>211142</v>
      </c>
      <c r="F10" s="62">
        <f>E10-D10</f>
        <v>277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60931.413</v>
      </c>
      <c r="G11" s="74">
        <f>F11*0.06</f>
        <v>3655.8847799999999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'9'!E13</f>
        <v>6835.3</v>
      </c>
      <c r="E13" s="61">
        <f>'Daily Meter'!H15</f>
        <v>6842.6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'9'!E14</f>
        <v>4126.1000000000004</v>
      </c>
      <c r="E14" s="61">
        <f>'Daily Meter'!I15</f>
        <v>4130.6000000000004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'9'!E15</f>
        <v>4410.7</v>
      </c>
      <c r="E15" s="61">
        <f>'Daily Meter'!J15</f>
        <v>4415.6000000000004</v>
      </c>
      <c r="F15" s="62">
        <f t="shared" si="0"/>
        <v>2352.0000000002619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'9'!E16</f>
        <v>2471.9</v>
      </c>
      <c r="E16" s="61">
        <f>'Daily Meter'!K15</f>
        <v>2474.6999999999998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'9'!E17</f>
        <v>5749</v>
      </c>
      <c r="E17" s="61">
        <f>'Daily Meter'!L15</f>
        <v>5753.7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'9'!E18</f>
        <v>15463.4</v>
      </c>
      <c r="E18" s="61">
        <f>'Daily Meter'!M15</f>
        <v>15474.9</v>
      </c>
      <c r="F18" s="62">
        <f t="shared" si="0"/>
        <v>5520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'9'!E22</f>
        <v>95345.3</v>
      </c>
      <c r="E22" s="61">
        <f>'Daily Meter'!N15</f>
        <v>95497.7</v>
      </c>
      <c r="F22" s="85">
        <f>E22-D22</f>
        <v>152.39999999999418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563.87999999997851</v>
      </c>
      <c r="G23" s="89">
        <f>F23*2.5</f>
        <v>1409.6999999999462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5061.251999998758</v>
      </c>
      <c r="G28" s="99">
        <f>G8</f>
        <v>3188.5887599992175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60931.413</v>
      </c>
      <c r="G29" s="99">
        <f>G11</f>
        <v>3655.8847799999999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152.39999999999418</v>
      </c>
      <c r="G31" s="99">
        <f>G23</f>
        <v>1409.6999999999462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15622.653539999219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11</v>
      </c>
      <c r="D3" s="42" t="s">
        <v>48</v>
      </c>
      <c r="E3" s="43">
        <f>'Daily Meter'!O16</f>
        <v>88.48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'10'!E7</f>
        <v>54303.6</v>
      </c>
      <c r="E7" s="61">
        <f>'Daily Meter'!B16</f>
        <v>54322.5</v>
      </c>
      <c r="F7" s="62">
        <f>E7-D7</f>
        <v>18.900000000001455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5374.0260000004137</v>
      </c>
      <c r="G8" s="66">
        <f>F8*0.63</f>
        <v>3385.6363800002605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'10'!E10</f>
        <v>211142</v>
      </c>
      <c r="E10" s="61">
        <f>'Daily Meter'!C16</f>
        <v>211397</v>
      </c>
      <c r="F10" s="62">
        <f>E10-D10</f>
        <v>255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56092.095000000001</v>
      </c>
      <c r="G11" s="74">
        <f>F11*0.06</f>
        <v>3365.5257000000001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'10'!E13</f>
        <v>6842.6</v>
      </c>
      <c r="E13" s="61">
        <f>'Daily Meter'!H16</f>
        <v>6850</v>
      </c>
      <c r="F13" s="62">
        <f t="shared" ref="F13:F18" si="0">(E13-D13)*480</f>
        <v>3551.9999999998254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'10'!E14</f>
        <v>4130.6000000000004</v>
      </c>
      <c r="E14" s="61">
        <f>'Daily Meter'!I16</f>
        <v>4135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'10'!E15</f>
        <v>4415.6000000000004</v>
      </c>
      <c r="E15" s="61">
        <f>'Daily Meter'!J16</f>
        <v>4420.3999999999996</v>
      </c>
      <c r="F15" s="62">
        <f t="shared" si="0"/>
        <v>2303.9999999996508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'10'!E16</f>
        <v>2474.6999999999998</v>
      </c>
      <c r="E16" s="61">
        <f>'Daily Meter'!K16</f>
        <v>2477.9</v>
      </c>
      <c r="F16" s="62">
        <f t="shared" si="0"/>
        <v>1536.000000000131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'10'!E17</f>
        <v>5753.7</v>
      </c>
      <c r="E17" s="61">
        <f>'Daily Meter'!L16</f>
        <v>5758.4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'10'!E18</f>
        <v>15474.9</v>
      </c>
      <c r="E18" s="61">
        <f>'Daily Meter'!M16</f>
        <v>15486.6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17375.999999999694</v>
      </c>
      <c r="G19" s="66">
        <f>F19*0.43</f>
        <v>7471.6799999998684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'10'!E22</f>
        <v>95497.7</v>
      </c>
      <c r="E22" s="61">
        <f>'Daily Meter'!N16</f>
        <v>95634.8</v>
      </c>
      <c r="F22" s="85">
        <f>E22-D22</f>
        <v>137.10000000000582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507.27000000002158</v>
      </c>
      <c r="G23" s="89">
        <f>F23*2.5</f>
        <v>1268.1750000000538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5374.0260000004137</v>
      </c>
      <c r="G28" s="99">
        <f>G8</f>
        <v>3385.6363800002605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56092.095000000001</v>
      </c>
      <c r="G29" s="99">
        <f>G11</f>
        <v>3365.5257000000001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17375.999999999694</v>
      </c>
      <c r="G30" s="99">
        <f>G19</f>
        <v>7471.6799999998684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137.10000000000582</v>
      </c>
      <c r="G31" s="99">
        <f>G23</f>
        <v>1268.1750000000538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15491.017080000183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12</v>
      </c>
      <c r="D3" s="42" t="s">
        <v>48</v>
      </c>
      <c r="E3" s="43">
        <f>'Daily Meter'!O17</f>
        <v>79.72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'11'!E7</f>
        <v>54322.5</v>
      </c>
      <c r="E7" s="61">
        <f>'Daily Meter'!B17</f>
        <v>54338.9</v>
      </c>
      <c r="F7" s="62">
        <f>E7-D7</f>
        <v>16.400000000001455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4663.1760000004133</v>
      </c>
      <c r="G8" s="66">
        <f>F8*0.63</f>
        <v>2937.8008800002603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'11'!E10</f>
        <v>211397</v>
      </c>
      <c r="E10" s="61">
        <f>'Daily Meter'!C17</f>
        <v>211607</v>
      </c>
      <c r="F10" s="62">
        <f>E10-D10</f>
        <v>210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46193.49</v>
      </c>
      <c r="G11" s="74">
        <f>F11*0.06</f>
        <v>2771.6093999999998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'11'!E13</f>
        <v>6850</v>
      </c>
      <c r="E13" s="61">
        <f>'Daily Meter'!H17</f>
        <v>6857.1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'11'!E14</f>
        <v>4135</v>
      </c>
      <c r="E14" s="61">
        <f>'Daily Meter'!I17</f>
        <v>4139</v>
      </c>
      <c r="F14" s="62">
        <f t="shared" si="0"/>
        <v>1920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'11'!E15</f>
        <v>4420.3999999999996</v>
      </c>
      <c r="E15" s="61">
        <f>'Daily Meter'!J17</f>
        <v>4424.8999999999996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'11'!E16</f>
        <v>2477.9</v>
      </c>
      <c r="E16" s="61">
        <f>'Daily Meter'!K17</f>
        <v>2480.6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'11'!E17</f>
        <v>5758.4</v>
      </c>
      <c r="E17" s="61">
        <f>'Daily Meter'!L17</f>
        <v>5763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'11'!E18</f>
        <v>15486.6</v>
      </c>
      <c r="E18" s="61">
        <f>'Daily Meter'!M17</f>
        <v>15498.3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16607.999999999738</v>
      </c>
      <c r="G19" s="66">
        <f>F19*0.43</f>
        <v>7141.4399999998868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'11'!E22</f>
        <v>95634.8</v>
      </c>
      <c r="E22" s="61">
        <f>'Daily Meter'!N17</f>
        <v>95776</v>
      </c>
      <c r="F22" s="85">
        <f>E22-D22</f>
        <v>141.19999999999709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522.43999999998925</v>
      </c>
      <c r="G23" s="89">
        <f>F23*2.5</f>
        <v>1306.0999999999731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4663.1760000004133</v>
      </c>
      <c r="G28" s="99">
        <f>G8</f>
        <v>2937.8008800002603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46193.49</v>
      </c>
      <c r="G29" s="99">
        <f>G11</f>
        <v>2771.6093999999998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16607.999999999738</v>
      </c>
      <c r="G30" s="99">
        <f>G19</f>
        <v>7141.4399999998868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141.19999999999709</v>
      </c>
      <c r="G31" s="99">
        <f>G23</f>
        <v>1306.0999999999731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14156.950280000121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13</v>
      </c>
      <c r="D3" s="42" t="s">
        <v>48</v>
      </c>
      <c r="E3" s="43">
        <f>'Daily Meter'!O18</f>
        <v>75.81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'12'!E7</f>
        <v>54338.9</v>
      </c>
      <c r="E7" s="61">
        <f>'Daily Meter'!B18</f>
        <v>54356.6</v>
      </c>
      <c r="F7" s="62">
        <f>E7-D7</f>
        <v>17.69999999999709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5032.8179999991717</v>
      </c>
      <c r="G8" s="66">
        <f>F8*0.63</f>
        <v>3170.6753399994782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'12'!E10</f>
        <v>211607</v>
      </c>
      <c r="E10" s="61">
        <f>'Daily Meter'!C18</f>
        <v>211780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'12'!E13</f>
        <v>6857.1</v>
      </c>
      <c r="E13" s="61">
        <f>'Daily Meter'!H18</f>
        <v>6864.2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'12'!E14</f>
        <v>4139</v>
      </c>
      <c r="E14" s="61">
        <f>'Daily Meter'!I18</f>
        <v>4143.3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'12'!E15</f>
        <v>4424.8999999999996</v>
      </c>
      <c r="E15" s="61">
        <f>'Daily Meter'!J18</f>
        <v>4429.3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'12'!E16</f>
        <v>2480.6</v>
      </c>
      <c r="E16" s="61">
        <f>'Daily Meter'!K18</f>
        <v>2483.3000000000002</v>
      </c>
      <c r="F16" s="62">
        <f t="shared" si="0"/>
        <v>1296.000000000131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'12'!E17</f>
        <v>5763</v>
      </c>
      <c r="E17" s="61">
        <f>'Daily Meter'!L18</f>
        <v>5767.5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'12'!E18</f>
        <v>15498.3</v>
      </c>
      <c r="E18" s="61">
        <f>'Daily Meter'!M18</f>
        <v>15510.1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16704.000000000742</v>
      </c>
      <c r="G19" s="66">
        <f>F19*0.43</f>
        <v>7182.7200000003186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'12'!E22</f>
        <v>95776</v>
      </c>
      <c r="E22" s="61">
        <f>'Daily Meter'!N18</f>
        <v>95924.9</v>
      </c>
      <c r="F22" s="85">
        <f>E22-D22</f>
        <v>148.89999999999418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550.92999999997846</v>
      </c>
      <c r="G23" s="89">
        <f>F23*2.5</f>
        <v>1377.3249999999462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5032.8179999991717</v>
      </c>
      <c r="G28" s="99">
        <f>G8</f>
        <v>3170.6753399994782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16704.000000000742</v>
      </c>
      <c r="G30" s="99">
        <f>G19</f>
        <v>7182.7200000003186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148.89999999999418</v>
      </c>
      <c r="G31" s="99">
        <f>G23</f>
        <v>1377.3249999999462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14013.998559999742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14</v>
      </c>
      <c r="D3" s="42" t="s">
        <v>48</v>
      </c>
      <c r="E3" s="43">
        <f>'Daily Meter'!O19</f>
        <v>75.349999999999994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'13'!E7</f>
        <v>54356.6</v>
      </c>
      <c r="E7" s="61">
        <f>'Daily Meter'!B19</f>
        <v>54375.9</v>
      </c>
      <c r="F7" s="62">
        <f>E7-D7</f>
        <v>19.30000000000291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5487.7620000008274</v>
      </c>
      <c r="G8" s="66">
        <f>F8*0.63</f>
        <v>3457.2900600005214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'13'!E10</f>
        <v>211780</v>
      </c>
      <c r="E10" s="61">
        <f>'Daily Meter'!C19</f>
        <v>211967</v>
      </c>
      <c r="F10" s="62">
        <f>E10-D10</f>
        <v>187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'13'!E13</f>
        <v>6864.2</v>
      </c>
      <c r="E13" s="61">
        <f>'Daily Meter'!H19</f>
        <v>6871.3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'13'!E14</f>
        <v>4143.3</v>
      </c>
      <c r="E14" s="61">
        <f>'Daily Meter'!I19</f>
        <v>4147.7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'13'!E15</f>
        <v>4429.3</v>
      </c>
      <c r="E15" s="61">
        <f>'Daily Meter'!J19</f>
        <v>4433.5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'13'!E16</f>
        <v>2483.3000000000002</v>
      </c>
      <c r="E16" s="61">
        <f>'Daily Meter'!K19</f>
        <v>2486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'13'!E17</f>
        <v>5767.5</v>
      </c>
      <c r="E17" s="61">
        <f>'Daily Meter'!L19</f>
        <v>5772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'13'!E18</f>
        <v>15510.1</v>
      </c>
      <c r="E18" s="61">
        <f>'Daily Meter'!M19</f>
        <v>15521.7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16560</v>
      </c>
      <c r="G19" s="66">
        <f>F19*0.43</f>
        <v>7120.8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'13'!E22</f>
        <v>95924.9</v>
      </c>
      <c r="E22" s="61">
        <f>'Daily Meter'!N19</f>
        <v>96067.3</v>
      </c>
      <c r="F22" s="85">
        <f>E22-D22</f>
        <v>142.40000000000873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526.88000000003228</v>
      </c>
      <c r="G23" s="89">
        <f>F23*2.5</f>
        <v>1317.2000000000808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5487.7620000008274</v>
      </c>
      <c r="G28" s="99">
        <f>G8</f>
        <v>3457.2900600005214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16560</v>
      </c>
      <c r="G30" s="99">
        <f>G19</f>
        <v>7120.8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142.40000000000873</v>
      </c>
      <c r="G31" s="99">
        <f>G23</f>
        <v>1317.2000000000808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14363.342240000602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15</v>
      </c>
      <c r="D3" s="42" t="s">
        <v>48</v>
      </c>
      <c r="E3" s="43">
        <f>'Daily Meter'!O20</f>
        <v>76.73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'14'!E7</f>
        <v>54375.9</v>
      </c>
      <c r="E7" s="61">
        <f>'Daily Meter'!B20</f>
        <v>54397.599999999999</v>
      </c>
      <c r="F7" s="62">
        <f>E7-D7</f>
        <v>21.69999999999709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'14'!E10</f>
        <v>211967</v>
      </c>
      <c r="E10" s="61">
        <f>'Daily Meter'!C20</f>
        <v>212121</v>
      </c>
      <c r="F10" s="62">
        <f>E10-D10</f>
        <v>154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33875.226000000002</v>
      </c>
      <c r="G11" s="74">
        <f>F11*0.06</f>
        <v>2032.5135600000001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'14'!E13</f>
        <v>6871.3</v>
      </c>
      <c r="E13" s="61">
        <f>'Daily Meter'!H20</f>
        <v>6878.4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'14'!E14</f>
        <v>4147.7</v>
      </c>
      <c r="E14" s="61">
        <f>'Daily Meter'!I20</f>
        <v>4152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'14'!E15</f>
        <v>4433.5</v>
      </c>
      <c r="E15" s="61">
        <f>'Daily Meter'!J20</f>
        <v>4437.8</v>
      </c>
      <c r="F15" s="62">
        <f t="shared" si="0"/>
        <v>2064.0000000000873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'14'!E16</f>
        <v>2486</v>
      </c>
      <c r="E16" s="61">
        <f>'Daily Meter'!K20</f>
        <v>2488.9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'14'!E17</f>
        <v>5772</v>
      </c>
      <c r="E17" s="61">
        <f>'Daily Meter'!L20</f>
        <v>5776.5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'14'!E18</f>
        <v>15521.7</v>
      </c>
      <c r="E18" s="61">
        <f>'Daily Meter'!M20</f>
        <v>15533.5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16751.999999999607</v>
      </c>
      <c r="G19" s="66">
        <f>F19*0.43</f>
        <v>7203.3599999998305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'14'!E22</f>
        <v>96067.3</v>
      </c>
      <c r="E22" s="61">
        <f>'Daily Meter'!N20</f>
        <v>96190.5</v>
      </c>
      <c r="F22" s="85">
        <f>E22-D22</f>
        <v>123.19999999999709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455.83999999998923</v>
      </c>
      <c r="G23" s="89">
        <f>F23*2.5</f>
        <v>1139.5999999999731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33875.226000000002</v>
      </c>
      <c r="G29" s="99">
        <f>G11</f>
        <v>2032.5135600000001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16751.999999999607</v>
      </c>
      <c r="G30" s="99">
        <f>G19</f>
        <v>7203.3599999998305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123.19999999999709</v>
      </c>
      <c r="G31" s="99">
        <f>G23</f>
        <v>1139.5999999999731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14262.685699999281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16</v>
      </c>
      <c r="D3" s="42" t="s">
        <v>48</v>
      </c>
      <c r="E3" s="43">
        <f>'Daily Meter'!O21</f>
        <v>77.650000000000006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'15'!E7</f>
        <v>54397.599999999999</v>
      </c>
      <c r="E7" s="61">
        <f>'Daily Meter'!B21</f>
        <v>54422.3</v>
      </c>
      <c r="F7" s="62">
        <f>E7-D7</f>
        <v>24.700000000004366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7023.1980000012409</v>
      </c>
      <c r="G8" s="66">
        <f>F8*0.63</f>
        <v>4424.6147400007821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'15'!E10</f>
        <v>212121</v>
      </c>
      <c r="E10" s="61">
        <f>'Daily Meter'!C21</f>
        <v>212308</v>
      </c>
      <c r="F10" s="62">
        <f>E10-D10</f>
        <v>187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41134.203000000001</v>
      </c>
      <c r="G11" s="74">
        <f>F11*0.06</f>
        <v>2468.0521800000001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'15'!E13</f>
        <v>6878.4</v>
      </c>
      <c r="E13" s="61">
        <f>'Daily Meter'!H21</f>
        <v>6885.4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'15'!E14</f>
        <v>4152</v>
      </c>
      <c r="E14" s="61">
        <f>'Daily Meter'!I21</f>
        <v>4156.3999999999996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'15'!E15</f>
        <v>4437.8</v>
      </c>
      <c r="E15" s="61">
        <f>'Daily Meter'!J21</f>
        <v>4442</v>
      </c>
      <c r="F15" s="62">
        <f t="shared" si="0"/>
        <v>2015.9999999999127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'15'!E16</f>
        <v>2488.9</v>
      </c>
      <c r="E16" s="61">
        <f>'Daily Meter'!K21</f>
        <v>2491.8000000000002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'15'!E17</f>
        <v>5776.5</v>
      </c>
      <c r="E17" s="61">
        <f>'Daily Meter'!L21</f>
        <v>5781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'15'!E18</f>
        <v>15533.5</v>
      </c>
      <c r="E18" s="61">
        <f>'Daily Meter'!M21</f>
        <v>15545.7</v>
      </c>
      <c r="F18" s="62">
        <f t="shared" si="0"/>
        <v>5856.0000000003492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'15'!E22</f>
        <v>96190.5</v>
      </c>
      <c r="E22" s="61">
        <f>'Daily Meter'!N21</f>
        <v>96320.6</v>
      </c>
      <c r="F22" s="85">
        <f>E22-D22</f>
        <v>130.10000000000582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481.37000000002155</v>
      </c>
      <c r="G23" s="89">
        <f>F23*2.5</f>
        <v>1203.4250000000538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7023.1980000012409</v>
      </c>
      <c r="G28" s="99">
        <f>G8</f>
        <v>4424.6147400007821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41134.203000000001</v>
      </c>
      <c r="G29" s="99">
        <f>G11</f>
        <v>2468.0521800000001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130.10000000000582</v>
      </c>
      <c r="G31" s="99">
        <f>G23</f>
        <v>1203.4250000000538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15361.371920000893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17</v>
      </c>
      <c r="D3" s="42" t="s">
        <v>48</v>
      </c>
      <c r="E3" s="43">
        <f>'Daily Meter'!O22</f>
        <v>70.739999999999995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'16'!E7</f>
        <v>54422.3</v>
      </c>
      <c r="E7" s="61">
        <f>'Daily Meter'!B22</f>
        <v>54449.599999999999</v>
      </c>
      <c r="F7" s="62">
        <f>E7-D7</f>
        <v>27.299999999995634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7762.4819999987576</v>
      </c>
      <c r="G8" s="66">
        <f>F8*0.63</f>
        <v>4890.3636599992169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'16'!E10</f>
        <v>212308</v>
      </c>
      <c r="E10" s="61">
        <f>'Daily Meter'!C22</f>
        <v>212465</v>
      </c>
      <c r="F10" s="62">
        <f>E10-D10</f>
        <v>157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34535.133000000002</v>
      </c>
      <c r="G11" s="74">
        <f>F11*0.06</f>
        <v>2072.1079800000002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'16'!E13</f>
        <v>6885.4</v>
      </c>
      <c r="E13" s="61">
        <f>'Daily Meter'!H22</f>
        <v>6892.7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'16'!E14</f>
        <v>4156.3999999999996</v>
      </c>
      <c r="E14" s="61">
        <f>'Daily Meter'!I22</f>
        <v>4160.8</v>
      </c>
      <c r="F14" s="62">
        <f t="shared" si="0"/>
        <v>2112.0000000002619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'16'!E15</f>
        <v>4442</v>
      </c>
      <c r="E15" s="61">
        <f>'Daily Meter'!J22</f>
        <v>4446.3999999999996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'16'!E16</f>
        <v>2491.8000000000002</v>
      </c>
      <c r="E16" s="61">
        <f>'Daily Meter'!K22</f>
        <v>2494.9</v>
      </c>
      <c r="F16" s="62">
        <f t="shared" si="0"/>
        <v>1487.9999999999563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'16'!E17</f>
        <v>5781</v>
      </c>
      <c r="E17" s="61">
        <f>'Daily Meter'!L22</f>
        <v>5785.6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'16'!E18</f>
        <v>15545.7</v>
      </c>
      <c r="E18" s="61">
        <f>'Daily Meter'!M22</f>
        <v>15557.9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'16'!E22</f>
        <v>96320.6</v>
      </c>
      <c r="E22" s="61">
        <f>'Daily Meter'!N22</f>
        <v>96439.2</v>
      </c>
      <c r="F22" s="85">
        <f>E22-D22</f>
        <v>118.59999999999127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438.81999999996771</v>
      </c>
      <c r="G23" s="89">
        <f>F23*2.5</f>
        <v>1097.0499999999192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7762.4819999987576</v>
      </c>
      <c r="G28" s="99">
        <f>G8</f>
        <v>4890.3636599992169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34535.133000000002</v>
      </c>
      <c r="G29" s="99">
        <f>G11</f>
        <v>2072.1079800000002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118.59999999999127</v>
      </c>
      <c r="G31" s="99">
        <f>G23</f>
        <v>1097.0499999999192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15489.921639999044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18</v>
      </c>
      <c r="D3" s="42" t="s">
        <v>48</v>
      </c>
      <c r="E3" s="43">
        <f>'Daily Meter'!O23</f>
        <v>68.89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'17'!E7</f>
        <v>54449.599999999999</v>
      </c>
      <c r="E7" s="61">
        <f>'Daily Meter'!B23</f>
        <v>54476.6</v>
      </c>
      <c r="F7" s="62">
        <f>E7-D7</f>
        <v>27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7677.1799999999994</v>
      </c>
      <c r="G8" s="66">
        <f>F8*0.63</f>
        <v>4836.6233999999995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'17'!E10</f>
        <v>212465</v>
      </c>
      <c r="E10" s="61">
        <f>'Daily Meter'!C23</f>
        <v>212684</v>
      </c>
      <c r="F10" s="62">
        <f>E10-D10</f>
        <v>219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48173.210999999996</v>
      </c>
      <c r="G11" s="74">
        <f>F11*0.06</f>
        <v>2890.3926599999995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'17'!E13</f>
        <v>6892.7</v>
      </c>
      <c r="E13" s="61">
        <f>'Daily Meter'!H23</f>
        <v>6899.9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'17'!E14</f>
        <v>4160.8</v>
      </c>
      <c r="E14" s="61">
        <f>'Daily Meter'!I23</f>
        <v>4164.8999999999996</v>
      </c>
      <c r="F14" s="62">
        <f t="shared" si="0"/>
        <v>1967.9999999997381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'17'!E15</f>
        <v>4446.3999999999996</v>
      </c>
      <c r="E15" s="61">
        <f>'Daily Meter'!J23</f>
        <v>4450.8</v>
      </c>
      <c r="F15" s="62">
        <f t="shared" si="0"/>
        <v>2112.0000000002619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'17'!E16</f>
        <v>2494.9</v>
      </c>
      <c r="E16" s="61">
        <f>'Daily Meter'!K23</f>
        <v>2497.9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'17'!E17</f>
        <v>5785.6</v>
      </c>
      <c r="E17" s="61">
        <f>'Daily Meter'!L23</f>
        <v>5790.2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'17'!E18</f>
        <v>15557.9</v>
      </c>
      <c r="E18" s="61">
        <f>'Daily Meter'!M23</f>
        <v>15569.9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'17'!E22</f>
        <v>96439.2</v>
      </c>
      <c r="E22" s="61">
        <f>'Daily Meter'!N23</f>
        <v>96592.3</v>
      </c>
      <c r="F22" s="85">
        <f>E22-D22</f>
        <v>153.10000000000582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566.47000000002151</v>
      </c>
      <c r="G23" s="89">
        <f>F23*2.5</f>
        <v>1416.1750000000538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7677.1799999999994</v>
      </c>
      <c r="G28" s="99">
        <f>G8</f>
        <v>4836.6233999999995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153.10000000000582</v>
      </c>
      <c r="G31" s="99">
        <f>G23</f>
        <v>1416.1750000000538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16429.111059999901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19</v>
      </c>
      <c r="D3" s="42" t="s">
        <v>48</v>
      </c>
      <c r="E3" s="43">
        <f>'Daily Meter'!O24</f>
        <v>86.18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'18'!E7</f>
        <v>54476.6</v>
      </c>
      <c r="E7" s="61">
        <f>'Daily Meter'!B24</f>
        <v>54499.6</v>
      </c>
      <c r="F7" s="62">
        <f>E7-D7</f>
        <v>23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6539.82</v>
      </c>
      <c r="G8" s="66">
        <f>F8*0.63</f>
        <v>4120.0865999999996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'18'!E10</f>
        <v>212684</v>
      </c>
      <c r="E10" s="61">
        <f>'Daily Meter'!C24</f>
        <v>212869</v>
      </c>
      <c r="F10" s="62">
        <f>E10-D10</f>
        <v>185</v>
      </c>
      <c r="G10" s="71"/>
      <c r="H10" s="30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40694.264999999999</v>
      </c>
      <c r="G11" s="74">
        <f>F11*0.06</f>
        <v>2441.6558999999997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'18'!E13</f>
        <v>6899.9</v>
      </c>
      <c r="E13" s="61">
        <f>'Daily Meter'!H24</f>
        <v>6907.1</v>
      </c>
      <c r="F13" s="62">
        <f t="shared" ref="F13:F18" si="0">(E13-D13)*480</f>
        <v>3456.0000000003492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'18'!E14</f>
        <v>4164.8999999999996</v>
      </c>
      <c r="E14" s="61">
        <f>'Daily Meter'!I24</f>
        <v>4169.1000000000004</v>
      </c>
      <c r="F14" s="62">
        <f t="shared" si="0"/>
        <v>2016.0000000003492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'18'!E15</f>
        <v>4450.8</v>
      </c>
      <c r="E15" s="61">
        <f>'Daily Meter'!J24</f>
        <v>4455.3999999999996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'18'!E16</f>
        <v>2497.9</v>
      </c>
      <c r="E16" s="61">
        <f>'Daily Meter'!K24</f>
        <v>2500.8000000000002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'18'!E17</f>
        <v>5790.2</v>
      </c>
      <c r="E17" s="61">
        <f>'Daily Meter'!L24</f>
        <v>5794.7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'18'!E18</f>
        <v>15569.9</v>
      </c>
      <c r="E18" s="61">
        <f>'Daily Meter'!M24</f>
        <v>15581.8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16944.000000000306</v>
      </c>
      <c r="G19" s="66">
        <f>F19*0.43</f>
        <v>7285.920000000131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'18'!E22</f>
        <v>96592.3</v>
      </c>
      <c r="E22" s="61">
        <f>'Daily Meter'!N24</f>
        <v>96740.2</v>
      </c>
      <c r="F22" s="85">
        <f>E22-D22</f>
        <v>147.89999999999418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547.22999999997853</v>
      </c>
      <c r="G23" s="89">
        <f>F23*2.5</f>
        <v>1368.0749999999464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6539.82</v>
      </c>
      <c r="G28" s="99">
        <f>G8</f>
        <v>4120.0865999999996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40694.264999999999</v>
      </c>
      <c r="G29" s="99">
        <f>G11</f>
        <v>2441.6558999999997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16944.000000000306</v>
      </c>
      <c r="G30" s="99">
        <f>G19</f>
        <v>7285.920000000131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147.89999999999418</v>
      </c>
      <c r="G31" s="99">
        <f>G23</f>
        <v>1368.0749999999464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15215.737500000076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20</v>
      </c>
      <c r="D3" s="42" t="s">
        <v>48</v>
      </c>
      <c r="E3" s="43">
        <f>'Daily Meter'!O25</f>
        <v>100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'19'!E7</f>
        <v>54499.6</v>
      </c>
      <c r="E7" s="61">
        <f>'Daily Meter'!B25</f>
        <v>54520.4</v>
      </c>
      <c r="F7" s="62">
        <f>E7-D7</f>
        <v>20.80000000000291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5914.2720000008267</v>
      </c>
      <c r="G8" s="66">
        <f>F8*0.63</f>
        <v>3725.9913600005207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'19'!E10</f>
        <v>212869</v>
      </c>
      <c r="E10" s="61">
        <f>'Daily Meter'!C25</f>
        <v>213101</v>
      </c>
      <c r="F10" s="62">
        <f>E10-D10</f>
        <v>232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51032.807999999997</v>
      </c>
      <c r="G11" s="74">
        <f>F11*0.06</f>
        <v>3061.9684799999995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'19'!E13</f>
        <v>6907.1</v>
      </c>
      <c r="E13" s="61">
        <f>'Daily Meter'!H25</f>
        <v>6914.1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'19'!E14</f>
        <v>4169.1000000000004</v>
      </c>
      <c r="E14" s="61">
        <f>'Daily Meter'!I25</f>
        <v>4173.3999999999996</v>
      </c>
      <c r="F14" s="62">
        <f t="shared" si="0"/>
        <v>2063.9999999996508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'19'!E15</f>
        <v>4455.3999999999996</v>
      </c>
      <c r="E15" s="61">
        <f>'Daily Meter'!J25</f>
        <v>4460.1000000000004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'19'!E16</f>
        <v>2500.8000000000002</v>
      </c>
      <c r="E16" s="61">
        <f>'Daily Meter'!K25</f>
        <v>2503.5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'19'!E17</f>
        <v>5794.7</v>
      </c>
      <c r="E17" s="61">
        <f>'Daily Meter'!L25</f>
        <v>5799.3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'19'!E18</f>
        <v>15581.8</v>
      </c>
      <c r="E18" s="61">
        <f>'Daily Meter'!M25</f>
        <v>15593.6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16848.000000000611</v>
      </c>
      <c r="G19" s="66">
        <f>F19*0.43</f>
        <v>7244.6400000002623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'19'!E22</f>
        <v>96740.2</v>
      </c>
      <c r="E22" s="61">
        <f>'Daily Meter'!N25</f>
        <v>96881.7</v>
      </c>
      <c r="F22" s="85">
        <f>E22-D22</f>
        <v>141.5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5914.2720000008267</v>
      </c>
      <c r="G28" s="99">
        <f>G8</f>
        <v>3725.9913600005207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51032.807999999997</v>
      </c>
      <c r="G29" s="99">
        <f>G11</f>
        <v>3061.9684799999995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16848.000000000611</v>
      </c>
      <c r="G30" s="99">
        <f>G19</f>
        <v>7244.6400000002623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15341.474840000781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21</v>
      </c>
      <c r="D3" s="42" t="s">
        <v>48</v>
      </c>
      <c r="E3" s="43">
        <f>'Daily Meter'!O26</f>
        <v>100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'20'!E7</f>
        <v>54520.4</v>
      </c>
      <c r="E7" s="61">
        <f>'Daily Meter'!B26</f>
        <v>54540.9</v>
      </c>
      <c r="F7" s="62">
        <f>E7-D7</f>
        <v>20.5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5828.9699999999993</v>
      </c>
      <c r="G8" s="66">
        <f>F8*0.63</f>
        <v>3672.2510999999995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'20'!E10</f>
        <v>213101</v>
      </c>
      <c r="E10" s="61">
        <f>'Daily Meter'!C26</f>
        <v>213282</v>
      </c>
      <c r="F10" s="62">
        <f>E10-D10</f>
        <v>181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39814.388999999996</v>
      </c>
      <c r="G11" s="74">
        <f>F11*0.06</f>
        <v>2388.8633399999994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'20'!E13</f>
        <v>6914.1</v>
      </c>
      <c r="E13" s="61">
        <f>'Daily Meter'!H26</f>
        <v>6921</v>
      </c>
      <c r="F13" s="62">
        <f t="shared" ref="F13:F18" si="0">(E13-D13)*480</f>
        <v>3311.9999999998254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'20'!E14</f>
        <v>4173.3999999999996</v>
      </c>
      <c r="E14" s="61">
        <f>'Daily Meter'!I26</f>
        <v>4178</v>
      </c>
      <c r="F14" s="62">
        <f t="shared" si="0"/>
        <v>2208.0000000001746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'20'!E15</f>
        <v>4460.1000000000004</v>
      </c>
      <c r="E15" s="61">
        <f>'Daily Meter'!J26</f>
        <v>4464.7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'20'!E16</f>
        <v>2503.5</v>
      </c>
      <c r="E16" s="61">
        <f>'Daily Meter'!K26</f>
        <v>2506.5</v>
      </c>
      <c r="F16" s="62">
        <f t="shared" si="0"/>
        <v>1440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'20'!E17</f>
        <v>5799.3</v>
      </c>
      <c r="E17" s="61">
        <f>'Daily Meter'!L26</f>
        <v>5803.9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'20'!E18</f>
        <v>15593.6</v>
      </c>
      <c r="E18" s="61">
        <f>'Daily Meter'!M26</f>
        <v>15605.2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'20'!E22</f>
        <v>96881.7</v>
      </c>
      <c r="E22" s="61">
        <f>'Daily Meter'!N26</f>
        <v>97034.2</v>
      </c>
      <c r="F22" s="85">
        <f>E22-D22</f>
        <v>152.5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564.25</v>
      </c>
      <c r="G23" s="89">
        <f>F23*2.5</f>
        <v>1410.625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5828.9699999999993</v>
      </c>
      <c r="G28" s="99">
        <f>G8</f>
        <v>3672.2510999999995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39814.388999999996</v>
      </c>
      <c r="G29" s="99">
        <f>G11</f>
        <v>2388.8633399999994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152.5</v>
      </c>
      <c r="G31" s="99">
        <f>G23</f>
        <v>1410.625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14757.65943999985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22</v>
      </c>
      <c r="D3" s="42" t="s">
        <v>48</v>
      </c>
      <c r="E3" s="43">
        <f>'Daily Meter'!O27</f>
        <v>98.16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'21'!E7</f>
        <v>54540.9</v>
      </c>
      <c r="E7" s="61">
        <f>'Daily Meter'!B27</f>
        <v>54561.8</v>
      </c>
      <c r="F7" s="62">
        <f>E7-D7</f>
        <v>20.900000000001455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5942.706000000413</v>
      </c>
      <c r="G8" s="66">
        <f>F8*0.63</f>
        <v>3743.9047800002604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'21'!E10</f>
        <v>213282</v>
      </c>
      <c r="E10" s="61">
        <f>'Daily Meter'!C27</f>
        <v>213517</v>
      </c>
      <c r="F10" s="62">
        <f>E10-D10</f>
        <v>235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51692.714999999997</v>
      </c>
      <c r="G11" s="74">
        <f>F11*0.06</f>
        <v>3101.5628999999999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'21'!E13</f>
        <v>6921</v>
      </c>
      <c r="E13" s="61">
        <f>'Daily Meter'!H27</f>
        <v>6928.2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'21'!E14</f>
        <v>4178</v>
      </c>
      <c r="E14" s="61">
        <f>'Daily Meter'!I27</f>
        <v>4182.3999999999996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'21'!E15</f>
        <v>4464.7</v>
      </c>
      <c r="E15" s="61">
        <f>'Daily Meter'!J27</f>
        <v>4469.3999999999996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'21'!E16</f>
        <v>2506.5</v>
      </c>
      <c r="E16" s="61">
        <f>'Daily Meter'!K27</f>
        <v>2509.3000000000002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'21'!E17</f>
        <v>5803.9</v>
      </c>
      <c r="E17" s="61">
        <f>'Daily Meter'!L27</f>
        <v>5808.3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'21'!E18</f>
        <v>15605.2</v>
      </c>
      <c r="E18" s="61">
        <f>'Daily Meter'!M27</f>
        <v>15617</v>
      </c>
      <c r="F18" s="62">
        <f t="shared" si="0"/>
        <v>5663.9999999996508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16943.999999999651</v>
      </c>
      <c r="G19" s="66">
        <f>F19*0.43</f>
        <v>7285.91999999985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'21'!E22</f>
        <v>97034.2</v>
      </c>
      <c r="E22" s="61">
        <f>'Daily Meter'!N27</f>
        <v>97192.2</v>
      </c>
      <c r="F22" s="85">
        <f>E22-D22</f>
        <v>158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584.6</v>
      </c>
      <c r="G23" s="89">
        <f>F23*2.5</f>
        <v>1461.5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5942.706000000413</v>
      </c>
      <c r="G28" s="99">
        <f>G8</f>
        <v>3743.9047800002604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51692.714999999997</v>
      </c>
      <c r="G29" s="99">
        <f>G11</f>
        <v>3101.5628999999999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16943.999999999651</v>
      </c>
      <c r="G30" s="99">
        <f>G19</f>
        <v>7285.91999999985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158</v>
      </c>
      <c r="G31" s="99">
        <f>G23</f>
        <v>1461.5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15592.887680000109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23</v>
      </c>
      <c r="D3" s="42" t="s">
        <v>48</v>
      </c>
      <c r="E3" s="43">
        <f>'Daily Meter'!O28</f>
        <v>96.31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'22'!E7</f>
        <v>54561.8</v>
      </c>
      <c r="E7" s="61">
        <f>'Daily Meter'!B28</f>
        <v>54582</v>
      </c>
      <c r="F7" s="62">
        <f>E7-D7</f>
        <v>20.19999999999709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5743.667999999172</v>
      </c>
      <c r="G8" s="66">
        <f>F8*0.63</f>
        <v>3618.5108399994783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'22'!E10</f>
        <v>213517</v>
      </c>
      <c r="E10" s="61">
        <f>'Daily Meter'!C28</f>
        <v>213743</v>
      </c>
      <c r="F10" s="62">
        <f>E10-D10</f>
        <v>226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49712.993999999999</v>
      </c>
      <c r="G11" s="74">
        <f>F11*0.06</f>
        <v>2982.7796399999997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'22'!E13</f>
        <v>6928.2</v>
      </c>
      <c r="E13" s="61">
        <f>'Daily Meter'!H28</f>
        <v>6935.2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'22'!E14</f>
        <v>4182.3999999999996</v>
      </c>
      <c r="E14" s="61">
        <f>'Daily Meter'!I28</f>
        <v>4186.8</v>
      </c>
      <c r="F14" s="62">
        <f t="shared" si="0"/>
        <v>2112.0000000002619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'22'!E15</f>
        <v>4469.3999999999996</v>
      </c>
      <c r="E15" s="61">
        <f>'Daily Meter'!J28</f>
        <v>4474.1000000000004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'22'!E16</f>
        <v>2509.3000000000002</v>
      </c>
      <c r="E16" s="61">
        <f>'Daily Meter'!K28</f>
        <v>2512.1999999999998</v>
      </c>
      <c r="F16" s="62">
        <f t="shared" si="0"/>
        <v>1391.9999999998254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'22'!E17</f>
        <v>5808.3</v>
      </c>
      <c r="E17" s="61">
        <f>'Daily Meter'!L28</f>
        <v>5813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'22'!E18</f>
        <v>15617</v>
      </c>
      <c r="E18" s="61">
        <f>'Daily Meter'!M28</f>
        <v>15628.7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16992.000000000698</v>
      </c>
      <c r="G19" s="66">
        <f>F19*0.43</f>
        <v>7306.5600000003005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'22'!E22</f>
        <v>97192.2</v>
      </c>
      <c r="E22" s="61">
        <f>'Daily Meter'!N28</f>
        <v>97352.5</v>
      </c>
      <c r="F22" s="85">
        <f>E22-D22</f>
        <v>160.30000000000291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593.11000000001081</v>
      </c>
      <c r="G23" s="89">
        <f>F23*2.5</f>
        <v>1482.7750000000269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5743.667999999172</v>
      </c>
      <c r="G28" s="99">
        <f>G8</f>
        <v>3618.5108399994783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49712.993999999999</v>
      </c>
      <c r="G29" s="99">
        <f>G11</f>
        <v>2982.7796399999997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16992.000000000698</v>
      </c>
      <c r="G30" s="99">
        <f>G19</f>
        <v>7306.5600000003005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160.30000000000291</v>
      </c>
      <c r="G31" s="99">
        <f>G23</f>
        <v>1482.7750000000269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15390.625479999806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41" t="str">
        <f>'1'!B3</f>
        <v>February 2024</v>
      </c>
      <c r="C3" s="40">
        <v>24</v>
      </c>
      <c r="D3" s="42" t="s">
        <v>48</v>
      </c>
      <c r="E3" s="43">
        <f>'Daily Meter'!O29</f>
        <v>94.7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'23'!E7</f>
        <v>54582</v>
      </c>
      <c r="E7" s="61">
        <f>'Daily Meter'!B29</f>
        <v>54603.7</v>
      </c>
      <c r="F7" s="62">
        <f>E7-D7</f>
        <v>21.69999999999709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6170.1779999991722</v>
      </c>
      <c r="G8" s="66">
        <f>F8*0.63</f>
        <v>3887.2121399994785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'23'!E10</f>
        <v>213743</v>
      </c>
      <c r="E10" s="61">
        <f>'Daily Meter'!C29</f>
        <v>214027</v>
      </c>
      <c r="F10" s="62">
        <f>E10-D10</f>
        <v>284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62471.195999999996</v>
      </c>
      <c r="G11" s="74">
        <f>F11*0.06</f>
        <v>3748.2717599999996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'23'!E13</f>
        <v>6935.2</v>
      </c>
      <c r="E13" s="61">
        <f>'Daily Meter'!H29</f>
        <v>6942.5</v>
      </c>
      <c r="F13" s="62">
        <f t="shared" ref="F13:F18" si="0">(E13-D13)*480</f>
        <v>3504.0000000000873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'23'!E14</f>
        <v>4186.8</v>
      </c>
      <c r="E14" s="61">
        <f>'Daily Meter'!I29</f>
        <v>4191.2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'23'!E15</f>
        <v>4474.1000000000004</v>
      </c>
      <c r="E15" s="61">
        <f>'Daily Meter'!J29</f>
        <v>4478.8</v>
      </c>
      <c r="F15" s="62">
        <f t="shared" si="0"/>
        <v>2255.9999999999127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'23'!E16</f>
        <v>2512.1999999999998</v>
      </c>
      <c r="E16" s="61">
        <f>'Daily Meter'!K29</f>
        <v>2515.1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'23'!E17</f>
        <v>5813</v>
      </c>
      <c r="E17" s="61">
        <f>'Daily Meter'!L29</f>
        <v>5817.7</v>
      </c>
      <c r="F17" s="62">
        <f t="shared" si="0"/>
        <v>2255.9999999999127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'23'!E18</f>
        <v>15628.7</v>
      </c>
      <c r="E18" s="61">
        <f>'Daily Meter'!M29</f>
        <v>15640.7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17279.999999999782</v>
      </c>
      <c r="G19" s="66">
        <f>F19*0.43</f>
        <v>7430.399999999906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'23'!E22</f>
        <v>97352.5</v>
      </c>
      <c r="E22" s="61">
        <f>'Daily Meter'!N29</f>
        <v>97517.5</v>
      </c>
      <c r="F22" s="85">
        <f>E22-D22</f>
        <v>165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610.5</v>
      </c>
      <c r="G23" s="89">
        <f>F23*2.5</f>
        <v>1526.25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6170.1779999991722</v>
      </c>
      <c r="G28" s="99">
        <f>G8</f>
        <v>3887.2121399994785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62471.195999999996</v>
      </c>
      <c r="G29" s="99">
        <f>G11</f>
        <v>3748.2717599999996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17279.999999999782</v>
      </c>
      <c r="G30" s="99">
        <f>G19</f>
        <v>7430.399999999906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165</v>
      </c>
      <c r="G31" s="99">
        <f>G23</f>
        <v>1526.25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16592.133899999382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25</v>
      </c>
      <c r="D3" s="42" t="s">
        <v>48</v>
      </c>
      <c r="E3" s="43">
        <f>'Daily Meter'!O30</f>
        <v>76.5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'24'!E7</f>
        <v>54603.7</v>
      </c>
      <c r="E7" s="104">
        <f>'Daily Meter'!B30</f>
        <v>54627.9</v>
      </c>
      <c r="F7" s="62">
        <f>E7-D7</f>
        <v>24.200000000004366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6881.0280000012408</v>
      </c>
      <c r="G8" s="66">
        <f>F8*0.63</f>
        <v>4335.0476400007819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'24'!E10</f>
        <v>214027</v>
      </c>
      <c r="E10" s="104">
        <f>'Daily Meter'!C30</f>
        <v>214206</v>
      </c>
      <c r="F10" s="62">
        <f>E10-D10</f>
        <v>179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39374.451000000001</v>
      </c>
      <c r="G11" s="74">
        <f>F11*0.06</f>
        <v>2362.4670599999999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'24'!E13</f>
        <v>6942.5</v>
      </c>
      <c r="E13" s="104">
        <f>'Daily Meter'!H30</f>
        <v>6949.7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'24'!E14</f>
        <v>4191.2</v>
      </c>
      <c r="E14" s="104">
        <f>'Daily Meter'!I30</f>
        <v>4195.5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'24'!E15</f>
        <v>4478.8</v>
      </c>
      <c r="E15" s="104">
        <f>'Daily Meter'!J30</f>
        <v>4483.3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'24'!E16</f>
        <v>2515.1</v>
      </c>
      <c r="E16" s="104">
        <f>'Daily Meter'!K30</f>
        <v>2518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'24'!E17</f>
        <v>5817.7</v>
      </c>
      <c r="E17" s="104">
        <f>'Daily Meter'!L30</f>
        <v>5822.3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'24'!E18</f>
        <v>15640.7</v>
      </c>
      <c r="E18" s="104">
        <f>'Daily Meter'!M30</f>
        <v>15652.4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16895.999999999694</v>
      </c>
      <c r="G19" s="66">
        <f>F19*0.43</f>
        <v>7265.2799999998688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'24'!E22</f>
        <v>97517.5</v>
      </c>
      <c r="E22" s="104">
        <f>'Daily Meter'!N30</f>
        <v>97679.4</v>
      </c>
      <c r="F22" s="85">
        <f>E22-D22</f>
        <v>161.89999999999418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599.02999999997849</v>
      </c>
      <c r="G23" s="89">
        <f>F23*2.5</f>
        <v>1497.5749999999462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30" t="s">
        <v>75</v>
      </c>
      <c r="E26" s="330"/>
      <c r="F26" s="330"/>
      <c r="G26" s="330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>
        <f>F8</f>
        <v>6881.0280000012408</v>
      </c>
      <c r="G28" s="99">
        <f>G8</f>
        <v>4335.0476400007819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>
        <f>F11</f>
        <v>39374.451000000001</v>
      </c>
      <c r="G29" s="99">
        <f>G11</f>
        <v>2362.4670599999999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>
        <f>F19</f>
        <v>16895.999999999694</v>
      </c>
      <c r="G30" s="99">
        <f>G19</f>
        <v>7265.2799999998688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>
        <f>F22</f>
        <v>161.89999999999418</v>
      </c>
      <c r="G31" s="99">
        <f>G23</f>
        <v>1497.5749999999462</v>
      </c>
      <c r="H31" s="91"/>
    </row>
    <row r="32" spans="1:11">
      <c r="D32" s="91"/>
      <c r="E32" s="91"/>
      <c r="F32" s="100" t="s">
        <v>86</v>
      </c>
      <c r="G32" s="101">
        <f>SUM(G28:G31)</f>
        <v>15460.369700000596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26</v>
      </c>
      <c r="D3" s="42" t="s">
        <v>48</v>
      </c>
      <c r="E3" s="43">
        <f>'Daily Meter'!O31</f>
        <v>76.5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'25'!E7:E7</f>
        <v>54627.9</v>
      </c>
      <c r="E7" s="61">
        <f>'Daily Meter'!B31</f>
        <v>54652.1</v>
      </c>
      <c r="F7" s="106">
        <f>E7-D7</f>
        <v>24.19999999999709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6881.0279999991717</v>
      </c>
      <c r="G8" s="66">
        <f>F8*0.63</f>
        <v>4335.0476399994786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'25'!E10</f>
        <v>214206</v>
      </c>
      <c r="E10" s="61">
        <f>'Daily Meter'!C31</f>
        <v>214473</v>
      </c>
      <c r="F10" s="62">
        <f>E10-D10</f>
        <v>267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58731.722999999998</v>
      </c>
      <c r="G11" s="74">
        <f>F11*0.06</f>
        <v>3523.9033799999997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'25'!E13</f>
        <v>6949.7</v>
      </c>
      <c r="E13" s="61">
        <f>'Daily Meter'!H31</f>
        <v>6956.8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'25'!E14</f>
        <v>4195.5</v>
      </c>
      <c r="E14" s="61">
        <f>'Daily Meter'!I31</f>
        <v>4199.8999999999996</v>
      </c>
      <c r="F14" s="62">
        <f t="shared" si="0"/>
        <v>2111.9999999998254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'25'!E15</f>
        <v>4483.3</v>
      </c>
      <c r="E15" s="61">
        <f>'Daily Meter'!J31</f>
        <v>4487.3999999999996</v>
      </c>
      <c r="F15" s="62">
        <f t="shared" si="0"/>
        <v>1967.9999999997381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'25'!E16</f>
        <v>2518</v>
      </c>
      <c r="E16" s="61">
        <f>'Daily Meter'!K31</f>
        <v>2520.6999999999998</v>
      </c>
      <c r="F16" s="62">
        <f t="shared" si="0"/>
        <v>1295.9999999999127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'25'!E17</f>
        <v>5822.3</v>
      </c>
      <c r="E17" s="61">
        <f>'Daily Meter'!L31</f>
        <v>5826.9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'25'!E18</f>
        <v>15652.4</v>
      </c>
      <c r="E18" s="61">
        <f>'Daily Meter'!M31</f>
        <v>15664.2</v>
      </c>
      <c r="F18" s="62">
        <f t="shared" si="0"/>
        <v>5664.0000000005239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16655.999999999913</v>
      </c>
      <c r="G19" s="66">
        <f>F19*0.43</f>
        <v>7162.0799999999626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'25'!E22</f>
        <v>97679.4</v>
      </c>
      <c r="E22" s="61">
        <f>'Daily Meter'!N31</f>
        <v>97803.199999999997</v>
      </c>
      <c r="F22" s="85">
        <f>E22-D22</f>
        <v>123.80000000000291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458.0600000000108</v>
      </c>
      <c r="G23" s="89">
        <f>F23*2.5</f>
        <v>1145.1500000000269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6881.0279999991717</v>
      </c>
      <c r="G28" s="99">
        <f>G8</f>
        <v>4335.0476399994786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58731.722999999998</v>
      </c>
      <c r="G29" s="99">
        <f>G11</f>
        <v>3523.9033799999997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16655.999999999913</v>
      </c>
      <c r="G30" s="99">
        <f>G19</f>
        <v>7162.0799999999626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123.80000000000291</v>
      </c>
      <c r="G31" s="99">
        <f>G23</f>
        <v>1145.1500000000269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16166.181019999469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27</v>
      </c>
      <c r="D3" s="42" t="s">
        <v>48</v>
      </c>
      <c r="E3" s="43">
        <f>'Daily Meter'!O32</f>
        <v>89.17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'26'!E7</f>
        <v>54652.1</v>
      </c>
      <c r="E7" s="61">
        <f>'Daily Meter'!B32</f>
        <v>54652.1</v>
      </c>
      <c r="F7" s="62">
        <f>E7-D7</f>
        <v>0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'26'!E10</f>
        <v>214473</v>
      </c>
      <c r="E10" s="61">
        <f>'Daily Meter'!C32</f>
        <v>214473</v>
      </c>
      <c r="F10" s="62">
        <f>E10-D10</f>
        <v>0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'26'!E13</f>
        <v>6956.8</v>
      </c>
      <c r="E13" s="61">
        <f>'Daily Meter'!H32</f>
        <v>6956.8</v>
      </c>
      <c r="F13" s="62">
        <f t="shared" ref="F13:F18" si="0">(E13-D13)*480</f>
        <v>0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'26'!E14</f>
        <v>4199.8999999999996</v>
      </c>
      <c r="E14" s="61">
        <f>'Daily Meter'!I32</f>
        <v>4199.8999999999996</v>
      </c>
      <c r="F14" s="62">
        <f t="shared" si="0"/>
        <v>0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'26'!E15</f>
        <v>4487.3999999999996</v>
      </c>
      <c r="E15" s="61">
        <f>'Daily Meter'!J32</f>
        <v>4487.3999999999996</v>
      </c>
      <c r="F15" s="62">
        <f t="shared" si="0"/>
        <v>0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'26'!E16</f>
        <v>2520.6999999999998</v>
      </c>
      <c r="E16" s="61">
        <f>'Daily Meter'!K32</f>
        <v>2520.6999999999998</v>
      </c>
      <c r="F16" s="62">
        <f t="shared" si="0"/>
        <v>0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'26'!E17</f>
        <v>5826.9</v>
      </c>
      <c r="E17" s="61">
        <f>'Daily Meter'!L32</f>
        <v>5826.9</v>
      </c>
      <c r="F17" s="62">
        <f t="shared" si="0"/>
        <v>0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'26'!E18</f>
        <v>15664.2</v>
      </c>
      <c r="E18" s="61">
        <f>'Daily Meter'!M32</f>
        <v>15664.2</v>
      </c>
      <c r="F18" s="62">
        <f t="shared" si="0"/>
        <v>0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'26'!E22</f>
        <v>97803.199999999997</v>
      </c>
      <c r="E22" s="61">
        <f>'Daily Meter'!N32</f>
        <v>97803.199999999997</v>
      </c>
      <c r="F22" s="85">
        <f>E22-D22</f>
        <v>0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28</v>
      </c>
      <c r="D3" s="42" t="s">
        <v>48</v>
      </c>
      <c r="E3" s="43">
        <f>'Daily Meter'!O33</f>
        <v>97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'27'!E7</f>
        <v>54652.1</v>
      </c>
      <c r="E7" s="61">
        <f>'Daily Meter'!B33</f>
        <v>54674.5</v>
      </c>
      <c r="F7" s="62">
        <f>E7-D7</f>
        <v>22.400000000001455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6369.2160000004133</v>
      </c>
      <c r="G8" s="66">
        <f>F8*0.63</f>
        <v>4012.6060800002606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'27'!E10</f>
        <v>214473</v>
      </c>
      <c r="E10" s="61">
        <f>'Daily Meter'!C33</f>
        <v>214655</v>
      </c>
      <c r="F10" s="62">
        <f>E10-D10</f>
        <v>182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40034.358</v>
      </c>
      <c r="G11" s="74">
        <f>F11*0.06</f>
        <v>2402.0614799999998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'27'!E13</f>
        <v>6956.8</v>
      </c>
      <c r="E13" s="61">
        <f>'Daily Meter'!H33</f>
        <v>6963.7</v>
      </c>
      <c r="F13" s="62">
        <f t="shared" ref="F13:F18" si="0">(E13-D13)*480</f>
        <v>3311.9999999998254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'27'!E14</f>
        <v>4199.8999999999996</v>
      </c>
      <c r="E14" s="61">
        <f>'Daily Meter'!I33</f>
        <v>4204.6000000000004</v>
      </c>
      <c r="F14" s="62">
        <f t="shared" si="0"/>
        <v>2256.0000000003492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'27'!E15</f>
        <v>4487.3999999999996</v>
      </c>
      <c r="E15" s="61">
        <f>'Daily Meter'!J33</f>
        <v>4492.3</v>
      </c>
      <c r="F15" s="62">
        <f t="shared" si="0"/>
        <v>2352.0000000002619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'27'!E16</f>
        <v>2520.6999999999998</v>
      </c>
      <c r="E16" s="61">
        <f>'Daily Meter'!K33</f>
        <v>2523.5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'27'!E17</f>
        <v>5826.9</v>
      </c>
      <c r="E17" s="61">
        <f>'Daily Meter'!L33</f>
        <v>5831.5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'27'!E18</f>
        <v>15664.2</v>
      </c>
      <c r="E18" s="61">
        <f>'Daily Meter'!M33</f>
        <v>15675.8</v>
      </c>
      <c r="F18" s="62">
        <f t="shared" si="0"/>
        <v>5567.9999999993015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17040</v>
      </c>
      <c r="G19" s="66">
        <f>F19*0.43</f>
        <v>7327.2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'27'!E22</f>
        <v>97803.199999999997</v>
      </c>
      <c r="E22" s="61">
        <f>'Daily Meter'!N33</f>
        <v>97958.2</v>
      </c>
      <c r="F22" s="85">
        <f>E22-D22</f>
        <v>155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573.5</v>
      </c>
      <c r="G23" s="89">
        <f>F23*2.5</f>
        <v>1433.75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6369.2160000004133</v>
      </c>
      <c r="G28" s="99">
        <f>G8</f>
        <v>4012.6060800002606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40034.358</v>
      </c>
      <c r="G29" s="99">
        <f>G11</f>
        <v>2402.0614799999998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</v>
      </c>
      <c r="G30" s="99">
        <f>G19</f>
        <v>7327.2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155</v>
      </c>
      <c r="G31" s="99">
        <f>G23</f>
        <v>1433.75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15175.617560000261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29</v>
      </c>
      <c r="D3" s="42" t="s">
        <v>48</v>
      </c>
      <c r="E3" s="43">
        <f>'Daily Meter'!O34</f>
        <v>94.24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'28'!E7</f>
        <v>54674.5</v>
      </c>
      <c r="E7" s="61">
        <f>'Daily Meter'!B34</f>
        <v>54695.4</v>
      </c>
      <c r="F7" s="62">
        <f>E7-D7</f>
        <v>20.900000000001455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5942.706000000413</v>
      </c>
      <c r="G8" s="66">
        <f>F8*0.63</f>
        <v>3743.9047800002604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'28'!E10</f>
        <v>214655</v>
      </c>
      <c r="E10" s="61">
        <f>'Daily Meter'!C34</f>
        <v>214896</v>
      </c>
      <c r="F10" s="62">
        <f>E10-D10</f>
        <v>241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53012.528999999995</v>
      </c>
      <c r="G11" s="74">
        <f>F11*0.06</f>
        <v>3180.7517399999997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'28'!E13</f>
        <v>6963.7</v>
      </c>
      <c r="E13" s="61">
        <f>'Daily Meter'!H34</f>
        <v>6970.8</v>
      </c>
      <c r="F13" s="62">
        <f t="shared" ref="F13:F18" si="0">(E13-D13)*480</f>
        <v>3408.0000000001746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'28'!E14</f>
        <v>4204.6000000000004</v>
      </c>
      <c r="E14" s="61">
        <f>'Daily Meter'!I34</f>
        <v>4209.3999999999996</v>
      </c>
      <c r="F14" s="62">
        <f t="shared" si="0"/>
        <v>2303.9999999996508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'28'!E15</f>
        <v>4492.3</v>
      </c>
      <c r="E15" s="61">
        <f>'Daily Meter'!J34</f>
        <v>4497.1000000000004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'28'!E16</f>
        <v>2523.5</v>
      </c>
      <c r="E16" s="61">
        <f>'Daily Meter'!K34</f>
        <v>2526.3000000000002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'28'!E17</f>
        <v>5831.5</v>
      </c>
      <c r="E17" s="61">
        <f>'Daily Meter'!L34</f>
        <v>5836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'28'!E18</f>
        <v>15675.8</v>
      </c>
      <c r="E18" s="61">
        <f>'Daily Meter'!M34</f>
        <v>15687.4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17088.000000000175</v>
      </c>
      <c r="G19" s="66">
        <f>F19*0.43</f>
        <v>7347.8400000000747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'28'!E22</f>
        <v>97958.2</v>
      </c>
      <c r="E22" s="61">
        <f>'Daily Meter'!N34</f>
        <v>98116.6</v>
      </c>
      <c r="F22" s="85">
        <f>E22-D22</f>
        <v>158.40000000000873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586.08000000003233</v>
      </c>
      <c r="G23" s="89">
        <f>F23*2.5</f>
        <v>1465.2000000000808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5942.706000000413</v>
      </c>
      <c r="G28" s="99">
        <f>G8</f>
        <v>3743.9047800002604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53012.528999999995</v>
      </c>
      <c r="G29" s="99">
        <f>G11</f>
        <v>3180.7517399999997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17088.000000000175</v>
      </c>
      <c r="G30" s="99">
        <f>G19</f>
        <v>7347.8400000000747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158.40000000000873</v>
      </c>
      <c r="G31" s="99">
        <f>G23</f>
        <v>1465.2000000000808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15737.696520000416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30</v>
      </c>
      <c r="D3" s="42" t="s">
        <v>48</v>
      </c>
      <c r="E3" s="43">
        <f>'Daily Meter'!O35</f>
        <v>96.31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'29'!E7</f>
        <v>54695.4</v>
      </c>
      <c r="E7" s="61">
        <f>'Daily Meter'!B35</f>
        <v>54717.5</v>
      </c>
      <c r="F7" s="62">
        <f>E7-D7</f>
        <v>22.099999999998545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6283.9139999995859</v>
      </c>
      <c r="G8" s="66">
        <f>F8*0.63</f>
        <v>3958.865819999739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'29'!E10</f>
        <v>214896</v>
      </c>
      <c r="E10" s="61">
        <f>'Daily Meter'!C35</f>
        <v>215091</v>
      </c>
      <c r="F10" s="62">
        <f>E10-D10</f>
        <v>195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42893.955000000002</v>
      </c>
      <c r="G11" s="74">
        <f>F11*0.06</f>
        <v>2573.6372999999999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'29'!E13</f>
        <v>6970.8</v>
      </c>
      <c r="E13" s="61">
        <f>'Daily Meter'!H35</f>
        <v>6977.9</v>
      </c>
      <c r="F13" s="62">
        <f t="shared" ref="F13:F18" si="0">(E13-D13)*480</f>
        <v>3407.9999999997381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'29'!E14</f>
        <v>4209.3999999999996</v>
      </c>
      <c r="E14" s="61">
        <f>'Daily Meter'!I35</f>
        <v>4214.3999999999996</v>
      </c>
      <c r="F14" s="62">
        <f t="shared" si="0"/>
        <v>2400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'29'!E15</f>
        <v>4497.1000000000004</v>
      </c>
      <c r="E15" s="61">
        <f>'Daily Meter'!J35</f>
        <v>4501.6000000000004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'29'!E16</f>
        <v>2526.3000000000002</v>
      </c>
      <c r="E16" s="61">
        <f>'Daily Meter'!K35</f>
        <v>2529.1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'29'!E17</f>
        <v>5836</v>
      </c>
      <c r="E17" s="61">
        <f>'Daily Meter'!L35</f>
        <v>5840.6</v>
      </c>
      <c r="F17" s="62">
        <f t="shared" si="0"/>
        <v>2208.0000000001746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'29'!E18</f>
        <v>15687.4</v>
      </c>
      <c r="E18" s="61">
        <f>'Daily Meter'!M35</f>
        <v>15699</v>
      </c>
      <c r="F18" s="62">
        <f t="shared" si="0"/>
        <v>5568.0000000001746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17087.999999999956</v>
      </c>
      <c r="G19" s="66">
        <f>F19*0.43</f>
        <v>7347.839999999981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'29'!E22</f>
        <v>98116.6</v>
      </c>
      <c r="E22" s="61">
        <f>'Daily Meter'!N35</f>
        <v>98271.7</v>
      </c>
      <c r="F22" s="85">
        <f>E22-D22</f>
        <v>155.09999999999127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573.86999999996772</v>
      </c>
      <c r="G23" s="89">
        <f>F23*2.5</f>
        <v>1434.6749999999192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6283.9139999995859</v>
      </c>
      <c r="G28" s="99">
        <f>G8</f>
        <v>3958.865819999739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42893.955000000002</v>
      </c>
      <c r="G29" s="99">
        <f>G11</f>
        <v>2573.6372999999999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17087.999999999956</v>
      </c>
      <c r="G30" s="99">
        <f>G19</f>
        <v>7347.839999999981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155.09999999999127</v>
      </c>
      <c r="G31" s="99">
        <f>G23</f>
        <v>1434.6749999999192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15315.01811999964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28" t="s">
        <v>45</v>
      </c>
      <c r="B1" s="328"/>
      <c r="C1" s="328"/>
      <c r="D1" s="328"/>
      <c r="E1" s="328"/>
      <c r="F1" s="328"/>
      <c r="G1" s="328"/>
      <c r="H1" s="16" t="s">
        <v>46</v>
      </c>
    </row>
    <row r="2" spans="1:8" ht="18">
      <c r="A2" s="329" t="s">
        <v>47</v>
      </c>
      <c r="B2" s="329"/>
      <c r="C2" s="329"/>
      <c r="D2" s="329"/>
      <c r="E2" s="329"/>
      <c r="F2" s="329"/>
      <c r="G2" s="329"/>
    </row>
    <row r="3" spans="1:8" s="44" customFormat="1" ht="18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82.999655172413796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31"/>
      <c r="E5" s="331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f>'30'!E7</f>
        <v>54717.5</v>
      </c>
      <c r="E7" s="61">
        <f>'Daily Meter'!B36</f>
        <v>0</v>
      </c>
      <c r="F7" s="62">
        <f>E7-D7</f>
        <v>-54717.5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-15558373.949999999</v>
      </c>
      <c r="G8" s="66">
        <f>F8*0.63</f>
        <v>-9801775.5884999987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f>'30'!E10</f>
        <v>215091</v>
      </c>
      <c r="E10" s="61">
        <f>'Daily Meter'!C36</f>
        <v>0</v>
      </c>
      <c r="F10" s="62">
        <f>E10-D10</f>
        <v>-215091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-47313352.178999998</v>
      </c>
      <c r="G11" s="74">
        <f>F11*0.06</f>
        <v>-2838801.1307399999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>
        <f>'30'!E13</f>
        <v>6977.9</v>
      </c>
      <c r="E13" s="61">
        <f>'Daily Meter'!H36</f>
        <v>0</v>
      </c>
      <c r="F13" s="62">
        <f t="shared" ref="F13:F18" si="0">(E13-D13)*480</f>
        <v>-3349392</v>
      </c>
      <c r="G13" s="62"/>
    </row>
    <row r="14" spans="1:8">
      <c r="A14" s="55">
        <v>2</v>
      </c>
      <c r="B14" s="57" t="s">
        <v>14</v>
      </c>
      <c r="C14" s="55" t="s">
        <v>67</v>
      </c>
      <c r="D14" s="61">
        <f>'30'!E14</f>
        <v>4214.3999999999996</v>
      </c>
      <c r="E14" s="61">
        <f>'Daily Meter'!I36</f>
        <v>0</v>
      </c>
      <c r="F14" s="62">
        <f t="shared" si="0"/>
        <v>-2022911.9999999998</v>
      </c>
      <c r="G14" s="62"/>
    </row>
    <row r="15" spans="1:8">
      <c r="A15" s="55">
        <v>3</v>
      </c>
      <c r="B15" s="57" t="s">
        <v>15</v>
      </c>
      <c r="C15" s="55" t="s">
        <v>67</v>
      </c>
      <c r="D15" s="61">
        <f>'30'!E15</f>
        <v>4501.6000000000004</v>
      </c>
      <c r="E15" s="61">
        <f>'Daily Meter'!J36</f>
        <v>0</v>
      </c>
      <c r="F15" s="62">
        <f t="shared" si="0"/>
        <v>-2160768</v>
      </c>
      <c r="G15" s="62"/>
    </row>
    <row r="16" spans="1:8">
      <c r="A16" s="55">
        <v>4</v>
      </c>
      <c r="B16" s="57" t="s">
        <v>16</v>
      </c>
      <c r="C16" s="55" t="s">
        <v>67</v>
      </c>
      <c r="D16" s="61">
        <f>'30'!E16</f>
        <v>2529.1</v>
      </c>
      <c r="E16" s="61">
        <f>'Daily Meter'!K36</f>
        <v>0</v>
      </c>
      <c r="F16" s="62">
        <f t="shared" si="0"/>
        <v>-1213968</v>
      </c>
      <c r="G16" s="62"/>
    </row>
    <row r="17" spans="1:11">
      <c r="A17" s="55">
        <v>5</v>
      </c>
      <c r="B17" s="57" t="s">
        <v>17</v>
      </c>
      <c r="C17" s="55" t="s">
        <v>67</v>
      </c>
      <c r="D17" s="61">
        <f>'30'!E17</f>
        <v>5840.6</v>
      </c>
      <c r="E17" s="61">
        <f>'Daily Meter'!L36</f>
        <v>0</v>
      </c>
      <c r="F17" s="62">
        <f t="shared" si="0"/>
        <v>-2803488</v>
      </c>
      <c r="G17" s="62"/>
    </row>
    <row r="18" spans="1:11">
      <c r="A18" s="55">
        <v>6</v>
      </c>
      <c r="B18" s="57" t="s">
        <v>18</v>
      </c>
      <c r="C18" s="55" t="s">
        <v>67</v>
      </c>
      <c r="D18" s="61">
        <f>'30'!E18</f>
        <v>15699</v>
      </c>
      <c r="E18" s="61">
        <f>'Daily Meter'!M36</f>
        <v>0</v>
      </c>
      <c r="F18" s="62">
        <f t="shared" si="0"/>
        <v>-7535520</v>
      </c>
      <c r="G18" s="62"/>
    </row>
    <row r="19" spans="1:11">
      <c r="A19" s="55"/>
      <c r="B19" s="76" t="s">
        <v>68</v>
      </c>
      <c r="C19" s="55"/>
      <c r="D19" s="61"/>
      <c r="E19" s="61"/>
      <c r="F19" s="77">
        <f>SUM(F13:F18)</f>
        <v>-19086048</v>
      </c>
      <c r="G19" s="66">
        <f>F19*0.43</f>
        <v>-8207000.6399999997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>
        <f>'30'!E22</f>
        <v>98271.7</v>
      </c>
      <c r="E22" s="61">
        <f>'Daily Meter'!N36</f>
        <v>0</v>
      </c>
      <c r="F22" s="85">
        <f>E22-D22</f>
        <v>-98271.7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-363605.29</v>
      </c>
      <c r="G23" s="89">
        <f>F23*2.5</f>
        <v>-909013.22499999998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30" t="s">
        <v>75</v>
      </c>
      <c r="E26" s="330"/>
      <c r="F26" s="330"/>
      <c r="G26" s="330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-15558373.949999999</v>
      </c>
      <c r="G28" s="99">
        <f>G8</f>
        <v>-9801775.5884999987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-47313352.178999998</v>
      </c>
      <c r="G29" s="99">
        <f>G11</f>
        <v>-2838801.1307399999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-19086048</v>
      </c>
      <c r="G30" s="99">
        <f>G19</f>
        <v>-8207000.6399999997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-98271.7</v>
      </c>
      <c r="G31" s="99">
        <f>G23</f>
        <v>-909013.22499999998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-21756590.584240001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>
      <c r="A1" s="332" t="s">
        <v>45</v>
      </c>
      <c r="B1" s="332"/>
      <c r="C1" s="332"/>
      <c r="D1" s="332"/>
      <c r="E1" s="332"/>
      <c r="F1" s="332"/>
      <c r="G1" s="332"/>
      <c r="H1" s="108"/>
      <c r="P1" s="16" t="s">
        <v>22</v>
      </c>
    </row>
    <row r="2" spans="1:16" ht="12" customHeight="1">
      <c r="A2" s="332"/>
      <c r="B2" s="332"/>
      <c r="C2" s="332"/>
      <c r="D2" s="332"/>
      <c r="E2" s="332"/>
      <c r="F2" s="332"/>
      <c r="G2" s="332"/>
      <c r="H2" s="108"/>
    </row>
    <row r="3" spans="1:16" ht="18">
      <c r="A3" s="333" t="s">
        <v>47</v>
      </c>
      <c r="B3" s="333"/>
      <c r="C3" s="333"/>
      <c r="D3" s="333"/>
      <c r="E3" s="333"/>
      <c r="F3" s="333"/>
      <c r="G3" s="333"/>
      <c r="H3" s="108"/>
      <c r="P3" s="16" t="s">
        <v>46</v>
      </c>
    </row>
    <row r="4" spans="1:16" ht="18">
      <c r="A4" s="334" t="s">
        <v>87</v>
      </c>
      <c r="B4" s="334"/>
      <c r="C4" s="334"/>
      <c r="D4" s="109" t="s">
        <v>88</v>
      </c>
      <c r="E4" s="110"/>
      <c r="F4" s="111" t="s">
        <v>89</v>
      </c>
      <c r="G4" s="335"/>
      <c r="H4" s="335"/>
    </row>
    <row r="5" spans="1:16" ht="27.75" customHeight="1">
      <c r="A5" s="336" t="s">
        <v>49</v>
      </c>
      <c r="B5" s="337" t="s">
        <v>50</v>
      </c>
      <c r="C5" s="113"/>
      <c r="D5" s="115" t="s">
        <v>90</v>
      </c>
      <c r="E5" s="115" t="s">
        <v>91</v>
      </c>
      <c r="F5" s="338" t="s">
        <v>92</v>
      </c>
      <c r="G5" s="338" t="s">
        <v>93</v>
      </c>
      <c r="H5" s="338" t="s">
        <v>94</v>
      </c>
    </row>
    <row r="6" spans="1:16" ht="24" customHeight="1">
      <c r="A6" s="336"/>
      <c r="B6" s="337"/>
      <c r="C6" s="116"/>
      <c r="D6" s="117" t="s">
        <v>95</v>
      </c>
      <c r="E6" s="117" t="s">
        <v>96</v>
      </c>
      <c r="F6" s="338"/>
      <c r="G6" s="338"/>
      <c r="H6" s="338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39"/>
      <c r="D10" s="339"/>
      <c r="E10" s="339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39"/>
      <c r="D11" s="339"/>
      <c r="E11" s="339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40"/>
      <c r="D12" s="340"/>
      <c r="E12" s="340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40"/>
      <c r="D13" s="340"/>
      <c r="E13" s="340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41"/>
      <c r="C14" s="341"/>
      <c r="D14" s="341"/>
      <c r="E14" s="341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42"/>
      <c r="D15" s="342"/>
      <c r="E15" s="342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43" t="s">
        <v>103</v>
      </c>
      <c r="H16" s="343"/>
    </row>
    <row r="17" spans="1:8" ht="28.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39"/>
      <c r="D18" s="339"/>
      <c r="E18" s="339"/>
      <c r="F18" s="142">
        <v>350</v>
      </c>
      <c r="G18" s="143"/>
      <c r="H18" s="137"/>
    </row>
    <row r="19" spans="1:8">
      <c r="A19" s="68"/>
      <c r="B19" s="126" t="s">
        <v>106</v>
      </c>
      <c r="C19" s="339"/>
      <c r="D19" s="339"/>
      <c r="E19" s="339"/>
      <c r="F19" s="142">
        <v>400</v>
      </c>
      <c r="G19" s="143"/>
      <c r="H19" s="137"/>
    </row>
    <row r="20" spans="1:8">
      <c r="A20" s="68"/>
      <c r="B20" s="126" t="s">
        <v>107</v>
      </c>
      <c r="C20" s="339"/>
      <c r="D20" s="339"/>
      <c r="E20" s="339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39"/>
      <c r="D21" s="339"/>
      <c r="E21" s="339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39"/>
      <c r="D22" s="339"/>
      <c r="E22" s="339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44"/>
      <c r="D23" s="344"/>
      <c r="E23" s="344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42"/>
      <c r="D24" s="342"/>
      <c r="E24" s="342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42"/>
      <c r="D31" s="342"/>
      <c r="E31" s="342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39"/>
      <c r="D32" s="339"/>
      <c r="E32" s="339"/>
      <c r="F32" s="128">
        <v>460</v>
      </c>
      <c r="G32" s="153"/>
      <c r="H32" s="137"/>
    </row>
    <row r="33" spans="1:8">
      <c r="A33" s="56"/>
      <c r="B33" s="126" t="s">
        <v>112</v>
      </c>
      <c r="C33" s="339"/>
      <c r="D33" s="339"/>
      <c r="E33" s="339"/>
      <c r="F33" s="128">
        <v>560</v>
      </c>
      <c r="G33" s="153"/>
      <c r="H33" s="137"/>
    </row>
    <row r="34" spans="1:8">
      <c r="A34" s="56"/>
      <c r="B34" s="126" t="s">
        <v>113</v>
      </c>
      <c r="C34" s="339"/>
      <c r="D34" s="339"/>
      <c r="E34" s="339"/>
      <c r="F34" s="128">
        <v>640</v>
      </c>
      <c r="G34" s="153"/>
      <c r="H34" s="137"/>
    </row>
    <row r="35" spans="1:8">
      <c r="A35" s="56"/>
      <c r="B35" s="126" t="s">
        <v>114</v>
      </c>
      <c r="C35" s="339"/>
      <c r="D35" s="339"/>
      <c r="E35" s="339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39"/>
      <c r="D36" s="339"/>
      <c r="E36" s="339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45"/>
      <c r="D37" s="345"/>
      <c r="E37" s="345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46"/>
      <c r="D39" s="346"/>
      <c r="E39" s="346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45"/>
      <c r="D42" s="345"/>
      <c r="E42" s="345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47" t="s">
        <v>75</v>
      </c>
      <c r="C44" s="347"/>
      <c r="D44" s="347"/>
      <c r="E44" s="347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>
      <c r="A1" s="349" t="s">
        <v>45</v>
      </c>
      <c r="B1" s="349"/>
      <c r="C1" s="349"/>
      <c r="D1" s="349"/>
      <c r="E1" s="349"/>
      <c r="F1" s="349"/>
      <c r="G1" s="349"/>
    </row>
    <row r="2" spans="1:14" ht="10.5" customHeight="1">
      <c r="A2" s="349"/>
      <c r="B2" s="349"/>
      <c r="C2" s="349"/>
      <c r="D2" s="349"/>
      <c r="E2" s="349"/>
      <c r="F2" s="349"/>
      <c r="G2" s="349"/>
    </row>
    <row r="3" spans="1:14" ht="21.75" customHeight="1">
      <c r="A3" s="350" t="s">
        <v>47</v>
      </c>
      <c r="B3" s="350"/>
      <c r="C3" s="350"/>
      <c r="D3" s="350"/>
      <c r="E3" s="350"/>
      <c r="F3" s="350"/>
      <c r="G3" s="350"/>
    </row>
    <row r="4" spans="1:14" ht="36">
      <c r="A4" s="351" t="s">
        <v>123</v>
      </c>
      <c r="B4" s="351"/>
      <c r="C4" s="168" t="s">
        <v>124</v>
      </c>
      <c r="D4" s="112"/>
      <c r="E4" s="169" t="s">
        <v>88</v>
      </c>
      <c r="F4" s="352"/>
      <c r="G4" s="352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53" t="s">
        <v>125</v>
      </c>
      <c r="G5" s="354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53"/>
      <c r="G6" s="354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48" t="s">
        <v>75</v>
      </c>
      <c r="C44" s="348"/>
      <c r="D44" s="348"/>
      <c r="E44" s="348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55"/>
      <c r="B4" s="355"/>
      <c r="C4" s="355"/>
      <c r="D4" s="355"/>
      <c r="E4" s="355"/>
      <c r="F4" s="355"/>
      <c r="G4" s="355"/>
      <c r="H4" s="35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ht="54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55"/>
      <c r="B15" s="355"/>
      <c r="C15" s="355"/>
      <c r="D15" s="355"/>
      <c r="E15" s="355"/>
      <c r="F15" s="355"/>
      <c r="G15" s="355"/>
      <c r="H15" s="35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4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55"/>
      <c r="B18" s="355"/>
      <c r="C18" s="355"/>
      <c r="D18" s="355"/>
      <c r="E18" s="355"/>
      <c r="F18" s="355"/>
      <c r="G18" s="355"/>
      <c r="H18" s="35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4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36" customWidth="1"/>
    <col min="2" max="16384" width="35.710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57"/>
      <c r="G1" s="357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58" t="s">
        <v>158</v>
      </c>
      <c r="G2" s="358"/>
      <c r="H2" s="266"/>
    </row>
    <row r="3" spans="1:12" ht="69.75" customHeight="1">
      <c r="A3" s="265"/>
      <c r="B3" s="249"/>
      <c r="C3" s="244"/>
      <c r="E3" s="267" t="s">
        <v>159</v>
      </c>
      <c r="F3" s="359">
        <v>1292977.78</v>
      </c>
      <c r="G3" s="359"/>
      <c r="H3" s="268"/>
    </row>
    <row r="4" spans="1:12" ht="69.75" customHeight="1">
      <c r="A4" s="265"/>
      <c r="B4" s="269"/>
      <c r="C4" s="244"/>
      <c r="E4" s="270" t="s">
        <v>160</v>
      </c>
      <c r="F4" s="356">
        <v>553296</v>
      </c>
      <c r="G4" s="356"/>
      <c r="H4" s="268"/>
    </row>
    <row r="5" spans="1:12" ht="69.75" customHeight="1">
      <c r="A5" s="265"/>
      <c r="B5" s="271"/>
      <c r="C5" s="244"/>
      <c r="E5" s="270" t="s">
        <v>161</v>
      </c>
      <c r="F5" s="356">
        <v>528379</v>
      </c>
      <c r="G5" s="356"/>
      <c r="H5" s="268"/>
    </row>
    <row r="6" spans="1:12" ht="69.75" customHeight="1">
      <c r="A6" s="265"/>
      <c r="B6" s="271"/>
      <c r="C6" s="244"/>
      <c r="E6" s="270" t="s">
        <v>162</v>
      </c>
      <c r="F6" s="356">
        <v>13436.55</v>
      </c>
      <c r="G6" s="356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ab6f10ed-c627-4ef3-be43-403188ac1815"/>
    <ds:schemaRef ds:uri="401fae36-edd3-4788-a18a-50cdc6e67760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2024-03-07T11:58:11Z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