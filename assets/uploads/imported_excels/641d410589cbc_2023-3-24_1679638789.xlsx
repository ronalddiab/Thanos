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2022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3" i="117" l="1"/>
  <c r="K33" i="117"/>
  <c r="I33" i="117"/>
  <c r="G33" i="117"/>
  <c r="E33" i="117"/>
  <c r="K32" i="117" l="1"/>
  <c r="K31" i="117"/>
  <c r="K30" i="117"/>
  <c r="K29" i="117"/>
  <c r="K28" i="117"/>
  <c r="K27" i="117"/>
  <c r="K26" i="117"/>
  <c r="K25" i="117"/>
  <c r="K24" i="117"/>
  <c r="K23" i="117"/>
  <c r="K22" i="117"/>
  <c r="K20" i="117"/>
  <c r="K18" i="117"/>
  <c r="K15" i="117"/>
  <c r="K14" i="117"/>
  <c r="H34" i="119" l="1"/>
  <c r="I31" i="117" s="1"/>
  <c r="H35" i="119"/>
  <c r="I32" i="117"/>
  <c r="F35" i="119"/>
  <c r="D35" i="119"/>
  <c r="B32" i="117"/>
  <c r="L32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L14" i="117"/>
  <c r="L15" i="117"/>
  <c r="K16" i="117"/>
  <c r="L16" i="117"/>
  <c r="K17" i="117"/>
  <c r="L17" i="117"/>
  <c r="L18" i="117"/>
  <c r="K19" i="117"/>
  <c r="L19" i="117"/>
  <c r="L20" i="117"/>
  <c r="K21" i="117"/>
  <c r="L21" i="117"/>
  <c r="L22" i="117"/>
  <c r="L23" i="117"/>
  <c r="L24" i="117"/>
  <c r="L25" i="117"/>
  <c r="L26" i="117"/>
  <c r="L27" i="117"/>
  <c r="L28" i="117"/>
  <c r="L29" i="117"/>
  <c r="L30" i="117"/>
  <c r="L31" i="117"/>
  <c r="L2" i="117"/>
  <c r="K2" i="117"/>
  <c r="H5" i="119"/>
  <c r="I2" i="117" s="1"/>
  <c r="F14" i="119"/>
  <c r="F16" i="119"/>
  <c r="F22" i="119"/>
  <c r="F24" i="119"/>
  <c r="D18" i="119"/>
  <c r="D26" i="119"/>
  <c r="D33" i="119"/>
  <c r="D34" i="119"/>
  <c r="F34" i="119"/>
  <c r="H33" i="119"/>
  <c r="I30" i="117" s="1"/>
  <c r="F33" i="119"/>
  <c r="H32" i="119"/>
  <c r="I29" i="117"/>
  <c r="F32" i="119"/>
  <c r="D32" i="119"/>
  <c r="H31" i="119"/>
  <c r="I28" i="117" s="1"/>
  <c r="F31" i="119"/>
  <c r="D31" i="119"/>
  <c r="H30" i="119"/>
  <c r="I27" i="117" s="1"/>
  <c r="F30" i="119"/>
  <c r="D30" i="119"/>
  <c r="H29" i="119"/>
  <c r="I26" i="117" s="1"/>
  <c r="F29" i="119"/>
  <c r="D29" i="119"/>
  <c r="H28" i="119"/>
  <c r="I25" i="117" s="1"/>
  <c r="F28" i="119"/>
  <c r="D28" i="119"/>
  <c r="H27" i="119"/>
  <c r="I24" i="117" s="1"/>
  <c r="F27" i="119"/>
  <c r="D27" i="119"/>
  <c r="H26" i="119"/>
  <c r="I23" i="117" s="1"/>
  <c r="F26" i="119"/>
  <c r="H25" i="119"/>
  <c r="I22" i="117" s="1"/>
  <c r="F25" i="119"/>
  <c r="D25" i="119"/>
  <c r="H24" i="119"/>
  <c r="I21" i="117" s="1"/>
  <c r="D24" i="119"/>
  <c r="H23" i="119"/>
  <c r="I20" i="117" s="1"/>
  <c r="F23" i="119"/>
  <c r="D23" i="119"/>
  <c r="H22" i="119"/>
  <c r="I19" i="117" s="1"/>
  <c r="D22" i="119"/>
  <c r="H21" i="119"/>
  <c r="I18" i="117"/>
  <c r="F21" i="119"/>
  <c r="D21" i="119"/>
  <c r="H20" i="119"/>
  <c r="I17" i="117" s="1"/>
  <c r="F20" i="119"/>
  <c r="D20" i="119"/>
  <c r="H19" i="119"/>
  <c r="I16" i="117"/>
  <c r="F19" i="119"/>
  <c r="D19" i="119"/>
  <c r="H18" i="119"/>
  <c r="I15" i="117" s="1"/>
  <c r="F18" i="119"/>
  <c r="H17" i="119"/>
  <c r="I14" i="117"/>
  <c r="F17" i="119"/>
  <c r="D17" i="119"/>
  <c r="H16" i="119"/>
  <c r="I13" i="117"/>
  <c r="D16" i="119"/>
  <c r="H15" i="119"/>
  <c r="I12" i="117"/>
  <c r="F15" i="119"/>
  <c r="D15" i="119"/>
  <c r="H14" i="119"/>
  <c r="I11" i="117" s="1"/>
  <c r="D14" i="119"/>
  <c r="H13" i="119"/>
  <c r="I10" i="117" s="1"/>
  <c r="F13" i="119"/>
  <c r="D13" i="119"/>
  <c r="H12" i="119"/>
  <c r="I9" i="117" s="1"/>
  <c r="F12" i="119"/>
  <c r="D12" i="119"/>
  <c r="H11" i="119"/>
  <c r="I8" i="117" s="1"/>
  <c r="F11" i="119"/>
  <c r="D11" i="119"/>
  <c r="H10" i="119"/>
  <c r="I7" i="117" s="1"/>
  <c r="F10" i="119"/>
  <c r="D10" i="119"/>
  <c r="H9" i="119"/>
  <c r="I6" i="117" s="1"/>
  <c r="F9" i="119"/>
  <c r="D9" i="119"/>
  <c r="H8" i="119"/>
  <c r="I5" i="117" s="1"/>
  <c r="F8" i="119"/>
  <c r="D8" i="119"/>
  <c r="H7" i="119"/>
  <c r="I4" i="117" s="1"/>
  <c r="F7" i="119"/>
  <c r="D7" i="119"/>
  <c r="H6" i="119"/>
  <c r="I3" i="117" s="1"/>
  <c r="F6" i="119"/>
  <c r="D6" i="119"/>
  <c r="F5" i="119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<sst xmlns="http://schemas.openxmlformats.org/spreadsheetml/2006/main" count="56" uniqueCount="25">
  <si>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</si>
  <si>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</si>
  <si>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</si>
  <si>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</si>
  <si>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</si>
  <si>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</si>
  <si>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</si>
  <si>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</si>
  <si>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</si>
  <si>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</si>
  <si>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</si>
  <si>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</si>
  <si>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</si>
  <si>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</si>
  <si>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</si>
  <si>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</si>
  <si>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</si>
  <si>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</si>
  <si>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</si>
  <si>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</si>
  <si>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</si>
  <si>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</si>
  <si>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</si>
  <si>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Water Utility Supply (m3) m3</t>
    <phoneticPr fontId="14" type="noConversion"/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</si>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</sst>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61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1" fillId="9" borderId="14" xfId="11" applyFill="1" applyBorder="1" applyAlignment="1">
      <alignment horizontal="center"/>
    </xf>
    <xf numFmtId="1" fontId="0" fillId="0" borderId="0" xfId="0" applyNumberFormat="1"/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3" xfId="7"/>
    <cellStyle name="Normal 4" xfId="11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abSelected="1" workbookViewId="0">
      <selection activeCell="Q24" sqref="Q24"/>
    </sheetView>
  </sheetViews>
  <sheetFormatPr defaultRowHeight="12.75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22</v>
      </c>
      <c r="H1" s="4" t="s">
        <v>20</v>
      </c>
      <c r="I1" s="3" t="s">
        <v>23</v>
      </c>
      <c r="J1" s="5" t="s">
        <v>6</v>
      </c>
      <c r="K1" s="3" t="s">
        <v>7</v>
      </c>
      <c r="L1" s="3" t="s">
        <v>24</v>
      </c>
    </row>
    <row r="2" spans="1:12" ht="15">
      <c r="A2" s="6" t="s">
        <v>21</v>
      </c>
      <c r="B2" s="7">
        <v>1</v>
      </c>
      <c r="C2" s="8">
        <v>7</v>
      </c>
      <c r="D2" s="7">
        <v>2022</v>
      </c>
      <c r="E2" s="9">
        <v>26251.999999999523</v>
      </c>
      <c r="F2" s="30">
        <v>0.71879999999999999</v>
      </c>
      <c r="G2" s="9">
        <v>860</v>
      </c>
      <c r="H2" s="30">
        <v>4.3899999999999997</v>
      </c>
      <c r="I2" s="9">
        <f>'Shenzhen Daily'!H5</f>
        <v>215</v>
      </c>
      <c r="J2" s="30">
        <v>5.09</v>
      </c>
      <c r="K2" s="9">
        <f>'Shenzhen Daily'!I5</f>
        <v>41</v>
      </c>
      <c r="L2" s="9">
        <f>'Shenzhen Daily'!J5</f>
        <v>73</v>
      </c>
    </row>
    <row r="3" spans="1:12" ht="15">
      <c r="A3" s="6" t="s">
        <v>21</v>
      </c>
      <c r="B3" s="7">
        <f>B2+1</f>
        <v>2</v>
      </c>
      <c r="C3" s="8">
        <v>7</v>
      </c>
      <c r="D3" s="7">
        <v>2022</v>
      </c>
      <c r="E3" s="9">
        <v>27425.000000000611</v>
      </c>
      <c r="F3" s="30">
        <v>0.71879999999999999</v>
      </c>
      <c r="G3" s="9">
        <v>860</v>
      </c>
      <c r="H3" s="30">
        <v>4.3899999999999997</v>
      </c>
      <c r="I3" s="9">
        <f>'Shenzhen Daily'!H6</f>
        <v>265</v>
      </c>
      <c r="J3" s="30">
        <v>5.09</v>
      </c>
      <c r="K3" s="9">
        <f>'Shenzhen Daily'!I6</f>
        <v>47</v>
      </c>
      <c r="L3" s="9">
        <f>'Shenzhen Daily'!J6</f>
        <v>104</v>
      </c>
    </row>
    <row r="4" spans="1:12" ht="15">
      <c r="A4" s="6" t="s">
        <v>21</v>
      </c>
      <c r="B4" s="7">
        <f t="shared" ref="B4:B32" si="0">B3+1</f>
        <v>3</v>
      </c>
      <c r="C4" s="8">
        <v>7</v>
      </c>
      <c r="D4" s="7">
        <v>2022</v>
      </c>
      <c r="E4" s="9">
        <v>25951.999999999243</v>
      </c>
      <c r="F4" s="30">
        <v>0.71879999999999999</v>
      </c>
      <c r="G4" s="9">
        <v>925</v>
      </c>
      <c r="H4" s="30">
        <v>4.3899999999999997</v>
      </c>
      <c r="I4" s="9">
        <f>'Shenzhen Daily'!H7</f>
        <v>222</v>
      </c>
      <c r="J4" s="30">
        <v>5.09</v>
      </c>
      <c r="K4" s="9">
        <f>'Shenzhen Daily'!I7</f>
        <v>49</v>
      </c>
      <c r="L4" s="9">
        <f>'Shenzhen Daily'!J7</f>
        <v>147</v>
      </c>
    </row>
    <row r="5" spans="1:12" ht="15">
      <c r="A5" s="6" t="s">
        <v>21</v>
      </c>
      <c r="B5" s="7">
        <f t="shared" si="0"/>
        <v>4</v>
      </c>
      <c r="C5" s="8">
        <v>7</v>
      </c>
      <c r="D5" s="7">
        <v>2022</v>
      </c>
      <c r="E5" s="9">
        <v>28010.000000000917</v>
      </c>
      <c r="F5" s="30">
        <v>0.71879999999999999</v>
      </c>
      <c r="G5" s="9">
        <v>1024</v>
      </c>
      <c r="H5" s="30">
        <v>4.3899999999999997</v>
      </c>
      <c r="I5" s="9">
        <f>'Shenzhen Daily'!H8</f>
        <v>310</v>
      </c>
      <c r="J5" s="30">
        <v>5.09</v>
      </c>
      <c r="K5" s="9">
        <f>'Shenzhen Daily'!I8</f>
        <v>75</v>
      </c>
      <c r="L5" s="9">
        <f>'Shenzhen Daily'!J8</f>
        <v>123</v>
      </c>
    </row>
    <row r="6" spans="1:12" ht="15">
      <c r="A6" s="6" t="s">
        <v>21</v>
      </c>
      <c r="B6" s="7">
        <f t="shared" si="0"/>
        <v>5</v>
      </c>
      <c r="C6" s="8">
        <v>7</v>
      </c>
      <c r="D6" s="7">
        <v>2022</v>
      </c>
      <c r="E6" s="9">
        <v>27313.000000000193</v>
      </c>
      <c r="F6" s="30">
        <v>0.71879999999999999</v>
      </c>
      <c r="G6" s="9">
        <v>1100</v>
      </c>
      <c r="H6" s="30">
        <v>4.3899999999999997</v>
      </c>
      <c r="I6" s="9">
        <f>'Shenzhen Daily'!H9</f>
        <v>305</v>
      </c>
      <c r="J6" s="30">
        <v>5.09</v>
      </c>
      <c r="K6" s="9">
        <f>'Shenzhen Daily'!I9</f>
        <v>94</v>
      </c>
      <c r="L6" s="9">
        <f>'Shenzhen Daily'!J9</f>
        <v>219</v>
      </c>
    </row>
    <row r="7" spans="1:12" ht="15">
      <c r="A7" s="6" t="s">
        <v>21</v>
      </c>
      <c r="B7" s="7">
        <f t="shared" si="0"/>
        <v>6</v>
      </c>
      <c r="C7" s="8">
        <v>7</v>
      </c>
      <c r="D7" s="7">
        <v>2022</v>
      </c>
      <c r="E7" s="9">
        <v>31555.999999999571</v>
      </c>
      <c r="F7" s="30">
        <v>0.71879999999999999</v>
      </c>
      <c r="G7" s="9">
        <v>1085</v>
      </c>
      <c r="H7" s="30">
        <v>4.3899999999999997</v>
      </c>
      <c r="I7" s="9">
        <f>'Shenzhen Daily'!H10</f>
        <v>655</v>
      </c>
      <c r="J7" s="30">
        <v>5.09</v>
      </c>
      <c r="K7" s="9">
        <f>'Shenzhen Daily'!I10</f>
        <v>122</v>
      </c>
      <c r="L7" s="9">
        <f>'Shenzhen Daily'!J10</f>
        <v>251</v>
      </c>
    </row>
    <row r="8" spans="1:12" ht="15">
      <c r="A8" s="6" t="s">
        <v>21</v>
      </c>
      <c r="B8" s="7">
        <f t="shared" si="0"/>
        <v>7</v>
      </c>
      <c r="C8" s="8">
        <v>7</v>
      </c>
      <c r="D8" s="7">
        <v>2022</v>
      </c>
      <c r="E8" s="9">
        <v>35392.999999999884</v>
      </c>
      <c r="F8" s="30">
        <v>0.71879999999999999</v>
      </c>
      <c r="G8" s="9">
        <v>1232</v>
      </c>
      <c r="H8" s="30">
        <v>4.3899999999999997</v>
      </c>
      <c r="I8" s="9">
        <f>'Shenzhen Daily'!H11</f>
        <v>586</v>
      </c>
      <c r="J8" s="30">
        <v>5.09</v>
      </c>
      <c r="K8" s="9">
        <f>'Shenzhen Daily'!I11</f>
        <v>162</v>
      </c>
      <c r="L8" s="9">
        <f>'Shenzhen Daily'!J11</f>
        <v>285</v>
      </c>
    </row>
    <row r="9" spans="1:12" ht="15">
      <c r="A9" s="6" t="s">
        <v>21</v>
      </c>
      <c r="B9" s="7">
        <f t="shared" si="0"/>
        <v>8</v>
      </c>
      <c r="C9" s="8">
        <v>7</v>
      </c>
      <c r="D9" s="7">
        <v>2022</v>
      </c>
      <c r="E9" s="9">
        <v>31116.000000000153</v>
      </c>
      <c r="F9" s="30">
        <v>0.71879999999999999</v>
      </c>
      <c r="G9" s="9">
        <v>1197</v>
      </c>
      <c r="H9" s="30">
        <v>4.3899999999999997</v>
      </c>
      <c r="I9" s="9">
        <f>'Shenzhen Daily'!H12</f>
        <v>471</v>
      </c>
      <c r="J9" s="30">
        <v>5.09</v>
      </c>
      <c r="K9" s="9">
        <f>'Shenzhen Daily'!I12</f>
        <v>108</v>
      </c>
      <c r="L9" s="9">
        <f>'Shenzhen Daily'!J12</f>
        <v>328</v>
      </c>
    </row>
    <row r="10" spans="1:12" ht="15">
      <c r="A10" s="6" t="s">
        <v>21</v>
      </c>
      <c r="B10" s="7">
        <f t="shared" si="0"/>
        <v>9</v>
      </c>
      <c r="C10" s="8">
        <v>7</v>
      </c>
      <c r="D10" s="7">
        <v>2022</v>
      </c>
      <c r="E10" s="9">
        <v>35044.999999999629</v>
      </c>
      <c r="F10" s="30">
        <v>0.71879999999999999</v>
      </c>
      <c r="G10" s="9">
        <v>1224</v>
      </c>
      <c r="H10" s="30">
        <v>4.3899999999999997</v>
      </c>
      <c r="I10" s="9">
        <f>'Shenzhen Daily'!H13</f>
        <v>618</v>
      </c>
      <c r="J10" s="30">
        <v>5.09</v>
      </c>
      <c r="K10" s="9">
        <f>'Shenzhen Daily'!I13</f>
        <v>87</v>
      </c>
      <c r="L10" s="9">
        <f>'Shenzhen Daily'!J13</f>
        <v>266</v>
      </c>
    </row>
    <row r="11" spans="1:12" ht="15">
      <c r="A11" s="6" t="s">
        <v>21</v>
      </c>
      <c r="B11" s="7">
        <f t="shared" si="0"/>
        <v>10</v>
      </c>
      <c r="C11" s="8">
        <v>7</v>
      </c>
      <c r="D11" s="7">
        <v>2022</v>
      </c>
      <c r="E11" s="9">
        <v>31044.999999999953</v>
      </c>
      <c r="F11" s="30">
        <v>0.71879999999999999</v>
      </c>
      <c r="G11" s="9">
        <v>1095</v>
      </c>
      <c r="H11" s="30">
        <v>4.3899999999999997</v>
      </c>
      <c r="I11" s="9">
        <f>'Shenzhen Daily'!H14</f>
        <v>557</v>
      </c>
      <c r="J11" s="30">
        <v>5.09</v>
      </c>
      <c r="K11" s="9">
        <f>'Shenzhen Daily'!I14</f>
        <v>100</v>
      </c>
      <c r="L11" s="9">
        <f>'Shenzhen Daily'!J14</f>
        <v>202</v>
      </c>
    </row>
    <row r="12" spans="1:12" ht="15">
      <c r="A12" s="6" t="s">
        <v>21</v>
      </c>
      <c r="B12" s="7">
        <f t="shared" si="0"/>
        <v>11</v>
      </c>
      <c r="C12" s="8">
        <v>7</v>
      </c>
      <c r="D12" s="7">
        <v>2022</v>
      </c>
      <c r="E12" s="9">
        <v>33572.000000000648</v>
      </c>
      <c r="F12" s="30">
        <v>0.71879999999999999</v>
      </c>
      <c r="G12" s="9">
        <v>1110</v>
      </c>
      <c r="H12" s="30">
        <v>4.3899999999999997</v>
      </c>
      <c r="I12" s="9">
        <f>'Shenzhen Daily'!H15</f>
        <v>423</v>
      </c>
      <c r="J12" s="30">
        <v>5.09</v>
      </c>
      <c r="K12" s="9">
        <f>'Shenzhen Daily'!I15</f>
        <v>102</v>
      </c>
      <c r="L12" s="9">
        <f>'Shenzhen Daily'!J15</f>
        <v>273</v>
      </c>
    </row>
    <row r="13" spans="1:12" ht="15">
      <c r="A13" s="6" t="s">
        <v>21</v>
      </c>
      <c r="B13" s="7">
        <f t="shared" si="0"/>
        <v>12</v>
      </c>
      <c r="C13" s="8">
        <v>7</v>
      </c>
      <c r="D13" s="7">
        <v>2022</v>
      </c>
      <c r="E13" s="9">
        <v>33004.999999999651</v>
      </c>
      <c r="F13" s="30">
        <v>0.71879999999999999</v>
      </c>
      <c r="G13" s="9">
        <v>1153</v>
      </c>
      <c r="H13" s="30">
        <v>4.3899999999999997</v>
      </c>
      <c r="I13" s="9">
        <f>'Shenzhen Daily'!H16</f>
        <v>415</v>
      </c>
      <c r="J13" s="30">
        <v>5.09</v>
      </c>
      <c r="K13" s="9">
        <f>'Shenzhen Daily'!I16</f>
        <v>128</v>
      </c>
      <c r="L13" s="9">
        <f>'Shenzhen Daily'!J16</f>
        <v>321</v>
      </c>
    </row>
    <row r="14" spans="1:12" ht="15">
      <c r="A14" s="6" t="s">
        <v>21</v>
      </c>
      <c r="B14" s="7">
        <f t="shared" si="0"/>
        <v>13</v>
      </c>
      <c r="C14" s="8">
        <v>7</v>
      </c>
      <c r="D14" s="7">
        <v>2022</v>
      </c>
      <c r="E14" s="9">
        <v>33933.000000000393</v>
      </c>
      <c r="F14" s="30">
        <v>0.71879999999999999</v>
      </c>
      <c r="G14" s="9">
        <v>1057</v>
      </c>
      <c r="H14" s="30">
        <v>4.3899999999999997</v>
      </c>
      <c r="I14" s="9">
        <f>'Shenzhen Daily'!H17</f>
        <v>423</v>
      </c>
      <c r="J14" s="30">
        <v>5.09</v>
      </c>
      <c r="K14" s="9">
        <f>'Shenzhen Daily'!I17</f>
        <v>135</v>
      </c>
      <c r="L14" s="9">
        <f>'Shenzhen Daily'!J17</f>
        <v>348</v>
      </c>
    </row>
    <row r="15" spans="1:12" ht="15">
      <c r="A15" s="6" t="s">
        <v>21</v>
      </c>
      <c r="B15" s="7">
        <f t="shared" si="0"/>
        <v>14</v>
      </c>
      <c r="C15" s="8">
        <v>7</v>
      </c>
      <c r="D15" s="7">
        <v>2022</v>
      </c>
      <c r="E15" s="9">
        <v>33297.999999999702</v>
      </c>
      <c r="F15" s="30">
        <v>0.71879999999999999</v>
      </c>
      <c r="G15" s="9">
        <v>1153</v>
      </c>
      <c r="H15" s="30">
        <v>4.3899999999999997</v>
      </c>
      <c r="I15" s="9">
        <f>'Shenzhen Daily'!H18</f>
        <v>430</v>
      </c>
      <c r="J15" s="30">
        <v>5.09</v>
      </c>
      <c r="K15" s="9">
        <f>'Shenzhen Daily'!I18</f>
        <v>133</v>
      </c>
      <c r="L15" s="9">
        <f>'Shenzhen Daily'!J18</f>
        <v>295</v>
      </c>
    </row>
    <row r="16" spans="1:12" ht="15">
      <c r="A16" s="6" t="s">
        <v>21</v>
      </c>
      <c r="B16" s="7">
        <f t="shared" si="0"/>
        <v>15</v>
      </c>
      <c r="C16" s="8">
        <v>7</v>
      </c>
      <c r="D16" s="7">
        <v>2022</v>
      </c>
      <c r="E16" s="9">
        <v>34183.999999999352</v>
      </c>
      <c r="F16" s="30">
        <v>0.71879999999999999</v>
      </c>
      <c r="G16" s="9">
        <v>1147</v>
      </c>
      <c r="H16" s="30">
        <v>4.3899999999999997</v>
      </c>
      <c r="I16" s="9">
        <f>'Shenzhen Daily'!H19</f>
        <v>388</v>
      </c>
      <c r="J16" s="30">
        <v>5.09</v>
      </c>
      <c r="K16" s="9">
        <f>'Shenzhen Daily'!I19</f>
        <v>126</v>
      </c>
      <c r="L16" s="9">
        <f>'Shenzhen Daily'!J19</f>
        <v>287</v>
      </c>
    </row>
    <row r="17" spans="1:12" ht="15">
      <c r="A17" s="6" t="s">
        <v>21</v>
      </c>
      <c r="B17" s="7">
        <f t="shared" si="0"/>
        <v>16</v>
      </c>
      <c r="C17" s="8">
        <v>7</v>
      </c>
      <c r="D17" s="7">
        <v>2022</v>
      </c>
      <c r="E17" s="9">
        <v>34411.000000000909</v>
      </c>
      <c r="F17" s="30">
        <v>0.71879999999999999</v>
      </c>
      <c r="G17" s="9">
        <v>1198</v>
      </c>
      <c r="H17" s="30">
        <v>4.3899999999999997</v>
      </c>
      <c r="I17" s="9">
        <f>'Shenzhen Daily'!H20</f>
        <v>458</v>
      </c>
      <c r="J17" s="30">
        <v>5.09</v>
      </c>
      <c r="K17" s="9">
        <f>'Shenzhen Daily'!I20</f>
        <v>118</v>
      </c>
      <c r="L17" s="9">
        <f>'Shenzhen Daily'!J20</f>
        <v>337</v>
      </c>
    </row>
    <row r="18" spans="1:12" ht="15">
      <c r="A18" s="6" t="s">
        <v>21</v>
      </c>
      <c r="B18" s="7">
        <f t="shared" si="0"/>
        <v>17</v>
      </c>
      <c r="C18" s="8">
        <v>7</v>
      </c>
      <c r="D18" s="7">
        <v>2022</v>
      </c>
      <c r="E18" s="9">
        <v>32638.000000000506</v>
      </c>
      <c r="F18" s="30">
        <v>0.71879999999999999</v>
      </c>
      <c r="G18" s="9">
        <v>1112</v>
      </c>
      <c r="H18" s="30">
        <v>4.3899999999999997</v>
      </c>
      <c r="I18" s="9">
        <f>'Shenzhen Daily'!H21</f>
        <v>422</v>
      </c>
      <c r="J18" s="30">
        <v>5.09</v>
      </c>
      <c r="K18" s="9">
        <f>'Shenzhen Daily'!I21</f>
        <v>92</v>
      </c>
      <c r="L18" s="9">
        <f>'Shenzhen Daily'!J21</f>
        <v>257</v>
      </c>
    </row>
    <row r="19" spans="1:12" ht="15">
      <c r="A19" s="6" t="s">
        <v>21</v>
      </c>
      <c r="B19" s="7">
        <f t="shared" si="0"/>
        <v>18</v>
      </c>
      <c r="C19" s="8">
        <v>7</v>
      </c>
      <c r="D19" s="7">
        <v>2022</v>
      </c>
      <c r="E19" s="9">
        <v>32086.999999999105</v>
      </c>
      <c r="F19" s="30">
        <v>0.71879999999999999</v>
      </c>
      <c r="G19" s="9">
        <v>1122</v>
      </c>
      <c r="H19" s="30">
        <v>4.3899999999999997</v>
      </c>
      <c r="I19" s="9">
        <f>'Shenzhen Daily'!H22</f>
        <v>407</v>
      </c>
      <c r="J19" s="30">
        <v>5.09</v>
      </c>
      <c r="K19" s="9">
        <f>'Shenzhen Daily'!I22</f>
        <v>103</v>
      </c>
      <c r="L19" s="9">
        <f>'Shenzhen Daily'!J22</f>
        <v>232</v>
      </c>
    </row>
    <row r="20" spans="1:12" ht="15">
      <c r="A20" s="6" t="s">
        <v>21</v>
      </c>
      <c r="B20" s="7">
        <f t="shared" si="0"/>
        <v>19</v>
      </c>
      <c r="C20" s="8">
        <v>7</v>
      </c>
      <c r="D20" s="7">
        <v>2022</v>
      </c>
      <c r="E20" s="9">
        <v>33315.999999999622</v>
      </c>
      <c r="F20" s="30">
        <v>0.71879999999999999</v>
      </c>
      <c r="G20" s="9">
        <v>1114</v>
      </c>
      <c r="H20" s="30">
        <v>4.3899999999999997</v>
      </c>
      <c r="I20" s="9">
        <f>'Shenzhen Daily'!H23</f>
        <v>407</v>
      </c>
      <c r="J20" s="30">
        <v>5.09</v>
      </c>
      <c r="K20" s="9">
        <f>'Shenzhen Daily'!I23</f>
        <v>141</v>
      </c>
      <c r="L20" s="9">
        <f>'Shenzhen Daily'!J23</f>
        <v>254</v>
      </c>
    </row>
    <row r="21" spans="1:12" ht="15">
      <c r="A21" s="6" t="s">
        <v>21</v>
      </c>
      <c r="B21" s="7">
        <f t="shared" si="0"/>
        <v>20</v>
      </c>
      <c r="C21" s="8">
        <v>7</v>
      </c>
      <c r="D21" s="7">
        <v>2022</v>
      </c>
      <c r="E21" s="9">
        <v>36761.999999999513</v>
      </c>
      <c r="F21" s="30">
        <v>0.71879999999999999</v>
      </c>
      <c r="G21" s="9">
        <v>1152</v>
      </c>
      <c r="H21" s="30">
        <v>4.3899999999999997</v>
      </c>
      <c r="I21" s="9">
        <f>'Shenzhen Daily'!H24</f>
        <v>473</v>
      </c>
      <c r="J21" s="30">
        <v>5.09</v>
      </c>
      <c r="K21" s="9">
        <f>'Shenzhen Daily'!I24</f>
        <v>162</v>
      </c>
      <c r="L21" s="9">
        <f>'Shenzhen Daily'!J24</f>
        <v>270</v>
      </c>
    </row>
    <row r="22" spans="1:12" ht="15">
      <c r="A22" s="6" t="s">
        <v>21</v>
      </c>
      <c r="B22" s="7">
        <f t="shared" si="0"/>
        <v>21</v>
      </c>
      <c r="C22" s="8">
        <v>7</v>
      </c>
      <c r="D22" s="7">
        <v>2022</v>
      </c>
      <c r="E22" s="9">
        <v>33185.000000001062</v>
      </c>
      <c r="F22" s="30">
        <v>0.71879999999999999</v>
      </c>
      <c r="G22" s="9">
        <v>1129</v>
      </c>
      <c r="H22" s="30">
        <v>4.3899999999999997</v>
      </c>
      <c r="I22" s="9">
        <f>'Shenzhen Daily'!H25</f>
        <v>404</v>
      </c>
      <c r="J22" s="30">
        <v>5.09</v>
      </c>
      <c r="K22" s="9">
        <f>'Shenzhen Daily'!I25</f>
        <v>171</v>
      </c>
      <c r="L22" s="9">
        <f>'Shenzhen Daily'!J25</f>
        <v>299</v>
      </c>
    </row>
    <row r="23" spans="1:12" ht="15">
      <c r="A23" s="6" t="s">
        <v>21</v>
      </c>
      <c r="B23" s="7">
        <f t="shared" si="0"/>
        <v>22</v>
      </c>
      <c r="C23" s="8">
        <v>7</v>
      </c>
      <c r="D23" s="7">
        <v>2022</v>
      </c>
      <c r="E23" s="9">
        <v>33858.999999999862</v>
      </c>
      <c r="F23" s="30">
        <v>0.71879999999999999</v>
      </c>
      <c r="G23" s="9">
        <v>1116</v>
      </c>
      <c r="H23" s="30">
        <v>4.3899999999999997</v>
      </c>
      <c r="I23" s="9">
        <f>'Shenzhen Daily'!H26</f>
        <v>443</v>
      </c>
      <c r="J23" s="30">
        <v>5.09</v>
      </c>
      <c r="K23" s="9">
        <f>'Shenzhen Daily'!I26</f>
        <v>148</v>
      </c>
      <c r="L23" s="9">
        <f>'Shenzhen Daily'!J26</f>
        <v>324</v>
      </c>
    </row>
    <row r="24" spans="1:12" ht="15">
      <c r="A24" s="6" t="s">
        <v>21</v>
      </c>
      <c r="B24" s="7">
        <f t="shared" si="0"/>
        <v>23</v>
      </c>
      <c r="C24" s="8">
        <v>7</v>
      </c>
      <c r="D24" s="7">
        <v>2022</v>
      </c>
      <c r="E24" s="9">
        <v>34568.999999999804</v>
      </c>
      <c r="F24" s="30">
        <v>0.71879999999999999</v>
      </c>
      <c r="G24" s="9">
        <v>1117</v>
      </c>
      <c r="H24" s="30">
        <v>4.3899999999999997</v>
      </c>
      <c r="I24" s="9">
        <f>'Shenzhen Daily'!H27</f>
        <v>407</v>
      </c>
      <c r="J24" s="30">
        <v>5.09</v>
      </c>
      <c r="K24" s="9">
        <f>'Shenzhen Daily'!I27</f>
        <v>103</v>
      </c>
      <c r="L24" s="9">
        <f>'Shenzhen Daily'!J27</f>
        <v>307</v>
      </c>
    </row>
    <row r="25" spans="1:12" ht="15">
      <c r="A25" s="6" t="s">
        <v>21</v>
      </c>
      <c r="B25" s="7">
        <f t="shared" si="0"/>
        <v>24</v>
      </c>
      <c r="C25" s="8">
        <v>7</v>
      </c>
      <c r="D25" s="7">
        <v>2022</v>
      </c>
      <c r="E25" s="9">
        <v>33930.000000000509</v>
      </c>
      <c r="F25" s="30">
        <v>0.71879999999999999</v>
      </c>
      <c r="G25" s="9">
        <v>1041</v>
      </c>
      <c r="H25" s="30">
        <v>4.3899999999999997</v>
      </c>
      <c r="I25" s="9">
        <f>'Shenzhen Daily'!H28</f>
        <v>416</v>
      </c>
      <c r="J25" s="30">
        <v>5.09</v>
      </c>
      <c r="K25" s="9">
        <f>'Shenzhen Daily'!I28</f>
        <v>103</v>
      </c>
      <c r="L25" s="9">
        <f>'Shenzhen Daily'!J28</f>
        <v>239</v>
      </c>
    </row>
    <row r="26" spans="1:12" ht="15">
      <c r="A26" s="6" t="s">
        <v>21</v>
      </c>
      <c r="B26" s="7">
        <f>B25+1</f>
        <v>25</v>
      </c>
      <c r="C26" s="8">
        <v>7</v>
      </c>
      <c r="D26" s="7">
        <v>2022</v>
      </c>
      <c r="E26" s="9">
        <v>35166.000000000247</v>
      </c>
      <c r="F26" s="30">
        <v>0.71879999999999999</v>
      </c>
      <c r="G26" s="9">
        <v>1008</v>
      </c>
      <c r="H26" s="30">
        <v>4.3899999999999997</v>
      </c>
      <c r="I26" s="9">
        <f>'Shenzhen Daily'!H29</f>
        <v>398</v>
      </c>
      <c r="J26" s="30">
        <v>5.09</v>
      </c>
      <c r="K26" s="9">
        <f>'Shenzhen Daily'!I29</f>
        <v>114</v>
      </c>
      <c r="L26" s="9">
        <f>'Shenzhen Daily'!J29</f>
        <v>220</v>
      </c>
    </row>
    <row r="27" spans="1:12" ht="15">
      <c r="A27" s="6" t="s">
        <v>21</v>
      </c>
      <c r="B27" s="7">
        <f t="shared" si="0"/>
        <v>26</v>
      </c>
      <c r="C27" s="8">
        <v>7</v>
      </c>
      <c r="D27" s="7">
        <v>2022</v>
      </c>
      <c r="E27" s="9">
        <v>35370.999999999141</v>
      </c>
      <c r="F27" s="30">
        <v>0.71879999999999999</v>
      </c>
      <c r="G27" s="9">
        <v>1073</v>
      </c>
      <c r="H27" s="30">
        <v>4.3899999999999997</v>
      </c>
      <c r="I27" s="9">
        <f>'Shenzhen Daily'!H30</f>
        <v>434</v>
      </c>
      <c r="J27" s="30">
        <v>5.09</v>
      </c>
      <c r="K27" s="9">
        <f>'Shenzhen Daily'!I30</f>
        <v>119</v>
      </c>
      <c r="L27" s="9">
        <f>'Shenzhen Daily'!J30</f>
        <v>344</v>
      </c>
    </row>
    <row r="28" spans="1:12" ht="15">
      <c r="A28" s="6" t="s">
        <v>21</v>
      </c>
      <c r="B28" s="7">
        <f t="shared" si="0"/>
        <v>27</v>
      </c>
      <c r="C28" s="8">
        <v>7</v>
      </c>
      <c r="D28" s="7">
        <v>2022</v>
      </c>
      <c r="E28" s="9">
        <v>34134.999999999549</v>
      </c>
      <c r="F28" s="30">
        <v>0.71879999999999999</v>
      </c>
      <c r="G28" s="9">
        <v>1107</v>
      </c>
      <c r="H28" s="30">
        <v>4.3899999999999997</v>
      </c>
      <c r="I28" s="9">
        <f>'Shenzhen Daily'!H31</f>
        <v>421</v>
      </c>
      <c r="J28" s="30">
        <v>5.09</v>
      </c>
      <c r="K28" s="9">
        <f>'Shenzhen Daily'!I31</f>
        <v>118</v>
      </c>
      <c r="L28" s="9">
        <f>'Shenzhen Daily'!J31</f>
        <v>333</v>
      </c>
    </row>
    <row r="29" spans="1:12" ht="15">
      <c r="A29" s="6" t="s">
        <v>21</v>
      </c>
      <c r="B29" s="7">
        <f t="shared" si="0"/>
        <v>28</v>
      </c>
      <c r="C29" s="8">
        <v>7</v>
      </c>
      <c r="D29" s="7">
        <v>2022</v>
      </c>
      <c r="E29" s="9">
        <v>34136.000000000546</v>
      </c>
      <c r="F29" s="30">
        <v>0.71879999999999999</v>
      </c>
      <c r="G29" s="9">
        <v>1113</v>
      </c>
      <c r="H29" s="30">
        <v>4.3899999999999997</v>
      </c>
      <c r="I29" s="9">
        <f>'Shenzhen Daily'!H32</f>
        <v>431</v>
      </c>
      <c r="J29" s="30">
        <v>5.09</v>
      </c>
      <c r="K29" s="9">
        <f>'Shenzhen Daily'!I32</f>
        <v>99</v>
      </c>
      <c r="L29" s="9">
        <f>'Shenzhen Daily'!J32</f>
        <v>311</v>
      </c>
    </row>
    <row r="30" spans="1:12" ht="15">
      <c r="A30" s="6" t="s">
        <v>21</v>
      </c>
      <c r="B30" s="7">
        <f t="shared" si="0"/>
        <v>29</v>
      </c>
      <c r="C30" s="8">
        <v>7</v>
      </c>
      <c r="D30" s="7">
        <v>2022</v>
      </c>
      <c r="E30" s="9">
        <v>34776.999999999949</v>
      </c>
      <c r="F30" s="30">
        <v>0.71879999999999999</v>
      </c>
      <c r="G30" s="9">
        <v>1165</v>
      </c>
      <c r="H30" s="30">
        <v>4.3899999999999997</v>
      </c>
      <c r="I30" s="9">
        <f>'Shenzhen Daily'!H33</f>
        <v>470</v>
      </c>
      <c r="J30" s="30">
        <v>5.09</v>
      </c>
      <c r="K30" s="9">
        <f>'Shenzhen Daily'!I33</f>
        <v>102</v>
      </c>
      <c r="L30" s="9">
        <f>'Shenzhen Daily'!J33</f>
        <v>246</v>
      </c>
    </row>
    <row r="31" spans="1:12" ht="15">
      <c r="A31" s="6" t="s">
        <v>21</v>
      </c>
      <c r="B31" s="7">
        <f t="shared" si="0"/>
        <v>30</v>
      </c>
      <c r="C31" s="8">
        <v>7</v>
      </c>
      <c r="D31" s="7">
        <v>2022</v>
      </c>
      <c r="E31" s="9">
        <v>32021.000000000575</v>
      </c>
      <c r="F31" s="30">
        <v>0.71879999999999999</v>
      </c>
      <c r="G31" s="9">
        <v>1155</v>
      </c>
      <c r="H31" s="30">
        <v>4.3899999999999997</v>
      </c>
      <c r="I31" s="9">
        <f>'Shenzhen Daily'!H34</f>
        <v>424</v>
      </c>
      <c r="J31" s="30">
        <v>5.09</v>
      </c>
      <c r="K31" s="9">
        <f>'Shenzhen Daily'!I34</f>
        <v>86</v>
      </c>
      <c r="L31" s="9">
        <f>'Shenzhen Daily'!J34</f>
        <v>287</v>
      </c>
    </row>
    <row r="32" spans="1:12" ht="15">
      <c r="A32" s="6" t="s">
        <v>21</v>
      </c>
      <c r="B32" s="7">
        <f t="shared" si="0"/>
        <v>31</v>
      </c>
      <c r="C32" s="8">
        <v>7</v>
      </c>
      <c r="D32" s="7">
        <v>2022</v>
      </c>
      <c r="E32" s="9">
        <v>34366.99999999936</v>
      </c>
      <c r="F32" s="30">
        <v>0.71879999999999999</v>
      </c>
      <c r="G32" s="9">
        <v>1249</v>
      </c>
      <c r="H32" s="30">
        <v>4.3899999999999997</v>
      </c>
      <c r="I32" s="9">
        <f>'Shenzhen Daily'!H35</f>
        <v>458</v>
      </c>
      <c r="J32" s="30">
        <v>5.09</v>
      </c>
      <c r="K32" s="9">
        <f>'Shenzhen Daily'!I35</f>
        <v>76</v>
      </c>
      <c r="L32" s="9">
        <f>'Shenzhen Daily'!J35</f>
        <v>208</v>
      </c>
    </row>
    <row r="33" spans="5:12" ht="15">
      <c r="E33" s="52">
        <f>SUM(E2:E32)</f>
        <v>1011828.9999999998</v>
      </c>
      <c r="F33" s="30">
        <v>0.71879999999999999</v>
      </c>
      <c r="G33" s="52">
        <f>SUM(G2:G32)</f>
        <v>34193</v>
      </c>
      <c r="H33" s="30">
        <v>4.3899999999999997</v>
      </c>
      <c r="I33" s="52">
        <f>SUM(I2:I32)</f>
        <v>13156</v>
      </c>
      <c r="J33" s="30">
        <v>5.09</v>
      </c>
      <c r="K33" s="52">
        <f t="shared" ref="K33:L33" si="1">SUM(K2:K32)</f>
        <v>3364</v>
      </c>
      <c r="L33" s="52">
        <f t="shared" si="1"/>
        <v>7990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zoomScale="85" zoomScaleNormal="85" workbookViewId="0">
      <pane xSplit="1" topLeftCell="B1" activePane="topRight" state="frozen"/>
      <selection pane="topRight" activeCell="N5" sqref="M5:N5"/>
    </sheetView>
  </sheetViews>
  <sheetFormatPr defaultRowHeight="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>
      <c r="A1" s="10"/>
      <c r="B1" s="53"/>
      <c r="C1" s="10"/>
      <c r="D1" s="11"/>
      <c r="E1" s="10"/>
      <c r="F1" s="10"/>
      <c r="G1" s="55"/>
      <c r="H1" s="55"/>
      <c r="I1" s="12"/>
      <c r="J1" s="12"/>
    </row>
    <row r="2" spans="1:10" ht="35.25" customHeight="1" thickBot="1">
      <c r="A2" s="14" t="s">
        <v>8</v>
      </c>
      <c r="B2" s="53"/>
      <c r="C2" s="56" t="s">
        <v>18</v>
      </c>
      <c r="D2" s="57"/>
      <c r="E2" s="58" t="s">
        <v>19</v>
      </c>
      <c r="F2" s="58"/>
      <c r="G2" s="59" t="s">
        <v>9</v>
      </c>
      <c r="H2" s="60"/>
      <c r="I2" s="15"/>
      <c r="J2" s="15"/>
    </row>
    <row r="3" spans="1:10" ht="44.25" customHeight="1">
      <c r="A3" s="16" t="s">
        <v>10</v>
      </c>
      <c r="B3" s="53"/>
      <c r="C3" s="40" t="s">
        <v>11</v>
      </c>
      <c r="D3" s="17" t="s">
        <v>12</v>
      </c>
      <c r="E3" s="44" t="s">
        <v>13</v>
      </c>
      <c r="F3" s="18" t="s">
        <v>12</v>
      </c>
      <c r="G3" s="44" t="s">
        <v>14</v>
      </c>
      <c r="H3" s="19" t="s">
        <v>15</v>
      </c>
      <c r="I3" s="20" t="s">
        <v>16</v>
      </c>
      <c r="J3" s="20" t="s">
        <v>17</v>
      </c>
    </row>
    <row r="4" spans="1:10" s="22" customFormat="1" ht="35.25" customHeight="1">
      <c r="A4" s="21">
        <v>44742</v>
      </c>
      <c r="B4" s="54"/>
      <c r="C4" s="41">
        <v>30674.980000000003</v>
      </c>
      <c r="D4" s="42"/>
      <c r="E4" s="41">
        <v>3230487</v>
      </c>
      <c r="F4" s="45"/>
      <c r="G4" s="41">
        <v>608684</v>
      </c>
      <c r="H4" s="47"/>
      <c r="I4" s="23">
        <v>38</v>
      </c>
      <c r="J4" s="23">
        <v>64</v>
      </c>
    </row>
    <row r="5" spans="1:10" ht="33" customHeight="1">
      <c r="A5" s="24">
        <v>44743</v>
      </c>
      <c r="B5" s="54"/>
      <c r="C5" s="41">
        <v>30695.41</v>
      </c>
      <c r="D5" s="43">
        <f t="shared" ref="D5:D22" si="0">IF((C5-C4&lt;0), "0",C5-C4)</f>
        <v>20.429999999996653</v>
      </c>
      <c r="E5" s="41">
        <v>3231347</v>
      </c>
      <c r="F5" s="43">
        <f>IF((E5-E4&lt;0), "0",E5-E4)</f>
        <v>860</v>
      </c>
      <c r="G5" s="41">
        <v>608899</v>
      </c>
      <c r="H5" s="39">
        <f>IF((G5-G4&lt;0), "0",G5-G4)</f>
        <v>215</v>
      </c>
      <c r="I5" s="26">
        <v>41</v>
      </c>
      <c r="J5" s="26">
        <v>73</v>
      </c>
    </row>
    <row r="6" spans="1:10" ht="45" customHeight="1">
      <c r="A6" s="24">
        <v>44744</v>
      </c>
      <c r="B6" s="54"/>
      <c r="C6" s="41">
        <v>30718.350000000002</v>
      </c>
      <c r="D6" s="43">
        <f t="shared" si="0"/>
        <v>22.940000000002328</v>
      </c>
      <c r="E6" s="41">
        <v>3232207</v>
      </c>
      <c r="F6" s="43">
        <f t="shared" ref="F6:F35" si="1">IF((E6-E5&lt;0), "0",E6-E5)</f>
        <v>860</v>
      </c>
      <c r="G6" s="41">
        <v>609164</v>
      </c>
      <c r="H6" s="48">
        <f t="shared" ref="H6:H35" si="2">IF((G6-G5&lt;0), "0",G6-G5)</f>
        <v>265</v>
      </c>
      <c r="I6" s="38">
        <v>47</v>
      </c>
      <c r="J6" s="38">
        <v>104</v>
      </c>
    </row>
    <row r="7" spans="1:10" ht="45" customHeight="1">
      <c r="A7" s="24">
        <v>44745</v>
      </c>
      <c r="B7" s="54"/>
      <c r="C7" s="41">
        <v>30740.050000000003</v>
      </c>
      <c r="D7" s="43">
        <f t="shared" si="0"/>
        <v>21.700000000000728</v>
      </c>
      <c r="E7" s="41">
        <v>3233132</v>
      </c>
      <c r="F7" s="43">
        <f t="shared" si="1"/>
        <v>925</v>
      </c>
      <c r="G7" s="41">
        <v>609386</v>
      </c>
      <c r="H7" s="39">
        <f t="shared" si="2"/>
        <v>222</v>
      </c>
      <c r="I7" s="12">
        <v>49</v>
      </c>
      <c r="J7" s="12">
        <v>147</v>
      </c>
    </row>
    <row r="8" spans="1:10" ht="45" customHeight="1">
      <c r="A8" s="24">
        <v>44746</v>
      </c>
      <c r="B8" s="53"/>
      <c r="C8" s="31">
        <v>30763.109999999997</v>
      </c>
      <c r="D8" s="37">
        <f t="shared" si="0"/>
        <v>23.059999999994034</v>
      </c>
      <c r="E8" s="31">
        <v>3234156</v>
      </c>
      <c r="F8" s="46">
        <f t="shared" si="1"/>
        <v>1024</v>
      </c>
      <c r="G8" s="41">
        <v>609696</v>
      </c>
      <c r="H8" s="39">
        <f t="shared" si="2"/>
        <v>310</v>
      </c>
      <c r="I8" s="12">
        <v>75</v>
      </c>
      <c r="J8" s="12">
        <v>123</v>
      </c>
    </row>
    <row r="9" spans="1:10" ht="45" customHeight="1">
      <c r="A9" s="24">
        <v>44747</v>
      </c>
      <c r="B9" s="53"/>
      <c r="C9" s="31">
        <v>30786.712</v>
      </c>
      <c r="D9" s="25">
        <f t="shared" si="0"/>
        <v>23.60200000000259</v>
      </c>
      <c r="E9" s="31">
        <v>3235256</v>
      </c>
      <c r="F9" s="25">
        <f t="shared" si="1"/>
        <v>1100</v>
      </c>
      <c r="G9" s="31">
        <v>610001</v>
      </c>
      <c r="H9" s="25">
        <f t="shared" si="2"/>
        <v>305</v>
      </c>
      <c r="I9" s="12">
        <v>94</v>
      </c>
      <c r="J9" s="12">
        <v>219</v>
      </c>
    </row>
    <row r="10" spans="1:10" ht="45" customHeight="1">
      <c r="A10" s="24">
        <v>44748</v>
      </c>
      <c r="B10" s="53"/>
      <c r="C10" s="31">
        <v>30811.993999999999</v>
      </c>
      <c r="D10" s="25">
        <f t="shared" si="0"/>
        <v>25.281999999999243</v>
      </c>
      <c r="E10" s="31">
        <v>3236341</v>
      </c>
      <c r="F10" s="25">
        <f t="shared" si="1"/>
        <v>1085</v>
      </c>
      <c r="G10" s="31">
        <v>610656</v>
      </c>
      <c r="H10" s="25">
        <f t="shared" si="2"/>
        <v>655</v>
      </c>
      <c r="I10" s="12">
        <v>122</v>
      </c>
      <c r="J10" s="12">
        <v>251</v>
      </c>
    </row>
    <row r="11" spans="1:10" ht="45" customHeight="1">
      <c r="A11" s="24">
        <v>44749</v>
      </c>
      <c r="B11" s="53"/>
      <c r="C11" s="31">
        <v>30842.030000000006</v>
      </c>
      <c r="D11" s="25">
        <f t="shared" si="0"/>
        <v>30.036000000007334</v>
      </c>
      <c r="E11" s="31">
        <v>3237573</v>
      </c>
      <c r="F11" s="25">
        <f t="shared" si="1"/>
        <v>1232</v>
      </c>
      <c r="G11" s="31">
        <v>611242</v>
      </c>
      <c r="H11" s="25">
        <f t="shared" si="2"/>
        <v>586</v>
      </c>
      <c r="I11" s="12">
        <v>162</v>
      </c>
      <c r="J11" s="12">
        <v>285</v>
      </c>
    </row>
    <row r="12" spans="1:10" ht="45" customHeight="1">
      <c r="A12" s="24">
        <v>44750</v>
      </c>
      <c r="B12" s="53"/>
      <c r="C12" s="31">
        <v>30868.569999999992</v>
      </c>
      <c r="D12" s="25">
        <f t="shared" si="0"/>
        <v>26.539999999986321</v>
      </c>
      <c r="E12" s="31">
        <v>3238770</v>
      </c>
      <c r="F12" s="25">
        <f t="shared" si="1"/>
        <v>1197</v>
      </c>
      <c r="G12" s="31">
        <v>611713</v>
      </c>
      <c r="H12" s="25">
        <f t="shared" si="2"/>
        <v>471</v>
      </c>
      <c r="I12" s="12">
        <v>108</v>
      </c>
      <c r="J12" s="12">
        <v>328</v>
      </c>
    </row>
    <row r="13" spans="1:10" ht="45" customHeight="1">
      <c r="A13" s="24">
        <v>44751</v>
      </c>
      <c r="B13" s="53"/>
      <c r="C13" s="31">
        <v>30897.260000000002</v>
      </c>
      <c r="D13" s="25">
        <f t="shared" si="0"/>
        <v>28.690000000009604</v>
      </c>
      <c r="E13" s="31">
        <v>3239994</v>
      </c>
      <c r="F13" s="25">
        <f t="shared" si="1"/>
        <v>1224</v>
      </c>
      <c r="G13" s="31">
        <v>612331</v>
      </c>
      <c r="H13" s="25">
        <f t="shared" si="2"/>
        <v>618</v>
      </c>
      <c r="I13" s="12">
        <v>87</v>
      </c>
      <c r="J13" s="12">
        <v>266</v>
      </c>
    </row>
    <row r="14" spans="1:10" ht="45" customHeight="1">
      <c r="A14" s="24">
        <v>44752</v>
      </c>
      <c r="B14" s="53"/>
      <c r="C14" s="31">
        <v>30923.77</v>
      </c>
      <c r="D14" s="25">
        <f t="shared" si="0"/>
        <v>26.509999999998399</v>
      </c>
      <c r="E14" s="31">
        <v>3241089</v>
      </c>
      <c r="F14" s="25">
        <f t="shared" si="1"/>
        <v>1095</v>
      </c>
      <c r="G14" s="31">
        <v>612888</v>
      </c>
      <c r="H14" s="25">
        <f t="shared" si="2"/>
        <v>557</v>
      </c>
      <c r="I14" s="12">
        <v>100</v>
      </c>
      <c r="J14" s="12">
        <v>202</v>
      </c>
    </row>
    <row r="15" spans="1:10" ht="45" customHeight="1">
      <c r="A15" s="24">
        <v>44753</v>
      </c>
      <c r="B15" s="53"/>
      <c r="C15" s="31">
        <v>30951.83</v>
      </c>
      <c r="D15" s="25">
        <f t="shared" si="0"/>
        <v>28.06000000000131</v>
      </c>
      <c r="E15" s="31">
        <v>3242199</v>
      </c>
      <c r="F15" s="25">
        <f t="shared" si="1"/>
        <v>1110</v>
      </c>
      <c r="G15" s="31">
        <v>613311</v>
      </c>
      <c r="H15" s="25">
        <f t="shared" si="2"/>
        <v>423</v>
      </c>
      <c r="I15" s="12">
        <v>102</v>
      </c>
      <c r="J15" s="12">
        <v>273</v>
      </c>
    </row>
    <row r="16" spans="1:10" ht="45" customHeight="1">
      <c r="A16" s="24">
        <v>44754</v>
      </c>
      <c r="B16" s="53"/>
      <c r="C16" s="31">
        <v>30981.019999999997</v>
      </c>
      <c r="D16" s="25">
        <f t="shared" si="0"/>
        <v>29.189999999995052</v>
      </c>
      <c r="E16" s="31">
        <v>3243352</v>
      </c>
      <c r="F16" s="25">
        <f t="shared" si="1"/>
        <v>1153</v>
      </c>
      <c r="G16" s="31">
        <v>613726</v>
      </c>
      <c r="H16" s="25">
        <f t="shared" si="2"/>
        <v>415</v>
      </c>
      <c r="I16" s="12">
        <v>128</v>
      </c>
      <c r="J16" s="12">
        <v>321</v>
      </c>
    </row>
    <row r="17" spans="1:15" ht="45" customHeight="1">
      <c r="A17" s="24">
        <v>44755</v>
      </c>
      <c r="B17" s="53"/>
      <c r="C17" s="31">
        <v>31009.140000000003</v>
      </c>
      <c r="D17" s="25">
        <f t="shared" si="0"/>
        <v>28.120000000006257</v>
      </c>
      <c r="E17" s="31">
        <v>3244409</v>
      </c>
      <c r="F17" s="25">
        <f t="shared" si="1"/>
        <v>1057</v>
      </c>
      <c r="G17" s="31">
        <v>614149</v>
      </c>
      <c r="H17" s="25">
        <f t="shared" si="2"/>
        <v>423</v>
      </c>
      <c r="I17" s="12">
        <v>135</v>
      </c>
      <c r="J17" s="12">
        <v>348</v>
      </c>
    </row>
    <row r="18" spans="1:15" ht="45" customHeight="1">
      <c r="A18" s="24">
        <v>44756</v>
      </c>
      <c r="B18" s="53"/>
      <c r="C18" s="31">
        <v>31037.06</v>
      </c>
      <c r="D18" s="25">
        <f t="shared" si="0"/>
        <v>27.919999999998254</v>
      </c>
      <c r="E18" s="31">
        <v>3245562</v>
      </c>
      <c r="F18" s="25">
        <f t="shared" si="1"/>
        <v>1153</v>
      </c>
      <c r="G18" s="31">
        <v>614579</v>
      </c>
      <c r="H18" s="25">
        <f t="shared" si="2"/>
        <v>430</v>
      </c>
      <c r="I18" s="12">
        <v>133</v>
      </c>
      <c r="J18" s="12">
        <v>295</v>
      </c>
    </row>
    <row r="19" spans="1:15" ht="45" customHeight="1">
      <c r="A19" s="24">
        <v>44757</v>
      </c>
      <c r="B19" s="53"/>
      <c r="C19" s="31">
        <v>31064.680000000008</v>
      </c>
      <c r="D19" s="25">
        <f t="shared" si="0"/>
        <v>27.620000000006257</v>
      </c>
      <c r="E19" s="31">
        <v>3246709</v>
      </c>
      <c r="F19" s="25">
        <f t="shared" si="1"/>
        <v>1147</v>
      </c>
      <c r="G19" s="31">
        <v>614967</v>
      </c>
      <c r="H19" s="25">
        <f t="shared" si="2"/>
        <v>388</v>
      </c>
      <c r="I19" s="12">
        <v>126</v>
      </c>
      <c r="J19" s="12">
        <v>287</v>
      </c>
    </row>
    <row r="20" spans="1:15" ht="45" customHeight="1">
      <c r="A20" s="24">
        <v>44758</v>
      </c>
      <c r="B20" s="53"/>
      <c r="C20" s="31">
        <v>31093.350000000002</v>
      </c>
      <c r="D20" s="25">
        <f t="shared" si="0"/>
        <v>28.669999999994616</v>
      </c>
      <c r="E20" s="31">
        <v>3247907</v>
      </c>
      <c r="F20" s="25">
        <f t="shared" si="1"/>
        <v>1198</v>
      </c>
      <c r="G20" s="31">
        <v>615425</v>
      </c>
      <c r="H20" s="25">
        <f t="shared" si="2"/>
        <v>458</v>
      </c>
      <c r="I20" s="12">
        <v>118</v>
      </c>
      <c r="J20" s="12">
        <v>337</v>
      </c>
    </row>
    <row r="21" spans="1:15" ht="45" customHeight="1">
      <c r="A21" s="24">
        <v>44759</v>
      </c>
      <c r="B21" s="53"/>
      <c r="C21" s="31">
        <v>31120.68</v>
      </c>
      <c r="D21" s="25">
        <f t="shared" si="0"/>
        <v>27.329999999998108</v>
      </c>
      <c r="E21" s="31">
        <v>3249019</v>
      </c>
      <c r="F21" s="25">
        <f t="shared" si="1"/>
        <v>1112</v>
      </c>
      <c r="G21" s="31">
        <v>615847</v>
      </c>
      <c r="H21" s="25">
        <f t="shared" si="2"/>
        <v>422</v>
      </c>
      <c r="I21" s="12">
        <v>92</v>
      </c>
      <c r="J21" s="12">
        <v>257</v>
      </c>
    </row>
    <row r="22" spans="1:15" ht="45" customHeight="1">
      <c r="A22" s="24">
        <v>44760</v>
      </c>
      <c r="B22" s="53"/>
      <c r="C22" s="31">
        <v>31147.999999999996</v>
      </c>
      <c r="D22" s="25">
        <f t="shared" si="0"/>
        <v>27.319999999996071</v>
      </c>
      <c r="E22" s="31">
        <v>3250141</v>
      </c>
      <c r="F22" s="25">
        <f t="shared" si="1"/>
        <v>1122</v>
      </c>
      <c r="G22" s="31">
        <v>616254</v>
      </c>
      <c r="H22" s="25">
        <f t="shared" si="2"/>
        <v>407</v>
      </c>
      <c r="I22" s="12">
        <v>103</v>
      </c>
      <c r="J22" s="12">
        <v>232</v>
      </c>
    </row>
    <row r="23" spans="1:15" ht="45" customHeight="1">
      <c r="A23" s="24">
        <v>44761</v>
      </c>
      <c r="B23" s="53"/>
      <c r="C23" s="31">
        <v>31175.809999999998</v>
      </c>
      <c r="D23" s="25">
        <f>IF((C23-C22&lt;0), "0",C23-C22)</f>
        <v>27.81000000000131</v>
      </c>
      <c r="E23" s="31">
        <v>3251255</v>
      </c>
      <c r="F23" s="25">
        <f t="shared" si="1"/>
        <v>1114</v>
      </c>
      <c r="G23" s="31">
        <v>616661</v>
      </c>
      <c r="H23" s="25">
        <f t="shared" si="2"/>
        <v>407</v>
      </c>
      <c r="I23" s="12">
        <v>141</v>
      </c>
      <c r="J23" s="12">
        <v>254</v>
      </c>
    </row>
    <row r="24" spans="1:15" ht="45" customHeight="1">
      <c r="A24" s="24">
        <v>44762</v>
      </c>
      <c r="B24" s="53"/>
      <c r="C24" s="31">
        <v>31207.329999999994</v>
      </c>
      <c r="D24" s="25">
        <f t="shared" ref="D24:D35" si="3">IF((C24-C23&lt;0), "0",C24-C23)</f>
        <v>31.519999999996799</v>
      </c>
      <c r="E24" s="31">
        <v>3252407</v>
      </c>
      <c r="F24" s="25">
        <f t="shared" si="1"/>
        <v>1152</v>
      </c>
      <c r="G24" s="31">
        <v>617134</v>
      </c>
      <c r="H24" s="25">
        <f t="shared" si="2"/>
        <v>473</v>
      </c>
      <c r="I24" s="12">
        <v>162</v>
      </c>
      <c r="J24" s="12">
        <v>270</v>
      </c>
    </row>
    <row r="25" spans="1:15" ht="45" customHeight="1">
      <c r="A25" s="24">
        <v>44763</v>
      </c>
      <c r="B25" s="53"/>
      <c r="C25" s="31">
        <v>31234.15</v>
      </c>
      <c r="D25" s="25">
        <f t="shared" si="3"/>
        <v>26.820000000006985</v>
      </c>
      <c r="E25" s="31">
        <v>3253536</v>
      </c>
      <c r="F25" s="25">
        <f t="shared" si="1"/>
        <v>1129</v>
      </c>
      <c r="G25" s="31">
        <v>617538</v>
      </c>
      <c r="H25" s="25">
        <f t="shared" si="2"/>
        <v>404</v>
      </c>
      <c r="I25" s="12">
        <v>171</v>
      </c>
      <c r="J25" s="12">
        <v>299</v>
      </c>
    </row>
    <row r="26" spans="1:15" ht="45" customHeight="1">
      <c r="A26" s="24">
        <v>44764</v>
      </c>
      <c r="B26" s="53"/>
      <c r="C26" s="31">
        <v>31260.15</v>
      </c>
      <c r="D26" s="25">
        <f t="shared" si="3"/>
        <v>26</v>
      </c>
      <c r="E26" s="31">
        <v>3254652</v>
      </c>
      <c r="F26" s="25">
        <f t="shared" si="1"/>
        <v>1116</v>
      </c>
      <c r="G26" s="31">
        <v>617981</v>
      </c>
      <c r="H26" s="25">
        <f t="shared" si="2"/>
        <v>443</v>
      </c>
      <c r="I26" s="12">
        <v>148</v>
      </c>
      <c r="J26" s="12">
        <v>324</v>
      </c>
    </row>
    <row r="27" spans="1:15" ht="45" customHeight="1">
      <c r="A27" s="24">
        <v>44765</v>
      </c>
      <c r="B27" s="53"/>
      <c r="C27" s="31">
        <v>31286.309999999998</v>
      </c>
      <c r="D27" s="25">
        <f t="shared" si="3"/>
        <v>26.159999999996217</v>
      </c>
      <c r="E27" s="31">
        <v>3255769</v>
      </c>
      <c r="F27" s="25">
        <f t="shared" si="1"/>
        <v>1117</v>
      </c>
      <c r="G27" s="31">
        <v>618388</v>
      </c>
      <c r="H27" s="25">
        <f t="shared" si="2"/>
        <v>407</v>
      </c>
      <c r="I27" s="12">
        <v>103</v>
      </c>
      <c r="J27" s="12">
        <v>307</v>
      </c>
    </row>
    <row r="28" spans="1:15" ht="45" customHeight="1">
      <c r="A28" s="24">
        <v>44766</v>
      </c>
      <c r="B28" s="53"/>
      <c r="C28" s="31">
        <v>31312.370000000003</v>
      </c>
      <c r="D28" s="25">
        <f t="shared" si="3"/>
        <v>26.060000000004948</v>
      </c>
      <c r="E28" s="31">
        <v>3256810</v>
      </c>
      <c r="F28" s="25">
        <f t="shared" si="1"/>
        <v>1041</v>
      </c>
      <c r="G28" s="31">
        <v>618804</v>
      </c>
      <c r="H28" s="25">
        <f t="shared" si="2"/>
        <v>416</v>
      </c>
      <c r="I28" s="12">
        <v>103</v>
      </c>
      <c r="J28" s="12">
        <v>239</v>
      </c>
    </row>
    <row r="29" spans="1:15" ht="45" customHeight="1">
      <c r="A29" s="24">
        <v>44767</v>
      </c>
      <c r="B29" s="53"/>
      <c r="C29" s="31">
        <v>31338.230000000003</v>
      </c>
      <c r="D29" s="25">
        <f t="shared" si="3"/>
        <v>25.860000000000582</v>
      </c>
      <c r="E29" s="31">
        <v>3257818</v>
      </c>
      <c r="F29" s="25">
        <f t="shared" si="1"/>
        <v>1008</v>
      </c>
      <c r="G29" s="31">
        <v>619202</v>
      </c>
      <c r="H29" s="25">
        <f t="shared" si="2"/>
        <v>398</v>
      </c>
      <c r="I29" s="12">
        <v>114</v>
      </c>
      <c r="J29" s="12">
        <v>220</v>
      </c>
    </row>
    <row r="30" spans="1:15" ht="45" customHeight="1">
      <c r="A30" s="24">
        <v>44768</v>
      </c>
      <c r="B30" s="53"/>
      <c r="C30" s="31">
        <v>31364.589999999997</v>
      </c>
      <c r="D30" s="25">
        <f t="shared" si="3"/>
        <v>26.359999999993306</v>
      </c>
      <c r="E30" s="31">
        <v>3258891</v>
      </c>
      <c r="F30" s="25">
        <f t="shared" si="1"/>
        <v>1073</v>
      </c>
      <c r="G30" s="31">
        <v>619636</v>
      </c>
      <c r="H30" s="25">
        <f t="shared" si="2"/>
        <v>434</v>
      </c>
      <c r="I30" s="12">
        <v>119</v>
      </c>
      <c r="J30" s="12">
        <v>344</v>
      </c>
      <c r="O30" s="34"/>
    </row>
    <row r="31" spans="1:15" ht="45" customHeight="1">
      <c r="A31" s="24">
        <v>44769</v>
      </c>
      <c r="B31" s="53"/>
      <c r="C31" s="31">
        <v>31389.64</v>
      </c>
      <c r="D31" s="25">
        <f t="shared" si="3"/>
        <v>25.05000000000291</v>
      </c>
      <c r="E31" s="31">
        <v>3259998</v>
      </c>
      <c r="F31" s="25">
        <f t="shared" si="1"/>
        <v>1107</v>
      </c>
      <c r="G31" s="31">
        <v>620057</v>
      </c>
      <c r="H31" s="25">
        <f t="shared" si="2"/>
        <v>421</v>
      </c>
      <c r="I31" s="12">
        <v>118</v>
      </c>
      <c r="J31" s="12">
        <v>333</v>
      </c>
    </row>
    <row r="32" spans="1:15" ht="45" customHeight="1">
      <c r="A32" s="24">
        <v>44770</v>
      </c>
      <c r="B32" s="53"/>
      <c r="C32" s="31">
        <v>31415.17</v>
      </c>
      <c r="D32" s="25">
        <f t="shared" si="3"/>
        <v>25.529999999998836</v>
      </c>
      <c r="E32" s="31">
        <v>3261111</v>
      </c>
      <c r="F32" s="25">
        <f t="shared" si="1"/>
        <v>1113</v>
      </c>
      <c r="G32" s="31">
        <v>620488</v>
      </c>
      <c r="H32" s="25">
        <f t="shared" si="2"/>
        <v>431</v>
      </c>
      <c r="I32" s="12">
        <v>99</v>
      </c>
      <c r="J32" s="12">
        <v>311</v>
      </c>
    </row>
    <row r="33" spans="1:10" ht="36" customHeight="1">
      <c r="A33" s="24">
        <v>44771</v>
      </c>
      <c r="B33" s="36"/>
      <c r="C33" s="31">
        <v>31442.87</v>
      </c>
      <c r="D33" s="25">
        <f t="shared" si="3"/>
        <v>27.700000000000728</v>
      </c>
      <c r="E33" s="31">
        <v>3262276</v>
      </c>
      <c r="F33" s="25">
        <f t="shared" si="1"/>
        <v>1165</v>
      </c>
      <c r="G33" s="31">
        <v>620958</v>
      </c>
      <c r="H33" s="25">
        <f t="shared" si="2"/>
        <v>470</v>
      </c>
      <c r="I33" s="12">
        <v>102</v>
      </c>
      <c r="J33" s="12">
        <v>246</v>
      </c>
    </row>
    <row r="34" spans="1:10" ht="45.6" customHeight="1">
      <c r="A34" s="24">
        <v>44772</v>
      </c>
      <c r="B34" s="49"/>
      <c r="C34" s="41">
        <v>31469.300000000003</v>
      </c>
      <c r="D34" s="50">
        <f t="shared" si="3"/>
        <v>26.430000000003929</v>
      </c>
      <c r="E34" s="31">
        <v>3263431</v>
      </c>
      <c r="F34" s="32">
        <f t="shared" si="1"/>
        <v>1155</v>
      </c>
      <c r="G34" s="31">
        <v>621382</v>
      </c>
      <c r="H34" s="25">
        <f t="shared" si="2"/>
        <v>424</v>
      </c>
      <c r="I34" s="33">
        <v>86</v>
      </c>
      <c r="J34" s="33">
        <v>287</v>
      </c>
    </row>
    <row r="35" spans="1:10" ht="36.75" customHeight="1">
      <c r="A35" s="24">
        <v>44773</v>
      </c>
      <c r="B35" s="49"/>
      <c r="C35" s="51">
        <v>31498.82</v>
      </c>
      <c r="D35" s="25">
        <f t="shared" si="3"/>
        <v>29.519999999996799</v>
      </c>
      <c r="E35" s="35">
        <v>3264680</v>
      </c>
      <c r="F35" s="25">
        <f t="shared" si="1"/>
        <v>1249</v>
      </c>
      <c r="G35" s="35">
        <v>621840</v>
      </c>
      <c r="H35" s="25">
        <f t="shared" si="2"/>
        <v>458</v>
      </c>
      <c r="I35" s="12">
        <v>76</v>
      </c>
      <c r="J35" s="12">
        <v>208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Domi Su</cp:lastModifiedBy>
  <cp:lastPrinted>2020-10-01T03:34:29Z</cp:lastPrinted>
  <dcterms:created xsi:type="dcterms:W3CDTF">2009-02-11T09:03:59Z</dcterms:created>
  <dcterms:modified xsi:type="dcterms:W3CDTF">2023-03-24T06:15:21Z</dcterms:modified>
</cp:coreProperties>
</file>