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"/>
    </mc:Choice>
  </mc:AlternateContent>
  <bookViews>
    <workbookView xWindow="-105" yWindow="-105" windowWidth="19425" windowHeight="10425" tabRatio="816"/>
  </bookViews>
  <sheets>
    <sheet name="TOTAL" sheetId="36" r:id="rId1"/>
    <sheet name="SUBMETERING" sheetId="31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6" l="1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S35" i="31" l="1"/>
  <c r="T35" i="31" s="1"/>
  <c r="S34" i="31"/>
  <c r="T34" i="31" s="1"/>
  <c r="S33" i="31"/>
  <c r="T33" i="31" s="1"/>
  <c r="S32" i="31"/>
  <c r="T32" i="31" s="1"/>
  <c r="S31" i="31"/>
  <c r="T31" i="31" s="1"/>
  <c r="S30" i="31"/>
  <c r="T30" i="31" s="1"/>
  <c r="S29" i="31"/>
  <c r="T29" i="31" s="1"/>
  <c r="S28" i="31"/>
  <c r="T28" i="31" s="1"/>
  <c r="S27" i="31"/>
  <c r="T27" i="31" s="1"/>
  <c r="S26" i="31"/>
  <c r="T26" i="31" s="1"/>
  <c r="S25" i="31"/>
  <c r="T25" i="31" s="1"/>
  <c r="S24" i="31"/>
  <c r="T24" i="31" s="1"/>
  <c r="S23" i="31"/>
  <c r="T23" i="31" s="1"/>
  <c r="S22" i="31"/>
  <c r="T22" i="31" s="1"/>
  <c r="S21" i="31"/>
  <c r="T21" i="31" s="1"/>
  <c r="S20" i="31"/>
  <c r="T20" i="31" s="1"/>
  <c r="S19" i="31"/>
  <c r="T19" i="31" s="1"/>
  <c r="S18" i="31"/>
  <c r="T18" i="31" s="1"/>
  <c r="S17" i="31"/>
  <c r="T17" i="31" s="1"/>
  <c r="S16" i="31"/>
  <c r="T16" i="31" s="1"/>
  <c r="S15" i="31"/>
  <c r="T15" i="31" s="1"/>
  <c r="S14" i="31"/>
  <c r="T14" i="31" s="1"/>
  <c r="S13" i="31"/>
  <c r="T13" i="31" s="1"/>
  <c r="S12" i="31"/>
  <c r="T12" i="31" s="1"/>
  <c r="S11" i="31"/>
  <c r="T11" i="31" s="1"/>
  <c r="S10" i="31"/>
  <c r="T10" i="31" s="1"/>
  <c r="S9" i="31"/>
  <c r="T9" i="31" s="1"/>
  <c r="S8" i="31"/>
  <c r="T8" i="31" s="1"/>
  <c r="S7" i="31"/>
  <c r="T7" i="31" s="1"/>
  <c r="S6" i="31"/>
  <c r="T6" i="31" s="1"/>
  <c r="S5" i="31"/>
  <c r="S37" i="31" s="1"/>
  <c r="Q35" i="31"/>
  <c r="R35" i="31" s="1"/>
  <c r="Q34" i="31"/>
  <c r="R34" i="31" s="1"/>
  <c r="Q33" i="31"/>
  <c r="R33" i="31" s="1"/>
  <c r="Q32" i="31"/>
  <c r="R32" i="31" s="1"/>
  <c r="Q31" i="31"/>
  <c r="R31" i="31" s="1"/>
  <c r="Q30" i="31"/>
  <c r="R30" i="31" s="1"/>
  <c r="Q29" i="31"/>
  <c r="R29" i="31" s="1"/>
  <c r="Q28" i="31"/>
  <c r="R28" i="31" s="1"/>
  <c r="Q27" i="31"/>
  <c r="R27" i="31" s="1"/>
  <c r="Q26" i="31"/>
  <c r="R26" i="31" s="1"/>
  <c r="Q25" i="31"/>
  <c r="R25" i="31" s="1"/>
  <c r="Q24" i="31"/>
  <c r="R24" i="31" s="1"/>
  <c r="Q23" i="31"/>
  <c r="R23" i="31" s="1"/>
  <c r="Q22" i="31"/>
  <c r="R22" i="31" s="1"/>
  <c r="Q21" i="31"/>
  <c r="R21" i="31" s="1"/>
  <c r="Q20" i="31"/>
  <c r="R20" i="31" s="1"/>
  <c r="Q19" i="31"/>
  <c r="R19" i="31" s="1"/>
  <c r="Q18" i="31"/>
  <c r="R18" i="31" s="1"/>
  <c r="Q17" i="31"/>
  <c r="R17" i="31" s="1"/>
  <c r="Q16" i="31"/>
  <c r="R16" i="31" s="1"/>
  <c r="Q15" i="31"/>
  <c r="R15" i="31" s="1"/>
  <c r="Q14" i="31"/>
  <c r="R14" i="31" s="1"/>
  <c r="Q13" i="31"/>
  <c r="R13" i="31" s="1"/>
  <c r="Q12" i="31"/>
  <c r="R12" i="31" s="1"/>
  <c r="Q11" i="31"/>
  <c r="R11" i="31" s="1"/>
  <c r="Q10" i="31"/>
  <c r="R10" i="31" s="1"/>
  <c r="Q9" i="31"/>
  <c r="R9" i="31" s="1"/>
  <c r="Q8" i="31"/>
  <c r="R8" i="31" s="1"/>
  <c r="Q7" i="31"/>
  <c r="R7" i="31" s="1"/>
  <c r="Q6" i="31"/>
  <c r="R6" i="31" s="1"/>
  <c r="Q5" i="31"/>
  <c r="O35" i="31"/>
  <c r="P35" i="31" s="1"/>
  <c r="O34" i="31"/>
  <c r="P34" i="31" s="1"/>
  <c r="O33" i="31"/>
  <c r="P33" i="31" s="1"/>
  <c r="O32" i="31"/>
  <c r="P32" i="31" s="1"/>
  <c r="O31" i="31"/>
  <c r="P31" i="31" s="1"/>
  <c r="O30" i="31"/>
  <c r="P30" i="31" s="1"/>
  <c r="O29" i="31"/>
  <c r="P29" i="31" s="1"/>
  <c r="O28" i="31"/>
  <c r="P28" i="31" s="1"/>
  <c r="O27" i="31"/>
  <c r="P27" i="31" s="1"/>
  <c r="O26" i="31"/>
  <c r="P26" i="31" s="1"/>
  <c r="O25" i="31"/>
  <c r="P25" i="31" s="1"/>
  <c r="O24" i="31"/>
  <c r="P24" i="31" s="1"/>
  <c r="O23" i="31"/>
  <c r="P23" i="31" s="1"/>
  <c r="O22" i="31"/>
  <c r="P22" i="31" s="1"/>
  <c r="O21" i="31"/>
  <c r="P21" i="31" s="1"/>
  <c r="O20" i="31"/>
  <c r="P20" i="31" s="1"/>
  <c r="O19" i="31"/>
  <c r="P19" i="31" s="1"/>
  <c r="O18" i="31"/>
  <c r="P18" i="31" s="1"/>
  <c r="O17" i="31"/>
  <c r="P17" i="31" s="1"/>
  <c r="O16" i="31"/>
  <c r="P16" i="31" s="1"/>
  <c r="O15" i="31"/>
  <c r="P15" i="31" s="1"/>
  <c r="O14" i="31"/>
  <c r="P14" i="31" s="1"/>
  <c r="O13" i="31"/>
  <c r="P13" i="31" s="1"/>
  <c r="O12" i="31"/>
  <c r="P12" i="31" s="1"/>
  <c r="O11" i="31"/>
  <c r="P11" i="31" s="1"/>
  <c r="O10" i="31"/>
  <c r="P10" i="31" s="1"/>
  <c r="O9" i="31"/>
  <c r="P9" i="31" s="1"/>
  <c r="O8" i="31"/>
  <c r="O7" i="31"/>
  <c r="P7" i="31" s="1"/>
  <c r="O6" i="31"/>
  <c r="P6" i="31" s="1"/>
  <c r="O5" i="31"/>
  <c r="P5" i="31" s="1"/>
  <c r="M35" i="31"/>
  <c r="N35" i="31" s="1"/>
  <c r="M34" i="31"/>
  <c r="N34" i="31" s="1"/>
  <c r="M33" i="31"/>
  <c r="N33" i="31" s="1"/>
  <c r="M32" i="31"/>
  <c r="N32" i="31" s="1"/>
  <c r="M31" i="31"/>
  <c r="N31" i="31" s="1"/>
  <c r="M30" i="31"/>
  <c r="N30" i="31" s="1"/>
  <c r="M29" i="31"/>
  <c r="N29" i="31" s="1"/>
  <c r="M28" i="31"/>
  <c r="N28" i="31" s="1"/>
  <c r="M27" i="31"/>
  <c r="N27" i="31" s="1"/>
  <c r="M26" i="31"/>
  <c r="N26" i="31" s="1"/>
  <c r="M25" i="31"/>
  <c r="N25" i="31" s="1"/>
  <c r="M24" i="31"/>
  <c r="N24" i="31" s="1"/>
  <c r="M23" i="31"/>
  <c r="N23" i="31" s="1"/>
  <c r="M22" i="31"/>
  <c r="N22" i="31" s="1"/>
  <c r="M21" i="31"/>
  <c r="N21" i="31" s="1"/>
  <c r="M20" i="31"/>
  <c r="N20" i="31" s="1"/>
  <c r="N19" i="31"/>
  <c r="M19" i="31"/>
  <c r="M18" i="31"/>
  <c r="N18" i="31" s="1"/>
  <c r="M17" i="31"/>
  <c r="N17" i="31" s="1"/>
  <c r="M16" i="31"/>
  <c r="N16" i="31" s="1"/>
  <c r="N15" i="31"/>
  <c r="M15" i="31"/>
  <c r="M14" i="31"/>
  <c r="N14" i="31" s="1"/>
  <c r="M13" i="31"/>
  <c r="N13" i="31" s="1"/>
  <c r="M12" i="31"/>
  <c r="N12" i="31" s="1"/>
  <c r="M11" i="31"/>
  <c r="N11" i="31" s="1"/>
  <c r="M10" i="31"/>
  <c r="N10" i="31" s="1"/>
  <c r="M9" i="31"/>
  <c r="N9" i="31" s="1"/>
  <c r="M8" i="31"/>
  <c r="N8" i="31" s="1"/>
  <c r="M7" i="31"/>
  <c r="N7" i="31" s="1"/>
  <c r="M6" i="31"/>
  <c r="N6" i="31" s="1"/>
  <c r="M5" i="31"/>
  <c r="N5" i="31" s="1"/>
  <c r="I35" i="31"/>
  <c r="J35" i="31" s="1"/>
  <c r="I34" i="31"/>
  <c r="J34" i="31" s="1"/>
  <c r="I33" i="31"/>
  <c r="J33" i="31" s="1"/>
  <c r="I32" i="31"/>
  <c r="J32" i="31" s="1"/>
  <c r="I31" i="31"/>
  <c r="J31" i="31" s="1"/>
  <c r="I30" i="31"/>
  <c r="J30" i="31" s="1"/>
  <c r="I29" i="31"/>
  <c r="J29" i="31" s="1"/>
  <c r="I28" i="31"/>
  <c r="J28" i="31" s="1"/>
  <c r="I27" i="31"/>
  <c r="J27" i="31" s="1"/>
  <c r="I26" i="31"/>
  <c r="J26" i="31" s="1"/>
  <c r="I25" i="31"/>
  <c r="J25" i="31" s="1"/>
  <c r="I24" i="31"/>
  <c r="J24" i="31" s="1"/>
  <c r="I23" i="31"/>
  <c r="J23" i="31" s="1"/>
  <c r="I22" i="31"/>
  <c r="J22" i="31" s="1"/>
  <c r="I21" i="31"/>
  <c r="J21" i="31" s="1"/>
  <c r="I20" i="31"/>
  <c r="J20" i="31" s="1"/>
  <c r="I19" i="31"/>
  <c r="J19" i="31" s="1"/>
  <c r="I18" i="31"/>
  <c r="J18" i="31" s="1"/>
  <c r="I17" i="31"/>
  <c r="J17" i="31" s="1"/>
  <c r="I16" i="31"/>
  <c r="J16" i="31" s="1"/>
  <c r="I15" i="31"/>
  <c r="J15" i="31" s="1"/>
  <c r="I14" i="31"/>
  <c r="J14" i="31" s="1"/>
  <c r="I13" i="31"/>
  <c r="J13" i="31" s="1"/>
  <c r="I12" i="31"/>
  <c r="J12" i="31" s="1"/>
  <c r="I11" i="31"/>
  <c r="J11" i="31" s="1"/>
  <c r="I10" i="31"/>
  <c r="J10" i="31" s="1"/>
  <c r="I9" i="31"/>
  <c r="J9" i="31" s="1"/>
  <c r="I8" i="31"/>
  <c r="I7" i="31"/>
  <c r="J7" i="31" s="1"/>
  <c r="I6" i="31"/>
  <c r="J6" i="31" s="1"/>
  <c r="I5" i="31"/>
  <c r="J5" i="31" s="1"/>
  <c r="G35" i="31"/>
  <c r="H35" i="31" s="1"/>
  <c r="G34" i="31"/>
  <c r="H34" i="31" s="1"/>
  <c r="G33" i="31"/>
  <c r="H33" i="31" s="1"/>
  <c r="G32" i="31"/>
  <c r="H32" i="31" s="1"/>
  <c r="G31" i="31"/>
  <c r="H31" i="31" s="1"/>
  <c r="G30" i="31"/>
  <c r="H30" i="31" s="1"/>
  <c r="G29" i="31"/>
  <c r="H29" i="31" s="1"/>
  <c r="G28" i="31"/>
  <c r="H28" i="31" s="1"/>
  <c r="G27" i="31"/>
  <c r="H27" i="31" s="1"/>
  <c r="G26" i="31"/>
  <c r="H26" i="31" s="1"/>
  <c r="G25" i="31"/>
  <c r="H25" i="31" s="1"/>
  <c r="G24" i="31"/>
  <c r="H24" i="31" s="1"/>
  <c r="G23" i="31"/>
  <c r="H23" i="31" s="1"/>
  <c r="G22" i="31"/>
  <c r="H22" i="31" s="1"/>
  <c r="G21" i="31"/>
  <c r="H21" i="31" s="1"/>
  <c r="G20" i="31"/>
  <c r="H20" i="31" s="1"/>
  <c r="G19" i="31"/>
  <c r="H19" i="31" s="1"/>
  <c r="G18" i="31"/>
  <c r="H18" i="31" s="1"/>
  <c r="G17" i="31"/>
  <c r="H17" i="31" s="1"/>
  <c r="G16" i="31"/>
  <c r="H16" i="31" s="1"/>
  <c r="G15" i="31"/>
  <c r="H15" i="31" s="1"/>
  <c r="G14" i="31"/>
  <c r="H14" i="31" s="1"/>
  <c r="G13" i="31"/>
  <c r="H13" i="31" s="1"/>
  <c r="G12" i="31"/>
  <c r="H12" i="31" s="1"/>
  <c r="G11" i="31"/>
  <c r="H11" i="31" s="1"/>
  <c r="G10" i="31"/>
  <c r="H10" i="31" s="1"/>
  <c r="G9" i="31"/>
  <c r="H9" i="31" s="1"/>
  <c r="G8" i="31"/>
  <c r="H8" i="31" s="1"/>
  <c r="G7" i="31"/>
  <c r="H7" i="31" s="1"/>
  <c r="G6" i="31"/>
  <c r="H6" i="31" s="1"/>
  <c r="G5" i="31"/>
  <c r="H5" i="31" s="1"/>
  <c r="H37" i="31" s="1"/>
  <c r="E35" i="31"/>
  <c r="F35" i="31" s="1"/>
  <c r="E34" i="31"/>
  <c r="F34" i="31" s="1"/>
  <c r="E33" i="31"/>
  <c r="F33" i="31" s="1"/>
  <c r="E32" i="31"/>
  <c r="F32" i="31" s="1"/>
  <c r="E31" i="31"/>
  <c r="F31" i="31" s="1"/>
  <c r="E30" i="31"/>
  <c r="F30" i="31" s="1"/>
  <c r="E29" i="31"/>
  <c r="F29" i="31" s="1"/>
  <c r="E28" i="31"/>
  <c r="F28" i="31" s="1"/>
  <c r="E27" i="31"/>
  <c r="F27" i="31" s="1"/>
  <c r="E26" i="31"/>
  <c r="F26" i="31" s="1"/>
  <c r="E25" i="31"/>
  <c r="F25" i="31" s="1"/>
  <c r="E24" i="31"/>
  <c r="F24" i="31" s="1"/>
  <c r="E23" i="31"/>
  <c r="F23" i="31" s="1"/>
  <c r="E22" i="31"/>
  <c r="F22" i="31" s="1"/>
  <c r="E21" i="31"/>
  <c r="F21" i="31" s="1"/>
  <c r="E20" i="31"/>
  <c r="F20" i="31" s="1"/>
  <c r="E19" i="31"/>
  <c r="F19" i="31" s="1"/>
  <c r="E18" i="31"/>
  <c r="F18" i="31" s="1"/>
  <c r="E17" i="31"/>
  <c r="F17" i="31" s="1"/>
  <c r="E16" i="31"/>
  <c r="F16" i="31" s="1"/>
  <c r="E15" i="31"/>
  <c r="F15" i="31" s="1"/>
  <c r="E14" i="31"/>
  <c r="F14" i="31" s="1"/>
  <c r="E13" i="31"/>
  <c r="F13" i="31" s="1"/>
  <c r="E12" i="31"/>
  <c r="F12" i="31" s="1"/>
  <c r="E11" i="31"/>
  <c r="F11" i="31" s="1"/>
  <c r="E10" i="31"/>
  <c r="F10" i="31" s="1"/>
  <c r="E9" i="31"/>
  <c r="F9" i="31" s="1"/>
  <c r="E8" i="31"/>
  <c r="F8" i="31" s="1"/>
  <c r="E7" i="31"/>
  <c r="F7" i="31" s="1"/>
  <c r="E6" i="31"/>
  <c r="F6" i="31" s="1"/>
  <c r="E5" i="31"/>
  <c r="F5" i="31" s="1"/>
  <c r="F37" i="31" s="1"/>
  <c r="T5" i="31" l="1"/>
  <c r="I37" i="31"/>
  <c r="K25" i="31"/>
  <c r="L25" i="31" s="1"/>
  <c r="K18" i="31"/>
  <c r="L18" i="31" s="1"/>
  <c r="K34" i="31"/>
  <c r="L34" i="31" s="1"/>
  <c r="Q37" i="31"/>
  <c r="K7" i="31"/>
  <c r="L7" i="31" s="1"/>
  <c r="K15" i="31"/>
  <c r="L15" i="31" s="1"/>
  <c r="K23" i="31"/>
  <c r="L23" i="31" s="1"/>
  <c r="K31" i="31"/>
  <c r="L31" i="31" s="1"/>
  <c r="K8" i="31"/>
  <c r="K16" i="31"/>
  <c r="L16" i="31" s="1"/>
  <c r="K24" i="31"/>
  <c r="L24" i="31" s="1"/>
  <c r="K32" i="31"/>
  <c r="L32" i="31" s="1"/>
  <c r="K10" i="31"/>
  <c r="L10" i="31" s="1"/>
  <c r="K26" i="31"/>
  <c r="L26" i="31" s="1"/>
  <c r="E37" i="31"/>
  <c r="K11" i="31"/>
  <c r="L11" i="31" s="1"/>
  <c r="K19" i="31"/>
  <c r="L19" i="31" s="1"/>
  <c r="K27" i="31"/>
  <c r="L27" i="31" s="1"/>
  <c r="K35" i="31"/>
  <c r="L35" i="31" s="1"/>
  <c r="K9" i="31"/>
  <c r="L9" i="31" s="1"/>
  <c r="K17" i="31"/>
  <c r="L17" i="31" s="1"/>
  <c r="K33" i="31"/>
  <c r="L33" i="31" s="1"/>
  <c r="K12" i="31"/>
  <c r="L12" i="31" s="1"/>
  <c r="K20" i="31"/>
  <c r="L20" i="31" s="1"/>
  <c r="K28" i="31"/>
  <c r="L28" i="31" s="1"/>
  <c r="G37" i="31"/>
  <c r="K5" i="31"/>
  <c r="L5" i="31" s="1"/>
  <c r="K13" i="31"/>
  <c r="L13" i="31" s="1"/>
  <c r="K21" i="31"/>
  <c r="L21" i="31" s="1"/>
  <c r="K29" i="31"/>
  <c r="L29" i="31" s="1"/>
  <c r="K6" i="31"/>
  <c r="L6" i="31" s="1"/>
  <c r="K14" i="31"/>
  <c r="L14" i="31" s="1"/>
  <c r="K22" i="31"/>
  <c r="L22" i="31" s="1"/>
  <c r="K30" i="31"/>
  <c r="L30" i="31" s="1"/>
  <c r="O37" i="31"/>
  <c r="T37" i="31"/>
  <c r="R5" i="31"/>
  <c r="R37" i="31" s="1"/>
  <c r="P8" i="31"/>
  <c r="P37" i="31" s="1"/>
  <c r="N37" i="31"/>
  <c r="M37" i="31"/>
  <c r="L8" i="31"/>
  <c r="J8" i="31"/>
  <c r="J37" i="31" s="1"/>
  <c r="M32" i="36"/>
  <c r="I32" i="36"/>
  <c r="E32" i="36"/>
  <c r="L37" i="31" l="1"/>
  <c r="K37" i="31"/>
  <c r="J32" i="36"/>
  <c r="H32" i="36"/>
  <c r="F32" i="36"/>
  <c r="B32" i="36"/>
  <c r="K32" i="36" l="1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F3" i="36"/>
  <c r="F4" i="36" s="1"/>
  <c r="F5" i="36" s="1"/>
  <c r="F6" i="36" s="1"/>
  <c r="F7" i="36" s="1"/>
  <c r="F8" i="36" s="1"/>
  <c r="F9" i="36" s="1"/>
  <c r="B3" i="36"/>
  <c r="N2" i="36"/>
  <c r="L32" i="36" l="1"/>
  <c r="F10" i="36"/>
  <c r="F11" i="36" s="1"/>
  <c r="F12" i="36" s="1"/>
  <c r="F13" i="36" s="1"/>
  <c r="F14" i="36" s="1"/>
  <c r="F15" i="36" s="1"/>
  <c r="F16" i="36" s="1"/>
  <c r="F17" i="36" s="1"/>
  <c r="H5" i="36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K10" i="36"/>
  <c r="K5" i="36"/>
  <c r="L10" i="36" l="1"/>
  <c r="L5" i="36"/>
  <c r="K18" i="36"/>
  <c r="K14" i="36"/>
  <c r="K30" i="36"/>
  <c r="K7" i="36"/>
  <c r="E2" i="36"/>
  <c r="E13" i="36"/>
  <c r="I28" i="36"/>
  <c r="E21" i="36"/>
  <c r="E5" i="36"/>
  <c r="I22" i="36"/>
  <c r="I18" i="36"/>
  <c r="I8" i="36"/>
  <c r="I23" i="36"/>
  <c r="I2" i="36"/>
  <c r="I11" i="36"/>
  <c r="I7" i="36"/>
  <c r="I29" i="36"/>
  <c r="E20" i="36"/>
  <c r="I16" i="36"/>
  <c r="E22" i="36"/>
  <c r="I14" i="36"/>
  <c r="I20" i="36"/>
  <c r="I27" i="36"/>
  <c r="I13" i="36"/>
  <c r="E16" i="36"/>
  <c r="I26" i="36"/>
  <c r="I3" i="36"/>
  <c r="F18" i="36"/>
  <c r="I9" i="36"/>
  <c r="E4" i="36"/>
  <c r="E3" i="36"/>
  <c r="E18" i="36" l="1"/>
  <c r="E30" i="36"/>
  <c r="K22" i="36"/>
  <c r="K19" i="36"/>
  <c r="K28" i="36"/>
  <c r="K21" i="36"/>
  <c r="K16" i="36"/>
  <c r="K9" i="36"/>
  <c r="K3" i="36"/>
  <c r="K13" i="36"/>
  <c r="K20" i="36"/>
  <c r="K2" i="36"/>
  <c r="K31" i="36"/>
  <c r="K12" i="36"/>
  <c r="K4" i="36"/>
  <c r="L14" i="36"/>
  <c r="K11" i="36"/>
  <c r="K24" i="36"/>
  <c r="L7" i="36"/>
  <c r="K8" i="36"/>
  <c r="K15" i="36"/>
  <c r="L30" i="36"/>
  <c r="K17" i="36"/>
  <c r="K23" i="36"/>
  <c r="K26" i="36"/>
  <c r="K6" i="36"/>
  <c r="K29" i="36"/>
  <c r="K27" i="36"/>
  <c r="L18" i="36"/>
  <c r="E28" i="36"/>
  <c r="E9" i="36"/>
  <c r="I21" i="36"/>
  <c r="I12" i="36"/>
  <c r="I30" i="36"/>
  <c r="I31" i="36"/>
  <c r="E24" i="36"/>
  <c r="I24" i="36"/>
  <c r="E26" i="36"/>
  <c r="I19" i="36"/>
  <c r="E29" i="36"/>
  <c r="E27" i="36"/>
  <c r="E12" i="36"/>
  <c r="I10" i="36"/>
  <c r="I17" i="36"/>
  <c r="U10" i="31"/>
  <c r="E7" i="36"/>
  <c r="I4" i="36"/>
  <c r="I15" i="36"/>
  <c r="E25" i="36"/>
  <c r="I25" i="36"/>
  <c r="I5" i="36"/>
  <c r="E19" i="36"/>
  <c r="E15" i="36"/>
  <c r="E31" i="36"/>
  <c r="E23" i="36"/>
  <c r="E14" i="36"/>
  <c r="I6" i="36"/>
  <c r="F19" i="36"/>
  <c r="U17" i="31"/>
  <c r="U6" i="31"/>
  <c r="U35" i="31" l="1"/>
  <c r="L26" i="36"/>
  <c r="L2" i="36"/>
  <c r="L9" i="36"/>
  <c r="L19" i="36"/>
  <c r="L6" i="36"/>
  <c r="L11" i="36"/>
  <c r="L31" i="36"/>
  <c r="L3" i="36"/>
  <c r="L28" i="36"/>
  <c r="L8" i="36"/>
  <c r="U16" i="31"/>
  <c r="L23" i="36"/>
  <c r="L16" i="36"/>
  <c r="L24" i="36"/>
  <c r="L21" i="36"/>
  <c r="L4" i="36"/>
  <c r="L22" i="36"/>
  <c r="L17" i="36"/>
  <c r="L13" i="36"/>
  <c r="L15" i="36"/>
  <c r="L27" i="36"/>
  <c r="L20" i="36"/>
  <c r="L29" i="36"/>
  <c r="L12" i="36"/>
  <c r="K25" i="36"/>
  <c r="O13" i="36"/>
  <c r="U7" i="31"/>
  <c r="O7" i="36"/>
  <c r="E8" i="36"/>
  <c r="U11" i="31"/>
  <c r="O14" i="36"/>
  <c r="O4" i="36"/>
  <c r="U9" i="31"/>
  <c r="E6" i="36"/>
  <c r="E10" i="36"/>
  <c r="O3" i="36"/>
  <c r="U30" i="31"/>
  <c r="E17" i="36"/>
  <c r="E11" i="36"/>
  <c r="F20" i="36"/>
  <c r="U25" i="31"/>
  <c r="U8" i="31"/>
  <c r="U32" i="31"/>
  <c r="U33" i="31"/>
  <c r="U27" i="31"/>
  <c r="U24" i="31"/>
  <c r="U23" i="31"/>
  <c r="U29" i="31"/>
  <c r="U21" i="31"/>
  <c r="U15" i="31"/>
  <c r="U26" i="31"/>
  <c r="O2" i="36"/>
  <c r="U22" i="31"/>
  <c r="U12" i="31"/>
  <c r="U34" i="31"/>
  <c r="U31" i="31"/>
  <c r="U18" i="31"/>
  <c r="U19" i="31"/>
  <c r="L25" i="36" l="1"/>
  <c r="U28" i="31"/>
  <c r="U13" i="31"/>
  <c r="O20" i="36"/>
  <c r="O5" i="36"/>
  <c r="O9" i="36"/>
  <c r="U20" i="31"/>
  <c r="O8" i="36"/>
  <c r="O18" i="36"/>
  <c r="U14" i="31"/>
  <c r="O16" i="36"/>
  <c r="O17" i="36"/>
  <c r="O19" i="36"/>
  <c r="O11" i="36"/>
  <c r="O12" i="36"/>
  <c r="O6" i="36"/>
  <c r="O10" i="36"/>
  <c r="O15" i="36"/>
  <c r="F21" i="36"/>
  <c r="U5" i="31"/>
  <c r="U37" i="31" s="1"/>
  <c r="F22" i="36" l="1"/>
  <c r="O21" i="36"/>
  <c r="F23" i="36" l="1"/>
  <c r="O22" i="36"/>
  <c r="F24" i="36" l="1"/>
  <c r="O23" i="36"/>
  <c r="F25" i="36" l="1"/>
  <c r="O24" i="36"/>
  <c r="F26" i="36" l="1"/>
  <c r="O25" i="36"/>
  <c r="F27" i="36" l="1"/>
  <c r="O26" i="36"/>
  <c r="F28" i="36" l="1"/>
  <c r="O27" i="36"/>
  <c r="F29" i="36" l="1"/>
  <c r="O28" i="36"/>
  <c r="O29" i="36" l="1"/>
  <c r="F30" i="36"/>
  <c r="F31" i="36" l="1"/>
  <c r="O30" i="36"/>
  <c r="O31" i="36" l="1"/>
</calcChain>
</file>

<file path=xl/sharedStrings.xml><?xml version="1.0" encoding="utf-8"?>
<sst xmlns="http://schemas.openxmlformats.org/spreadsheetml/2006/main" count="110" uniqueCount="68">
  <si>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</si>
  <si>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</si>
  <si>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</si>
  <si>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</si>
  <si>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</si>
  <si>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</si>
  <si>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</si>
  <si>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</si>
  <si>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</si>
  <si>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</si>
  <si>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</si>
  <si>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</si>
  <si>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</si>
  <si>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</si>
  <si>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</si>
  <si>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</si>
  <si>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r>
      <t xml:space="preserve">    UTILITIES CONSUMPTION REPORT(2020-11)  </t>
    </r>
    <r>
      <rPr>
        <b/>
        <sz val="10"/>
        <rFont val="仿宋"/>
        <family val="3"/>
        <charset val="134"/>
      </rPr>
      <t>电费从2019年8月1号开始下降改为0.675169/Kwh，天然气从2020年9月1号开始下降改为3.95/m³2020年裙楼空调冷量价格为291.66/Mw.h+每天固定人工等1655.02元</t>
    </r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</si>
  <si>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</si>
  <si>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</si>
  <si>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</si>
  <si>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</si>
  <si>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Kitchen Gas               厨房天然气                (RMB3.95/m³)</t>
  </si>
  <si>
    <t>Boiler Gas           锅炉天然气(蒸汽)
(RMB3.95/m³)</t>
  </si>
  <si>
    <t>Boiler Gas                锅炉天然气(热水)
(RMB3.95/m³)</t>
  </si>
  <si>
    <t>General Gas               总天然气               (RMB3.95/m³)</t>
  </si>
  <si>
    <t>Chiller Electricity Consumption                   空调主机用电量                       (RMB0.675169/Kwh)</t>
    <phoneticPr fontId="2" type="noConversion"/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</si>
  <si>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  <phoneticPr fontId="2" type="noConversion"/>
  </si>
  <si>
    <t>Podium AC Consumption              裙楼空调用量              (Mw/h)Rmb291.66/MwH+1655.02/天</t>
    <phoneticPr fontId="2" type="noConversion"/>
  </si>
  <si>
    <t>Water Consumption         水用量</t>
    <phoneticPr fontId="2" type="noConversion"/>
  </si>
  <si>
    <t>Daily Total Utility Expense(RMB)                            每日能耗总费用</t>
  </si>
  <si>
    <r>
      <t>domestic Water 生活水RMB3.46/m</t>
    </r>
    <r>
      <rPr>
        <b/>
        <vertAlign val="superscript"/>
        <sz val="10"/>
        <rFont val="仿宋"/>
        <family val="3"/>
        <charset val="134"/>
      </rPr>
      <t xml:space="preserve">3 </t>
    </r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</si>
  <si>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</si>
  <si>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</si>
  <si>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</si>
  <si>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</si>
  <si>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</si>
  <si>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</si>
  <si>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</si>
  <si>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</si>
  <si>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  <phoneticPr fontId="2" type="noConversion"/>
  </si>
  <si>
    <t>Aver.</t>
  </si>
  <si>
    <t>Total</t>
  </si>
  <si>
    <t>11\21</t>
    <phoneticPr fontId="2" type="noConversion"/>
  </si>
  <si>
    <t>11\23</t>
    <phoneticPr fontId="2" type="noConversion"/>
  </si>
  <si>
    <t>12\23</t>
    <phoneticPr fontId="2" type="noConversion"/>
  </si>
  <si>
    <t>16/23</t>
    <phoneticPr fontId="2" type="noConversion"/>
  </si>
  <si>
    <t>16/26</t>
    <phoneticPr fontId="2" type="noConversion"/>
  </si>
  <si>
    <t>7\18</t>
    <phoneticPr fontId="2" type="noConversion"/>
  </si>
  <si>
    <t>11\22</t>
    <phoneticPr fontId="2" type="noConversion"/>
  </si>
  <si>
    <t>11\20</t>
    <phoneticPr fontId="2" type="noConversion"/>
  </si>
  <si>
    <t>12\21</t>
    <phoneticPr fontId="2" type="noConversion"/>
  </si>
  <si>
    <t>10\20</t>
    <phoneticPr fontId="2" type="noConversion"/>
  </si>
  <si>
    <t>6\14</t>
    <phoneticPr fontId="2" type="noConversion"/>
  </si>
  <si>
    <t>5\10</t>
    <phoneticPr fontId="2" type="noConversion"/>
  </si>
  <si>
    <t>8\12</t>
    <phoneticPr fontId="2" type="noConversion"/>
  </si>
  <si>
    <t>6\12</t>
    <phoneticPr fontId="2" type="noConversion"/>
  </si>
  <si>
    <t>3\17</t>
    <phoneticPr fontId="2" type="noConversion"/>
  </si>
  <si>
    <t>8\18</t>
    <phoneticPr fontId="2" type="noConversion"/>
  </si>
  <si>
    <t>8\21</t>
    <phoneticPr fontId="2" type="noConversion"/>
  </si>
  <si>
    <t>8\19</t>
    <phoneticPr fontId="2" type="noConversion"/>
  </si>
  <si>
    <t>16/22</t>
    <phoneticPr fontId="2" type="noConversion"/>
  </si>
  <si>
    <t>17/24</t>
    <phoneticPr fontId="2" type="noConversion"/>
  </si>
  <si>
    <t>13/26</t>
    <phoneticPr fontId="2" type="noConversion"/>
  </si>
  <si>
    <t>16/24</t>
    <phoneticPr fontId="2" type="noConversion"/>
  </si>
  <si>
    <t>14/25</t>
    <phoneticPr fontId="2" type="noConversion"/>
  </si>
  <si>
    <t>12\22</t>
    <phoneticPr fontId="2" type="noConversion"/>
  </si>
  <si>
    <t>15\24</t>
    <phoneticPr fontId="2" type="noConversion"/>
  </si>
  <si>
    <t>16\26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</si>
</sst>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4" formatCode="0_ "/>
    <numFmt numFmtId="165" formatCode="[$￥-804]#,##0.00"/>
    <numFmt numFmtId="166" formatCode="[$￥-804]#,##0.00_);[Red]\([$￥-804]#,##0.00\)"/>
  </numFmts>
  <fonts count="2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41" fontId="7" fillId="0" borderId="4" xfId="0" applyNumberFormat="1" applyFont="1" applyBorder="1" applyAlignment="1" applyProtection="1">
      <alignment horizontal="center" vertical="center"/>
      <protection locked="0"/>
    </xf>
    <xf numFmtId="41" fontId="7" fillId="3" borderId="5" xfId="0" applyNumberFormat="1" applyFont="1" applyFill="1" applyBorder="1" applyAlignment="1" applyProtection="1">
      <alignment horizontal="center" vertical="center"/>
      <protection locked="0"/>
    </xf>
    <xf numFmtId="165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5" xfId="0" applyNumberFormat="1" applyFont="1" applyFill="1" applyBorder="1" applyAlignment="1" applyProtection="1">
      <alignment horizontal="center" vertical="center"/>
      <protection locked="0"/>
    </xf>
    <xf numFmtId="166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41" fontId="7" fillId="3" borderId="15" xfId="0" applyNumberFormat="1" applyFont="1" applyFill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41" fontId="7" fillId="0" borderId="17" xfId="0" applyNumberFormat="1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Alignment="1" applyProtection="1">
      <alignment horizontal="center" vertical="center"/>
      <protection locked="0"/>
    </xf>
    <xf numFmtId="166" fontId="7" fillId="0" borderId="18" xfId="0" applyNumberFormat="1" applyFont="1" applyBorder="1" applyAlignment="1" applyProtection="1">
      <alignment horizontal="center" vertical="center"/>
      <protection locked="0"/>
    </xf>
    <xf numFmtId="166" fontId="7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19" xfId="0" applyNumberFormat="1" applyFont="1" applyFill="1" applyBorder="1" applyAlignment="1" applyProtection="1">
      <alignment horizontal="center" vertical="center"/>
      <protection locked="0"/>
    </xf>
    <xf numFmtId="165" fontId="7" fillId="0" borderId="18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65" fontId="7" fillId="3" borderId="15" xfId="0" applyNumberFormat="1" applyFont="1" applyFill="1" applyBorder="1" applyAlignment="1" applyProtection="1">
      <alignment horizontal="center" vertical="center"/>
      <protection locked="0"/>
    </xf>
    <xf numFmtId="166" fontId="7" fillId="3" borderId="19" xfId="0" applyNumberFormat="1" applyFont="1" applyFill="1" applyBorder="1" applyAlignment="1" applyProtection="1">
      <alignment horizontal="center" vertical="center"/>
      <protection locked="0"/>
    </xf>
    <xf numFmtId="166" fontId="9" fillId="0" borderId="20" xfId="0" applyNumberFormat="1" applyFont="1" applyBorder="1" applyAlignment="1" applyProtection="1">
      <alignment horizontal="center" vertical="center" wrapText="1"/>
      <protection locked="0"/>
    </xf>
    <xf numFmtId="166" fontId="9" fillId="0" borderId="21" xfId="0" applyNumberFormat="1" applyFont="1" applyBorder="1" applyAlignment="1" applyProtection="1">
      <alignment horizontal="center" vertical="center" wrapText="1"/>
      <protection locked="0"/>
    </xf>
    <xf numFmtId="41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166" fontId="14" fillId="0" borderId="22" xfId="0" applyNumberFormat="1" applyFont="1" applyBorder="1" applyAlignment="1" applyProtection="1">
      <alignment horizontal="center" vertical="center" wrapText="1"/>
      <protection locked="0"/>
    </xf>
    <xf numFmtId="41" fontId="7" fillId="0" borderId="4" xfId="0" applyNumberFormat="1" applyFont="1" applyFill="1" applyBorder="1" applyAlignment="1" applyProtection="1">
      <alignment horizontal="center" vertical="center"/>
      <protection locked="0"/>
    </xf>
    <xf numFmtId="166" fontId="15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9" fillId="2" borderId="27" xfId="0" applyFont="1" applyFill="1" applyBorder="1" applyAlignment="1" applyProtection="1">
      <alignment horizontal="center" vertical="center" wrapText="1"/>
      <protection locked="0"/>
    </xf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164" fontId="9" fillId="2" borderId="29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30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5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9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2" borderId="29" xfId="0" applyFont="1" applyFill="1" applyBorder="1" applyAlignment="1" applyProtection="1">
      <alignment horizontal="center" vertical="center" wrapText="1"/>
      <protection locked="0"/>
    </xf>
    <xf numFmtId="0" fontId="9" fillId="2" borderId="30" xfId="0" applyFont="1" applyFill="1" applyBorder="1" applyAlignment="1" applyProtection="1">
      <alignment horizontal="center" vertical="center" wrapText="1"/>
      <protection locked="0"/>
    </xf>
    <xf numFmtId="0" fontId="9" fillId="2" borderId="15" xfId="0" applyFont="1" applyFill="1" applyBorder="1" applyAlignment="1" applyProtection="1">
      <alignment horizontal="center" vertical="center" wrapText="1"/>
      <protection locked="0"/>
    </xf>
    <xf numFmtId="0" fontId="9" fillId="2" borderId="19" xfId="0" applyFont="1" applyFill="1" applyBorder="1" applyAlignment="1" applyProtection="1">
      <alignment horizontal="center" vertical="center" wrapText="1"/>
      <protection locked="0"/>
    </xf>
    <xf numFmtId="43" fontId="6" fillId="0" borderId="31" xfId="0" applyNumberFormat="1" applyFont="1" applyBorder="1" applyAlignment="1" applyProtection="1">
      <alignment horizontal="center" vertical="center"/>
      <protection locked="0"/>
    </xf>
    <xf numFmtId="43" fontId="6" fillId="0" borderId="32" xfId="0" applyNumberFormat="1" applyFont="1" applyBorder="1" applyAlignment="1" applyProtection="1">
      <alignment horizontal="center" vertical="center"/>
      <protection locked="0"/>
    </xf>
    <xf numFmtId="0" fontId="9" fillId="2" borderId="31" xfId="0" applyFont="1" applyFill="1" applyBorder="1" applyAlignment="1" applyProtection="1">
      <alignment horizontal="center" vertical="center" wrapText="1"/>
      <protection locked="0"/>
    </xf>
    <xf numFmtId="0" fontId="9" fillId="2" borderId="33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Compatibility Report"/>
      <sheetName val="付款申请书"/>
      <sheetName val="Sheet1"/>
    </sheetNames>
    <sheetDataSet>
      <sheetData sheetId="0"/>
      <sheetData sheetId="1">
        <row r="7">
          <cell r="F7">
            <v>28200.000000001637</v>
          </cell>
        </row>
        <row r="8">
          <cell r="F8">
            <v>28299.999999999272</v>
          </cell>
        </row>
        <row r="9">
          <cell r="F9">
            <v>27899.999999997362</v>
          </cell>
        </row>
        <row r="10">
          <cell r="F10">
            <v>27400.000000002365</v>
          </cell>
        </row>
        <row r="11">
          <cell r="F11">
            <v>27500</v>
          </cell>
        </row>
        <row r="12">
          <cell r="F12">
            <v>28499.999999999091</v>
          </cell>
        </row>
        <row r="13">
          <cell r="F13">
            <v>27599.999999999909</v>
          </cell>
        </row>
        <row r="14">
          <cell r="F14">
            <v>25299.999999999727</v>
          </cell>
        </row>
        <row r="15">
          <cell r="F15">
            <v>25399.999999999636</v>
          </cell>
        </row>
        <row r="16">
          <cell r="F16">
            <v>25000.000000002274</v>
          </cell>
        </row>
        <row r="17">
          <cell r="F17">
            <v>24099.999999998545</v>
          </cell>
        </row>
        <row r="18">
          <cell r="F18">
            <v>25100.000000002183</v>
          </cell>
        </row>
        <row r="19">
          <cell r="F19">
            <v>26599.999999996271</v>
          </cell>
        </row>
        <row r="20">
          <cell r="F20">
            <v>26300.000000001091</v>
          </cell>
        </row>
        <row r="21">
          <cell r="F21">
            <v>28300.000000001546</v>
          </cell>
        </row>
        <row r="22">
          <cell r="F22">
            <v>27000.000000000455</v>
          </cell>
        </row>
        <row r="23">
          <cell r="F23">
            <v>26599.999999998545</v>
          </cell>
        </row>
        <row r="24">
          <cell r="F24">
            <v>25599.999999999454</v>
          </cell>
        </row>
        <row r="25">
          <cell r="F25">
            <v>26800.000000000637</v>
          </cell>
        </row>
        <row r="26">
          <cell r="F26">
            <v>27100.000000000364</v>
          </cell>
        </row>
        <row r="27">
          <cell r="F27">
            <v>28099.999999999454</v>
          </cell>
        </row>
        <row r="28">
          <cell r="F28">
            <v>28599.999999999</v>
          </cell>
        </row>
        <row r="29">
          <cell r="F29">
            <v>28800.000000001091</v>
          </cell>
        </row>
        <row r="30">
          <cell r="F30">
            <v>27599.999999999909</v>
          </cell>
        </row>
        <row r="31">
          <cell r="F31">
            <v>27899.999999999636</v>
          </cell>
        </row>
        <row r="32">
          <cell r="F32">
            <v>27999.999999999545</v>
          </cell>
        </row>
        <row r="33">
          <cell r="F33">
            <v>28599.999999999</v>
          </cell>
        </row>
        <row r="34">
          <cell r="F34">
            <v>28600.000000001273</v>
          </cell>
        </row>
        <row r="35">
          <cell r="F35">
            <v>26100.000000001273</v>
          </cell>
        </row>
        <row r="36">
          <cell r="F36">
            <v>27999.999999999545</v>
          </cell>
        </row>
        <row r="37">
          <cell r="F37">
            <v>27699.999999999818</v>
          </cell>
        </row>
      </sheetData>
      <sheetData sheetId="2">
        <row r="7">
          <cell r="C7">
            <v>248.06</v>
          </cell>
        </row>
        <row r="8">
          <cell r="C8">
            <v>295.46000000000004</v>
          </cell>
        </row>
        <row r="9">
          <cell r="C9">
            <v>229.10000000000002</v>
          </cell>
        </row>
        <row r="10">
          <cell r="C10">
            <v>203.82000000000002</v>
          </cell>
        </row>
        <row r="11">
          <cell r="C11">
            <v>181.70000000000002</v>
          </cell>
        </row>
        <row r="12">
          <cell r="C12">
            <v>221.20000000000002</v>
          </cell>
        </row>
        <row r="13">
          <cell r="C13">
            <v>162.74</v>
          </cell>
        </row>
        <row r="14">
          <cell r="C14">
            <v>210.14000000000001</v>
          </cell>
        </row>
        <row r="15">
          <cell r="C15">
            <v>268.60000000000002</v>
          </cell>
        </row>
        <row r="16">
          <cell r="C16">
            <v>205.4</v>
          </cell>
        </row>
        <row r="17">
          <cell r="C17">
            <v>271.76</v>
          </cell>
        </row>
        <row r="18">
          <cell r="C18">
            <v>202.24</v>
          </cell>
        </row>
        <row r="19">
          <cell r="C19">
            <v>262.28000000000003</v>
          </cell>
        </row>
        <row r="20">
          <cell r="C20">
            <v>216.46</v>
          </cell>
        </row>
        <row r="21">
          <cell r="C21">
            <v>271.76</v>
          </cell>
        </row>
        <row r="22">
          <cell r="C22">
            <v>219.62</v>
          </cell>
        </row>
        <row r="23">
          <cell r="C23">
            <v>232.26000000000002</v>
          </cell>
        </row>
        <row r="24">
          <cell r="C24">
            <v>218.04000000000002</v>
          </cell>
        </row>
        <row r="25">
          <cell r="C25">
            <v>214.88</v>
          </cell>
        </row>
        <row r="26">
          <cell r="C26">
            <v>227.52</v>
          </cell>
        </row>
        <row r="27">
          <cell r="C27">
            <v>211.72</v>
          </cell>
        </row>
        <row r="28">
          <cell r="C28">
            <v>224.36</v>
          </cell>
        </row>
        <row r="29">
          <cell r="C29">
            <v>252.8</v>
          </cell>
        </row>
        <row r="30">
          <cell r="C30">
            <v>206.98000000000002</v>
          </cell>
        </row>
        <row r="31">
          <cell r="C31">
            <v>154.84</v>
          </cell>
        </row>
        <row r="32">
          <cell r="C32">
            <v>205.4</v>
          </cell>
        </row>
        <row r="33">
          <cell r="C33">
            <v>151.68</v>
          </cell>
        </row>
        <row r="34">
          <cell r="C34">
            <v>202.24</v>
          </cell>
        </row>
        <row r="35">
          <cell r="C35">
            <v>197.5</v>
          </cell>
        </row>
        <row r="36">
          <cell r="C36">
            <v>188.02</v>
          </cell>
        </row>
        <row r="37">
          <cell r="C37">
            <v>170.64000000000001</v>
          </cell>
        </row>
      </sheetData>
      <sheetData sheetId="3">
        <row r="7">
          <cell r="C7">
            <v>1755</v>
          </cell>
          <cell r="G7">
            <v>2014</v>
          </cell>
        </row>
        <row r="8">
          <cell r="C8">
            <v>1831</v>
          </cell>
          <cell r="G8">
            <v>1655</v>
          </cell>
        </row>
        <row r="9">
          <cell r="C9">
            <v>1692</v>
          </cell>
          <cell r="G9">
            <v>1812</v>
          </cell>
        </row>
        <row r="10">
          <cell r="C10">
            <v>1631</v>
          </cell>
          <cell r="G10">
            <v>1585</v>
          </cell>
        </row>
        <row r="11">
          <cell r="C11">
            <v>1552</v>
          </cell>
          <cell r="G11">
            <v>1035</v>
          </cell>
        </row>
        <row r="12">
          <cell r="C12">
            <v>1602</v>
          </cell>
          <cell r="G12">
            <v>1303</v>
          </cell>
        </row>
        <row r="13">
          <cell r="C13">
            <v>1558</v>
          </cell>
          <cell r="G13">
            <v>1715</v>
          </cell>
        </row>
        <row r="14">
          <cell r="C14">
            <v>1649</v>
          </cell>
          <cell r="G14">
            <v>2090</v>
          </cell>
        </row>
        <row r="15">
          <cell r="C15">
            <v>1644</v>
          </cell>
          <cell r="G15">
            <v>2064</v>
          </cell>
        </row>
        <row r="16">
          <cell r="C16">
            <v>1605</v>
          </cell>
          <cell r="G16">
            <v>2060</v>
          </cell>
        </row>
        <row r="17">
          <cell r="C17">
            <v>1599</v>
          </cell>
          <cell r="G17">
            <v>2260</v>
          </cell>
        </row>
        <row r="18">
          <cell r="C18">
            <v>1677</v>
          </cell>
          <cell r="G18">
            <v>2066</v>
          </cell>
        </row>
        <row r="19">
          <cell r="C19">
            <v>1498</v>
          </cell>
          <cell r="G19">
            <v>1932</v>
          </cell>
        </row>
        <row r="20">
          <cell r="C20">
            <v>1663</v>
          </cell>
          <cell r="G20">
            <v>1775</v>
          </cell>
        </row>
        <row r="21">
          <cell r="C21">
            <v>1657</v>
          </cell>
          <cell r="G21">
            <v>1541</v>
          </cell>
        </row>
        <row r="22">
          <cell r="C22">
            <v>1647</v>
          </cell>
          <cell r="G22">
            <v>1421</v>
          </cell>
        </row>
        <row r="23">
          <cell r="C23">
            <v>1659</v>
          </cell>
          <cell r="G23">
            <v>1552</v>
          </cell>
        </row>
        <row r="24">
          <cell r="C24">
            <v>1391</v>
          </cell>
          <cell r="G24">
            <v>1628</v>
          </cell>
        </row>
        <row r="25">
          <cell r="C25">
            <v>1484</v>
          </cell>
          <cell r="G25">
            <v>1535</v>
          </cell>
        </row>
        <row r="26">
          <cell r="C26">
            <v>1527</v>
          </cell>
          <cell r="G26">
            <v>1439</v>
          </cell>
        </row>
        <row r="27">
          <cell r="C27">
            <v>1474</v>
          </cell>
          <cell r="G27">
            <v>1316</v>
          </cell>
        </row>
        <row r="28">
          <cell r="C28">
            <v>1543</v>
          </cell>
          <cell r="G28">
            <v>1478</v>
          </cell>
        </row>
        <row r="29">
          <cell r="C29">
            <v>1602</v>
          </cell>
          <cell r="G29">
            <v>1483</v>
          </cell>
        </row>
        <row r="30">
          <cell r="C30">
            <v>1531</v>
          </cell>
          <cell r="G30">
            <v>1321</v>
          </cell>
        </row>
        <row r="31">
          <cell r="C31">
            <v>1495</v>
          </cell>
          <cell r="G31">
            <v>1361</v>
          </cell>
        </row>
        <row r="32">
          <cell r="C32">
            <v>1625</v>
          </cell>
          <cell r="G32">
            <v>1118</v>
          </cell>
        </row>
        <row r="33">
          <cell r="C33">
            <v>1515</v>
          </cell>
          <cell r="G33">
            <v>1218</v>
          </cell>
        </row>
        <row r="34">
          <cell r="C34">
            <v>1613</v>
          </cell>
          <cell r="G34">
            <v>1243</v>
          </cell>
        </row>
        <row r="35">
          <cell r="C35">
            <v>1525</v>
          </cell>
          <cell r="G35">
            <v>1155</v>
          </cell>
        </row>
        <row r="36">
          <cell r="C36">
            <v>1436</v>
          </cell>
          <cell r="G36">
            <v>1362</v>
          </cell>
        </row>
        <row r="37">
          <cell r="C37">
            <v>1628</v>
          </cell>
          <cell r="G37">
            <v>1165</v>
          </cell>
        </row>
      </sheetData>
      <sheetData sheetId="4"/>
      <sheetData sheetId="5">
        <row r="7">
          <cell r="BH7">
            <v>815</v>
          </cell>
        </row>
        <row r="8">
          <cell r="BH8">
            <v>766</v>
          </cell>
        </row>
        <row r="9">
          <cell r="BH9">
            <v>544</v>
          </cell>
        </row>
        <row r="10">
          <cell r="BH10">
            <v>552</v>
          </cell>
        </row>
        <row r="11">
          <cell r="BH11">
            <v>632</v>
          </cell>
        </row>
        <row r="12">
          <cell r="BH12">
            <v>720</v>
          </cell>
        </row>
        <row r="13">
          <cell r="BH13">
            <v>754</v>
          </cell>
        </row>
        <row r="14">
          <cell r="BH14">
            <v>777</v>
          </cell>
        </row>
        <row r="15">
          <cell r="BH15">
            <v>596</v>
          </cell>
        </row>
        <row r="16">
          <cell r="BH16">
            <v>619</v>
          </cell>
        </row>
        <row r="17">
          <cell r="BH17">
            <v>641</v>
          </cell>
        </row>
        <row r="18">
          <cell r="BH18">
            <v>642</v>
          </cell>
        </row>
        <row r="19">
          <cell r="BH19">
            <v>639</v>
          </cell>
        </row>
        <row r="20">
          <cell r="BH20">
            <v>724</v>
          </cell>
        </row>
        <row r="21">
          <cell r="BH21">
            <v>722</v>
          </cell>
        </row>
        <row r="22">
          <cell r="BH22">
            <v>758</v>
          </cell>
        </row>
        <row r="23">
          <cell r="BH23">
            <v>557</v>
          </cell>
        </row>
        <row r="24">
          <cell r="BH24">
            <v>760</v>
          </cell>
        </row>
        <row r="25">
          <cell r="BH25">
            <v>597</v>
          </cell>
        </row>
        <row r="26">
          <cell r="BH26">
            <v>578</v>
          </cell>
        </row>
        <row r="27">
          <cell r="BH27">
            <v>572</v>
          </cell>
        </row>
        <row r="28">
          <cell r="BH28">
            <v>740</v>
          </cell>
        </row>
        <row r="29">
          <cell r="BH29">
            <v>680</v>
          </cell>
        </row>
        <row r="30">
          <cell r="BH30">
            <v>572</v>
          </cell>
        </row>
        <row r="31">
          <cell r="BH31">
            <v>564</v>
          </cell>
        </row>
        <row r="32">
          <cell r="BH32">
            <v>648</v>
          </cell>
        </row>
        <row r="33">
          <cell r="BH33">
            <v>661</v>
          </cell>
        </row>
        <row r="34">
          <cell r="BH34">
            <v>660</v>
          </cell>
        </row>
        <row r="35">
          <cell r="BH35">
            <v>684</v>
          </cell>
        </row>
        <row r="36">
          <cell r="BH36">
            <v>868</v>
          </cell>
        </row>
        <row r="37">
          <cell r="BH37">
            <v>560</v>
          </cell>
        </row>
      </sheetData>
      <sheetData sheetId="6">
        <row r="4">
          <cell r="V4">
            <v>3787</v>
          </cell>
        </row>
        <row r="5">
          <cell r="V5">
            <v>3821</v>
          </cell>
        </row>
        <row r="6">
          <cell r="V6">
            <v>4074</v>
          </cell>
        </row>
        <row r="7">
          <cell r="V7">
            <v>4374</v>
          </cell>
        </row>
        <row r="8">
          <cell r="V8">
            <v>4386</v>
          </cell>
        </row>
        <row r="9">
          <cell r="V9">
            <v>4483</v>
          </cell>
        </row>
        <row r="10">
          <cell r="V10">
            <v>4351</v>
          </cell>
        </row>
        <row r="11">
          <cell r="V11">
            <v>2560</v>
          </cell>
        </row>
        <row r="12">
          <cell r="V12">
            <v>2321</v>
          </cell>
        </row>
        <row r="13">
          <cell r="V13">
            <v>2530</v>
          </cell>
        </row>
        <row r="14">
          <cell r="V14">
            <v>2425</v>
          </cell>
        </row>
        <row r="15">
          <cell r="V15">
            <v>3148</v>
          </cell>
        </row>
        <row r="16">
          <cell r="V16">
            <v>4014</v>
          </cell>
        </row>
        <row r="17">
          <cell r="V17">
            <v>4602</v>
          </cell>
        </row>
        <row r="18">
          <cell r="V18">
            <v>5240</v>
          </cell>
        </row>
        <row r="19">
          <cell r="V19">
            <v>4481</v>
          </cell>
        </row>
        <row r="20">
          <cell r="V20">
            <v>3988</v>
          </cell>
        </row>
        <row r="21">
          <cell r="V21">
            <v>4203</v>
          </cell>
        </row>
        <row r="22">
          <cell r="V22">
            <v>4077</v>
          </cell>
        </row>
        <row r="23">
          <cell r="V23">
            <v>4822</v>
          </cell>
        </row>
        <row r="24">
          <cell r="V24">
            <v>5225</v>
          </cell>
        </row>
        <row r="25">
          <cell r="V25">
            <v>5645</v>
          </cell>
        </row>
        <row r="26">
          <cell r="V26">
            <v>5484</v>
          </cell>
        </row>
        <row r="27">
          <cell r="V27">
            <v>4714</v>
          </cell>
        </row>
        <row r="28">
          <cell r="V28">
            <v>5630</v>
          </cell>
        </row>
        <row r="29">
          <cell r="V29">
            <v>5878</v>
          </cell>
        </row>
        <row r="30">
          <cell r="V30">
            <v>5571</v>
          </cell>
        </row>
        <row r="31">
          <cell r="V31">
            <v>4848</v>
          </cell>
        </row>
        <row r="32">
          <cell r="V32">
            <v>4933</v>
          </cell>
        </row>
        <row r="33">
          <cell r="V33">
            <v>5159</v>
          </cell>
        </row>
        <row r="34">
          <cell r="V34">
            <v>5388</v>
          </cell>
        </row>
      </sheetData>
      <sheetData sheetId="7">
        <row r="4">
          <cell r="L4">
            <v>4</v>
          </cell>
        </row>
        <row r="5">
          <cell r="L5">
            <v>5</v>
          </cell>
        </row>
        <row r="6">
          <cell r="L6">
            <v>4</v>
          </cell>
        </row>
        <row r="7">
          <cell r="L7">
            <v>5</v>
          </cell>
        </row>
        <row r="8">
          <cell r="L8">
            <v>6</v>
          </cell>
        </row>
        <row r="9">
          <cell r="L9">
            <v>7</v>
          </cell>
        </row>
        <row r="10">
          <cell r="L10">
            <v>5</v>
          </cell>
        </row>
        <row r="11">
          <cell r="L11">
            <v>5</v>
          </cell>
        </row>
        <row r="12">
          <cell r="L12">
            <v>3</v>
          </cell>
        </row>
        <row r="13">
          <cell r="L13">
            <v>3</v>
          </cell>
        </row>
        <row r="14">
          <cell r="L14">
            <v>4</v>
          </cell>
        </row>
        <row r="15">
          <cell r="L15">
            <v>3</v>
          </cell>
        </row>
        <row r="16">
          <cell r="L16">
            <v>4</v>
          </cell>
        </row>
        <row r="17">
          <cell r="L17">
            <v>5</v>
          </cell>
        </row>
        <row r="18">
          <cell r="L18">
            <v>5</v>
          </cell>
        </row>
        <row r="19">
          <cell r="L19">
            <v>6</v>
          </cell>
        </row>
        <row r="20">
          <cell r="L20">
            <v>4</v>
          </cell>
        </row>
        <row r="21">
          <cell r="L21">
            <v>5</v>
          </cell>
        </row>
        <row r="22">
          <cell r="L22">
            <v>4</v>
          </cell>
        </row>
        <row r="23">
          <cell r="L23">
            <v>5</v>
          </cell>
        </row>
        <row r="24">
          <cell r="L24">
            <v>6</v>
          </cell>
        </row>
        <row r="25">
          <cell r="L25">
            <v>8</v>
          </cell>
        </row>
        <row r="26">
          <cell r="L26">
            <v>6</v>
          </cell>
        </row>
        <row r="27">
          <cell r="L27">
            <v>7</v>
          </cell>
        </row>
        <row r="28">
          <cell r="L28">
            <v>9</v>
          </cell>
        </row>
        <row r="29">
          <cell r="L29">
            <v>8</v>
          </cell>
        </row>
        <row r="30">
          <cell r="L30">
            <v>9</v>
          </cell>
        </row>
        <row r="31">
          <cell r="L31">
            <v>8</v>
          </cell>
        </row>
        <row r="32">
          <cell r="L32">
            <v>7</v>
          </cell>
        </row>
        <row r="33">
          <cell r="L33">
            <v>9</v>
          </cell>
        </row>
        <row r="34">
          <cell r="L34">
            <v>7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zoomScale="85" zoomScaleNormal="85" workbookViewId="0">
      <selection activeCell="G35" sqref="G35"/>
    </sheetView>
  </sheetViews>
  <sheetFormatPr defaultColWidth="10.125" defaultRowHeight="15"/>
  <cols>
    <col min="1" max="1" width="10.75" style="60" customWidth="1"/>
    <col min="2" max="3" width="10.125" style="54"/>
    <col min="4" max="4" width="11.75" style="55" customWidth="1"/>
    <col min="5" max="5" width="11" style="56" customWidth="1"/>
    <col min="6" max="6" width="11" style="63" customWidth="1"/>
    <col min="7" max="7" width="10.125" style="60"/>
    <col min="8" max="8" width="10.125" style="63"/>
    <col min="9" max="9" width="10.125" style="60"/>
    <col min="10" max="12" width="10.125" style="63"/>
    <col min="13" max="14" width="10.125" style="56"/>
    <col min="15" max="15" width="0" style="59" hidden="1" customWidth="1"/>
    <col min="16" max="258" width="10.125" style="59"/>
    <col min="259" max="259" width="10.75" style="59" customWidth="1"/>
    <col min="260" max="261" width="10.125" style="59"/>
    <col min="262" max="262" width="11.75" style="59" customWidth="1"/>
    <col min="263" max="264" width="11" style="59" customWidth="1"/>
    <col min="265" max="270" width="10.125" style="59"/>
    <col min="271" max="271" width="0" style="59" hidden="1" customWidth="1"/>
    <col min="272" max="514" width="10.125" style="59"/>
    <col min="515" max="515" width="10.75" style="59" customWidth="1"/>
    <col min="516" max="517" width="10.125" style="59"/>
    <col min="518" max="518" width="11.75" style="59" customWidth="1"/>
    <col min="519" max="520" width="11" style="59" customWidth="1"/>
    <col min="521" max="526" width="10.125" style="59"/>
    <col min="527" max="527" width="0" style="59" hidden="1" customWidth="1"/>
    <col min="528" max="770" width="10.125" style="59"/>
    <col min="771" max="771" width="10.75" style="59" customWidth="1"/>
    <col min="772" max="773" width="10.125" style="59"/>
    <col min="774" max="774" width="11.75" style="59" customWidth="1"/>
    <col min="775" max="776" width="11" style="59" customWidth="1"/>
    <col min="777" max="782" width="10.125" style="59"/>
    <col min="783" max="783" width="0" style="59" hidden="1" customWidth="1"/>
    <col min="784" max="1026" width="10.125" style="59"/>
    <col min="1027" max="1027" width="10.75" style="59" customWidth="1"/>
    <col min="1028" max="1029" width="10.125" style="59"/>
    <col min="1030" max="1030" width="11.75" style="59" customWidth="1"/>
    <col min="1031" max="1032" width="11" style="59" customWidth="1"/>
    <col min="1033" max="1038" width="10.125" style="59"/>
    <col min="1039" max="1039" width="0" style="59" hidden="1" customWidth="1"/>
    <col min="1040" max="1282" width="10.125" style="59"/>
    <col min="1283" max="1283" width="10.75" style="59" customWidth="1"/>
    <col min="1284" max="1285" width="10.125" style="59"/>
    <col min="1286" max="1286" width="11.75" style="59" customWidth="1"/>
    <col min="1287" max="1288" width="11" style="59" customWidth="1"/>
    <col min="1289" max="1294" width="10.125" style="59"/>
    <col min="1295" max="1295" width="0" style="59" hidden="1" customWidth="1"/>
    <col min="1296" max="1538" width="10.125" style="59"/>
    <col min="1539" max="1539" width="10.75" style="59" customWidth="1"/>
    <col min="1540" max="1541" width="10.125" style="59"/>
    <col min="1542" max="1542" width="11.75" style="59" customWidth="1"/>
    <col min="1543" max="1544" width="11" style="59" customWidth="1"/>
    <col min="1545" max="1550" width="10.125" style="59"/>
    <col min="1551" max="1551" width="0" style="59" hidden="1" customWidth="1"/>
    <col min="1552" max="1794" width="10.125" style="59"/>
    <col min="1795" max="1795" width="10.75" style="59" customWidth="1"/>
    <col min="1796" max="1797" width="10.125" style="59"/>
    <col min="1798" max="1798" width="11.75" style="59" customWidth="1"/>
    <col min="1799" max="1800" width="11" style="59" customWidth="1"/>
    <col min="1801" max="1806" width="10.125" style="59"/>
    <col min="1807" max="1807" width="0" style="59" hidden="1" customWidth="1"/>
    <col min="1808" max="2050" width="10.125" style="59"/>
    <col min="2051" max="2051" width="10.75" style="59" customWidth="1"/>
    <col min="2052" max="2053" width="10.125" style="59"/>
    <col min="2054" max="2054" width="11.75" style="59" customWidth="1"/>
    <col min="2055" max="2056" width="11" style="59" customWidth="1"/>
    <col min="2057" max="2062" width="10.125" style="59"/>
    <col min="2063" max="2063" width="0" style="59" hidden="1" customWidth="1"/>
    <col min="2064" max="2306" width="10.125" style="59"/>
    <col min="2307" max="2307" width="10.75" style="59" customWidth="1"/>
    <col min="2308" max="2309" width="10.125" style="59"/>
    <col min="2310" max="2310" width="11.75" style="59" customWidth="1"/>
    <col min="2311" max="2312" width="11" style="59" customWidth="1"/>
    <col min="2313" max="2318" width="10.125" style="59"/>
    <col min="2319" max="2319" width="0" style="59" hidden="1" customWidth="1"/>
    <col min="2320" max="2562" width="10.125" style="59"/>
    <col min="2563" max="2563" width="10.75" style="59" customWidth="1"/>
    <col min="2564" max="2565" width="10.125" style="59"/>
    <col min="2566" max="2566" width="11.75" style="59" customWidth="1"/>
    <col min="2567" max="2568" width="11" style="59" customWidth="1"/>
    <col min="2569" max="2574" width="10.125" style="59"/>
    <col min="2575" max="2575" width="0" style="59" hidden="1" customWidth="1"/>
    <col min="2576" max="2818" width="10.125" style="59"/>
    <col min="2819" max="2819" width="10.75" style="59" customWidth="1"/>
    <col min="2820" max="2821" width="10.125" style="59"/>
    <col min="2822" max="2822" width="11.75" style="59" customWidth="1"/>
    <col min="2823" max="2824" width="11" style="59" customWidth="1"/>
    <col min="2825" max="2830" width="10.125" style="59"/>
    <col min="2831" max="2831" width="0" style="59" hidden="1" customWidth="1"/>
    <col min="2832" max="3074" width="10.125" style="59"/>
    <col min="3075" max="3075" width="10.75" style="59" customWidth="1"/>
    <col min="3076" max="3077" width="10.125" style="59"/>
    <col min="3078" max="3078" width="11.75" style="59" customWidth="1"/>
    <col min="3079" max="3080" width="11" style="59" customWidth="1"/>
    <col min="3081" max="3086" width="10.125" style="59"/>
    <col min="3087" max="3087" width="0" style="59" hidden="1" customWidth="1"/>
    <col min="3088" max="3330" width="10.125" style="59"/>
    <col min="3331" max="3331" width="10.75" style="59" customWidth="1"/>
    <col min="3332" max="3333" width="10.125" style="59"/>
    <col min="3334" max="3334" width="11.75" style="59" customWidth="1"/>
    <col min="3335" max="3336" width="11" style="59" customWidth="1"/>
    <col min="3337" max="3342" width="10.125" style="59"/>
    <col min="3343" max="3343" width="0" style="59" hidden="1" customWidth="1"/>
    <col min="3344" max="3586" width="10.125" style="59"/>
    <col min="3587" max="3587" width="10.75" style="59" customWidth="1"/>
    <col min="3588" max="3589" width="10.125" style="59"/>
    <col min="3590" max="3590" width="11.75" style="59" customWidth="1"/>
    <col min="3591" max="3592" width="11" style="59" customWidth="1"/>
    <col min="3593" max="3598" width="10.125" style="59"/>
    <col min="3599" max="3599" width="0" style="59" hidden="1" customWidth="1"/>
    <col min="3600" max="3842" width="10.125" style="59"/>
    <col min="3843" max="3843" width="10.75" style="59" customWidth="1"/>
    <col min="3844" max="3845" width="10.125" style="59"/>
    <col min="3846" max="3846" width="11.75" style="59" customWidth="1"/>
    <col min="3847" max="3848" width="11" style="59" customWidth="1"/>
    <col min="3849" max="3854" width="10.125" style="59"/>
    <col min="3855" max="3855" width="0" style="59" hidden="1" customWidth="1"/>
    <col min="3856" max="4098" width="10.125" style="59"/>
    <col min="4099" max="4099" width="10.75" style="59" customWidth="1"/>
    <col min="4100" max="4101" width="10.125" style="59"/>
    <col min="4102" max="4102" width="11.75" style="59" customWidth="1"/>
    <col min="4103" max="4104" width="11" style="59" customWidth="1"/>
    <col min="4105" max="4110" width="10.125" style="59"/>
    <col min="4111" max="4111" width="0" style="59" hidden="1" customWidth="1"/>
    <col min="4112" max="4354" width="10.125" style="59"/>
    <col min="4355" max="4355" width="10.75" style="59" customWidth="1"/>
    <col min="4356" max="4357" width="10.125" style="59"/>
    <col min="4358" max="4358" width="11.75" style="59" customWidth="1"/>
    <col min="4359" max="4360" width="11" style="59" customWidth="1"/>
    <col min="4361" max="4366" width="10.125" style="59"/>
    <col min="4367" max="4367" width="0" style="59" hidden="1" customWidth="1"/>
    <col min="4368" max="4610" width="10.125" style="59"/>
    <col min="4611" max="4611" width="10.75" style="59" customWidth="1"/>
    <col min="4612" max="4613" width="10.125" style="59"/>
    <col min="4614" max="4614" width="11.75" style="59" customWidth="1"/>
    <col min="4615" max="4616" width="11" style="59" customWidth="1"/>
    <col min="4617" max="4622" width="10.125" style="59"/>
    <col min="4623" max="4623" width="0" style="59" hidden="1" customWidth="1"/>
    <col min="4624" max="4866" width="10.125" style="59"/>
    <col min="4867" max="4867" width="10.75" style="59" customWidth="1"/>
    <col min="4868" max="4869" width="10.125" style="59"/>
    <col min="4870" max="4870" width="11.75" style="59" customWidth="1"/>
    <col min="4871" max="4872" width="11" style="59" customWidth="1"/>
    <col min="4873" max="4878" width="10.125" style="59"/>
    <col min="4879" max="4879" width="0" style="59" hidden="1" customWidth="1"/>
    <col min="4880" max="5122" width="10.125" style="59"/>
    <col min="5123" max="5123" width="10.75" style="59" customWidth="1"/>
    <col min="5124" max="5125" width="10.125" style="59"/>
    <col min="5126" max="5126" width="11.75" style="59" customWidth="1"/>
    <col min="5127" max="5128" width="11" style="59" customWidth="1"/>
    <col min="5129" max="5134" width="10.125" style="59"/>
    <col min="5135" max="5135" width="0" style="59" hidden="1" customWidth="1"/>
    <col min="5136" max="5378" width="10.125" style="59"/>
    <col min="5379" max="5379" width="10.75" style="59" customWidth="1"/>
    <col min="5380" max="5381" width="10.125" style="59"/>
    <col min="5382" max="5382" width="11.75" style="59" customWidth="1"/>
    <col min="5383" max="5384" width="11" style="59" customWidth="1"/>
    <col min="5385" max="5390" width="10.125" style="59"/>
    <col min="5391" max="5391" width="0" style="59" hidden="1" customWidth="1"/>
    <col min="5392" max="5634" width="10.125" style="59"/>
    <col min="5635" max="5635" width="10.75" style="59" customWidth="1"/>
    <col min="5636" max="5637" width="10.125" style="59"/>
    <col min="5638" max="5638" width="11.75" style="59" customWidth="1"/>
    <col min="5639" max="5640" width="11" style="59" customWidth="1"/>
    <col min="5641" max="5646" width="10.125" style="59"/>
    <col min="5647" max="5647" width="0" style="59" hidden="1" customWidth="1"/>
    <col min="5648" max="5890" width="10.125" style="59"/>
    <col min="5891" max="5891" width="10.75" style="59" customWidth="1"/>
    <col min="5892" max="5893" width="10.125" style="59"/>
    <col min="5894" max="5894" width="11.75" style="59" customWidth="1"/>
    <col min="5895" max="5896" width="11" style="59" customWidth="1"/>
    <col min="5897" max="5902" width="10.125" style="59"/>
    <col min="5903" max="5903" width="0" style="59" hidden="1" customWidth="1"/>
    <col min="5904" max="6146" width="10.125" style="59"/>
    <col min="6147" max="6147" width="10.75" style="59" customWidth="1"/>
    <col min="6148" max="6149" width="10.125" style="59"/>
    <col min="6150" max="6150" width="11.75" style="59" customWidth="1"/>
    <col min="6151" max="6152" width="11" style="59" customWidth="1"/>
    <col min="6153" max="6158" width="10.125" style="59"/>
    <col min="6159" max="6159" width="0" style="59" hidden="1" customWidth="1"/>
    <col min="6160" max="6402" width="10.125" style="59"/>
    <col min="6403" max="6403" width="10.75" style="59" customWidth="1"/>
    <col min="6404" max="6405" width="10.125" style="59"/>
    <col min="6406" max="6406" width="11.75" style="59" customWidth="1"/>
    <col min="6407" max="6408" width="11" style="59" customWidth="1"/>
    <col min="6409" max="6414" width="10.125" style="59"/>
    <col min="6415" max="6415" width="0" style="59" hidden="1" customWidth="1"/>
    <col min="6416" max="6658" width="10.125" style="59"/>
    <col min="6659" max="6659" width="10.75" style="59" customWidth="1"/>
    <col min="6660" max="6661" width="10.125" style="59"/>
    <col min="6662" max="6662" width="11.75" style="59" customWidth="1"/>
    <col min="6663" max="6664" width="11" style="59" customWidth="1"/>
    <col min="6665" max="6670" width="10.125" style="59"/>
    <col min="6671" max="6671" width="0" style="59" hidden="1" customWidth="1"/>
    <col min="6672" max="6914" width="10.125" style="59"/>
    <col min="6915" max="6915" width="10.75" style="59" customWidth="1"/>
    <col min="6916" max="6917" width="10.125" style="59"/>
    <col min="6918" max="6918" width="11.75" style="59" customWidth="1"/>
    <col min="6919" max="6920" width="11" style="59" customWidth="1"/>
    <col min="6921" max="6926" width="10.125" style="59"/>
    <col min="6927" max="6927" width="0" style="59" hidden="1" customWidth="1"/>
    <col min="6928" max="7170" width="10.125" style="59"/>
    <col min="7171" max="7171" width="10.75" style="59" customWidth="1"/>
    <col min="7172" max="7173" width="10.125" style="59"/>
    <col min="7174" max="7174" width="11.75" style="59" customWidth="1"/>
    <col min="7175" max="7176" width="11" style="59" customWidth="1"/>
    <col min="7177" max="7182" width="10.125" style="59"/>
    <col min="7183" max="7183" width="0" style="59" hidden="1" customWidth="1"/>
    <col min="7184" max="7426" width="10.125" style="59"/>
    <col min="7427" max="7427" width="10.75" style="59" customWidth="1"/>
    <col min="7428" max="7429" width="10.125" style="59"/>
    <col min="7430" max="7430" width="11.75" style="59" customWidth="1"/>
    <col min="7431" max="7432" width="11" style="59" customWidth="1"/>
    <col min="7433" max="7438" width="10.125" style="59"/>
    <col min="7439" max="7439" width="0" style="59" hidden="1" customWidth="1"/>
    <col min="7440" max="7682" width="10.125" style="59"/>
    <col min="7683" max="7683" width="10.75" style="59" customWidth="1"/>
    <col min="7684" max="7685" width="10.125" style="59"/>
    <col min="7686" max="7686" width="11.75" style="59" customWidth="1"/>
    <col min="7687" max="7688" width="11" style="59" customWidth="1"/>
    <col min="7689" max="7694" width="10.125" style="59"/>
    <col min="7695" max="7695" width="0" style="59" hidden="1" customWidth="1"/>
    <col min="7696" max="7938" width="10.125" style="59"/>
    <col min="7939" max="7939" width="10.75" style="59" customWidth="1"/>
    <col min="7940" max="7941" width="10.125" style="59"/>
    <col min="7942" max="7942" width="11.75" style="59" customWidth="1"/>
    <col min="7943" max="7944" width="11" style="59" customWidth="1"/>
    <col min="7945" max="7950" width="10.125" style="59"/>
    <col min="7951" max="7951" width="0" style="59" hidden="1" customWidth="1"/>
    <col min="7952" max="8194" width="10.125" style="59"/>
    <col min="8195" max="8195" width="10.75" style="59" customWidth="1"/>
    <col min="8196" max="8197" width="10.125" style="59"/>
    <col min="8198" max="8198" width="11.75" style="59" customWidth="1"/>
    <col min="8199" max="8200" width="11" style="59" customWidth="1"/>
    <col min="8201" max="8206" width="10.125" style="59"/>
    <col min="8207" max="8207" width="0" style="59" hidden="1" customWidth="1"/>
    <col min="8208" max="8450" width="10.125" style="59"/>
    <col min="8451" max="8451" width="10.75" style="59" customWidth="1"/>
    <col min="8452" max="8453" width="10.125" style="59"/>
    <col min="8454" max="8454" width="11.75" style="59" customWidth="1"/>
    <col min="8455" max="8456" width="11" style="59" customWidth="1"/>
    <col min="8457" max="8462" width="10.125" style="59"/>
    <col min="8463" max="8463" width="0" style="59" hidden="1" customWidth="1"/>
    <col min="8464" max="8706" width="10.125" style="59"/>
    <col min="8707" max="8707" width="10.75" style="59" customWidth="1"/>
    <col min="8708" max="8709" width="10.125" style="59"/>
    <col min="8710" max="8710" width="11.75" style="59" customWidth="1"/>
    <col min="8711" max="8712" width="11" style="59" customWidth="1"/>
    <col min="8713" max="8718" width="10.125" style="59"/>
    <col min="8719" max="8719" width="0" style="59" hidden="1" customWidth="1"/>
    <col min="8720" max="8962" width="10.125" style="59"/>
    <col min="8963" max="8963" width="10.75" style="59" customWidth="1"/>
    <col min="8964" max="8965" width="10.125" style="59"/>
    <col min="8966" max="8966" width="11.75" style="59" customWidth="1"/>
    <col min="8967" max="8968" width="11" style="59" customWidth="1"/>
    <col min="8969" max="8974" width="10.125" style="59"/>
    <col min="8975" max="8975" width="0" style="59" hidden="1" customWidth="1"/>
    <col min="8976" max="9218" width="10.125" style="59"/>
    <col min="9219" max="9219" width="10.75" style="59" customWidth="1"/>
    <col min="9220" max="9221" width="10.125" style="59"/>
    <col min="9222" max="9222" width="11.75" style="59" customWidth="1"/>
    <col min="9223" max="9224" width="11" style="59" customWidth="1"/>
    <col min="9225" max="9230" width="10.125" style="59"/>
    <col min="9231" max="9231" width="0" style="59" hidden="1" customWidth="1"/>
    <col min="9232" max="9474" width="10.125" style="59"/>
    <col min="9475" max="9475" width="10.75" style="59" customWidth="1"/>
    <col min="9476" max="9477" width="10.125" style="59"/>
    <col min="9478" max="9478" width="11.75" style="59" customWidth="1"/>
    <col min="9479" max="9480" width="11" style="59" customWidth="1"/>
    <col min="9481" max="9486" width="10.125" style="59"/>
    <col min="9487" max="9487" width="0" style="59" hidden="1" customWidth="1"/>
    <col min="9488" max="9730" width="10.125" style="59"/>
    <col min="9731" max="9731" width="10.75" style="59" customWidth="1"/>
    <col min="9732" max="9733" width="10.125" style="59"/>
    <col min="9734" max="9734" width="11.75" style="59" customWidth="1"/>
    <col min="9735" max="9736" width="11" style="59" customWidth="1"/>
    <col min="9737" max="9742" width="10.125" style="59"/>
    <col min="9743" max="9743" width="0" style="59" hidden="1" customWidth="1"/>
    <col min="9744" max="9986" width="10.125" style="59"/>
    <col min="9987" max="9987" width="10.75" style="59" customWidth="1"/>
    <col min="9988" max="9989" width="10.125" style="59"/>
    <col min="9990" max="9990" width="11.75" style="59" customWidth="1"/>
    <col min="9991" max="9992" width="11" style="59" customWidth="1"/>
    <col min="9993" max="9998" width="10.125" style="59"/>
    <col min="9999" max="9999" width="0" style="59" hidden="1" customWidth="1"/>
    <col min="10000" max="10242" width="10.125" style="59"/>
    <col min="10243" max="10243" width="10.75" style="59" customWidth="1"/>
    <col min="10244" max="10245" width="10.125" style="59"/>
    <col min="10246" max="10246" width="11.75" style="59" customWidth="1"/>
    <col min="10247" max="10248" width="11" style="59" customWidth="1"/>
    <col min="10249" max="10254" width="10.125" style="59"/>
    <col min="10255" max="10255" width="0" style="59" hidden="1" customWidth="1"/>
    <col min="10256" max="10498" width="10.125" style="59"/>
    <col min="10499" max="10499" width="10.75" style="59" customWidth="1"/>
    <col min="10500" max="10501" width="10.125" style="59"/>
    <col min="10502" max="10502" width="11.75" style="59" customWidth="1"/>
    <col min="10503" max="10504" width="11" style="59" customWidth="1"/>
    <col min="10505" max="10510" width="10.125" style="59"/>
    <col min="10511" max="10511" width="0" style="59" hidden="1" customWidth="1"/>
    <col min="10512" max="10754" width="10.125" style="59"/>
    <col min="10755" max="10755" width="10.75" style="59" customWidth="1"/>
    <col min="10756" max="10757" width="10.125" style="59"/>
    <col min="10758" max="10758" width="11.75" style="59" customWidth="1"/>
    <col min="10759" max="10760" width="11" style="59" customWidth="1"/>
    <col min="10761" max="10766" width="10.125" style="59"/>
    <col min="10767" max="10767" width="0" style="59" hidden="1" customWidth="1"/>
    <col min="10768" max="11010" width="10.125" style="59"/>
    <col min="11011" max="11011" width="10.75" style="59" customWidth="1"/>
    <col min="11012" max="11013" width="10.125" style="59"/>
    <col min="11014" max="11014" width="11.75" style="59" customWidth="1"/>
    <col min="11015" max="11016" width="11" style="59" customWidth="1"/>
    <col min="11017" max="11022" width="10.125" style="59"/>
    <col min="11023" max="11023" width="0" style="59" hidden="1" customWidth="1"/>
    <col min="11024" max="11266" width="10.125" style="59"/>
    <col min="11267" max="11267" width="10.75" style="59" customWidth="1"/>
    <col min="11268" max="11269" width="10.125" style="59"/>
    <col min="11270" max="11270" width="11.75" style="59" customWidth="1"/>
    <col min="11271" max="11272" width="11" style="59" customWidth="1"/>
    <col min="11273" max="11278" width="10.125" style="59"/>
    <col min="11279" max="11279" width="0" style="59" hidden="1" customWidth="1"/>
    <col min="11280" max="11522" width="10.125" style="59"/>
    <col min="11523" max="11523" width="10.75" style="59" customWidth="1"/>
    <col min="11524" max="11525" width="10.125" style="59"/>
    <col min="11526" max="11526" width="11.75" style="59" customWidth="1"/>
    <col min="11527" max="11528" width="11" style="59" customWidth="1"/>
    <col min="11529" max="11534" width="10.125" style="59"/>
    <col min="11535" max="11535" width="0" style="59" hidden="1" customWidth="1"/>
    <col min="11536" max="11778" width="10.125" style="59"/>
    <col min="11779" max="11779" width="10.75" style="59" customWidth="1"/>
    <col min="11780" max="11781" width="10.125" style="59"/>
    <col min="11782" max="11782" width="11.75" style="59" customWidth="1"/>
    <col min="11783" max="11784" width="11" style="59" customWidth="1"/>
    <col min="11785" max="11790" width="10.125" style="59"/>
    <col min="11791" max="11791" width="0" style="59" hidden="1" customWidth="1"/>
    <col min="11792" max="12034" width="10.125" style="59"/>
    <col min="12035" max="12035" width="10.75" style="59" customWidth="1"/>
    <col min="12036" max="12037" width="10.125" style="59"/>
    <col min="12038" max="12038" width="11.75" style="59" customWidth="1"/>
    <col min="12039" max="12040" width="11" style="59" customWidth="1"/>
    <col min="12041" max="12046" width="10.125" style="59"/>
    <col min="12047" max="12047" width="0" style="59" hidden="1" customWidth="1"/>
    <col min="12048" max="12290" width="10.125" style="59"/>
    <col min="12291" max="12291" width="10.75" style="59" customWidth="1"/>
    <col min="12292" max="12293" width="10.125" style="59"/>
    <col min="12294" max="12294" width="11.75" style="59" customWidth="1"/>
    <col min="12295" max="12296" width="11" style="59" customWidth="1"/>
    <col min="12297" max="12302" width="10.125" style="59"/>
    <col min="12303" max="12303" width="0" style="59" hidden="1" customWidth="1"/>
    <col min="12304" max="12546" width="10.125" style="59"/>
    <col min="12547" max="12547" width="10.75" style="59" customWidth="1"/>
    <col min="12548" max="12549" width="10.125" style="59"/>
    <col min="12550" max="12550" width="11.75" style="59" customWidth="1"/>
    <col min="12551" max="12552" width="11" style="59" customWidth="1"/>
    <col min="12553" max="12558" width="10.125" style="59"/>
    <col min="12559" max="12559" width="0" style="59" hidden="1" customWidth="1"/>
    <col min="12560" max="12802" width="10.125" style="59"/>
    <col min="12803" max="12803" width="10.75" style="59" customWidth="1"/>
    <col min="12804" max="12805" width="10.125" style="59"/>
    <col min="12806" max="12806" width="11.75" style="59" customWidth="1"/>
    <col min="12807" max="12808" width="11" style="59" customWidth="1"/>
    <col min="12809" max="12814" width="10.125" style="59"/>
    <col min="12815" max="12815" width="0" style="59" hidden="1" customWidth="1"/>
    <col min="12816" max="13058" width="10.125" style="59"/>
    <col min="13059" max="13059" width="10.75" style="59" customWidth="1"/>
    <col min="13060" max="13061" width="10.125" style="59"/>
    <col min="13062" max="13062" width="11.75" style="59" customWidth="1"/>
    <col min="13063" max="13064" width="11" style="59" customWidth="1"/>
    <col min="13065" max="13070" width="10.125" style="59"/>
    <col min="13071" max="13071" width="0" style="59" hidden="1" customWidth="1"/>
    <col min="13072" max="13314" width="10.125" style="59"/>
    <col min="13315" max="13315" width="10.75" style="59" customWidth="1"/>
    <col min="13316" max="13317" width="10.125" style="59"/>
    <col min="13318" max="13318" width="11.75" style="59" customWidth="1"/>
    <col min="13319" max="13320" width="11" style="59" customWidth="1"/>
    <col min="13321" max="13326" width="10.125" style="59"/>
    <col min="13327" max="13327" width="0" style="59" hidden="1" customWidth="1"/>
    <col min="13328" max="13570" width="10.125" style="59"/>
    <col min="13571" max="13571" width="10.75" style="59" customWidth="1"/>
    <col min="13572" max="13573" width="10.125" style="59"/>
    <col min="13574" max="13574" width="11.75" style="59" customWidth="1"/>
    <col min="13575" max="13576" width="11" style="59" customWidth="1"/>
    <col min="13577" max="13582" width="10.125" style="59"/>
    <col min="13583" max="13583" width="0" style="59" hidden="1" customWidth="1"/>
    <col min="13584" max="13826" width="10.125" style="59"/>
    <col min="13827" max="13827" width="10.75" style="59" customWidth="1"/>
    <col min="13828" max="13829" width="10.125" style="59"/>
    <col min="13830" max="13830" width="11.75" style="59" customWidth="1"/>
    <col min="13831" max="13832" width="11" style="59" customWidth="1"/>
    <col min="13833" max="13838" width="10.125" style="59"/>
    <col min="13839" max="13839" width="0" style="59" hidden="1" customWidth="1"/>
    <col min="13840" max="14082" width="10.125" style="59"/>
    <col min="14083" max="14083" width="10.75" style="59" customWidth="1"/>
    <col min="14084" max="14085" width="10.125" style="59"/>
    <col min="14086" max="14086" width="11.75" style="59" customWidth="1"/>
    <col min="14087" max="14088" width="11" style="59" customWidth="1"/>
    <col min="14089" max="14094" width="10.125" style="59"/>
    <col min="14095" max="14095" width="0" style="59" hidden="1" customWidth="1"/>
    <col min="14096" max="14338" width="10.125" style="59"/>
    <col min="14339" max="14339" width="10.75" style="59" customWidth="1"/>
    <col min="14340" max="14341" width="10.125" style="59"/>
    <col min="14342" max="14342" width="11.75" style="59" customWidth="1"/>
    <col min="14343" max="14344" width="11" style="59" customWidth="1"/>
    <col min="14345" max="14350" width="10.125" style="59"/>
    <col min="14351" max="14351" width="0" style="59" hidden="1" customWidth="1"/>
    <col min="14352" max="14594" width="10.125" style="59"/>
    <col min="14595" max="14595" width="10.75" style="59" customWidth="1"/>
    <col min="14596" max="14597" width="10.125" style="59"/>
    <col min="14598" max="14598" width="11.75" style="59" customWidth="1"/>
    <col min="14599" max="14600" width="11" style="59" customWidth="1"/>
    <col min="14601" max="14606" width="10.125" style="59"/>
    <col min="14607" max="14607" width="0" style="59" hidden="1" customWidth="1"/>
    <col min="14608" max="14850" width="10.125" style="59"/>
    <col min="14851" max="14851" width="10.75" style="59" customWidth="1"/>
    <col min="14852" max="14853" width="10.125" style="59"/>
    <col min="14854" max="14854" width="11.75" style="59" customWidth="1"/>
    <col min="14855" max="14856" width="11" style="59" customWidth="1"/>
    <col min="14857" max="14862" width="10.125" style="59"/>
    <col min="14863" max="14863" width="0" style="59" hidden="1" customWidth="1"/>
    <col min="14864" max="15106" width="10.125" style="59"/>
    <col min="15107" max="15107" width="10.75" style="59" customWidth="1"/>
    <col min="15108" max="15109" width="10.125" style="59"/>
    <col min="15110" max="15110" width="11.75" style="59" customWidth="1"/>
    <col min="15111" max="15112" width="11" style="59" customWidth="1"/>
    <col min="15113" max="15118" width="10.125" style="59"/>
    <col min="15119" max="15119" width="0" style="59" hidden="1" customWidth="1"/>
    <col min="15120" max="15362" width="10.125" style="59"/>
    <col min="15363" max="15363" width="10.75" style="59" customWidth="1"/>
    <col min="15364" max="15365" width="10.125" style="59"/>
    <col min="15366" max="15366" width="11.75" style="59" customWidth="1"/>
    <col min="15367" max="15368" width="11" style="59" customWidth="1"/>
    <col min="15369" max="15374" width="10.125" style="59"/>
    <col min="15375" max="15375" width="0" style="59" hidden="1" customWidth="1"/>
    <col min="15376" max="15618" width="10.125" style="59"/>
    <col min="15619" max="15619" width="10.75" style="59" customWidth="1"/>
    <col min="15620" max="15621" width="10.125" style="59"/>
    <col min="15622" max="15622" width="11.75" style="59" customWidth="1"/>
    <col min="15623" max="15624" width="11" style="59" customWidth="1"/>
    <col min="15625" max="15630" width="10.125" style="59"/>
    <col min="15631" max="15631" width="0" style="59" hidden="1" customWidth="1"/>
    <col min="15632" max="15874" width="10.125" style="59"/>
    <col min="15875" max="15875" width="10.75" style="59" customWidth="1"/>
    <col min="15876" max="15877" width="10.125" style="59"/>
    <col min="15878" max="15878" width="11.75" style="59" customWidth="1"/>
    <col min="15879" max="15880" width="11" style="59" customWidth="1"/>
    <col min="15881" max="15886" width="10.125" style="59"/>
    <col min="15887" max="15887" width="0" style="59" hidden="1" customWidth="1"/>
    <col min="15888" max="16130" width="10.125" style="59"/>
    <col min="16131" max="16131" width="10.75" style="59" customWidth="1"/>
    <col min="16132" max="16133" width="10.125" style="59"/>
    <col min="16134" max="16134" width="11.75" style="59" customWidth="1"/>
    <col min="16135" max="16136" width="11" style="59" customWidth="1"/>
    <col min="16137" max="16142" width="10.125" style="59"/>
    <col min="16143" max="16143" width="0" style="59" hidden="1" customWidth="1"/>
    <col min="16144" max="16384" width="10.125" style="59"/>
  </cols>
  <sheetData>
    <row r="1" spans="1:15" s="52" customFormat="1" ht="60">
      <c r="A1" s="46" t="s">
        <v>0</v>
      </c>
      <c r="B1" s="47" t="s">
        <v>1</v>
      </c>
      <c r="C1" s="47" t="s">
        <v>2</v>
      </c>
      <c r="D1" s="48" t="s">
        <v>3</v>
      </c>
      <c r="E1" s="49" t="s">
        <v>4</v>
      </c>
      <c r="F1" s="61" t="s">
        <v>5</v>
      </c>
      <c r="G1" s="49" t="s">
        <v>6</v>
      </c>
      <c r="H1" s="61" t="s">
        <v>7</v>
      </c>
      <c r="I1" s="50" t="s">
        <v>8</v>
      </c>
      <c r="J1" s="61" t="s">
        <v>9</v>
      </c>
      <c r="K1" s="50" t="s">
        <v>10</v>
      </c>
      <c r="L1" s="61" t="s">
        <v>11</v>
      </c>
      <c r="M1" s="49" t="s">
        <v>12</v>
      </c>
      <c r="N1" s="49" t="s">
        <v>13</v>
      </c>
      <c r="O1" s="51" t="s">
        <v>14</v>
      </c>
    </row>
    <row r="2" spans="1:15">
      <c r="A2" s="53" t="s">
        <v>15</v>
      </c>
      <c r="B2" s="54">
        <v>1</v>
      </c>
      <c r="C2" s="54">
        <v>12</v>
      </c>
      <c r="D2" s="55">
        <v>2020</v>
      </c>
      <c r="E2" s="56">
        <f>SUBMETERING!O5+SUBMETERING!M5</f>
        <v>31987.000000001637</v>
      </c>
      <c r="F2" s="62">
        <v>0.67516900000000002</v>
      </c>
      <c r="G2" s="57">
        <f>SUBMETERING!K5</f>
        <v>4584</v>
      </c>
      <c r="H2" s="62">
        <v>3.95</v>
      </c>
      <c r="I2" s="57">
        <f>SUBMETERING!S5</f>
        <v>248.06</v>
      </c>
      <c r="J2" s="62">
        <v>3.46</v>
      </c>
      <c r="K2" s="64">
        <f>SUBMETERING!Q5*1000</f>
        <v>4000</v>
      </c>
      <c r="L2" s="62">
        <f>SUBMETERING!R5/TOTAL!K2</f>
        <v>0.41699999999999998</v>
      </c>
      <c r="M2" s="56">
        <f>(SUBMETERING!D5/100)*344</f>
        <v>321.60559999999998</v>
      </c>
      <c r="N2" s="56">
        <f>'[1]Consommation mensuel énergie'!E10</f>
        <v>0</v>
      </c>
      <c r="O2" s="58" t="e">
        <f>E2*F2+G2*H2+#REF!*#REF!+I2*J2</f>
        <v>#REF!</v>
      </c>
    </row>
    <row r="3" spans="1:15">
      <c r="A3" s="53" t="s">
        <v>15</v>
      </c>
      <c r="B3" s="54">
        <f>B2+1</f>
        <v>2</v>
      </c>
      <c r="C3" s="54">
        <v>12</v>
      </c>
      <c r="D3" s="55">
        <v>2020</v>
      </c>
      <c r="E3" s="56">
        <f>SUBMETERING!O6+SUBMETERING!M6</f>
        <v>32120.999999999272</v>
      </c>
      <c r="F3" s="62">
        <f>F2</f>
        <v>0.67516900000000002</v>
      </c>
      <c r="G3" s="57">
        <f>SUBMETERING!K6</f>
        <v>4252</v>
      </c>
      <c r="H3" s="62">
        <f>H2</f>
        <v>3.95</v>
      </c>
      <c r="I3" s="57">
        <f>SUBMETERING!S6</f>
        <v>295.46000000000004</v>
      </c>
      <c r="J3" s="62">
        <f>J2</f>
        <v>3.46</v>
      </c>
      <c r="K3" s="64">
        <f>SUBMETERING!Q6*1000</f>
        <v>5000</v>
      </c>
      <c r="L3" s="62">
        <f>SUBMETERING!R6/TOTAL!K3</f>
        <v>0.41699999999999998</v>
      </c>
      <c r="M3" s="56">
        <f>(SUBMETERING!D6/100)*344</f>
        <v>291.23040000000003</v>
      </c>
      <c r="N3" s="56">
        <f>'[1]Consommation mensuel énergie'!E11</f>
        <v>0</v>
      </c>
      <c r="O3" s="58" t="e">
        <f>E3*F3+G3*H3+#REF!*#REF!+I3*J3</f>
        <v>#REF!</v>
      </c>
    </row>
    <row r="4" spans="1:15">
      <c r="A4" s="53" t="s">
        <v>15</v>
      </c>
      <c r="B4" s="54">
        <f t="shared" ref="B4:B32" si="0">B3+1</f>
        <v>3</v>
      </c>
      <c r="C4" s="54">
        <v>12</v>
      </c>
      <c r="D4" s="55">
        <v>2020</v>
      </c>
      <c r="E4" s="56">
        <f>SUBMETERING!O7+SUBMETERING!M7</f>
        <v>31973.999999997362</v>
      </c>
      <c r="F4" s="62">
        <f t="shared" ref="F4:F32" si="1">F3</f>
        <v>0.67516900000000002</v>
      </c>
      <c r="G4" s="57">
        <f>SUBMETERING!K7</f>
        <v>4048</v>
      </c>
      <c r="H4" s="62">
        <f t="shared" ref="H4:H32" si="2">H3</f>
        <v>3.95</v>
      </c>
      <c r="I4" s="57">
        <f>SUBMETERING!S7</f>
        <v>229.10000000000002</v>
      </c>
      <c r="J4" s="62">
        <f t="shared" ref="J4:J32" si="3">J3</f>
        <v>3.46</v>
      </c>
      <c r="K4" s="64">
        <f>SUBMETERING!Q7*1000</f>
        <v>4000</v>
      </c>
      <c r="L4" s="62">
        <f>SUBMETERING!R7/TOTAL!K4</f>
        <v>0.41699999999999998</v>
      </c>
      <c r="M4" s="56">
        <f>(SUBMETERING!D7/100)*344</f>
        <v>201.99679999999998</v>
      </c>
      <c r="N4" s="56">
        <f>'[1]Consommation mensuel énergie'!E12</f>
        <v>0</v>
      </c>
      <c r="O4" s="58" t="e">
        <f>E4*F4+G4*H4+#REF!*#REF!+I4*J4</f>
        <v>#REF!</v>
      </c>
    </row>
    <row r="5" spans="1:15">
      <c r="A5" s="53" t="s">
        <v>15</v>
      </c>
      <c r="B5" s="54">
        <f t="shared" si="0"/>
        <v>4</v>
      </c>
      <c r="C5" s="54">
        <v>12</v>
      </c>
      <c r="D5" s="55">
        <v>2020</v>
      </c>
      <c r="E5" s="56">
        <f>SUBMETERING!O8+SUBMETERING!M8</f>
        <v>31774.000000002365</v>
      </c>
      <c r="F5" s="62">
        <f t="shared" si="1"/>
        <v>0.67516900000000002</v>
      </c>
      <c r="G5" s="57">
        <f>SUBMETERING!K8</f>
        <v>3768</v>
      </c>
      <c r="H5" s="62">
        <f t="shared" si="2"/>
        <v>3.95</v>
      </c>
      <c r="I5" s="57">
        <f>SUBMETERING!S8</f>
        <v>203.82000000000002</v>
      </c>
      <c r="J5" s="62">
        <f t="shared" si="3"/>
        <v>3.46</v>
      </c>
      <c r="K5" s="64">
        <f>SUBMETERING!Q8*1000</f>
        <v>5000</v>
      </c>
      <c r="L5" s="62">
        <f>SUBMETERING!R8/TOTAL!K5</f>
        <v>0.41699999999999998</v>
      </c>
      <c r="M5" s="56">
        <f>(SUBMETERING!D8/100)*344</f>
        <v>190.9888</v>
      </c>
      <c r="N5" s="56">
        <f>'[1]Consommation mensuel énergie'!E13</f>
        <v>0</v>
      </c>
      <c r="O5" s="58" t="e">
        <f>E5*F5+G5*H5+#REF!*#REF!+I5*J5</f>
        <v>#REF!</v>
      </c>
    </row>
    <row r="6" spans="1:15">
      <c r="A6" s="53" t="s">
        <v>15</v>
      </c>
      <c r="B6" s="54">
        <f t="shared" si="0"/>
        <v>5</v>
      </c>
      <c r="C6" s="54">
        <v>12</v>
      </c>
      <c r="D6" s="55">
        <v>2020</v>
      </c>
      <c r="E6" s="56">
        <f>SUBMETERING!O9+SUBMETERING!M9</f>
        <v>31886</v>
      </c>
      <c r="F6" s="62">
        <f t="shared" si="1"/>
        <v>0.67516900000000002</v>
      </c>
      <c r="G6" s="57">
        <f>SUBMETERING!K9</f>
        <v>3219</v>
      </c>
      <c r="H6" s="62">
        <f t="shared" si="2"/>
        <v>3.95</v>
      </c>
      <c r="I6" s="57">
        <f>SUBMETERING!S9</f>
        <v>181.70000000000002</v>
      </c>
      <c r="J6" s="62">
        <f t="shared" si="3"/>
        <v>3.46</v>
      </c>
      <c r="K6" s="64">
        <f>SUBMETERING!Q9*1000</f>
        <v>6000</v>
      </c>
      <c r="L6" s="62">
        <f>SUBMETERING!R9/TOTAL!K6</f>
        <v>0.41699999999999998</v>
      </c>
      <c r="M6" s="56">
        <f>(SUBMETERING!D9/100)*344</f>
        <v>281.0136</v>
      </c>
      <c r="N6" s="56">
        <f>'[1]Consommation mensuel énergie'!E14</f>
        <v>0</v>
      </c>
      <c r="O6" s="58" t="e">
        <f>E6*F6+G6*H6+#REF!*#REF!+I6*J6</f>
        <v>#REF!</v>
      </c>
    </row>
    <row r="7" spans="1:15">
      <c r="A7" s="53" t="s">
        <v>15</v>
      </c>
      <c r="B7" s="54">
        <f t="shared" si="0"/>
        <v>6</v>
      </c>
      <c r="C7" s="54">
        <v>12</v>
      </c>
      <c r="D7" s="55">
        <v>2020</v>
      </c>
      <c r="E7" s="56">
        <f>SUBMETERING!O10+SUBMETERING!M10</f>
        <v>32982.999999999091</v>
      </c>
      <c r="F7" s="62">
        <f t="shared" si="1"/>
        <v>0.67516900000000002</v>
      </c>
      <c r="G7" s="57">
        <f>SUBMETERING!K10</f>
        <v>3625</v>
      </c>
      <c r="H7" s="62">
        <f t="shared" si="2"/>
        <v>3.95</v>
      </c>
      <c r="I7" s="57">
        <f>SUBMETERING!S10</f>
        <v>221.20000000000002</v>
      </c>
      <c r="J7" s="62">
        <f t="shared" si="3"/>
        <v>3.46</v>
      </c>
      <c r="K7" s="64">
        <f>SUBMETERING!Q10*1000</f>
        <v>7000</v>
      </c>
      <c r="L7" s="62">
        <f>SUBMETERING!R10/TOTAL!K7</f>
        <v>0.41699999999999998</v>
      </c>
      <c r="M7" s="56">
        <f>(SUBMETERING!D10/100)*344</f>
        <v>252.01440000000002</v>
      </c>
      <c r="N7" s="56">
        <f>'[1]Consommation mensuel énergie'!E15</f>
        <v>0</v>
      </c>
      <c r="O7" s="58" t="e">
        <f>E7*F7+G7*H7+#REF!*#REF!+I7*J7</f>
        <v>#REF!</v>
      </c>
    </row>
    <row r="8" spans="1:15">
      <c r="A8" s="53" t="s">
        <v>15</v>
      </c>
      <c r="B8" s="54">
        <f t="shared" si="0"/>
        <v>7</v>
      </c>
      <c r="C8" s="54">
        <v>12</v>
      </c>
      <c r="D8" s="55">
        <v>2020</v>
      </c>
      <c r="E8" s="56">
        <f>SUBMETERING!O11+SUBMETERING!M11</f>
        <v>31950.999999999909</v>
      </c>
      <c r="F8" s="62">
        <f t="shared" si="1"/>
        <v>0.67516900000000002</v>
      </c>
      <c r="G8" s="57">
        <f>SUBMETERING!K11</f>
        <v>4027</v>
      </c>
      <c r="H8" s="62">
        <f t="shared" si="2"/>
        <v>3.95</v>
      </c>
      <c r="I8" s="57">
        <f>SUBMETERING!S11</f>
        <v>162.74</v>
      </c>
      <c r="J8" s="62">
        <f t="shared" si="3"/>
        <v>3.46</v>
      </c>
      <c r="K8" s="64">
        <f>SUBMETERING!Q11*1000</f>
        <v>5000</v>
      </c>
      <c r="L8" s="62">
        <f>SUBMETERING!R11/TOTAL!K8</f>
        <v>0.41699999999999998</v>
      </c>
      <c r="M8" s="56">
        <f>(SUBMETERING!D11/100)*344</f>
        <v>258.99759999999998</v>
      </c>
      <c r="N8" s="56">
        <f>'[1]Consommation mensuel énergie'!E16</f>
        <v>0</v>
      </c>
      <c r="O8" s="58" t="e">
        <f>E8*F8+G8*H8+#REF!*#REF!+I8*J8</f>
        <v>#REF!</v>
      </c>
    </row>
    <row r="9" spans="1:15">
      <c r="A9" s="53" t="s">
        <v>15</v>
      </c>
      <c r="B9" s="54">
        <f t="shared" si="0"/>
        <v>8</v>
      </c>
      <c r="C9" s="54">
        <v>12</v>
      </c>
      <c r="D9" s="55">
        <v>2020</v>
      </c>
      <c r="E9" s="56">
        <f>SUBMETERING!O12+SUBMETERING!M12</f>
        <v>27859.999999999727</v>
      </c>
      <c r="F9" s="62">
        <f t="shared" si="1"/>
        <v>0.67516900000000002</v>
      </c>
      <c r="G9" s="57">
        <f>SUBMETERING!K12</f>
        <v>4516</v>
      </c>
      <c r="H9" s="62">
        <f t="shared" si="2"/>
        <v>3.95</v>
      </c>
      <c r="I9" s="57">
        <f>SUBMETERING!S12</f>
        <v>210.14000000000001</v>
      </c>
      <c r="J9" s="62">
        <f t="shared" si="3"/>
        <v>3.46</v>
      </c>
      <c r="K9" s="64">
        <f>SUBMETERING!Q12*1000</f>
        <v>5000</v>
      </c>
      <c r="L9" s="62">
        <f>SUBMETERING!R12/TOTAL!K9</f>
        <v>0.41699999999999998</v>
      </c>
      <c r="M9" s="56">
        <f>(SUBMETERING!D12/100)*344</f>
        <v>264.98320000000001</v>
      </c>
      <c r="N9" s="56">
        <f>'[1]Consommation mensuel énergie'!E17</f>
        <v>0</v>
      </c>
      <c r="O9" s="58" t="e">
        <f>E9*F9+G9*H9+#REF!*#REF!+I9*J9</f>
        <v>#REF!</v>
      </c>
    </row>
    <row r="10" spans="1:15">
      <c r="A10" s="53" t="s">
        <v>15</v>
      </c>
      <c r="B10" s="54">
        <f t="shared" si="0"/>
        <v>9</v>
      </c>
      <c r="C10" s="54">
        <v>12</v>
      </c>
      <c r="D10" s="55">
        <v>2020</v>
      </c>
      <c r="E10" s="56">
        <f>SUBMETERING!O13+SUBMETERING!M13</f>
        <v>27720.999999999636</v>
      </c>
      <c r="F10" s="62">
        <f t="shared" si="1"/>
        <v>0.67516900000000002</v>
      </c>
      <c r="G10" s="57">
        <f>SUBMETERING!K13</f>
        <v>4304</v>
      </c>
      <c r="H10" s="62">
        <f t="shared" si="2"/>
        <v>3.95</v>
      </c>
      <c r="I10" s="57">
        <f>SUBMETERING!S13</f>
        <v>268.60000000000002</v>
      </c>
      <c r="J10" s="62">
        <f t="shared" si="3"/>
        <v>3.46</v>
      </c>
      <c r="K10" s="64">
        <f>SUBMETERING!Q13*1000</f>
        <v>3000</v>
      </c>
      <c r="L10" s="62">
        <f>SUBMETERING!R13/TOTAL!K10</f>
        <v>0.41699999999999998</v>
      </c>
      <c r="M10" s="56">
        <f>(SUBMETERING!D13/100)*344</f>
        <v>234.4016</v>
      </c>
      <c r="N10" s="56">
        <f>'[1]Consommation mensuel énergie'!E18</f>
        <v>0</v>
      </c>
      <c r="O10" s="58" t="e">
        <f>E10*F10+G10*H10+#REF!*#REF!+I10*J10</f>
        <v>#REF!</v>
      </c>
    </row>
    <row r="11" spans="1:15">
      <c r="A11" s="53" t="s">
        <v>15</v>
      </c>
      <c r="B11" s="54">
        <f t="shared" si="0"/>
        <v>10</v>
      </c>
      <c r="C11" s="54">
        <v>12</v>
      </c>
      <c r="D11" s="55">
        <v>2020</v>
      </c>
      <c r="E11" s="56">
        <f>SUBMETERING!O14+SUBMETERING!M14</f>
        <v>27530.000000002274</v>
      </c>
      <c r="F11" s="62">
        <f t="shared" si="1"/>
        <v>0.67516900000000002</v>
      </c>
      <c r="G11" s="57">
        <f>SUBMETERING!K14</f>
        <v>4284</v>
      </c>
      <c r="H11" s="62">
        <f t="shared" si="2"/>
        <v>3.95</v>
      </c>
      <c r="I11" s="57">
        <f>SUBMETERING!S14</f>
        <v>205.4</v>
      </c>
      <c r="J11" s="62">
        <f t="shared" si="3"/>
        <v>3.46</v>
      </c>
      <c r="K11" s="64">
        <f>SUBMETERING!Q14*1000</f>
        <v>3000</v>
      </c>
      <c r="L11" s="62">
        <f>SUBMETERING!R14/TOTAL!K11</f>
        <v>0.41699999999999998</v>
      </c>
      <c r="M11" s="56">
        <f>(SUBMETERING!D14/100)*344</f>
        <v>221.22640000000001</v>
      </c>
      <c r="N11" s="56">
        <f>'[1]Consommation mensuel énergie'!E19</f>
        <v>0</v>
      </c>
      <c r="O11" s="58" t="e">
        <f>E11*F11+G11*H11+#REF!*#REF!+I11*J11</f>
        <v>#REF!</v>
      </c>
    </row>
    <row r="12" spans="1:15">
      <c r="A12" s="53" t="s">
        <v>15</v>
      </c>
      <c r="B12" s="54">
        <f t="shared" si="0"/>
        <v>11</v>
      </c>
      <c r="C12" s="54">
        <v>12</v>
      </c>
      <c r="D12" s="55">
        <v>2020</v>
      </c>
      <c r="E12" s="56">
        <f>SUBMETERING!O15+SUBMETERING!M15</f>
        <v>26524.999999998545</v>
      </c>
      <c r="F12" s="62">
        <f t="shared" si="1"/>
        <v>0.67516900000000002</v>
      </c>
      <c r="G12" s="57">
        <f>SUBMETERING!K15</f>
        <v>4500</v>
      </c>
      <c r="H12" s="62">
        <f t="shared" si="2"/>
        <v>3.95</v>
      </c>
      <c r="I12" s="57">
        <f>SUBMETERING!S15</f>
        <v>271.76</v>
      </c>
      <c r="J12" s="62">
        <f t="shared" si="3"/>
        <v>3.46</v>
      </c>
      <c r="K12" s="64">
        <f>SUBMETERING!Q15*1000</f>
        <v>4000</v>
      </c>
      <c r="L12" s="62">
        <f>SUBMETERING!R15/TOTAL!K12</f>
        <v>0.41699999999999998</v>
      </c>
      <c r="M12" s="56">
        <f>(SUBMETERING!D15/100)*344</f>
        <v>215.99760000000001</v>
      </c>
      <c r="N12" s="56">
        <f>'[1]Consommation mensuel énergie'!E20</f>
        <v>0</v>
      </c>
      <c r="O12" s="58" t="e">
        <f>E12*F12+G12*H12+#REF!*#REF!+I12*J12</f>
        <v>#REF!</v>
      </c>
    </row>
    <row r="13" spans="1:15">
      <c r="A13" s="53" t="s">
        <v>15</v>
      </c>
      <c r="B13" s="54">
        <f t="shared" si="0"/>
        <v>12</v>
      </c>
      <c r="C13" s="54">
        <v>12</v>
      </c>
      <c r="D13" s="55">
        <v>2020</v>
      </c>
      <c r="E13" s="56">
        <f>SUBMETERING!O16+SUBMETERING!M16</f>
        <v>28248.000000002183</v>
      </c>
      <c r="F13" s="62">
        <f t="shared" si="1"/>
        <v>0.67516900000000002</v>
      </c>
      <c r="G13" s="57">
        <f>SUBMETERING!K16</f>
        <v>4385</v>
      </c>
      <c r="H13" s="62">
        <f t="shared" si="2"/>
        <v>3.95</v>
      </c>
      <c r="I13" s="57">
        <f>SUBMETERING!S16</f>
        <v>202.24</v>
      </c>
      <c r="J13" s="62">
        <f t="shared" si="3"/>
        <v>3.46</v>
      </c>
      <c r="K13" s="64">
        <f>SUBMETERING!Q16*1000</f>
        <v>3000</v>
      </c>
      <c r="L13" s="62">
        <f>SUBMETERING!R16/TOTAL!K13</f>
        <v>0.41699999999999998</v>
      </c>
      <c r="M13" s="56">
        <f>(SUBMETERING!D16/100)*344</f>
        <v>242.00399999999996</v>
      </c>
      <c r="N13" s="56">
        <f>'[1]Consommation mensuel énergie'!E21</f>
        <v>0</v>
      </c>
      <c r="O13" s="58" t="e">
        <f>E13*F13+G13*H13+#REF!*#REF!+I13*J13</f>
        <v>#REF!</v>
      </c>
    </row>
    <row r="14" spans="1:15">
      <c r="A14" s="53" t="s">
        <v>15</v>
      </c>
      <c r="B14" s="54">
        <f t="shared" si="0"/>
        <v>13</v>
      </c>
      <c r="C14" s="54">
        <v>12</v>
      </c>
      <c r="D14" s="55">
        <v>2020</v>
      </c>
      <c r="E14" s="56">
        <f>SUBMETERING!O17+SUBMETERING!M17</f>
        <v>30613.999999996271</v>
      </c>
      <c r="F14" s="62">
        <f t="shared" si="1"/>
        <v>0.67516900000000002</v>
      </c>
      <c r="G14" s="57">
        <f>SUBMETERING!K17</f>
        <v>4069</v>
      </c>
      <c r="H14" s="62">
        <f t="shared" si="2"/>
        <v>3.95</v>
      </c>
      <c r="I14" s="57">
        <f>SUBMETERING!S17</f>
        <v>262.28000000000003</v>
      </c>
      <c r="J14" s="62">
        <f t="shared" si="3"/>
        <v>3.46</v>
      </c>
      <c r="K14" s="64">
        <f>SUBMETERING!Q17*1000</f>
        <v>4000</v>
      </c>
      <c r="L14" s="62">
        <f>SUBMETERING!R17/TOTAL!K14</f>
        <v>0.41699999999999998</v>
      </c>
      <c r="M14" s="56">
        <f>(SUBMETERING!D17/100)*344</f>
        <v>269.00800000000004</v>
      </c>
      <c r="N14" s="56">
        <f>'[1]Consommation mensuel énergie'!E22</f>
        <v>0</v>
      </c>
      <c r="O14" s="58" t="e">
        <f>E14*F14+G14*H14+#REF!*#REF!+I14*J14</f>
        <v>#REF!</v>
      </c>
    </row>
    <row r="15" spans="1:15">
      <c r="A15" s="53" t="s">
        <v>15</v>
      </c>
      <c r="B15" s="54">
        <f t="shared" si="0"/>
        <v>14</v>
      </c>
      <c r="C15" s="54">
        <v>12</v>
      </c>
      <c r="D15" s="55">
        <v>2020</v>
      </c>
      <c r="E15" s="56">
        <f>SUBMETERING!O18+SUBMETERING!M18</f>
        <v>30902.000000001091</v>
      </c>
      <c r="F15" s="62">
        <f t="shared" si="1"/>
        <v>0.67516900000000002</v>
      </c>
      <c r="G15" s="57">
        <f>SUBMETERING!K18</f>
        <v>4162</v>
      </c>
      <c r="H15" s="62">
        <f t="shared" si="2"/>
        <v>3.95</v>
      </c>
      <c r="I15" s="57">
        <f>SUBMETERING!S18</f>
        <v>216.46</v>
      </c>
      <c r="J15" s="62">
        <f t="shared" si="3"/>
        <v>3.46</v>
      </c>
      <c r="K15" s="64">
        <f>SUBMETERING!Q18*1000</f>
        <v>5000</v>
      </c>
      <c r="L15" s="62">
        <f>SUBMETERING!R18/TOTAL!K15</f>
        <v>0.41699999999999998</v>
      </c>
      <c r="M15" s="56">
        <f>(SUBMETERING!D18/100)*344</f>
        <v>289.99199999999996</v>
      </c>
      <c r="N15" s="56">
        <f>'[1]Consommation mensuel énergie'!E23</f>
        <v>0</v>
      </c>
      <c r="O15" s="58" t="e">
        <f>E15*F15+G15*H15+#REF!*#REF!+I15*J15</f>
        <v>#REF!</v>
      </c>
    </row>
    <row r="16" spans="1:15">
      <c r="A16" s="53" t="s">
        <v>15</v>
      </c>
      <c r="B16" s="54">
        <f t="shared" si="0"/>
        <v>15</v>
      </c>
      <c r="C16" s="54">
        <v>12</v>
      </c>
      <c r="D16" s="55">
        <v>2020</v>
      </c>
      <c r="E16" s="56">
        <f>SUBMETERING!O19+SUBMETERING!M19</f>
        <v>33540.000000001543</v>
      </c>
      <c r="F16" s="62">
        <f t="shared" si="1"/>
        <v>0.67516900000000002</v>
      </c>
      <c r="G16" s="57">
        <f>SUBMETERING!K19</f>
        <v>3920</v>
      </c>
      <c r="H16" s="62">
        <f t="shared" si="2"/>
        <v>3.95</v>
      </c>
      <c r="I16" s="57">
        <f>SUBMETERING!S19</f>
        <v>271.76</v>
      </c>
      <c r="J16" s="62">
        <f t="shared" si="3"/>
        <v>3.46</v>
      </c>
      <c r="K16" s="64">
        <f>SUBMETERING!Q19*1000</f>
        <v>5000</v>
      </c>
      <c r="L16" s="62">
        <f>SUBMETERING!R19/TOTAL!K16</f>
        <v>0.41699999999999998</v>
      </c>
      <c r="M16" s="56">
        <f>(SUBMETERING!D19/100)*344</f>
        <v>234.9864</v>
      </c>
      <c r="N16" s="56">
        <f>'[1]Consommation mensuel énergie'!E24</f>
        <v>0</v>
      </c>
      <c r="O16" s="58" t="e">
        <f>E16*F16+G16*H16+#REF!*#REF!+I16*J16</f>
        <v>#REF!</v>
      </c>
    </row>
    <row r="17" spans="1:15">
      <c r="A17" s="53" t="s">
        <v>15</v>
      </c>
      <c r="B17" s="54">
        <f t="shared" si="0"/>
        <v>16</v>
      </c>
      <c r="C17" s="54">
        <v>12</v>
      </c>
      <c r="D17" s="55">
        <v>2020</v>
      </c>
      <c r="E17" s="56">
        <f>SUBMETERING!O20+SUBMETERING!M20</f>
        <v>31481.000000000455</v>
      </c>
      <c r="F17" s="62">
        <f t="shared" si="1"/>
        <v>0.67516900000000002</v>
      </c>
      <c r="G17" s="57">
        <f>SUBMETERING!K20</f>
        <v>3826</v>
      </c>
      <c r="H17" s="62">
        <f t="shared" si="2"/>
        <v>3.95</v>
      </c>
      <c r="I17" s="57">
        <f>SUBMETERING!S20</f>
        <v>219.62</v>
      </c>
      <c r="J17" s="62">
        <f t="shared" si="3"/>
        <v>3.46</v>
      </c>
      <c r="K17" s="64">
        <f>SUBMETERING!Q20*1000</f>
        <v>6000</v>
      </c>
      <c r="L17" s="62">
        <f>SUBMETERING!R20/TOTAL!K17</f>
        <v>0.41699999999999998</v>
      </c>
      <c r="M17" s="56">
        <f>(SUBMETERING!D20/100)*344</f>
        <v>233.98879999999997</v>
      </c>
      <c r="N17" s="56">
        <f>'[1]Consommation mensuel énergie'!E25</f>
        <v>0</v>
      </c>
      <c r="O17" s="58" t="e">
        <f>E17*F17+G17*H17+#REF!*#REF!+I17*J17</f>
        <v>#REF!</v>
      </c>
    </row>
    <row r="18" spans="1:15">
      <c r="A18" s="53" t="s">
        <v>15</v>
      </c>
      <c r="B18" s="54">
        <f t="shared" si="0"/>
        <v>17</v>
      </c>
      <c r="C18" s="54">
        <v>12</v>
      </c>
      <c r="D18" s="55">
        <v>2020</v>
      </c>
      <c r="E18" s="56">
        <f>SUBMETERING!O21+SUBMETERING!M21</f>
        <v>30587.999999998545</v>
      </c>
      <c r="F18" s="62">
        <f t="shared" si="1"/>
        <v>0.67516900000000002</v>
      </c>
      <c r="G18" s="57">
        <f>SUBMETERING!K21</f>
        <v>3768</v>
      </c>
      <c r="H18" s="62">
        <f t="shared" si="2"/>
        <v>3.95</v>
      </c>
      <c r="I18" s="57">
        <f>SUBMETERING!S21</f>
        <v>232.26000000000002</v>
      </c>
      <c r="J18" s="62">
        <f t="shared" si="3"/>
        <v>3.46</v>
      </c>
      <c r="K18" s="64">
        <f>SUBMETERING!Q21*1000</f>
        <v>4000</v>
      </c>
      <c r="L18" s="62">
        <f>SUBMETERING!R21/TOTAL!K18</f>
        <v>0.41699999999999998</v>
      </c>
      <c r="M18" s="56">
        <f>(SUBMETERING!D21/100)*344</f>
        <v>169.00720000000001</v>
      </c>
      <c r="N18" s="56">
        <f>'[1]Consommation mensuel énergie'!E26</f>
        <v>0</v>
      </c>
      <c r="O18" s="58" t="e">
        <f>E18*F18+G18*H18+#REF!*#REF!+I18*J18</f>
        <v>#REF!</v>
      </c>
    </row>
    <row r="19" spans="1:15">
      <c r="A19" s="53" t="s">
        <v>15</v>
      </c>
      <c r="B19" s="54">
        <f t="shared" si="0"/>
        <v>18</v>
      </c>
      <c r="C19" s="54">
        <v>12</v>
      </c>
      <c r="D19" s="55">
        <v>2020</v>
      </c>
      <c r="E19" s="56">
        <f>SUBMETERING!O22+SUBMETERING!M22</f>
        <v>29802.999999999454</v>
      </c>
      <c r="F19" s="62">
        <f t="shared" si="1"/>
        <v>0.67516900000000002</v>
      </c>
      <c r="G19" s="57">
        <f>SUBMETERING!K22</f>
        <v>3779</v>
      </c>
      <c r="H19" s="62">
        <f t="shared" si="2"/>
        <v>3.95</v>
      </c>
      <c r="I19" s="57">
        <f>SUBMETERING!S22</f>
        <v>218.04000000000002</v>
      </c>
      <c r="J19" s="62">
        <f t="shared" si="3"/>
        <v>3.46</v>
      </c>
      <c r="K19" s="64">
        <f>SUBMETERING!Q22*1000</f>
        <v>5000</v>
      </c>
      <c r="L19" s="62">
        <f>SUBMETERING!R22/TOTAL!K19</f>
        <v>0.41699999999999998</v>
      </c>
      <c r="M19" s="56">
        <f>(SUBMETERING!D22/100)*344</f>
        <v>196.0112</v>
      </c>
      <c r="N19" s="56">
        <f>'[1]Consommation mensuel énergie'!E27</f>
        <v>0</v>
      </c>
      <c r="O19" s="58" t="e">
        <f>E19*F19+G19*H19+#REF!*#REF!+I19*J19</f>
        <v>#REF!</v>
      </c>
    </row>
    <row r="20" spans="1:15">
      <c r="A20" s="53" t="s">
        <v>15</v>
      </c>
      <c r="B20" s="54">
        <f t="shared" si="0"/>
        <v>19</v>
      </c>
      <c r="C20" s="54">
        <v>12</v>
      </c>
      <c r="D20" s="55">
        <v>2020</v>
      </c>
      <c r="E20" s="56">
        <f>SUBMETERING!O23+SUBMETERING!M23</f>
        <v>30877.000000000637</v>
      </c>
      <c r="F20" s="62">
        <f t="shared" si="1"/>
        <v>0.67516900000000002</v>
      </c>
      <c r="G20" s="57">
        <f>SUBMETERING!K23</f>
        <v>3616</v>
      </c>
      <c r="H20" s="62">
        <f t="shared" si="2"/>
        <v>3.95</v>
      </c>
      <c r="I20" s="57">
        <f>SUBMETERING!S23</f>
        <v>214.88</v>
      </c>
      <c r="J20" s="62">
        <f t="shared" si="3"/>
        <v>3.46</v>
      </c>
      <c r="K20" s="64">
        <f>SUBMETERING!Q23*1000</f>
        <v>4000</v>
      </c>
      <c r="L20" s="62">
        <f>SUBMETERING!R23/TOTAL!K20</f>
        <v>0.41699999999999998</v>
      </c>
      <c r="M20" s="56">
        <f>(SUBMETERING!D23/100)*344</f>
        <v>210.01199999999997</v>
      </c>
      <c r="N20" s="56">
        <f>'[1]Consommation mensuel énergie'!E28</f>
        <v>0</v>
      </c>
      <c r="O20" s="58" t="e">
        <f>E20*F20+G20*H20+#REF!*#REF!+I20*J20</f>
        <v>#REF!</v>
      </c>
    </row>
    <row r="21" spans="1:15">
      <c r="A21" s="53" t="s">
        <v>15</v>
      </c>
      <c r="B21" s="54">
        <f t="shared" si="0"/>
        <v>20</v>
      </c>
      <c r="C21" s="54">
        <v>12</v>
      </c>
      <c r="D21" s="55">
        <v>2020</v>
      </c>
      <c r="E21" s="56">
        <f>SUBMETERING!O24+SUBMETERING!M24</f>
        <v>31922.000000000364</v>
      </c>
      <c r="F21" s="62">
        <f t="shared" si="1"/>
        <v>0.67516900000000002</v>
      </c>
      <c r="G21" s="57">
        <f>SUBMETERING!K24</f>
        <v>3544</v>
      </c>
      <c r="H21" s="62">
        <f t="shared" si="2"/>
        <v>3.95</v>
      </c>
      <c r="I21" s="57">
        <f>SUBMETERING!S24</f>
        <v>227.52</v>
      </c>
      <c r="J21" s="62">
        <f t="shared" si="3"/>
        <v>3.46</v>
      </c>
      <c r="K21" s="64">
        <f>SUBMETERING!Q24*1000</f>
        <v>5000</v>
      </c>
      <c r="L21" s="62">
        <f>SUBMETERING!R24/TOTAL!K21</f>
        <v>0.41699999999999998</v>
      </c>
      <c r="M21" s="56">
        <f>(SUBMETERING!D24/100)*344</f>
        <v>215.99760000000001</v>
      </c>
      <c r="N21" s="56">
        <f>'[1]Consommation mensuel énergie'!E29</f>
        <v>0</v>
      </c>
      <c r="O21" s="58" t="e">
        <f>E21*F21+G21*H21+#REF!*#REF!+I21*J21</f>
        <v>#REF!</v>
      </c>
    </row>
    <row r="22" spans="1:15">
      <c r="A22" s="53" t="s">
        <v>15</v>
      </c>
      <c r="B22" s="54">
        <f t="shared" si="0"/>
        <v>21</v>
      </c>
      <c r="C22" s="54">
        <v>12</v>
      </c>
      <c r="D22" s="55">
        <v>2020</v>
      </c>
      <c r="E22" s="56">
        <f>SUBMETERING!O25+SUBMETERING!M25</f>
        <v>33324.999999999454</v>
      </c>
      <c r="F22" s="62">
        <f t="shared" si="1"/>
        <v>0.67516900000000002</v>
      </c>
      <c r="G22" s="57">
        <f>SUBMETERING!K25</f>
        <v>3362</v>
      </c>
      <c r="H22" s="62">
        <f t="shared" si="2"/>
        <v>3.95</v>
      </c>
      <c r="I22" s="57">
        <f>SUBMETERING!S25</f>
        <v>211.72</v>
      </c>
      <c r="J22" s="62">
        <f t="shared" si="3"/>
        <v>3.46</v>
      </c>
      <c r="K22" s="64">
        <f>SUBMETERING!Q25*1000</f>
        <v>6000</v>
      </c>
      <c r="L22" s="62">
        <f>SUBMETERING!R25/TOTAL!K22</f>
        <v>0.41699999999999998</v>
      </c>
      <c r="M22" s="56">
        <f>(SUBMETERING!D25/100)*344</f>
        <v>242.00399999999996</v>
      </c>
      <c r="N22" s="56">
        <f>'[1]Consommation mensuel énergie'!E30</f>
        <v>0</v>
      </c>
      <c r="O22" s="58" t="e">
        <f>E22*F22+G22*H22+#REF!*#REF!+I22*J22</f>
        <v>#REF!</v>
      </c>
    </row>
    <row r="23" spans="1:15">
      <c r="A23" s="53" t="s">
        <v>15</v>
      </c>
      <c r="B23" s="54">
        <f t="shared" si="0"/>
        <v>22</v>
      </c>
      <c r="C23" s="54">
        <v>12</v>
      </c>
      <c r="D23" s="55">
        <v>2020</v>
      </c>
      <c r="E23" s="56">
        <f>SUBMETERING!O26+SUBMETERING!M26</f>
        <v>34244.999999998996</v>
      </c>
      <c r="F23" s="62">
        <f t="shared" si="1"/>
        <v>0.67516900000000002</v>
      </c>
      <c r="G23" s="57">
        <f>SUBMETERING!K26</f>
        <v>3761</v>
      </c>
      <c r="H23" s="62">
        <f t="shared" si="2"/>
        <v>3.95</v>
      </c>
      <c r="I23" s="57">
        <f>SUBMETERING!S26</f>
        <v>224.36</v>
      </c>
      <c r="J23" s="62">
        <f t="shared" si="3"/>
        <v>3.46</v>
      </c>
      <c r="K23" s="64">
        <f>SUBMETERING!Q26*1000</f>
        <v>8000</v>
      </c>
      <c r="L23" s="62">
        <f>SUBMETERING!R26/TOTAL!K23</f>
        <v>0.41699999999999998</v>
      </c>
      <c r="M23" s="56">
        <f>(SUBMETERING!D26/100)*344</f>
        <v>274.99360000000001</v>
      </c>
      <c r="N23" s="56">
        <f>'[1]Consommation mensuel énergie'!E31</f>
        <v>0</v>
      </c>
      <c r="O23" s="58" t="e">
        <f>E23*F23+G23*H23+#REF!*#REF!+I23*J23</f>
        <v>#REF!</v>
      </c>
    </row>
    <row r="24" spans="1:15">
      <c r="A24" s="53" t="s">
        <v>15</v>
      </c>
      <c r="B24" s="54">
        <f t="shared" si="0"/>
        <v>23</v>
      </c>
      <c r="C24" s="54">
        <v>12</v>
      </c>
      <c r="D24" s="55">
        <v>2020</v>
      </c>
      <c r="E24" s="56">
        <f>SUBMETERING!O27+SUBMETERING!M27</f>
        <v>34284.000000001091</v>
      </c>
      <c r="F24" s="62">
        <f t="shared" si="1"/>
        <v>0.67516900000000002</v>
      </c>
      <c r="G24" s="57">
        <f>SUBMETERING!K27</f>
        <v>3765</v>
      </c>
      <c r="H24" s="62">
        <f t="shared" si="2"/>
        <v>3.95</v>
      </c>
      <c r="I24" s="57">
        <f>SUBMETERING!S27</f>
        <v>252.8</v>
      </c>
      <c r="J24" s="62">
        <f t="shared" si="3"/>
        <v>3.46</v>
      </c>
      <c r="K24" s="64">
        <f>SUBMETERING!Q27*1000</f>
        <v>6000</v>
      </c>
      <c r="L24" s="62">
        <f>SUBMETERING!R27/TOTAL!K24</f>
        <v>0.41699999999999998</v>
      </c>
      <c r="M24" s="56">
        <f>(SUBMETERING!D27/100)*344</f>
        <v>264.05440000000004</v>
      </c>
      <c r="N24" s="56">
        <f>'[1]Consommation mensuel énergie'!E32</f>
        <v>0</v>
      </c>
      <c r="O24" s="58" t="e">
        <f>E24*F24+G24*H24+#REF!*#REF!+I24*J24</f>
        <v>#REF!</v>
      </c>
    </row>
    <row r="25" spans="1:15">
      <c r="A25" s="53" t="s">
        <v>15</v>
      </c>
      <c r="B25" s="54">
        <f t="shared" si="0"/>
        <v>24</v>
      </c>
      <c r="C25" s="54">
        <v>12</v>
      </c>
      <c r="D25" s="55">
        <v>2020</v>
      </c>
      <c r="E25" s="56">
        <f>SUBMETERING!O28+SUBMETERING!M28</f>
        <v>32313.999999999909</v>
      </c>
      <c r="F25" s="62">
        <f t="shared" si="1"/>
        <v>0.67516900000000002</v>
      </c>
      <c r="G25" s="57">
        <f>SUBMETERING!K28</f>
        <v>3424</v>
      </c>
      <c r="H25" s="62">
        <f t="shared" si="2"/>
        <v>3.95</v>
      </c>
      <c r="I25" s="57">
        <f>SUBMETERING!S28</f>
        <v>206.98000000000002</v>
      </c>
      <c r="J25" s="62">
        <f t="shared" si="3"/>
        <v>3.46</v>
      </c>
      <c r="K25" s="64">
        <f>SUBMETERING!Q28*1000</f>
        <v>7000</v>
      </c>
      <c r="L25" s="62">
        <f>SUBMETERING!R28/TOTAL!K25</f>
        <v>0.41699999999999998</v>
      </c>
      <c r="M25" s="56">
        <f>(SUBMETERING!D28/100)*344</f>
        <v>194.8416</v>
      </c>
      <c r="N25" s="56">
        <f>'[1]Consommation mensuel énergie'!E33</f>
        <v>0</v>
      </c>
      <c r="O25" s="58" t="e">
        <f>E25*F25+G25*H25+#REF!*#REF!+I25*J25</f>
        <v>#REF!</v>
      </c>
    </row>
    <row r="26" spans="1:15">
      <c r="A26" s="53" t="s">
        <v>15</v>
      </c>
      <c r="B26" s="54">
        <f>B25+1</f>
        <v>25</v>
      </c>
      <c r="C26" s="54">
        <v>12</v>
      </c>
      <c r="D26" s="55">
        <v>2020</v>
      </c>
      <c r="E26" s="56">
        <f>SUBMETERING!O29+SUBMETERING!M29</f>
        <v>33529.999999999636</v>
      </c>
      <c r="F26" s="62">
        <f t="shared" si="1"/>
        <v>0.67516900000000002</v>
      </c>
      <c r="G26" s="57">
        <f>SUBMETERING!K29</f>
        <v>3420</v>
      </c>
      <c r="H26" s="62">
        <f t="shared" si="2"/>
        <v>3.95</v>
      </c>
      <c r="I26" s="57">
        <f>SUBMETERING!S29</f>
        <v>154.84</v>
      </c>
      <c r="J26" s="62">
        <f t="shared" si="3"/>
        <v>3.46</v>
      </c>
      <c r="K26" s="64">
        <f>SUBMETERING!Q29*1000</f>
        <v>9000</v>
      </c>
      <c r="L26" s="62">
        <f>SUBMETERING!R29/TOTAL!K26</f>
        <v>0.41699999999999998</v>
      </c>
      <c r="M26" s="56">
        <f>(SUBMETERING!D29/100)*344</f>
        <v>176.98800000000003</v>
      </c>
      <c r="N26" s="56">
        <f>'[1]Consommation mensuel énergie'!E34</f>
        <v>0</v>
      </c>
      <c r="O26" s="58" t="e">
        <f>E26*F26+G26*H26+#REF!*#REF!+I26*J26</f>
        <v>#REF!</v>
      </c>
    </row>
    <row r="27" spans="1:15">
      <c r="A27" s="53" t="s">
        <v>15</v>
      </c>
      <c r="B27" s="54">
        <f t="shared" si="0"/>
        <v>26</v>
      </c>
      <c r="C27" s="54">
        <v>12</v>
      </c>
      <c r="D27" s="55">
        <v>2020</v>
      </c>
      <c r="E27" s="56">
        <f>SUBMETERING!O30+SUBMETERING!M30</f>
        <v>33877.999999999549</v>
      </c>
      <c r="F27" s="62">
        <f t="shared" si="1"/>
        <v>0.67516900000000002</v>
      </c>
      <c r="G27" s="57">
        <f>SUBMETERING!K30</f>
        <v>3391</v>
      </c>
      <c r="H27" s="62">
        <f t="shared" si="2"/>
        <v>3.95</v>
      </c>
      <c r="I27" s="57">
        <f>SUBMETERING!S30</f>
        <v>205.4</v>
      </c>
      <c r="J27" s="62">
        <f t="shared" si="3"/>
        <v>3.46</v>
      </c>
      <c r="K27" s="64">
        <f>SUBMETERING!Q30*1000</f>
        <v>8000</v>
      </c>
      <c r="L27" s="62">
        <f>SUBMETERING!R30/TOTAL!K27</f>
        <v>0.41699999999999998</v>
      </c>
      <c r="M27" s="56">
        <f>(SUBMETERING!D30/100)*344</f>
        <v>192.98400000000001</v>
      </c>
      <c r="N27" s="56">
        <f>'[1]Consommation mensuel énergie'!E35</f>
        <v>0</v>
      </c>
      <c r="O27" s="58" t="e">
        <f>E27*F27+G27*H27+#REF!*#REF!+I27*J27</f>
        <v>#REF!</v>
      </c>
    </row>
    <row r="28" spans="1:15">
      <c r="A28" s="53" t="s">
        <v>15</v>
      </c>
      <c r="B28" s="54">
        <f t="shared" si="0"/>
        <v>27</v>
      </c>
      <c r="C28" s="54">
        <v>12</v>
      </c>
      <c r="D28" s="55">
        <v>2020</v>
      </c>
      <c r="E28" s="56">
        <f>SUBMETERING!O31+SUBMETERING!M31</f>
        <v>34170.999999998996</v>
      </c>
      <c r="F28" s="62">
        <f t="shared" si="1"/>
        <v>0.67516900000000002</v>
      </c>
      <c r="G28" s="57">
        <f>SUBMETERING!K31</f>
        <v>3394</v>
      </c>
      <c r="H28" s="62">
        <f t="shared" si="2"/>
        <v>3.95</v>
      </c>
      <c r="I28" s="57">
        <f>SUBMETERING!S31</f>
        <v>151.68</v>
      </c>
      <c r="J28" s="62">
        <f t="shared" si="3"/>
        <v>3.46</v>
      </c>
      <c r="K28" s="64">
        <f>SUBMETERING!Q31*1000</f>
        <v>9000</v>
      </c>
      <c r="L28" s="62">
        <f>SUBMETERING!R31/TOTAL!K28</f>
        <v>0.41699999999999998</v>
      </c>
      <c r="M28" s="56">
        <f>(SUBMETERING!D31/100)*344</f>
        <v>200.0016</v>
      </c>
      <c r="N28" s="56">
        <f>'[1]Consommation mensuel énergie'!E36</f>
        <v>0</v>
      </c>
      <c r="O28" s="58" t="e">
        <f>E28*F28+G28*H28+#REF!*#REF!+I28*J28</f>
        <v>#REF!</v>
      </c>
    </row>
    <row r="29" spans="1:15">
      <c r="A29" s="53" t="s">
        <v>15</v>
      </c>
      <c r="B29" s="54">
        <f t="shared" si="0"/>
        <v>28</v>
      </c>
      <c r="C29" s="54">
        <v>12</v>
      </c>
      <c r="D29" s="55">
        <v>2020</v>
      </c>
      <c r="E29" s="56">
        <f>SUBMETERING!O32+SUBMETERING!M32</f>
        <v>33448.000000001273</v>
      </c>
      <c r="F29" s="62">
        <f t="shared" si="1"/>
        <v>0.67516900000000002</v>
      </c>
      <c r="G29" s="57">
        <f>SUBMETERING!K32</f>
        <v>3516</v>
      </c>
      <c r="H29" s="62">
        <f t="shared" si="2"/>
        <v>3.95</v>
      </c>
      <c r="I29" s="57">
        <f>SUBMETERING!S32</f>
        <v>202.24</v>
      </c>
      <c r="J29" s="62">
        <f t="shared" si="3"/>
        <v>3.46</v>
      </c>
      <c r="K29" s="64">
        <f>SUBMETERING!Q32*1000</f>
        <v>8000</v>
      </c>
      <c r="L29" s="62">
        <f>SUBMETERING!R32/TOTAL!K29</f>
        <v>0.41699999999999998</v>
      </c>
      <c r="M29" s="56">
        <f>(SUBMETERING!D32/100)*344</f>
        <v>182.0104</v>
      </c>
      <c r="N29" s="56">
        <f>'[1]Consommation mensuel énergie'!E37</f>
        <v>0</v>
      </c>
      <c r="O29" s="58" t="e">
        <f>E29*F29+G29*H29+#REF!*#REF!+I29*J29</f>
        <v>#REF!</v>
      </c>
    </row>
    <row r="30" spans="1:15">
      <c r="A30" s="53" t="s">
        <v>15</v>
      </c>
      <c r="B30" s="54">
        <f t="shared" si="0"/>
        <v>29</v>
      </c>
      <c r="C30" s="54">
        <v>12</v>
      </c>
      <c r="D30" s="55">
        <v>2020</v>
      </c>
      <c r="E30" s="56">
        <f>SUBMETERING!O33+SUBMETERING!M33</f>
        <v>31033.000000001273</v>
      </c>
      <c r="F30" s="62">
        <f t="shared" si="1"/>
        <v>0.67516900000000002</v>
      </c>
      <c r="G30" s="57">
        <f>SUBMETERING!K33</f>
        <v>3364</v>
      </c>
      <c r="H30" s="62">
        <f t="shared" si="2"/>
        <v>3.95</v>
      </c>
      <c r="I30" s="57">
        <f>SUBMETERING!S33</f>
        <v>197.5</v>
      </c>
      <c r="J30" s="62">
        <f t="shared" si="3"/>
        <v>3.46</v>
      </c>
      <c r="K30" s="64">
        <f>SUBMETERING!Q33*1000</f>
        <v>7000</v>
      </c>
      <c r="L30" s="62">
        <f>SUBMETERING!R33/TOTAL!K30</f>
        <v>0.41699999999999998</v>
      </c>
      <c r="M30" s="56">
        <f>(SUBMETERING!D33/100)*344</f>
        <v>180.01519999999999</v>
      </c>
      <c r="N30" s="56">
        <f>'[1]Consommation mensuel énergie'!E38</f>
        <v>0</v>
      </c>
      <c r="O30" s="58" t="e">
        <f>E30*F30+G30*H30+#REF!*#REF!+I30*J30</f>
        <v>#REF!</v>
      </c>
    </row>
    <row r="31" spans="1:15">
      <c r="A31" s="53" t="s">
        <v>15</v>
      </c>
      <c r="B31" s="54">
        <f t="shared" si="0"/>
        <v>30</v>
      </c>
      <c r="C31" s="54">
        <v>12</v>
      </c>
      <c r="D31" s="55">
        <v>2020</v>
      </c>
      <c r="E31" s="56">
        <f>SUBMETERING!O34+SUBMETERING!M34</f>
        <v>33158.999999999549</v>
      </c>
      <c r="F31" s="62">
        <f t="shared" si="1"/>
        <v>0.67516900000000002</v>
      </c>
      <c r="G31" s="57">
        <f>SUBMETERING!K34</f>
        <v>3666</v>
      </c>
      <c r="H31" s="62">
        <f t="shared" si="2"/>
        <v>3.95</v>
      </c>
      <c r="I31" s="57">
        <f>SUBMETERING!S34</f>
        <v>188.02</v>
      </c>
      <c r="J31" s="62">
        <f t="shared" si="3"/>
        <v>3.46</v>
      </c>
      <c r="K31" s="64">
        <f>SUBMETERING!Q34*1000</f>
        <v>9000</v>
      </c>
      <c r="L31" s="62">
        <f>SUBMETERING!R34/TOTAL!K31</f>
        <v>0.41699999999999998</v>
      </c>
      <c r="M31" s="56">
        <f>(SUBMETERING!D34/100)*344</f>
        <v>191.9864</v>
      </c>
      <c r="N31" s="56">
        <f>'[1]Consommation mensuel énergie'!E39</f>
        <v>0</v>
      </c>
      <c r="O31" s="58" t="e">
        <f>E31*F31+G31*H31+#REF!*#REF!+I31*J31</f>
        <v>#REF!</v>
      </c>
    </row>
    <row r="32" spans="1:15">
      <c r="A32" s="53" t="s">
        <v>15</v>
      </c>
      <c r="B32" s="54">
        <f t="shared" si="0"/>
        <v>31</v>
      </c>
      <c r="C32" s="54">
        <v>12</v>
      </c>
      <c r="D32" s="55">
        <v>2020</v>
      </c>
      <c r="E32" s="56">
        <f>SUBMETERING!O35+SUBMETERING!M35</f>
        <v>33087.999999999818</v>
      </c>
      <c r="F32" s="62">
        <f t="shared" si="1"/>
        <v>0.67516900000000002</v>
      </c>
      <c r="G32" s="57">
        <f>SUBMETERING!K35</f>
        <v>3353</v>
      </c>
      <c r="H32" s="62">
        <f t="shared" si="2"/>
        <v>3.95</v>
      </c>
      <c r="I32" s="57">
        <f>SUBMETERING!S35</f>
        <v>170.64000000000001</v>
      </c>
      <c r="J32" s="62">
        <f t="shared" si="3"/>
        <v>3.46</v>
      </c>
      <c r="K32" s="64">
        <f>SUBMETERING!Q35*1000</f>
        <v>7000</v>
      </c>
      <c r="L32" s="62">
        <f>SUBMETERING!R35/TOTAL!K32</f>
        <v>0.41699999999999998</v>
      </c>
      <c r="M32" s="56">
        <f>(SUBMETERING!D35/100)*344</f>
        <v>433.44</v>
      </c>
      <c r="N32" s="56">
        <v>0</v>
      </c>
      <c r="O32" s="58"/>
    </row>
    <row r="33" spans="1:15" s="56" customFormat="1">
      <c r="A33" s="60"/>
      <c r="B33" s="54"/>
      <c r="C33" s="54"/>
      <c r="D33" s="55"/>
      <c r="F33" s="62"/>
      <c r="G33" s="57"/>
      <c r="H33" s="62"/>
      <c r="I33" s="57"/>
      <c r="J33" s="62"/>
      <c r="K33" s="62"/>
      <c r="L33" s="62"/>
      <c r="O33" s="59"/>
    </row>
    <row r="34" spans="1:15" s="56" customFormat="1">
      <c r="A34" s="60"/>
      <c r="B34" s="54"/>
      <c r="C34" s="54"/>
      <c r="D34" s="55"/>
      <c r="F34" s="62"/>
      <c r="G34" s="57"/>
      <c r="H34" s="62"/>
      <c r="I34" s="57"/>
      <c r="J34" s="62"/>
      <c r="K34" s="62"/>
      <c r="L34" s="62"/>
      <c r="O34" s="59"/>
    </row>
    <row r="35" spans="1:15" s="56" customFormat="1">
      <c r="A35" s="60"/>
      <c r="B35" s="54"/>
      <c r="C35" s="54"/>
      <c r="D35" s="55"/>
      <c r="F35" s="62"/>
      <c r="G35" s="57"/>
      <c r="H35" s="62"/>
      <c r="I35" s="57"/>
      <c r="J35" s="62"/>
      <c r="K35" s="62"/>
      <c r="L35" s="62"/>
      <c r="O35" s="59"/>
    </row>
    <row r="36" spans="1:15" s="56" customFormat="1">
      <c r="A36" s="60"/>
      <c r="B36" s="54"/>
      <c r="C36" s="54"/>
      <c r="D36" s="55"/>
      <c r="F36" s="62"/>
      <c r="G36" s="57"/>
      <c r="H36" s="62"/>
      <c r="I36" s="57"/>
      <c r="J36" s="62"/>
      <c r="K36" s="62"/>
      <c r="L36" s="62"/>
      <c r="O36" s="59"/>
    </row>
    <row r="37" spans="1:15" s="56" customFormat="1">
      <c r="A37" s="60"/>
      <c r="B37" s="54"/>
      <c r="C37" s="54"/>
      <c r="D37" s="55"/>
      <c r="F37" s="62"/>
      <c r="G37" s="57"/>
      <c r="H37" s="62"/>
      <c r="I37" s="57"/>
      <c r="J37" s="62"/>
      <c r="K37" s="62"/>
      <c r="L37" s="62"/>
      <c r="O37" s="59"/>
    </row>
    <row r="38" spans="1:15" s="56" customFormat="1">
      <c r="A38" s="60"/>
      <c r="B38" s="54"/>
      <c r="C38" s="54"/>
      <c r="D38" s="55"/>
      <c r="F38" s="62"/>
      <c r="G38" s="57"/>
      <c r="H38" s="62"/>
      <c r="I38" s="57"/>
      <c r="J38" s="62"/>
      <c r="K38" s="62"/>
      <c r="L38" s="62"/>
      <c r="O38" s="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5" zoomScaleNormal="85" workbookViewId="0">
      <selection activeCell="G5" sqref="G5"/>
    </sheetView>
  </sheetViews>
  <sheetFormatPr defaultColWidth="9" defaultRowHeight="14.25"/>
  <cols>
    <col min="1" max="1" width="4.625" style="2" customWidth="1"/>
    <col min="2" max="4" width="6.625" style="2" customWidth="1"/>
    <col min="5" max="5" width="8.625" style="2" customWidth="1"/>
    <col min="6" max="6" width="11.625" style="2" customWidth="1"/>
    <col min="7" max="7" width="10.75" style="3" customWidth="1"/>
    <col min="8" max="8" width="12.25" style="2" customWidth="1"/>
    <col min="9" max="9" width="10.75" style="2" customWidth="1"/>
    <col min="10" max="10" width="11.625" style="2" customWidth="1"/>
    <col min="11" max="11" width="11.5" style="2" customWidth="1"/>
    <col min="12" max="12" width="13.625" style="2" customWidth="1"/>
    <col min="13" max="13" width="11.5" style="2" customWidth="1"/>
    <col min="14" max="14" width="13.625" style="2" customWidth="1"/>
    <col min="15" max="15" width="11.375" style="2" customWidth="1"/>
    <col min="16" max="16" width="13.625" style="2" customWidth="1"/>
    <col min="17" max="17" width="7.875" style="2" customWidth="1"/>
    <col min="18" max="18" width="12.625" style="2" customWidth="1"/>
    <col min="19" max="19" width="9.625" style="2" customWidth="1"/>
    <col min="20" max="20" width="11.625" style="1" customWidth="1"/>
    <col min="21" max="21" width="17.875" style="9" customWidth="1"/>
    <col min="22" max="25" width="8" style="2" bestFit="1" customWidth="1"/>
    <col min="26" max="26" width="16.25" style="2" customWidth="1"/>
    <col min="27" max="16384" width="9" style="2"/>
  </cols>
  <sheetData>
    <row r="1" spans="1:21" ht="24" customHeight="1" thickBot="1">
      <c r="A1" s="71" t="s">
        <v>16</v>
      </c>
      <c r="B1" s="71"/>
      <c r="C1" s="71"/>
      <c r="D1" s="71"/>
      <c r="E1" s="71"/>
      <c r="F1" s="71"/>
      <c r="G1" s="72"/>
      <c r="H1" s="71"/>
      <c r="I1" s="71"/>
      <c r="J1" s="71"/>
      <c r="K1" s="71"/>
      <c r="L1" s="71"/>
      <c r="M1" s="71"/>
      <c r="N1" s="71"/>
      <c r="O1" s="73"/>
      <c r="P1" s="73"/>
      <c r="Q1" s="73"/>
      <c r="R1" s="73"/>
      <c r="S1" s="73"/>
      <c r="T1" s="73"/>
      <c r="U1" s="73"/>
    </row>
    <row r="2" spans="1:21" s="10" customFormat="1" ht="26.25" customHeight="1" thickBot="1">
      <c r="A2" s="74" t="s">
        <v>17</v>
      </c>
      <c r="B2" s="77" t="s">
        <v>18</v>
      </c>
      <c r="C2" s="77" t="s">
        <v>19</v>
      </c>
      <c r="D2" s="74" t="s">
        <v>20</v>
      </c>
      <c r="E2" s="80" t="s">
        <v>21</v>
      </c>
      <c r="F2" s="81"/>
      <c r="G2" s="84" t="s">
        <v>22</v>
      </c>
      <c r="H2" s="96"/>
      <c r="I2" s="99" t="s">
        <v>23</v>
      </c>
      <c r="J2" s="96"/>
      <c r="K2" s="84" t="s">
        <v>24</v>
      </c>
      <c r="L2" s="85"/>
      <c r="M2" s="84" t="s">
        <v>25</v>
      </c>
      <c r="N2" s="85"/>
      <c r="O2" s="88" t="s">
        <v>26</v>
      </c>
      <c r="P2" s="89"/>
      <c r="Q2" s="103" t="s">
        <v>27</v>
      </c>
      <c r="R2" s="104"/>
      <c r="S2" s="101" t="s">
        <v>28</v>
      </c>
      <c r="T2" s="102"/>
      <c r="U2" s="85" t="s">
        <v>29</v>
      </c>
    </row>
    <row r="3" spans="1:21" s="11" customFormat="1" ht="38.25" customHeight="1" thickBot="1">
      <c r="A3" s="75"/>
      <c r="B3" s="78"/>
      <c r="C3" s="78"/>
      <c r="D3" s="75"/>
      <c r="E3" s="82"/>
      <c r="F3" s="83"/>
      <c r="G3" s="97"/>
      <c r="H3" s="98"/>
      <c r="I3" s="100"/>
      <c r="J3" s="98"/>
      <c r="K3" s="86"/>
      <c r="L3" s="87"/>
      <c r="M3" s="86"/>
      <c r="N3" s="87"/>
      <c r="O3" s="90"/>
      <c r="P3" s="91"/>
      <c r="Q3" s="105"/>
      <c r="R3" s="106"/>
      <c r="S3" s="94" t="s">
        <v>30</v>
      </c>
      <c r="T3" s="95"/>
      <c r="U3" s="75"/>
    </row>
    <row r="4" spans="1:21" s="10" customFormat="1" ht="24.75" customHeight="1" thickBot="1">
      <c r="A4" s="76"/>
      <c r="B4" s="79"/>
      <c r="C4" s="79"/>
      <c r="D4" s="76"/>
      <c r="E4" s="20" t="s">
        <v>31</v>
      </c>
      <c r="F4" s="21" t="s">
        <v>32</v>
      </c>
      <c r="G4" s="20" t="s">
        <v>31</v>
      </c>
      <c r="H4" s="21" t="s">
        <v>33</v>
      </c>
      <c r="I4" s="22" t="s">
        <v>34</v>
      </c>
      <c r="J4" s="23" t="s">
        <v>33</v>
      </c>
      <c r="K4" s="22" t="s">
        <v>35</v>
      </c>
      <c r="L4" s="23" t="s">
        <v>33</v>
      </c>
      <c r="M4" s="24" t="s">
        <v>36</v>
      </c>
      <c r="N4" s="21" t="s">
        <v>32</v>
      </c>
      <c r="O4" s="20" t="s">
        <v>37</v>
      </c>
      <c r="P4" s="21" t="s">
        <v>32</v>
      </c>
      <c r="Q4" s="25" t="s">
        <v>38</v>
      </c>
      <c r="R4" s="26" t="s">
        <v>33</v>
      </c>
      <c r="S4" s="20" t="s">
        <v>39</v>
      </c>
      <c r="T4" s="21" t="s">
        <v>32</v>
      </c>
      <c r="U4" s="76"/>
    </row>
    <row r="5" spans="1:21" s="4" customFormat="1" ht="22.5" customHeight="1" thickBot="1">
      <c r="A5" s="43">
        <v>1</v>
      </c>
      <c r="B5" s="27" t="s">
        <v>47</v>
      </c>
      <c r="C5" s="12">
        <v>390</v>
      </c>
      <c r="D5" s="29">
        <v>93.49</v>
      </c>
      <c r="E5" s="13">
        <f>SUM([2]厨房燃气!BH7)</f>
        <v>815</v>
      </c>
      <c r="F5" s="32">
        <f>IF(E5&gt;0,E5*4.17,0)</f>
        <v>3398.5499999999997</v>
      </c>
      <c r="G5" s="13">
        <f>SUM('[2]B1 &amp; 102F 锅炉房'!C7)</f>
        <v>1755</v>
      </c>
      <c r="H5" s="15">
        <f>IF(G5&gt;0,G5*4.17,0)</f>
        <v>7318.3499999999995</v>
      </c>
      <c r="I5" s="30">
        <f>SUM('[2]B1 &amp; 102F 锅炉房'!G7)</f>
        <v>2014</v>
      </c>
      <c r="J5" s="36">
        <f>IF(I5&gt;0,I5*4.17,0)</f>
        <v>8398.3799999999992</v>
      </c>
      <c r="K5" s="13">
        <f t="shared" ref="K5:K34" si="0">SUM(I5+G5+E5)</f>
        <v>4584</v>
      </c>
      <c r="L5" s="15">
        <f>IF(K5&gt;0,K5*4.17,0)</f>
        <v>19115.28</v>
      </c>
      <c r="M5" s="30">
        <f>SUM([2]主塔楼空调用电量!V4)</f>
        <v>3787</v>
      </c>
      <c r="N5" s="32">
        <f>M5*0.675169</f>
        <v>2556.8650029999999</v>
      </c>
      <c r="O5" s="13">
        <f>SUM('[2]68F 高压F13&amp;F30'!F7)</f>
        <v>28200.000000001637</v>
      </c>
      <c r="P5" s="16">
        <f>IF(O5&gt;0,O5*0.675169)</f>
        <v>19039.765800001107</v>
      </c>
      <c r="Q5" s="31">
        <f>SUM([2]裙楼空调用量!L4)</f>
        <v>4</v>
      </c>
      <c r="R5" s="32">
        <f t="shared" ref="R5:R18" si="1">IF(Q5*417&gt;0,Q5*417,0)</f>
        <v>1668</v>
      </c>
      <c r="S5" s="13">
        <f>SUM('[2]B4 水表'!C7)</f>
        <v>248.06</v>
      </c>
      <c r="T5" s="16">
        <f>S5*3.7287</f>
        <v>924.94132200000001</v>
      </c>
      <c r="U5" s="40">
        <f>SUM(L5+P5+R5+T5)</f>
        <v>40747.987122001105</v>
      </c>
    </row>
    <row r="6" spans="1:21" s="4" customFormat="1" ht="22.5" customHeight="1" thickBot="1">
      <c r="A6" s="44">
        <v>2</v>
      </c>
      <c r="B6" s="27" t="s">
        <v>48</v>
      </c>
      <c r="C6" s="12">
        <v>0</v>
      </c>
      <c r="D6" s="29">
        <v>84.66</v>
      </c>
      <c r="E6" s="13">
        <f>SUM([2]厨房燃气!BH8)</f>
        <v>766</v>
      </c>
      <c r="F6" s="33">
        <f t="shared" ref="F6:F34" si="2">IF(E6&gt;0,E6*4.17,0)</f>
        <v>3194.22</v>
      </c>
      <c r="G6" s="13">
        <f>SUM('[2]B1 &amp; 102F 锅炉房'!C8)</f>
        <v>1831</v>
      </c>
      <c r="H6" s="34">
        <f t="shared" ref="H6:H34" si="3">IF(G6&gt;0,G6*4.17,0)</f>
        <v>7635.2699999999995</v>
      </c>
      <c r="I6" s="30">
        <f>SUM('[2]B1 &amp; 102F 锅炉房'!G8)</f>
        <v>1655</v>
      </c>
      <c r="J6" s="37">
        <f t="shared" ref="J6:J34" si="4">IF(I6&gt;0,I6*4.17,0)</f>
        <v>6901.3499999999995</v>
      </c>
      <c r="K6" s="13">
        <f t="shared" si="0"/>
        <v>4252</v>
      </c>
      <c r="L6" s="34">
        <f t="shared" ref="L6:L31" si="5">IF(K6&gt;0,K6*4.17,0)</f>
        <v>17730.84</v>
      </c>
      <c r="M6" s="30">
        <f>SUM([2]主塔楼空调用电量!V5)</f>
        <v>3821</v>
      </c>
      <c r="N6" s="32">
        <f t="shared" ref="N6:N34" si="6">M6*0.675169</f>
        <v>2579.820749</v>
      </c>
      <c r="O6" s="13">
        <f>SUM('[2]68F 高压F13&amp;F30'!F8)</f>
        <v>28299.999999999272</v>
      </c>
      <c r="P6" s="16">
        <f>IF(O6&gt;0,O6*0.675169)</f>
        <v>19107.282699999509</v>
      </c>
      <c r="Q6" s="31">
        <f>SUM([2]裙楼空调用量!L5)</f>
        <v>5</v>
      </c>
      <c r="R6" s="33">
        <f t="shared" si="1"/>
        <v>2085</v>
      </c>
      <c r="S6" s="13">
        <f>SUM('[2]B4 水表'!C8)</f>
        <v>295.46000000000004</v>
      </c>
      <c r="T6" s="17">
        <f>S6*3.7287</f>
        <v>1101.6817020000001</v>
      </c>
      <c r="U6" s="40">
        <f t="shared" ref="U6:U33" si="7">SUM(L6+P6+R6+T6)</f>
        <v>40024.804401999514</v>
      </c>
    </row>
    <row r="7" spans="1:21" s="4" customFormat="1" ht="22.5" customHeight="1" thickBot="1">
      <c r="A7" s="44">
        <v>3</v>
      </c>
      <c r="B7" s="27" t="s">
        <v>49</v>
      </c>
      <c r="C7" s="12">
        <v>15</v>
      </c>
      <c r="D7" s="29">
        <v>58.72</v>
      </c>
      <c r="E7" s="13">
        <f>SUM([2]厨房燃气!BH9)</f>
        <v>544</v>
      </c>
      <c r="F7" s="33">
        <f t="shared" si="2"/>
        <v>2268.48</v>
      </c>
      <c r="G7" s="13">
        <f>SUM('[2]B1 &amp; 102F 锅炉房'!C9)</f>
        <v>1692</v>
      </c>
      <c r="H7" s="34">
        <f t="shared" si="3"/>
        <v>7055.64</v>
      </c>
      <c r="I7" s="30">
        <f>SUM('[2]B1 &amp; 102F 锅炉房'!G9)</f>
        <v>1812</v>
      </c>
      <c r="J7" s="37">
        <f t="shared" si="4"/>
        <v>7556.04</v>
      </c>
      <c r="K7" s="13">
        <f t="shared" si="0"/>
        <v>4048</v>
      </c>
      <c r="L7" s="34">
        <f t="shared" si="5"/>
        <v>16880.16</v>
      </c>
      <c r="M7" s="30">
        <f>SUM([2]主塔楼空调用电量!V6)</f>
        <v>4074</v>
      </c>
      <c r="N7" s="32">
        <f t="shared" si="6"/>
        <v>2750.6385060000002</v>
      </c>
      <c r="O7" s="13">
        <f>SUM('[2]68F 高压F13&amp;F30'!F9)</f>
        <v>27899.999999997362</v>
      </c>
      <c r="P7" s="16">
        <f t="shared" ref="P7:P34" si="8">IF(O7&gt;0,O7*0.675169)</f>
        <v>18837.215099998219</v>
      </c>
      <c r="Q7" s="31">
        <f>SUM([2]裙楼空调用量!L6)</f>
        <v>4</v>
      </c>
      <c r="R7" s="33">
        <f t="shared" si="1"/>
        <v>1668</v>
      </c>
      <c r="S7" s="13">
        <f>SUM('[2]B4 水表'!C9)</f>
        <v>229.10000000000002</v>
      </c>
      <c r="T7" s="17">
        <f t="shared" ref="T7:T31" si="9">S7*3.7287</f>
        <v>854.24517000000003</v>
      </c>
      <c r="U7" s="40">
        <f t="shared" si="7"/>
        <v>38239.620269998217</v>
      </c>
    </row>
    <row r="8" spans="1:21" s="4" customFormat="1" ht="22.5" customHeight="1" thickBot="1">
      <c r="A8" s="44">
        <v>4</v>
      </c>
      <c r="B8" s="27" t="s">
        <v>50</v>
      </c>
      <c r="C8" s="12">
        <v>137</v>
      </c>
      <c r="D8" s="29">
        <v>55.52</v>
      </c>
      <c r="E8" s="13">
        <f>SUM([2]厨房燃气!BH10)</f>
        <v>552</v>
      </c>
      <c r="F8" s="33">
        <f t="shared" si="2"/>
        <v>2301.84</v>
      </c>
      <c r="G8" s="13">
        <f>SUM('[2]B1 &amp; 102F 锅炉房'!C10)</f>
        <v>1631</v>
      </c>
      <c r="H8" s="34">
        <f t="shared" si="3"/>
        <v>6801.2699999999995</v>
      </c>
      <c r="I8" s="30">
        <f>SUM('[2]B1 &amp; 102F 锅炉房'!G10)</f>
        <v>1585</v>
      </c>
      <c r="J8" s="37">
        <f t="shared" si="4"/>
        <v>6609.45</v>
      </c>
      <c r="K8" s="13">
        <f t="shared" si="0"/>
        <v>3768</v>
      </c>
      <c r="L8" s="34">
        <f t="shared" si="5"/>
        <v>15712.56</v>
      </c>
      <c r="M8" s="30">
        <f>SUM([2]主塔楼空调用电量!V7)</f>
        <v>4374</v>
      </c>
      <c r="N8" s="32">
        <f t="shared" si="6"/>
        <v>2953.189206</v>
      </c>
      <c r="O8" s="13">
        <f>SUM('[2]68F 高压F13&amp;F30'!F10)</f>
        <v>27400.000000002365</v>
      </c>
      <c r="P8" s="16">
        <f t="shared" si="8"/>
        <v>18499.630600001597</v>
      </c>
      <c r="Q8" s="31">
        <f>SUM([2]裙楼空调用量!L7)</f>
        <v>5</v>
      </c>
      <c r="R8" s="33">
        <f t="shared" si="1"/>
        <v>2085</v>
      </c>
      <c r="S8" s="13">
        <f>SUM('[2]B4 水表'!C10)</f>
        <v>203.82000000000002</v>
      </c>
      <c r="T8" s="17">
        <f t="shared" si="9"/>
        <v>759.98363400000005</v>
      </c>
      <c r="U8" s="40">
        <f t="shared" si="7"/>
        <v>37057.174234001592</v>
      </c>
    </row>
    <row r="9" spans="1:21" s="4" customFormat="1" ht="22.5" customHeight="1" thickBot="1">
      <c r="A9" s="44">
        <v>5</v>
      </c>
      <c r="B9" s="27" t="s">
        <v>51</v>
      </c>
      <c r="C9" s="12">
        <v>258</v>
      </c>
      <c r="D9" s="29">
        <v>81.69</v>
      </c>
      <c r="E9" s="13">
        <f>SUM([2]厨房燃气!BH11)</f>
        <v>632</v>
      </c>
      <c r="F9" s="33">
        <f t="shared" si="2"/>
        <v>2635.44</v>
      </c>
      <c r="G9" s="13">
        <f>SUM('[2]B1 &amp; 102F 锅炉房'!C11)</f>
        <v>1552</v>
      </c>
      <c r="H9" s="34">
        <f t="shared" si="3"/>
        <v>6471.84</v>
      </c>
      <c r="I9" s="30">
        <f>SUM('[2]B1 &amp; 102F 锅炉房'!G11)</f>
        <v>1035</v>
      </c>
      <c r="J9" s="37">
        <f t="shared" si="4"/>
        <v>4315.95</v>
      </c>
      <c r="K9" s="13">
        <f t="shared" si="0"/>
        <v>3219</v>
      </c>
      <c r="L9" s="34">
        <f t="shared" si="5"/>
        <v>13423.23</v>
      </c>
      <c r="M9" s="30">
        <f>SUM([2]主塔楼空调用电量!V8)</f>
        <v>4386</v>
      </c>
      <c r="N9" s="32">
        <f t="shared" si="6"/>
        <v>2961.2912340000003</v>
      </c>
      <c r="O9" s="13">
        <f>SUM('[2]68F 高压F13&amp;F30'!F11)</f>
        <v>27500</v>
      </c>
      <c r="P9" s="16">
        <f t="shared" si="8"/>
        <v>18567.147499999999</v>
      </c>
      <c r="Q9" s="31">
        <f>SUM([2]裙楼空调用量!L8)</f>
        <v>6</v>
      </c>
      <c r="R9" s="33">
        <f t="shared" si="1"/>
        <v>2502</v>
      </c>
      <c r="S9" s="13">
        <f>SUM('[2]B4 水表'!C11)</f>
        <v>181.70000000000002</v>
      </c>
      <c r="T9" s="17">
        <f t="shared" si="9"/>
        <v>677.50479000000007</v>
      </c>
      <c r="U9" s="40">
        <f t="shared" si="7"/>
        <v>35169.882290000001</v>
      </c>
    </row>
    <row r="10" spans="1:21" s="4" customFormat="1" ht="22.5" customHeight="1" thickBot="1">
      <c r="A10" s="44">
        <v>6</v>
      </c>
      <c r="B10" s="27" t="s">
        <v>52</v>
      </c>
      <c r="C10" s="12">
        <v>326</v>
      </c>
      <c r="D10" s="29">
        <v>73.260000000000005</v>
      </c>
      <c r="E10" s="13">
        <f>SUM([2]厨房燃气!BH12)</f>
        <v>720</v>
      </c>
      <c r="F10" s="33">
        <f t="shared" si="2"/>
        <v>3002.4</v>
      </c>
      <c r="G10" s="13">
        <f>SUM('[2]B1 &amp; 102F 锅炉房'!C12)</f>
        <v>1602</v>
      </c>
      <c r="H10" s="34">
        <f t="shared" si="3"/>
        <v>6680.34</v>
      </c>
      <c r="I10" s="30">
        <f>SUM('[2]B1 &amp; 102F 锅炉房'!G12)</f>
        <v>1303</v>
      </c>
      <c r="J10" s="37">
        <f t="shared" si="4"/>
        <v>5433.51</v>
      </c>
      <c r="K10" s="13">
        <f t="shared" si="0"/>
        <v>3625</v>
      </c>
      <c r="L10" s="34">
        <f t="shared" si="5"/>
        <v>15116.25</v>
      </c>
      <c r="M10" s="30">
        <f>SUM([2]主塔楼空调用电量!V9)</f>
        <v>4483</v>
      </c>
      <c r="N10" s="32">
        <f t="shared" si="6"/>
        <v>3026.782627</v>
      </c>
      <c r="O10" s="13">
        <f>SUM('[2]68F 高压F13&amp;F30'!F12)</f>
        <v>28499.999999999091</v>
      </c>
      <c r="P10" s="16">
        <f t="shared" si="8"/>
        <v>19242.316499999386</v>
      </c>
      <c r="Q10" s="31">
        <f>SUM([2]裙楼空调用量!L9)</f>
        <v>7</v>
      </c>
      <c r="R10" s="33">
        <f t="shared" si="1"/>
        <v>2919</v>
      </c>
      <c r="S10" s="13">
        <f>SUM('[2]B4 水表'!C12)</f>
        <v>221.20000000000002</v>
      </c>
      <c r="T10" s="17">
        <f t="shared" si="9"/>
        <v>824.78844000000004</v>
      </c>
      <c r="U10" s="40">
        <f t="shared" si="7"/>
        <v>38102.354939999386</v>
      </c>
    </row>
    <row r="11" spans="1:21" s="4" customFormat="1" ht="22.5" customHeight="1" thickBot="1">
      <c r="A11" s="44">
        <v>7</v>
      </c>
      <c r="B11" s="27" t="s">
        <v>53</v>
      </c>
      <c r="C11" s="12">
        <v>500</v>
      </c>
      <c r="D11" s="29">
        <v>75.290000000000006</v>
      </c>
      <c r="E11" s="13">
        <f>SUM([2]厨房燃气!BH13)</f>
        <v>754</v>
      </c>
      <c r="F11" s="33">
        <f t="shared" si="2"/>
        <v>3144.18</v>
      </c>
      <c r="G11" s="13">
        <f>SUM('[2]B1 &amp; 102F 锅炉房'!C13)</f>
        <v>1558</v>
      </c>
      <c r="H11" s="34">
        <f t="shared" si="3"/>
        <v>6496.86</v>
      </c>
      <c r="I11" s="30">
        <f>SUM('[2]B1 &amp; 102F 锅炉房'!G13)</f>
        <v>1715</v>
      </c>
      <c r="J11" s="37">
        <f t="shared" si="4"/>
        <v>7151.55</v>
      </c>
      <c r="K11" s="13">
        <f t="shared" si="0"/>
        <v>4027</v>
      </c>
      <c r="L11" s="34">
        <f t="shared" si="5"/>
        <v>16792.59</v>
      </c>
      <c r="M11" s="30">
        <f>SUM([2]主塔楼空调用电量!V10)</f>
        <v>4351</v>
      </c>
      <c r="N11" s="32">
        <f t="shared" si="6"/>
        <v>2937.6603190000001</v>
      </c>
      <c r="O11" s="13">
        <f>SUM('[2]68F 高压F13&amp;F30'!F13)</f>
        <v>27599.999999999909</v>
      </c>
      <c r="P11" s="16">
        <f t="shared" si="8"/>
        <v>18634.66439999994</v>
      </c>
      <c r="Q11" s="31">
        <f>SUM([2]裙楼空调用量!L10)</f>
        <v>5</v>
      </c>
      <c r="R11" s="33">
        <f t="shared" si="1"/>
        <v>2085</v>
      </c>
      <c r="S11" s="13">
        <f>SUM('[2]B4 水表'!C13)</f>
        <v>162.74</v>
      </c>
      <c r="T11" s="17">
        <f t="shared" si="9"/>
        <v>606.80863799999997</v>
      </c>
      <c r="U11" s="40">
        <f t="shared" si="7"/>
        <v>38119.063037999942</v>
      </c>
    </row>
    <row r="12" spans="1:21" s="4" customFormat="1" ht="22.5" customHeight="1" thickBot="1">
      <c r="A12" s="44">
        <v>8</v>
      </c>
      <c r="B12" s="27" t="s">
        <v>54</v>
      </c>
      <c r="C12" s="12">
        <v>100</v>
      </c>
      <c r="D12" s="29">
        <v>77.03</v>
      </c>
      <c r="E12" s="13">
        <f>SUM([2]厨房燃气!BH14)</f>
        <v>777</v>
      </c>
      <c r="F12" s="33">
        <f t="shared" si="2"/>
        <v>3240.09</v>
      </c>
      <c r="G12" s="13">
        <f>SUM('[2]B1 &amp; 102F 锅炉房'!C14)</f>
        <v>1649</v>
      </c>
      <c r="H12" s="34">
        <f t="shared" si="3"/>
        <v>6876.33</v>
      </c>
      <c r="I12" s="30">
        <f>SUM('[2]B1 &amp; 102F 锅炉房'!G14)</f>
        <v>2090</v>
      </c>
      <c r="J12" s="37">
        <f t="shared" si="4"/>
        <v>8715.2999999999993</v>
      </c>
      <c r="K12" s="13">
        <f t="shared" si="0"/>
        <v>4516</v>
      </c>
      <c r="L12" s="34">
        <f t="shared" si="5"/>
        <v>18831.72</v>
      </c>
      <c r="M12" s="30">
        <f>SUM([2]主塔楼空调用电量!V11)</f>
        <v>2560</v>
      </c>
      <c r="N12" s="32">
        <f t="shared" si="6"/>
        <v>1728.43264</v>
      </c>
      <c r="O12" s="13">
        <f>SUM('[2]68F 高压F13&amp;F30'!F14)</f>
        <v>25299.999999999727</v>
      </c>
      <c r="P12" s="16">
        <f t="shared" si="8"/>
        <v>17081.775699999816</v>
      </c>
      <c r="Q12" s="31">
        <f>SUM([2]裙楼空调用量!L11)</f>
        <v>5</v>
      </c>
      <c r="R12" s="33">
        <f t="shared" si="1"/>
        <v>2085</v>
      </c>
      <c r="S12" s="13">
        <f>SUM('[2]B4 水表'!C14)</f>
        <v>210.14000000000001</v>
      </c>
      <c r="T12" s="17">
        <f t="shared" si="9"/>
        <v>783.54901800000005</v>
      </c>
      <c r="U12" s="40">
        <f t="shared" si="7"/>
        <v>38782.044717999815</v>
      </c>
    </row>
    <row r="13" spans="1:21" s="4" customFormat="1" ht="22.5" customHeight="1" thickBot="1">
      <c r="A13" s="44">
        <v>9</v>
      </c>
      <c r="B13" s="27" t="s">
        <v>54</v>
      </c>
      <c r="C13" s="12">
        <v>596</v>
      </c>
      <c r="D13" s="29">
        <v>68.14</v>
      </c>
      <c r="E13" s="13">
        <f>SUM([2]厨房燃气!BH15)</f>
        <v>596</v>
      </c>
      <c r="F13" s="33">
        <f t="shared" si="2"/>
        <v>2485.3200000000002</v>
      </c>
      <c r="G13" s="13">
        <f>SUM('[2]B1 &amp; 102F 锅炉房'!C15)</f>
        <v>1644</v>
      </c>
      <c r="H13" s="34">
        <f t="shared" si="3"/>
        <v>6855.48</v>
      </c>
      <c r="I13" s="30">
        <f>SUM('[2]B1 &amp; 102F 锅炉房'!G15)</f>
        <v>2064</v>
      </c>
      <c r="J13" s="37">
        <f t="shared" si="4"/>
        <v>8606.8799999999992</v>
      </c>
      <c r="K13" s="13">
        <f t="shared" si="0"/>
        <v>4304</v>
      </c>
      <c r="L13" s="34">
        <f t="shared" si="5"/>
        <v>17947.68</v>
      </c>
      <c r="M13" s="30">
        <f>SUM([2]主塔楼空调用电量!V12)</f>
        <v>2321</v>
      </c>
      <c r="N13" s="32">
        <f t="shared" si="6"/>
        <v>1567.0672489999999</v>
      </c>
      <c r="O13" s="13">
        <f>SUM('[2]68F 高压F13&amp;F30'!F15)</f>
        <v>25399.999999999636</v>
      </c>
      <c r="P13" s="16">
        <f t="shared" si="8"/>
        <v>17149.292599999753</v>
      </c>
      <c r="Q13" s="31">
        <f>SUM([2]裙楼空调用量!L12)</f>
        <v>3</v>
      </c>
      <c r="R13" s="33">
        <f t="shared" si="1"/>
        <v>1251</v>
      </c>
      <c r="S13" s="13">
        <f>SUM('[2]B4 水表'!C15)</f>
        <v>268.60000000000002</v>
      </c>
      <c r="T13" s="17">
        <f t="shared" si="9"/>
        <v>1001.5288200000001</v>
      </c>
      <c r="U13" s="40">
        <f t="shared" si="7"/>
        <v>37349.501419999753</v>
      </c>
    </row>
    <row r="14" spans="1:21" s="4" customFormat="1" ht="22.5" customHeight="1" thickBot="1">
      <c r="A14" s="44">
        <v>10</v>
      </c>
      <c r="B14" s="27" t="s">
        <v>55</v>
      </c>
      <c r="C14" s="12">
        <v>1690</v>
      </c>
      <c r="D14" s="29">
        <v>64.31</v>
      </c>
      <c r="E14" s="13">
        <f>SUM([2]厨房燃气!BH16)</f>
        <v>619</v>
      </c>
      <c r="F14" s="33">
        <f t="shared" si="2"/>
        <v>2581.23</v>
      </c>
      <c r="G14" s="13">
        <f>SUM('[2]B1 &amp; 102F 锅炉房'!C16)</f>
        <v>1605</v>
      </c>
      <c r="H14" s="34">
        <f t="shared" si="3"/>
        <v>6692.8499999999995</v>
      </c>
      <c r="I14" s="30">
        <f>SUM('[2]B1 &amp; 102F 锅炉房'!G16)</f>
        <v>2060</v>
      </c>
      <c r="J14" s="37">
        <f t="shared" si="4"/>
        <v>8590.2000000000007</v>
      </c>
      <c r="K14" s="13">
        <f>SUM(I14+G14+E14)</f>
        <v>4284</v>
      </c>
      <c r="L14" s="34">
        <f t="shared" si="5"/>
        <v>17864.28</v>
      </c>
      <c r="M14" s="30">
        <f>SUM([2]主塔楼空调用电量!V13)</f>
        <v>2530</v>
      </c>
      <c r="N14" s="32">
        <f t="shared" si="6"/>
        <v>1708.1775700000001</v>
      </c>
      <c r="O14" s="13">
        <f>SUM('[2]68F 高压F13&amp;F30'!F16)</f>
        <v>25000.000000002274</v>
      </c>
      <c r="P14" s="16">
        <f t="shared" si="8"/>
        <v>16879.225000001537</v>
      </c>
      <c r="Q14" s="31">
        <f>SUM([2]裙楼空调用量!L13)</f>
        <v>3</v>
      </c>
      <c r="R14" s="33">
        <f t="shared" si="1"/>
        <v>1251</v>
      </c>
      <c r="S14" s="13">
        <f>SUM('[2]B4 水表'!C16)</f>
        <v>205.4</v>
      </c>
      <c r="T14" s="17">
        <f t="shared" si="9"/>
        <v>765.87498000000005</v>
      </c>
      <c r="U14" s="40">
        <f t="shared" si="7"/>
        <v>36760.379980001533</v>
      </c>
    </row>
    <row r="15" spans="1:21" s="4" customFormat="1" ht="22.5" customHeight="1" thickBot="1">
      <c r="A15" s="44">
        <v>11</v>
      </c>
      <c r="B15" s="27" t="s">
        <v>56</v>
      </c>
      <c r="C15" s="12">
        <v>165</v>
      </c>
      <c r="D15" s="29">
        <v>62.79</v>
      </c>
      <c r="E15" s="13">
        <f>SUM([2]厨房燃气!BH17)</f>
        <v>641</v>
      </c>
      <c r="F15" s="33">
        <f t="shared" si="2"/>
        <v>2672.97</v>
      </c>
      <c r="G15" s="13">
        <f>SUM('[2]B1 &amp; 102F 锅炉房'!C17)</f>
        <v>1599</v>
      </c>
      <c r="H15" s="34">
        <f t="shared" si="3"/>
        <v>6667.83</v>
      </c>
      <c r="I15" s="30">
        <f>SUM('[2]B1 &amp; 102F 锅炉房'!G17)</f>
        <v>2260</v>
      </c>
      <c r="J15" s="37">
        <f t="shared" si="4"/>
        <v>9424.2000000000007</v>
      </c>
      <c r="K15" s="13">
        <f t="shared" si="0"/>
        <v>4500</v>
      </c>
      <c r="L15" s="34">
        <f t="shared" si="5"/>
        <v>18765</v>
      </c>
      <c r="M15" s="30">
        <f>SUM([2]主塔楼空调用电量!V14)</f>
        <v>2425</v>
      </c>
      <c r="N15" s="32">
        <f t="shared" si="6"/>
        <v>1637.284825</v>
      </c>
      <c r="O15" s="13">
        <f>SUM('[2]68F 高压F13&amp;F30'!F17)</f>
        <v>24099.999999998545</v>
      </c>
      <c r="P15" s="16">
        <f t="shared" si="8"/>
        <v>16271.572899999019</v>
      </c>
      <c r="Q15" s="31">
        <f>SUM([2]裙楼空调用量!L14)</f>
        <v>4</v>
      </c>
      <c r="R15" s="33">
        <f t="shared" si="1"/>
        <v>1668</v>
      </c>
      <c r="S15" s="13">
        <f>SUM('[2]B4 水表'!C17)</f>
        <v>271.76</v>
      </c>
      <c r="T15" s="17">
        <f t="shared" si="9"/>
        <v>1013.311512</v>
      </c>
      <c r="U15" s="40">
        <f t="shared" si="7"/>
        <v>37717.884411999017</v>
      </c>
    </row>
    <row r="16" spans="1:21" s="4" customFormat="1" ht="22.5" customHeight="1" thickBot="1">
      <c r="A16" s="44">
        <v>12</v>
      </c>
      <c r="B16" s="27" t="s">
        <v>57</v>
      </c>
      <c r="C16" s="12">
        <v>510</v>
      </c>
      <c r="D16" s="29">
        <v>70.349999999999994</v>
      </c>
      <c r="E16" s="13">
        <f>SUM([2]厨房燃气!BH18)</f>
        <v>642</v>
      </c>
      <c r="F16" s="33">
        <f t="shared" si="2"/>
        <v>2677.14</v>
      </c>
      <c r="G16" s="13">
        <f>SUM('[2]B1 &amp; 102F 锅炉房'!C18)</f>
        <v>1677</v>
      </c>
      <c r="H16" s="34">
        <f t="shared" si="3"/>
        <v>6993.09</v>
      </c>
      <c r="I16" s="30">
        <f>SUM('[2]B1 &amp; 102F 锅炉房'!G18)</f>
        <v>2066</v>
      </c>
      <c r="J16" s="37">
        <f t="shared" si="4"/>
        <v>8615.2199999999993</v>
      </c>
      <c r="K16" s="13">
        <f t="shared" si="0"/>
        <v>4385</v>
      </c>
      <c r="L16" s="34">
        <f t="shared" si="5"/>
        <v>18285.45</v>
      </c>
      <c r="M16" s="30">
        <f>SUM([2]主塔楼空调用电量!V15)</f>
        <v>3148</v>
      </c>
      <c r="N16" s="32">
        <f t="shared" si="6"/>
        <v>2125.4320120000002</v>
      </c>
      <c r="O16" s="13">
        <f>SUM('[2]68F 高压F13&amp;F30'!F18)</f>
        <v>25100.000000002183</v>
      </c>
      <c r="P16" s="16">
        <f t="shared" si="8"/>
        <v>16946.741900001474</v>
      </c>
      <c r="Q16" s="31">
        <f>SUM([2]裙楼空调用量!L15)</f>
        <v>3</v>
      </c>
      <c r="R16" s="33">
        <f t="shared" si="1"/>
        <v>1251</v>
      </c>
      <c r="S16" s="13">
        <f>SUM('[2]B4 水表'!C18)</f>
        <v>202.24</v>
      </c>
      <c r="T16" s="17">
        <f t="shared" si="9"/>
        <v>754.09228800000005</v>
      </c>
      <c r="U16" s="40">
        <f t="shared" si="7"/>
        <v>37237.284188001475</v>
      </c>
    </row>
    <row r="17" spans="1:21" s="4" customFormat="1" ht="22.5" customHeight="1" thickBot="1">
      <c r="A17" s="44">
        <v>13</v>
      </c>
      <c r="B17" s="27" t="s">
        <v>58</v>
      </c>
      <c r="C17" s="12">
        <v>350</v>
      </c>
      <c r="D17" s="29">
        <v>78.2</v>
      </c>
      <c r="E17" s="13">
        <f>SUM([2]厨房燃气!BH19)</f>
        <v>639</v>
      </c>
      <c r="F17" s="33">
        <f t="shared" si="2"/>
        <v>2664.63</v>
      </c>
      <c r="G17" s="13">
        <f>SUM('[2]B1 &amp; 102F 锅炉房'!C19)</f>
        <v>1498</v>
      </c>
      <c r="H17" s="34">
        <f t="shared" si="3"/>
        <v>6246.66</v>
      </c>
      <c r="I17" s="30">
        <f>SUM('[2]B1 &amp; 102F 锅炉房'!G19)</f>
        <v>1932</v>
      </c>
      <c r="J17" s="37">
        <f t="shared" si="4"/>
        <v>8056.44</v>
      </c>
      <c r="K17" s="13">
        <f t="shared" si="0"/>
        <v>4069</v>
      </c>
      <c r="L17" s="34">
        <f t="shared" si="5"/>
        <v>16967.73</v>
      </c>
      <c r="M17" s="30">
        <f>SUM([2]主塔楼空调用电量!V16)</f>
        <v>4014</v>
      </c>
      <c r="N17" s="32">
        <f t="shared" si="6"/>
        <v>2710.1283659999999</v>
      </c>
      <c r="O17" s="13">
        <f>SUM('[2]68F 高压F13&amp;F30'!F19)</f>
        <v>26599.999999996271</v>
      </c>
      <c r="P17" s="16">
        <f t="shared" si="8"/>
        <v>17959.495399997482</v>
      </c>
      <c r="Q17" s="31">
        <f>SUM([2]裙楼空调用量!L16)</f>
        <v>4</v>
      </c>
      <c r="R17" s="33">
        <f t="shared" si="1"/>
        <v>1668</v>
      </c>
      <c r="S17" s="13">
        <f>SUM('[2]B4 水表'!C19)</f>
        <v>262.28000000000003</v>
      </c>
      <c r="T17" s="17">
        <f t="shared" si="9"/>
        <v>977.96343600000012</v>
      </c>
      <c r="U17" s="40">
        <f t="shared" si="7"/>
        <v>37573.188835997476</v>
      </c>
    </row>
    <row r="18" spans="1:21" s="4" customFormat="1" ht="22.5" customHeight="1" thickBot="1">
      <c r="A18" s="44">
        <v>14</v>
      </c>
      <c r="B18" s="27" t="s">
        <v>43</v>
      </c>
      <c r="C18" s="12">
        <v>266</v>
      </c>
      <c r="D18" s="29">
        <v>84.3</v>
      </c>
      <c r="E18" s="13">
        <f>SUM([2]厨房燃气!BH20)</f>
        <v>724</v>
      </c>
      <c r="F18" s="33">
        <f t="shared" si="2"/>
        <v>3019.08</v>
      </c>
      <c r="G18" s="13">
        <f>SUM('[2]B1 &amp; 102F 锅炉房'!C20)</f>
        <v>1663</v>
      </c>
      <c r="H18" s="34">
        <f t="shared" si="3"/>
        <v>6934.71</v>
      </c>
      <c r="I18" s="30">
        <f>SUM('[2]B1 &amp; 102F 锅炉房'!G20)</f>
        <v>1775</v>
      </c>
      <c r="J18" s="37">
        <f t="shared" si="4"/>
        <v>7401.75</v>
      </c>
      <c r="K18" s="13">
        <f t="shared" si="0"/>
        <v>4162</v>
      </c>
      <c r="L18" s="34">
        <f t="shared" si="5"/>
        <v>17355.54</v>
      </c>
      <c r="M18" s="30">
        <f>SUM([2]主塔楼空调用电量!V17)</f>
        <v>4602</v>
      </c>
      <c r="N18" s="32">
        <f t="shared" si="6"/>
        <v>3107.1277380000001</v>
      </c>
      <c r="O18" s="13">
        <f>SUM('[2]68F 高压F13&amp;F30'!F20)</f>
        <v>26300.000000001091</v>
      </c>
      <c r="P18" s="16">
        <f t="shared" si="8"/>
        <v>17756.944700000739</v>
      </c>
      <c r="Q18" s="31">
        <f>SUM([2]裙楼空调用量!L17)</f>
        <v>5</v>
      </c>
      <c r="R18" s="33">
        <f t="shared" si="1"/>
        <v>2085</v>
      </c>
      <c r="S18" s="13">
        <f>SUM('[2]B4 水表'!C20)</f>
        <v>216.46</v>
      </c>
      <c r="T18" s="17">
        <f t="shared" si="9"/>
        <v>807.11440200000004</v>
      </c>
      <c r="U18" s="40">
        <f t="shared" si="7"/>
        <v>38004.599102000742</v>
      </c>
    </row>
    <row r="19" spans="1:21" s="4" customFormat="1" ht="22.5" customHeight="1" thickBot="1">
      <c r="A19" s="44">
        <v>15</v>
      </c>
      <c r="B19" s="27" t="s">
        <v>44</v>
      </c>
      <c r="C19" s="12">
        <v>314</v>
      </c>
      <c r="D19" s="29">
        <v>68.31</v>
      </c>
      <c r="E19" s="13">
        <f>SUM([2]厨房燃气!BH21)</f>
        <v>722</v>
      </c>
      <c r="F19" s="33">
        <f t="shared" si="2"/>
        <v>3010.74</v>
      </c>
      <c r="G19" s="13">
        <f>SUM('[2]B1 &amp; 102F 锅炉房'!C21)</f>
        <v>1657</v>
      </c>
      <c r="H19" s="34">
        <f t="shared" si="3"/>
        <v>6909.69</v>
      </c>
      <c r="I19" s="30">
        <f>SUM('[2]B1 &amp; 102F 锅炉房'!G21)</f>
        <v>1541</v>
      </c>
      <c r="J19" s="37">
        <f t="shared" si="4"/>
        <v>6425.97</v>
      </c>
      <c r="K19" s="13">
        <f t="shared" si="0"/>
        <v>3920</v>
      </c>
      <c r="L19" s="34">
        <f t="shared" si="5"/>
        <v>16346.4</v>
      </c>
      <c r="M19" s="30">
        <f>SUM([2]主塔楼空调用电量!V18)</f>
        <v>5240</v>
      </c>
      <c r="N19" s="32">
        <f t="shared" si="6"/>
        <v>3537.8855600000002</v>
      </c>
      <c r="O19" s="13">
        <f>SUM('[2]68F 高压F13&amp;F30'!F21)</f>
        <v>28300.000000001546</v>
      </c>
      <c r="P19" s="16">
        <f t="shared" si="8"/>
        <v>19107.282700001044</v>
      </c>
      <c r="Q19" s="31">
        <f>SUM([2]裙楼空调用量!L18)</f>
        <v>5</v>
      </c>
      <c r="R19" s="33">
        <f>SUM(Q19*417)</f>
        <v>2085</v>
      </c>
      <c r="S19" s="13">
        <f>SUM('[2]B4 水表'!C21)</f>
        <v>271.76</v>
      </c>
      <c r="T19" s="17">
        <f t="shared" si="9"/>
        <v>1013.311512</v>
      </c>
      <c r="U19" s="40">
        <f t="shared" si="7"/>
        <v>38551.994212001046</v>
      </c>
    </row>
    <row r="20" spans="1:21" s="4" customFormat="1" ht="22.5" customHeight="1" thickBot="1">
      <c r="A20" s="44">
        <v>16</v>
      </c>
      <c r="B20" s="27" t="s">
        <v>57</v>
      </c>
      <c r="C20" s="12">
        <v>294</v>
      </c>
      <c r="D20" s="29">
        <v>68.02</v>
      </c>
      <c r="E20" s="13">
        <f>SUM([2]厨房燃气!BH22)</f>
        <v>758</v>
      </c>
      <c r="F20" s="33">
        <f t="shared" si="2"/>
        <v>3160.86</v>
      </c>
      <c r="G20" s="13">
        <f>SUM('[2]B1 &amp; 102F 锅炉房'!C22)</f>
        <v>1647</v>
      </c>
      <c r="H20" s="34">
        <f t="shared" si="3"/>
        <v>6867.99</v>
      </c>
      <c r="I20" s="30">
        <f>SUM('[2]B1 &amp; 102F 锅炉房'!G22)</f>
        <v>1421</v>
      </c>
      <c r="J20" s="37">
        <f t="shared" si="4"/>
        <v>5925.57</v>
      </c>
      <c r="K20" s="13">
        <f t="shared" si="0"/>
        <v>3826</v>
      </c>
      <c r="L20" s="34">
        <f t="shared" si="5"/>
        <v>15954.42</v>
      </c>
      <c r="M20" s="30">
        <f>SUM([2]主塔楼空调用电量!V19)</f>
        <v>4481</v>
      </c>
      <c r="N20" s="32">
        <f t="shared" si="6"/>
        <v>3025.4322890000003</v>
      </c>
      <c r="O20" s="13">
        <f>SUM('[2]68F 高压F13&amp;F30'!F22)</f>
        <v>27000.000000000455</v>
      </c>
      <c r="P20" s="16">
        <f t="shared" si="8"/>
        <v>18229.563000000308</v>
      </c>
      <c r="Q20" s="31">
        <f>SUM([2]裙楼空调用量!L19)</f>
        <v>6</v>
      </c>
      <c r="R20" s="33">
        <f t="shared" ref="R20:R34" si="10">SUM(Q20*417)</f>
        <v>2502</v>
      </c>
      <c r="S20" s="13">
        <f>SUM('[2]B4 水表'!C22)</f>
        <v>219.62</v>
      </c>
      <c r="T20" s="17">
        <f t="shared" si="9"/>
        <v>818.89709400000004</v>
      </c>
      <c r="U20" s="40">
        <f t="shared" si="7"/>
        <v>37504.880094000306</v>
      </c>
    </row>
    <row r="21" spans="1:21" s="4" customFormat="1" ht="22.5" customHeight="1" thickBot="1">
      <c r="A21" s="44">
        <v>17</v>
      </c>
      <c r="B21" s="27" t="s">
        <v>59</v>
      </c>
      <c r="C21" s="12">
        <v>0</v>
      </c>
      <c r="D21" s="29">
        <v>49.13</v>
      </c>
      <c r="E21" s="13">
        <f>SUM([2]厨房燃气!BH23)</f>
        <v>557</v>
      </c>
      <c r="F21" s="33">
        <f t="shared" si="2"/>
        <v>2322.69</v>
      </c>
      <c r="G21" s="13">
        <f>SUM('[2]B1 &amp; 102F 锅炉房'!C23)</f>
        <v>1659</v>
      </c>
      <c r="H21" s="34">
        <f t="shared" si="3"/>
        <v>6918.03</v>
      </c>
      <c r="I21" s="30">
        <f>SUM('[2]B1 &amp; 102F 锅炉房'!G23)</f>
        <v>1552</v>
      </c>
      <c r="J21" s="37">
        <f t="shared" si="4"/>
        <v>6471.84</v>
      </c>
      <c r="K21" s="13">
        <f>SUM(E21+G21+I21)</f>
        <v>3768</v>
      </c>
      <c r="L21" s="34">
        <f t="shared" si="5"/>
        <v>15712.56</v>
      </c>
      <c r="M21" s="30">
        <f>SUM([2]主塔楼空调用电量!V20)</f>
        <v>3988</v>
      </c>
      <c r="N21" s="32">
        <f t="shared" si="6"/>
        <v>2692.5739720000001</v>
      </c>
      <c r="O21" s="13">
        <f>SUM('[2]68F 高压F13&amp;F30'!F23)</f>
        <v>26599.999999998545</v>
      </c>
      <c r="P21" s="16">
        <f t="shared" si="8"/>
        <v>17959.495399999018</v>
      </c>
      <c r="Q21" s="31">
        <f>SUM([2]裙楼空调用量!L20)</f>
        <v>4</v>
      </c>
      <c r="R21" s="33">
        <f t="shared" si="10"/>
        <v>1668</v>
      </c>
      <c r="S21" s="13">
        <f>SUM('[2]B4 水表'!C23)</f>
        <v>232.26000000000002</v>
      </c>
      <c r="T21" s="17">
        <f t="shared" si="9"/>
        <v>866.02786200000003</v>
      </c>
      <c r="U21" s="40">
        <f t="shared" si="7"/>
        <v>36206.083261999018</v>
      </c>
    </row>
    <row r="22" spans="1:21" s="4" customFormat="1" ht="22.5" customHeight="1" thickBot="1">
      <c r="A22" s="44">
        <v>18</v>
      </c>
      <c r="B22" s="27" t="s">
        <v>60</v>
      </c>
      <c r="C22" s="12">
        <v>283</v>
      </c>
      <c r="D22" s="29">
        <v>56.98</v>
      </c>
      <c r="E22" s="13">
        <f>SUM([2]厨房燃气!BH24)</f>
        <v>760</v>
      </c>
      <c r="F22" s="33">
        <f t="shared" si="2"/>
        <v>3169.2</v>
      </c>
      <c r="G22" s="13">
        <f>SUM('[2]B1 &amp; 102F 锅炉房'!C24)</f>
        <v>1391</v>
      </c>
      <c r="H22" s="34">
        <f t="shared" si="3"/>
        <v>5800.47</v>
      </c>
      <c r="I22" s="30">
        <f>SUM('[2]B1 &amp; 102F 锅炉房'!G24)</f>
        <v>1628</v>
      </c>
      <c r="J22" s="37">
        <f t="shared" si="4"/>
        <v>6788.76</v>
      </c>
      <c r="K22" s="13">
        <f t="shared" si="0"/>
        <v>3779</v>
      </c>
      <c r="L22" s="34">
        <f t="shared" si="5"/>
        <v>15758.43</v>
      </c>
      <c r="M22" s="30">
        <f>SUM([2]主塔楼空调用电量!V21)</f>
        <v>4203</v>
      </c>
      <c r="N22" s="32">
        <f t="shared" si="6"/>
        <v>2837.7353069999999</v>
      </c>
      <c r="O22" s="13">
        <f>SUM('[2]68F 高压F13&amp;F30'!F24)</f>
        <v>25599.999999999454</v>
      </c>
      <c r="P22" s="16">
        <f t="shared" si="8"/>
        <v>17284.326399999631</v>
      </c>
      <c r="Q22" s="31">
        <f>SUM([2]裙楼空调用量!L21)</f>
        <v>5</v>
      </c>
      <c r="R22" s="33">
        <f t="shared" si="10"/>
        <v>2085</v>
      </c>
      <c r="S22" s="13">
        <f>SUM('[2]B4 水表'!C24)</f>
        <v>218.04000000000002</v>
      </c>
      <c r="T22" s="17">
        <f t="shared" si="9"/>
        <v>813.00574800000004</v>
      </c>
      <c r="U22" s="40">
        <f t="shared" si="7"/>
        <v>35940.762147999638</v>
      </c>
    </row>
    <row r="23" spans="1:21" s="4" customFormat="1" ht="22.5" customHeight="1" thickBot="1">
      <c r="A23" s="44">
        <v>19</v>
      </c>
      <c r="B23" s="27" t="s">
        <v>45</v>
      </c>
      <c r="C23" s="12">
        <v>240</v>
      </c>
      <c r="D23" s="29">
        <v>61.05</v>
      </c>
      <c r="E23" s="13">
        <f>SUM([2]厨房燃气!BH25)</f>
        <v>597</v>
      </c>
      <c r="F23" s="33">
        <f t="shared" si="2"/>
        <v>2489.4899999999998</v>
      </c>
      <c r="G23" s="13">
        <f>SUM('[2]B1 &amp; 102F 锅炉房'!C25)</f>
        <v>1484</v>
      </c>
      <c r="H23" s="34">
        <f t="shared" si="3"/>
        <v>6188.28</v>
      </c>
      <c r="I23" s="30">
        <f>SUM('[2]B1 &amp; 102F 锅炉房'!G25)</f>
        <v>1535</v>
      </c>
      <c r="J23" s="37">
        <f t="shared" si="4"/>
        <v>6400.95</v>
      </c>
      <c r="K23" s="13">
        <f t="shared" si="0"/>
        <v>3616</v>
      </c>
      <c r="L23" s="34">
        <f t="shared" si="5"/>
        <v>15078.72</v>
      </c>
      <c r="M23" s="30">
        <f>SUM([2]主塔楼空调用电量!V22)</f>
        <v>4077</v>
      </c>
      <c r="N23" s="32">
        <f t="shared" si="6"/>
        <v>2752.6640130000001</v>
      </c>
      <c r="O23" s="13">
        <f>SUM('[2]68F 高压F13&amp;F30'!F25)</f>
        <v>26800.000000000637</v>
      </c>
      <c r="P23" s="16">
        <f t="shared" si="8"/>
        <v>18094.52920000043</v>
      </c>
      <c r="Q23" s="31">
        <f>SUM([2]裙楼空调用量!L22)</f>
        <v>4</v>
      </c>
      <c r="R23" s="33">
        <f t="shared" si="10"/>
        <v>1668</v>
      </c>
      <c r="S23" s="13">
        <f>SUM('[2]B4 水表'!C25)</f>
        <v>214.88</v>
      </c>
      <c r="T23" s="17">
        <f t="shared" si="9"/>
        <v>801.22305599999993</v>
      </c>
      <c r="U23" s="40">
        <f t="shared" si="7"/>
        <v>35642.47225600043</v>
      </c>
    </row>
    <row r="24" spans="1:21" s="4" customFormat="1" ht="22.5" customHeight="1" thickBot="1">
      <c r="A24" s="44">
        <v>20</v>
      </c>
      <c r="B24" s="27" t="s">
        <v>61</v>
      </c>
      <c r="C24" s="12">
        <v>0</v>
      </c>
      <c r="D24" s="29">
        <v>62.79</v>
      </c>
      <c r="E24" s="13">
        <f>SUM([2]厨房燃气!BH26)</f>
        <v>578</v>
      </c>
      <c r="F24" s="33">
        <f t="shared" si="2"/>
        <v>2410.2599999999998</v>
      </c>
      <c r="G24" s="13">
        <f>SUM('[2]B1 &amp; 102F 锅炉房'!C26)</f>
        <v>1527</v>
      </c>
      <c r="H24" s="34">
        <f t="shared" si="3"/>
        <v>6367.59</v>
      </c>
      <c r="I24" s="30">
        <f>SUM('[2]B1 &amp; 102F 锅炉房'!G26)</f>
        <v>1439</v>
      </c>
      <c r="J24" s="37">
        <f t="shared" si="4"/>
        <v>6000.63</v>
      </c>
      <c r="K24" s="13">
        <f t="shared" si="0"/>
        <v>3544</v>
      </c>
      <c r="L24" s="34">
        <f t="shared" si="5"/>
        <v>14778.48</v>
      </c>
      <c r="M24" s="30">
        <f>SUM([2]主塔楼空调用电量!V23)</f>
        <v>4822</v>
      </c>
      <c r="N24" s="32">
        <f t="shared" si="6"/>
        <v>3255.6649179999999</v>
      </c>
      <c r="O24" s="13">
        <f>SUM('[2]68F 高压F13&amp;F30'!F26)</f>
        <v>27100.000000000364</v>
      </c>
      <c r="P24" s="16">
        <f t="shared" si="8"/>
        <v>18297.079900000244</v>
      </c>
      <c r="Q24" s="31">
        <f>SUM([2]裙楼空调用量!L23)</f>
        <v>5</v>
      </c>
      <c r="R24" s="33">
        <f t="shared" si="10"/>
        <v>2085</v>
      </c>
      <c r="S24" s="13">
        <f>SUM('[2]B4 水表'!C26)</f>
        <v>227.52</v>
      </c>
      <c r="T24" s="17">
        <f t="shared" si="9"/>
        <v>848.35382400000003</v>
      </c>
      <c r="U24" s="40">
        <f t="shared" si="7"/>
        <v>36008.913724000238</v>
      </c>
    </row>
    <row r="25" spans="1:21" s="4" customFormat="1" ht="22.5" customHeight="1" thickBot="1">
      <c r="A25" s="44">
        <v>21</v>
      </c>
      <c r="B25" s="27" t="s">
        <v>61</v>
      </c>
      <c r="C25" s="12">
        <v>452</v>
      </c>
      <c r="D25" s="29">
        <v>70.349999999999994</v>
      </c>
      <c r="E25" s="13">
        <f>SUM([2]厨房燃气!BH27)</f>
        <v>572</v>
      </c>
      <c r="F25" s="33">
        <f t="shared" si="2"/>
        <v>2385.2399999999998</v>
      </c>
      <c r="G25" s="13">
        <f>SUM('[2]B1 &amp; 102F 锅炉房'!C27)</f>
        <v>1474</v>
      </c>
      <c r="H25" s="34">
        <f t="shared" si="3"/>
        <v>6146.58</v>
      </c>
      <c r="I25" s="30">
        <f>SUM('[2]B1 &amp; 102F 锅炉房'!G27)</f>
        <v>1316</v>
      </c>
      <c r="J25" s="37">
        <f t="shared" si="4"/>
        <v>5487.72</v>
      </c>
      <c r="K25" s="13">
        <f t="shared" si="0"/>
        <v>3362</v>
      </c>
      <c r="L25" s="34">
        <f t="shared" si="5"/>
        <v>14019.539999999999</v>
      </c>
      <c r="M25" s="30">
        <f>SUM([2]主塔楼空调用电量!V24)</f>
        <v>5225</v>
      </c>
      <c r="N25" s="32">
        <f t="shared" si="6"/>
        <v>3527.7580250000001</v>
      </c>
      <c r="O25" s="13">
        <f>SUM('[2]68F 高压F13&amp;F30'!F27)</f>
        <v>28099.999999999454</v>
      </c>
      <c r="P25" s="16">
        <f t="shared" si="8"/>
        <v>18972.248899999631</v>
      </c>
      <c r="Q25" s="31">
        <f>SUM([2]裙楼空调用量!L24)</f>
        <v>6</v>
      </c>
      <c r="R25" s="33">
        <f t="shared" si="10"/>
        <v>2502</v>
      </c>
      <c r="S25" s="13">
        <f>SUM('[2]B4 水表'!C27)</f>
        <v>211.72</v>
      </c>
      <c r="T25" s="17">
        <f t="shared" si="9"/>
        <v>789.44036399999993</v>
      </c>
      <c r="U25" s="40">
        <f t="shared" si="7"/>
        <v>36283.22926399963</v>
      </c>
    </row>
    <row r="26" spans="1:21" s="4" customFormat="1" ht="22.5" customHeight="1" thickBot="1">
      <c r="A26" s="44">
        <v>22</v>
      </c>
      <c r="B26" s="27" t="s">
        <v>62</v>
      </c>
      <c r="C26" s="12">
        <v>160</v>
      </c>
      <c r="D26" s="29">
        <v>79.94</v>
      </c>
      <c r="E26" s="13">
        <f>SUM([2]厨房燃气!BH28)</f>
        <v>740</v>
      </c>
      <c r="F26" s="33">
        <f t="shared" si="2"/>
        <v>3085.7999999999997</v>
      </c>
      <c r="G26" s="13">
        <f>SUM('[2]B1 &amp; 102F 锅炉房'!C28)</f>
        <v>1543</v>
      </c>
      <c r="H26" s="34">
        <f t="shared" si="3"/>
        <v>6434.3099999999995</v>
      </c>
      <c r="I26" s="30">
        <f>SUM('[2]B1 &amp; 102F 锅炉房'!G28)</f>
        <v>1478</v>
      </c>
      <c r="J26" s="37">
        <f t="shared" si="4"/>
        <v>6163.26</v>
      </c>
      <c r="K26" s="13">
        <f t="shared" si="0"/>
        <v>3761</v>
      </c>
      <c r="L26" s="34">
        <f t="shared" si="5"/>
        <v>15683.369999999999</v>
      </c>
      <c r="M26" s="30">
        <f>SUM([2]主塔楼空调用电量!V25)</f>
        <v>5645</v>
      </c>
      <c r="N26" s="32">
        <f t="shared" si="6"/>
        <v>3811.3290050000001</v>
      </c>
      <c r="O26" s="13">
        <f>SUM('[2]68F 高压F13&amp;F30'!F28)</f>
        <v>28599.999999999</v>
      </c>
      <c r="P26" s="16">
        <f t="shared" si="8"/>
        <v>19309.833399999327</v>
      </c>
      <c r="Q26" s="31">
        <f>SUM([2]裙楼空调用量!L25)</f>
        <v>8</v>
      </c>
      <c r="R26" s="33">
        <f t="shared" si="10"/>
        <v>3336</v>
      </c>
      <c r="S26" s="13">
        <f>SUM('[2]B4 水表'!C28)</f>
        <v>224.36</v>
      </c>
      <c r="T26" s="17">
        <f t="shared" si="9"/>
        <v>836.57113200000003</v>
      </c>
      <c r="U26" s="40">
        <f t="shared" si="7"/>
        <v>39165.774531999326</v>
      </c>
    </row>
    <row r="27" spans="1:21" s="4" customFormat="1" ht="22.5" customHeight="1" thickBot="1">
      <c r="A27" s="44">
        <v>23</v>
      </c>
      <c r="B27" s="27" t="s">
        <v>63</v>
      </c>
      <c r="C27" s="12">
        <v>120</v>
      </c>
      <c r="D27" s="29">
        <v>76.760000000000005</v>
      </c>
      <c r="E27" s="13">
        <f>SUM([2]厨房燃气!BH29)</f>
        <v>680</v>
      </c>
      <c r="F27" s="33">
        <f t="shared" si="2"/>
        <v>2835.6</v>
      </c>
      <c r="G27" s="13">
        <f>SUM('[2]B1 &amp; 102F 锅炉房'!C29)</f>
        <v>1602</v>
      </c>
      <c r="H27" s="34">
        <f t="shared" si="3"/>
        <v>6680.34</v>
      </c>
      <c r="I27" s="30">
        <f>SUM('[2]B1 &amp; 102F 锅炉房'!G29)</f>
        <v>1483</v>
      </c>
      <c r="J27" s="37">
        <f t="shared" si="4"/>
        <v>6184.11</v>
      </c>
      <c r="K27" s="13">
        <f t="shared" si="0"/>
        <v>3765</v>
      </c>
      <c r="L27" s="34">
        <f t="shared" si="5"/>
        <v>15700.05</v>
      </c>
      <c r="M27" s="30">
        <f>SUM([2]主塔楼空调用电量!V26)</f>
        <v>5484</v>
      </c>
      <c r="N27" s="32">
        <f t="shared" si="6"/>
        <v>3702.626796</v>
      </c>
      <c r="O27" s="13">
        <f>SUM('[2]68F 高压F13&amp;F30'!F29)</f>
        <v>28800.000000001091</v>
      </c>
      <c r="P27" s="16">
        <f t="shared" si="8"/>
        <v>19444.867200000739</v>
      </c>
      <c r="Q27" s="31">
        <f>SUM([2]裙楼空调用量!L26)</f>
        <v>6</v>
      </c>
      <c r="R27" s="33">
        <f t="shared" si="10"/>
        <v>2502</v>
      </c>
      <c r="S27" s="13">
        <f>SUM('[2]B4 水表'!C29)</f>
        <v>252.8</v>
      </c>
      <c r="T27" s="17">
        <f t="shared" si="9"/>
        <v>942.61536000000001</v>
      </c>
      <c r="U27" s="40">
        <f t="shared" si="7"/>
        <v>38589.532560000742</v>
      </c>
    </row>
    <row r="28" spans="1:21" s="4" customFormat="1" ht="22.5" customHeight="1" thickBot="1">
      <c r="A28" s="44">
        <v>24</v>
      </c>
      <c r="B28" s="27" t="s">
        <v>46</v>
      </c>
      <c r="C28" s="12">
        <v>145</v>
      </c>
      <c r="D28" s="29">
        <v>56.64</v>
      </c>
      <c r="E28" s="13">
        <f>SUM([2]厨房燃气!BH30)</f>
        <v>572</v>
      </c>
      <c r="F28" s="33">
        <f t="shared" si="2"/>
        <v>2385.2399999999998</v>
      </c>
      <c r="G28" s="13">
        <f>SUM('[2]B1 &amp; 102F 锅炉房'!C30)</f>
        <v>1531</v>
      </c>
      <c r="H28" s="34">
        <f t="shared" si="3"/>
        <v>6384.2699999999995</v>
      </c>
      <c r="I28" s="30">
        <f>SUM('[2]B1 &amp; 102F 锅炉房'!G30)</f>
        <v>1321</v>
      </c>
      <c r="J28" s="37">
        <f t="shared" si="4"/>
        <v>5508.57</v>
      </c>
      <c r="K28" s="13">
        <f t="shared" si="0"/>
        <v>3424</v>
      </c>
      <c r="L28" s="34">
        <f t="shared" si="5"/>
        <v>14278.08</v>
      </c>
      <c r="M28" s="30">
        <f>SUM([2]主塔楼空调用电量!V27)</f>
        <v>4714</v>
      </c>
      <c r="N28" s="32">
        <f t="shared" si="6"/>
        <v>3182.746666</v>
      </c>
      <c r="O28" s="13">
        <f>SUM('[2]68F 高压F13&amp;F30'!F30)</f>
        <v>27599.999999999909</v>
      </c>
      <c r="P28" s="16">
        <f t="shared" si="8"/>
        <v>18634.66439999994</v>
      </c>
      <c r="Q28" s="31">
        <f>SUM([2]裙楼空调用量!L27)</f>
        <v>7</v>
      </c>
      <c r="R28" s="33">
        <f t="shared" si="10"/>
        <v>2919</v>
      </c>
      <c r="S28" s="13">
        <f>SUM('[2]B4 水表'!C30)</f>
        <v>206.98000000000002</v>
      </c>
      <c r="T28" s="17">
        <f t="shared" si="9"/>
        <v>771.76632600000005</v>
      </c>
      <c r="U28" s="40">
        <f t="shared" si="7"/>
        <v>36603.510725999935</v>
      </c>
    </row>
    <row r="29" spans="1:21" s="4" customFormat="1" ht="22.5" customHeight="1" thickBot="1">
      <c r="A29" s="44">
        <v>25</v>
      </c>
      <c r="B29" s="27" t="s">
        <v>64</v>
      </c>
      <c r="C29" s="12">
        <v>141</v>
      </c>
      <c r="D29" s="29">
        <v>51.45</v>
      </c>
      <c r="E29" s="13">
        <f>SUM([2]厨房燃气!BH31)</f>
        <v>564</v>
      </c>
      <c r="F29" s="33">
        <f t="shared" si="2"/>
        <v>2351.88</v>
      </c>
      <c r="G29" s="13">
        <f>SUM('[2]B1 &amp; 102F 锅炉房'!C31)</f>
        <v>1495</v>
      </c>
      <c r="H29" s="34">
        <f t="shared" si="3"/>
        <v>6234.15</v>
      </c>
      <c r="I29" s="30">
        <f>SUM('[2]B1 &amp; 102F 锅炉房'!G31)</f>
        <v>1361</v>
      </c>
      <c r="J29" s="37">
        <f t="shared" si="4"/>
        <v>5675.37</v>
      </c>
      <c r="K29" s="13">
        <f>SUM(I29+G29+E29)</f>
        <v>3420</v>
      </c>
      <c r="L29" s="34">
        <f t="shared" si="5"/>
        <v>14261.4</v>
      </c>
      <c r="M29" s="30">
        <f>SUM([2]主塔楼空调用电量!V28)</f>
        <v>5630</v>
      </c>
      <c r="N29" s="32">
        <f t="shared" si="6"/>
        <v>3801.20147</v>
      </c>
      <c r="O29" s="13">
        <f>SUM('[2]68F 高压F13&amp;F30'!F31)</f>
        <v>27899.999999999636</v>
      </c>
      <c r="P29" s="16">
        <f t="shared" si="8"/>
        <v>18837.215099999754</v>
      </c>
      <c r="Q29" s="31">
        <f>SUM([2]裙楼空调用量!L28)</f>
        <v>9</v>
      </c>
      <c r="R29" s="33">
        <f t="shared" si="10"/>
        <v>3753</v>
      </c>
      <c r="S29" s="13">
        <f>SUM('[2]B4 水表'!C31)</f>
        <v>154.84</v>
      </c>
      <c r="T29" s="17">
        <f t="shared" si="9"/>
        <v>577.35190799999998</v>
      </c>
      <c r="U29" s="40">
        <f t="shared" si="7"/>
        <v>37428.967007999752</v>
      </c>
    </row>
    <row r="30" spans="1:21" s="4" customFormat="1" ht="22.5" customHeight="1" thickBot="1">
      <c r="A30" s="44">
        <v>26</v>
      </c>
      <c r="B30" s="27" t="s">
        <v>63</v>
      </c>
      <c r="C30" s="12">
        <v>177</v>
      </c>
      <c r="D30" s="65">
        <v>56.1</v>
      </c>
      <c r="E30" s="13">
        <f>SUM([2]厨房燃气!BH32)</f>
        <v>648</v>
      </c>
      <c r="F30" s="33">
        <f t="shared" si="2"/>
        <v>2702.16</v>
      </c>
      <c r="G30" s="13">
        <f>SUM('[2]B1 &amp; 102F 锅炉房'!C32)</f>
        <v>1625</v>
      </c>
      <c r="H30" s="34">
        <f t="shared" si="3"/>
        <v>6776.25</v>
      </c>
      <c r="I30" s="30">
        <f>SUM('[2]B1 &amp; 102F 锅炉房'!G32)</f>
        <v>1118</v>
      </c>
      <c r="J30" s="37">
        <f t="shared" si="4"/>
        <v>4662.0599999999995</v>
      </c>
      <c r="K30" s="13">
        <f t="shared" si="0"/>
        <v>3391</v>
      </c>
      <c r="L30" s="34">
        <f t="shared" si="5"/>
        <v>14140.47</v>
      </c>
      <c r="M30" s="30">
        <f>SUM([2]主塔楼空调用电量!V29)</f>
        <v>5878</v>
      </c>
      <c r="N30" s="32">
        <f t="shared" si="6"/>
        <v>3968.6433820000002</v>
      </c>
      <c r="O30" s="13">
        <f>SUM('[2]68F 高压F13&amp;F30'!F32)</f>
        <v>27999.999999999545</v>
      </c>
      <c r="P30" s="16">
        <f t="shared" si="8"/>
        <v>18904.731999999694</v>
      </c>
      <c r="Q30" s="31">
        <f>SUM([2]裙楼空调用量!L29)</f>
        <v>8</v>
      </c>
      <c r="R30" s="33">
        <f t="shared" si="10"/>
        <v>3336</v>
      </c>
      <c r="S30" s="13">
        <f>SUM('[2]B4 水表'!C32)</f>
        <v>205.4</v>
      </c>
      <c r="T30" s="17">
        <f t="shared" si="9"/>
        <v>765.87498000000005</v>
      </c>
      <c r="U30" s="40">
        <f t="shared" si="7"/>
        <v>37147.076979999692</v>
      </c>
    </row>
    <row r="31" spans="1:21" s="4" customFormat="1" ht="22.5" customHeight="1" thickBot="1">
      <c r="A31" s="44">
        <v>27</v>
      </c>
      <c r="B31" s="27" t="s">
        <v>42</v>
      </c>
      <c r="C31" s="12">
        <v>214</v>
      </c>
      <c r="D31" s="29">
        <v>58.14</v>
      </c>
      <c r="E31" s="13">
        <f>SUM([2]厨房燃气!BH33)</f>
        <v>661</v>
      </c>
      <c r="F31" s="33">
        <f t="shared" si="2"/>
        <v>2756.37</v>
      </c>
      <c r="G31" s="13">
        <f>SUM('[2]B1 &amp; 102F 锅炉房'!C33)</f>
        <v>1515</v>
      </c>
      <c r="H31" s="34">
        <f t="shared" si="3"/>
        <v>6317.55</v>
      </c>
      <c r="I31" s="30">
        <f>SUM('[2]B1 &amp; 102F 锅炉房'!G33)</f>
        <v>1218</v>
      </c>
      <c r="J31" s="37">
        <f t="shared" si="4"/>
        <v>5079.0599999999995</v>
      </c>
      <c r="K31" s="13">
        <f t="shared" si="0"/>
        <v>3394</v>
      </c>
      <c r="L31" s="34">
        <f t="shared" si="5"/>
        <v>14152.98</v>
      </c>
      <c r="M31" s="30">
        <f>SUM([2]主塔楼空调用电量!V30)</f>
        <v>5571</v>
      </c>
      <c r="N31" s="32">
        <f t="shared" si="6"/>
        <v>3761.3664990000002</v>
      </c>
      <c r="O31" s="13">
        <f>SUM('[2]68F 高压F13&amp;F30'!F33)</f>
        <v>28599.999999999</v>
      </c>
      <c r="P31" s="16">
        <f t="shared" si="8"/>
        <v>19309.833399999327</v>
      </c>
      <c r="Q31" s="31">
        <f>SUM([2]裙楼空调用量!L30)</f>
        <v>9</v>
      </c>
      <c r="R31" s="33">
        <f t="shared" si="10"/>
        <v>3753</v>
      </c>
      <c r="S31" s="13">
        <f>SUM('[2]B4 水表'!C33)</f>
        <v>151.68</v>
      </c>
      <c r="T31" s="17">
        <f t="shared" si="9"/>
        <v>565.56921599999998</v>
      </c>
      <c r="U31" s="40">
        <f t="shared" si="7"/>
        <v>37781.382615999333</v>
      </c>
    </row>
    <row r="32" spans="1:21" s="4" customFormat="1" ht="22.5" customHeight="1" thickBot="1">
      <c r="A32" s="44">
        <v>28</v>
      </c>
      <c r="B32" s="27" t="s">
        <v>42</v>
      </c>
      <c r="C32" s="12">
        <v>63</v>
      </c>
      <c r="D32" s="29">
        <v>52.91</v>
      </c>
      <c r="E32" s="13">
        <f>SUM([2]厨房燃气!BH34)</f>
        <v>660</v>
      </c>
      <c r="F32" s="33">
        <f t="shared" si="2"/>
        <v>2752.2</v>
      </c>
      <c r="G32" s="13">
        <f>SUM('[2]B1 &amp; 102F 锅炉房'!C34)</f>
        <v>1613</v>
      </c>
      <c r="H32" s="34">
        <f t="shared" si="3"/>
        <v>6726.21</v>
      </c>
      <c r="I32" s="30">
        <f>SUM('[2]B1 &amp; 102F 锅炉房'!G34)</f>
        <v>1243</v>
      </c>
      <c r="J32" s="37">
        <f t="shared" si="4"/>
        <v>5183.3099999999995</v>
      </c>
      <c r="K32" s="13">
        <f t="shared" si="0"/>
        <v>3516</v>
      </c>
      <c r="L32" s="34">
        <f>IF(K32&gt;0,K32*4.17,0)</f>
        <v>14661.72</v>
      </c>
      <c r="M32" s="30">
        <f>SUM([2]主塔楼空调用电量!V31)</f>
        <v>4848</v>
      </c>
      <c r="N32" s="32">
        <f t="shared" si="6"/>
        <v>3273.2193120000002</v>
      </c>
      <c r="O32" s="13">
        <f>SUM('[2]68F 高压F13&amp;F30'!F34)</f>
        <v>28600.000000001273</v>
      </c>
      <c r="P32" s="16">
        <f t="shared" si="8"/>
        <v>19309.833400000862</v>
      </c>
      <c r="Q32" s="31">
        <f>SUM([2]裙楼空调用量!L31)</f>
        <v>8</v>
      </c>
      <c r="R32" s="33">
        <f t="shared" si="10"/>
        <v>3336</v>
      </c>
      <c r="S32" s="13">
        <f>SUM('[2]B4 水表'!C34)</f>
        <v>202.24</v>
      </c>
      <c r="T32" s="17">
        <f>S32*3.7287</f>
        <v>754.09228800000005</v>
      </c>
      <c r="U32" s="40">
        <f t="shared" si="7"/>
        <v>38061.645688000863</v>
      </c>
    </row>
    <row r="33" spans="1:21" s="4" customFormat="1" ht="22.5" customHeight="1" thickBot="1">
      <c r="A33" s="44">
        <v>29</v>
      </c>
      <c r="B33" s="27" t="s">
        <v>65</v>
      </c>
      <c r="C33" s="12">
        <v>625</v>
      </c>
      <c r="D33" s="29">
        <v>52.33</v>
      </c>
      <c r="E33" s="13">
        <f>SUM([2]厨房燃气!BH35)</f>
        <v>684</v>
      </c>
      <c r="F33" s="33">
        <f t="shared" si="2"/>
        <v>2852.2799999999997</v>
      </c>
      <c r="G33" s="13">
        <f>SUM('[2]B1 &amp; 102F 锅炉房'!C35)</f>
        <v>1525</v>
      </c>
      <c r="H33" s="34">
        <f t="shared" si="3"/>
        <v>6359.25</v>
      </c>
      <c r="I33" s="30">
        <f>SUM('[2]B1 &amp; 102F 锅炉房'!G35)</f>
        <v>1155</v>
      </c>
      <c r="J33" s="37">
        <f t="shared" si="4"/>
        <v>4816.3500000000004</v>
      </c>
      <c r="K33" s="13">
        <f t="shared" si="0"/>
        <v>3364</v>
      </c>
      <c r="L33" s="34">
        <f>IF(K33&gt;0,K33*4.17,0)</f>
        <v>14027.88</v>
      </c>
      <c r="M33" s="30">
        <f>SUM([2]主塔楼空调用电量!V32)</f>
        <v>4933</v>
      </c>
      <c r="N33" s="32">
        <f t="shared" si="6"/>
        <v>3330.6086770000002</v>
      </c>
      <c r="O33" s="13">
        <f>SUM('[2]68F 高压F13&amp;F30'!F35)</f>
        <v>26100.000000001273</v>
      </c>
      <c r="P33" s="16">
        <f t="shared" si="8"/>
        <v>17621.910900000861</v>
      </c>
      <c r="Q33" s="31">
        <f>SUM([2]裙楼空调用量!L32)</f>
        <v>7</v>
      </c>
      <c r="R33" s="33">
        <f t="shared" si="10"/>
        <v>2919</v>
      </c>
      <c r="S33" s="13">
        <f>SUM('[2]B4 水表'!C35)</f>
        <v>197.5</v>
      </c>
      <c r="T33" s="17">
        <f>S33*3.7287</f>
        <v>736.41824999999994</v>
      </c>
      <c r="U33" s="40">
        <f t="shared" si="7"/>
        <v>35305.209150000861</v>
      </c>
    </row>
    <row r="34" spans="1:21" s="4" customFormat="1" ht="22.5" customHeight="1" thickBot="1">
      <c r="A34" s="44">
        <v>30</v>
      </c>
      <c r="B34" s="27" t="s">
        <v>66</v>
      </c>
      <c r="C34" s="12">
        <v>467</v>
      </c>
      <c r="D34" s="29">
        <v>55.81</v>
      </c>
      <c r="E34" s="13">
        <f>SUM([2]厨房燃气!BH36)</f>
        <v>868</v>
      </c>
      <c r="F34" s="33">
        <f t="shared" si="2"/>
        <v>3619.56</v>
      </c>
      <c r="G34" s="13">
        <f>SUM('[2]B1 &amp; 102F 锅炉房'!C36)</f>
        <v>1436</v>
      </c>
      <c r="H34" s="34">
        <f t="shared" si="3"/>
        <v>5988.12</v>
      </c>
      <c r="I34" s="30">
        <f>SUM('[2]B1 &amp; 102F 锅炉房'!G36)</f>
        <v>1362</v>
      </c>
      <c r="J34" s="37">
        <f t="shared" si="4"/>
        <v>5679.54</v>
      </c>
      <c r="K34" s="13">
        <f t="shared" si="0"/>
        <v>3666</v>
      </c>
      <c r="L34" s="34">
        <f>IF(K34&gt;0,K34*4.17,0)</f>
        <v>15287.22</v>
      </c>
      <c r="M34" s="30">
        <f>SUM([2]主塔楼空调用电量!V33)</f>
        <v>5159</v>
      </c>
      <c r="N34" s="32">
        <f t="shared" si="6"/>
        <v>3483.1968710000001</v>
      </c>
      <c r="O34" s="13">
        <f>SUM('[2]68F 高压F13&amp;F30'!F36)</f>
        <v>27999.999999999545</v>
      </c>
      <c r="P34" s="16">
        <f t="shared" si="8"/>
        <v>18904.731999999694</v>
      </c>
      <c r="Q34" s="31">
        <f>SUM([2]裙楼空调用量!L33)</f>
        <v>9</v>
      </c>
      <c r="R34" s="33">
        <f t="shared" si="10"/>
        <v>3753</v>
      </c>
      <c r="S34" s="69">
        <f>SUM('[2]B4 水表'!C36)</f>
        <v>188.02</v>
      </c>
      <c r="T34" s="17">
        <f>S34*3.7287</f>
        <v>701.07017400000007</v>
      </c>
      <c r="U34" s="40">
        <f>SUM(L34+P34+R34+T34)</f>
        <v>38646.022173999692</v>
      </c>
    </row>
    <row r="35" spans="1:21" s="4" customFormat="1" ht="22.5" customHeight="1">
      <c r="A35" s="44">
        <v>31</v>
      </c>
      <c r="B35" s="27" t="s">
        <v>67</v>
      </c>
      <c r="C35" s="66">
        <v>42.15</v>
      </c>
      <c r="D35" s="67">
        <v>126</v>
      </c>
      <c r="E35" s="13">
        <f>SUM([2]厨房燃气!BH37)</f>
        <v>560</v>
      </c>
      <c r="F35" s="33">
        <f>IF(E35&gt;0,E35*4.17,0)</f>
        <v>2335.1999999999998</v>
      </c>
      <c r="G35" s="13">
        <f>SUM('[2]B1 &amp; 102F 锅炉房'!C37)</f>
        <v>1628</v>
      </c>
      <c r="H35" s="34">
        <f>IF(G35&gt;0,G35*4.17,0)</f>
        <v>6788.76</v>
      </c>
      <c r="I35" s="30">
        <f>SUM('[2]B1 &amp; 102F 锅炉房'!G37)</f>
        <v>1165</v>
      </c>
      <c r="J35" s="37">
        <f>IF(I35&gt;0,I35*4.17,0)</f>
        <v>4858.05</v>
      </c>
      <c r="K35" s="13">
        <f>SUM(I35+G35+E35)</f>
        <v>3353</v>
      </c>
      <c r="L35" s="34">
        <f>IF(K35&gt;0,K35*4.17,0)</f>
        <v>13982.01</v>
      </c>
      <c r="M35" s="30">
        <f>SUM([2]主塔楼空调用电量!V34)</f>
        <v>5388</v>
      </c>
      <c r="N35" s="32">
        <f>M35*0.675169</f>
        <v>3637.8105720000003</v>
      </c>
      <c r="O35" s="13">
        <f>SUM('[2]68F 高压F13&amp;F30'!F37)</f>
        <v>27699.999999999818</v>
      </c>
      <c r="P35" s="16">
        <f>IF(O35&gt;0,O35*0.675169)</f>
        <v>18702.181299999877</v>
      </c>
      <c r="Q35" s="31">
        <f>SUM([2]裙楼空调用量!L34)</f>
        <v>7</v>
      </c>
      <c r="R35" s="33">
        <f>SUM(Q35*417)</f>
        <v>2919</v>
      </c>
      <c r="S35" s="69">
        <f>SUM('[2]B4 水表'!C37)</f>
        <v>170.64000000000001</v>
      </c>
      <c r="T35" s="17">
        <f>S35*3.7287</f>
        <v>636.26536800000008</v>
      </c>
      <c r="U35" s="40">
        <f>SUM(L35+P35+R35+T35)</f>
        <v>36239.456667999875</v>
      </c>
    </row>
    <row r="36" spans="1:21" s="4" customFormat="1" ht="22.5" customHeight="1" thickBot="1">
      <c r="A36" s="45" t="s">
        <v>40</v>
      </c>
      <c r="B36" s="27"/>
      <c r="C36" s="12"/>
      <c r="D36" s="29"/>
      <c r="E36" s="28"/>
      <c r="F36" s="19"/>
      <c r="G36" s="28"/>
      <c r="H36" s="35"/>
      <c r="I36" s="14"/>
      <c r="J36" s="18"/>
      <c r="K36" s="38"/>
      <c r="L36" s="35"/>
      <c r="M36" s="14"/>
      <c r="N36" s="19"/>
      <c r="O36" s="28"/>
      <c r="P36" s="39"/>
      <c r="Q36" s="14"/>
      <c r="R36" s="19"/>
      <c r="S36" s="28"/>
      <c r="T36" s="39"/>
      <c r="U36" s="41"/>
    </row>
    <row r="37" spans="1:21" s="4" customFormat="1" ht="23.1" customHeight="1" thickBot="1">
      <c r="A37" s="92" t="s">
        <v>41</v>
      </c>
      <c r="B37" s="93"/>
      <c r="C37" s="93"/>
      <c r="D37" s="93"/>
      <c r="E37" s="42">
        <f>SUM(E5:E35)</f>
        <v>20602</v>
      </c>
      <c r="F37" s="68">
        <f>SUM(F5:F35)</f>
        <v>85910.34</v>
      </c>
      <c r="G37" s="68">
        <f t="shared" ref="G37:T37" si="11">SUM(G5:G35)</f>
        <v>49308</v>
      </c>
      <c r="H37" s="68">
        <f t="shared" si="11"/>
        <v>205614.35999999996</v>
      </c>
      <c r="I37" s="68">
        <f t="shared" si="11"/>
        <v>48702</v>
      </c>
      <c r="J37" s="68">
        <f t="shared" si="11"/>
        <v>203087.34000000003</v>
      </c>
      <c r="K37" s="68">
        <f t="shared" si="11"/>
        <v>118612</v>
      </c>
      <c r="L37" s="68">
        <f t="shared" si="11"/>
        <v>494612.03999999986</v>
      </c>
      <c r="M37" s="68">
        <f t="shared" si="11"/>
        <v>136162</v>
      </c>
      <c r="N37" s="68">
        <f t="shared" si="11"/>
        <v>91932.361377999987</v>
      </c>
      <c r="O37" s="68">
        <f t="shared" si="11"/>
        <v>842599.99999999977</v>
      </c>
      <c r="P37" s="68">
        <f t="shared" si="11"/>
        <v>568897.39939999999</v>
      </c>
      <c r="Q37" s="68">
        <f t="shared" si="11"/>
        <v>176</v>
      </c>
      <c r="R37" s="68">
        <f t="shared" si="11"/>
        <v>73392</v>
      </c>
      <c r="S37" s="68">
        <f t="shared" si="11"/>
        <v>6729.2200000000021</v>
      </c>
      <c r="T37" s="68">
        <f t="shared" si="11"/>
        <v>25091.242614000003</v>
      </c>
      <c r="U37" s="70">
        <f>SUM(U5:U35)</f>
        <v>1161992.6820140004</v>
      </c>
    </row>
    <row r="38" spans="1:21" ht="19.5" customHeight="1">
      <c r="E38" s="5"/>
      <c r="F38" s="5"/>
      <c r="G38" s="6"/>
      <c r="P38" s="7"/>
      <c r="T38" s="2"/>
      <c r="U38" s="2"/>
    </row>
    <row r="39" spans="1:21" ht="19.149999999999999" customHeight="1">
      <c r="E39" s="8"/>
      <c r="F39" s="5"/>
      <c r="G39" s="6"/>
      <c r="P39" s="1"/>
      <c r="T39" s="2"/>
      <c r="U39" s="2"/>
    </row>
    <row r="40" spans="1:21" ht="19.149999999999999" customHeight="1">
      <c r="E40" s="9"/>
      <c r="P40" s="1"/>
      <c r="T40" s="2"/>
      <c r="U40" s="2"/>
    </row>
    <row r="41" spans="1:21" ht="19.149999999999999" customHeight="1">
      <c r="P41" s="1"/>
      <c r="T41" s="2"/>
      <c r="U41" s="2"/>
    </row>
    <row r="42" spans="1:21" ht="19.149999999999999" customHeight="1">
      <c r="P42" s="1"/>
      <c r="T42" s="2"/>
      <c r="U42" s="2"/>
    </row>
    <row r="43" spans="1:21" ht="19.149999999999999" customHeight="1">
      <c r="P43" s="1"/>
      <c r="T43" s="2"/>
      <c r="U43" s="2"/>
    </row>
    <row r="44" spans="1:21" ht="19.149999999999999" customHeight="1">
      <c r="P44" s="1"/>
      <c r="T44" s="2"/>
      <c r="U44" s="2"/>
    </row>
    <row r="45" spans="1:21" ht="19.149999999999999" customHeight="1">
      <c r="P45" s="1"/>
      <c r="T45" s="2"/>
      <c r="U45" s="2"/>
    </row>
    <row r="46" spans="1:21" ht="19.149999999999999" customHeight="1"/>
    <row r="47" spans="1:21" ht="19.149999999999999" customHeight="1"/>
    <row r="48" spans="1:21" ht="19.149999999999999" customHeight="1"/>
    <row r="49" ht="19.149999999999999" customHeight="1"/>
    <row r="50" ht="19.149999999999999" customHeight="1"/>
    <row r="51" ht="19.149999999999999" customHeight="1"/>
    <row r="52" ht="19.149999999999999" customHeight="1"/>
    <row r="53" ht="19.149999999999999" customHeight="1"/>
    <row r="54" ht="19.149999999999999" customHeight="1"/>
    <row r="55" ht="19.149999999999999" customHeight="1"/>
    <row r="56" ht="19.149999999999999" customHeight="1"/>
    <row r="57" ht="19.149999999999999" customHeight="1"/>
    <row r="58" ht="19.149999999999999" customHeight="1"/>
    <row r="59" ht="19.149999999999999" customHeight="1"/>
    <row r="60" ht="19.149999999999999" customHeight="1"/>
    <row r="61" ht="19.149999999999999" customHeight="1"/>
  </sheetData>
  <mergeCells count="16">
    <mergeCell ref="A37:D37"/>
    <mergeCell ref="U2:U4"/>
    <mergeCell ref="S3:T3"/>
    <mergeCell ref="G2:H3"/>
    <mergeCell ref="I2:J3"/>
    <mergeCell ref="S2:T2"/>
    <mergeCell ref="Q2:R3"/>
    <mergeCell ref="A1:U1"/>
    <mergeCell ref="A2:A4"/>
    <mergeCell ref="B2:B4"/>
    <mergeCell ref="C2:C4"/>
    <mergeCell ref="D2:D4"/>
    <mergeCell ref="E2:F3"/>
    <mergeCell ref="M2:N3"/>
    <mergeCell ref="O2:P3"/>
    <mergeCell ref="K2:L3"/>
  </mergeCells>
  <phoneticPr fontId="2" type="noConversion"/>
  <printOptions horizontalCentered="1" verticalCentered="1"/>
  <pageMargins left="0.23622047244094491" right="0.23622047244094491" top="0" bottom="0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</cp:lastModifiedBy>
  <cp:revision/>
  <cp:lastPrinted>2021-02-08T02:55:33Z</cp:lastPrinted>
  <dcterms:created xsi:type="dcterms:W3CDTF">2009-01-03T01:47:59Z</dcterms:created>
  <dcterms:modified xsi:type="dcterms:W3CDTF">2021-04-09T07:11:09Z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