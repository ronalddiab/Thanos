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1 au 31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01.01 au 31.01'!$A$1:$AE$49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7" i="6" l="1"/>
  <c r="E47" i="6"/>
  <c r="C47" i="6"/>
  <c r="G42" i="4"/>
  <c r="E42" i="4"/>
  <c r="C42" i="4"/>
  <c r="G46" i="6" l="1"/>
  <c r="E46" i="6"/>
  <c r="C46" i="6"/>
  <c r="G41" i="4"/>
  <c r="E41" i="4"/>
  <c r="C41" i="4"/>
  <c r="G45" i="6" l="1"/>
  <c r="E45" i="6"/>
  <c r="C45" i="6"/>
  <c r="G44" i="6"/>
  <c r="E44" i="6"/>
  <c r="C44" i="6"/>
  <c r="G43" i="6"/>
  <c r="E43" i="6"/>
  <c r="C43" i="6"/>
  <c r="G42" i="6"/>
  <c r="E42" i="6"/>
  <c r="C42" i="6"/>
  <c r="G40" i="4"/>
  <c r="E40" i="4"/>
  <c r="C40" i="4"/>
  <c r="G39" i="4"/>
  <c r="E39" i="4"/>
  <c r="C39" i="4"/>
  <c r="G38" i="4"/>
  <c r="E38" i="4"/>
  <c r="C38" i="4"/>
  <c r="G37" i="4"/>
  <c r="E37" i="4"/>
  <c r="C37" i="4"/>
  <c r="G41" i="6" l="1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G34" i="6" l="1"/>
  <c r="E34" i="6"/>
  <c r="C34" i="6"/>
  <c r="W12" i="10" l="1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11" i="10"/>
  <c r="W10" i="10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11" i="4"/>
  <c r="G29" i="4" l="1"/>
  <c r="E29" i="4"/>
  <c r="C29" i="4"/>
  <c r="G33" i="6" l="1"/>
  <c r="E33" i="6"/>
  <c r="C33" i="6"/>
  <c r="G32" i="6"/>
  <c r="E32" i="6"/>
  <c r="C32" i="6"/>
  <c r="M28" i="4"/>
  <c r="J28" i="4"/>
  <c r="K28" i="4" s="1"/>
  <c r="M27" i="4"/>
  <c r="K27" i="4"/>
  <c r="J27" i="4"/>
  <c r="M26" i="4"/>
  <c r="J26" i="4"/>
  <c r="K26" i="4" s="1"/>
  <c r="G31" i="6" l="1"/>
  <c r="E31" i="6"/>
  <c r="C31" i="6"/>
  <c r="G30" i="6"/>
  <c r="E30" i="6"/>
  <c r="C30" i="6"/>
  <c r="G29" i="6"/>
  <c r="E29" i="6"/>
  <c r="C29" i="6"/>
  <c r="G25" i="4"/>
  <c r="E25" i="4"/>
  <c r="C25" i="4"/>
  <c r="G24" i="4"/>
  <c r="E24" i="4"/>
  <c r="C24" i="4"/>
  <c r="G28" i="6" l="1"/>
  <c r="E28" i="6"/>
  <c r="C28" i="6"/>
  <c r="G27" i="6"/>
  <c r="E27" i="6"/>
  <c r="C27" i="6"/>
  <c r="G23" i="4"/>
  <c r="E23" i="4"/>
  <c r="C23" i="4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E48" i="6" l="1"/>
  <c r="C48" i="6"/>
  <c r="Z43" i="4"/>
  <c r="W43" i="4"/>
  <c r="T43" i="4"/>
  <c r="Q43" i="4"/>
  <c r="G24" i="6"/>
  <c r="G48" i="6" s="1"/>
  <c r="E24" i="6"/>
  <c r="C24" i="6"/>
  <c r="G23" i="6"/>
  <c r="E23" i="6"/>
  <c r="C23" i="6"/>
  <c r="G22" i="6"/>
  <c r="E22" i="6"/>
  <c r="C22" i="6"/>
  <c r="M19" i="4"/>
  <c r="J19" i="4"/>
  <c r="K19" i="4" s="1"/>
  <c r="M18" i="4"/>
  <c r="K18" i="4"/>
  <c r="J18" i="4"/>
  <c r="M17" i="4"/>
  <c r="J17" i="4"/>
  <c r="K17" i="4" s="1"/>
  <c r="G21" i="6" l="1"/>
  <c r="E21" i="6"/>
  <c r="C21" i="6"/>
  <c r="G16" i="4"/>
  <c r="E16" i="4"/>
  <c r="C16" i="4"/>
  <c r="G20" i="6" l="1"/>
  <c r="E20" i="6"/>
  <c r="C20" i="6"/>
  <c r="D14" i="10" s="1"/>
  <c r="G19" i="6"/>
  <c r="E19" i="6"/>
  <c r="C19" i="6"/>
  <c r="D13" i="10" s="1"/>
  <c r="G18" i="6"/>
  <c r="E18" i="6"/>
  <c r="C18" i="6"/>
  <c r="G17" i="6"/>
  <c r="E17" i="6"/>
  <c r="C17" i="6"/>
  <c r="D11" i="10" s="1"/>
  <c r="G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0" l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M32" i="13"/>
  <c r="K32" i="13" l="1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L33" i="4" l="1"/>
  <c r="N33" i="4" s="1"/>
  <c r="O33" i="4" s="1"/>
  <c r="C33" i="4"/>
  <c r="E33" i="4"/>
  <c r="I33" i="4"/>
  <c r="G33" i="4"/>
  <c r="I30" i="4"/>
  <c r="G30" i="4"/>
  <c r="E30" i="4"/>
  <c r="C30" i="4"/>
  <c r="E34" i="4"/>
  <c r="L34" i="4"/>
  <c r="N34" i="4" s="1"/>
  <c r="O34" i="4" s="1"/>
  <c r="C34" i="4"/>
  <c r="G34" i="4"/>
  <c r="I34" i="4"/>
  <c r="I32" i="4"/>
  <c r="G32" i="4"/>
  <c r="E32" i="4"/>
  <c r="L32" i="4"/>
  <c r="N32" i="4" s="1"/>
  <c r="O32" i="4" s="1"/>
  <c r="C32" i="4"/>
  <c r="I36" i="4"/>
  <c r="E36" i="4"/>
  <c r="G36" i="4"/>
  <c r="L36" i="4"/>
  <c r="N36" i="4" s="1"/>
  <c r="O36" i="4" s="1"/>
  <c r="C36" i="4"/>
  <c r="G35" i="4"/>
  <c r="E35" i="4"/>
  <c r="C35" i="4"/>
  <c r="I35" i="4"/>
  <c r="I37" i="4"/>
  <c r="I31" i="4"/>
  <c r="G31" i="4"/>
  <c r="L31" i="4"/>
  <c r="N31" i="4" s="1"/>
  <c r="O31" i="4" s="1"/>
  <c r="E31" i="4"/>
  <c r="C31" i="4"/>
  <c r="I28" i="4"/>
  <c r="G28" i="4"/>
  <c r="E28" i="4"/>
  <c r="C28" i="4"/>
  <c r="I27" i="4"/>
  <c r="G27" i="4"/>
  <c r="E27" i="4"/>
  <c r="L27" i="4"/>
  <c r="N27" i="4" s="1"/>
  <c r="O27" i="4" s="1"/>
  <c r="C27" i="4"/>
  <c r="I26" i="4"/>
  <c r="G26" i="4"/>
  <c r="E26" i="4"/>
  <c r="C26" i="4"/>
  <c r="AC43" i="4"/>
  <c r="I18" i="4"/>
  <c r="G18" i="4"/>
  <c r="E18" i="4"/>
  <c r="C18" i="4"/>
  <c r="I17" i="4"/>
  <c r="G17" i="4"/>
  <c r="E17" i="4"/>
  <c r="L17" i="4"/>
  <c r="N17" i="4" s="1"/>
  <c r="O17" i="4" s="1"/>
  <c r="C17" i="4"/>
  <c r="G10" i="4"/>
  <c r="E10" i="4"/>
  <c r="C10" i="4"/>
  <c r="C9" i="4"/>
  <c r="G9" i="4"/>
  <c r="E9" i="4"/>
  <c r="G8" i="4"/>
  <c r="E8" i="4"/>
  <c r="C8" i="4"/>
  <c r="C7" i="4"/>
  <c r="G7" i="4"/>
  <c r="E7" i="4"/>
  <c r="G6" i="4"/>
  <c r="E6" i="4"/>
  <c r="C6" i="4"/>
  <c r="C5" i="4"/>
  <c r="G5" i="4"/>
  <c r="E5" i="4"/>
  <c r="I40" i="4"/>
  <c r="I39" i="4"/>
  <c r="L39" i="4"/>
  <c r="N39" i="4" s="1"/>
  <c r="O39" i="4" s="1"/>
  <c r="I41" i="4"/>
  <c r="I8" i="4"/>
  <c r="I13" i="4"/>
  <c r="I14" i="4"/>
  <c r="L12" i="4"/>
  <c r="N12" i="4" s="1"/>
  <c r="O12" i="4" s="1"/>
  <c r="U11" i="10" s="1"/>
  <c r="I12" i="4"/>
  <c r="L8" i="4"/>
  <c r="N8" i="4" s="1"/>
  <c r="O8" i="4" s="1"/>
  <c r="P8" i="4" s="1"/>
  <c r="P39" i="4" l="1"/>
  <c r="U38" i="10"/>
  <c r="W38" i="10" s="1"/>
  <c r="P34" i="4"/>
  <c r="U33" i="10"/>
  <c r="W33" i="10" s="1"/>
  <c r="P31" i="4"/>
  <c r="U30" i="10"/>
  <c r="W30" i="10" s="1"/>
  <c r="P36" i="4"/>
  <c r="U35" i="10"/>
  <c r="W35" i="10" s="1"/>
  <c r="G43" i="4"/>
  <c r="P32" i="4"/>
  <c r="U31" i="10"/>
  <c r="W31" i="10" s="1"/>
  <c r="P33" i="4"/>
  <c r="U32" i="10"/>
  <c r="W32" i="10" s="1"/>
  <c r="U26" i="10"/>
  <c r="C43" i="4"/>
  <c r="E43" i="4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48" i="6"/>
  <c r="I17" i="6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3" i="10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41" i="4" l="1"/>
  <c r="U40" i="10"/>
  <c r="W40" i="10" s="1"/>
  <c r="P37" i="4"/>
  <c r="U36" i="10"/>
  <c r="W36" i="10" s="1"/>
  <c r="P30" i="4"/>
  <c r="U29" i="10"/>
  <c r="W29" i="10" s="1"/>
  <c r="P35" i="4"/>
  <c r="U34" i="10"/>
  <c r="W34" i="10" s="1"/>
  <c r="U27" i="10"/>
  <c r="L26" i="4"/>
  <c r="N26" i="4" s="1"/>
  <c r="O26" i="4" s="1"/>
  <c r="O19" i="4"/>
  <c r="L18" i="4"/>
  <c r="N18" i="4" s="1"/>
  <c r="O18" i="4" s="1"/>
  <c r="G4" i="4"/>
  <c r="E4" i="4"/>
  <c r="C4" i="4"/>
  <c r="L40" i="4"/>
  <c r="N40" i="4" s="1"/>
  <c r="O40" i="4" s="1"/>
  <c r="L13" i="4"/>
  <c r="N13" i="4" s="1"/>
  <c r="O13" i="4" s="1"/>
  <c r="U12" i="10" s="1"/>
  <c r="L6" i="4"/>
  <c r="N6" i="4" s="1"/>
  <c r="O6" i="4" s="1"/>
  <c r="P6" i="4" s="1"/>
  <c r="I6" i="4"/>
  <c r="I4" i="4"/>
  <c r="L4" i="4"/>
  <c r="N4" i="4" s="1"/>
  <c r="O4" i="4" s="1"/>
  <c r="P4" i="4" s="1"/>
  <c r="I10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0" i="10" s="1"/>
  <c r="I9" i="4"/>
  <c r="L9" i="4"/>
  <c r="N9" i="4" s="1"/>
  <c r="O9" i="4" s="1"/>
  <c r="P9" i="4" s="1"/>
  <c r="K48" i="4"/>
  <c r="L48" i="4" s="1"/>
  <c r="M48" i="4" s="1"/>
  <c r="Z17" i="10"/>
  <c r="U25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U24" i="10" s="1"/>
  <c r="I21" i="4"/>
  <c r="I15" i="4"/>
  <c r="M40" i="10"/>
  <c r="E32" i="13" s="1"/>
  <c r="Z38" i="10"/>
  <c r="L24" i="4"/>
  <c r="N24" i="4" s="1"/>
  <c r="O24" i="4" s="1"/>
  <c r="U23" i="10" s="1"/>
  <c r="L21" i="4"/>
  <c r="N21" i="4" s="1"/>
  <c r="O21" i="4" s="1"/>
  <c r="U20" i="10" s="1"/>
  <c r="Z34" i="10"/>
  <c r="L23" i="4"/>
  <c r="N23" i="4" s="1"/>
  <c r="O23" i="4" s="1"/>
  <c r="U2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K31" i="13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8" i="4" l="1"/>
  <c r="U37" i="10"/>
  <c r="W37" i="10" s="1"/>
  <c r="P40" i="4"/>
  <c r="U39" i="10"/>
  <c r="W39" i="10" s="1"/>
  <c r="U28" i="10"/>
  <c r="W28" i="10" s="1"/>
  <c r="P29" i="4"/>
  <c r="I43" i="4"/>
  <c r="N43" i="4"/>
  <c r="U18" i="10"/>
  <c r="U17" i="10"/>
  <c r="U14" i="10"/>
  <c r="AJ28" i="10"/>
  <c r="AK28" i="10" s="1"/>
  <c r="AJ24" i="10"/>
  <c r="AK24" i="10" s="1"/>
  <c r="AJ22" i="10"/>
  <c r="AK22" i="10" s="1"/>
  <c r="G32" i="13"/>
  <c r="O32" i="13" s="1"/>
  <c r="AJ38" i="10"/>
  <c r="AK38" i="10" s="1"/>
  <c r="AJ20" i="10"/>
  <c r="AK20" i="10" s="1"/>
  <c r="AJ35" i="10"/>
  <c r="AK35" i="10" s="1"/>
  <c r="AJ30" i="10"/>
  <c r="AK30" i="10" s="1"/>
  <c r="AJ31" i="10"/>
  <c r="AK31" i="10" s="1"/>
  <c r="G17" i="13"/>
  <c r="O17" i="13" s="1"/>
  <c r="O10" i="4"/>
  <c r="P10" i="4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AJ29" i="10" l="1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<sst xmlns="http://schemas.openxmlformats.org/spreadsheetml/2006/main" count="163" uniqueCount="86">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</sst>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390</c:v>
                </c:pt>
                <c:pt idx="1">
                  <c:v>330</c:v>
                </c:pt>
                <c:pt idx="2">
                  <c:v>280</c:v>
                </c:pt>
                <c:pt idx="3">
                  <c:v>230</c:v>
                </c:pt>
                <c:pt idx="4">
                  <c:v>250</c:v>
                </c:pt>
                <c:pt idx="5">
                  <c:v>270</c:v>
                </c:pt>
                <c:pt idx="6">
                  <c:v>230</c:v>
                </c:pt>
                <c:pt idx="7">
                  <c:v>300</c:v>
                </c:pt>
                <c:pt idx="8">
                  <c:v>300</c:v>
                </c:pt>
                <c:pt idx="9">
                  <c:v>380</c:v>
                </c:pt>
                <c:pt idx="10">
                  <c:v>300</c:v>
                </c:pt>
                <c:pt idx="11">
                  <c:v>320</c:v>
                </c:pt>
                <c:pt idx="12">
                  <c:v>390</c:v>
                </c:pt>
                <c:pt idx="13">
                  <c:v>480</c:v>
                </c:pt>
                <c:pt idx="14">
                  <c:v>270</c:v>
                </c:pt>
                <c:pt idx="15">
                  <c:v>600</c:v>
                </c:pt>
                <c:pt idx="16">
                  <c:v>360</c:v>
                </c:pt>
                <c:pt idx="17">
                  <c:v>340</c:v>
                </c:pt>
                <c:pt idx="18">
                  <c:v>320</c:v>
                </c:pt>
                <c:pt idx="19">
                  <c:v>395</c:v>
                </c:pt>
                <c:pt idx="20">
                  <c:v>384</c:v>
                </c:pt>
                <c:pt idx="21">
                  <c:v>338</c:v>
                </c:pt>
                <c:pt idx="22">
                  <c:v>293</c:v>
                </c:pt>
                <c:pt idx="23">
                  <c:v>221</c:v>
                </c:pt>
                <c:pt idx="24">
                  <c:v>406</c:v>
                </c:pt>
                <c:pt idx="25">
                  <c:v>295</c:v>
                </c:pt>
                <c:pt idx="26">
                  <c:v>284</c:v>
                </c:pt>
                <c:pt idx="27">
                  <c:v>233</c:v>
                </c:pt>
                <c:pt idx="28">
                  <c:v>455</c:v>
                </c:pt>
                <c:pt idx="29">
                  <c:v>250</c:v>
                </c:pt>
                <c:pt idx="30">
                  <c:v>212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77088"/>
        <c:axId val="141062912"/>
      </c:lineChart>
      <c:dateAx>
        <c:axId val="379770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62912"/>
        <c:crosses val="autoZero"/>
        <c:auto val="1"/>
        <c:lblOffset val="100"/>
        <c:baseTimeUnit val="days"/>
      </c:dateAx>
      <c:valAx>
        <c:axId val="14106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770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3405</c:v>
                </c:pt>
                <c:pt idx="1">
                  <c:v>3413</c:v>
                </c:pt>
                <c:pt idx="2">
                  <c:v>3457</c:v>
                </c:pt>
                <c:pt idx="3">
                  <c:v>3741</c:v>
                </c:pt>
                <c:pt idx="4">
                  <c:v>3319</c:v>
                </c:pt>
                <c:pt idx="5">
                  <c:v>3396</c:v>
                </c:pt>
                <c:pt idx="6">
                  <c:v>3030</c:v>
                </c:pt>
                <c:pt idx="7">
                  <c:v>2795</c:v>
                </c:pt>
                <c:pt idx="8">
                  <c:v>3263</c:v>
                </c:pt>
                <c:pt idx="9">
                  <c:v>3259</c:v>
                </c:pt>
                <c:pt idx="10">
                  <c:v>2966</c:v>
                </c:pt>
                <c:pt idx="11">
                  <c:v>3179</c:v>
                </c:pt>
                <c:pt idx="12">
                  <c:v>3111</c:v>
                </c:pt>
                <c:pt idx="13">
                  <c:v>3056</c:v>
                </c:pt>
                <c:pt idx="14">
                  <c:v>3006</c:v>
                </c:pt>
                <c:pt idx="15">
                  <c:v>3014</c:v>
                </c:pt>
                <c:pt idx="16">
                  <c:v>3013</c:v>
                </c:pt>
                <c:pt idx="17">
                  <c:v>3607</c:v>
                </c:pt>
                <c:pt idx="18">
                  <c:v>3218</c:v>
                </c:pt>
                <c:pt idx="19">
                  <c:v>3559</c:v>
                </c:pt>
                <c:pt idx="20">
                  <c:v>3535</c:v>
                </c:pt>
                <c:pt idx="21">
                  <c:v>3130</c:v>
                </c:pt>
                <c:pt idx="22">
                  <c:v>4036</c:v>
                </c:pt>
                <c:pt idx="23">
                  <c:v>3244</c:v>
                </c:pt>
                <c:pt idx="24">
                  <c:v>3048</c:v>
                </c:pt>
                <c:pt idx="25">
                  <c:v>3534</c:v>
                </c:pt>
                <c:pt idx="26">
                  <c:v>3274</c:v>
                </c:pt>
                <c:pt idx="27">
                  <c:v>3755</c:v>
                </c:pt>
                <c:pt idx="28">
                  <c:v>3801</c:v>
                </c:pt>
                <c:pt idx="29">
                  <c:v>3232</c:v>
                </c:pt>
                <c:pt idx="30">
                  <c:v>3162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5810</c:v>
                </c:pt>
                <c:pt idx="1">
                  <c:v>5222</c:v>
                </c:pt>
                <c:pt idx="2">
                  <c:v>5248</c:v>
                </c:pt>
                <c:pt idx="3">
                  <c:v>5189</c:v>
                </c:pt>
                <c:pt idx="4">
                  <c:v>5047</c:v>
                </c:pt>
                <c:pt idx="5">
                  <c:v>5062</c:v>
                </c:pt>
                <c:pt idx="6">
                  <c:v>4884</c:v>
                </c:pt>
                <c:pt idx="7">
                  <c:v>4464</c:v>
                </c:pt>
                <c:pt idx="8">
                  <c:v>4832</c:v>
                </c:pt>
                <c:pt idx="9">
                  <c:v>5154</c:v>
                </c:pt>
                <c:pt idx="10">
                  <c:v>5012</c:v>
                </c:pt>
                <c:pt idx="11">
                  <c:v>5091</c:v>
                </c:pt>
                <c:pt idx="12">
                  <c:v>4849</c:v>
                </c:pt>
                <c:pt idx="13">
                  <c:v>4731</c:v>
                </c:pt>
                <c:pt idx="14">
                  <c:v>4862</c:v>
                </c:pt>
                <c:pt idx="15">
                  <c:v>4591</c:v>
                </c:pt>
                <c:pt idx="16">
                  <c:v>4512</c:v>
                </c:pt>
                <c:pt idx="17">
                  <c:v>4663</c:v>
                </c:pt>
                <c:pt idx="18">
                  <c:v>4982</c:v>
                </c:pt>
                <c:pt idx="19">
                  <c:v>5280</c:v>
                </c:pt>
                <c:pt idx="20">
                  <c:v>5187</c:v>
                </c:pt>
                <c:pt idx="21">
                  <c:v>5296</c:v>
                </c:pt>
                <c:pt idx="22">
                  <c:v>5556</c:v>
                </c:pt>
                <c:pt idx="23">
                  <c:v>5420</c:v>
                </c:pt>
                <c:pt idx="24">
                  <c:v>4845</c:v>
                </c:pt>
                <c:pt idx="25">
                  <c:v>4778</c:v>
                </c:pt>
                <c:pt idx="26">
                  <c:v>5706</c:v>
                </c:pt>
                <c:pt idx="27">
                  <c:v>5364</c:v>
                </c:pt>
                <c:pt idx="28">
                  <c:v>5658</c:v>
                </c:pt>
                <c:pt idx="29">
                  <c:v>5083</c:v>
                </c:pt>
                <c:pt idx="30">
                  <c:v>4664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2460</c:v>
                </c:pt>
                <c:pt idx="1">
                  <c:v>2408</c:v>
                </c:pt>
                <c:pt idx="2">
                  <c:v>2305</c:v>
                </c:pt>
                <c:pt idx="3">
                  <c:v>2172</c:v>
                </c:pt>
                <c:pt idx="4">
                  <c:v>2125</c:v>
                </c:pt>
                <c:pt idx="5">
                  <c:v>2105</c:v>
                </c:pt>
                <c:pt idx="6">
                  <c:v>1953</c:v>
                </c:pt>
                <c:pt idx="7">
                  <c:v>1941</c:v>
                </c:pt>
                <c:pt idx="8">
                  <c:v>2122</c:v>
                </c:pt>
                <c:pt idx="9">
                  <c:v>2160</c:v>
                </c:pt>
                <c:pt idx="10">
                  <c:v>1990</c:v>
                </c:pt>
                <c:pt idx="11">
                  <c:v>2130</c:v>
                </c:pt>
                <c:pt idx="12">
                  <c:v>2128</c:v>
                </c:pt>
                <c:pt idx="13">
                  <c:v>1976</c:v>
                </c:pt>
                <c:pt idx="14">
                  <c:v>2124</c:v>
                </c:pt>
                <c:pt idx="15">
                  <c:v>2018</c:v>
                </c:pt>
                <c:pt idx="16">
                  <c:v>1977</c:v>
                </c:pt>
                <c:pt idx="17">
                  <c:v>2081</c:v>
                </c:pt>
                <c:pt idx="18">
                  <c:v>2087</c:v>
                </c:pt>
                <c:pt idx="19">
                  <c:v>2233</c:v>
                </c:pt>
                <c:pt idx="20">
                  <c:v>2216</c:v>
                </c:pt>
                <c:pt idx="21">
                  <c:v>2291</c:v>
                </c:pt>
                <c:pt idx="22">
                  <c:v>2511</c:v>
                </c:pt>
                <c:pt idx="23">
                  <c:v>2251</c:v>
                </c:pt>
                <c:pt idx="24">
                  <c:v>2102</c:v>
                </c:pt>
                <c:pt idx="25">
                  <c:v>2076</c:v>
                </c:pt>
                <c:pt idx="26">
                  <c:v>2466</c:v>
                </c:pt>
                <c:pt idx="27">
                  <c:v>2415</c:v>
                </c:pt>
                <c:pt idx="28">
                  <c:v>2670</c:v>
                </c:pt>
                <c:pt idx="29">
                  <c:v>2216</c:v>
                </c:pt>
                <c:pt idx="30">
                  <c:v>2222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39008"/>
        <c:axId val="189740544"/>
      </c:lineChart>
      <c:dateAx>
        <c:axId val="18973900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40544"/>
        <c:crosses val="autoZero"/>
        <c:auto val="1"/>
        <c:lblOffset val="100"/>
        <c:baseTimeUnit val="days"/>
      </c:dateAx>
      <c:valAx>
        <c:axId val="1897405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3900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44196</c:v>
                </c:pt>
                <c:pt idx="1">
                  <c:v>44197</c:v>
                </c:pt>
                <c:pt idx="2">
                  <c:v>44198</c:v>
                </c:pt>
                <c:pt idx="3">
                  <c:v>44199</c:v>
                </c:pt>
                <c:pt idx="4">
                  <c:v>44200</c:v>
                </c:pt>
                <c:pt idx="5">
                  <c:v>44201</c:v>
                </c:pt>
                <c:pt idx="6">
                  <c:v>44202</c:v>
                </c:pt>
                <c:pt idx="7">
                  <c:v>44203</c:v>
                </c:pt>
                <c:pt idx="8">
                  <c:v>44204</c:v>
                </c:pt>
                <c:pt idx="9">
                  <c:v>44205</c:v>
                </c:pt>
                <c:pt idx="10">
                  <c:v>44206</c:v>
                </c:pt>
                <c:pt idx="11">
                  <c:v>44207</c:v>
                </c:pt>
                <c:pt idx="12">
                  <c:v>44208</c:v>
                </c:pt>
                <c:pt idx="13">
                  <c:v>44209</c:v>
                </c:pt>
                <c:pt idx="14">
                  <c:v>44210</c:v>
                </c:pt>
                <c:pt idx="15">
                  <c:v>44211</c:v>
                </c:pt>
                <c:pt idx="16">
                  <c:v>44212</c:v>
                </c:pt>
                <c:pt idx="17">
                  <c:v>44213</c:v>
                </c:pt>
                <c:pt idx="18">
                  <c:v>44214</c:v>
                </c:pt>
                <c:pt idx="19">
                  <c:v>44215</c:v>
                </c:pt>
                <c:pt idx="20">
                  <c:v>44216</c:v>
                </c:pt>
                <c:pt idx="21">
                  <c:v>44217</c:v>
                </c:pt>
                <c:pt idx="22">
                  <c:v>44218</c:v>
                </c:pt>
                <c:pt idx="23">
                  <c:v>44219</c:v>
                </c:pt>
                <c:pt idx="24">
                  <c:v>44220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44226</c:v>
                </c:pt>
                <c:pt idx="31">
                  <c:v>44227</c:v>
                </c:pt>
                <c:pt idx="32">
                  <c:v>44228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1780.8000000000002</c:v>
                </c:pt>
                <c:pt idx="2">
                  <c:v>593.6</c:v>
                </c:pt>
                <c:pt idx="3">
                  <c:v>371</c:v>
                </c:pt>
                <c:pt idx="4">
                  <c:v>259.7</c:v>
                </c:pt>
                <c:pt idx="5">
                  <c:v>890.40000000000009</c:v>
                </c:pt>
                <c:pt idx="6">
                  <c:v>704.90000000000009</c:v>
                </c:pt>
                <c:pt idx="7">
                  <c:v>296.8</c:v>
                </c:pt>
                <c:pt idx="8">
                  <c:v>148.4</c:v>
                </c:pt>
                <c:pt idx="9">
                  <c:v>259.7</c:v>
                </c:pt>
                <c:pt idx="10">
                  <c:v>964.6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371</c:v>
                </c:pt>
                <c:pt idx="14">
                  <c:v>333.90000000000003</c:v>
                </c:pt>
                <c:pt idx="15">
                  <c:v>927.5</c:v>
                </c:pt>
                <c:pt idx="16">
                  <c:v>371</c:v>
                </c:pt>
                <c:pt idx="17">
                  <c:v>445.20000000000005</c:v>
                </c:pt>
                <c:pt idx="18">
                  <c:v>630.70000000000005</c:v>
                </c:pt>
                <c:pt idx="19">
                  <c:v>593.6</c:v>
                </c:pt>
                <c:pt idx="20">
                  <c:v>1187.2</c:v>
                </c:pt>
                <c:pt idx="21">
                  <c:v>1001.7</c:v>
                </c:pt>
                <c:pt idx="22">
                  <c:v>630.70000000000005</c:v>
                </c:pt>
                <c:pt idx="23">
                  <c:v>593.6</c:v>
                </c:pt>
                <c:pt idx="24">
                  <c:v>408.1</c:v>
                </c:pt>
                <c:pt idx="25">
                  <c:v>259.7</c:v>
                </c:pt>
                <c:pt idx="26">
                  <c:v>148.4</c:v>
                </c:pt>
                <c:pt idx="27">
                  <c:v>296.8</c:v>
                </c:pt>
                <c:pt idx="28">
                  <c:v>259.7</c:v>
                </c:pt>
                <c:pt idx="29">
                  <c:v>371</c:v>
                </c:pt>
                <c:pt idx="30">
                  <c:v>371</c:v>
                </c:pt>
                <c:pt idx="31">
                  <c:v>519.4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53216"/>
        <c:axId val="189754752"/>
      </c:lineChart>
      <c:dateAx>
        <c:axId val="18975321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54752"/>
        <c:crosses val="autoZero"/>
        <c:auto val="1"/>
        <c:lblOffset val="100"/>
        <c:baseTimeUnit val="days"/>
      </c:dateAx>
      <c:valAx>
        <c:axId val="1897547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5321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3" sqref="N33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1</v>
      </c>
      <c r="D2" s="159">
        <v>2021</v>
      </c>
      <c r="E2" s="160">
        <f>'Consommation du 01.01 au 31.01'!M10</f>
        <v>11675</v>
      </c>
      <c r="F2" s="160">
        <v>0.99</v>
      </c>
      <c r="G2" s="160">
        <f>'Consommation du 01.01 au 31.01'!U10</f>
        <v>1780.8000000000002</v>
      </c>
      <c r="H2" s="160">
        <v>9.157</v>
      </c>
      <c r="I2" s="160">
        <f>'Consommation du 01.01 au 31.01'!Y10*1000</f>
        <v>13169.999999998254</v>
      </c>
      <c r="J2" s="160">
        <v>0.53</v>
      </c>
      <c r="K2" s="160">
        <f>'Consommation du 01.01 au 31.01'!D10</f>
        <v>390</v>
      </c>
      <c r="L2" s="160">
        <v>12.67</v>
      </c>
      <c r="M2" s="159">
        <f>'Consommation du 01.01 au 31.01'!AC10</f>
        <v>57</v>
      </c>
      <c r="N2" s="159">
        <v>57</v>
      </c>
      <c r="O2" s="160">
        <f>E2*F2+G2*H2+I2*J2+K2*L2</f>
        <v>39786.43559999908</v>
      </c>
    </row>
    <row r="3" spans="1:15" x14ac:dyDescent="0.2">
      <c r="A3" s="157" t="s">
        <v>84</v>
      </c>
      <c r="B3" s="158">
        <f>B2+1</f>
        <v>2</v>
      </c>
      <c r="C3" s="158">
        <v>1</v>
      </c>
      <c r="D3" s="159">
        <v>2021</v>
      </c>
      <c r="E3" s="160">
        <f>'Consommation du 01.01 au 31.01'!M11</f>
        <v>11043</v>
      </c>
      <c r="F3" s="160">
        <v>0.99</v>
      </c>
      <c r="G3" s="160">
        <f>'Consommation du 01.01 au 31.01'!U11</f>
        <v>593.6</v>
      </c>
      <c r="H3" s="160">
        <v>9.157</v>
      </c>
      <c r="I3" s="160">
        <f>'Consommation du 01.01 au 31.01'!Y11*1000</f>
        <v>13419.999999998254</v>
      </c>
      <c r="J3" s="160">
        <v>0.53</v>
      </c>
      <c r="K3" s="160">
        <f>'Consommation du 01.01 au 31.01'!D11</f>
        <v>330</v>
      </c>
      <c r="L3" s="160">
        <v>12.67</v>
      </c>
      <c r="M3" s="159">
        <f>'Consommation du 01.01 au 31.01'!AC11</f>
        <v>53</v>
      </c>
      <c r="N3" s="159">
        <v>53</v>
      </c>
      <c r="O3" s="160">
        <f t="shared" ref="O3:O31" si="0">E3*F3+G3*H3+I3*J3+K3*L3</f>
        <v>27661.865199999076</v>
      </c>
    </row>
    <row r="4" spans="1:15" x14ac:dyDescent="0.2">
      <c r="A4" s="157" t="s">
        <v>84</v>
      </c>
      <c r="B4" s="158">
        <f t="shared" ref="B4:B32" si="1">B3+1</f>
        <v>3</v>
      </c>
      <c r="C4" s="158">
        <v>1</v>
      </c>
      <c r="D4" s="159">
        <v>2021</v>
      </c>
      <c r="E4" s="160">
        <f>'Consommation du 01.01 au 31.01'!M12</f>
        <v>11010</v>
      </c>
      <c r="F4" s="160">
        <v>0.99</v>
      </c>
      <c r="G4" s="160">
        <f>'Consommation du 01.01 au 31.01'!U12</f>
        <v>371</v>
      </c>
      <c r="H4" s="160">
        <v>9.157</v>
      </c>
      <c r="I4" s="160">
        <f>'Consommation du 01.01 au 31.01'!Y12*1000</f>
        <v>13870.000000002619</v>
      </c>
      <c r="J4" s="160">
        <v>0.53</v>
      </c>
      <c r="K4" s="160">
        <f>'Consommation du 01.01 au 31.01'!D12</f>
        <v>280</v>
      </c>
      <c r="L4" s="160">
        <v>12.67</v>
      </c>
      <c r="M4" s="159">
        <f>'Consommation du 01.01 au 31.01'!AC12</f>
        <v>18</v>
      </c>
      <c r="N4" s="159">
        <v>18</v>
      </c>
      <c r="O4" s="160">
        <f t="shared" si="0"/>
        <v>25195.847000001384</v>
      </c>
    </row>
    <row r="5" spans="1:15" x14ac:dyDescent="0.2">
      <c r="A5" s="157" t="s">
        <v>84</v>
      </c>
      <c r="B5" s="158">
        <f t="shared" si="1"/>
        <v>4</v>
      </c>
      <c r="C5" s="158">
        <v>1</v>
      </c>
      <c r="D5" s="159">
        <v>2021</v>
      </c>
      <c r="E5" s="160">
        <f>'Consommation du 01.01 au 31.01'!M13</f>
        <v>11102</v>
      </c>
      <c r="F5" s="160">
        <v>0.99</v>
      </c>
      <c r="G5" s="160">
        <f>'Consommation du 01.01 au 31.01'!U13</f>
        <v>259.7</v>
      </c>
      <c r="H5" s="160">
        <v>9.157</v>
      </c>
      <c r="I5" s="160">
        <f>'Consommation du 01.01 au 31.01'!Y13*1000</f>
        <v>13770.000000000437</v>
      </c>
      <c r="J5" s="160">
        <v>0.53</v>
      </c>
      <c r="K5" s="160">
        <f>'Consommation du 01.01 au 31.01'!D13</f>
        <v>230</v>
      </c>
      <c r="L5" s="160">
        <v>12.67</v>
      </c>
      <c r="M5" s="159">
        <f>'Consommation du 01.01 au 31.01'!AC13</f>
        <v>14</v>
      </c>
      <c r="N5" s="159">
        <v>14</v>
      </c>
      <c r="O5" s="160">
        <f t="shared" si="0"/>
        <v>23581.252900000229</v>
      </c>
    </row>
    <row r="6" spans="1:15" x14ac:dyDescent="0.2">
      <c r="A6" s="157" t="s">
        <v>84</v>
      </c>
      <c r="B6" s="158">
        <f t="shared" si="1"/>
        <v>5</v>
      </c>
      <c r="C6" s="158">
        <v>1</v>
      </c>
      <c r="D6" s="159">
        <v>2021</v>
      </c>
      <c r="E6" s="160">
        <f>'Consommation du 01.01 au 31.01'!M14</f>
        <v>10491</v>
      </c>
      <c r="F6" s="160">
        <v>0.99</v>
      </c>
      <c r="G6" s="160">
        <f>'Consommation du 01.01 au 31.01'!U14</f>
        <v>890.40000000000009</v>
      </c>
      <c r="H6" s="160">
        <v>9.157</v>
      </c>
      <c r="I6" s="160">
        <f>'Consommation du 01.01 au 31.01'!Y14*1000</f>
        <v>9129.9999999973807</v>
      </c>
      <c r="J6" s="160">
        <v>0.53</v>
      </c>
      <c r="K6" s="160">
        <f>'Consommation du 01.01 au 31.01'!D14</f>
        <v>250</v>
      </c>
      <c r="L6" s="160">
        <v>12.67</v>
      </c>
      <c r="M6" s="159">
        <f>'Consommation du 01.01 au 31.01'!AC14</f>
        <v>11</v>
      </c>
      <c r="N6" s="159">
        <v>11</v>
      </c>
      <c r="O6" s="160">
        <f t="shared" si="0"/>
        <v>26545.882799998613</v>
      </c>
    </row>
    <row r="7" spans="1:15" x14ac:dyDescent="0.2">
      <c r="A7" s="157" t="s">
        <v>84</v>
      </c>
      <c r="B7" s="158">
        <f t="shared" si="1"/>
        <v>6</v>
      </c>
      <c r="C7" s="158">
        <v>1</v>
      </c>
      <c r="D7" s="159">
        <v>2021</v>
      </c>
      <c r="E7" s="160">
        <f>'Consommation du 01.01 au 31.01'!M15</f>
        <v>10563</v>
      </c>
      <c r="F7" s="160">
        <v>0.99</v>
      </c>
      <c r="G7" s="160">
        <f>'Consommation du 01.01 au 31.01'!U15</f>
        <v>704.90000000000009</v>
      </c>
      <c r="H7" s="160">
        <v>9.157</v>
      </c>
      <c r="I7" s="160">
        <f>'Consommation du 01.01 au 31.01'!Y15*1000</f>
        <v>4180.000000000291</v>
      </c>
      <c r="J7" s="160">
        <v>0.53</v>
      </c>
      <c r="K7" s="160">
        <f>'Consommation du 01.01 au 31.01'!D15</f>
        <v>270</v>
      </c>
      <c r="L7" s="160">
        <v>12.67</v>
      </c>
      <c r="M7" s="159">
        <f>'Consommation du 01.01 au 31.01'!AC15</f>
        <v>10</v>
      </c>
      <c r="N7" s="159">
        <v>10</v>
      </c>
      <c r="O7" s="160">
        <f t="shared" si="0"/>
        <v>22548.439300000158</v>
      </c>
    </row>
    <row r="8" spans="1:15" x14ac:dyDescent="0.2">
      <c r="A8" s="157" t="s">
        <v>84</v>
      </c>
      <c r="B8" s="158">
        <f t="shared" si="1"/>
        <v>7</v>
      </c>
      <c r="C8" s="158">
        <v>1</v>
      </c>
      <c r="D8" s="159">
        <v>2021</v>
      </c>
      <c r="E8" s="160">
        <f>'Consommation du 01.01 au 31.01'!M16</f>
        <v>9867</v>
      </c>
      <c r="F8" s="160">
        <v>0.99</v>
      </c>
      <c r="G8" s="160">
        <f>'Consommation du 01.01 au 31.01'!U16</f>
        <v>296.8</v>
      </c>
      <c r="H8" s="160">
        <v>9.157</v>
      </c>
      <c r="I8" s="160">
        <f>'Consommation du 01.01 au 31.01'!Y16*1000</f>
        <v>12520.000000000437</v>
      </c>
      <c r="J8" s="160">
        <v>0.53</v>
      </c>
      <c r="K8" s="160">
        <f>'Consommation du 01.01 au 31.01'!D16</f>
        <v>230</v>
      </c>
      <c r="L8" s="160">
        <v>12.67</v>
      </c>
      <c r="M8" s="159">
        <f>'Consommation du 01.01 au 31.01'!AC16</f>
        <v>6</v>
      </c>
      <c r="N8" s="159">
        <v>6</v>
      </c>
      <c r="O8" s="160">
        <f t="shared" si="0"/>
        <v>22035.82760000023</v>
      </c>
    </row>
    <row r="9" spans="1:15" x14ac:dyDescent="0.2">
      <c r="A9" s="157" t="s">
        <v>84</v>
      </c>
      <c r="B9" s="158">
        <f t="shared" si="1"/>
        <v>8</v>
      </c>
      <c r="C9" s="158">
        <v>1</v>
      </c>
      <c r="D9" s="159">
        <v>2021</v>
      </c>
      <c r="E9" s="160">
        <f>'Consommation du 01.01 au 31.01'!M17</f>
        <v>9200</v>
      </c>
      <c r="F9" s="160">
        <v>0.99</v>
      </c>
      <c r="G9" s="160">
        <f>'Consommation du 01.01 au 31.01'!U17</f>
        <v>148.4</v>
      </c>
      <c r="H9" s="160">
        <v>9.157</v>
      </c>
      <c r="I9" s="160">
        <f>'Consommation du 01.01 au 31.01'!Y17*1000</f>
        <v>11040.000000000873</v>
      </c>
      <c r="J9" s="160">
        <v>0.53</v>
      </c>
      <c r="K9" s="160">
        <f>'Consommation du 01.01 au 31.01'!D17</f>
        <v>300</v>
      </c>
      <c r="L9" s="160">
        <v>12.67</v>
      </c>
      <c r="M9" s="159">
        <f>'Consommation du 01.01 au 31.01'!AC17</f>
        <v>8</v>
      </c>
      <c r="N9" s="159">
        <v>8</v>
      </c>
      <c r="O9" s="160">
        <f t="shared" si="0"/>
        <v>20119.098800000465</v>
      </c>
    </row>
    <row r="10" spans="1:15" x14ac:dyDescent="0.2">
      <c r="A10" s="157" t="s">
        <v>84</v>
      </c>
      <c r="B10" s="158">
        <f t="shared" si="1"/>
        <v>9</v>
      </c>
      <c r="C10" s="158">
        <v>1</v>
      </c>
      <c r="D10" s="159">
        <v>2021</v>
      </c>
      <c r="E10" s="160">
        <f>'Consommation du 01.01 au 31.01'!M18</f>
        <v>10217</v>
      </c>
      <c r="F10" s="160">
        <v>0.99</v>
      </c>
      <c r="G10" s="160">
        <f>'Consommation du 01.01 au 31.01'!U18</f>
        <v>259.7</v>
      </c>
      <c r="H10" s="160">
        <v>9.157</v>
      </c>
      <c r="I10" s="160">
        <f>'Consommation du 01.01 au 31.01'!Y18*1000</f>
        <v>12489.999999997963</v>
      </c>
      <c r="J10" s="160">
        <v>0.53</v>
      </c>
      <c r="K10" s="160">
        <f>'Consommation du 01.01 au 31.01'!D18</f>
        <v>300</v>
      </c>
      <c r="L10" s="160">
        <v>12.67</v>
      </c>
      <c r="M10" s="159">
        <f>'Consommation du 01.01 au 31.01'!AC18</f>
        <v>23</v>
      </c>
      <c r="N10" s="159">
        <v>23</v>
      </c>
      <c r="O10" s="160">
        <f t="shared" si="0"/>
        <v>22913.602899998921</v>
      </c>
    </row>
    <row r="11" spans="1:15" x14ac:dyDescent="0.2">
      <c r="A11" s="157" t="s">
        <v>84</v>
      </c>
      <c r="B11" s="158">
        <f t="shared" si="1"/>
        <v>10</v>
      </c>
      <c r="C11" s="158">
        <v>1</v>
      </c>
      <c r="D11" s="159">
        <v>2021</v>
      </c>
      <c r="E11" s="160">
        <f>'Consommation du 01.01 au 31.01'!M19</f>
        <v>10573</v>
      </c>
      <c r="F11" s="160">
        <v>0.99</v>
      </c>
      <c r="G11" s="160">
        <f>'Consommation du 01.01 au 31.01'!U19</f>
        <v>964.6</v>
      </c>
      <c r="H11" s="160">
        <v>9.157</v>
      </c>
      <c r="I11" s="160">
        <f>'Consommation du 01.01 au 31.01'!Y19*1000</f>
        <v>11510.000000002037</v>
      </c>
      <c r="J11" s="160">
        <v>0.53</v>
      </c>
      <c r="K11" s="160">
        <f>'Consommation du 01.01 au 31.01'!D19</f>
        <v>380</v>
      </c>
      <c r="L11" s="160">
        <v>12.67</v>
      </c>
      <c r="M11" s="159">
        <f>'Consommation du 01.01 au 31.01'!AC19</f>
        <v>18</v>
      </c>
      <c r="N11" s="159">
        <v>18</v>
      </c>
      <c r="O11" s="160">
        <f t="shared" si="0"/>
        <v>30215.012200001082</v>
      </c>
    </row>
    <row r="12" spans="1:15" x14ac:dyDescent="0.2">
      <c r="A12" s="157" t="s">
        <v>84</v>
      </c>
      <c r="B12" s="158">
        <f t="shared" si="1"/>
        <v>11</v>
      </c>
      <c r="C12" s="158">
        <v>1</v>
      </c>
      <c r="D12" s="159">
        <v>2021</v>
      </c>
      <c r="E12" s="160">
        <f>'Consommation du 01.01 au 31.01'!M20</f>
        <v>9968</v>
      </c>
      <c r="F12" s="160">
        <v>0.99</v>
      </c>
      <c r="G12" s="160">
        <f>'Consommation du 01.01 au 31.01'!U20</f>
        <v>630.70000000000005</v>
      </c>
      <c r="H12" s="160">
        <v>9.157</v>
      </c>
      <c r="I12" s="160">
        <f>'Consommation du 01.01 au 31.01'!Y20*1000</f>
        <v>14669.999999998254</v>
      </c>
      <c r="J12" s="160">
        <v>0.53</v>
      </c>
      <c r="K12" s="160">
        <f>'Consommation du 01.01 au 31.01'!D20</f>
        <v>300</v>
      </c>
      <c r="L12" s="160">
        <v>12.67</v>
      </c>
      <c r="M12" s="159">
        <f>'Consommation du 01.01 au 31.01'!AC20</f>
        <v>6</v>
      </c>
      <c r="N12" s="159">
        <v>6</v>
      </c>
      <c r="O12" s="160">
        <f t="shared" si="0"/>
        <v>27219.739899999076</v>
      </c>
    </row>
    <row r="13" spans="1:15" x14ac:dyDescent="0.2">
      <c r="A13" s="157" t="s">
        <v>84</v>
      </c>
      <c r="B13" s="158">
        <f t="shared" si="1"/>
        <v>12</v>
      </c>
      <c r="C13" s="158">
        <v>1</v>
      </c>
      <c r="D13" s="159">
        <v>2021</v>
      </c>
      <c r="E13" s="160">
        <f>'Consommation du 01.01 au 31.01'!M21</f>
        <v>10400</v>
      </c>
      <c r="F13" s="160">
        <v>0.99</v>
      </c>
      <c r="G13" s="160">
        <f>'Consommation du 01.01 au 31.01'!U21</f>
        <v>779.1</v>
      </c>
      <c r="H13" s="160">
        <v>9.157</v>
      </c>
      <c r="I13" s="160">
        <f>'Consommation du 01.01 au 31.01'!Y21*1000</f>
        <v>10270.000000000437</v>
      </c>
      <c r="J13" s="160">
        <v>0.53</v>
      </c>
      <c r="K13" s="160">
        <f>'Consommation du 01.01 au 31.01'!D21</f>
        <v>320</v>
      </c>
      <c r="L13" s="160">
        <v>12.67</v>
      </c>
      <c r="M13" s="159">
        <f>'Consommation du 01.01 au 31.01'!AC21</f>
        <v>6</v>
      </c>
      <c r="N13" s="159">
        <v>6</v>
      </c>
      <c r="O13" s="160">
        <f t="shared" si="0"/>
        <v>26927.718700000234</v>
      </c>
    </row>
    <row r="14" spans="1:15" x14ac:dyDescent="0.2">
      <c r="A14" s="157" t="s">
        <v>84</v>
      </c>
      <c r="B14" s="158">
        <f t="shared" si="1"/>
        <v>13</v>
      </c>
      <c r="C14" s="158">
        <v>1</v>
      </c>
      <c r="D14" s="159">
        <v>2021</v>
      </c>
      <c r="E14" s="160">
        <f>'Consommation du 01.01 au 31.01'!M22</f>
        <v>10088</v>
      </c>
      <c r="F14" s="160">
        <v>0.99</v>
      </c>
      <c r="G14" s="160">
        <f>'Consommation du 01.01 au 31.01'!U22</f>
        <v>371</v>
      </c>
      <c r="H14" s="160">
        <v>9.157</v>
      </c>
      <c r="I14" s="160">
        <f>'Consommation du 01.01 au 31.01'!Y22*1000</f>
        <v>16500</v>
      </c>
      <c r="J14" s="160">
        <v>0.53</v>
      </c>
      <c r="K14" s="160">
        <f>'Consommation du 01.01 au 31.01'!D22</f>
        <v>390</v>
      </c>
      <c r="L14" s="160">
        <v>12.67</v>
      </c>
      <c r="M14" s="159">
        <f>'Consommation du 01.01 au 31.01'!AC22</f>
        <v>7</v>
      </c>
      <c r="N14" s="159">
        <v>7</v>
      </c>
      <c r="O14" s="160">
        <f t="shared" si="0"/>
        <v>27070.666999999998</v>
      </c>
    </row>
    <row r="15" spans="1:15" x14ac:dyDescent="0.2">
      <c r="A15" s="157" t="s">
        <v>84</v>
      </c>
      <c r="B15" s="158">
        <f t="shared" si="1"/>
        <v>14</v>
      </c>
      <c r="C15" s="158">
        <v>1</v>
      </c>
      <c r="D15" s="159">
        <v>2021</v>
      </c>
      <c r="E15" s="160">
        <f>'Consommation du 01.01 au 31.01'!M23</f>
        <v>9763</v>
      </c>
      <c r="F15" s="160">
        <v>0.99</v>
      </c>
      <c r="G15" s="160">
        <f>'Consommation du 01.01 au 31.01'!U23</f>
        <v>333.90000000000003</v>
      </c>
      <c r="H15" s="160">
        <v>9.157</v>
      </c>
      <c r="I15" s="160">
        <f>'Consommation du 01.01 au 31.01'!Y23*1000</f>
        <v>15940.000000002328</v>
      </c>
      <c r="J15" s="160">
        <v>0.53</v>
      </c>
      <c r="K15" s="160">
        <f>'Consommation du 01.01 au 31.01'!D23</f>
        <v>480</v>
      </c>
      <c r="L15" s="160">
        <v>12.67</v>
      </c>
      <c r="M15" s="159">
        <f>'Consommation du 01.01 au 31.01'!AC23</f>
        <v>8</v>
      </c>
      <c r="N15" s="159">
        <v>8</v>
      </c>
      <c r="O15" s="160">
        <f t="shared" si="0"/>
        <v>27252.692300001232</v>
      </c>
    </row>
    <row r="16" spans="1:15" x14ac:dyDescent="0.2">
      <c r="A16" s="157" t="s">
        <v>84</v>
      </c>
      <c r="B16" s="158">
        <f t="shared" si="1"/>
        <v>15</v>
      </c>
      <c r="C16" s="158">
        <v>1</v>
      </c>
      <c r="D16" s="159">
        <v>2021</v>
      </c>
      <c r="E16" s="160">
        <f>'Consommation du 01.01 au 31.01'!M24</f>
        <v>9992</v>
      </c>
      <c r="F16" s="160">
        <v>0.99</v>
      </c>
      <c r="G16" s="160">
        <f>'Consommation du 01.01 au 31.01'!U24</f>
        <v>927.5</v>
      </c>
      <c r="H16" s="160">
        <v>9.157</v>
      </c>
      <c r="I16" s="160">
        <f>'Consommation du 01.01 au 31.01'!Y24*1000</f>
        <v>15159.999999999854</v>
      </c>
      <c r="J16" s="160">
        <v>0.53</v>
      </c>
      <c r="K16" s="160">
        <f>'Consommation du 01.01 au 31.01'!D24</f>
        <v>270</v>
      </c>
      <c r="L16" s="160">
        <v>12.67</v>
      </c>
      <c r="M16" s="159">
        <f>'Consommation du 01.01 au 31.01'!AC24</f>
        <v>12</v>
      </c>
      <c r="N16" s="159">
        <v>12</v>
      </c>
      <c r="O16" s="160">
        <f t="shared" si="0"/>
        <v>29840.897499999926</v>
      </c>
    </row>
    <row r="17" spans="1:15" x14ac:dyDescent="0.2">
      <c r="A17" s="157" t="s">
        <v>84</v>
      </c>
      <c r="B17" s="158">
        <f t="shared" si="1"/>
        <v>16</v>
      </c>
      <c r="C17" s="158">
        <v>1</v>
      </c>
      <c r="D17" s="159">
        <v>2021</v>
      </c>
      <c r="E17" s="160">
        <f>'Consommation du 01.01 au 31.01'!M25</f>
        <v>9623</v>
      </c>
      <c r="F17" s="160">
        <v>0.99</v>
      </c>
      <c r="G17" s="160">
        <f>'Consommation du 01.01 au 31.01'!U25</f>
        <v>371</v>
      </c>
      <c r="H17" s="160">
        <v>9.157</v>
      </c>
      <c r="I17" s="160">
        <f>'Consommation du 01.01 au 31.01'!Y25*1000</f>
        <v>15529.999999998836</v>
      </c>
      <c r="J17" s="160">
        <v>0.53</v>
      </c>
      <c r="K17" s="160">
        <f>'Consommation du 01.01 au 31.01'!D25</f>
        <v>600</v>
      </c>
      <c r="L17" s="160">
        <v>12.67</v>
      </c>
      <c r="M17" s="159">
        <f>'Consommation du 01.01 au 31.01'!AC25</f>
        <v>12</v>
      </c>
      <c r="N17" s="159">
        <v>12</v>
      </c>
      <c r="O17" s="160">
        <f t="shared" si="0"/>
        <v>28756.916999999383</v>
      </c>
    </row>
    <row r="18" spans="1:15" x14ac:dyDescent="0.2">
      <c r="A18" s="157" t="s">
        <v>84</v>
      </c>
      <c r="B18" s="158">
        <f t="shared" si="1"/>
        <v>17</v>
      </c>
      <c r="C18" s="158">
        <v>1</v>
      </c>
      <c r="D18" s="159">
        <v>2021</v>
      </c>
      <c r="E18" s="160">
        <f>'Consommation du 01.01 au 31.01'!M26</f>
        <v>9502</v>
      </c>
      <c r="F18" s="160">
        <v>0.99</v>
      </c>
      <c r="G18" s="160">
        <f>'Consommation du 01.01 au 31.01'!U26</f>
        <v>445.20000000000005</v>
      </c>
      <c r="H18" s="160">
        <v>9.157</v>
      </c>
      <c r="I18" s="160">
        <f>'Consommation du 01.01 au 31.01'!Y26*1000</f>
        <v>15759.999999998399</v>
      </c>
      <c r="J18" s="160">
        <v>0.53</v>
      </c>
      <c r="K18" s="160">
        <f>'Consommation du 01.01 au 31.01'!D26</f>
        <v>360</v>
      </c>
      <c r="L18" s="160">
        <v>12.67</v>
      </c>
      <c r="M18" s="159">
        <f>'Consommation du 01.01 au 31.01'!AC26</f>
        <v>10</v>
      </c>
      <c r="N18" s="159">
        <v>10</v>
      </c>
      <c r="O18" s="160">
        <f t="shared" si="0"/>
        <v>26397.676399999153</v>
      </c>
    </row>
    <row r="19" spans="1:15" x14ac:dyDescent="0.2">
      <c r="A19" s="157" t="s">
        <v>84</v>
      </c>
      <c r="B19" s="158">
        <f t="shared" si="1"/>
        <v>18</v>
      </c>
      <c r="C19" s="158">
        <v>1</v>
      </c>
      <c r="D19" s="159">
        <v>2021</v>
      </c>
      <c r="E19" s="160">
        <f>'Consommation du 01.01 au 31.01'!M27</f>
        <v>10351</v>
      </c>
      <c r="F19" s="160">
        <v>0.99</v>
      </c>
      <c r="G19" s="160">
        <f>'Consommation du 01.01 au 31.01'!U27</f>
        <v>630.70000000000005</v>
      </c>
      <c r="H19" s="160">
        <v>9.157</v>
      </c>
      <c r="I19" s="160">
        <f>'Consommation du 01.01 au 31.01'!Y27*1000</f>
        <v>7420.0000000018917</v>
      </c>
      <c r="J19" s="160">
        <v>0.53</v>
      </c>
      <c r="K19" s="160">
        <f>'Consommation du 01.01 au 31.01'!D27</f>
        <v>340</v>
      </c>
      <c r="L19" s="160">
        <v>12.67</v>
      </c>
      <c r="M19" s="159">
        <f>'Consommation du 01.01 au 31.01'!AC27</f>
        <v>11</v>
      </c>
      <c r="N19" s="159">
        <v>11</v>
      </c>
      <c r="O19" s="160">
        <f t="shared" si="0"/>
        <v>24263.209900001002</v>
      </c>
    </row>
    <row r="20" spans="1:15" x14ac:dyDescent="0.2">
      <c r="A20" s="157" t="s">
        <v>84</v>
      </c>
      <c r="B20" s="158">
        <f t="shared" si="1"/>
        <v>19</v>
      </c>
      <c r="C20" s="158">
        <v>1</v>
      </c>
      <c r="D20" s="159">
        <v>2021</v>
      </c>
      <c r="E20" s="160">
        <f>'Consommation du 01.01 au 31.01'!M28</f>
        <v>10287</v>
      </c>
      <c r="F20" s="160">
        <v>0.99</v>
      </c>
      <c r="G20" s="160">
        <f>'Consommation du 01.01 au 31.01'!U28</f>
        <v>593.6</v>
      </c>
      <c r="H20" s="160">
        <v>9.157</v>
      </c>
      <c r="I20" s="160">
        <f>'Consommation du 01.01 au 31.01'!Y28*1000</f>
        <v>13529.999999998836</v>
      </c>
      <c r="J20" s="160">
        <v>0.53</v>
      </c>
      <c r="K20" s="160">
        <f>'Consommation du 01.01 au 31.01'!D28</f>
        <v>320</v>
      </c>
      <c r="L20" s="160">
        <v>12.67</v>
      </c>
      <c r="M20" s="159">
        <f>'Consommation du 01.01 au 31.01'!AC28</f>
        <v>12</v>
      </c>
      <c r="N20" s="159">
        <v>12</v>
      </c>
      <c r="O20" s="160">
        <f t="shared" si="0"/>
        <v>26845.025199999385</v>
      </c>
    </row>
    <row r="21" spans="1:15" x14ac:dyDescent="0.2">
      <c r="A21" s="157" t="s">
        <v>84</v>
      </c>
      <c r="B21" s="158">
        <f t="shared" si="1"/>
        <v>20</v>
      </c>
      <c r="C21" s="158">
        <v>1</v>
      </c>
      <c r="D21" s="159">
        <v>2021</v>
      </c>
      <c r="E21" s="160">
        <f>'Consommation du 01.01 au 31.01'!M29</f>
        <v>11072</v>
      </c>
      <c r="F21" s="160">
        <v>0.99</v>
      </c>
      <c r="G21" s="160">
        <f>'Consommation du 01.01 au 31.01'!U29</f>
        <v>1187.2</v>
      </c>
      <c r="H21" s="160">
        <v>9.157</v>
      </c>
      <c r="I21" s="160">
        <f>'Consommation du 01.01 au 31.01'!Y29*1000</f>
        <v>12280.000000002474</v>
      </c>
      <c r="J21" s="160">
        <v>0.53</v>
      </c>
      <c r="K21" s="160">
        <f>'Consommation du 01.01 au 31.01'!D29</f>
        <v>395</v>
      </c>
      <c r="L21" s="160">
        <v>12.67</v>
      </c>
      <c r="M21" s="159">
        <f>'Consommation du 01.01 au 31.01'!AC29</f>
        <v>32</v>
      </c>
      <c r="N21" s="159">
        <v>32</v>
      </c>
      <c r="O21" s="160">
        <f t="shared" si="0"/>
        <v>33345.520400001311</v>
      </c>
    </row>
    <row r="22" spans="1:15" x14ac:dyDescent="0.2">
      <c r="A22" s="157" t="s">
        <v>84</v>
      </c>
      <c r="B22" s="158">
        <f t="shared" si="1"/>
        <v>21</v>
      </c>
      <c r="C22" s="158">
        <v>1</v>
      </c>
      <c r="D22" s="159">
        <v>2021</v>
      </c>
      <c r="E22" s="160">
        <f>'Consommation du 01.01 au 31.01'!M30</f>
        <v>10938</v>
      </c>
      <c r="F22" s="160">
        <v>0.99</v>
      </c>
      <c r="G22" s="160">
        <f>'Consommation du 01.01 au 31.01'!U30</f>
        <v>1001.7</v>
      </c>
      <c r="H22" s="160">
        <v>9.157</v>
      </c>
      <c r="I22" s="160">
        <f>'Consommation du 01.01 au 31.01'!Y30*1000</f>
        <v>12259.999999998399</v>
      </c>
      <c r="J22" s="160">
        <v>0.53</v>
      </c>
      <c r="K22" s="160">
        <f>'Consommation du 01.01 au 31.01'!D30</f>
        <v>384</v>
      </c>
      <c r="L22" s="160">
        <v>12.67</v>
      </c>
      <c r="M22" s="159">
        <f>'Consommation du 01.01 au 31.01'!AC30</f>
        <v>45</v>
      </c>
      <c r="N22" s="159">
        <v>45</v>
      </c>
      <c r="O22" s="160">
        <f t="shared" si="0"/>
        <v>31364.266899999151</v>
      </c>
    </row>
    <row r="23" spans="1:15" x14ac:dyDescent="0.2">
      <c r="A23" s="157" t="s">
        <v>84</v>
      </c>
      <c r="B23" s="158">
        <f t="shared" si="1"/>
        <v>22</v>
      </c>
      <c r="C23" s="158">
        <v>1</v>
      </c>
      <c r="D23" s="159">
        <v>2021</v>
      </c>
      <c r="E23" s="160">
        <f>'Consommation du 01.01 au 31.01'!M31</f>
        <v>10717</v>
      </c>
      <c r="F23" s="160">
        <v>0.99</v>
      </c>
      <c r="G23" s="160">
        <f>'Consommation du 01.01 au 31.01'!U31</f>
        <v>630.70000000000005</v>
      </c>
      <c r="H23" s="160">
        <v>9.157</v>
      </c>
      <c r="I23" s="160">
        <f>'Consommation du 01.01 au 31.01'!Y31*1000</f>
        <v>21750</v>
      </c>
      <c r="J23" s="160">
        <v>0.53</v>
      </c>
      <c r="K23" s="160">
        <f>'Consommation du 01.01 au 31.01'!D31</f>
        <v>338</v>
      </c>
      <c r="L23" s="160">
        <v>12.67</v>
      </c>
      <c r="M23" s="159">
        <f>'Consommation du 01.01 au 31.01'!AC31</f>
        <v>49</v>
      </c>
      <c r="N23" s="159">
        <v>49</v>
      </c>
      <c r="O23" s="160">
        <f t="shared" si="0"/>
        <v>32195.109899999999</v>
      </c>
    </row>
    <row r="24" spans="1:15" x14ac:dyDescent="0.2">
      <c r="A24" s="157" t="s">
        <v>84</v>
      </c>
      <c r="B24" s="158">
        <f t="shared" si="1"/>
        <v>23</v>
      </c>
      <c r="C24" s="158">
        <v>1</v>
      </c>
      <c r="D24" s="159">
        <v>2021</v>
      </c>
      <c r="E24" s="160">
        <f>'Consommation du 01.01 au 31.01'!M32</f>
        <v>12103</v>
      </c>
      <c r="F24" s="160">
        <v>0.99</v>
      </c>
      <c r="G24" s="160">
        <f>'Consommation du 01.01 au 31.01'!U32</f>
        <v>593.6</v>
      </c>
      <c r="H24" s="160">
        <v>9.157</v>
      </c>
      <c r="I24" s="160">
        <f>'Consommation du 01.01 au 31.01'!Y32*1000</f>
        <v>16849.999999998545</v>
      </c>
      <c r="J24" s="160">
        <v>0.53</v>
      </c>
      <c r="K24" s="160">
        <f>'Consommation du 01.01 au 31.01'!D32</f>
        <v>293</v>
      </c>
      <c r="L24" s="160">
        <v>12.67</v>
      </c>
      <c r="M24" s="159">
        <f>'Consommation du 01.01 au 31.01'!AC32</f>
        <v>42</v>
      </c>
      <c r="N24" s="159">
        <v>42</v>
      </c>
      <c r="O24" s="160">
        <f t="shared" si="0"/>
        <v>30060.375199999231</v>
      </c>
    </row>
    <row r="25" spans="1:15" x14ac:dyDescent="0.2">
      <c r="A25" s="157" t="s">
        <v>84</v>
      </c>
      <c r="B25" s="158">
        <f t="shared" si="1"/>
        <v>24</v>
      </c>
      <c r="C25" s="158">
        <v>1</v>
      </c>
      <c r="D25" s="159">
        <v>2021</v>
      </c>
      <c r="E25" s="160">
        <f>'Consommation du 01.01 au 31.01'!M33</f>
        <v>10915</v>
      </c>
      <c r="F25" s="160">
        <v>0.99</v>
      </c>
      <c r="G25" s="160">
        <f>'Consommation du 01.01 au 31.01'!U33</f>
        <v>408.1</v>
      </c>
      <c r="H25" s="160">
        <v>9.157</v>
      </c>
      <c r="I25" s="160">
        <f>'Consommation du 01.01 au 31.01'!Y33*1000</f>
        <v>15270.000000000437</v>
      </c>
      <c r="J25" s="160">
        <v>0.53</v>
      </c>
      <c r="K25" s="160">
        <f>'Consommation du 01.01 au 31.01'!D33</f>
        <v>221</v>
      </c>
      <c r="L25" s="160">
        <v>12.67</v>
      </c>
      <c r="M25" s="159">
        <f>'Consommation du 01.01 au 31.01'!AC33</f>
        <v>17</v>
      </c>
      <c r="N25" s="159">
        <v>17</v>
      </c>
      <c r="O25" s="160">
        <f t="shared" si="0"/>
        <v>25435.991700000232</v>
      </c>
    </row>
    <row r="26" spans="1:15" x14ac:dyDescent="0.2">
      <c r="A26" s="157" t="s">
        <v>84</v>
      </c>
      <c r="B26" s="158">
        <f>B25+1</f>
        <v>25</v>
      </c>
      <c r="C26" s="158">
        <v>1</v>
      </c>
      <c r="D26" s="159">
        <v>2021</v>
      </c>
      <c r="E26" s="160">
        <f>'Consommation du 01.01 au 31.01'!M34</f>
        <v>9995</v>
      </c>
      <c r="F26" s="160">
        <v>0.99</v>
      </c>
      <c r="G26" s="160">
        <f>'Consommation du 01.01 au 31.01'!U34</f>
        <v>259.7</v>
      </c>
      <c r="H26" s="160">
        <v>9.157</v>
      </c>
      <c r="I26" s="160">
        <f>'Consommation du 01.01 au 31.01'!Y34*1000</f>
        <v>15819.999999999709</v>
      </c>
      <c r="J26" s="160">
        <v>0.53</v>
      </c>
      <c r="K26" s="160">
        <f>'Consommation du 01.01 au 31.01'!D34</f>
        <v>406</v>
      </c>
      <c r="L26" s="160">
        <v>12.67</v>
      </c>
      <c r="M26" s="159">
        <f>'Consommation du 01.01 au 31.01'!AC34</f>
        <v>15</v>
      </c>
      <c r="N26" s="159">
        <v>15</v>
      </c>
      <c r="O26" s="160">
        <f t="shared" si="0"/>
        <v>25801.742899999845</v>
      </c>
    </row>
    <row r="27" spans="1:15" x14ac:dyDescent="0.2">
      <c r="A27" s="157" t="s">
        <v>84</v>
      </c>
      <c r="B27" s="158">
        <f t="shared" si="1"/>
        <v>26</v>
      </c>
      <c r="C27" s="158">
        <v>1</v>
      </c>
      <c r="D27" s="159">
        <v>2021</v>
      </c>
      <c r="E27" s="160">
        <f>'Consommation du 01.01 au 31.01'!M35</f>
        <v>10388</v>
      </c>
      <c r="F27" s="160">
        <v>0.99</v>
      </c>
      <c r="G27" s="160">
        <f>'Consommation du 01.01 au 31.01'!U35</f>
        <v>148.4</v>
      </c>
      <c r="H27" s="160">
        <v>9.157</v>
      </c>
      <c r="I27" s="160">
        <f>'Consommation du 01.01 au 31.01'!Y35*1000</f>
        <v>11490.000000001601</v>
      </c>
      <c r="J27" s="160">
        <v>0.53</v>
      </c>
      <c r="K27" s="160">
        <f>'Consommation du 01.01 au 31.01'!D35</f>
        <v>295</v>
      </c>
      <c r="L27" s="160">
        <v>12.67</v>
      </c>
      <c r="M27" s="159">
        <f>'Consommation du 01.01 au 31.01'!AC35</f>
        <v>16</v>
      </c>
      <c r="N27" s="159">
        <v>16</v>
      </c>
      <c r="O27" s="160">
        <f t="shared" si="0"/>
        <v>21470.368800000851</v>
      </c>
    </row>
    <row r="28" spans="1:15" x14ac:dyDescent="0.2">
      <c r="A28" s="157" t="s">
        <v>84</v>
      </c>
      <c r="B28" s="158">
        <f t="shared" si="1"/>
        <v>27</v>
      </c>
      <c r="C28" s="158">
        <v>1</v>
      </c>
      <c r="D28" s="159">
        <v>2021</v>
      </c>
      <c r="E28" s="160">
        <f>'Consommation du 01.01 au 31.01'!M36</f>
        <v>11446</v>
      </c>
      <c r="F28" s="160">
        <v>0.99</v>
      </c>
      <c r="G28" s="160">
        <f>'Consommation du 01.01 au 31.01'!U36</f>
        <v>296.8</v>
      </c>
      <c r="H28" s="160">
        <v>9.157</v>
      </c>
      <c r="I28" s="160">
        <f>'Consommation du 01.01 au 31.01'!Y36*1000</f>
        <v>9939.9999999986903</v>
      </c>
      <c r="J28" s="160">
        <v>0.53</v>
      </c>
      <c r="K28" s="160">
        <f>'Consommation du 01.01 au 31.01'!D36</f>
        <v>284</v>
      </c>
      <c r="L28" s="160">
        <v>12.67</v>
      </c>
      <c r="M28" s="159">
        <f>'Consommation du 01.01 au 31.01'!AC36</f>
        <v>21</v>
      </c>
      <c r="N28" s="159">
        <v>21</v>
      </c>
      <c r="O28" s="160">
        <f t="shared" si="0"/>
        <v>22915.817599999304</v>
      </c>
    </row>
    <row r="29" spans="1:15" x14ac:dyDescent="0.2">
      <c r="A29" s="157" t="s">
        <v>84</v>
      </c>
      <c r="B29" s="158">
        <f t="shared" si="1"/>
        <v>28</v>
      </c>
      <c r="C29" s="158">
        <v>1</v>
      </c>
      <c r="D29" s="159">
        <v>2021</v>
      </c>
      <c r="E29" s="160">
        <f>'Consommation du 01.01 au 31.01'!M37</f>
        <v>11534</v>
      </c>
      <c r="F29" s="160">
        <v>0.99</v>
      </c>
      <c r="G29" s="160">
        <f>'Consommation du 01.01 au 31.01'!U37</f>
        <v>259.7</v>
      </c>
      <c r="H29" s="160">
        <v>9.157</v>
      </c>
      <c r="I29" s="160">
        <f>'Consommation du 01.01 au 31.01'!Y37*1000</f>
        <v>11549.999999999272</v>
      </c>
      <c r="J29" s="160">
        <v>0.53</v>
      </c>
      <c r="K29" s="160">
        <f>'Consommation du 01.01 au 31.01'!D37</f>
        <v>233</v>
      </c>
      <c r="L29" s="160">
        <v>12.67</v>
      </c>
      <c r="M29" s="159">
        <f>'Consommation du 01.01 au 31.01'!AC37</f>
        <v>22</v>
      </c>
      <c r="N29" s="159">
        <v>22</v>
      </c>
      <c r="O29" s="160">
        <f t="shared" si="0"/>
        <v>22870.342899999614</v>
      </c>
    </row>
    <row r="30" spans="1:15" x14ac:dyDescent="0.2">
      <c r="A30" s="157" t="s">
        <v>84</v>
      </c>
      <c r="B30" s="158">
        <f t="shared" si="1"/>
        <v>29</v>
      </c>
      <c r="C30" s="158">
        <v>1</v>
      </c>
      <c r="D30" s="159">
        <v>2021</v>
      </c>
      <c r="E30" s="160">
        <f>'Consommation du 01.01 au 31.01'!M38</f>
        <v>12129</v>
      </c>
      <c r="F30" s="160">
        <v>0.99</v>
      </c>
      <c r="G30" s="160">
        <f>'Consommation du 01.01 au 31.01'!U38</f>
        <v>371</v>
      </c>
      <c r="H30" s="160">
        <v>9.157</v>
      </c>
      <c r="I30" s="160">
        <f>'Consommation du 01.01 au 31.01'!Y38*1000</f>
        <v>10360.000000000582</v>
      </c>
      <c r="J30" s="160">
        <v>0.53</v>
      </c>
      <c r="K30" s="160">
        <f>'Consommation du 01.01 au 31.01'!D38</f>
        <v>455</v>
      </c>
      <c r="L30" s="160">
        <v>12.67</v>
      </c>
      <c r="M30" s="159">
        <f>'Consommation du 01.01 au 31.01'!AC38</f>
        <v>51</v>
      </c>
      <c r="N30" s="159">
        <v>51</v>
      </c>
      <c r="O30" s="160">
        <f t="shared" si="0"/>
        <v>26660.607000000309</v>
      </c>
    </row>
    <row r="31" spans="1:15" x14ac:dyDescent="0.2">
      <c r="A31" s="157" t="s">
        <v>84</v>
      </c>
      <c r="B31" s="158">
        <f t="shared" si="1"/>
        <v>30</v>
      </c>
      <c r="C31" s="158">
        <v>1</v>
      </c>
      <c r="D31" s="159">
        <v>2021</v>
      </c>
      <c r="E31" s="160">
        <f>'Consommation du 01.01 au 31.01'!M39</f>
        <v>10531</v>
      </c>
      <c r="F31" s="160">
        <v>0.99</v>
      </c>
      <c r="G31" s="160">
        <f>'Consommation du 01.01 au 31.01'!U39</f>
        <v>371</v>
      </c>
      <c r="H31" s="160">
        <v>9.157</v>
      </c>
      <c r="I31" s="160">
        <f>'Consommation du 01.01 au 31.01'!Y39*1000</f>
        <v>13540.000000000873</v>
      </c>
      <c r="J31" s="160">
        <v>0.53</v>
      </c>
      <c r="K31" s="160">
        <f>'Consommation du 01.01 au 31.01'!D39</f>
        <v>250</v>
      </c>
      <c r="L31" s="160">
        <v>12.67</v>
      </c>
      <c r="M31" s="159">
        <f>'Consommation du 01.01 au 31.01'!AC39</f>
        <v>61</v>
      </c>
      <c r="N31" s="159">
        <v>61</v>
      </c>
      <c r="O31" s="160">
        <f t="shared" si="0"/>
        <v>24166.637000000461</v>
      </c>
    </row>
    <row r="32" spans="1:15" x14ac:dyDescent="0.2">
      <c r="A32" s="157" t="s">
        <v>84</v>
      </c>
      <c r="B32" s="158">
        <f t="shared" si="1"/>
        <v>31</v>
      </c>
      <c r="C32" s="158">
        <v>1</v>
      </c>
      <c r="D32" s="159">
        <v>2021</v>
      </c>
      <c r="E32" s="160">
        <f>'Consommation du 01.01 au 31.01'!M40</f>
        <v>10048</v>
      </c>
      <c r="F32" s="160">
        <v>1.99</v>
      </c>
      <c r="G32" s="160">
        <f>'Consommation du 01.01 au 31.01'!U40</f>
        <v>519.4</v>
      </c>
      <c r="H32" s="160">
        <v>9.157</v>
      </c>
      <c r="I32" s="160">
        <f>'Consommation du 01.01 au 31.01'!Y40*1000</f>
        <v>10319.999999999709</v>
      </c>
      <c r="J32" s="160">
        <v>1.53</v>
      </c>
      <c r="K32" s="160">
        <f>'Consommation du 01.01 au 31.01'!D40</f>
        <v>212</v>
      </c>
      <c r="L32" s="160">
        <v>13.67</v>
      </c>
      <c r="M32" s="159">
        <f>'Consommation du 01.01 au 31.01'!AC40</f>
        <v>36</v>
      </c>
      <c r="N32" s="159">
        <v>36</v>
      </c>
      <c r="O32" s="160">
        <f t="shared" ref="O32" si="2">E32*F32+G32*H32+I32*J32+K32*L32</f>
        <v>43439.305799999558</v>
      </c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>
        <f>SUM(O2:O32)</f>
        <v>844903.8942999983</v>
      </c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Y40" sqref="Y4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7"/>
      <c r="B2" s="258"/>
      <c r="C2" s="258"/>
      <c r="D2" s="258"/>
      <c r="E2" s="258"/>
      <c r="F2" s="259"/>
      <c r="G2" s="260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57"/>
      <c r="AE2" s="259"/>
      <c r="AF2" s="71"/>
      <c r="AH2" s="62"/>
      <c r="AJ2" s="70"/>
    </row>
    <row r="3" spans="1:40" ht="1.5" customHeight="1" x14ac:dyDescent="0.2"/>
    <row r="4" spans="1:40" ht="39" hidden="1" customHeight="1" x14ac:dyDescent="0.2">
      <c r="A4" s="262"/>
      <c r="B4" s="262"/>
      <c r="C4" s="262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2"/>
      <c r="B5" s="262"/>
      <c r="C5" s="262"/>
      <c r="D5" s="3"/>
      <c r="E5" s="3"/>
      <c r="F5" s="3"/>
      <c r="G5" s="3"/>
      <c r="H5" s="3"/>
      <c r="I5" s="3"/>
      <c r="J5" s="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4"/>
      <c r="E7" s="264"/>
      <c r="F7" s="264"/>
      <c r="G7" s="264"/>
      <c r="H7" s="264"/>
      <c r="I7" s="264"/>
      <c r="J7" s="264"/>
      <c r="K7" s="264"/>
      <c r="L7" s="264"/>
      <c r="M7" s="265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6"/>
      <c r="B8" s="247" t="s">
        <v>1</v>
      </c>
      <c r="C8" s="77"/>
      <c r="D8" s="248" t="s">
        <v>3</v>
      </c>
      <c r="E8" s="73"/>
      <c r="F8" s="250" t="s">
        <v>11</v>
      </c>
      <c r="G8" s="251"/>
      <c r="H8" s="252"/>
      <c r="I8" s="73"/>
      <c r="J8" s="88"/>
      <c r="K8" s="88"/>
      <c r="L8" s="88"/>
      <c r="M8" s="256" t="s">
        <v>2</v>
      </c>
      <c r="N8" s="73"/>
      <c r="O8" s="231" t="s">
        <v>11</v>
      </c>
      <c r="P8" s="73"/>
      <c r="Q8" s="231" t="s">
        <v>4</v>
      </c>
      <c r="R8" s="73"/>
      <c r="S8" s="231" t="s">
        <v>5</v>
      </c>
      <c r="T8" s="73"/>
      <c r="U8" s="240" t="s">
        <v>38</v>
      </c>
      <c r="V8" s="73"/>
      <c r="W8" s="231" t="s">
        <v>11</v>
      </c>
      <c r="X8" s="242" t="s">
        <v>67</v>
      </c>
      <c r="Y8" s="244" t="s">
        <v>66</v>
      </c>
      <c r="Z8" s="226" t="s">
        <v>65</v>
      </c>
      <c r="AA8" s="228"/>
      <c r="AB8" s="229" t="s">
        <v>68</v>
      </c>
      <c r="AC8" s="231" t="s">
        <v>64</v>
      </c>
      <c r="AD8" s="238" t="s">
        <v>63</v>
      </c>
      <c r="AE8" s="233" t="s">
        <v>53</v>
      </c>
      <c r="AF8" s="233" t="s">
        <v>56</v>
      </c>
      <c r="AG8" s="235" t="s">
        <v>54</v>
      </c>
      <c r="AH8" s="235" t="s">
        <v>55</v>
      </c>
      <c r="AI8" s="62"/>
      <c r="AJ8" s="125"/>
      <c r="AK8" s="125"/>
      <c r="AL8" s="74"/>
    </row>
    <row r="9" spans="1:40" ht="77.25" customHeight="1" thickBot="1" x14ac:dyDescent="0.25">
      <c r="A9" s="246"/>
      <c r="B9" s="247"/>
      <c r="C9" s="77"/>
      <c r="D9" s="249"/>
      <c r="E9" s="73"/>
      <c r="F9" s="253"/>
      <c r="G9" s="254"/>
      <c r="H9" s="255"/>
      <c r="I9" s="152"/>
      <c r="J9" s="90" t="s">
        <v>6</v>
      </c>
      <c r="K9" s="90" t="s">
        <v>7</v>
      </c>
      <c r="L9" s="90" t="s">
        <v>8</v>
      </c>
      <c r="M9" s="256"/>
      <c r="N9" s="73"/>
      <c r="O9" s="237"/>
      <c r="P9" s="73"/>
      <c r="Q9" s="237"/>
      <c r="R9" s="73"/>
      <c r="S9" s="237"/>
      <c r="T9" s="73"/>
      <c r="U9" s="241"/>
      <c r="V9" s="73"/>
      <c r="W9" s="237"/>
      <c r="X9" s="243"/>
      <c r="Y9" s="245"/>
      <c r="Z9" s="227"/>
      <c r="AA9" s="228"/>
      <c r="AB9" s="230"/>
      <c r="AC9" s="232"/>
      <c r="AD9" s="239"/>
      <c r="AE9" s="234"/>
      <c r="AF9" s="234"/>
      <c r="AG9" s="236"/>
      <c r="AH9" s="236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44197</v>
      </c>
      <c r="C10" s="92"/>
      <c r="D10" s="147">
        <f>'Suivi EAU-ELEC'!C16</f>
        <v>390</v>
      </c>
      <c r="E10" s="151"/>
      <c r="F10" s="210">
        <f t="shared" ref="F10:F40" si="0">D10*12.67</f>
        <v>4941.3</v>
      </c>
      <c r="G10" s="211"/>
      <c r="H10" s="212"/>
      <c r="I10" s="142"/>
      <c r="J10" s="93">
        <f>'Suivi EAU-ELEC'!E16</f>
        <v>3405</v>
      </c>
      <c r="K10" s="94">
        <f>'Suivi EAU-ELEC'!G16</f>
        <v>5810</v>
      </c>
      <c r="L10" s="94">
        <f>'Suivi EAU-ELEC'!I16</f>
        <v>2460</v>
      </c>
      <c r="M10" s="82">
        <f>L10+K10+J10</f>
        <v>11675</v>
      </c>
      <c r="N10" s="58"/>
      <c r="O10" s="59">
        <f>J10*0.99+K10*0.99+L10*0.99</f>
        <v>11558.249999999998</v>
      </c>
      <c r="P10" s="57"/>
      <c r="Q10" s="55"/>
      <c r="R10" s="56"/>
      <c r="S10" s="55"/>
      <c r="T10" s="95"/>
      <c r="U10" s="60">
        <f>'Suivi Gaz'!O11</f>
        <v>1780.8000000000002</v>
      </c>
      <c r="V10" s="58"/>
      <c r="W10" s="59">
        <f>U10*9.157</f>
        <v>16306.785600000001</v>
      </c>
      <c r="X10" s="65">
        <v>18277.080000000002</v>
      </c>
      <c r="Y10" s="153">
        <f t="shared" ref="Y10:Y40" si="1">IF(X11&lt;X10,0,X11-X10)</f>
        <v>13.169999999998254</v>
      </c>
      <c r="Z10" s="64">
        <f>Y10*0.53*1000</f>
        <v>6980.0999999990745</v>
      </c>
      <c r="AA10" s="58"/>
      <c r="AB10" s="61">
        <v>14</v>
      </c>
      <c r="AC10" s="133">
        <v>57</v>
      </c>
      <c r="AD10" s="132">
        <v>0.5</v>
      </c>
      <c r="AE10" s="134">
        <v>27.5</v>
      </c>
      <c r="AF10" s="162">
        <v>28</v>
      </c>
      <c r="AG10" s="163">
        <v>27.5</v>
      </c>
      <c r="AH10" s="164">
        <v>28</v>
      </c>
      <c r="AI10" s="145"/>
      <c r="AJ10" s="127">
        <f t="shared" ref="AJ10:AJ40" si="2">(F10+O10+W10+Z10)</f>
        <v>39786.435599999073</v>
      </c>
      <c r="AK10" s="128">
        <f t="shared" ref="AK10:AK40" si="3">AJ10/AC10</f>
        <v>698.00764210524687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44198</v>
      </c>
      <c r="C11" s="92"/>
      <c r="D11" s="147">
        <f>'Suivi EAU-ELEC'!C17</f>
        <v>330</v>
      </c>
      <c r="E11" s="95"/>
      <c r="F11" s="210">
        <f t="shared" si="0"/>
        <v>4181.1000000000004</v>
      </c>
      <c r="G11" s="211"/>
      <c r="H11" s="212"/>
      <c r="I11" s="142"/>
      <c r="J11" s="93">
        <f>'Suivi EAU-ELEC'!E17</f>
        <v>3413</v>
      </c>
      <c r="K11" s="94">
        <f>'Suivi EAU-ELEC'!G17</f>
        <v>5222</v>
      </c>
      <c r="L11" s="94">
        <f>'Suivi EAU-ELEC'!I17</f>
        <v>2408</v>
      </c>
      <c r="M11" s="82">
        <f t="shared" ref="M11:M40" si="4">L11+K11+J11</f>
        <v>11043</v>
      </c>
      <c r="N11" s="58"/>
      <c r="O11" s="59">
        <f t="shared" ref="O11:O40" si="5">J11*0.99+K11*0.99+L11*0.99</f>
        <v>10932.57</v>
      </c>
      <c r="P11" s="57"/>
      <c r="Q11" s="55"/>
      <c r="R11" s="56"/>
      <c r="S11" s="55"/>
      <c r="T11" s="95"/>
      <c r="U11" s="60">
        <f>'Suivi Gaz'!O12</f>
        <v>593.6</v>
      </c>
      <c r="V11" s="58"/>
      <c r="W11" s="59">
        <f>U11*9.157</f>
        <v>5435.5952000000007</v>
      </c>
      <c r="X11" s="65">
        <v>18290.25</v>
      </c>
      <c r="Y11" s="148">
        <f t="shared" si="1"/>
        <v>13.419999999998254</v>
      </c>
      <c r="Z11" s="64">
        <f t="shared" ref="Z11:Z40" si="6">Y11*0.53*1000</f>
        <v>7112.5999999990754</v>
      </c>
      <c r="AA11" s="58"/>
      <c r="AB11" s="61">
        <v>14</v>
      </c>
      <c r="AC11" s="78">
        <v>53</v>
      </c>
      <c r="AD11" s="79">
        <v>0.39850000000000002</v>
      </c>
      <c r="AE11" s="83">
        <v>27.5</v>
      </c>
      <c r="AF11" s="83">
        <v>28</v>
      </c>
      <c r="AG11" s="80">
        <v>27</v>
      </c>
      <c r="AH11" s="81">
        <v>27.5</v>
      </c>
      <c r="AI11" s="145"/>
      <c r="AJ11" s="129">
        <f t="shared" si="2"/>
        <v>27661.865199999076</v>
      </c>
      <c r="AK11" s="128">
        <f t="shared" si="3"/>
        <v>521.92198490564294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7">(B11+1)</f>
        <v>44199</v>
      </c>
      <c r="C12" s="92"/>
      <c r="D12" s="147">
        <f>'Suivi EAU-ELEC'!C18</f>
        <v>280</v>
      </c>
      <c r="E12" s="95"/>
      <c r="F12" s="210">
        <f t="shared" si="0"/>
        <v>3547.6</v>
      </c>
      <c r="G12" s="211"/>
      <c r="H12" s="212"/>
      <c r="I12" s="142"/>
      <c r="J12" s="93">
        <f>'Suivi EAU-ELEC'!E18</f>
        <v>3457</v>
      </c>
      <c r="K12" s="94">
        <f>'Suivi EAU-ELEC'!G18</f>
        <v>5248</v>
      </c>
      <c r="L12" s="94">
        <f>'Suivi EAU-ELEC'!I18</f>
        <v>2305</v>
      </c>
      <c r="M12" s="82">
        <f t="shared" si="4"/>
        <v>11010</v>
      </c>
      <c r="N12" s="58"/>
      <c r="O12" s="59">
        <f t="shared" si="5"/>
        <v>10899.899999999998</v>
      </c>
      <c r="P12" s="57"/>
      <c r="Q12" s="55"/>
      <c r="R12" s="56"/>
      <c r="S12" s="55"/>
      <c r="T12" s="95"/>
      <c r="U12" s="60">
        <f>'Suivi Gaz'!O13</f>
        <v>371</v>
      </c>
      <c r="V12" s="58"/>
      <c r="W12" s="59">
        <f t="shared" ref="W12:W40" si="8">U12*9.157</f>
        <v>3397.2469999999998</v>
      </c>
      <c r="X12" s="65">
        <v>18303.669999999998</v>
      </c>
      <c r="Y12" s="148">
        <f t="shared" si="1"/>
        <v>13.870000000002619</v>
      </c>
      <c r="Z12" s="64">
        <f t="shared" si="6"/>
        <v>7351.1000000013892</v>
      </c>
      <c r="AA12" s="58"/>
      <c r="AB12" s="61">
        <v>12</v>
      </c>
      <c r="AC12" s="78">
        <v>18</v>
      </c>
      <c r="AD12" s="79">
        <v>0.13850000000000001</v>
      </c>
      <c r="AE12" s="83">
        <v>25</v>
      </c>
      <c r="AF12" s="83">
        <v>26</v>
      </c>
      <c r="AG12" s="80">
        <v>22</v>
      </c>
      <c r="AH12" s="81">
        <v>24</v>
      </c>
      <c r="AI12" s="44"/>
      <c r="AJ12" s="129">
        <f t="shared" si="2"/>
        <v>25195.847000001388</v>
      </c>
      <c r="AK12" s="128">
        <f t="shared" si="3"/>
        <v>1399.7692777778548</v>
      </c>
      <c r="AL12" s="75"/>
    </row>
    <row r="13" spans="1:40" ht="32.25" customHeight="1" thickBot="1" x14ac:dyDescent="0.25">
      <c r="A13" s="73"/>
      <c r="B13" s="91">
        <f t="shared" si="7"/>
        <v>44200</v>
      </c>
      <c r="C13" s="92"/>
      <c r="D13" s="147">
        <f>'Suivi EAU-ELEC'!C19</f>
        <v>230</v>
      </c>
      <c r="E13" s="95"/>
      <c r="F13" s="207">
        <f t="shared" si="0"/>
        <v>2914.1</v>
      </c>
      <c r="G13" s="208"/>
      <c r="H13" s="209"/>
      <c r="I13" s="142"/>
      <c r="J13" s="93">
        <f>'Suivi EAU-ELEC'!E19</f>
        <v>3741</v>
      </c>
      <c r="K13" s="94">
        <f>'Suivi EAU-ELEC'!G19</f>
        <v>5189</v>
      </c>
      <c r="L13" s="94">
        <f>'Suivi EAU-ELEC'!I19</f>
        <v>2172</v>
      </c>
      <c r="M13" s="82">
        <f t="shared" si="4"/>
        <v>11102</v>
      </c>
      <c r="N13" s="58"/>
      <c r="O13" s="59">
        <f t="shared" si="5"/>
        <v>10990.980000000001</v>
      </c>
      <c r="P13" s="57"/>
      <c r="Q13" s="55"/>
      <c r="R13" s="56"/>
      <c r="S13" s="55"/>
      <c r="T13" s="95"/>
      <c r="U13" s="60">
        <f>'Suivi Gaz'!O14</f>
        <v>259.7</v>
      </c>
      <c r="V13" s="58"/>
      <c r="W13" s="59">
        <f t="shared" si="8"/>
        <v>2378.0729000000001</v>
      </c>
      <c r="X13" s="65">
        <v>18317.54</v>
      </c>
      <c r="Y13" s="148">
        <f t="shared" si="1"/>
        <v>13.770000000000437</v>
      </c>
      <c r="Z13" s="64">
        <f t="shared" si="6"/>
        <v>7298.1000000002314</v>
      </c>
      <c r="AA13" s="58"/>
      <c r="AB13" s="61">
        <v>16</v>
      </c>
      <c r="AC13" s="78">
        <v>14</v>
      </c>
      <c r="AD13" s="79">
        <v>0.1094</v>
      </c>
      <c r="AE13" s="83">
        <v>21.5</v>
      </c>
      <c r="AF13" s="83">
        <v>22</v>
      </c>
      <c r="AG13" s="80">
        <v>19</v>
      </c>
      <c r="AH13" s="81">
        <v>19</v>
      </c>
      <c r="AI13" s="44"/>
      <c r="AJ13" s="129">
        <f t="shared" si="2"/>
        <v>23581.252900000232</v>
      </c>
      <c r="AK13" s="128">
        <f t="shared" si="3"/>
        <v>1684.3752071428737</v>
      </c>
      <c r="AL13" s="74"/>
    </row>
    <row r="14" spans="1:40" ht="32.25" customHeight="1" thickBot="1" x14ac:dyDescent="0.25">
      <c r="A14" s="73"/>
      <c r="B14" s="91">
        <f t="shared" si="7"/>
        <v>44201</v>
      </c>
      <c r="C14" s="92"/>
      <c r="D14" s="147">
        <f>'Suivi EAU-ELEC'!C20</f>
        <v>250</v>
      </c>
      <c r="E14" s="95"/>
      <c r="F14" s="210">
        <f t="shared" si="0"/>
        <v>3167.5</v>
      </c>
      <c r="G14" s="211"/>
      <c r="H14" s="212"/>
      <c r="I14" s="142"/>
      <c r="J14" s="93">
        <f>'Suivi EAU-ELEC'!E20</f>
        <v>3319</v>
      </c>
      <c r="K14" s="94">
        <f>'Suivi EAU-ELEC'!G20</f>
        <v>5047</v>
      </c>
      <c r="L14" s="94">
        <f>'Suivi EAU-ELEC'!I20</f>
        <v>2125</v>
      </c>
      <c r="M14" s="82">
        <f t="shared" si="4"/>
        <v>10491</v>
      </c>
      <c r="N14" s="58"/>
      <c r="O14" s="59">
        <f t="shared" si="5"/>
        <v>10386.09</v>
      </c>
      <c r="P14" s="57"/>
      <c r="Q14" s="55"/>
      <c r="R14" s="56"/>
      <c r="S14" s="55"/>
      <c r="T14" s="95"/>
      <c r="U14" s="60">
        <f>'Suivi Gaz'!O15</f>
        <v>890.40000000000009</v>
      </c>
      <c r="V14" s="58"/>
      <c r="W14" s="59">
        <f t="shared" si="8"/>
        <v>8153.3928000000005</v>
      </c>
      <c r="X14" s="65">
        <v>18331.310000000001</v>
      </c>
      <c r="Y14" s="148">
        <f t="shared" si="1"/>
        <v>9.1299999999973807</v>
      </c>
      <c r="Z14" s="64">
        <f t="shared" si="6"/>
        <v>4838.8999999986127</v>
      </c>
      <c r="AA14" s="58"/>
      <c r="AB14" s="61">
        <v>18</v>
      </c>
      <c r="AC14" s="78">
        <v>11</v>
      </c>
      <c r="AD14" s="79">
        <v>8.5900000000000004E-2</v>
      </c>
      <c r="AE14" s="83">
        <v>22</v>
      </c>
      <c r="AF14" s="83">
        <v>25</v>
      </c>
      <c r="AG14" s="80">
        <v>18</v>
      </c>
      <c r="AH14" s="81">
        <v>18</v>
      </c>
      <c r="AI14" s="44"/>
      <c r="AJ14" s="129">
        <f t="shared" si="2"/>
        <v>26545.882799998613</v>
      </c>
      <c r="AK14" s="128">
        <f t="shared" si="3"/>
        <v>2413.2620727271465</v>
      </c>
      <c r="AL14" s="74"/>
    </row>
    <row r="15" spans="1:40" ht="32.25" customHeight="1" thickBot="1" x14ac:dyDescent="0.25">
      <c r="A15" s="73"/>
      <c r="B15" s="91">
        <f t="shared" si="7"/>
        <v>44202</v>
      </c>
      <c r="C15" s="92"/>
      <c r="D15" s="147">
        <f>'Suivi EAU-ELEC'!C21</f>
        <v>270</v>
      </c>
      <c r="E15" s="95"/>
      <c r="F15" s="213">
        <f t="shared" si="0"/>
        <v>3420.9</v>
      </c>
      <c r="G15" s="214"/>
      <c r="H15" s="215"/>
      <c r="I15" s="144"/>
      <c r="J15" s="93">
        <f>'Suivi EAU-ELEC'!E21</f>
        <v>3396</v>
      </c>
      <c r="K15" s="94">
        <f>'Suivi EAU-ELEC'!G21</f>
        <v>5062</v>
      </c>
      <c r="L15" s="94">
        <f>'Suivi EAU-ELEC'!I21</f>
        <v>2105</v>
      </c>
      <c r="M15" s="82">
        <f t="shared" si="4"/>
        <v>10563</v>
      </c>
      <c r="N15" s="58"/>
      <c r="O15" s="59">
        <f t="shared" si="5"/>
        <v>10457.369999999999</v>
      </c>
      <c r="P15" s="57"/>
      <c r="Q15" s="55"/>
      <c r="R15" s="56"/>
      <c r="S15" s="55"/>
      <c r="T15" s="95"/>
      <c r="U15" s="60">
        <f>'Suivi Gaz'!O16</f>
        <v>704.90000000000009</v>
      </c>
      <c r="V15" s="58"/>
      <c r="W15" s="59">
        <f t="shared" si="8"/>
        <v>6454.7693000000008</v>
      </c>
      <c r="X15" s="65">
        <v>18340.439999999999</v>
      </c>
      <c r="Y15" s="148">
        <f t="shared" si="1"/>
        <v>4.180000000000291</v>
      </c>
      <c r="Z15" s="64">
        <f t="shared" si="6"/>
        <v>2215.4000000001543</v>
      </c>
      <c r="AA15" s="58"/>
      <c r="AB15" s="61">
        <v>19</v>
      </c>
      <c r="AC15" s="78">
        <v>10</v>
      </c>
      <c r="AD15" s="79">
        <v>7.6899999999999996E-2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29">
        <f t="shared" si="2"/>
        <v>22548.439300000155</v>
      </c>
      <c r="AK15" s="128">
        <f t="shared" si="3"/>
        <v>2254.8439300000155</v>
      </c>
      <c r="AL15" s="74"/>
    </row>
    <row r="16" spans="1:40" ht="32.25" customHeight="1" thickBot="1" x14ac:dyDescent="0.25">
      <c r="A16" s="73"/>
      <c r="B16" s="91">
        <f t="shared" si="7"/>
        <v>44203</v>
      </c>
      <c r="C16" s="92"/>
      <c r="D16" s="147">
        <f>'Suivi EAU-ELEC'!C22</f>
        <v>230</v>
      </c>
      <c r="E16" s="95"/>
      <c r="F16" s="207">
        <f t="shared" si="0"/>
        <v>2914.1</v>
      </c>
      <c r="G16" s="208"/>
      <c r="H16" s="209"/>
      <c r="I16" s="141"/>
      <c r="J16" s="93">
        <f>'Suivi EAU-ELEC'!E22</f>
        <v>3030</v>
      </c>
      <c r="K16" s="94">
        <f>'Suivi EAU-ELEC'!G22</f>
        <v>4884</v>
      </c>
      <c r="L16" s="94">
        <f>'Suivi EAU-ELEC'!I22</f>
        <v>1953</v>
      </c>
      <c r="M16" s="82">
        <f t="shared" si="4"/>
        <v>9867</v>
      </c>
      <c r="N16" s="58"/>
      <c r="O16" s="59">
        <f t="shared" si="5"/>
        <v>9768.33</v>
      </c>
      <c r="P16" s="57"/>
      <c r="Q16" s="55"/>
      <c r="R16" s="56"/>
      <c r="S16" s="55"/>
      <c r="T16" s="95"/>
      <c r="U16" s="60">
        <f>'Suivi Gaz'!O17</f>
        <v>296.8</v>
      </c>
      <c r="V16" s="58"/>
      <c r="W16" s="59">
        <f t="shared" si="8"/>
        <v>2717.7976000000003</v>
      </c>
      <c r="X16" s="65">
        <v>18344.62</v>
      </c>
      <c r="Y16" s="148">
        <f t="shared" si="1"/>
        <v>12.520000000000437</v>
      </c>
      <c r="Z16" s="64">
        <f t="shared" si="6"/>
        <v>6635.6000000002323</v>
      </c>
      <c r="AA16" s="58"/>
      <c r="AB16" s="61">
        <v>19</v>
      </c>
      <c r="AC16" s="78">
        <v>6</v>
      </c>
      <c r="AD16" s="79">
        <v>4.5499999999999999E-2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29">
        <f t="shared" si="2"/>
        <v>22035.827600000233</v>
      </c>
      <c r="AK16" s="128">
        <f t="shared" si="3"/>
        <v>3672.6379333333721</v>
      </c>
      <c r="AL16" s="74"/>
    </row>
    <row r="17" spans="1:256" ht="32.25" customHeight="1" thickBot="1" x14ac:dyDescent="0.25">
      <c r="A17" s="73"/>
      <c r="B17" s="91">
        <f t="shared" si="7"/>
        <v>44204</v>
      </c>
      <c r="C17" s="92"/>
      <c r="D17" s="147">
        <f>'Suivi EAU-ELEC'!C23</f>
        <v>300</v>
      </c>
      <c r="E17" s="95"/>
      <c r="F17" s="210">
        <f t="shared" si="0"/>
        <v>3801</v>
      </c>
      <c r="G17" s="211"/>
      <c r="H17" s="212"/>
      <c r="I17" s="142"/>
      <c r="J17" s="93">
        <f>'Suivi EAU-ELEC'!E23</f>
        <v>2795</v>
      </c>
      <c r="K17" s="94">
        <f>'Suivi EAU-ELEC'!G23</f>
        <v>4464</v>
      </c>
      <c r="L17" s="94">
        <f>'Suivi EAU-ELEC'!I23</f>
        <v>1941</v>
      </c>
      <c r="M17" s="82">
        <f t="shared" si="4"/>
        <v>9200</v>
      </c>
      <c r="N17" s="58"/>
      <c r="O17" s="59">
        <f t="shared" si="5"/>
        <v>9108</v>
      </c>
      <c r="P17" s="57"/>
      <c r="Q17" s="55"/>
      <c r="R17" s="56"/>
      <c r="S17" s="55"/>
      <c r="T17" s="95"/>
      <c r="U17" s="60">
        <f>'Suivi Gaz'!O18</f>
        <v>148.4</v>
      </c>
      <c r="V17" s="58"/>
      <c r="W17" s="59">
        <f t="shared" si="8"/>
        <v>1358.8988000000002</v>
      </c>
      <c r="X17" s="65">
        <v>18357.14</v>
      </c>
      <c r="Y17" s="148">
        <f t="shared" si="1"/>
        <v>11.040000000000873</v>
      </c>
      <c r="Z17" s="64">
        <f t="shared" si="6"/>
        <v>5851.2000000004628</v>
      </c>
      <c r="AA17" s="67"/>
      <c r="AB17" s="61">
        <v>18</v>
      </c>
      <c r="AC17" s="78">
        <v>8</v>
      </c>
      <c r="AD17" s="79">
        <v>5.9299999999999999E-2</v>
      </c>
      <c r="AE17" s="83">
        <v>26.5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20119.098800000465</v>
      </c>
      <c r="AK17" s="128">
        <f t="shared" si="3"/>
        <v>2514.8873500000582</v>
      </c>
      <c r="AL17" s="74"/>
    </row>
    <row r="18" spans="1:256" ht="32.25" customHeight="1" thickBot="1" x14ac:dyDescent="0.25">
      <c r="A18" s="73"/>
      <c r="B18" s="91">
        <f t="shared" si="7"/>
        <v>44205</v>
      </c>
      <c r="C18" s="92"/>
      <c r="D18" s="147">
        <f>'Suivi EAU-ELEC'!C24</f>
        <v>300</v>
      </c>
      <c r="E18" s="95"/>
      <c r="F18" s="213">
        <f t="shared" si="0"/>
        <v>3801</v>
      </c>
      <c r="G18" s="214"/>
      <c r="H18" s="215"/>
      <c r="I18" s="142"/>
      <c r="J18" s="93">
        <f>'Suivi EAU-ELEC'!E24</f>
        <v>3263</v>
      </c>
      <c r="K18" s="94">
        <f>'Suivi EAU-ELEC'!G24</f>
        <v>4832</v>
      </c>
      <c r="L18" s="94">
        <f>'Suivi EAU-ELEC'!I24</f>
        <v>2122</v>
      </c>
      <c r="M18" s="82">
        <f t="shared" si="4"/>
        <v>10217</v>
      </c>
      <c r="N18" s="58"/>
      <c r="O18" s="59">
        <f t="shared" si="5"/>
        <v>10114.83</v>
      </c>
      <c r="P18" s="57"/>
      <c r="Q18" s="55"/>
      <c r="R18" s="56"/>
      <c r="S18" s="55"/>
      <c r="T18" s="95"/>
      <c r="U18" s="60">
        <f>'Suivi Gaz'!O19</f>
        <v>259.7</v>
      </c>
      <c r="V18" s="58"/>
      <c r="W18" s="59">
        <f t="shared" si="8"/>
        <v>2378.0729000000001</v>
      </c>
      <c r="X18" s="65">
        <v>18368.18</v>
      </c>
      <c r="Y18" s="148">
        <f t="shared" si="1"/>
        <v>12.489999999997963</v>
      </c>
      <c r="Z18" s="64">
        <f t="shared" si="6"/>
        <v>6619.6999999989212</v>
      </c>
      <c r="AA18" s="67"/>
      <c r="AB18" s="61">
        <v>12</v>
      </c>
      <c r="AC18" s="78">
        <v>23</v>
      </c>
      <c r="AD18" s="79">
        <v>0.1729</v>
      </c>
      <c r="AE18" s="83">
        <v>26</v>
      </c>
      <c r="AF18" s="83">
        <v>26.6</v>
      </c>
      <c r="AG18" s="80" t="s">
        <v>85</v>
      </c>
      <c r="AH18" s="81" t="s">
        <v>85</v>
      </c>
      <c r="AI18" s="44"/>
      <c r="AJ18" s="129">
        <f t="shared" si="2"/>
        <v>22913.602899998921</v>
      </c>
      <c r="AK18" s="128">
        <f t="shared" si="3"/>
        <v>996.24360434777918</v>
      </c>
      <c r="AL18" s="74"/>
    </row>
    <row r="19" spans="1:256" ht="32.25" customHeight="1" thickBot="1" x14ac:dyDescent="0.25">
      <c r="A19" s="73"/>
      <c r="B19" s="91">
        <f t="shared" si="7"/>
        <v>44206</v>
      </c>
      <c r="C19" s="92"/>
      <c r="D19" s="147">
        <f>'Suivi EAU-ELEC'!C25</f>
        <v>380</v>
      </c>
      <c r="E19" s="95"/>
      <c r="F19" s="210">
        <f t="shared" si="0"/>
        <v>4814.6000000000004</v>
      </c>
      <c r="G19" s="211"/>
      <c r="H19" s="212"/>
      <c r="I19" s="142"/>
      <c r="J19" s="93">
        <f>'Suivi EAU-ELEC'!E25</f>
        <v>3259</v>
      </c>
      <c r="K19" s="94">
        <f>'Suivi EAU-ELEC'!G25</f>
        <v>5154</v>
      </c>
      <c r="L19" s="94">
        <f>'Suivi EAU-ELEC'!I25</f>
        <v>2160</v>
      </c>
      <c r="M19" s="82">
        <f t="shared" si="4"/>
        <v>10573</v>
      </c>
      <c r="N19" s="58"/>
      <c r="O19" s="59">
        <f t="shared" si="5"/>
        <v>10467.269999999999</v>
      </c>
      <c r="P19" s="57"/>
      <c r="Q19" s="55"/>
      <c r="R19" s="56"/>
      <c r="S19" s="55"/>
      <c r="T19" s="95"/>
      <c r="U19" s="60">
        <f>'Suivi Gaz'!O20</f>
        <v>964.6</v>
      </c>
      <c r="V19" s="58"/>
      <c r="W19" s="59">
        <f t="shared" si="8"/>
        <v>8832.842200000001</v>
      </c>
      <c r="X19" s="65">
        <v>18380.669999999998</v>
      </c>
      <c r="Y19" s="148">
        <f t="shared" si="1"/>
        <v>11.510000000002037</v>
      </c>
      <c r="Z19" s="64">
        <f t="shared" si="6"/>
        <v>6100.3000000010798</v>
      </c>
      <c r="AA19" s="67"/>
      <c r="AB19" s="61">
        <v>9</v>
      </c>
      <c r="AC19" s="78">
        <v>18</v>
      </c>
      <c r="AD19" s="79">
        <v>0.1343</v>
      </c>
      <c r="AE19" s="83">
        <v>26</v>
      </c>
      <c r="AF19" s="83">
        <v>26.5</v>
      </c>
      <c r="AG19" s="80" t="s">
        <v>85</v>
      </c>
      <c r="AH19" s="81" t="s">
        <v>85</v>
      </c>
      <c r="AI19" s="44"/>
      <c r="AJ19" s="129">
        <f t="shared" si="2"/>
        <v>30215.012200001082</v>
      </c>
      <c r="AK19" s="128">
        <f t="shared" si="3"/>
        <v>1678.6117888889489</v>
      </c>
      <c r="AL19" s="74"/>
    </row>
    <row r="20" spans="1:256" ht="32.25" customHeight="1" thickBot="1" x14ac:dyDescent="0.25">
      <c r="A20" s="73"/>
      <c r="B20" s="91">
        <f t="shared" si="7"/>
        <v>44207</v>
      </c>
      <c r="C20" s="92"/>
      <c r="D20" s="147">
        <f>'Suivi EAU-ELEC'!C26</f>
        <v>300</v>
      </c>
      <c r="E20" s="95"/>
      <c r="F20" s="207">
        <f t="shared" si="0"/>
        <v>3801</v>
      </c>
      <c r="G20" s="208"/>
      <c r="H20" s="209"/>
      <c r="I20" s="142"/>
      <c r="J20" s="93">
        <f>'Suivi EAU-ELEC'!E26</f>
        <v>2966</v>
      </c>
      <c r="K20" s="94">
        <f>'Suivi EAU-ELEC'!G26</f>
        <v>5012</v>
      </c>
      <c r="L20" s="94">
        <f>'Suivi EAU-ELEC'!I26</f>
        <v>1990</v>
      </c>
      <c r="M20" s="82">
        <f t="shared" si="4"/>
        <v>9968</v>
      </c>
      <c r="N20" s="58"/>
      <c r="O20" s="59">
        <f t="shared" si="5"/>
        <v>9868.32</v>
      </c>
      <c r="P20" s="57"/>
      <c r="Q20" s="55"/>
      <c r="R20" s="56"/>
      <c r="S20" s="55"/>
      <c r="T20" s="95"/>
      <c r="U20" s="60">
        <f>'Suivi Gaz'!O21</f>
        <v>630.70000000000005</v>
      </c>
      <c r="V20" s="58"/>
      <c r="W20" s="59">
        <f t="shared" si="8"/>
        <v>5775.3199000000004</v>
      </c>
      <c r="X20" s="65">
        <v>18392.18</v>
      </c>
      <c r="Y20" s="148">
        <f t="shared" si="1"/>
        <v>14.669999999998254</v>
      </c>
      <c r="Z20" s="64">
        <f t="shared" si="6"/>
        <v>7775.0999999990745</v>
      </c>
      <c r="AA20" s="67">
        <v>14</v>
      </c>
      <c r="AB20" s="61">
        <v>11</v>
      </c>
      <c r="AC20" s="78">
        <v>6</v>
      </c>
      <c r="AD20" s="79">
        <v>4.5100000000000001E-2</v>
      </c>
      <c r="AE20" s="83">
        <v>26.5</v>
      </c>
      <c r="AF20" s="83">
        <v>27.5</v>
      </c>
      <c r="AG20" s="80" t="s">
        <v>85</v>
      </c>
      <c r="AH20" s="81" t="s">
        <v>85</v>
      </c>
      <c r="AI20" s="44"/>
      <c r="AJ20" s="129">
        <f t="shared" si="2"/>
        <v>27219.739899999076</v>
      </c>
      <c r="AK20" s="128">
        <f t="shared" si="3"/>
        <v>4536.6233166665124</v>
      </c>
      <c r="AL20" s="74"/>
    </row>
    <row r="21" spans="1:256" ht="32.25" customHeight="1" thickBot="1" x14ac:dyDescent="0.25">
      <c r="A21" s="73"/>
      <c r="B21" s="91">
        <f t="shared" si="7"/>
        <v>44208</v>
      </c>
      <c r="C21" s="92"/>
      <c r="D21" s="147">
        <f>'Suivi EAU-ELEC'!C27</f>
        <v>320</v>
      </c>
      <c r="E21" s="95"/>
      <c r="F21" s="210">
        <f t="shared" si="0"/>
        <v>4054.4</v>
      </c>
      <c r="G21" s="211"/>
      <c r="H21" s="212"/>
      <c r="I21" s="142"/>
      <c r="J21" s="93">
        <f>'Suivi EAU-ELEC'!E27</f>
        <v>3179</v>
      </c>
      <c r="K21" s="94">
        <f>'Suivi EAU-ELEC'!G27</f>
        <v>5091</v>
      </c>
      <c r="L21" s="94">
        <f>'Suivi EAU-ELEC'!I27</f>
        <v>2130</v>
      </c>
      <c r="M21" s="82">
        <f t="shared" si="4"/>
        <v>10400</v>
      </c>
      <c r="N21" s="58"/>
      <c r="O21" s="59">
        <f t="shared" si="5"/>
        <v>10296</v>
      </c>
      <c r="P21" s="57"/>
      <c r="Q21" s="55"/>
      <c r="R21" s="56"/>
      <c r="S21" s="55"/>
      <c r="T21" s="95"/>
      <c r="U21" s="60">
        <f>'Suivi Gaz'!O22</f>
        <v>779.1</v>
      </c>
      <c r="V21" s="58"/>
      <c r="W21" s="59">
        <f t="shared" si="8"/>
        <v>7134.2187000000004</v>
      </c>
      <c r="X21" s="65">
        <v>18406.849999999999</v>
      </c>
      <c r="Y21" s="148">
        <f t="shared" si="1"/>
        <v>10.270000000000437</v>
      </c>
      <c r="Z21" s="64">
        <f t="shared" si="6"/>
        <v>5443.1000000002323</v>
      </c>
      <c r="AA21" s="67">
        <v>14</v>
      </c>
      <c r="AB21" s="61">
        <v>13</v>
      </c>
      <c r="AC21" s="78">
        <v>6</v>
      </c>
      <c r="AD21" s="79">
        <v>4.3799999999999999E-2</v>
      </c>
      <c r="AE21" s="83">
        <v>26</v>
      </c>
      <c r="AF21" s="83">
        <v>27</v>
      </c>
      <c r="AG21" s="80" t="s">
        <v>85</v>
      </c>
      <c r="AH21" s="81" t="s">
        <v>85</v>
      </c>
      <c r="AI21" s="44"/>
      <c r="AJ21" s="129">
        <f t="shared" si="2"/>
        <v>26927.71870000023</v>
      </c>
      <c r="AK21" s="128">
        <f>AJ21/AC21</f>
        <v>4487.9531166667048</v>
      </c>
      <c r="AL21" s="74"/>
    </row>
    <row r="22" spans="1:256" ht="32.25" customHeight="1" thickBot="1" x14ac:dyDescent="0.25">
      <c r="A22" s="73"/>
      <c r="B22" s="91">
        <f t="shared" si="7"/>
        <v>44209</v>
      </c>
      <c r="C22" s="92"/>
      <c r="D22" s="147">
        <f>'Suivi EAU-ELEC'!C28</f>
        <v>390</v>
      </c>
      <c r="E22" s="95"/>
      <c r="F22" s="213">
        <f t="shared" si="0"/>
        <v>4941.3</v>
      </c>
      <c r="G22" s="214"/>
      <c r="H22" s="215"/>
      <c r="I22" s="142"/>
      <c r="J22" s="93">
        <f>'Suivi EAU-ELEC'!E28</f>
        <v>3111</v>
      </c>
      <c r="K22" s="94">
        <f>'Suivi EAU-ELEC'!G28</f>
        <v>4849</v>
      </c>
      <c r="L22" s="94">
        <f>'Suivi EAU-ELEC'!I28</f>
        <v>2128</v>
      </c>
      <c r="M22" s="82">
        <f t="shared" si="4"/>
        <v>10088</v>
      </c>
      <c r="N22" s="58"/>
      <c r="O22" s="59">
        <f t="shared" si="5"/>
        <v>9987.119999999999</v>
      </c>
      <c r="P22" s="57"/>
      <c r="Q22" s="55"/>
      <c r="R22" s="56"/>
      <c r="S22" s="55"/>
      <c r="T22" s="95"/>
      <c r="U22" s="60">
        <f>'Suivi Gaz'!O23</f>
        <v>371</v>
      </c>
      <c r="V22" s="58"/>
      <c r="W22" s="59">
        <f t="shared" si="8"/>
        <v>3397.2469999999998</v>
      </c>
      <c r="X22" s="65">
        <v>18417.12</v>
      </c>
      <c r="Y22" s="148">
        <f t="shared" si="1"/>
        <v>16.5</v>
      </c>
      <c r="Z22" s="64">
        <f t="shared" si="6"/>
        <v>8745.0000000000018</v>
      </c>
      <c r="AA22" s="58"/>
      <c r="AB22" s="61">
        <v>14</v>
      </c>
      <c r="AC22" s="78">
        <v>7</v>
      </c>
      <c r="AD22" s="79">
        <v>5.11E-2</v>
      </c>
      <c r="AE22" s="83">
        <v>26</v>
      </c>
      <c r="AF22" s="83">
        <v>27</v>
      </c>
      <c r="AG22" s="80">
        <v>16</v>
      </c>
      <c r="AH22" s="81">
        <v>20</v>
      </c>
      <c r="AI22" s="44"/>
      <c r="AJ22" s="129">
        <f t="shared" si="2"/>
        <v>27070.667000000001</v>
      </c>
      <c r="AK22" s="128">
        <f t="shared" si="3"/>
        <v>3867.238142857143</v>
      </c>
      <c r="AL22" s="74"/>
    </row>
    <row r="23" spans="1:256" ht="32.25" customHeight="1" thickBot="1" x14ac:dyDescent="0.25">
      <c r="A23" s="73"/>
      <c r="B23" s="91">
        <f t="shared" si="7"/>
        <v>44210</v>
      </c>
      <c r="C23" s="92"/>
      <c r="D23" s="147">
        <f>'Suivi EAU-ELEC'!C29</f>
        <v>480</v>
      </c>
      <c r="E23" s="95"/>
      <c r="F23" s="210">
        <f t="shared" si="0"/>
        <v>6081.6</v>
      </c>
      <c r="G23" s="211"/>
      <c r="H23" s="212"/>
      <c r="I23" s="142"/>
      <c r="J23" s="93">
        <f>'Suivi EAU-ELEC'!E29</f>
        <v>3056</v>
      </c>
      <c r="K23" s="94">
        <f>'Suivi EAU-ELEC'!G29</f>
        <v>4731</v>
      </c>
      <c r="L23" s="94">
        <f>'Suivi EAU-ELEC'!I29</f>
        <v>1976</v>
      </c>
      <c r="M23" s="82">
        <f t="shared" si="4"/>
        <v>9763</v>
      </c>
      <c r="N23" s="58"/>
      <c r="O23" s="59">
        <f t="shared" si="5"/>
        <v>9665.369999999999</v>
      </c>
      <c r="P23" s="57"/>
      <c r="Q23" s="55"/>
      <c r="R23" s="56"/>
      <c r="S23" s="55"/>
      <c r="T23" s="95"/>
      <c r="U23" s="60">
        <f>'Suivi Gaz'!O24</f>
        <v>333.90000000000003</v>
      </c>
      <c r="V23" s="58"/>
      <c r="W23" s="59">
        <f t="shared" si="8"/>
        <v>3057.5223000000005</v>
      </c>
      <c r="X23" s="65">
        <v>18433.62</v>
      </c>
      <c r="Y23" s="148">
        <f t="shared" si="1"/>
        <v>15.940000000002328</v>
      </c>
      <c r="Z23" s="64">
        <f t="shared" si="6"/>
        <v>8448.200000001234</v>
      </c>
      <c r="AA23" s="58"/>
      <c r="AB23" s="61">
        <v>13</v>
      </c>
      <c r="AC23" s="78">
        <v>8</v>
      </c>
      <c r="AD23" s="79">
        <v>5.8799999999999998E-2</v>
      </c>
      <c r="AE23" s="83">
        <v>26</v>
      </c>
      <c r="AF23" s="83">
        <v>27</v>
      </c>
      <c r="AG23" s="80">
        <v>16</v>
      </c>
      <c r="AH23" s="81">
        <v>20</v>
      </c>
      <c r="AI23" s="44"/>
      <c r="AJ23" s="129">
        <f t="shared" si="2"/>
        <v>27252.692300001232</v>
      </c>
      <c r="AK23" s="128">
        <f t="shared" si="3"/>
        <v>3406.586537500154</v>
      </c>
      <c r="AL23" s="74"/>
    </row>
    <row r="24" spans="1:256" ht="32.25" customHeight="1" thickBot="1" x14ac:dyDescent="0.25">
      <c r="A24" s="73"/>
      <c r="B24" s="91">
        <f t="shared" si="7"/>
        <v>44211</v>
      </c>
      <c r="C24" s="92"/>
      <c r="D24" s="147">
        <f>'Suivi EAU-ELEC'!C30</f>
        <v>270</v>
      </c>
      <c r="E24" s="95"/>
      <c r="F24" s="210">
        <f t="shared" si="0"/>
        <v>3420.9</v>
      </c>
      <c r="G24" s="211"/>
      <c r="H24" s="212"/>
      <c r="I24" s="142"/>
      <c r="J24" s="93">
        <f>'Suivi EAU-ELEC'!E30</f>
        <v>3006</v>
      </c>
      <c r="K24" s="94">
        <f>'Suivi EAU-ELEC'!G30</f>
        <v>4862</v>
      </c>
      <c r="L24" s="94">
        <f>'Suivi EAU-ELEC'!I30</f>
        <v>2124</v>
      </c>
      <c r="M24" s="82">
        <f t="shared" si="4"/>
        <v>9992</v>
      </c>
      <c r="N24" s="58"/>
      <c r="O24" s="59">
        <f t="shared" si="5"/>
        <v>9892.08</v>
      </c>
      <c r="P24" s="57"/>
      <c r="Q24" s="55"/>
      <c r="R24" s="56"/>
      <c r="S24" s="55"/>
      <c r="T24" s="95"/>
      <c r="U24" s="60">
        <f>'Suivi Gaz'!O25</f>
        <v>927.5</v>
      </c>
      <c r="V24" s="58"/>
      <c r="W24" s="59">
        <f t="shared" si="8"/>
        <v>8493.1175000000003</v>
      </c>
      <c r="X24" s="65">
        <v>18449.560000000001</v>
      </c>
      <c r="Y24" s="148">
        <f t="shared" si="1"/>
        <v>15.159999999999854</v>
      </c>
      <c r="Z24" s="64">
        <f t="shared" si="6"/>
        <v>8034.7999999999229</v>
      </c>
      <c r="AA24" s="58"/>
      <c r="AB24" s="61">
        <v>14</v>
      </c>
      <c r="AC24" s="78">
        <v>12</v>
      </c>
      <c r="AD24" s="79">
        <v>8.8200000000000001E-2</v>
      </c>
      <c r="AE24" s="83">
        <v>26</v>
      </c>
      <c r="AF24" s="83">
        <v>27</v>
      </c>
      <c r="AG24" s="80">
        <v>16</v>
      </c>
      <c r="AH24" s="81">
        <v>20</v>
      </c>
      <c r="AJ24" s="129">
        <f>(F24+O24+W24+Z24)</f>
        <v>29840.897499999923</v>
      </c>
      <c r="AK24" s="128">
        <f t="shared" si="3"/>
        <v>2486.741458333327</v>
      </c>
      <c r="AL24" s="74"/>
    </row>
    <row r="25" spans="1:256" ht="32.25" customHeight="1" thickBot="1" x14ac:dyDescent="0.25">
      <c r="A25" s="73"/>
      <c r="B25" s="91">
        <f t="shared" si="7"/>
        <v>44212</v>
      </c>
      <c r="C25" s="92"/>
      <c r="D25" s="147">
        <f>'Suivi EAU-ELEC'!C31</f>
        <v>600</v>
      </c>
      <c r="E25" s="95"/>
      <c r="F25" s="210">
        <f t="shared" si="0"/>
        <v>7602</v>
      </c>
      <c r="G25" s="211"/>
      <c r="H25" s="212"/>
      <c r="I25" s="142"/>
      <c r="J25" s="93">
        <f>'Suivi EAU-ELEC'!E31</f>
        <v>3014</v>
      </c>
      <c r="K25" s="94">
        <f>'Suivi EAU-ELEC'!G31</f>
        <v>4591</v>
      </c>
      <c r="L25" s="94">
        <f>'Suivi EAU-ELEC'!I31</f>
        <v>2018</v>
      </c>
      <c r="M25" s="82">
        <f t="shared" si="4"/>
        <v>9623</v>
      </c>
      <c r="N25" s="58"/>
      <c r="O25" s="59">
        <f t="shared" si="5"/>
        <v>9526.77</v>
      </c>
      <c r="P25" s="57"/>
      <c r="Q25" s="55"/>
      <c r="R25" s="56"/>
      <c r="S25" s="55"/>
      <c r="T25" s="95"/>
      <c r="U25" s="60">
        <f>'Suivi Gaz'!O26</f>
        <v>371</v>
      </c>
      <c r="V25" s="58"/>
      <c r="W25" s="59">
        <f t="shared" si="8"/>
        <v>3397.2469999999998</v>
      </c>
      <c r="X25" s="65">
        <v>18464.72</v>
      </c>
      <c r="Y25" s="148">
        <f t="shared" si="1"/>
        <v>15.529999999998836</v>
      </c>
      <c r="Z25" s="64">
        <f t="shared" si="6"/>
        <v>8230.899999999383</v>
      </c>
      <c r="AA25" s="58"/>
      <c r="AB25" s="61">
        <v>12</v>
      </c>
      <c r="AC25" s="78">
        <v>12</v>
      </c>
      <c r="AD25" s="79">
        <v>8.8200000000000001E-2</v>
      </c>
      <c r="AE25" s="83">
        <v>26</v>
      </c>
      <c r="AF25" s="83">
        <v>27</v>
      </c>
      <c r="AG25" s="80">
        <v>18</v>
      </c>
      <c r="AH25" s="81">
        <v>20</v>
      </c>
      <c r="AI25" s="44"/>
      <c r="AJ25" s="129">
        <f>(F25+O25+W25+Z25)</f>
        <v>28756.916999999383</v>
      </c>
      <c r="AK25" s="128">
        <f t="shared" si="3"/>
        <v>2396.4097499999484</v>
      </c>
      <c r="AL25" s="74"/>
    </row>
    <row r="26" spans="1:256" ht="32.25" customHeight="1" thickBot="1" x14ac:dyDescent="0.25">
      <c r="A26" s="73"/>
      <c r="B26" s="91">
        <f t="shared" si="7"/>
        <v>44213</v>
      </c>
      <c r="C26" s="92"/>
      <c r="D26" s="147">
        <f>'Suivi EAU-ELEC'!C32</f>
        <v>360</v>
      </c>
      <c r="E26" s="150"/>
      <c r="F26" s="210">
        <f t="shared" si="0"/>
        <v>4561.2</v>
      </c>
      <c r="G26" s="211"/>
      <c r="H26" s="212"/>
      <c r="I26" s="142"/>
      <c r="J26" s="93">
        <f>'Suivi EAU-ELEC'!E32</f>
        <v>3013</v>
      </c>
      <c r="K26" s="94">
        <f>'Suivi EAU-ELEC'!G32</f>
        <v>4512</v>
      </c>
      <c r="L26" s="94">
        <f>'Suivi EAU-ELEC'!I32</f>
        <v>1977</v>
      </c>
      <c r="M26" s="82">
        <f t="shared" si="4"/>
        <v>9502</v>
      </c>
      <c r="N26" s="58"/>
      <c r="O26" s="59">
        <f t="shared" si="5"/>
        <v>9406.98</v>
      </c>
      <c r="P26" s="57"/>
      <c r="Q26" s="55"/>
      <c r="R26" s="56"/>
      <c r="S26" s="55"/>
      <c r="T26" s="95"/>
      <c r="U26" s="60">
        <f>'Suivi Gaz'!O27</f>
        <v>445.20000000000005</v>
      </c>
      <c r="V26" s="84"/>
      <c r="W26" s="59">
        <f t="shared" si="8"/>
        <v>4076.6964000000003</v>
      </c>
      <c r="X26" s="65">
        <v>18480.25</v>
      </c>
      <c r="Y26" s="148">
        <f t="shared" si="1"/>
        <v>15.759999999998399</v>
      </c>
      <c r="Z26" s="64">
        <f t="shared" si="6"/>
        <v>8352.7999999991534</v>
      </c>
      <c r="AA26" s="84"/>
      <c r="AB26" s="61">
        <v>12</v>
      </c>
      <c r="AC26" s="78">
        <v>10</v>
      </c>
      <c r="AD26" s="79">
        <v>7.2999999999999995E-2</v>
      </c>
      <c r="AE26" s="83">
        <v>25.5</v>
      </c>
      <c r="AF26" s="83">
        <v>26.5</v>
      </c>
      <c r="AG26" s="80">
        <v>16</v>
      </c>
      <c r="AH26" s="81">
        <v>20</v>
      </c>
      <c r="AI26" s="44"/>
      <c r="AJ26" s="129">
        <f>(F26+O26+W26+Z26)</f>
        <v>26397.676399999153</v>
      </c>
      <c r="AK26" s="128">
        <f t="shared" si="3"/>
        <v>2639.7676399999154</v>
      </c>
      <c r="AL26" s="74"/>
    </row>
    <row r="27" spans="1:256" ht="32.25" customHeight="1" thickBot="1" x14ac:dyDescent="0.25">
      <c r="A27" s="73"/>
      <c r="B27" s="91">
        <f t="shared" si="7"/>
        <v>44214</v>
      </c>
      <c r="C27" s="92"/>
      <c r="D27" s="147">
        <f>'Suivi EAU-ELEC'!C33</f>
        <v>340</v>
      </c>
      <c r="E27" s="150"/>
      <c r="F27" s="210">
        <f t="shared" si="0"/>
        <v>4307.8</v>
      </c>
      <c r="G27" s="211"/>
      <c r="H27" s="212"/>
      <c r="I27" s="142"/>
      <c r="J27" s="93">
        <f>'Suivi EAU-ELEC'!E33</f>
        <v>3607</v>
      </c>
      <c r="K27" s="94">
        <f>'Suivi EAU-ELEC'!G33</f>
        <v>4663</v>
      </c>
      <c r="L27" s="94">
        <f>'Suivi EAU-ELEC'!I33</f>
        <v>2081</v>
      </c>
      <c r="M27" s="82">
        <f t="shared" si="4"/>
        <v>10351</v>
      </c>
      <c r="N27" s="58"/>
      <c r="O27" s="59">
        <f t="shared" si="5"/>
        <v>10247.49</v>
      </c>
      <c r="P27" s="57"/>
      <c r="Q27" s="55"/>
      <c r="R27" s="56"/>
      <c r="S27" s="55"/>
      <c r="T27" s="95"/>
      <c r="U27" s="60">
        <f>'Suivi Gaz'!O28</f>
        <v>630.70000000000005</v>
      </c>
      <c r="V27" s="84"/>
      <c r="W27" s="59">
        <f t="shared" si="8"/>
        <v>5775.3199000000004</v>
      </c>
      <c r="X27" s="65">
        <v>18496.009999999998</v>
      </c>
      <c r="Y27" s="148">
        <f t="shared" si="1"/>
        <v>7.4200000000018917</v>
      </c>
      <c r="Z27" s="64">
        <f t="shared" si="6"/>
        <v>3932.6000000010026</v>
      </c>
      <c r="AA27" s="84"/>
      <c r="AB27" s="61">
        <v>17</v>
      </c>
      <c r="AC27" s="78">
        <v>11</v>
      </c>
      <c r="AD27" s="79">
        <v>8.0299999999999996E-2</v>
      </c>
      <c r="AE27" s="83">
        <v>26</v>
      </c>
      <c r="AF27" s="83">
        <v>26.5</v>
      </c>
      <c r="AG27" s="80" t="s">
        <v>85</v>
      </c>
      <c r="AH27" s="81" t="s">
        <v>85</v>
      </c>
      <c r="AI27" s="44"/>
      <c r="AJ27" s="129">
        <f t="shared" si="2"/>
        <v>24263.209900001006</v>
      </c>
      <c r="AK27" s="128">
        <f t="shared" si="3"/>
        <v>2205.7463545455462</v>
      </c>
      <c r="AL27" s="74"/>
    </row>
    <row r="28" spans="1:256" ht="32.25" customHeight="1" thickBot="1" x14ac:dyDescent="0.25">
      <c r="A28" s="73"/>
      <c r="B28" s="91">
        <f t="shared" si="7"/>
        <v>44215</v>
      </c>
      <c r="C28" s="92"/>
      <c r="D28" s="147">
        <f>'Suivi EAU-ELEC'!C34</f>
        <v>320</v>
      </c>
      <c r="E28" s="150"/>
      <c r="F28" s="207">
        <f t="shared" si="0"/>
        <v>4054.4</v>
      </c>
      <c r="G28" s="208"/>
      <c r="H28" s="209"/>
      <c r="I28" s="143"/>
      <c r="J28" s="93">
        <f>'Suivi EAU-ELEC'!E34</f>
        <v>3218</v>
      </c>
      <c r="K28" s="94">
        <f>'Suivi EAU-ELEC'!G34</f>
        <v>4982</v>
      </c>
      <c r="L28" s="94">
        <f>'Suivi EAU-ELEC'!I34</f>
        <v>2087</v>
      </c>
      <c r="M28" s="82">
        <f t="shared" si="4"/>
        <v>10287</v>
      </c>
      <c r="N28" s="58"/>
      <c r="O28" s="59">
        <f t="shared" si="5"/>
        <v>10184.130000000001</v>
      </c>
      <c r="P28" s="57"/>
      <c r="Q28" s="55"/>
      <c r="R28" s="56"/>
      <c r="S28" s="55"/>
      <c r="T28" s="95"/>
      <c r="U28" s="60">
        <f>'Suivi Gaz'!O29</f>
        <v>593.6</v>
      </c>
      <c r="V28" s="84"/>
      <c r="W28" s="59">
        <f t="shared" si="8"/>
        <v>5435.5952000000007</v>
      </c>
      <c r="X28" s="65">
        <v>18503.43</v>
      </c>
      <c r="Y28" s="148">
        <f t="shared" si="1"/>
        <v>13.529999999998836</v>
      </c>
      <c r="Z28" s="64">
        <f t="shared" si="6"/>
        <v>7170.899999999383</v>
      </c>
      <c r="AA28" s="84"/>
      <c r="AB28" s="61">
        <v>17</v>
      </c>
      <c r="AC28" s="78">
        <v>12</v>
      </c>
      <c r="AD28" s="79">
        <v>8.7599999999999997E-2</v>
      </c>
      <c r="AE28" s="83">
        <v>27</v>
      </c>
      <c r="AF28" s="83">
        <v>27.5</v>
      </c>
      <c r="AG28" s="80" t="s">
        <v>85</v>
      </c>
      <c r="AH28" s="81" t="s">
        <v>85</v>
      </c>
      <c r="AI28" s="44"/>
      <c r="AJ28" s="129">
        <f>(F28+O28+W28+Z28)</f>
        <v>26845.025199999385</v>
      </c>
      <c r="AK28" s="128">
        <f t="shared" si="3"/>
        <v>2237.0854333332823</v>
      </c>
      <c r="AL28" s="74"/>
    </row>
    <row r="29" spans="1:256" ht="32.25" customHeight="1" thickBot="1" x14ac:dyDescent="0.25">
      <c r="A29" s="73"/>
      <c r="B29" s="91">
        <f t="shared" si="7"/>
        <v>44216</v>
      </c>
      <c r="C29" s="92"/>
      <c r="D29" s="147">
        <f>'Suivi EAU-ELEC'!C35</f>
        <v>395</v>
      </c>
      <c r="E29" s="150"/>
      <c r="F29" s="210">
        <f t="shared" si="0"/>
        <v>5004.6499999999996</v>
      </c>
      <c r="G29" s="211"/>
      <c r="H29" s="212"/>
      <c r="I29" s="143"/>
      <c r="J29" s="93">
        <f>'Suivi EAU-ELEC'!E35</f>
        <v>3559</v>
      </c>
      <c r="K29" s="94">
        <f>'Suivi EAU-ELEC'!G35</f>
        <v>5280</v>
      </c>
      <c r="L29" s="94">
        <f>'Suivi EAU-ELEC'!I35</f>
        <v>2233</v>
      </c>
      <c r="M29" s="82">
        <f t="shared" si="4"/>
        <v>11072</v>
      </c>
      <c r="N29" s="58"/>
      <c r="O29" s="59">
        <f t="shared" si="5"/>
        <v>10961.28</v>
      </c>
      <c r="P29" s="57"/>
      <c r="Q29" s="55"/>
      <c r="R29" s="56"/>
      <c r="S29" s="55"/>
      <c r="T29" s="95"/>
      <c r="U29" s="60">
        <f>'Suivi Gaz'!O30</f>
        <v>1187.2</v>
      </c>
      <c r="V29" s="84"/>
      <c r="W29" s="59">
        <f t="shared" si="8"/>
        <v>10871.190400000001</v>
      </c>
      <c r="X29" s="65">
        <v>18516.96</v>
      </c>
      <c r="Y29" s="148">
        <f t="shared" si="1"/>
        <v>12.280000000002474</v>
      </c>
      <c r="Z29" s="64">
        <f t="shared" si="6"/>
        <v>6508.400000001312</v>
      </c>
      <c r="AA29" s="84"/>
      <c r="AB29" s="61">
        <v>17</v>
      </c>
      <c r="AC29" s="78">
        <v>32</v>
      </c>
      <c r="AD29" s="79">
        <v>0.2336</v>
      </c>
      <c r="AE29" s="83">
        <v>26.5</v>
      </c>
      <c r="AF29" s="83">
        <v>27</v>
      </c>
      <c r="AG29" s="80" t="s">
        <v>85</v>
      </c>
      <c r="AH29" s="81" t="s">
        <v>85</v>
      </c>
      <c r="AI29" s="44"/>
      <c r="AJ29" s="129">
        <f t="shared" si="2"/>
        <v>33345.520400001311</v>
      </c>
      <c r="AK29" s="128">
        <f t="shared" si="3"/>
        <v>1042.047512500041</v>
      </c>
      <c r="AL29" s="74"/>
    </row>
    <row r="30" spans="1:256" s="66" customFormat="1" ht="32.25" customHeight="1" thickBot="1" x14ac:dyDescent="0.25">
      <c r="A30" s="96"/>
      <c r="B30" s="91">
        <f t="shared" si="7"/>
        <v>44217</v>
      </c>
      <c r="C30" s="97"/>
      <c r="D30" s="147">
        <f>'Suivi EAU-ELEC'!C36</f>
        <v>384</v>
      </c>
      <c r="E30" s="150"/>
      <c r="F30" s="207">
        <f t="shared" si="0"/>
        <v>4865.28</v>
      </c>
      <c r="G30" s="208"/>
      <c r="H30" s="209"/>
      <c r="I30" s="143"/>
      <c r="J30" s="93">
        <f>'Suivi EAU-ELEC'!E36</f>
        <v>3535</v>
      </c>
      <c r="K30" s="94">
        <f>'Suivi EAU-ELEC'!G36</f>
        <v>5187</v>
      </c>
      <c r="L30" s="94">
        <f>'Suivi EAU-ELEC'!I36</f>
        <v>2216</v>
      </c>
      <c r="M30" s="82">
        <f t="shared" si="4"/>
        <v>10938</v>
      </c>
      <c r="N30" s="58"/>
      <c r="O30" s="59">
        <f t="shared" si="5"/>
        <v>10828.62</v>
      </c>
      <c r="P30" s="57"/>
      <c r="Q30" s="55"/>
      <c r="R30" s="56"/>
      <c r="S30" s="55"/>
      <c r="T30" s="95"/>
      <c r="U30" s="60">
        <f>'Suivi Gaz'!O31</f>
        <v>1001.7</v>
      </c>
      <c r="V30" s="84"/>
      <c r="W30" s="59">
        <f t="shared" si="8"/>
        <v>9172.5668999999998</v>
      </c>
      <c r="X30" s="65">
        <v>18529.240000000002</v>
      </c>
      <c r="Y30" s="148">
        <f t="shared" si="1"/>
        <v>12.259999999998399</v>
      </c>
      <c r="Z30" s="64">
        <f t="shared" si="6"/>
        <v>6497.7999999991516</v>
      </c>
      <c r="AA30" s="84"/>
      <c r="AB30" s="61">
        <v>18</v>
      </c>
      <c r="AC30" s="78">
        <v>45</v>
      </c>
      <c r="AD30" s="79">
        <v>0.33829999999999999</v>
      </c>
      <c r="AE30" s="83">
        <v>26</v>
      </c>
      <c r="AF30" s="83">
        <v>27</v>
      </c>
      <c r="AG30" s="80" t="s">
        <v>85</v>
      </c>
      <c r="AH30" s="81" t="s">
        <v>85</v>
      </c>
      <c r="AI30" s="44"/>
      <c r="AJ30" s="129">
        <f t="shared" si="2"/>
        <v>31364.266899999151</v>
      </c>
      <c r="AK30" s="128">
        <f t="shared" si="3"/>
        <v>696.98370888887007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7"/>
        <v>44218</v>
      </c>
      <c r="C31" s="92"/>
      <c r="D31" s="147">
        <f>'Suivi EAU-ELEC'!C37</f>
        <v>338</v>
      </c>
      <c r="E31" s="95"/>
      <c r="F31" s="210">
        <f t="shared" si="0"/>
        <v>4282.46</v>
      </c>
      <c r="G31" s="211"/>
      <c r="H31" s="212"/>
      <c r="I31" s="144"/>
      <c r="J31" s="93">
        <f>'Suivi EAU-ELEC'!E37</f>
        <v>3130</v>
      </c>
      <c r="K31" s="94">
        <f>'Suivi EAU-ELEC'!G37</f>
        <v>5296</v>
      </c>
      <c r="L31" s="94">
        <f>'Suivi EAU-ELEC'!I37</f>
        <v>2291</v>
      </c>
      <c r="M31" s="82">
        <f t="shared" si="4"/>
        <v>10717</v>
      </c>
      <c r="N31" s="58"/>
      <c r="O31" s="59">
        <f t="shared" si="5"/>
        <v>10609.83</v>
      </c>
      <c r="P31" s="57"/>
      <c r="Q31" s="55"/>
      <c r="R31" s="56"/>
      <c r="S31" s="55"/>
      <c r="T31" s="95"/>
      <c r="U31" s="60">
        <f>'Suivi Gaz'!O32</f>
        <v>630.70000000000005</v>
      </c>
      <c r="V31" s="58"/>
      <c r="W31" s="59">
        <f t="shared" si="8"/>
        <v>5775.3199000000004</v>
      </c>
      <c r="X31" s="65">
        <v>18541.5</v>
      </c>
      <c r="Y31" s="148">
        <f t="shared" si="1"/>
        <v>21.75</v>
      </c>
      <c r="Z31" s="64">
        <f t="shared" si="6"/>
        <v>11527.5</v>
      </c>
      <c r="AA31" s="58"/>
      <c r="AB31" s="61">
        <v>19</v>
      </c>
      <c r="AC31" s="78">
        <v>49</v>
      </c>
      <c r="AD31" s="79">
        <v>0.36299999999999999</v>
      </c>
      <c r="AE31" s="83">
        <v>26.5</v>
      </c>
      <c r="AF31" s="83">
        <v>27</v>
      </c>
      <c r="AG31" s="80" t="s">
        <v>85</v>
      </c>
      <c r="AH31" s="81" t="s">
        <v>85</v>
      </c>
      <c r="AI31" s="44"/>
      <c r="AJ31" s="129">
        <f t="shared" si="2"/>
        <v>32195.109900000003</v>
      </c>
      <c r="AK31" s="128">
        <f t="shared" si="3"/>
        <v>657.04305918367356</v>
      </c>
      <c r="AL31" s="74"/>
    </row>
    <row r="32" spans="1:256" ht="32.25" customHeight="1" thickBot="1" x14ac:dyDescent="0.25">
      <c r="A32" s="73"/>
      <c r="B32" s="91">
        <f t="shared" si="7"/>
        <v>44219</v>
      </c>
      <c r="C32" s="92"/>
      <c r="D32" s="147">
        <f>'Suivi EAU-ELEC'!C38</f>
        <v>293</v>
      </c>
      <c r="E32" s="95"/>
      <c r="F32" s="210">
        <f t="shared" si="0"/>
        <v>3712.31</v>
      </c>
      <c r="G32" s="211"/>
      <c r="H32" s="212"/>
      <c r="I32" s="141"/>
      <c r="J32" s="93">
        <f>'Suivi EAU-ELEC'!E38</f>
        <v>4036</v>
      </c>
      <c r="K32" s="94">
        <f>'Suivi EAU-ELEC'!G38</f>
        <v>5556</v>
      </c>
      <c r="L32" s="94">
        <f>'Suivi EAU-ELEC'!I38</f>
        <v>2511</v>
      </c>
      <c r="M32" s="82">
        <f t="shared" si="4"/>
        <v>12103</v>
      </c>
      <c r="N32" s="58"/>
      <c r="O32" s="59">
        <f t="shared" si="5"/>
        <v>11981.97</v>
      </c>
      <c r="P32" s="57"/>
      <c r="Q32" s="55"/>
      <c r="R32" s="56"/>
      <c r="S32" s="55"/>
      <c r="T32" s="95"/>
      <c r="U32" s="60">
        <f>'Suivi Gaz'!O33</f>
        <v>593.6</v>
      </c>
      <c r="V32" s="58"/>
      <c r="W32" s="59">
        <f t="shared" si="8"/>
        <v>5435.5952000000007</v>
      </c>
      <c r="X32" s="65">
        <v>18563.25</v>
      </c>
      <c r="Y32" s="148">
        <f t="shared" si="1"/>
        <v>16.849999999998545</v>
      </c>
      <c r="Z32" s="64">
        <f t="shared" si="6"/>
        <v>8930.4999999992287</v>
      </c>
      <c r="AA32" s="58"/>
      <c r="AB32" s="61">
        <v>17</v>
      </c>
      <c r="AC32" s="78">
        <v>42</v>
      </c>
      <c r="AD32" s="79">
        <v>0.3281</v>
      </c>
      <c r="AE32" s="83">
        <v>26</v>
      </c>
      <c r="AF32" s="83">
        <v>27</v>
      </c>
      <c r="AG32" s="80" t="s">
        <v>85</v>
      </c>
      <c r="AH32" s="81" t="s">
        <v>85</v>
      </c>
      <c r="AI32" s="44"/>
      <c r="AJ32" s="129">
        <f t="shared" si="2"/>
        <v>30060.375199999227</v>
      </c>
      <c r="AK32" s="128">
        <f t="shared" si="3"/>
        <v>715.72321904760065</v>
      </c>
      <c r="AL32" s="74"/>
    </row>
    <row r="33" spans="1:38" ht="32.25" customHeight="1" thickBot="1" x14ac:dyDescent="0.25">
      <c r="A33" s="73"/>
      <c r="B33" s="91">
        <f t="shared" si="7"/>
        <v>44220</v>
      </c>
      <c r="C33" s="92"/>
      <c r="D33" s="147">
        <f>'Suivi EAU-ELEC'!C39</f>
        <v>221</v>
      </c>
      <c r="E33" s="95"/>
      <c r="F33" s="210">
        <f t="shared" si="0"/>
        <v>2800.07</v>
      </c>
      <c r="G33" s="211"/>
      <c r="H33" s="212"/>
      <c r="I33" s="142"/>
      <c r="J33" s="93">
        <f>'Suivi EAU-ELEC'!E39</f>
        <v>3244</v>
      </c>
      <c r="K33" s="94">
        <f>'Suivi EAU-ELEC'!G39</f>
        <v>5420</v>
      </c>
      <c r="L33" s="94">
        <f>'Suivi EAU-ELEC'!I39</f>
        <v>2251</v>
      </c>
      <c r="M33" s="82">
        <f t="shared" si="4"/>
        <v>10915</v>
      </c>
      <c r="N33" s="58"/>
      <c r="O33" s="59">
        <f t="shared" si="5"/>
        <v>10805.85</v>
      </c>
      <c r="P33" s="57"/>
      <c r="Q33" s="55"/>
      <c r="R33" s="56"/>
      <c r="S33" s="55"/>
      <c r="T33" s="95"/>
      <c r="U33" s="60">
        <f>'Suivi Gaz'!O34</f>
        <v>408.1</v>
      </c>
      <c r="V33" s="58"/>
      <c r="W33" s="59">
        <f t="shared" si="8"/>
        <v>3736.9717000000001</v>
      </c>
      <c r="X33" s="65">
        <v>18580.099999999999</v>
      </c>
      <c r="Y33" s="148">
        <f t="shared" si="1"/>
        <v>15.270000000000437</v>
      </c>
      <c r="Z33" s="64">
        <f t="shared" si="6"/>
        <v>8093.1000000002323</v>
      </c>
      <c r="AA33" s="58"/>
      <c r="AB33" s="61">
        <v>18</v>
      </c>
      <c r="AC33" s="78">
        <v>17</v>
      </c>
      <c r="AD33" s="79">
        <v>0.1288</v>
      </c>
      <c r="AE33" s="83">
        <v>27</v>
      </c>
      <c r="AF33" s="83">
        <v>28</v>
      </c>
      <c r="AG33" s="80" t="s">
        <v>85</v>
      </c>
      <c r="AH33" s="81" t="s">
        <v>85</v>
      </c>
      <c r="AI33" s="44"/>
      <c r="AJ33" s="129">
        <f t="shared" si="2"/>
        <v>25435.991700000232</v>
      </c>
      <c r="AK33" s="128">
        <f t="shared" si="3"/>
        <v>1496.2348058823666</v>
      </c>
      <c r="AL33" s="74"/>
    </row>
    <row r="34" spans="1:38" ht="32.25" customHeight="1" thickBot="1" x14ac:dyDescent="0.25">
      <c r="A34" s="98"/>
      <c r="B34" s="91">
        <f t="shared" si="7"/>
        <v>44221</v>
      </c>
      <c r="C34" s="92"/>
      <c r="D34" s="147">
        <f>'Suivi EAU-ELEC'!C40</f>
        <v>406</v>
      </c>
      <c r="E34" s="95"/>
      <c r="F34" s="210">
        <f t="shared" si="0"/>
        <v>5144.0199999999995</v>
      </c>
      <c r="G34" s="211"/>
      <c r="H34" s="212"/>
      <c r="I34" s="142"/>
      <c r="J34" s="93">
        <f>'Suivi EAU-ELEC'!E40</f>
        <v>3048</v>
      </c>
      <c r="K34" s="94">
        <f>'Suivi EAU-ELEC'!G40</f>
        <v>4845</v>
      </c>
      <c r="L34" s="94">
        <f>'Suivi EAU-ELEC'!I40</f>
        <v>2102</v>
      </c>
      <c r="M34" s="82">
        <f t="shared" si="4"/>
        <v>9995</v>
      </c>
      <c r="N34" s="58"/>
      <c r="O34" s="59">
        <f t="shared" si="5"/>
        <v>9895.0499999999993</v>
      </c>
      <c r="P34" s="57"/>
      <c r="Q34" s="55"/>
      <c r="R34" s="56"/>
      <c r="S34" s="55"/>
      <c r="T34" s="95"/>
      <c r="U34" s="60">
        <f>'Suivi Gaz'!O35</f>
        <v>259.7</v>
      </c>
      <c r="V34" s="58"/>
      <c r="W34" s="59">
        <f t="shared" si="8"/>
        <v>2378.0729000000001</v>
      </c>
      <c r="X34" s="65">
        <v>18595.37</v>
      </c>
      <c r="Y34" s="148">
        <f t="shared" si="1"/>
        <v>15.819999999999709</v>
      </c>
      <c r="Z34" s="64">
        <f t="shared" si="6"/>
        <v>8384.5999999998457</v>
      </c>
      <c r="AA34" s="58"/>
      <c r="AB34" s="61">
        <v>18</v>
      </c>
      <c r="AC34" s="78">
        <v>15</v>
      </c>
      <c r="AD34" s="79">
        <v>0.11360000000000001</v>
      </c>
      <c r="AE34" s="83">
        <v>27</v>
      </c>
      <c r="AF34" s="83">
        <v>27.5</v>
      </c>
      <c r="AG34" s="80" t="s">
        <v>85</v>
      </c>
      <c r="AH34" s="81" t="s">
        <v>85</v>
      </c>
      <c r="AI34" s="44"/>
      <c r="AJ34" s="129">
        <f t="shared" si="2"/>
        <v>25801.742899999845</v>
      </c>
      <c r="AK34" s="128">
        <f t="shared" si="3"/>
        <v>1720.1161933333231</v>
      </c>
      <c r="AL34" s="74"/>
    </row>
    <row r="35" spans="1:38" ht="32.25" customHeight="1" thickBot="1" x14ac:dyDescent="0.25">
      <c r="A35" s="73"/>
      <c r="B35" s="91">
        <f t="shared" si="7"/>
        <v>44222</v>
      </c>
      <c r="C35" s="92"/>
      <c r="D35" s="147">
        <f>'Suivi EAU-ELEC'!C41</f>
        <v>295</v>
      </c>
      <c r="E35" s="95"/>
      <c r="F35" s="213">
        <f t="shared" si="0"/>
        <v>3737.65</v>
      </c>
      <c r="G35" s="214"/>
      <c r="H35" s="215"/>
      <c r="I35" s="142"/>
      <c r="J35" s="93">
        <f>'Suivi EAU-ELEC'!E41</f>
        <v>3534</v>
      </c>
      <c r="K35" s="94">
        <f>'Suivi EAU-ELEC'!G41</f>
        <v>4778</v>
      </c>
      <c r="L35" s="94">
        <f>'Suivi EAU-ELEC'!I41</f>
        <v>2076</v>
      </c>
      <c r="M35" s="82">
        <f t="shared" si="4"/>
        <v>10388</v>
      </c>
      <c r="N35" s="58"/>
      <c r="O35" s="59">
        <f t="shared" si="5"/>
        <v>10284.120000000001</v>
      </c>
      <c r="P35" s="57"/>
      <c r="Q35" s="55"/>
      <c r="R35" s="56"/>
      <c r="S35" s="55"/>
      <c r="T35" s="95"/>
      <c r="U35" s="60">
        <f>'Suivi Gaz'!O36</f>
        <v>148.4</v>
      </c>
      <c r="V35" s="58"/>
      <c r="W35" s="59">
        <f t="shared" si="8"/>
        <v>1358.8988000000002</v>
      </c>
      <c r="X35" s="65">
        <v>18611.189999999999</v>
      </c>
      <c r="Y35" s="148">
        <f t="shared" si="1"/>
        <v>11.490000000001601</v>
      </c>
      <c r="Z35" s="64">
        <f t="shared" si="6"/>
        <v>6089.7000000008484</v>
      </c>
      <c r="AA35" s="58"/>
      <c r="AB35" s="61">
        <v>19</v>
      </c>
      <c r="AC35" s="78">
        <v>16</v>
      </c>
      <c r="AD35" s="79">
        <v>0.127</v>
      </c>
      <c r="AE35" s="83">
        <v>26.5</v>
      </c>
      <c r="AF35" s="83">
        <v>27.5</v>
      </c>
      <c r="AG35" s="80" t="s">
        <v>85</v>
      </c>
      <c r="AH35" s="81" t="s">
        <v>85</v>
      </c>
      <c r="AI35" s="44"/>
      <c r="AJ35" s="129">
        <f t="shared" si="2"/>
        <v>21470.368800000848</v>
      </c>
      <c r="AK35" s="128">
        <f t="shared" si="3"/>
        <v>1341.898050000053</v>
      </c>
      <c r="AL35" s="74"/>
    </row>
    <row r="36" spans="1:38" ht="32.25" customHeight="1" thickBot="1" x14ac:dyDescent="0.25">
      <c r="A36" s="73"/>
      <c r="B36" s="91">
        <f t="shared" si="7"/>
        <v>44223</v>
      </c>
      <c r="C36" s="92"/>
      <c r="D36" s="147">
        <f>'Suivi EAU-ELEC'!C42</f>
        <v>284</v>
      </c>
      <c r="E36" s="95"/>
      <c r="F36" s="220">
        <f t="shared" si="0"/>
        <v>3598.28</v>
      </c>
      <c r="G36" s="221"/>
      <c r="H36" s="222"/>
      <c r="I36" s="142"/>
      <c r="J36" s="93">
        <f>'Suivi EAU-ELEC'!E42</f>
        <v>3274</v>
      </c>
      <c r="K36" s="94">
        <f>'Suivi EAU-ELEC'!G42</f>
        <v>5706</v>
      </c>
      <c r="L36" s="94">
        <f>'Suivi EAU-ELEC'!I42</f>
        <v>2466</v>
      </c>
      <c r="M36" s="82">
        <f t="shared" si="4"/>
        <v>11446</v>
      </c>
      <c r="N36" s="58"/>
      <c r="O36" s="59">
        <f t="shared" si="5"/>
        <v>11331.539999999999</v>
      </c>
      <c r="P36" s="57"/>
      <c r="Q36" s="55"/>
      <c r="R36" s="56"/>
      <c r="S36" s="55"/>
      <c r="T36" s="95"/>
      <c r="U36" s="60">
        <f>'Suivi Gaz'!O37</f>
        <v>296.8</v>
      </c>
      <c r="V36" s="58"/>
      <c r="W36" s="59">
        <f t="shared" si="8"/>
        <v>2717.7976000000003</v>
      </c>
      <c r="X36" s="65">
        <v>18622.68</v>
      </c>
      <c r="Y36" s="148">
        <f t="shared" si="1"/>
        <v>9.9399999999986903</v>
      </c>
      <c r="Z36" s="64">
        <f t="shared" si="6"/>
        <v>5268.1999999993068</v>
      </c>
      <c r="AA36" s="58"/>
      <c r="AB36" s="61">
        <v>23</v>
      </c>
      <c r="AC36" s="78">
        <v>21</v>
      </c>
      <c r="AD36" s="79">
        <v>0.18099999999999999</v>
      </c>
      <c r="AE36" s="83">
        <v>27</v>
      </c>
      <c r="AF36" s="83">
        <v>27</v>
      </c>
      <c r="AG36" s="80">
        <v>20</v>
      </c>
      <c r="AH36" s="81">
        <v>19</v>
      </c>
      <c r="AI36" s="44"/>
      <c r="AJ36" s="129">
        <f t="shared" si="2"/>
        <v>22915.817599999307</v>
      </c>
      <c r="AK36" s="128">
        <f t="shared" si="3"/>
        <v>1091.2294095237764</v>
      </c>
      <c r="AL36" s="74"/>
    </row>
    <row r="37" spans="1:38" ht="32.25" customHeight="1" thickBot="1" x14ac:dyDescent="0.25">
      <c r="A37" s="73"/>
      <c r="B37" s="91">
        <f t="shared" si="7"/>
        <v>44224</v>
      </c>
      <c r="C37" s="92"/>
      <c r="D37" s="147">
        <f>'Suivi EAU-ELEC'!C43</f>
        <v>233</v>
      </c>
      <c r="E37" s="95"/>
      <c r="F37" s="223">
        <f t="shared" si="0"/>
        <v>2952.11</v>
      </c>
      <c r="G37" s="224"/>
      <c r="H37" s="225"/>
      <c r="I37" s="142"/>
      <c r="J37" s="93">
        <f>'Suivi EAU-ELEC'!E43</f>
        <v>3755</v>
      </c>
      <c r="K37" s="94">
        <f>'Suivi EAU-ELEC'!G43</f>
        <v>5364</v>
      </c>
      <c r="L37" s="94">
        <f>'Suivi EAU-ELEC'!I43</f>
        <v>2415</v>
      </c>
      <c r="M37" s="82">
        <f t="shared" si="4"/>
        <v>11534</v>
      </c>
      <c r="N37" s="58"/>
      <c r="O37" s="59">
        <f t="shared" si="5"/>
        <v>11418.66</v>
      </c>
      <c r="P37" s="57"/>
      <c r="Q37" s="55"/>
      <c r="R37" s="56"/>
      <c r="S37" s="55"/>
      <c r="T37" s="95"/>
      <c r="U37" s="60">
        <f>'Suivi Gaz'!O38</f>
        <v>259.7</v>
      </c>
      <c r="V37" s="58"/>
      <c r="W37" s="59">
        <f t="shared" si="8"/>
        <v>2378.0729000000001</v>
      </c>
      <c r="X37" s="65">
        <v>18632.62</v>
      </c>
      <c r="Y37" s="148">
        <f t="shared" si="1"/>
        <v>11.549999999999272</v>
      </c>
      <c r="Z37" s="64">
        <f t="shared" si="6"/>
        <v>6121.4999999996144</v>
      </c>
      <c r="AA37" s="58"/>
      <c r="AB37" s="61">
        <v>22</v>
      </c>
      <c r="AC37" s="78">
        <v>22</v>
      </c>
      <c r="AD37" s="79">
        <v>0.1789</v>
      </c>
      <c r="AE37" s="83">
        <v>27</v>
      </c>
      <c r="AF37" s="83">
        <v>27</v>
      </c>
      <c r="AG37" s="80">
        <v>20</v>
      </c>
      <c r="AH37" s="81">
        <v>19</v>
      </c>
      <c r="AI37" s="44"/>
      <c r="AJ37" s="129">
        <f t="shared" si="2"/>
        <v>22870.342899999614</v>
      </c>
      <c r="AK37" s="128">
        <f t="shared" si="3"/>
        <v>1039.5610409090734</v>
      </c>
      <c r="AL37" s="74"/>
    </row>
    <row r="38" spans="1:38" ht="32.25" customHeight="1" thickBot="1" x14ac:dyDescent="0.25">
      <c r="A38" s="73"/>
      <c r="B38" s="91">
        <f t="shared" si="7"/>
        <v>44225</v>
      </c>
      <c r="C38" s="92"/>
      <c r="D38" s="147">
        <f>'Suivi EAU-ELEC'!C44</f>
        <v>455</v>
      </c>
      <c r="E38" s="95"/>
      <c r="F38" s="207">
        <f t="shared" si="0"/>
        <v>5764.85</v>
      </c>
      <c r="G38" s="208"/>
      <c r="H38" s="209"/>
      <c r="I38" s="142"/>
      <c r="J38" s="93">
        <f>'Suivi EAU-ELEC'!E44</f>
        <v>3801</v>
      </c>
      <c r="K38" s="94">
        <f>'Suivi EAU-ELEC'!G44</f>
        <v>5658</v>
      </c>
      <c r="L38" s="94">
        <f>'Suivi EAU-ELEC'!I44</f>
        <v>2670</v>
      </c>
      <c r="M38" s="82">
        <f t="shared" si="4"/>
        <v>12129</v>
      </c>
      <c r="N38" s="58"/>
      <c r="O38" s="59">
        <f t="shared" si="5"/>
        <v>12007.71</v>
      </c>
      <c r="P38" s="57"/>
      <c r="Q38" s="55"/>
      <c r="R38" s="56"/>
      <c r="S38" s="55"/>
      <c r="T38" s="95"/>
      <c r="U38" s="60">
        <f>'Suivi Gaz'!O39</f>
        <v>371</v>
      </c>
      <c r="V38" s="58"/>
      <c r="W38" s="59">
        <f t="shared" si="8"/>
        <v>3397.2469999999998</v>
      </c>
      <c r="X38" s="65">
        <v>18644.169999999998</v>
      </c>
      <c r="Y38" s="148">
        <f t="shared" si="1"/>
        <v>10.360000000000582</v>
      </c>
      <c r="Z38" s="64">
        <f t="shared" si="6"/>
        <v>5490.8000000003094</v>
      </c>
      <c r="AA38" s="58"/>
      <c r="AB38" s="61">
        <v>22</v>
      </c>
      <c r="AC38" s="78">
        <v>51</v>
      </c>
      <c r="AD38" s="79">
        <v>0.4113</v>
      </c>
      <c r="AE38" s="83">
        <v>26.6</v>
      </c>
      <c r="AF38" s="83">
        <v>26.6</v>
      </c>
      <c r="AG38" s="80">
        <v>19</v>
      </c>
      <c r="AH38" s="81">
        <v>21</v>
      </c>
      <c r="AI38" s="44"/>
      <c r="AJ38" s="129">
        <f t="shared" si="2"/>
        <v>26660.607000000306</v>
      </c>
      <c r="AK38" s="128">
        <f t="shared" si="3"/>
        <v>522.75700000000597</v>
      </c>
      <c r="AL38" s="74"/>
    </row>
    <row r="39" spans="1:38" ht="32.25" customHeight="1" thickBot="1" x14ac:dyDescent="0.25">
      <c r="A39" s="73"/>
      <c r="B39" s="91">
        <f t="shared" si="7"/>
        <v>44226</v>
      </c>
      <c r="C39" s="92"/>
      <c r="D39" s="147">
        <f>'Suivi EAU-ELEC'!C45</f>
        <v>250</v>
      </c>
      <c r="E39" s="95"/>
      <c r="F39" s="210">
        <f t="shared" si="0"/>
        <v>3167.5</v>
      </c>
      <c r="G39" s="211"/>
      <c r="H39" s="212"/>
      <c r="I39" s="142"/>
      <c r="J39" s="93">
        <f>'Suivi EAU-ELEC'!E45</f>
        <v>3232</v>
      </c>
      <c r="K39" s="94">
        <f>'Suivi EAU-ELEC'!G45</f>
        <v>5083</v>
      </c>
      <c r="L39" s="94">
        <f>'Suivi EAU-ELEC'!I45</f>
        <v>2216</v>
      </c>
      <c r="M39" s="82">
        <f t="shared" si="4"/>
        <v>10531</v>
      </c>
      <c r="N39" s="58"/>
      <c r="O39" s="59">
        <f t="shared" si="5"/>
        <v>10425.69</v>
      </c>
      <c r="P39" s="57"/>
      <c r="Q39" s="55"/>
      <c r="R39" s="56"/>
      <c r="S39" s="55"/>
      <c r="T39" s="95"/>
      <c r="U39" s="60">
        <f>'Suivi Gaz'!O40</f>
        <v>371</v>
      </c>
      <c r="V39" s="58"/>
      <c r="W39" s="59">
        <f t="shared" si="8"/>
        <v>3397.2469999999998</v>
      </c>
      <c r="X39" s="65">
        <v>18654.53</v>
      </c>
      <c r="Y39" s="148">
        <f t="shared" si="1"/>
        <v>13.540000000000873</v>
      </c>
      <c r="Z39" s="64">
        <f t="shared" si="6"/>
        <v>7176.2000000004637</v>
      </c>
      <c r="AA39" s="58"/>
      <c r="AB39" s="61">
        <v>22</v>
      </c>
      <c r="AC39" s="78">
        <v>61</v>
      </c>
      <c r="AD39" s="79">
        <v>0.47289999999999999</v>
      </c>
      <c r="AE39" s="83">
        <v>26.6</v>
      </c>
      <c r="AF39" s="83">
        <v>27</v>
      </c>
      <c r="AG39" s="80">
        <v>20</v>
      </c>
      <c r="AH39" s="81">
        <v>21</v>
      </c>
      <c r="AI39" s="44"/>
      <c r="AJ39" s="129">
        <f t="shared" si="2"/>
        <v>24166.637000000464</v>
      </c>
      <c r="AK39" s="128">
        <f t="shared" si="3"/>
        <v>396.17437704918797</v>
      </c>
      <c r="AL39" s="74"/>
    </row>
    <row r="40" spans="1:38" ht="32.25" customHeight="1" thickBot="1" x14ac:dyDescent="0.25">
      <c r="A40" s="73"/>
      <c r="B40" s="91">
        <f t="shared" si="7"/>
        <v>44227</v>
      </c>
      <c r="C40" s="92"/>
      <c r="D40" s="147">
        <f>'Suivi EAU-ELEC'!C46</f>
        <v>212</v>
      </c>
      <c r="E40" s="149"/>
      <c r="F40" s="213">
        <f t="shared" si="0"/>
        <v>2686.04</v>
      </c>
      <c r="G40" s="214"/>
      <c r="H40" s="215"/>
      <c r="I40" s="142"/>
      <c r="J40" s="93">
        <f>'Suivi EAU-ELEC'!E46</f>
        <v>3162</v>
      </c>
      <c r="K40" s="94">
        <f>'Suivi EAU-ELEC'!G46</f>
        <v>4664</v>
      </c>
      <c r="L40" s="94">
        <f>'Suivi EAU-ELEC'!I46</f>
        <v>2222</v>
      </c>
      <c r="M40" s="82">
        <f t="shared" si="4"/>
        <v>10048</v>
      </c>
      <c r="N40" s="58"/>
      <c r="O40" s="59">
        <f t="shared" si="5"/>
        <v>9947.52</v>
      </c>
      <c r="P40" s="57"/>
      <c r="Q40" s="55"/>
      <c r="R40" s="56"/>
      <c r="S40" s="55"/>
      <c r="T40" s="95"/>
      <c r="U40" s="60">
        <f>'Suivi Gaz'!O41</f>
        <v>519.4</v>
      </c>
      <c r="V40" s="58"/>
      <c r="W40" s="59">
        <f t="shared" si="8"/>
        <v>4756.1458000000002</v>
      </c>
      <c r="X40" s="65">
        <v>18668.07</v>
      </c>
      <c r="Y40" s="148">
        <f t="shared" si="1"/>
        <v>10.319999999999709</v>
      </c>
      <c r="Z40" s="64">
        <f t="shared" si="6"/>
        <v>5469.5999999998457</v>
      </c>
      <c r="AA40" s="58"/>
      <c r="AB40" s="61">
        <v>19</v>
      </c>
      <c r="AC40" s="161">
        <v>36</v>
      </c>
      <c r="AD40" s="79">
        <v>0.28799999999999998</v>
      </c>
      <c r="AE40" s="83">
        <v>27</v>
      </c>
      <c r="AF40" s="83">
        <v>27.5</v>
      </c>
      <c r="AG40" s="80">
        <v>20</v>
      </c>
      <c r="AH40" s="81">
        <v>21</v>
      </c>
      <c r="AI40" s="44"/>
      <c r="AJ40" s="130">
        <f t="shared" si="2"/>
        <v>22859.305799999849</v>
      </c>
      <c r="AK40" s="128">
        <f t="shared" si="3"/>
        <v>634.98071666666249</v>
      </c>
      <c r="AL40" s="74"/>
    </row>
    <row r="41" spans="1:38" ht="44.25" customHeight="1" thickBot="1" x14ac:dyDescent="0.25">
      <c r="A41" s="73"/>
      <c r="B41" s="99"/>
      <c r="C41" s="100"/>
      <c r="D41" s="165">
        <f>SUM(D10:D40)</f>
        <v>10106</v>
      </c>
      <c r="E41" s="101"/>
      <c r="F41" s="216">
        <f>SUM(F10:H40)</f>
        <v>128043.02</v>
      </c>
      <c r="G41" s="217"/>
      <c r="H41" s="218"/>
      <c r="I41" s="101"/>
      <c r="J41" s="103">
        <f>SUM(J10:J40)</f>
        <v>102558</v>
      </c>
      <c r="K41" s="103">
        <f>SUM(K10:K40)</f>
        <v>157042</v>
      </c>
      <c r="L41" s="103">
        <f>SUM(L10:L40)</f>
        <v>67931</v>
      </c>
      <c r="M41" s="103">
        <f>SUM(M10:M40)</f>
        <v>327531</v>
      </c>
      <c r="N41" s="102"/>
      <c r="O41" s="103">
        <f>SUM(O10:O40)</f>
        <v>324255.68999999994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SUM(U10:U40)</f>
        <v>17399.900000000009</v>
      </c>
      <c r="V41" s="58"/>
      <c r="W41" s="103">
        <f>SUM(W10:W40)</f>
        <v>159330.88430000001</v>
      </c>
      <c r="X41" s="139">
        <v>18678.39</v>
      </c>
      <c r="Y41" s="103">
        <f>SUM(Y10:Y40)</f>
        <v>401.30999999999767</v>
      </c>
      <c r="Z41" s="103">
        <f>SUM(Z10:Z40)</f>
        <v>212694.29999999877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777297.95149999834</v>
      </c>
      <c r="AK41" s="124">
        <f>SUM(AK10:AK38)</f>
        <v>56422.306540400248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19"/>
      <c r="G42" s="219"/>
      <c r="H42" s="219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4" t="s">
        <v>9</v>
      </c>
      <c r="B43" s="185"/>
      <c r="C43" s="186"/>
      <c r="D43" s="109" t="s">
        <v>6</v>
      </c>
      <c r="E43" s="110"/>
      <c r="F43" s="111">
        <v>0.64895000000000003</v>
      </c>
      <c r="G43" s="190">
        <f>J41</f>
        <v>102558</v>
      </c>
      <c r="H43" s="191"/>
      <c r="I43" s="192"/>
      <c r="J43" s="193">
        <f>G43*F43</f>
        <v>66555.0141</v>
      </c>
      <c r="K43" s="194"/>
      <c r="L43" s="195">
        <f>J43+J44+J45</f>
        <v>290061.51124000002</v>
      </c>
      <c r="M43" s="196"/>
      <c r="N43" s="196"/>
      <c r="O43" s="196"/>
      <c r="P43" s="196"/>
      <c r="Q43" s="196"/>
      <c r="R43" s="196"/>
      <c r="S43" s="196"/>
      <c r="T43" s="196"/>
      <c r="U43" s="197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7"/>
      <c r="B44" s="188"/>
      <c r="C44" s="189"/>
      <c r="D44" s="112" t="s">
        <v>7</v>
      </c>
      <c r="E44" s="110"/>
      <c r="F44" s="116">
        <v>0.88605</v>
      </c>
      <c r="G44" s="190">
        <f>K41</f>
        <v>157042</v>
      </c>
      <c r="H44" s="191"/>
      <c r="I44" s="192"/>
      <c r="J44" s="193">
        <f>G44*F44</f>
        <v>139147.06409999999</v>
      </c>
      <c r="K44" s="194"/>
      <c r="L44" s="198"/>
      <c r="M44" s="199"/>
      <c r="N44" s="199"/>
      <c r="O44" s="199"/>
      <c r="P44" s="199"/>
      <c r="Q44" s="199"/>
      <c r="R44" s="199"/>
      <c r="S44" s="199"/>
      <c r="T44" s="199"/>
      <c r="U44" s="200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7"/>
      <c r="B45" s="188"/>
      <c r="C45" s="189"/>
      <c r="D45" s="117" t="s">
        <v>8</v>
      </c>
      <c r="E45" s="118"/>
      <c r="F45" s="119">
        <v>1.2418400000000001</v>
      </c>
      <c r="G45" s="204">
        <f>L41</f>
        <v>67931</v>
      </c>
      <c r="H45" s="205"/>
      <c r="I45" s="206"/>
      <c r="J45" s="193">
        <f>G45*F45</f>
        <v>84359.433040000004</v>
      </c>
      <c r="K45" s="194"/>
      <c r="L45" s="201"/>
      <c r="M45" s="202"/>
      <c r="N45" s="202"/>
      <c r="O45" s="202"/>
      <c r="P45" s="202"/>
      <c r="Q45" s="202"/>
      <c r="R45" s="202"/>
      <c r="S45" s="202"/>
      <c r="T45" s="202"/>
      <c r="U45" s="203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7" t="s">
        <v>10</v>
      </c>
      <c r="B46" s="168"/>
      <c r="C46" s="168"/>
      <c r="D46" s="169"/>
      <c r="E46" s="110"/>
      <c r="F46" s="120">
        <v>12.67</v>
      </c>
      <c r="G46" s="167">
        <f>D41</f>
        <v>10106</v>
      </c>
      <c r="H46" s="168"/>
      <c r="I46" s="169"/>
      <c r="J46" s="170">
        <f>G46*F46</f>
        <v>128043.02</v>
      </c>
      <c r="K46" s="171"/>
      <c r="L46" s="172">
        <f>J46</f>
        <v>128043.02</v>
      </c>
      <c r="M46" s="173"/>
      <c r="N46" s="173"/>
      <c r="O46" s="173"/>
      <c r="P46" s="173"/>
      <c r="Q46" s="173"/>
      <c r="R46" s="173"/>
      <c r="S46" s="173"/>
      <c r="T46" s="173"/>
      <c r="U46" s="174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5" t="s">
        <v>12</v>
      </c>
      <c r="B47" s="176"/>
      <c r="C47" s="176"/>
      <c r="D47" s="177"/>
      <c r="E47" s="110"/>
      <c r="F47" s="121">
        <v>8.2658000000000005</v>
      </c>
      <c r="G47" s="178">
        <f>U41</f>
        <v>17399.900000000009</v>
      </c>
      <c r="H47" s="179"/>
      <c r="I47" s="180"/>
      <c r="J47" s="178">
        <f>G47*F47</f>
        <v>143824.09342000008</v>
      </c>
      <c r="K47" s="180"/>
      <c r="L47" s="181">
        <f>J47</f>
        <v>143824.09342000008</v>
      </c>
      <c r="M47" s="182"/>
      <c r="N47" s="182"/>
      <c r="O47" s="182"/>
      <c r="P47" s="182"/>
      <c r="Q47" s="182"/>
      <c r="R47" s="182"/>
      <c r="S47" s="182"/>
      <c r="T47" s="182"/>
      <c r="U47" s="183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43" sqref="B4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1"/>
      <c r="B1" s="281"/>
      <c r="C1" s="282"/>
      <c r="D1" s="283" t="s">
        <v>57</v>
      </c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5"/>
      <c r="AA1" s="286"/>
      <c r="AB1" s="287"/>
      <c r="AC1" s="287"/>
    </row>
    <row r="2" spans="1:31" ht="41.25" customHeight="1" thickBot="1" x14ac:dyDescent="0.4">
      <c r="A2" s="48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1"/>
      <c r="Q2" s="288">
        <v>803</v>
      </c>
      <c r="R2" s="289"/>
      <c r="S2" s="289"/>
      <c r="T2" s="289">
        <v>519</v>
      </c>
      <c r="U2" s="289"/>
      <c r="V2" s="289"/>
      <c r="W2" s="289">
        <v>800</v>
      </c>
      <c r="X2" s="289"/>
      <c r="Y2" s="289"/>
      <c r="Z2" s="289">
        <v>802</v>
      </c>
      <c r="AA2" s="289"/>
      <c r="AB2" s="292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44190</v>
      </c>
      <c r="B4" s="20">
        <v>53</v>
      </c>
      <c r="C4" s="18">
        <f t="shared" ref="C4:C42" si="0">IF(AC4&gt;0,((B4-R4)+(S4-B5)),IF(B5=0, ,(B4-B5)))</f>
        <v>3</v>
      </c>
      <c r="D4" s="20">
        <v>50</v>
      </c>
      <c r="E4" s="18">
        <f t="shared" ref="E4:E14" si="1">IF(AC4&gt;0,((D4-U4)+(V4-D5)),IF(D5=0, ,(D4-D5)))</f>
        <v>2</v>
      </c>
      <c r="F4" s="20">
        <v>44</v>
      </c>
      <c r="G4" s="18">
        <f t="shared" ref="G4:G42" si="2">IF(AC4&gt;0,((F4-X4)+(Y4-F5)),IF(F5=0, ,(F4-F5)))</f>
        <v>0</v>
      </c>
      <c r="H4" s="20">
        <v>45</v>
      </c>
      <c r="I4" s="18">
        <f t="shared" ref="I4:I14" si="3">IF(AC4&gt;0,((H4-AA4)+(AB4-H5)),IF(H5=0, ,(H4-H5)))</f>
        <v>8</v>
      </c>
      <c r="J4" s="18">
        <f t="shared" ref="J4:J14" si="4">B4+D4+F4+H4</f>
        <v>192</v>
      </c>
      <c r="K4" s="18">
        <f t="shared" ref="K4:K14" si="5">J4/4</f>
        <v>48</v>
      </c>
      <c r="L4" s="18">
        <f t="shared" ref="L4:L14" si="6">IF(AC4&gt;0,((K4-AD4)+(AE4-K5)),IF(K5=0, ,(K4-K5)))</f>
        <v>3.25</v>
      </c>
      <c r="M4" s="18">
        <f t="shared" ref="M4:M42" si="7">7000*4</f>
        <v>28000</v>
      </c>
      <c r="N4" s="18">
        <f t="shared" ref="N4:N14" si="8">L4*M4/100</f>
        <v>910</v>
      </c>
      <c r="O4" s="18">
        <f t="shared" ref="O4:O14" si="9">N4*0.53</f>
        <v>482.3</v>
      </c>
      <c r="P4" s="21">
        <f t="shared" ref="P4:P9" si="10">O4*8.1757</f>
        <v>3943.1401100000007</v>
      </c>
      <c r="Q4" s="18">
        <v>2780</v>
      </c>
      <c r="R4" s="18">
        <v>50</v>
      </c>
      <c r="S4" s="18">
        <v>85</v>
      </c>
      <c r="T4" s="18">
        <v>3083</v>
      </c>
      <c r="U4" s="18">
        <v>48</v>
      </c>
      <c r="V4" s="18">
        <v>85</v>
      </c>
      <c r="W4" s="18">
        <v>3061</v>
      </c>
      <c r="X4" s="18">
        <v>45</v>
      </c>
      <c r="Y4" s="18">
        <v>85</v>
      </c>
      <c r="Z4" s="18">
        <v>3308</v>
      </c>
      <c r="AA4" s="18">
        <v>40</v>
      </c>
      <c r="AB4" s="18">
        <v>85</v>
      </c>
      <c r="AC4" s="18">
        <f>Q4+T4+W4+Z4</f>
        <v>12232</v>
      </c>
      <c r="AD4" s="49">
        <f t="shared" ref="AD4:AD9" si="11">(R4+U4+X4+AA4)/4</f>
        <v>45.75</v>
      </c>
      <c r="AE4" s="49">
        <f t="shared" ref="AE4:AE9" si="12">(S4+V4+Y4+AB4)/4</f>
        <v>85</v>
      </c>
    </row>
    <row r="5" spans="1:31" ht="32.25" customHeight="1" x14ac:dyDescent="0.3">
      <c r="A5" s="19">
        <f>(A4+1)</f>
        <v>44191</v>
      </c>
      <c r="B5" s="20">
        <v>85</v>
      </c>
      <c r="C5" s="18">
        <f t="shared" si="0"/>
        <v>5</v>
      </c>
      <c r="D5" s="20">
        <v>85</v>
      </c>
      <c r="E5" s="18">
        <f t="shared" si="1"/>
        <v>5</v>
      </c>
      <c r="F5" s="20">
        <v>84</v>
      </c>
      <c r="G5" s="18">
        <f t="shared" si="2"/>
        <v>9</v>
      </c>
      <c r="H5" s="20">
        <v>82</v>
      </c>
      <c r="I5" s="18">
        <f t="shared" si="3"/>
        <v>3</v>
      </c>
      <c r="J5" s="18">
        <f t="shared" si="4"/>
        <v>336</v>
      </c>
      <c r="K5" s="18">
        <f t="shared" si="5"/>
        <v>84</v>
      </c>
      <c r="L5" s="18">
        <f t="shared" si="6"/>
        <v>5.5</v>
      </c>
      <c r="M5" s="18">
        <f t="shared" si="7"/>
        <v>28000</v>
      </c>
      <c r="N5" s="18">
        <f t="shared" si="8"/>
        <v>1540</v>
      </c>
      <c r="O5" s="18">
        <f t="shared" si="9"/>
        <v>816.2</v>
      </c>
      <c r="P5" s="21">
        <f t="shared" si="10"/>
        <v>6673.0063400000008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44192</v>
      </c>
      <c r="B6" s="20">
        <v>80</v>
      </c>
      <c r="C6" s="18">
        <f t="shared" si="0"/>
        <v>8</v>
      </c>
      <c r="D6" s="20">
        <v>80</v>
      </c>
      <c r="E6" s="18">
        <f t="shared" si="1"/>
        <v>8</v>
      </c>
      <c r="F6" s="20">
        <v>75</v>
      </c>
      <c r="G6" s="18">
        <f t="shared" si="2"/>
        <v>6</v>
      </c>
      <c r="H6" s="20">
        <v>79</v>
      </c>
      <c r="I6" s="18">
        <f t="shared" si="3"/>
        <v>9</v>
      </c>
      <c r="J6" s="18">
        <f t="shared" si="4"/>
        <v>314</v>
      </c>
      <c r="K6" s="18">
        <f t="shared" si="5"/>
        <v>78.5</v>
      </c>
      <c r="L6" s="18">
        <f t="shared" si="6"/>
        <v>7.75</v>
      </c>
      <c r="M6" s="18">
        <f t="shared" si="7"/>
        <v>28000</v>
      </c>
      <c r="N6" s="18">
        <f t="shared" si="8"/>
        <v>2170</v>
      </c>
      <c r="O6" s="18">
        <f t="shared" si="9"/>
        <v>1150.1000000000001</v>
      </c>
      <c r="P6" s="21">
        <f t="shared" si="10"/>
        <v>9402.8725700000014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44193</v>
      </c>
      <c r="B7" s="20">
        <v>72</v>
      </c>
      <c r="C7" s="18">
        <f t="shared" si="0"/>
        <v>5</v>
      </c>
      <c r="D7" s="20">
        <v>72</v>
      </c>
      <c r="E7" s="18">
        <f t="shared" si="1"/>
        <v>4</v>
      </c>
      <c r="F7" s="20">
        <v>69</v>
      </c>
      <c r="G7" s="18">
        <f t="shared" si="2"/>
        <v>7</v>
      </c>
      <c r="H7" s="20">
        <v>70</v>
      </c>
      <c r="I7" s="18">
        <f t="shared" si="3"/>
        <v>5</v>
      </c>
      <c r="J7" s="18">
        <f t="shared" si="4"/>
        <v>283</v>
      </c>
      <c r="K7" s="18">
        <f t="shared" si="5"/>
        <v>70.75</v>
      </c>
      <c r="L7" s="18">
        <f t="shared" si="6"/>
        <v>5.25</v>
      </c>
      <c r="M7" s="18">
        <f t="shared" si="7"/>
        <v>28000</v>
      </c>
      <c r="N7" s="18">
        <f t="shared" si="8"/>
        <v>1470</v>
      </c>
      <c r="O7" s="18">
        <f t="shared" si="9"/>
        <v>779.1</v>
      </c>
      <c r="P7" s="21">
        <f t="shared" si="10"/>
        <v>6369.6878700000007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44194</v>
      </c>
      <c r="B8" s="20">
        <v>67</v>
      </c>
      <c r="C8" s="18">
        <f t="shared" si="0"/>
        <v>7</v>
      </c>
      <c r="D8" s="20">
        <v>68</v>
      </c>
      <c r="E8" s="18">
        <f t="shared" si="1"/>
        <v>6</v>
      </c>
      <c r="F8" s="20">
        <v>62</v>
      </c>
      <c r="G8" s="18">
        <f t="shared" si="2"/>
        <v>7</v>
      </c>
      <c r="H8" s="20">
        <v>65</v>
      </c>
      <c r="I8" s="18">
        <f t="shared" si="3"/>
        <v>5</v>
      </c>
      <c r="J8" s="18">
        <f t="shared" si="4"/>
        <v>262</v>
      </c>
      <c r="K8" s="18">
        <f t="shared" si="5"/>
        <v>65.5</v>
      </c>
      <c r="L8" s="18">
        <f t="shared" si="6"/>
        <v>6.25</v>
      </c>
      <c r="M8" s="18">
        <f t="shared" si="7"/>
        <v>28000</v>
      </c>
      <c r="N8" s="18">
        <f t="shared" si="8"/>
        <v>1750</v>
      </c>
      <c r="O8" s="18">
        <f t="shared" si="9"/>
        <v>927.5</v>
      </c>
      <c r="P8" s="21">
        <f t="shared" si="10"/>
        <v>7582.9617500000004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44195</v>
      </c>
      <c r="B9" s="20">
        <v>60</v>
      </c>
      <c r="C9" s="18">
        <f t="shared" si="0"/>
        <v>10</v>
      </c>
      <c r="D9" s="20">
        <v>62</v>
      </c>
      <c r="E9" s="18">
        <f t="shared" si="1"/>
        <v>11</v>
      </c>
      <c r="F9" s="20">
        <v>55</v>
      </c>
      <c r="G9" s="18">
        <f t="shared" si="2"/>
        <v>11</v>
      </c>
      <c r="H9" s="20">
        <v>60</v>
      </c>
      <c r="I9" s="18">
        <f t="shared" si="3"/>
        <v>10</v>
      </c>
      <c r="J9" s="18">
        <f t="shared" si="4"/>
        <v>237</v>
      </c>
      <c r="K9" s="18">
        <f t="shared" si="5"/>
        <v>59.25</v>
      </c>
      <c r="L9" s="18">
        <f t="shared" si="6"/>
        <v>10.5</v>
      </c>
      <c r="M9" s="18">
        <f t="shared" si="7"/>
        <v>28000</v>
      </c>
      <c r="N9" s="18">
        <f t="shared" si="8"/>
        <v>2940</v>
      </c>
      <c r="O9" s="18">
        <f t="shared" si="9"/>
        <v>1558.2</v>
      </c>
      <c r="P9" s="21">
        <f t="shared" si="10"/>
        <v>12739.375740000001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44196</v>
      </c>
      <c r="B10" s="20">
        <v>50</v>
      </c>
      <c r="C10" s="18">
        <f t="shared" si="0"/>
        <v>1</v>
      </c>
      <c r="D10" s="20">
        <v>51</v>
      </c>
      <c r="E10" s="18">
        <f t="shared" si="1"/>
        <v>2</v>
      </c>
      <c r="F10" s="20">
        <v>44</v>
      </c>
      <c r="G10" s="18">
        <f t="shared" si="2"/>
        <v>6</v>
      </c>
      <c r="H10" s="20">
        <v>50</v>
      </c>
      <c r="I10" s="18">
        <f t="shared" si="3"/>
        <v>6</v>
      </c>
      <c r="J10" s="18">
        <f t="shared" si="4"/>
        <v>195</v>
      </c>
      <c r="K10" s="18">
        <f t="shared" si="5"/>
        <v>48.75</v>
      </c>
      <c r="L10" s="18">
        <f t="shared" si="6"/>
        <v>3.75</v>
      </c>
      <c r="M10" s="18">
        <f t="shared" si="7"/>
        <v>28000</v>
      </c>
      <c r="N10" s="18">
        <f t="shared" si="8"/>
        <v>1050</v>
      </c>
      <c r="O10" s="18">
        <f t="shared" si="9"/>
        <v>556.5</v>
      </c>
      <c r="P10" s="21">
        <f>O10*8.2658</f>
        <v>4599.9177</v>
      </c>
      <c r="Q10" s="18">
        <v>3017</v>
      </c>
      <c r="R10" s="18">
        <v>50</v>
      </c>
      <c r="S10" s="18">
        <v>85</v>
      </c>
      <c r="T10" s="18">
        <v>2836</v>
      </c>
      <c r="U10" s="18">
        <v>50</v>
      </c>
      <c r="V10" s="18">
        <v>85</v>
      </c>
      <c r="W10" s="18">
        <v>3384</v>
      </c>
      <c r="X10" s="18">
        <v>43</v>
      </c>
      <c r="Y10" s="18">
        <v>85</v>
      </c>
      <c r="Z10" s="18">
        <v>3330</v>
      </c>
      <c r="AA10" s="18">
        <v>49</v>
      </c>
      <c r="AB10" s="18">
        <v>85</v>
      </c>
      <c r="AC10" s="18">
        <f t="shared" si="13"/>
        <v>12567</v>
      </c>
      <c r="AD10" s="49">
        <f>(R10+U10+X10+AA10)/4</f>
        <v>48</v>
      </c>
      <c r="AE10" s="49">
        <f>(S10+V10+Y10+AB10)/4</f>
        <v>85</v>
      </c>
    </row>
    <row r="11" spans="1:31" ht="32.25" customHeight="1" x14ac:dyDescent="0.3">
      <c r="A11" s="19">
        <f t="shared" si="14"/>
        <v>44197</v>
      </c>
      <c r="B11" s="20">
        <v>84</v>
      </c>
      <c r="C11" s="18">
        <f t="shared" si="0"/>
        <v>13</v>
      </c>
      <c r="D11" s="20">
        <v>84</v>
      </c>
      <c r="E11" s="18">
        <f t="shared" si="1"/>
        <v>13</v>
      </c>
      <c r="F11" s="20">
        <v>80</v>
      </c>
      <c r="G11" s="18">
        <f t="shared" si="2"/>
        <v>12</v>
      </c>
      <c r="H11" s="20">
        <v>80</v>
      </c>
      <c r="I11" s="18">
        <f t="shared" si="3"/>
        <v>10</v>
      </c>
      <c r="J11" s="18">
        <f t="shared" si="4"/>
        <v>328</v>
      </c>
      <c r="K11" s="18">
        <f t="shared" si="5"/>
        <v>82</v>
      </c>
      <c r="L11" s="18">
        <f t="shared" si="6"/>
        <v>12</v>
      </c>
      <c r="M11" s="18">
        <f t="shared" si="7"/>
        <v>28000</v>
      </c>
      <c r="N11" s="18">
        <f t="shared" si="8"/>
        <v>3360</v>
      </c>
      <c r="O11" s="18">
        <f t="shared" si="9"/>
        <v>1780.8000000000002</v>
      </c>
      <c r="P11" s="21">
        <f>O11*9.157</f>
        <v>16306.785600000001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44198</v>
      </c>
      <c r="B12" s="20">
        <v>71</v>
      </c>
      <c r="C12" s="18">
        <f t="shared" si="0"/>
        <v>5</v>
      </c>
      <c r="D12" s="20">
        <v>71</v>
      </c>
      <c r="E12" s="18">
        <f t="shared" si="1"/>
        <v>3</v>
      </c>
      <c r="F12" s="20">
        <v>68</v>
      </c>
      <c r="G12" s="18">
        <f t="shared" si="2"/>
        <v>4</v>
      </c>
      <c r="H12" s="20">
        <v>70</v>
      </c>
      <c r="I12" s="18">
        <f t="shared" si="3"/>
        <v>4</v>
      </c>
      <c r="J12" s="18">
        <f t="shared" si="4"/>
        <v>280</v>
      </c>
      <c r="K12" s="18">
        <f t="shared" si="5"/>
        <v>70</v>
      </c>
      <c r="L12" s="18">
        <f t="shared" si="6"/>
        <v>4</v>
      </c>
      <c r="M12" s="18">
        <f t="shared" si="7"/>
        <v>28000</v>
      </c>
      <c r="N12" s="18">
        <f t="shared" si="8"/>
        <v>1120</v>
      </c>
      <c r="O12" s="18">
        <f t="shared" si="9"/>
        <v>593.6</v>
      </c>
      <c r="P12" s="21">
        <f t="shared" ref="P12:P41" si="16">O12*9.157</f>
        <v>5435.5952000000007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4"/>
        <v>44199</v>
      </c>
      <c r="B13" s="20">
        <v>66</v>
      </c>
      <c r="C13" s="18">
        <f t="shared" si="0"/>
        <v>0</v>
      </c>
      <c r="D13" s="20">
        <v>68</v>
      </c>
      <c r="E13" s="18">
        <f t="shared" si="1"/>
        <v>2</v>
      </c>
      <c r="F13" s="20">
        <v>64</v>
      </c>
      <c r="G13" s="18">
        <f t="shared" si="2"/>
        <v>4</v>
      </c>
      <c r="H13" s="20">
        <v>66</v>
      </c>
      <c r="I13" s="18">
        <f t="shared" si="3"/>
        <v>4</v>
      </c>
      <c r="J13" s="18">
        <f t="shared" si="4"/>
        <v>264</v>
      </c>
      <c r="K13" s="18">
        <f t="shared" si="5"/>
        <v>66</v>
      </c>
      <c r="L13" s="18">
        <f t="shared" si="6"/>
        <v>2.5</v>
      </c>
      <c r="M13" s="18">
        <f t="shared" si="7"/>
        <v>28000</v>
      </c>
      <c r="N13" s="18">
        <f t="shared" si="8"/>
        <v>700</v>
      </c>
      <c r="O13" s="18">
        <f t="shared" si="9"/>
        <v>371</v>
      </c>
      <c r="P13" s="21">
        <f t="shared" si="16"/>
        <v>3397.2469999999998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44200</v>
      </c>
      <c r="B14" s="20">
        <v>66</v>
      </c>
      <c r="C14" s="18">
        <f t="shared" si="0"/>
        <v>4</v>
      </c>
      <c r="D14" s="20">
        <v>66</v>
      </c>
      <c r="E14" s="18">
        <f t="shared" si="1"/>
        <v>1</v>
      </c>
      <c r="F14" s="20">
        <v>60</v>
      </c>
      <c r="G14" s="18">
        <f t="shared" si="2"/>
        <v>2</v>
      </c>
      <c r="H14" s="20">
        <v>62</v>
      </c>
      <c r="I14" s="18">
        <f t="shared" si="3"/>
        <v>0</v>
      </c>
      <c r="J14" s="18">
        <f t="shared" si="4"/>
        <v>254</v>
      </c>
      <c r="K14" s="18">
        <f t="shared" si="5"/>
        <v>63.5</v>
      </c>
      <c r="L14" s="18">
        <f t="shared" si="6"/>
        <v>1.75</v>
      </c>
      <c r="M14" s="18">
        <f t="shared" si="7"/>
        <v>28000</v>
      </c>
      <c r="N14" s="18">
        <f t="shared" si="8"/>
        <v>490</v>
      </c>
      <c r="O14" s="18">
        <f t="shared" si="9"/>
        <v>259.7</v>
      </c>
      <c r="P14" s="21">
        <f t="shared" si="16"/>
        <v>2378.0729000000001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44201</v>
      </c>
      <c r="B15" s="20">
        <v>62</v>
      </c>
      <c r="C15" s="18">
        <f t="shared" si="0"/>
        <v>4</v>
      </c>
      <c r="D15" s="20">
        <v>65</v>
      </c>
      <c r="E15" s="18"/>
      <c r="F15" s="20">
        <v>58</v>
      </c>
      <c r="G15" s="18">
        <f t="shared" si="2"/>
        <v>8</v>
      </c>
      <c r="H15" s="20">
        <v>62</v>
      </c>
      <c r="I15" s="18">
        <f t="shared" ref="I15:I19" si="19">IF(AC15&gt;0,((H15-AA15)+(AB15-H16)),IF(H16=0, ,(H15-H16)))</f>
        <v>7</v>
      </c>
      <c r="J15" s="18">
        <f t="shared" ref="J15:J42" si="20">B15+D15+F15+H15</f>
        <v>247</v>
      </c>
      <c r="K15" s="18">
        <f t="shared" ref="K15:K42" si="21">J15/4</f>
        <v>61.75</v>
      </c>
      <c r="L15" s="18">
        <f t="shared" ref="L15:L19" si="22">IF(AC15&gt;0,((K15-AD15)+(AE15-K16)),IF(K16=0, ,(K15-K16)))</f>
        <v>6</v>
      </c>
      <c r="M15" s="18">
        <f t="shared" si="7"/>
        <v>28000</v>
      </c>
      <c r="N15" s="18">
        <f t="shared" ref="N15" si="23">L15*M15/100</f>
        <v>1680</v>
      </c>
      <c r="O15" s="18">
        <f t="shared" ref="O15" si="24">N15*0.53</f>
        <v>890.40000000000009</v>
      </c>
      <c r="P15" s="21">
        <f t="shared" si="16"/>
        <v>8153.3928000000005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44202</v>
      </c>
      <c r="B16" s="20">
        <v>58</v>
      </c>
      <c r="C16" s="18">
        <f t="shared" si="0"/>
        <v>8</v>
      </c>
      <c r="D16" s="20">
        <v>60</v>
      </c>
      <c r="E16" s="18">
        <f t="shared" ref="E16:E42" si="25">IF(AC16&gt;0,((D16-U16)+(V16-D17)),IF(D17=0, ,(D16-D17)))</f>
        <v>5</v>
      </c>
      <c r="F16" s="20">
        <v>50</v>
      </c>
      <c r="G16" s="18">
        <f t="shared" si="2"/>
        <v>1</v>
      </c>
      <c r="H16" s="20">
        <v>55</v>
      </c>
      <c r="I16" s="18">
        <f t="shared" si="19"/>
        <v>5</v>
      </c>
      <c r="J16" s="18">
        <f t="shared" si="20"/>
        <v>223</v>
      </c>
      <c r="K16" s="18">
        <f t="shared" si="21"/>
        <v>55.75</v>
      </c>
      <c r="L16" s="18">
        <f t="shared" si="22"/>
        <v>4.75</v>
      </c>
      <c r="M16" s="18">
        <f t="shared" si="7"/>
        <v>28000</v>
      </c>
      <c r="N16" s="18">
        <f t="shared" ref="N16:N42" si="26">L16*M16/100</f>
        <v>1330</v>
      </c>
      <c r="O16" s="18">
        <f t="shared" ref="O16:O42" si="27">N16*0.53</f>
        <v>704.90000000000009</v>
      </c>
      <c r="P16" s="21">
        <f t="shared" si="16"/>
        <v>6454.7693000000008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44203</v>
      </c>
      <c r="B17" s="20">
        <v>50</v>
      </c>
      <c r="C17" s="18">
        <f t="shared" si="0"/>
        <v>0</v>
      </c>
      <c r="D17" s="20">
        <v>55</v>
      </c>
      <c r="E17" s="18">
        <f t="shared" si="25"/>
        <v>3</v>
      </c>
      <c r="F17" s="20">
        <v>49</v>
      </c>
      <c r="G17" s="18">
        <f t="shared" si="2"/>
        <v>4</v>
      </c>
      <c r="H17" s="20">
        <v>50</v>
      </c>
      <c r="I17" s="18">
        <f t="shared" si="19"/>
        <v>1</v>
      </c>
      <c r="J17" s="18">
        <f t="shared" si="20"/>
        <v>204</v>
      </c>
      <c r="K17" s="18">
        <f t="shared" si="21"/>
        <v>51</v>
      </c>
      <c r="L17" s="18">
        <f t="shared" si="22"/>
        <v>2</v>
      </c>
      <c r="M17" s="18">
        <f t="shared" si="7"/>
        <v>28000</v>
      </c>
      <c r="N17" s="18">
        <f t="shared" si="26"/>
        <v>560</v>
      </c>
      <c r="O17" s="18">
        <f t="shared" si="27"/>
        <v>296.8</v>
      </c>
      <c r="P17" s="21">
        <f t="shared" si="16"/>
        <v>2717.7976000000003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44204</v>
      </c>
      <c r="B18" s="20">
        <v>50</v>
      </c>
      <c r="C18" s="18">
        <f t="shared" si="0"/>
        <v>0</v>
      </c>
      <c r="D18" s="20">
        <v>52</v>
      </c>
      <c r="E18" s="18">
        <f t="shared" si="25"/>
        <v>0</v>
      </c>
      <c r="F18" s="20">
        <v>45</v>
      </c>
      <c r="G18" s="18">
        <f t="shared" si="2"/>
        <v>0</v>
      </c>
      <c r="H18" s="20">
        <v>49</v>
      </c>
      <c r="I18" s="18">
        <f t="shared" si="19"/>
        <v>4</v>
      </c>
      <c r="J18" s="18">
        <f t="shared" si="20"/>
        <v>196</v>
      </c>
      <c r="K18" s="18">
        <f t="shared" si="21"/>
        <v>49</v>
      </c>
      <c r="L18" s="18">
        <f t="shared" si="22"/>
        <v>1</v>
      </c>
      <c r="M18" s="18">
        <f t="shared" si="7"/>
        <v>28000</v>
      </c>
      <c r="N18" s="18">
        <f t="shared" si="26"/>
        <v>280</v>
      </c>
      <c r="O18" s="18">
        <f t="shared" si="27"/>
        <v>148.4</v>
      </c>
      <c r="P18" s="21">
        <f t="shared" si="16"/>
        <v>1358.8988000000002</v>
      </c>
      <c r="Q18" s="18">
        <v>1836</v>
      </c>
      <c r="R18" s="18">
        <v>50</v>
      </c>
      <c r="S18" s="18">
        <v>85</v>
      </c>
      <c r="T18" s="18">
        <v>1462</v>
      </c>
      <c r="U18" s="18">
        <v>55</v>
      </c>
      <c r="V18" s="18">
        <v>85</v>
      </c>
      <c r="W18" s="18">
        <v>1535</v>
      </c>
      <c r="X18" s="18">
        <v>55</v>
      </c>
      <c r="Y18" s="18">
        <v>85</v>
      </c>
      <c r="Z18" s="18">
        <v>1338</v>
      </c>
      <c r="AA18" s="18">
        <v>55</v>
      </c>
      <c r="AB18" s="18">
        <v>85</v>
      </c>
      <c r="AC18" s="18">
        <f t="shared" si="13"/>
        <v>6171</v>
      </c>
      <c r="AD18" s="49">
        <f t="shared" si="17"/>
        <v>53.75</v>
      </c>
      <c r="AE18" s="49">
        <f t="shared" si="18"/>
        <v>85</v>
      </c>
    </row>
    <row r="19" spans="1:31" ht="32.25" customHeight="1" x14ac:dyDescent="0.3">
      <c r="A19" s="19">
        <f t="shared" si="14"/>
        <v>44205</v>
      </c>
      <c r="B19" s="20">
        <v>85</v>
      </c>
      <c r="C19" s="18">
        <f t="shared" si="0"/>
        <v>5</v>
      </c>
      <c r="D19" s="20">
        <v>82</v>
      </c>
      <c r="E19" s="18">
        <f t="shared" si="25"/>
        <v>2</v>
      </c>
      <c r="F19" s="20">
        <v>75</v>
      </c>
      <c r="G19" s="18">
        <f t="shared" si="2"/>
        <v>0</v>
      </c>
      <c r="H19" s="20">
        <v>75</v>
      </c>
      <c r="I19" s="18">
        <f t="shared" si="19"/>
        <v>0</v>
      </c>
      <c r="J19" s="18">
        <f t="shared" si="20"/>
        <v>317</v>
      </c>
      <c r="K19" s="18">
        <f t="shared" si="21"/>
        <v>79.25</v>
      </c>
      <c r="L19" s="18">
        <f t="shared" si="22"/>
        <v>1.75</v>
      </c>
      <c r="M19" s="18">
        <f t="shared" si="7"/>
        <v>28000</v>
      </c>
      <c r="N19" s="18">
        <f t="shared" si="26"/>
        <v>490</v>
      </c>
      <c r="O19" s="18">
        <f t="shared" si="27"/>
        <v>259.7</v>
      </c>
      <c r="P19" s="21">
        <f t="shared" si="16"/>
        <v>2378.0729000000001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44206</v>
      </c>
      <c r="B20" s="20">
        <v>80</v>
      </c>
      <c r="C20" s="18">
        <f t="shared" si="0"/>
        <v>8</v>
      </c>
      <c r="D20" s="20">
        <v>80</v>
      </c>
      <c r="E20" s="18">
        <f t="shared" si="25"/>
        <v>8</v>
      </c>
      <c r="F20" s="20">
        <v>75</v>
      </c>
      <c r="G20" s="18">
        <f t="shared" si="2"/>
        <v>5</v>
      </c>
      <c r="H20" s="20">
        <v>75</v>
      </c>
      <c r="I20" s="18">
        <f t="shared" ref="I20:I42" si="28">IF(AC20&gt;0,((H20-AA20)+(AB20-H21)),IF(H21=0, ,(H20-H21)))</f>
        <v>5</v>
      </c>
      <c r="J20" s="18">
        <f t="shared" si="20"/>
        <v>310</v>
      </c>
      <c r="K20" s="18">
        <f t="shared" si="21"/>
        <v>77.5</v>
      </c>
      <c r="L20" s="18">
        <f t="shared" ref="L20:L42" si="29">IF(AC20&gt;0,((K20-AD20)+(AE20-K21)),IF(K21=0, ,(K20-K21)))</f>
        <v>6.5</v>
      </c>
      <c r="M20" s="18">
        <f t="shared" si="7"/>
        <v>28000</v>
      </c>
      <c r="N20" s="18">
        <f t="shared" si="26"/>
        <v>1820</v>
      </c>
      <c r="O20" s="18">
        <f t="shared" si="27"/>
        <v>964.6</v>
      </c>
      <c r="P20" s="21">
        <f t="shared" si="16"/>
        <v>8832.842200000001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44207</v>
      </c>
      <c r="B21" s="20">
        <v>72</v>
      </c>
      <c r="C21" s="18">
        <f t="shared" si="0"/>
        <v>4</v>
      </c>
      <c r="D21" s="20">
        <v>72</v>
      </c>
      <c r="E21" s="18">
        <f t="shared" si="25"/>
        <v>2</v>
      </c>
      <c r="F21" s="20">
        <v>70</v>
      </c>
      <c r="G21" s="18">
        <f t="shared" si="2"/>
        <v>6</v>
      </c>
      <c r="H21" s="20">
        <v>70</v>
      </c>
      <c r="I21" s="18">
        <f t="shared" si="28"/>
        <v>5</v>
      </c>
      <c r="J21" s="18">
        <f t="shared" si="20"/>
        <v>284</v>
      </c>
      <c r="K21" s="18">
        <f t="shared" si="21"/>
        <v>71</v>
      </c>
      <c r="L21" s="18">
        <f t="shared" si="29"/>
        <v>4.25</v>
      </c>
      <c r="M21" s="18">
        <f t="shared" si="7"/>
        <v>28000</v>
      </c>
      <c r="N21" s="18">
        <f t="shared" si="26"/>
        <v>1190</v>
      </c>
      <c r="O21" s="18">
        <f t="shared" si="27"/>
        <v>630.70000000000005</v>
      </c>
      <c r="P21" s="21">
        <f t="shared" si="16"/>
        <v>5775.3199000000004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44208</v>
      </c>
      <c r="B22" s="20">
        <v>68</v>
      </c>
      <c r="C22" s="18">
        <f t="shared" si="0"/>
        <v>6</v>
      </c>
      <c r="D22" s="20">
        <v>70</v>
      </c>
      <c r="E22" s="18">
        <f t="shared" si="25"/>
        <v>7</v>
      </c>
      <c r="F22" s="20">
        <v>64</v>
      </c>
      <c r="G22" s="18">
        <f t="shared" si="2"/>
        <v>4</v>
      </c>
      <c r="H22" s="20">
        <v>65</v>
      </c>
      <c r="I22" s="18">
        <f t="shared" si="28"/>
        <v>4</v>
      </c>
      <c r="J22" s="18">
        <f t="shared" si="20"/>
        <v>267</v>
      </c>
      <c r="K22" s="18">
        <f t="shared" si="21"/>
        <v>66.75</v>
      </c>
      <c r="L22" s="18">
        <f t="shared" si="29"/>
        <v>5.25</v>
      </c>
      <c r="M22" s="18">
        <f t="shared" si="7"/>
        <v>28000</v>
      </c>
      <c r="N22" s="18">
        <f t="shared" si="26"/>
        <v>1470</v>
      </c>
      <c r="O22" s="18">
        <f t="shared" si="27"/>
        <v>779.1</v>
      </c>
      <c r="P22" s="21">
        <f t="shared" si="16"/>
        <v>7134.2187000000004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44209</v>
      </c>
      <c r="B23" s="20">
        <v>62</v>
      </c>
      <c r="C23" s="18">
        <f t="shared" si="0"/>
        <v>2</v>
      </c>
      <c r="D23" s="20">
        <v>63</v>
      </c>
      <c r="E23" s="18">
        <f t="shared" si="25"/>
        <v>2</v>
      </c>
      <c r="F23" s="20">
        <v>60</v>
      </c>
      <c r="G23" s="18">
        <f t="shared" si="2"/>
        <v>5</v>
      </c>
      <c r="H23" s="20">
        <v>61</v>
      </c>
      <c r="I23" s="18">
        <f t="shared" si="28"/>
        <v>1</v>
      </c>
      <c r="J23" s="18">
        <f t="shared" si="20"/>
        <v>246</v>
      </c>
      <c r="K23" s="18">
        <f t="shared" si="21"/>
        <v>61.5</v>
      </c>
      <c r="L23" s="18">
        <f t="shared" si="29"/>
        <v>2.5</v>
      </c>
      <c r="M23" s="18">
        <f t="shared" si="7"/>
        <v>28000</v>
      </c>
      <c r="N23" s="18">
        <f t="shared" si="26"/>
        <v>700</v>
      </c>
      <c r="O23" s="18">
        <f t="shared" si="27"/>
        <v>371</v>
      </c>
      <c r="P23" s="21">
        <f t="shared" si="16"/>
        <v>3397.2469999999998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44210</v>
      </c>
      <c r="B24" s="20">
        <v>60</v>
      </c>
      <c r="C24" s="18">
        <f t="shared" si="0"/>
        <v>1</v>
      </c>
      <c r="D24" s="20">
        <v>61</v>
      </c>
      <c r="E24" s="18">
        <f t="shared" si="25"/>
        <v>1</v>
      </c>
      <c r="F24" s="20">
        <v>55</v>
      </c>
      <c r="G24" s="18">
        <f t="shared" si="2"/>
        <v>5</v>
      </c>
      <c r="H24" s="20">
        <v>60</v>
      </c>
      <c r="I24" s="18">
        <f t="shared" si="28"/>
        <v>2</v>
      </c>
      <c r="J24" s="18">
        <f t="shared" si="20"/>
        <v>236</v>
      </c>
      <c r="K24" s="18">
        <f t="shared" si="21"/>
        <v>59</v>
      </c>
      <c r="L24" s="18">
        <f t="shared" si="29"/>
        <v>2.25</v>
      </c>
      <c r="M24" s="18">
        <f t="shared" si="7"/>
        <v>28000</v>
      </c>
      <c r="N24" s="18">
        <f t="shared" si="26"/>
        <v>630</v>
      </c>
      <c r="O24" s="18">
        <f t="shared" si="27"/>
        <v>333.90000000000003</v>
      </c>
      <c r="P24" s="21">
        <f t="shared" si="16"/>
        <v>3057.5223000000005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44211</v>
      </c>
      <c r="B25" s="20">
        <v>59</v>
      </c>
      <c r="C25" s="18">
        <f t="shared" si="0"/>
        <v>9</v>
      </c>
      <c r="D25" s="20">
        <v>60</v>
      </c>
      <c r="E25" s="18">
        <f t="shared" si="25"/>
        <v>5</v>
      </c>
      <c r="F25" s="20">
        <v>50</v>
      </c>
      <c r="G25" s="18">
        <f t="shared" si="2"/>
        <v>3</v>
      </c>
      <c r="H25" s="20">
        <v>58</v>
      </c>
      <c r="I25" s="18">
        <f t="shared" si="28"/>
        <v>8</v>
      </c>
      <c r="J25" s="18">
        <f t="shared" si="20"/>
        <v>227</v>
      </c>
      <c r="K25" s="18">
        <f t="shared" si="21"/>
        <v>56.75</v>
      </c>
      <c r="L25" s="18">
        <f t="shared" si="29"/>
        <v>6.25</v>
      </c>
      <c r="M25" s="18">
        <f t="shared" si="7"/>
        <v>28000</v>
      </c>
      <c r="N25" s="18">
        <f t="shared" si="26"/>
        <v>1750</v>
      </c>
      <c r="O25" s="18">
        <f t="shared" si="27"/>
        <v>927.5</v>
      </c>
      <c r="P25" s="21">
        <f t="shared" si="16"/>
        <v>8493.1175000000003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44212</v>
      </c>
      <c r="B26" s="20">
        <v>50</v>
      </c>
      <c r="C26" s="18">
        <f t="shared" si="0"/>
        <v>1</v>
      </c>
      <c r="D26" s="20">
        <v>55</v>
      </c>
      <c r="E26" s="18">
        <f t="shared" si="25"/>
        <v>6</v>
      </c>
      <c r="F26" s="20">
        <v>47</v>
      </c>
      <c r="G26" s="18">
        <f t="shared" si="2"/>
        <v>1</v>
      </c>
      <c r="H26" s="20">
        <v>50</v>
      </c>
      <c r="I26" s="18">
        <f t="shared" si="28"/>
        <v>2</v>
      </c>
      <c r="J26" s="18">
        <f t="shared" si="20"/>
        <v>202</v>
      </c>
      <c r="K26" s="18">
        <f t="shared" si="21"/>
        <v>50.5</v>
      </c>
      <c r="L26" s="18">
        <f t="shared" si="29"/>
        <v>2.5</v>
      </c>
      <c r="M26" s="18">
        <f t="shared" si="7"/>
        <v>28000</v>
      </c>
      <c r="N26" s="18">
        <f t="shared" si="26"/>
        <v>700</v>
      </c>
      <c r="O26" s="18">
        <f t="shared" si="27"/>
        <v>371</v>
      </c>
      <c r="P26" s="21">
        <f t="shared" si="16"/>
        <v>3397.2469999999998</v>
      </c>
      <c r="Q26" s="18">
        <v>2117</v>
      </c>
      <c r="R26" s="18">
        <v>50</v>
      </c>
      <c r="S26" s="18">
        <v>75</v>
      </c>
      <c r="T26" s="18">
        <v>2103</v>
      </c>
      <c r="U26" s="18">
        <v>50</v>
      </c>
      <c r="V26" s="18">
        <v>75</v>
      </c>
      <c r="W26" s="18">
        <v>2109</v>
      </c>
      <c r="X26" s="18">
        <v>45</v>
      </c>
      <c r="Y26" s="18">
        <v>70</v>
      </c>
      <c r="Z26" s="18">
        <v>2105</v>
      </c>
      <c r="AA26" s="18">
        <v>55</v>
      </c>
      <c r="AB26" s="18">
        <v>80</v>
      </c>
      <c r="AC26" s="18">
        <f t="shared" si="13"/>
        <v>8434</v>
      </c>
      <c r="AD26" s="49">
        <f t="shared" si="17"/>
        <v>50</v>
      </c>
      <c r="AE26" s="49">
        <f t="shared" si="18"/>
        <v>75</v>
      </c>
    </row>
    <row r="27" spans="1:31" ht="32.25" customHeight="1" x14ac:dyDescent="0.3">
      <c r="A27" s="19">
        <f t="shared" si="14"/>
        <v>44213</v>
      </c>
      <c r="B27" s="20">
        <v>74</v>
      </c>
      <c r="C27" s="18">
        <f t="shared" si="0"/>
        <v>4</v>
      </c>
      <c r="D27" s="20">
        <v>74</v>
      </c>
      <c r="E27" s="18">
        <f t="shared" si="25"/>
        <v>2</v>
      </c>
      <c r="F27" s="20">
        <v>71</v>
      </c>
      <c r="G27" s="18">
        <f t="shared" si="2"/>
        <v>3</v>
      </c>
      <c r="H27" s="20">
        <v>73</v>
      </c>
      <c r="I27" s="18">
        <f t="shared" si="28"/>
        <v>3</v>
      </c>
      <c r="J27" s="18">
        <f t="shared" si="20"/>
        <v>292</v>
      </c>
      <c r="K27" s="18">
        <f t="shared" si="21"/>
        <v>73</v>
      </c>
      <c r="L27" s="18">
        <f t="shared" si="29"/>
        <v>3</v>
      </c>
      <c r="M27" s="18">
        <f t="shared" si="7"/>
        <v>28000</v>
      </c>
      <c r="N27" s="18">
        <f t="shared" si="26"/>
        <v>840</v>
      </c>
      <c r="O27" s="18">
        <f t="shared" si="27"/>
        <v>445.20000000000005</v>
      </c>
      <c r="P27" s="21">
        <f t="shared" si="16"/>
        <v>4076.6964000000003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44214</v>
      </c>
      <c r="B28" s="20">
        <v>70</v>
      </c>
      <c r="C28" s="18">
        <f t="shared" si="0"/>
        <v>2</v>
      </c>
      <c r="D28" s="20">
        <v>72</v>
      </c>
      <c r="E28" s="18">
        <f t="shared" si="25"/>
        <v>4</v>
      </c>
      <c r="F28" s="20">
        <v>68</v>
      </c>
      <c r="G28" s="18">
        <f t="shared" si="2"/>
        <v>6</v>
      </c>
      <c r="H28" s="20">
        <v>70</v>
      </c>
      <c r="I28" s="18">
        <f t="shared" si="28"/>
        <v>5</v>
      </c>
      <c r="J28" s="18">
        <f t="shared" si="20"/>
        <v>280</v>
      </c>
      <c r="K28" s="18">
        <f t="shared" si="21"/>
        <v>70</v>
      </c>
      <c r="L28" s="18">
        <f t="shared" si="29"/>
        <v>4.25</v>
      </c>
      <c r="M28" s="18">
        <f t="shared" si="7"/>
        <v>28000</v>
      </c>
      <c r="N28" s="18">
        <f t="shared" si="26"/>
        <v>1190</v>
      </c>
      <c r="O28" s="18">
        <f t="shared" si="27"/>
        <v>630.70000000000005</v>
      </c>
      <c r="P28" s="21">
        <f t="shared" si="16"/>
        <v>5775.3199000000004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44215</v>
      </c>
      <c r="B29" s="20">
        <v>68</v>
      </c>
      <c r="C29" s="18">
        <f t="shared" si="0"/>
        <v>6</v>
      </c>
      <c r="D29" s="20">
        <v>68</v>
      </c>
      <c r="E29" s="18">
        <f t="shared" si="25"/>
        <v>4</v>
      </c>
      <c r="F29" s="20">
        <v>62</v>
      </c>
      <c r="G29" s="18">
        <f t="shared" si="2"/>
        <v>3</v>
      </c>
      <c r="H29" s="20">
        <v>65</v>
      </c>
      <c r="I29" s="18">
        <f t="shared" si="28"/>
        <v>3</v>
      </c>
      <c r="J29" s="18">
        <f t="shared" si="20"/>
        <v>263</v>
      </c>
      <c r="K29" s="18">
        <f t="shared" si="21"/>
        <v>65.75</v>
      </c>
      <c r="L29" s="18">
        <f t="shared" si="29"/>
        <v>4</v>
      </c>
      <c r="M29" s="18">
        <f t="shared" si="7"/>
        <v>28000</v>
      </c>
      <c r="N29" s="18">
        <f t="shared" si="26"/>
        <v>1120</v>
      </c>
      <c r="O29" s="18">
        <f t="shared" si="27"/>
        <v>593.6</v>
      </c>
      <c r="P29" s="21">
        <f t="shared" si="16"/>
        <v>5435.5952000000007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44216</v>
      </c>
      <c r="B30" s="20">
        <v>62</v>
      </c>
      <c r="C30" s="18">
        <f t="shared" si="0"/>
        <v>12</v>
      </c>
      <c r="D30" s="20">
        <v>64</v>
      </c>
      <c r="E30" s="18">
        <f t="shared" si="25"/>
        <v>7</v>
      </c>
      <c r="F30" s="20">
        <v>59</v>
      </c>
      <c r="G30" s="18">
        <f t="shared" si="2"/>
        <v>5</v>
      </c>
      <c r="H30" s="20">
        <v>62</v>
      </c>
      <c r="I30" s="18">
        <f t="shared" si="28"/>
        <v>8</v>
      </c>
      <c r="J30" s="18">
        <f t="shared" si="20"/>
        <v>247</v>
      </c>
      <c r="K30" s="18">
        <f t="shared" si="21"/>
        <v>61.75</v>
      </c>
      <c r="L30" s="18">
        <f t="shared" si="29"/>
        <v>8</v>
      </c>
      <c r="M30" s="18">
        <f t="shared" si="7"/>
        <v>28000</v>
      </c>
      <c r="N30" s="18">
        <f t="shared" si="26"/>
        <v>2240</v>
      </c>
      <c r="O30" s="18">
        <f t="shared" si="27"/>
        <v>1187.2</v>
      </c>
      <c r="P30" s="21">
        <f t="shared" si="16"/>
        <v>10871.190400000001</v>
      </c>
      <c r="Q30" s="18">
        <v>2605</v>
      </c>
      <c r="R30" s="18">
        <v>55</v>
      </c>
      <c r="S30" s="18">
        <v>85</v>
      </c>
      <c r="T30" s="18">
        <v>2184</v>
      </c>
      <c r="U30" s="18">
        <v>60</v>
      </c>
      <c r="V30" s="18">
        <v>85</v>
      </c>
      <c r="W30" s="18">
        <v>2230</v>
      </c>
      <c r="X30" s="18">
        <v>60</v>
      </c>
      <c r="Y30" s="18">
        <v>85</v>
      </c>
      <c r="Z30" s="18">
        <v>2098</v>
      </c>
      <c r="AA30" s="18">
        <v>60</v>
      </c>
      <c r="AB30" s="18">
        <v>85</v>
      </c>
      <c r="AC30" s="18">
        <f t="shared" si="13"/>
        <v>9117</v>
      </c>
      <c r="AD30" s="49">
        <f t="shared" si="17"/>
        <v>58.75</v>
      </c>
      <c r="AE30" s="49">
        <f t="shared" si="18"/>
        <v>85</v>
      </c>
    </row>
    <row r="31" spans="1:31" ht="32.25" customHeight="1" x14ac:dyDescent="0.3">
      <c r="A31" s="19">
        <f t="shared" si="14"/>
        <v>44217</v>
      </c>
      <c r="B31" s="20">
        <v>80</v>
      </c>
      <c r="C31" s="18">
        <f t="shared" si="0"/>
        <v>6</v>
      </c>
      <c r="D31" s="20">
        <v>82</v>
      </c>
      <c r="E31" s="18">
        <f t="shared" si="25"/>
        <v>7</v>
      </c>
      <c r="F31" s="20">
        <v>79</v>
      </c>
      <c r="G31" s="18">
        <f t="shared" si="2"/>
        <v>7</v>
      </c>
      <c r="H31" s="20">
        <v>79</v>
      </c>
      <c r="I31" s="18">
        <f t="shared" si="28"/>
        <v>7</v>
      </c>
      <c r="J31" s="18">
        <f t="shared" si="20"/>
        <v>320</v>
      </c>
      <c r="K31" s="18">
        <f t="shared" si="21"/>
        <v>80</v>
      </c>
      <c r="L31" s="18">
        <f t="shared" si="29"/>
        <v>6.75</v>
      </c>
      <c r="M31" s="18">
        <f t="shared" si="7"/>
        <v>28000</v>
      </c>
      <c r="N31" s="18">
        <f t="shared" si="26"/>
        <v>1890</v>
      </c>
      <c r="O31" s="18">
        <f t="shared" si="27"/>
        <v>1001.7</v>
      </c>
      <c r="P31" s="21">
        <f t="shared" si="16"/>
        <v>9172.5668999999998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44218</v>
      </c>
      <c r="B32" s="20">
        <v>74</v>
      </c>
      <c r="C32" s="18">
        <f t="shared" si="0"/>
        <v>5</v>
      </c>
      <c r="D32" s="20">
        <v>75</v>
      </c>
      <c r="E32" s="18">
        <f t="shared" si="25"/>
        <v>4</v>
      </c>
      <c r="F32" s="20">
        <v>72</v>
      </c>
      <c r="G32" s="18">
        <f t="shared" si="2"/>
        <v>4</v>
      </c>
      <c r="H32" s="20">
        <v>72</v>
      </c>
      <c r="I32" s="18">
        <f t="shared" si="28"/>
        <v>4</v>
      </c>
      <c r="J32" s="18">
        <f t="shared" si="20"/>
        <v>293</v>
      </c>
      <c r="K32" s="18">
        <f t="shared" si="21"/>
        <v>73.25</v>
      </c>
      <c r="L32" s="18">
        <f t="shared" si="29"/>
        <v>4.25</v>
      </c>
      <c r="M32" s="18">
        <f t="shared" si="7"/>
        <v>28000</v>
      </c>
      <c r="N32" s="18">
        <f t="shared" si="26"/>
        <v>1190</v>
      </c>
      <c r="O32" s="18">
        <f t="shared" si="27"/>
        <v>630.70000000000005</v>
      </c>
      <c r="P32" s="21">
        <f t="shared" si="16"/>
        <v>5775.3199000000004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44219</v>
      </c>
      <c r="B33" s="20">
        <v>69</v>
      </c>
      <c r="C33" s="18">
        <f t="shared" si="0"/>
        <v>5</v>
      </c>
      <c r="D33" s="20">
        <v>71</v>
      </c>
      <c r="E33" s="18">
        <f t="shared" si="25"/>
        <v>3</v>
      </c>
      <c r="F33" s="20">
        <v>68</v>
      </c>
      <c r="G33" s="18">
        <f t="shared" si="2"/>
        <v>5</v>
      </c>
      <c r="H33" s="20">
        <v>68</v>
      </c>
      <c r="I33" s="18">
        <f t="shared" si="28"/>
        <v>3</v>
      </c>
      <c r="J33" s="18">
        <f t="shared" si="20"/>
        <v>276</v>
      </c>
      <c r="K33" s="18">
        <f t="shared" si="21"/>
        <v>69</v>
      </c>
      <c r="L33" s="18">
        <f t="shared" si="29"/>
        <v>4</v>
      </c>
      <c r="M33" s="18">
        <f t="shared" si="7"/>
        <v>28000</v>
      </c>
      <c r="N33" s="18">
        <f t="shared" si="26"/>
        <v>1120</v>
      </c>
      <c r="O33" s="18">
        <f t="shared" si="27"/>
        <v>593.6</v>
      </c>
      <c r="P33" s="21">
        <f t="shared" si="16"/>
        <v>5435.5952000000007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44220</v>
      </c>
      <c r="B34" s="20">
        <v>64</v>
      </c>
      <c r="C34" s="18">
        <f t="shared" si="0"/>
        <v>2</v>
      </c>
      <c r="D34" s="20">
        <v>68</v>
      </c>
      <c r="E34" s="18">
        <f t="shared" si="25"/>
        <v>4</v>
      </c>
      <c r="F34" s="20">
        <v>63</v>
      </c>
      <c r="G34" s="18">
        <f t="shared" si="2"/>
        <v>3</v>
      </c>
      <c r="H34" s="20">
        <v>65</v>
      </c>
      <c r="I34" s="18">
        <f t="shared" si="28"/>
        <v>2</v>
      </c>
      <c r="J34" s="18">
        <f t="shared" si="20"/>
        <v>260</v>
      </c>
      <c r="K34" s="18">
        <f t="shared" si="21"/>
        <v>65</v>
      </c>
      <c r="L34" s="18">
        <f t="shared" si="29"/>
        <v>2.75</v>
      </c>
      <c r="M34" s="18">
        <f t="shared" si="7"/>
        <v>28000</v>
      </c>
      <c r="N34" s="18">
        <f t="shared" si="26"/>
        <v>770</v>
      </c>
      <c r="O34" s="18">
        <f t="shared" si="27"/>
        <v>408.1</v>
      </c>
      <c r="P34" s="21">
        <f t="shared" si="16"/>
        <v>3736.9717000000001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44221</v>
      </c>
      <c r="B35" s="20">
        <v>62</v>
      </c>
      <c r="C35" s="18">
        <f t="shared" si="0"/>
        <v>2</v>
      </c>
      <c r="D35" s="20">
        <v>64</v>
      </c>
      <c r="E35" s="18">
        <f t="shared" si="25"/>
        <v>1</v>
      </c>
      <c r="F35" s="20">
        <v>60</v>
      </c>
      <c r="G35" s="18">
        <f t="shared" si="2"/>
        <v>1</v>
      </c>
      <c r="H35" s="20">
        <v>63</v>
      </c>
      <c r="I35" s="18">
        <f t="shared" si="28"/>
        <v>3</v>
      </c>
      <c r="J35" s="18">
        <f t="shared" si="20"/>
        <v>249</v>
      </c>
      <c r="K35" s="18">
        <f t="shared" si="21"/>
        <v>62.25</v>
      </c>
      <c r="L35" s="18">
        <f t="shared" si="29"/>
        <v>1.75</v>
      </c>
      <c r="M35" s="18">
        <f t="shared" si="7"/>
        <v>28000</v>
      </c>
      <c r="N35" s="18">
        <f t="shared" si="26"/>
        <v>490</v>
      </c>
      <c r="O35" s="18">
        <f t="shared" si="27"/>
        <v>259.7</v>
      </c>
      <c r="P35" s="21">
        <f t="shared" si="16"/>
        <v>2378.0729000000001</v>
      </c>
      <c r="Q35" s="18">
        <v>2146</v>
      </c>
      <c r="R35" s="18">
        <v>60</v>
      </c>
      <c r="S35" s="18">
        <v>85</v>
      </c>
      <c r="T35" s="18">
        <v>2013</v>
      </c>
      <c r="U35" s="18">
        <v>64</v>
      </c>
      <c r="V35" s="18">
        <v>86</v>
      </c>
      <c r="W35" s="18">
        <v>2297</v>
      </c>
      <c r="X35" s="18">
        <v>60</v>
      </c>
      <c r="Y35" s="18">
        <v>86</v>
      </c>
      <c r="Z35" s="18">
        <v>2531</v>
      </c>
      <c r="AA35" s="18">
        <v>62</v>
      </c>
      <c r="AB35" s="18">
        <v>87</v>
      </c>
      <c r="AC35" s="18">
        <f t="shared" si="13"/>
        <v>8987</v>
      </c>
      <c r="AD35" s="49">
        <f t="shared" si="17"/>
        <v>61.5</v>
      </c>
      <c r="AE35" s="49">
        <f t="shared" si="18"/>
        <v>86</v>
      </c>
    </row>
    <row r="36" spans="1:31" ht="32.25" customHeight="1" x14ac:dyDescent="0.3">
      <c r="A36" s="19">
        <f t="shared" si="14"/>
        <v>44222</v>
      </c>
      <c r="B36" s="20">
        <v>85</v>
      </c>
      <c r="C36" s="18">
        <f t="shared" si="0"/>
        <v>1</v>
      </c>
      <c r="D36" s="20">
        <v>85</v>
      </c>
      <c r="E36" s="18">
        <f t="shared" si="25"/>
        <v>1</v>
      </c>
      <c r="F36" s="20">
        <v>85</v>
      </c>
      <c r="G36" s="18">
        <f t="shared" si="2"/>
        <v>1</v>
      </c>
      <c r="H36" s="20">
        <v>85</v>
      </c>
      <c r="I36" s="18">
        <f t="shared" si="28"/>
        <v>1</v>
      </c>
      <c r="J36" s="18">
        <f t="shared" si="20"/>
        <v>340</v>
      </c>
      <c r="K36" s="18">
        <f t="shared" si="21"/>
        <v>85</v>
      </c>
      <c r="L36" s="18">
        <f t="shared" si="29"/>
        <v>1</v>
      </c>
      <c r="M36" s="18">
        <f t="shared" si="7"/>
        <v>28000</v>
      </c>
      <c r="N36" s="18">
        <f t="shared" si="26"/>
        <v>280</v>
      </c>
      <c r="O36" s="18">
        <f t="shared" si="27"/>
        <v>148.4</v>
      </c>
      <c r="P36" s="21">
        <f t="shared" si="16"/>
        <v>1358.8988000000002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44223</v>
      </c>
      <c r="B37" s="20">
        <v>84</v>
      </c>
      <c r="C37" s="18">
        <f t="shared" si="0"/>
        <v>0</v>
      </c>
      <c r="D37" s="20">
        <v>84</v>
      </c>
      <c r="E37" s="18">
        <f t="shared" si="25"/>
        <v>0</v>
      </c>
      <c r="F37" s="20">
        <v>84</v>
      </c>
      <c r="G37" s="18">
        <f t="shared" si="2"/>
        <v>4</v>
      </c>
      <c r="H37" s="20">
        <v>84</v>
      </c>
      <c r="I37" s="18">
        <f t="shared" si="28"/>
        <v>4</v>
      </c>
      <c r="J37" s="18">
        <f t="shared" si="20"/>
        <v>336</v>
      </c>
      <c r="K37" s="18">
        <f t="shared" si="21"/>
        <v>84</v>
      </c>
      <c r="L37" s="18">
        <f t="shared" si="29"/>
        <v>2</v>
      </c>
      <c r="M37" s="18">
        <f t="shared" si="7"/>
        <v>28000</v>
      </c>
      <c r="N37" s="18">
        <f t="shared" si="26"/>
        <v>560</v>
      </c>
      <c r="O37" s="18">
        <f t="shared" si="27"/>
        <v>296.8</v>
      </c>
      <c r="P37" s="21">
        <f t="shared" si="16"/>
        <v>2717.7976000000003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44224</v>
      </c>
      <c r="B38" s="20">
        <v>84</v>
      </c>
      <c r="C38" s="18">
        <f t="shared" si="0"/>
        <v>4</v>
      </c>
      <c r="D38" s="20">
        <v>84</v>
      </c>
      <c r="E38" s="18">
        <f t="shared" si="25"/>
        <v>2</v>
      </c>
      <c r="F38" s="20">
        <v>80</v>
      </c>
      <c r="G38" s="18">
        <f t="shared" si="2"/>
        <v>1</v>
      </c>
      <c r="H38" s="20">
        <v>80</v>
      </c>
      <c r="I38" s="18">
        <f t="shared" si="28"/>
        <v>0</v>
      </c>
      <c r="J38" s="18">
        <f t="shared" si="20"/>
        <v>328</v>
      </c>
      <c r="K38" s="18">
        <f t="shared" si="21"/>
        <v>82</v>
      </c>
      <c r="L38" s="18">
        <f t="shared" si="29"/>
        <v>1.75</v>
      </c>
      <c r="M38" s="18">
        <f t="shared" si="7"/>
        <v>28000</v>
      </c>
      <c r="N38" s="18">
        <f t="shared" si="26"/>
        <v>490</v>
      </c>
      <c r="O38" s="18">
        <f t="shared" si="27"/>
        <v>259.7</v>
      </c>
      <c r="P38" s="21">
        <f t="shared" si="16"/>
        <v>2378.0729000000001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44225</v>
      </c>
      <c r="B39" s="20">
        <v>80</v>
      </c>
      <c r="C39" s="18">
        <f t="shared" si="0"/>
        <v>1</v>
      </c>
      <c r="D39" s="20">
        <v>82</v>
      </c>
      <c r="E39" s="18">
        <f t="shared" si="25"/>
        <v>2</v>
      </c>
      <c r="F39" s="20">
        <v>79</v>
      </c>
      <c r="G39" s="18">
        <f t="shared" si="2"/>
        <v>4</v>
      </c>
      <c r="H39" s="20">
        <v>80</v>
      </c>
      <c r="I39" s="18">
        <f t="shared" si="28"/>
        <v>3</v>
      </c>
      <c r="J39" s="18">
        <f t="shared" si="20"/>
        <v>321</v>
      </c>
      <c r="K39" s="18">
        <f t="shared" si="21"/>
        <v>80.25</v>
      </c>
      <c r="L39" s="18">
        <f t="shared" si="29"/>
        <v>2.5</v>
      </c>
      <c r="M39" s="18">
        <f t="shared" si="7"/>
        <v>28000</v>
      </c>
      <c r="N39" s="18">
        <f t="shared" si="26"/>
        <v>700</v>
      </c>
      <c r="O39" s="18">
        <f t="shared" si="27"/>
        <v>371</v>
      </c>
      <c r="P39" s="21">
        <f t="shared" si="16"/>
        <v>3397.2469999999998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44226</v>
      </c>
      <c r="B40" s="20">
        <v>79</v>
      </c>
      <c r="C40" s="18">
        <f t="shared" si="0"/>
        <v>4</v>
      </c>
      <c r="D40" s="20">
        <v>80</v>
      </c>
      <c r="E40" s="18">
        <f t="shared" si="25"/>
        <v>1</v>
      </c>
      <c r="F40" s="20">
        <v>75</v>
      </c>
      <c r="G40" s="18">
        <f t="shared" si="2"/>
        <v>3</v>
      </c>
      <c r="H40" s="20">
        <v>77</v>
      </c>
      <c r="I40" s="18">
        <f t="shared" si="28"/>
        <v>2</v>
      </c>
      <c r="J40" s="18">
        <f t="shared" si="20"/>
        <v>311</v>
      </c>
      <c r="K40" s="18">
        <f t="shared" si="21"/>
        <v>77.75</v>
      </c>
      <c r="L40" s="18">
        <f t="shared" si="29"/>
        <v>2.5</v>
      </c>
      <c r="M40" s="18">
        <f t="shared" si="7"/>
        <v>28000</v>
      </c>
      <c r="N40" s="18">
        <f t="shared" si="26"/>
        <v>700</v>
      </c>
      <c r="O40" s="18">
        <f t="shared" si="27"/>
        <v>371</v>
      </c>
      <c r="P40" s="21">
        <f t="shared" si="16"/>
        <v>3397.2469999999998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44227</v>
      </c>
      <c r="B41" s="20">
        <v>75</v>
      </c>
      <c r="C41" s="18">
        <f t="shared" si="0"/>
        <v>3</v>
      </c>
      <c r="D41" s="20">
        <v>79</v>
      </c>
      <c r="E41" s="18">
        <f t="shared" si="25"/>
        <v>6</v>
      </c>
      <c r="F41" s="20">
        <v>72</v>
      </c>
      <c r="G41" s="18">
        <f t="shared" si="2"/>
        <v>2</v>
      </c>
      <c r="H41" s="20">
        <v>75</v>
      </c>
      <c r="I41" s="18">
        <f t="shared" si="28"/>
        <v>3</v>
      </c>
      <c r="J41" s="18">
        <f t="shared" si="20"/>
        <v>301</v>
      </c>
      <c r="K41" s="18">
        <f t="shared" si="21"/>
        <v>75.25</v>
      </c>
      <c r="L41" s="18">
        <f t="shared" si="29"/>
        <v>3.5</v>
      </c>
      <c r="M41" s="18">
        <f t="shared" si="7"/>
        <v>28000</v>
      </c>
      <c r="N41" s="18">
        <f t="shared" si="26"/>
        <v>980</v>
      </c>
      <c r="O41" s="18">
        <f t="shared" si="27"/>
        <v>519.4</v>
      </c>
      <c r="P41" s="21">
        <f t="shared" si="16"/>
        <v>4756.1458000000002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44228</v>
      </c>
      <c r="B42" s="20">
        <v>72</v>
      </c>
      <c r="C42" s="18">
        <f t="shared" si="0"/>
        <v>0</v>
      </c>
      <c r="D42" s="20">
        <v>73</v>
      </c>
      <c r="E42" s="18">
        <f t="shared" si="25"/>
        <v>0</v>
      </c>
      <c r="F42" s="20">
        <v>70</v>
      </c>
      <c r="G42" s="18">
        <f t="shared" si="2"/>
        <v>0</v>
      </c>
      <c r="H42" s="20">
        <v>72</v>
      </c>
      <c r="I42" s="18">
        <f t="shared" si="28"/>
        <v>0</v>
      </c>
      <c r="J42" s="18">
        <f t="shared" si="20"/>
        <v>287</v>
      </c>
      <c r="K42" s="18">
        <f t="shared" si="21"/>
        <v>71.75</v>
      </c>
      <c r="L42" s="18">
        <f t="shared" si="29"/>
        <v>0</v>
      </c>
      <c r="M42" s="18">
        <f t="shared" si="7"/>
        <v>28000</v>
      </c>
      <c r="N42" s="18">
        <f t="shared" si="26"/>
        <v>0</v>
      </c>
      <c r="O42" s="18">
        <f t="shared" si="27"/>
        <v>0</v>
      </c>
      <c r="P42" s="21">
        <f t="shared" ref="P42:P43" si="30">O42*8.2658</f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SUM(C11:C41)</f>
        <v>127</v>
      </c>
      <c r="D43" s="20"/>
      <c r="E43" s="18">
        <f>SUM(E11:E41)</f>
        <v>108</v>
      </c>
      <c r="F43" s="20"/>
      <c r="G43" s="18">
        <f>SUM(G11:G41)</f>
        <v>116</v>
      </c>
      <c r="H43" s="20"/>
      <c r="I43" s="18">
        <f>SUM(I11:I41)</f>
        <v>113</v>
      </c>
      <c r="J43" s="16"/>
      <c r="K43" s="16"/>
      <c r="L43" s="16"/>
      <c r="M43" s="16"/>
      <c r="N43" s="18">
        <f>SUM(N11:N41)</f>
        <v>32830</v>
      </c>
      <c r="O43" s="18">
        <f>N43*0.53</f>
        <v>17399.900000000001</v>
      </c>
      <c r="P43" s="21">
        <f t="shared" si="30"/>
        <v>143824.09342000002</v>
      </c>
      <c r="Q43" s="269">
        <f>SUM(Q11:Q41)</f>
        <v>8704</v>
      </c>
      <c r="R43" s="270"/>
      <c r="S43" s="271"/>
      <c r="T43" s="269">
        <f>SUM(T11:T41)</f>
        <v>7762</v>
      </c>
      <c r="U43" s="270"/>
      <c r="V43" s="271"/>
      <c r="W43" s="269">
        <f>SUM(W11:W41)</f>
        <v>8171</v>
      </c>
      <c r="X43" s="270"/>
      <c r="Y43" s="271"/>
      <c r="Z43" s="269">
        <f>SUM(Z11:Z41)</f>
        <v>8072</v>
      </c>
      <c r="AA43" s="270"/>
      <c r="AB43" s="271"/>
      <c r="AC43" s="137">
        <f>SUM(AC11:AC41)</f>
        <v>32709</v>
      </c>
      <c r="AD43" s="138"/>
      <c r="AE43" s="135"/>
    </row>
    <row r="44" spans="1:31" ht="35.25" customHeight="1" thickBot="1" x14ac:dyDescent="0.35">
      <c r="B44" s="272"/>
      <c r="C44" s="273"/>
      <c r="D44" s="273"/>
      <c r="E44" s="273"/>
      <c r="F44" s="273"/>
      <c r="G44" s="273"/>
      <c r="H44" s="273"/>
      <c r="I44" s="274"/>
      <c r="J44" s="16"/>
      <c r="K44" s="16"/>
      <c r="L44" s="16"/>
      <c r="M44" s="16"/>
      <c r="N44" s="16"/>
      <c r="O44" s="16"/>
      <c r="P44" s="16"/>
      <c r="Q44" s="275">
        <f>Q43+T43+W43+Z43</f>
        <v>32709</v>
      </c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7"/>
      <c r="AC44" s="136">
        <f>Q43+T43+W43+Z43</f>
        <v>32709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8" t="s">
        <v>36</v>
      </c>
      <c r="I47" s="279"/>
      <c r="J47" s="280"/>
      <c r="K47" s="28">
        <f>N43</f>
        <v>32830</v>
      </c>
      <c r="L47" s="29">
        <f>O43</f>
        <v>17399.900000000001</v>
      </c>
      <c r="M47" s="29">
        <f>P43</f>
        <v>143824.09342000002</v>
      </c>
    </row>
    <row r="48" spans="1:31" ht="54.75" customHeight="1" thickBot="1" x14ac:dyDescent="0.35">
      <c r="H48" s="266" t="s">
        <v>37</v>
      </c>
      <c r="I48" s="267"/>
      <c r="J48" s="268"/>
      <c r="K48" s="26">
        <f>AC43</f>
        <v>32709</v>
      </c>
      <c r="L48" s="27">
        <f>K48*0.53</f>
        <v>17335.77</v>
      </c>
      <c r="M48" s="27">
        <f>L48*8.2658</f>
        <v>143294.00766600002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3" activePane="bottomRight" state="frozen"/>
      <selection pane="topRight" activeCell="B1" sqref="B1"/>
      <selection pane="bottomLeft" activeCell="A9" sqref="A9"/>
      <selection pane="bottomRight" activeCell="B48" sqref="B4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9894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44190</v>
      </c>
      <c r="B9" s="40">
        <v>127434</v>
      </c>
      <c r="C9" s="41">
        <f t="shared" ref="C9:C33" si="0">IF(B10&lt;B9,0,B10-B9)*10</f>
        <v>260</v>
      </c>
      <c r="D9" s="42">
        <v>18903346</v>
      </c>
      <c r="E9" s="41">
        <f t="shared" ref="E9:E47" si="1">IF(D10&lt;D9,0,D10-D9)</f>
        <v>2868</v>
      </c>
      <c r="F9" s="42">
        <v>33872112</v>
      </c>
      <c r="G9" s="41">
        <f t="shared" ref="G9:G47" si="2">IF(F10&lt;F9,0,F10-F9)</f>
        <v>5367</v>
      </c>
      <c r="H9" s="42">
        <v>15005105</v>
      </c>
      <c r="I9" s="41">
        <f t="shared" ref="I9:I47" si="3">IF(H10&lt;H9,0,H10-H9)</f>
        <v>2446</v>
      </c>
    </row>
    <row r="10" spans="1:20" ht="21" thickTop="1" thickBot="1" x14ac:dyDescent="0.35">
      <c r="A10" s="39">
        <f>(A9+1)</f>
        <v>44191</v>
      </c>
      <c r="B10" s="40">
        <v>127460</v>
      </c>
      <c r="C10" s="41">
        <f t="shared" si="0"/>
        <v>310</v>
      </c>
      <c r="D10" s="42">
        <v>18906214</v>
      </c>
      <c r="E10" s="41">
        <f t="shared" si="1"/>
        <v>3629</v>
      </c>
      <c r="F10" s="42">
        <v>33877479</v>
      </c>
      <c r="G10" s="41">
        <f t="shared" si="2"/>
        <v>5617</v>
      </c>
      <c r="H10" s="42">
        <v>15007551</v>
      </c>
      <c r="I10" s="41">
        <f t="shared" si="3"/>
        <v>2485</v>
      </c>
    </row>
    <row r="11" spans="1:20" ht="21" thickTop="1" thickBot="1" x14ac:dyDescent="0.35">
      <c r="A11" s="39">
        <f t="shared" ref="A11:A47" si="4">(A10+1)</f>
        <v>44192</v>
      </c>
      <c r="B11" s="40">
        <v>127491</v>
      </c>
      <c r="C11" s="41">
        <f t="shared" si="0"/>
        <v>320</v>
      </c>
      <c r="D11" s="42">
        <v>18909843</v>
      </c>
      <c r="E11" s="41">
        <f t="shared" si="1"/>
        <v>3365</v>
      </c>
      <c r="F11" s="42">
        <v>33883096</v>
      </c>
      <c r="G11" s="41">
        <f t="shared" si="2"/>
        <v>5447</v>
      </c>
      <c r="H11" s="42">
        <v>15010036</v>
      </c>
      <c r="I11" s="41">
        <f t="shared" si="3"/>
        <v>2497</v>
      </c>
    </row>
    <row r="12" spans="1:20" ht="21" thickTop="1" thickBot="1" x14ac:dyDescent="0.35">
      <c r="A12" s="39">
        <f t="shared" si="4"/>
        <v>44193</v>
      </c>
      <c r="B12" s="40">
        <v>127523</v>
      </c>
      <c r="C12" s="41">
        <f t="shared" si="0"/>
        <v>370</v>
      </c>
      <c r="D12" s="42">
        <v>18913208</v>
      </c>
      <c r="E12" s="41">
        <f t="shared" si="1"/>
        <v>3678</v>
      </c>
      <c r="F12" s="42">
        <v>33888543</v>
      </c>
      <c r="G12" s="41">
        <f t="shared" si="2"/>
        <v>5499</v>
      </c>
      <c r="H12" s="42">
        <v>15012533</v>
      </c>
      <c r="I12" s="41">
        <f t="shared" si="3"/>
        <v>2576</v>
      </c>
    </row>
    <row r="13" spans="1:20" ht="21" thickTop="1" thickBot="1" x14ac:dyDescent="0.35">
      <c r="A13" s="39">
        <f t="shared" si="4"/>
        <v>44194</v>
      </c>
      <c r="B13" s="40">
        <v>127560</v>
      </c>
      <c r="C13" s="41">
        <f t="shared" si="0"/>
        <v>300</v>
      </c>
      <c r="D13" s="42">
        <v>18916886</v>
      </c>
      <c r="E13" s="41">
        <f t="shared" si="1"/>
        <v>3691</v>
      </c>
      <c r="F13" s="42">
        <v>33894042</v>
      </c>
      <c r="G13" s="41">
        <f t="shared" si="2"/>
        <v>5786</v>
      </c>
      <c r="H13" s="42">
        <v>15015109</v>
      </c>
      <c r="I13" s="41">
        <f t="shared" si="3"/>
        <v>2455</v>
      </c>
    </row>
    <row r="14" spans="1:20" ht="21" thickTop="1" thickBot="1" x14ac:dyDescent="0.35">
      <c r="A14" s="39">
        <f t="shared" si="4"/>
        <v>44195</v>
      </c>
      <c r="B14" s="40">
        <v>127590</v>
      </c>
      <c r="C14" s="41">
        <f t="shared" si="0"/>
        <v>300</v>
      </c>
      <c r="D14" s="42">
        <v>18920577</v>
      </c>
      <c r="E14" s="41">
        <f t="shared" si="1"/>
        <v>3525</v>
      </c>
      <c r="F14" s="42">
        <v>33899828</v>
      </c>
      <c r="G14" s="41">
        <f t="shared" si="2"/>
        <v>5908</v>
      </c>
      <c r="H14" s="42">
        <v>15017564</v>
      </c>
      <c r="I14" s="41">
        <f t="shared" si="3"/>
        <v>2562</v>
      </c>
    </row>
    <row r="15" spans="1:20" ht="21" thickTop="1" thickBot="1" x14ac:dyDescent="0.35">
      <c r="A15" s="39">
        <f t="shared" si="4"/>
        <v>44196</v>
      </c>
      <c r="B15" s="40">
        <v>127620</v>
      </c>
      <c r="C15" s="41">
        <f t="shared" si="0"/>
        <v>370</v>
      </c>
      <c r="D15" s="42">
        <v>18924102</v>
      </c>
      <c r="E15" s="41">
        <f t="shared" si="1"/>
        <v>3616</v>
      </c>
      <c r="F15" s="42">
        <v>33905736</v>
      </c>
      <c r="G15" s="41">
        <f t="shared" si="2"/>
        <v>5610</v>
      </c>
      <c r="H15" s="42">
        <v>15020126</v>
      </c>
      <c r="I15" s="41">
        <f t="shared" si="3"/>
        <v>2487</v>
      </c>
    </row>
    <row r="16" spans="1:20" ht="21" thickTop="1" thickBot="1" x14ac:dyDescent="0.35">
      <c r="A16" s="39">
        <f t="shared" si="4"/>
        <v>44197</v>
      </c>
      <c r="B16" s="40">
        <v>127657</v>
      </c>
      <c r="C16" s="41">
        <f t="shared" si="0"/>
        <v>390</v>
      </c>
      <c r="D16" s="42">
        <v>18927718</v>
      </c>
      <c r="E16" s="41">
        <f t="shared" si="1"/>
        <v>3405</v>
      </c>
      <c r="F16" s="42">
        <v>33911346</v>
      </c>
      <c r="G16" s="41">
        <f t="shared" si="2"/>
        <v>5810</v>
      </c>
      <c r="H16" s="42">
        <v>15022613</v>
      </c>
      <c r="I16" s="41">
        <f t="shared" si="3"/>
        <v>2460</v>
      </c>
    </row>
    <row r="17" spans="1:9" ht="21" thickTop="1" thickBot="1" x14ac:dyDescent="0.35">
      <c r="A17" s="39">
        <f t="shared" si="4"/>
        <v>44198</v>
      </c>
      <c r="B17" s="40">
        <v>127696</v>
      </c>
      <c r="C17" s="41">
        <f t="shared" si="0"/>
        <v>330</v>
      </c>
      <c r="D17" s="42">
        <v>18931123</v>
      </c>
      <c r="E17" s="41">
        <f t="shared" si="1"/>
        <v>3413</v>
      </c>
      <c r="F17" s="42">
        <v>33917156</v>
      </c>
      <c r="G17" s="41">
        <f t="shared" si="2"/>
        <v>5222</v>
      </c>
      <c r="H17" s="42">
        <v>15025073</v>
      </c>
      <c r="I17" s="41">
        <f t="shared" si="3"/>
        <v>2408</v>
      </c>
    </row>
    <row r="18" spans="1:9" ht="21" thickTop="1" thickBot="1" x14ac:dyDescent="0.35">
      <c r="A18" s="39">
        <f t="shared" si="4"/>
        <v>44199</v>
      </c>
      <c r="B18" s="40">
        <v>127729</v>
      </c>
      <c r="C18" s="41">
        <f t="shared" si="0"/>
        <v>280</v>
      </c>
      <c r="D18" s="42">
        <v>18934536</v>
      </c>
      <c r="E18" s="41">
        <f t="shared" si="1"/>
        <v>3457</v>
      </c>
      <c r="F18" s="42">
        <v>33922378</v>
      </c>
      <c r="G18" s="41">
        <f t="shared" si="2"/>
        <v>5248</v>
      </c>
      <c r="H18" s="42">
        <v>15027481</v>
      </c>
      <c r="I18" s="41">
        <f t="shared" si="3"/>
        <v>2305</v>
      </c>
    </row>
    <row r="19" spans="1:9" ht="21" thickTop="1" thickBot="1" x14ac:dyDescent="0.35">
      <c r="A19" s="39">
        <f t="shared" si="4"/>
        <v>44200</v>
      </c>
      <c r="B19" s="40">
        <v>127757</v>
      </c>
      <c r="C19" s="41">
        <f t="shared" si="0"/>
        <v>230</v>
      </c>
      <c r="D19" s="42">
        <v>18937993</v>
      </c>
      <c r="E19" s="41">
        <f t="shared" si="1"/>
        <v>3741</v>
      </c>
      <c r="F19" s="42">
        <v>33927626</v>
      </c>
      <c r="G19" s="41">
        <f t="shared" si="2"/>
        <v>5189</v>
      </c>
      <c r="H19" s="42">
        <v>15029786</v>
      </c>
      <c r="I19" s="41">
        <f t="shared" si="3"/>
        <v>2172</v>
      </c>
    </row>
    <row r="20" spans="1:9" ht="21" thickTop="1" thickBot="1" x14ac:dyDescent="0.35">
      <c r="A20" s="39">
        <f t="shared" si="4"/>
        <v>44201</v>
      </c>
      <c r="B20" s="40">
        <v>127780</v>
      </c>
      <c r="C20" s="41">
        <f t="shared" si="0"/>
        <v>250</v>
      </c>
      <c r="D20" s="42">
        <v>18941734</v>
      </c>
      <c r="E20" s="41">
        <f t="shared" si="1"/>
        <v>3319</v>
      </c>
      <c r="F20" s="42">
        <v>33932815</v>
      </c>
      <c r="G20" s="41">
        <f t="shared" si="2"/>
        <v>5047</v>
      </c>
      <c r="H20" s="42">
        <v>15031958</v>
      </c>
      <c r="I20" s="41">
        <f t="shared" si="3"/>
        <v>2125</v>
      </c>
    </row>
    <row r="21" spans="1:9" ht="21" thickTop="1" thickBot="1" x14ac:dyDescent="0.35">
      <c r="A21" s="39">
        <f t="shared" si="4"/>
        <v>44202</v>
      </c>
      <c r="B21" s="40">
        <v>127805</v>
      </c>
      <c r="C21" s="41">
        <f t="shared" si="0"/>
        <v>270</v>
      </c>
      <c r="D21" s="42">
        <v>18945053</v>
      </c>
      <c r="E21" s="41">
        <f t="shared" si="1"/>
        <v>3396</v>
      </c>
      <c r="F21" s="42">
        <v>33937862</v>
      </c>
      <c r="G21" s="41">
        <f t="shared" si="2"/>
        <v>5062</v>
      </c>
      <c r="H21" s="42">
        <v>15034083</v>
      </c>
      <c r="I21" s="41">
        <f t="shared" si="3"/>
        <v>2105</v>
      </c>
    </row>
    <row r="22" spans="1:9" ht="21" thickTop="1" thickBot="1" x14ac:dyDescent="0.35">
      <c r="A22" s="39">
        <f t="shared" si="4"/>
        <v>44203</v>
      </c>
      <c r="B22" s="40">
        <v>127832</v>
      </c>
      <c r="C22" s="41">
        <f t="shared" si="0"/>
        <v>230</v>
      </c>
      <c r="D22" s="42">
        <v>18948449</v>
      </c>
      <c r="E22" s="41">
        <f t="shared" si="1"/>
        <v>3030</v>
      </c>
      <c r="F22" s="42">
        <v>33942924</v>
      </c>
      <c r="G22" s="41">
        <f t="shared" si="2"/>
        <v>4884</v>
      </c>
      <c r="H22" s="42">
        <v>15036188</v>
      </c>
      <c r="I22" s="41">
        <f t="shared" si="3"/>
        <v>1953</v>
      </c>
    </row>
    <row r="23" spans="1:9" ht="21" thickTop="1" thickBot="1" x14ac:dyDescent="0.35">
      <c r="A23" s="39">
        <f t="shared" si="4"/>
        <v>44204</v>
      </c>
      <c r="B23" s="40">
        <v>127855</v>
      </c>
      <c r="C23" s="41">
        <f t="shared" si="0"/>
        <v>300</v>
      </c>
      <c r="D23" s="42">
        <v>18951479</v>
      </c>
      <c r="E23" s="41">
        <f t="shared" si="1"/>
        <v>2795</v>
      </c>
      <c r="F23" s="42">
        <v>33947808</v>
      </c>
      <c r="G23" s="41">
        <f t="shared" si="2"/>
        <v>4464</v>
      </c>
      <c r="H23" s="42">
        <v>15038141</v>
      </c>
      <c r="I23" s="41">
        <f t="shared" si="3"/>
        <v>1941</v>
      </c>
    </row>
    <row r="24" spans="1:9" ht="21" thickTop="1" thickBot="1" x14ac:dyDescent="0.35">
      <c r="A24" s="39">
        <f t="shared" si="4"/>
        <v>44205</v>
      </c>
      <c r="B24" s="40">
        <v>127885</v>
      </c>
      <c r="C24" s="41">
        <f t="shared" si="0"/>
        <v>300</v>
      </c>
      <c r="D24" s="42">
        <v>18954274</v>
      </c>
      <c r="E24" s="41">
        <f t="shared" si="1"/>
        <v>3263</v>
      </c>
      <c r="F24" s="42">
        <v>33952272</v>
      </c>
      <c r="G24" s="41">
        <f t="shared" si="2"/>
        <v>4832</v>
      </c>
      <c r="H24" s="42">
        <v>15040082</v>
      </c>
      <c r="I24" s="41">
        <f t="shared" si="3"/>
        <v>2122</v>
      </c>
    </row>
    <row r="25" spans="1:9" ht="21" thickTop="1" thickBot="1" x14ac:dyDescent="0.35">
      <c r="A25" s="39">
        <f t="shared" si="4"/>
        <v>44206</v>
      </c>
      <c r="B25" s="40">
        <v>127915</v>
      </c>
      <c r="C25" s="41">
        <f t="shared" si="0"/>
        <v>380</v>
      </c>
      <c r="D25" s="42">
        <v>18957537</v>
      </c>
      <c r="E25" s="41">
        <f t="shared" si="1"/>
        <v>3259</v>
      </c>
      <c r="F25" s="42">
        <v>33957104</v>
      </c>
      <c r="G25" s="41">
        <f t="shared" si="2"/>
        <v>5154</v>
      </c>
      <c r="H25" s="42">
        <v>15042204</v>
      </c>
      <c r="I25" s="41">
        <f t="shared" si="3"/>
        <v>2160</v>
      </c>
    </row>
    <row r="26" spans="1:9" ht="21" thickTop="1" thickBot="1" x14ac:dyDescent="0.35">
      <c r="A26" s="39">
        <f t="shared" si="4"/>
        <v>44207</v>
      </c>
      <c r="B26" s="40">
        <v>127953</v>
      </c>
      <c r="C26" s="41">
        <f t="shared" si="0"/>
        <v>300</v>
      </c>
      <c r="D26" s="42">
        <v>18960796</v>
      </c>
      <c r="E26" s="41">
        <f t="shared" si="1"/>
        <v>2966</v>
      </c>
      <c r="F26" s="42">
        <v>33962258</v>
      </c>
      <c r="G26" s="41">
        <f t="shared" si="2"/>
        <v>5012</v>
      </c>
      <c r="H26" s="42">
        <v>15044364</v>
      </c>
      <c r="I26" s="41">
        <f t="shared" si="3"/>
        <v>1990</v>
      </c>
    </row>
    <row r="27" spans="1:9" ht="21" thickTop="1" thickBot="1" x14ac:dyDescent="0.35">
      <c r="A27" s="39">
        <f t="shared" si="4"/>
        <v>44208</v>
      </c>
      <c r="B27" s="40">
        <v>127983</v>
      </c>
      <c r="C27" s="41">
        <f t="shared" si="0"/>
        <v>320</v>
      </c>
      <c r="D27" s="42">
        <v>18963762</v>
      </c>
      <c r="E27" s="41">
        <f t="shared" si="1"/>
        <v>3179</v>
      </c>
      <c r="F27" s="42">
        <v>33967270</v>
      </c>
      <c r="G27" s="41">
        <f t="shared" si="2"/>
        <v>5091</v>
      </c>
      <c r="H27" s="42">
        <v>15046354</v>
      </c>
      <c r="I27" s="41">
        <f t="shared" si="3"/>
        <v>2130</v>
      </c>
    </row>
    <row r="28" spans="1:9" ht="21" thickTop="1" thickBot="1" x14ac:dyDescent="0.35">
      <c r="A28" s="39">
        <f t="shared" si="4"/>
        <v>44209</v>
      </c>
      <c r="B28" s="40">
        <v>128015</v>
      </c>
      <c r="C28" s="41">
        <f t="shared" si="0"/>
        <v>390</v>
      </c>
      <c r="D28" s="42">
        <v>18966941</v>
      </c>
      <c r="E28" s="41">
        <f t="shared" si="1"/>
        <v>3111</v>
      </c>
      <c r="F28" s="42">
        <v>33972361</v>
      </c>
      <c r="G28" s="41">
        <f t="shared" si="2"/>
        <v>4849</v>
      </c>
      <c r="H28" s="42">
        <v>15048484</v>
      </c>
      <c r="I28" s="41">
        <f t="shared" si="3"/>
        <v>2128</v>
      </c>
    </row>
    <row r="29" spans="1:9" ht="21" thickTop="1" thickBot="1" x14ac:dyDescent="0.35">
      <c r="A29" s="39">
        <f t="shared" si="4"/>
        <v>44210</v>
      </c>
      <c r="B29" s="40">
        <v>128054</v>
      </c>
      <c r="C29" s="41">
        <f t="shared" si="0"/>
        <v>480</v>
      </c>
      <c r="D29" s="42">
        <v>18970052</v>
      </c>
      <c r="E29" s="41">
        <f t="shared" si="1"/>
        <v>3056</v>
      </c>
      <c r="F29" s="42">
        <v>33977210</v>
      </c>
      <c r="G29" s="41">
        <f t="shared" si="2"/>
        <v>4731</v>
      </c>
      <c r="H29" s="42">
        <v>15050612</v>
      </c>
      <c r="I29" s="41">
        <f t="shared" si="3"/>
        <v>1976</v>
      </c>
    </row>
    <row r="30" spans="1:9" ht="21" thickTop="1" thickBot="1" x14ac:dyDescent="0.35">
      <c r="A30" s="39">
        <f t="shared" si="4"/>
        <v>44211</v>
      </c>
      <c r="B30" s="40">
        <v>128102</v>
      </c>
      <c r="C30" s="41">
        <f t="shared" si="0"/>
        <v>270</v>
      </c>
      <c r="D30" s="42">
        <v>18973108</v>
      </c>
      <c r="E30" s="41">
        <f t="shared" si="1"/>
        <v>3006</v>
      </c>
      <c r="F30" s="42">
        <v>33981941</v>
      </c>
      <c r="G30" s="41">
        <f t="shared" si="2"/>
        <v>4862</v>
      </c>
      <c r="H30" s="42">
        <v>15052588</v>
      </c>
      <c r="I30" s="41">
        <f t="shared" si="3"/>
        <v>2124</v>
      </c>
    </row>
    <row r="31" spans="1:9" ht="21" thickTop="1" thickBot="1" x14ac:dyDescent="0.35">
      <c r="A31" s="39">
        <f t="shared" si="4"/>
        <v>44212</v>
      </c>
      <c r="B31" s="40">
        <v>128129</v>
      </c>
      <c r="C31" s="41">
        <f t="shared" si="0"/>
        <v>600</v>
      </c>
      <c r="D31" s="42">
        <v>18976114</v>
      </c>
      <c r="E31" s="41">
        <f t="shared" si="1"/>
        <v>3014</v>
      </c>
      <c r="F31" s="42">
        <v>33986803</v>
      </c>
      <c r="G31" s="41">
        <f t="shared" si="2"/>
        <v>4591</v>
      </c>
      <c r="H31" s="42">
        <v>15054712</v>
      </c>
      <c r="I31" s="41">
        <f t="shared" si="3"/>
        <v>2018</v>
      </c>
    </row>
    <row r="32" spans="1:9" ht="21" thickTop="1" thickBot="1" x14ac:dyDescent="0.35">
      <c r="A32" s="39">
        <f t="shared" si="4"/>
        <v>44213</v>
      </c>
      <c r="B32" s="40">
        <v>128189</v>
      </c>
      <c r="C32" s="41">
        <f t="shared" si="0"/>
        <v>360</v>
      </c>
      <c r="D32" s="42">
        <v>18979128</v>
      </c>
      <c r="E32" s="41">
        <f t="shared" si="1"/>
        <v>3013</v>
      </c>
      <c r="F32" s="42">
        <v>33991394</v>
      </c>
      <c r="G32" s="41">
        <f t="shared" si="2"/>
        <v>4512</v>
      </c>
      <c r="H32" s="42">
        <v>15056730</v>
      </c>
      <c r="I32" s="41">
        <f t="shared" si="3"/>
        <v>1977</v>
      </c>
    </row>
    <row r="33" spans="1:9" ht="21" thickTop="1" thickBot="1" x14ac:dyDescent="0.35">
      <c r="A33" s="39">
        <f t="shared" si="4"/>
        <v>44214</v>
      </c>
      <c r="B33" s="40">
        <v>128225</v>
      </c>
      <c r="C33" s="41">
        <f t="shared" si="0"/>
        <v>340</v>
      </c>
      <c r="D33" s="42">
        <v>18982141</v>
      </c>
      <c r="E33" s="41">
        <f t="shared" si="1"/>
        <v>3607</v>
      </c>
      <c r="F33" s="42">
        <v>33995906</v>
      </c>
      <c r="G33" s="41">
        <f t="shared" si="2"/>
        <v>4663</v>
      </c>
      <c r="H33" s="42">
        <v>15058707</v>
      </c>
      <c r="I33" s="41">
        <f t="shared" si="3"/>
        <v>2081</v>
      </c>
    </row>
    <row r="34" spans="1:9" ht="21" thickTop="1" thickBot="1" x14ac:dyDescent="0.35">
      <c r="A34" s="39">
        <f t="shared" si="4"/>
        <v>44215</v>
      </c>
      <c r="B34" s="40">
        <v>128259</v>
      </c>
      <c r="C34" s="41">
        <f>(B35+58)</f>
        <v>320</v>
      </c>
      <c r="D34" s="42">
        <v>18985748</v>
      </c>
      <c r="E34" s="41">
        <f t="shared" si="1"/>
        <v>3218</v>
      </c>
      <c r="F34" s="42">
        <v>34000569</v>
      </c>
      <c r="G34" s="41">
        <f t="shared" si="2"/>
        <v>4982</v>
      </c>
      <c r="H34" s="42">
        <v>15060788</v>
      </c>
      <c r="I34" s="41">
        <f t="shared" si="3"/>
        <v>2087</v>
      </c>
    </row>
    <row r="35" spans="1:9" ht="21" thickTop="1" thickBot="1" x14ac:dyDescent="0.35">
      <c r="A35" s="39">
        <f t="shared" si="4"/>
        <v>44216</v>
      </c>
      <c r="B35" s="40">
        <v>262</v>
      </c>
      <c r="C35" s="41">
        <f>IF(B36&lt;B35,0,B36-B35)</f>
        <v>395</v>
      </c>
      <c r="D35" s="42">
        <v>18988966</v>
      </c>
      <c r="E35" s="41">
        <f t="shared" si="1"/>
        <v>3559</v>
      </c>
      <c r="F35" s="42">
        <v>34005551</v>
      </c>
      <c r="G35" s="41">
        <f t="shared" si="2"/>
        <v>5280</v>
      </c>
      <c r="H35" s="42">
        <v>15062875</v>
      </c>
      <c r="I35" s="41">
        <f t="shared" si="3"/>
        <v>2233</v>
      </c>
    </row>
    <row r="36" spans="1:9" ht="21" thickTop="1" thickBot="1" x14ac:dyDescent="0.35">
      <c r="A36" s="39">
        <f t="shared" si="4"/>
        <v>44217</v>
      </c>
      <c r="B36" s="40">
        <v>657</v>
      </c>
      <c r="C36" s="41">
        <f t="shared" ref="C36:C47" si="5">IF(B37&lt;B36,0,B37-B36)</f>
        <v>384</v>
      </c>
      <c r="D36" s="42">
        <v>18992525</v>
      </c>
      <c r="E36" s="41">
        <f t="shared" si="1"/>
        <v>3535</v>
      </c>
      <c r="F36" s="42">
        <v>34010831</v>
      </c>
      <c r="G36" s="41">
        <f t="shared" si="2"/>
        <v>5187</v>
      </c>
      <c r="H36" s="42">
        <v>15065108</v>
      </c>
      <c r="I36" s="41">
        <f t="shared" si="3"/>
        <v>2216</v>
      </c>
    </row>
    <row r="37" spans="1:9" ht="21" thickTop="1" thickBot="1" x14ac:dyDescent="0.35">
      <c r="A37" s="39">
        <f t="shared" si="4"/>
        <v>44218</v>
      </c>
      <c r="B37" s="40">
        <v>1041</v>
      </c>
      <c r="C37" s="41">
        <f t="shared" si="5"/>
        <v>338</v>
      </c>
      <c r="D37" s="42">
        <v>18996060</v>
      </c>
      <c r="E37" s="41">
        <f t="shared" si="1"/>
        <v>3130</v>
      </c>
      <c r="F37" s="42">
        <v>34016018</v>
      </c>
      <c r="G37" s="41">
        <f t="shared" si="2"/>
        <v>5296</v>
      </c>
      <c r="H37" s="42">
        <v>15067324</v>
      </c>
      <c r="I37" s="41">
        <f t="shared" si="3"/>
        <v>2291</v>
      </c>
    </row>
    <row r="38" spans="1:9" ht="21" thickTop="1" thickBot="1" x14ac:dyDescent="0.35">
      <c r="A38" s="39">
        <f t="shared" si="4"/>
        <v>44219</v>
      </c>
      <c r="B38" s="40">
        <v>1379</v>
      </c>
      <c r="C38" s="41">
        <f t="shared" si="5"/>
        <v>293</v>
      </c>
      <c r="D38" s="42">
        <v>18999190</v>
      </c>
      <c r="E38" s="41">
        <f t="shared" si="1"/>
        <v>4036</v>
      </c>
      <c r="F38" s="42">
        <v>34021314</v>
      </c>
      <c r="G38" s="41">
        <f t="shared" si="2"/>
        <v>5556</v>
      </c>
      <c r="H38" s="42">
        <v>15069615</v>
      </c>
      <c r="I38" s="41">
        <f t="shared" si="3"/>
        <v>2511</v>
      </c>
    </row>
    <row r="39" spans="1:9" ht="21" thickTop="1" thickBot="1" x14ac:dyDescent="0.35">
      <c r="A39" s="39">
        <f t="shared" si="4"/>
        <v>44220</v>
      </c>
      <c r="B39" s="40">
        <v>1672</v>
      </c>
      <c r="C39" s="41">
        <f t="shared" si="5"/>
        <v>221</v>
      </c>
      <c r="D39" s="42">
        <v>19003226</v>
      </c>
      <c r="E39" s="41">
        <f t="shared" si="1"/>
        <v>3244</v>
      </c>
      <c r="F39" s="42">
        <v>34026870</v>
      </c>
      <c r="G39" s="41">
        <f t="shared" si="2"/>
        <v>5420</v>
      </c>
      <c r="H39" s="42">
        <v>15072126</v>
      </c>
      <c r="I39" s="41">
        <f t="shared" si="3"/>
        <v>2251</v>
      </c>
    </row>
    <row r="40" spans="1:9" ht="21" thickTop="1" thickBot="1" x14ac:dyDescent="0.35">
      <c r="A40" s="39">
        <f t="shared" si="4"/>
        <v>44221</v>
      </c>
      <c r="B40" s="40">
        <v>1893</v>
      </c>
      <c r="C40" s="41">
        <f t="shared" si="5"/>
        <v>406</v>
      </c>
      <c r="D40" s="42">
        <v>19006470</v>
      </c>
      <c r="E40" s="41">
        <f t="shared" si="1"/>
        <v>3048</v>
      </c>
      <c r="F40" s="42">
        <v>34032290</v>
      </c>
      <c r="G40" s="41">
        <f t="shared" si="2"/>
        <v>4845</v>
      </c>
      <c r="H40" s="42">
        <v>15074377</v>
      </c>
      <c r="I40" s="41">
        <f t="shared" si="3"/>
        <v>2102</v>
      </c>
    </row>
    <row r="41" spans="1:9" ht="21" thickTop="1" thickBot="1" x14ac:dyDescent="0.35">
      <c r="A41" s="39">
        <f t="shared" si="4"/>
        <v>44222</v>
      </c>
      <c r="B41" s="40">
        <v>2299</v>
      </c>
      <c r="C41" s="41">
        <f t="shared" si="5"/>
        <v>295</v>
      </c>
      <c r="D41" s="42">
        <v>19009518</v>
      </c>
      <c r="E41" s="41">
        <f t="shared" si="1"/>
        <v>3534</v>
      </c>
      <c r="F41" s="42">
        <v>34037135</v>
      </c>
      <c r="G41" s="41">
        <f t="shared" si="2"/>
        <v>4778</v>
      </c>
      <c r="H41" s="42">
        <v>15076479</v>
      </c>
      <c r="I41" s="41">
        <f t="shared" si="3"/>
        <v>2076</v>
      </c>
    </row>
    <row r="42" spans="1:9" ht="21" thickTop="1" thickBot="1" x14ac:dyDescent="0.35">
      <c r="A42" s="39">
        <f t="shared" si="4"/>
        <v>44223</v>
      </c>
      <c r="B42" s="40">
        <v>2594</v>
      </c>
      <c r="C42" s="41">
        <f t="shared" si="5"/>
        <v>284</v>
      </c>
      <c r="D42" s="42">
        <v>19013052</v>
      </c>
      <c r="E42" s="41">
        <f t="shared" si="1"/>
        <v>3274</v>
      </c>
      <c r="F42" s="42">
        <v>34041913</v>
      </c>
      <c r="G42" s="41">
        <f t="shared" si="2"/>
        <v>5706</v>
      </c>
      <c r="H42" s="42">
        <v>15078555</v>
      </c>
      <c r="I42" s="41">
        <f t="shared" si="3"/>
        <v>2466</v>
      </c>
    </row>
    <row r="43" spans="1:9" ht="21" thickTop="1" thickBot="1" x14ac:dyDescent="0.35">
      <c r="A43" s="39">
        <f t="shared" si="4"/>
        <v>44224</v>
      </c>
      <c r="B43" s="40">
        <v>2878</v>
      </c>
      <c r="C43" s="41">
        <f t="shared" si="5"/>
        <v>233</v>
      </c>
      <c r="D43" s="42">
        <v>19016326</v>
      </c>
      <c r="E43" s="41">
        <f t="shared" si="1"/>
        <v>3755</v>
      </c>
      <c r="F43" s="42">
        <v>34047619</v>
      </c>
      <c r="G43" s="41">
        <f t="shared" si="2"/>
        <v>5364</v>
      </c>
      <c r="H43" s="42">
        <v>15081021</v>
      </c>
      <c r="I43" s="41">
        <f t="shared" si="3"/>
        <v>2415</v>
      </c>
    </row>
    <row r="44" spans="1:9" ht="21" thickTop="1" thickBot="1" x14ac:dyDescent="0.35">
      <c r="A44" s="39">
        <f t="shared" si="4"/>
        <v>44225</v>
      </c>
      <c r="B44" s="40">
        <v>3111</v>
      </c>
      <c r="C44" s="41">
        <f t="shared" si="5"/>
        <v>455</v>
      </c>
      <c r="D44" s="42">
        <v>19020081</v>
      </c>
      <c r="E44" s="41">
        <f t="shared" si="1"/>
        <v>3801</v>
      </c>
      <c r="F44" s="42">
        <v>34052983</v>
      </c>
      <c r="G44" s="41">
        <f t="shared" si="2"/>
        <v>5658</v>
      </c>
      <c r="H44" s="42">
        <v>15083436</v>
      </c>
      <c r="I44" s="41">
        <f t="shared" si="3"/>
        <v>2670</v>
      </c>
    </row>
    <row r="45" spans="1:9" ht="21" thickTop="1" thickBot="1" x14ac:dyDescent="0.35">
      <c r="A45" s="39">
        <f t="shared" si="4"/>
        <v>44226</v>
      </c>
      <c r="B45" s="40">
        <v>3566</v>
      </c>
      <c r="C45" s="41">
        <f t="shared" si="5"/>
        <v>250</v>
      </c>
      <c r="D45" s="42">
        <v>19023882</v>
      </c>
      <c r="E45" s="41">
        <f t="shared" si="1"/>
        <v>3232</v>
      </c>
      <c r="F45" s="42">
        <v>34058641</v>
      </c>
      <c r="G45" s="41">
        <f t="shared" si="2"/>
        <v>5083</v>
      </c>
      <c r="H45" s="42">
        <v>15086106</v>
      </c>
      <c r="I45" s="41">
        <f t="shared" si="3"/>
        <v>2216</v>
      </c>
    </row>
    <row r="46" spans="1:9" ht="21" thickTop="1" thickBot="1" x14ac:dyDescent="0.35">
      <c r="A46" s="39">
        <f t="shared" si="4"/>
        <v>44227</v>
      </c>
      <c r="B46" s="40">
        <v>3816</v>
      </c>
      <c r="C46" s="41">
        <f t="shared" si="5"/>
        <v>212</v>
      </c>
      <c r="D46" s="42">
        <v>19027114</v>
      </c>
      <c r="E46" s="41">
        <f t="shared" si="1"/>
        <v>3162</v>
      </c>
      <c r="F46" s="42">
        <v>34063724</v>
      </c>
      <c r="G46" s="41">
        <f t="shared" si="2"/>
        <v>4664</v>
      </c>
      <c r="H46" s="42">
        <v>15088322</v>
      </c>
      <c r="I46" s="41">
        <f t="shared" si="3"/>
        <v>2222</v>
      </c>
    </row>
    <row r="47" spans="1:9" ht="21" thickTop="1" thickBot="1" x14ac:dyDescent="0.35">
      <c r="A47" s="39">
        <f t="shared" si="4"/>
        <v>44228</v>
      </c>
      <c r="B47" s="40">
        <v>4028</v>
      </c>
      <c r="C47" s="41">
        <f t="shared" si="5"/>
        <v>0</v>
      </c>
      <c r="D47" s="42">
        <v>19030276</v>
      </c>
      <c r="E47" s="41">
        <f t="shared" si="1"/>
        <v>0</v>
      </c>
      <c r="F47" s="42">
        <v>34068388</v>
      </c>
      <c r="G47" s="41">
        <f t="shared" si="2"/>
        <v>0</v>
      </c>
      <c r="H47" s="42">
        <v>15090544</v>
      </c>
      <c r="I47" s="41">
        <f t="shared" si="3"/>
        <v>0</v>
      </c>
    </row>
    <row r="48" spans="1:9" ht="21.75" customHeight="1" thickTop="1" thickBot="1" x14ac:dyDescent="0.35">
      <c r="A48" s="43"/>
      <c r="C48" s="41">
        <f>SUM(C16:C46)</f>
        <v>10106</v>
      </c>
      <c r="E48" s="41">
        <f>SUM(E16:E46)</f>
        <v>102558</v>
      </c>
      <c r="F48" s="53"/>
      <c r="G48" s="41">
        <f>SUM(G16:G46)</f>
        <v>157042</v>
      </c>
      <c r="H48" s="53"/>
      <c r="I48" s="41">
        <f>SUM(I16:I46)</f>
        <v>67931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2" priority="1150" stopIfTrue="1" operator="lessThanOrEqual">
      <formula>0</formula>
    </cfRule>
  </conditionalFormatting>
  <conditionalFormatting sqref="C48">
    <cfRule type="cellIs" dxfId="91" priority="812" stopIfTrue="1" operator="lessThanOrEqual">
      <formula>0</formula>
    </cfRule>
  </conditionalFormatting>
  <conditionalFormatting sqref="C48">
    <cfRule type="cellIs" dxfId="90" priority="811" stopIfTrue="1" operator="lessThanOrEqual">
      <formula>0</formula>
    </cfRule>
  </conditionalFormatting>
  <conditionalFormatting sqref="C48">
    <cfRule type="cellIs" dxfId="89" priority="810" stopIfTrue="1" operator="lessThanOrEqual">
      <formula>0</formula>
    </cfRule>
  </conditionalFormatting>
  <conditionalFormatting sqref="C48">
    <cfRule type="cellIs" dxfId="88" priority="809" stopIfTrue="1" operator="lessThanOrEqual">
      <formula>0</formula>
    </cfRule>
  </conditionalFormatting>
  <conditionalFormatting sqref="C9">
    <cfRule type="cellIs" dxfId="83" priority="96" stopIfTrue="1" operator="lessThanOrEqual">
      <formula>0</formula>
    </cfRule>
  </conditionalFormatting>
  <conditionalFormatting sqref="C9">
    <cfRule type="cellIs" dxfId="82" priority="95" stopIfTrue="1" operator="lessThanOrEqual">
      <formula>0</formula>
    </cfRule>
  </conditionalFormatting>
  <conditionalFormatting sqref="C9">
    <cfRule type="cellIs" dxfId="81" priority="94" stopIfTrue="1" operator="lessThanOrEqual">
      <formula>0</formula>
    </cfRule>
  </conditionalFormatting>
  <conditionalFormatting sqref="C9">
    <cfRule type="cellIs" dxfId="80" priority="93" stopIfTrue="1" operator="lessThanOrEqual">
      <formula>0</formula>
    </cfRule>
  </conditionalFormatting>
  <conditionalFormatting sqref="C10:C12">
    <cfRule type="cellIs" dxfId="79" priority="92" stopIfTrue="1" operator="lessThanOrEqual">
      <formula>0</formula>
    </cfRule>
  </conditionalFormatting>
  <conditionalFormatting sqref="C10:C12">
    <cfRule type="cellIs" dxfId="78" priority="91" stopIfTrue="1" operator="lessThanOrEqual">
      <formula>0</formula>
    </cfRule>
  </conditionalFormatting>
  <conditionalFormatting sqref="C10:C12">
    <cfRule type="cellIs" dxfId="77" priority="90" stopIfTrue="1" operator="lessThanOrEqual">
      <formula>0</formula>
    </cfRule>
  </conditionalFormatting>
  <conditionalFormatting sqref="C10:C12">
    <cfRule type="cellIs" dxfId="76" priority="89" stopIfTrue="1" operator="lessThanOrEqual">
      <formula>0</formula>
    </cfRule>
  </conditionalFormatting>
  <conditionalFormatting sqref="C13">
    <cfRule type="cellIs" dxfId="75" priority="88" stopIfTrue="1" operator="lessThanOrEqual">
      <formula>0</formula>
    </cfRule>
  </conditionalFormatting>
  <conditionalFormatting sqref="C13">
    <cfRule type="cellIs" dxfId="74" priority="87" stopIfTrue="1" operator="lessThanOrEqual">
      <formula>0</formula>
    </cfRule>
  </conditionalFormatting>
  <conditionalFormatting sqref="C13">
    <cfRule type="cellIs" dxfId="73" priority="86" stopIfTrue="1" operator="lessThanOrEqual">
      <formula>0</formula>
    </cfRule>
  </conditionalFormatting>
  <conditionalFormatting sqref="C13">
    <cfRule type="cellIs" dxfId="72" priority="85" stopIfTrue="1" operator="lessThanOrEqual">
      <formula>0</formula>
    </cfRule>
  </conditionalFormatting>
  <conditionalFormatting sqref="C14:C16">
    <cfRule type="cellIs" dxfId="71" priority="84" stopIfTrue="1" operator="lessThanOrEqual">
      <formula>0</formula>
    </cfRule>
  </conditionalFormatting>
  <conditionalFormatting sqref="C14:C16">
    <cfRule type="cellIs" dxfId="70" priority="83" stopIfTrue="1" operator="lessThanOrEqual">
      <formula>0</formula>
    </cfRule>
  </conditionalFormatting>
  <conditionalFormatting sqref="C14:C16">
    <cfRule type="cellIs" dxfId="69" priority="82" stopIfTrue="1" operator="lessThanOrEqual">
      <formula>0</formula>
    </cfRule>
  </conditionalFormatting>
  <conditionalFormatting sqref="C14:C16">
    <cfRule type="cellIs" dxfId="68" priority="81" stopIfTrue="1" operator="lessThanOrEqual">
      <formula>0</formula>
    </cfRule>
  </conditionalFormatting>
  <conditionalFormatting sqref="C17:C20">
    <cfRule type="cellIs" dxfId="67" priority="80" stopIfTrue="1" operator="lessThanOrEqual">
      <formula>0</formula>
    </cfRule>
  </conditionalFormatting>
  <conditionalFormatting sqref="C17:C20">
    <cfRule type="cellIs" dxfId="66" priority="79" stopIfTrue="1" operator="lessThanOrEqual">
      <formula>0</formula>
    </cfRule>
  </conditionalFormatting>
  <conditionalFormatting sqref="C17:C20">
    <cfRule type="cellIs" dxfId="65" priority="78" stopIfTrue="1" operator="lessThanOrEqual">
      <formula>0</formula>
    </cfRule>
  </conditionalFormatting>
  <conditionalFormatting sqref="C17:C20">
    <cfRule type="cellIs" dxfId="64" priority="77" stopIfTrue="1" operator="lessThanOrEqual">
      <formula>0</formula>
    </cfRule>
  </conditionalFormatting>
  <conditionalFormatting sqref="C21">
    <cfRule type="cellIs" dxfId="63" priority="76" stopIfTrue="1" operator="lessThanOrEqual">
      <formula>0</formula>
    </cfRule>
  </conditionalFormatting>
  <conditionalFormatting sqref="C21">
    <cfRule type="cellIs" dxfId="62" priority="75" stopIfTrue="1" operator="lessThanOrEqual">
      <formula>0</formula>
    </cfRule>
  </conditionalFormatting>
  <conditionalFormatting sqref="C21">
    <cfRule type="cellIs" dxfId="61" priority="74" stopIfTrue="1" operator="lessThanOrEqual">
      <formula>0</formula>
    </cfRule>
  </conditionalFormatting>
  <conditionalFormatting sqref="C21">
    <cfRule type="cellIs" dxfId="60" priority="73" stopIfTrue="1" operator="lessThanOrEqual">
      <formula>0</formula>
    </cfRule>
  </conditionalFormatting>
  <conditionalFormatting sqref="C22:C24">
    <cfRule type="cellIs" dxfId="59" priority="72" stopIfTrue="1" operator="lessThanOrEqual">
      <formula>0</formula>
    </cfRule>
  </conditionalFormatting>
  <conditionalFormatting sqref="C22:C24">
    <cfRule type="cellIs" dxfId="58" priority="71" stopIfTrue="1" operator="lessThanOrEqual">
      <formula>0</formula>
    </cfRule>
  </conditionalFormatting>
  <conditionalFormatting sqref="C22:C24">
    <cfRule type="cellIs" dxfId="57" priority="70" stopIfTrue="1" operator="lessThanOrEqual">
      <formula>0</formula>
    </cfRule>
  </conditionalFormatting>
  <conditionalFormatting sqref="C22:C24">
    <cfRule type="cellIs" dxfId="56" priority="69" stopIfTrue="1" operator="lessThanOrEqual">
      <formula>0</formula>
    </cfRule>
  </conditionalFormatting>
  <conditionalFormatting sqref="E48">
    <cfRule type="cellIs" dxfId="55" priority="56" stopIfTrue="1" operator="lessThanOrEqual">
      <formula>0</formula>
    </cfRule>
  </conditionalFormatting>
  <conditionalFormatting sqref="E48">
    <cfRule type="cellIs" dxfId="54" priority="55" stopIfTrue="1" operator="lessThanOrEqual">
      <formula>0</formula>
    </cfRule>
  </conditionalFormatting>
  <conditionalFormatting sqref="E48">
    <cfRule type="cellIs" dxfId="53" priority="54" stopIfTrue="1" operator="lessThanOrEqual">
      <formula>0</formula>
    </cfRule>
  </conditionalFormatting>
  <conditionalFormatting sqref="E48">
    <cfRule type="cellIs" dxfId="52" priority="53" stopIfTrue="1" operator="lessThanOrEqual">
      <formula>0</formula>
    </cfRule>
  </conditionalFormatting>
  <conditionalFormatting sqref="G48">
    <cfRule type="cellIs" dxfId="51" priority="52" stopIfTrue="1" operator="lessThanOrEqual">
      <formula>0</formula>
    </cfRule>
  </conditionalFormatting>
  <conditionalFormatting sqref="G48">
    <cfRule type="cellIs" dxfId="50" priority="51" stopIfTrue="1" operator="lessThanOrEqual">
      <formula>0</formula>
    </cfRule>
  </conditionalFormatting>
  <conditionalFormatting sqref="G48">
    <cfRule type="cellIs" dxfId="49" priority="50" stopIfTrue="1" operator="lessThanOrEqual">
      <formula>0</formula>
    </cfRule>
  </conditionalFormatting>
  <conditionalFormatting sqref="G48">
    <cfRule type="cellIs" dxfId="48" priority="49" stopIfTrue="1" operator="lessThanOrEqual">
      <formula>0</formula>
    </cfRule>
  </conditionalFormatting>
  <conditionalFormatting sqref="I48">
    <cfRule type="cellIs" dxfId="47" priority="48" stopIfTrue="1" operator="lessThanOrEqual">
      <formula>0</formula>
    </cfRule>
  </conditionalFormatting>
  <conditionalFormatting sqref="I48">
    <cfRule type="cellIs" dxfId="46" priority="47" stopIfTrue="1" operator="lessThanOrEqual">
      <formula>0</formula>
    </cfRule>
  </conditionalFormatting>
  <conditionalFormatting sqref="I48">
    <cfRule type="cellIs" dxfId="45" priority="46" stopIfTrue="1" operator="lessThanOrEqual">
      <formula>0</formula>
    </cfRule>
  </conditionalFormatting>
  <conditionalFormatting sqref="I48">
    <cfRule type="cellIs" dxfId="44" priority="45" stopIfTrue="1" operator="lessThanOrEqual">
      <formula>0</formula>
    </cfRule>
  </conditionalFormatting>
  <conditionalFormatting sqref="C25">
    <cfRule type="cellIs" dxfId="43" priority="44" stopIfTrue="1" operator="lessThanOrEqual">
      <formula>0</formula>
    </cfRule>
  </conditionalFormatting>
  <conditionalFormatting sqref="C25">
    <cfRule type="cellIs" dxfId="42" priority="43" stopIfTrue="1" operator="lessThanOrEqual">
      <formula>0</formula>
    </cfRule>
  </conditionalFormatting>
  <conditionalFormatting sqref="C25">
    <cfRule type="cellIs" dxfId="41" priority="42" stopIfTrue="1" operator="lessThanOrEqual">
      <formula>0</formula>
    </cfRule>
  </conditionalFormatting>
  <conditionalFormatting sqref="C25">
    <cfRule type="cellIs" dxfId="40" priority="41" stopIfTrue="1" operator="lessThanOrEqual">
      <formula>0</formula>
    </cfRule>
  </conditionalFormatting>
  <conditionalFormatting sqref="C26">
    <cfRule type="cellIs" dxfId="39" priority="40" stopIfTrue="1" operator="lessThanOrEqual">
      <formula>0</formula>
    </cfRule>
  </conditionalFormatting>
  <conditionalFormatting sqref="C26">
    <cfRule type="cellIs" dxfId="38" priority="39" stopIfTrue="1" operator="lessThanOrEqual">
      <formula>0</formula>
    </cfRule>
  </conditionalFormatting>
  <conditionalFormatting sqref="C26">
    <cfRule type="cellIs" dxfId="37" priority="38" stopIfTrue="1" operator="lessThanOrEqual">
      <formula>0</formula>
    </cfRule>
  </conditionalFormatting>
  <conditionalFormatting sqref="C26">
    <cfRule type="cellIs" dxfId="36" priority="37" stopIfTrue="1" operator="lessThanOrEqual">
      <formula>0</formula>
    </cfRule>
  </conditionalFormatting>
  <conditionalFormatting sqref="C27:C28">
    <cfRule type="cellIs" dxfId="35" priority="36" stopIfTrue="1" operator="lessThanOrEqual">
      <formula>0</formula>
    </cfRule>
  </conditionalFormatting>
  <conditionalFormatting sqref="C27:C28">
    <cfRule type="cellIs" dxfId="34" priority="35" stopIfTrue="1" operator="lessThanOrEqual">
      <formula>0</formula>
    </cfRule>
  </conditionalFormatting>
  <conditionalFormatting sqref="C27:C28">
    <cfRule type="cellIs" dxfId="33" priority="34" stopIfTrue="1" operator="lessThanOrEqual">
      <formula>0</formula>
    </cfRule>
  </conditionalFormatting>
  <conditionalFormatting sqref="C27:C28">
    <cfRule type="cellIs" dxfId="32" priority="33" stopIfTrue="1" operator="lessThanOrEqual">
      <formula>0</formula>
    </cfRule>
  </conditionalFormatting>
  <conditionalFormatting sqref="C29:C31">
    <cfRule type="cellIs" dxfId="31" priority="32" stopIfTrue="1" operator="lessThanOrEqual">
      <formula>0</formula>
    </cfRule>
  </conditionalFormatting>
  <conditionalFormatting sqref="C29:C31">
    <cfRule type="cellIs" dxfId="30" priority="31" stopIfTrue="1" operator="lessThanOrEqual">
      <formula>0</formula>
    </cfRule>
  </conditionalFormatting>
  <conditionalFormatting sqref="C29:C31">
    <cfRule type="cellIs" dxfId="29" priority="30" stopIfTrue="1" operator="lessThanOrEqual">
      <formula>0</formula>
    </cfRule>
  </conditionalFormatting>
  <conditionalFormatting sqref="C29:C31">
    <cfRule type="cellIs" dxfId="28" priority="29" stopIfTrue="1" operator="lessThanOrEqual">
      <formula>0</formula>
    </cfRule>
  </conditionalFormatting>
  <conditionalFormatting sqref="C32:C33">
    <cfRule type="cellIs" dxfId="27" priority="28" stopIfTrue="1" operator="lessThanOrEqual">
      <formula>0</formula>
    </cfRule>
  </conditionalFormatting>
  <conditionalFormatting sqref="C32:C33">
    <cfRule type="cellIs" dxfId="26" priority="27" stopIfTrue="1" operator="lessThanOrEqual">
      <formula>0</formula>
    </cfRule>
  </conditionalFormatting>
  <conditionalFormatting sqref="C32:C33">
    <cfRule type="cellIs" dxfId="25" priority="26" stopIfTrue="1" operator="lessThanOrEqual">
      <formula>0</formula>
    </cfRule>
  </conditionalFormatting>
  <conditionalFormatting sqref="C32:C33">
    <cfRule type="cellIs" dxfId="24" priority="25" stopIfTrue="1" operator="lessThanOrEqual">
      <formula>0</formula>
    </cfRule>
  </conditionalFormatting>
  <conditionalFormatting sqref="C34">
    <cfRule type="cellIs" dxfId="23" priority="20" stopIfTrue="1" operator="lessThanOrEqual">
      <formula>0</formula>
    </cfRule>
  </conditionalFormatting>
  <conditionalFormatting sqref="C34">
    <cfRule type="cellIs" dxfId="22" priority="19" stopIfTrue="1" operator="lessThanOrEqual">
      <formula>0</formula>
    </cfRule>
  </conditionalFormatting>
  <conditionalFormatting sqref="C34">
    <cfRule type="cellIs" dxfId="21" priority="18" stopIfTrue="1" operator="lessThanOrEqual">
      <formula>0</formula>
    </cfRule>
  </conditionalFormatting>
  <conditionalFormatting sqref="C34">
    <cfRule type="cellIs" dxfId="20" priority="17" stopIfTrue="1" operator="lessThanOrEqual">
      <formula>0</formula>
    </cfRule>
  </conditionalFormatting>
  <conditionalFormatting sqref="C35:C41">
    <cfRule type="cellIs" dxfId="19" priority="16" stopIfTrue="1" operator="lessThanOrEqual">
      <formula>0</formula>
    </cfRule>
  </conditionalFormatting>
  <conditionalFormatting sqref="C35:C41">
    <cfRule type="cellIs" dxfId="18" priority="15" stopIfTrue="1" operator="lessThanOrEqual">
      <formula>0</formula>
    </cfRule>
  </conditionalFormatting>
  <conditionalFormatting sqref="C35:C41">
    <cfRule type="cellIs" dxfId="17" priority="14" stopIfTrue="1" operator="lessThanOrEqual">
      <formula>0</formula>
    </cfRule>
  </conditionalFormatting>
  <conditionalFormatting sqref="C35:C41">
    <cfRule type="cellIs" dxfId="16" priority="13" stopIfTrue="1" operator="lessThanOrEqual">
      <formula>0</formula>
    </cfRule>
  </conditionalFormatting>
  <conditionalFormatting sqref="C42:C45">
    <cfRule type="cellIs" dxfId="15" priority="12" stopIfTrue="1" operator="lessThanOrEqual">
      <formula>0</formula>
    </cfRule>
  </conditionalFormatting>
  <conditionalFormatting sqref="C42:C45">
    <cfRule type="cellIs" dxfId="14" priority="11" stopIfTrue="1" operator="lessThanOrEqual">
      <formula>0</formula>
    </cfRule>
  </conditionalFormatting>
  <conditionalFormatting sqref="C42:C45">
    <cfRule type="cellIs" dxfId="13" priority="10" stopIfTrue="1" operator="lessThanOrEqual">
      <formula>0</formula>
    </cfRule>
  </conditionalFormatting>
  <conditionalFormatting sqref="C42:C45">
    <cfRule type="cellIs" dxfId="12" priority="9" stopIfTrue="1" operator="lessThanOrEqual">
      <formula>0</formula>
    </cfRule>
  </conditionalFormatting>
  <conditionalFormatting sqref="C46">
    <cfRule type="cellIs" dxfId="11" priority="8" stopIfTrue="1" operator="lessThanOrEqual">
      <formula>0</formula>
    </cfRule>
  </conditionalFormatting>
  <conditionalFormatting sqref="C46">
    <cfRule type="cellIs" dxfId="10" priority="7" stopIfTrue="1" operator="lessThanOrEqual">
      <formula>0</formula>
    </cfRule>
  </conditionalFormatting>
  <conditionalFormatting sqref="C46">
    <cfRule type="cellIs" dxfId="9" priority="6" stopIfTrue="1" operator="lessThanOrEqual">
      <formula>0</formula>
    </cfRule>
  </conditionalFormatting>
  <conditionalFormatting sqref="C46">
    <cfRule type="cellIs" dxfId="8" priority="5" stopIfTrue="1" operator="lessThanOrEqual">
      <formula>0</formula>
    </cfRule>
  </conditionalFormatting>
  <conditionalFormatting sqref="C47">
    <cfRule type="cellIs" dxfId="7" priority="4" stopIfTrue="1" operator="lessThanOrEqual">
      <formula>0</formula>
    </cfRule>
  </conditionalFormatting>
  <conditionalFormatting sqref="C47">
    <cfRule type="cellIs" dxfId="5" priority="3" stopIfTrue="1" operator="lessThanOrEqual">
      <formula>0</formula>
    </cfRule>
  </conditionalFormatting>
  <conditionalFormatting sqref="C47">
    <cfRule type="cellIs" dxfId="3" priority="2" stopIfTrue="1" operator="lessThanOrEqual">
      <formula>0</formula>
    </cfRule>
  </conditionalFormatting>
  <conditionalFormatting sqref="C4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Suivi Gaz</vt:lpstr>
      <vt:lpstr>Suivi EAU-ELEC</vt:lpstr>
      <vt:lpstr>Feuil1</vt:lpstr>
      <vt:lpstr>'Consommation du 01.01 au 31.01'!Print_Area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2021-02-01T09:48:32Z</dcterms:modified>
</cp:coreProperties>
</file>