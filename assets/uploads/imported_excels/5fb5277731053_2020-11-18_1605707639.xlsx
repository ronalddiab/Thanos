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16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356\"/>
    </mc:Choice>
  </mc:AlternateContent>
  <xr:revisionPtr revIDLastSave="0" documentId="8_{7A0DFD04-E781-4904-903E-BCE5B52B8D9A}" xr6:coauthVersionLast="45" xr6:coauthVersionMax="45" xr10:uidLastSave="{00000000-0000-0000-0000-000000000000}"/>
  <bookViews>
    <workbookView xWindow="-120" yWindow="-120" windowWidth="15600" windowHeight="11760" tabRatio="598" firstSheet="4" activeTab="2" xr2:uid="{00000000-000D-0000-FFFF-FFFF00000000}"/>
  </bookViews>
  <sheets>
    <sheet name="TOTAL" sheetId="9" r:id="rId1"/>
    <sheet name="Submetering" sheetId="8" r:id="rId2"/>
    <sheet name="ELECT." sheetId="4" r:id="rId3"/>
    <sheet name="Gas" sheetId="5" r:id="rId4"/>
    <sheet name="Water" sheetId="3" r:id="rId5"/>
  </sheets>
  <calcPr calcId="191028" calcCompleted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8" l="1"/>
  <c r="H32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E32" i="9"/>
  <c r="J32" i="8" l="1"/>
  <c r="K32" i="8"/>
  <c r="L32" i="8"/>
  <c r="M32" i="8"/>
  <c r="N32" i="8"/>
  <c r="O32" i="8"/>
  <c r="P32" i="8"/>
  <c r="Q32" i="8"/>
  <c r="R32" i="8"/>
  <c r="S32" i="8"/>
  <c r="T32" i="8"/>
  <c r="U32" i="8"/>
  <c r="V32" i="8"/>
  <c r="X32" i="8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I32" i="8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E21" i="9" s="1"/>
  <c r="D26" i="4"/>
  <c r="D27" i="4"/>
  <c r="D28" i="4"/>
  <c r="D29" i="4"/>
  <c r="D30" i="4"/>
  <c r="D31" i="4"/>
  <c r="D32" i="4"/>
  <c r="D33" i="4"/>
  <c r="D34" i="4"/>
  <c r="D35" i="4"/>
  <c r="D36" i="4"/>
  <c r="G32" i="8"/>
  <c r="E8" i="3"/>
  <c r="E5" i="3"/>
  <c r="E7" i="3"/>
  <c r="E6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F32" i="8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E32" i="8"/>
  <c r="I32" i="9" s="1"/>
  <c r="W32" i="8"/>
  <c r="G32" i="9" s="1"/>
  <c r="F35" i="4"/>
  <c r="H31" i="8" s="1"/>
  <c r="I35" i="4"/>
  <c r="F26" i="4"/>
  <c r="H22" i="8" s="1"/>
  <c r="C23" i="5"/>
  <c r="J21" i="8"/>
  <c r="E23" i="5"/>
  <c r="G23" i="5"/>
  <c r="L21" i="8"/>
  <c r="I23" i="5"/>
  <c r="K23" i="5"/>
  <c r="N21" i="8"/>
  <c r="M23" i="5"/>
  <c r="O23" i="5"/>
  <c r="P21" i="8"/>
  <c r="Q23" i="5"/>
  <c r="Q21" i="8"/>
  <c r="S23" i="5"/>
  <c r="R21" i="8"/>
  <c r="U23" i="5"/>
  <c r="W23" i="5"/>
  <c r="T21" i="8"/>
  <c r="Y23" i="5"/>
  <c r="AA23" i="5"/>
  <c r="V21" i="8"/>
  <c r="AC23" i="5"/>
  <c r="AF23" i="5"/>
  <c r="C24" i="5"/>
  <c r="J22" i="8"/>
  <c r="E24" i="5"/>
  <c r="K22" i="8"/>
  <c r="G24" i="5"/>
  <c r="L22" i="8"/>
  <c r="I24" i="5"/>
  <c r="M22" i="8"/>
  <c r="K24" i="5"/>
  <c r="M24" i="5"/>
  <c r="O22" i="8"/>
  <c r="O24" i="5"/>
  <c r="P22" i="8"/>
  <c r="Q24" i="5"/>
  <c r="Q22" i="8"/>
  <c r="S24" i="5"/>
  <c r="U24" i="5"/>
  <c r="S22" i="8"/>
  <c r="W24" i="5"/>
  <c r="T22" i="8"/>
  <c r="Y24" i="5"/>
  <c r="U22" i="8"/>
  <c r="AA24" i="5"/>
  <c r="V22" i="8"/>
  <c r="AC24" i="5"/>
  <c r="AF24" i="5"/>
  <c r="C25" i="5"/>
  <c r="J23" i="8"/>
  <c r="E25" i="5"/>
  <c r="K23" i="8"/>
  <c r="G25" i="5"/>
  <c r="L23" i="8"/>
  <c r="I25" i="5"/>
  <c r="M23" i="8"/>
  <c r="K25" i="5"/>
  <c r="N23" i="8"/>
  <c r="M25" i="5"/>
  <c r="O25" i="5"/>
  <c r="P23" i="8"/>
  <c r="Q25" i="5"/>
  <c r="Q23" i="8"/>
  <c r="S25" i="5"/>
  <c r="U25" i="5"/>
  <c r="S23" i="8"/>
  <c r="W25" i="5"/>
  <c r="T23" i="8"/>
  <c r="Y25" i="5"/>
  <c r="U23" i="8"/>
  <c r="AA25" i="5"/>
  <c r="V23" i="8"/>
  <c r="AC25" i="5"/>
  <c r="AF25" i="5"/>
  <c r="C26" i="5"/>
  <c r="J24" i="8"/>
  <c r="E26" i="5"/>
  <c r="K24" i="8"/>
  <c r="G26" i="5"/>
  <c r="L24" i="8"/>
  <c r="I26" i="5"/>
  <c r="M24" i="8"/>
  <c r="K26" i="5"/>
  <c r="N24" i="8"/>
  <c r="M26" i="5"/>
  <c r="O24" i="8"/>
  <c r="O26" i="5"/>
  <c r="P24" i="8"/>
  <c r="Q26" i="5"/>
  <c r="S26" i="5"/>
  <c r="U26" i="5"/>
  <c r="W26" i="5"/>
  <c r="Y26" i="5"/>
  <c r="U24" i="8"/>
  <c r="AA26" i="5"/>
  <c r="V24" i="8"/>
  <c r="AC26" i="5"/>
  <c r="W24" i="8"/>
  <c r="AF26" i="5"/>
  <c r="C27" i="5"/>
  <c r="J25" i="8"/>
  <c r="E27" i="5"/>
  <c r="K25" i="8"/>
  <c r="G27" i="5"/>
  <c r="L25" i="8"/>
  <c r="I27" i="5"/>
  <c r="M25" i="8"/>
  <c r="K27" i="5"/>
  <c r="N25" i="8"/>
  <c r="M27" i="5"/>
  <c r="O27" i="5"/>
  <c r="P25" i="8"/>
  <c r="Q27" i="5"/>
  <c r="Q25" i="8"/>
  <c r="S27" i="5"/>
  <c r="U27" i="5"/>
  <c r="S25" i="8"/>
  <c r="W27" i="5"/>
  <c r="T25" i="8"/>
  <c r="Y27" i="5"/>
  <c r="U25" i="8"/>
  <c r="AA27" i="5"/>
  <c r="AC27" i="5"/>
  <c r="W25" i="8"/>
  <c r="AF27" i="5"/>
  <c r="C28" i="5"/>
  <c r="E28" i="5"/>
  <c r="K26" i="8"/>
  <c r="G28" i="5"/>
  <c r="L26" i="8"/>
  <c r="I28" i="5"/>
  <c r="K28" i="5"/>
  <c r="N26" i="8"/>
  <c r="M28" i="5"/>
  <c r="O26" i="8"/>
  <c r="O28" i="5"/>
  <c r="P26" i="8"/>
  <c r="Q28" i="5"/>
  <c r="Q26" i="8"/>
  <c r="S28" i="5"/>
  <c r="R26" i="8"/>
  <c r="U28" i="5"/>
  <c r="W28" i="5"/>
  <c r="Y28" i="5"/>
  <c r="U26" i="8"/>
  <c r="AA28" i="5"/>
  <c r="AC28" i="5"/>
  <c r="AF28" i="5"/>
  <c r="C29" i="5"/>
  <c r="J27" i="8"/>
  <c r="E29" i="5"/>
  <c r="G29" i="5"/>
  <c r="I29" i="5"/>
  <c r="M27" i="8"/>
  <c r="K29" i="5"/>
  <c r="N27" i="8"/>
  <c r="M29" i="5"/>
  <c r="O27" i="8"/>
  <c r="O29" i="5"/>
  <c r="Q29" i="5"/>
  <c r="S29" i="5"/>
  <c r="U29" i="5"/>
  <c r="S27" i="8"/>
  <c r="W29" i="5"/>
  <c r="T27" i="8"/>
  <c r="Y29" i="5"/>
  <c r="U27" i="8"/>
  <c r="AA29" i="5"/>
  <c r="AC29" i="5"/>
  <c r="W27" i="8"/>
  <c r="AF29" i="5"/>
  <c r="C30" i="5"/>
  <c r="E30" i="5"/>
  <c r="K28" i="8"/>
  <c r="G30" i="5"/>
  <c r="I30" i="5"/>
  <c r="K30" i="5"/>
  <c r="N28" i="8"/>
  <c r="M30" i="5"/>
  <c r="O30" i="5"/>
  <c r="Q30" i="5"/>
  <c r="Q28" i="8"/>
  <c r="S30" i="5"/>
  <c r="R28" i="8"/>
  <c r="U30" i="5"/>
  <c r="S28" i="8"/>
  <c r="W30" i="5"/>
  <c r="T28" i="8"/>
  <c r="Y30" i="5"/>
  <c r="U28" i="8"/>
  <c r="AA30" i="5"/>
  <c r="V28" i="8"/>
  <c r="AC30" i="5"/>
  <c r="W28" i="8"/>
  <c r="AF30" i="5"/>
  <c r="C31" i="5"/>
  <c r="J29" i="8"/>
  <c r="E31" i="5"/>
  <c r="K29" i="8"/>
  <c r="G31" i="5"/>
  <c r="L29" i="8"/>
  <c r="I31" i="5"/>
  <c r="M29" i="8"/>
  <c r="K31" i="5"/>
  <c r="N29" i="8"/>
  <c r="M31" i="5"/>
  <c r="O29" i="8"/>
  <c r="O31" i="5"/>
  <c r="P29" i="8"/>
  <c r="Q31" i="5"/>
  <c r="Q29" i="8"/>
  <c r="S31" i="5"/>
  <c r="R29" i="8"/>
  <c r="U31" i="5"/>
  <c r="S29" i="8"/>
  <c r="W31" i="5"/>
  <c r="T29" i="8"/>
  <c r="Y31" i="5"/>
  <c r="U29" i="8"/>
  <c r="AA31" i="5"/>
  <c r="V29" i="8"/>
  <c r="AC31" i="5"/>
  <c r="AF31" i="5"/>
  <c r="C32" i="5"/>
  <c r="J30" i="8"/>
  <c r="E32" i="5"/>
  <c r="K30" i="8"/>
  <c r="G32" i="5"/>
  <c r="L30" i="8"/>
  <c r="I32" i="5"/>
  <c r="M30" i="8"/>
  <c r="K32" i="5"/>
  <c r="N30" i="8"/>
  <c r="M32" i="5"/>
  <c r="O30" i="8"/>
  <c r="O32" i="5"/>
  <c r="P30" i="8"/>
  <c r="Q32" i="5"/>
  <c r="Q30" i="8"/>
  <c r="S32" i="5"/>
  <c r="R30" i="8"/>
  <c r="U32" i="5"/>
  <c r="S30" i="8"/>
  <c r="W32" i="5"/>
  <c r="T30" i="8"/>
  <c r="Y32" i="5"/>
  <c r="U30" i="8"/>
  <c r="AA32" i="5"/>
  <c r="V30" i="8"/>
  <c r="AC32" i="5"/>
  <c r="W30" i="8"/>
  <c r="AF32" i="5"/>
  <c r="C33" i="5"/>
  <c r="J31" i="8"/>
  <c r="E33" i="5"/>
  <c r="K31" i="8"/>
  <c r="G33" i="5"/>
  <c r="L31" i="8"/>
  <c r="I33" i="5"/>
  <c r="M31" i="8"/>
  <c r="K33" i="5"/>
  <c r="N31" i="8"/>
  <c r="M33" i="5"/>
  <c r="O31" i="8"/>
  <c r="O33" i="5"/>
  <c r="P31" i="8"/>
  <c r="Q33" i="5"/>
  <c r="S33" i="5"/>
  <c r="R31" i="8"/>
  <c r="U33" i="5"/>
  <c r="S31" i="8"/>
  <c r="W33" i="5"/>
  <c r="T31" i="8"/>
  <c r="Y33" i="5"/>
  <c r="U31" i="8"/>
  <c r="AA33" i="5"/>
  <c r="V31" i="8"/>
  <c r="AC33" i="5"/>
  <c r="AF33" i="5"/>
  <c r="I31" i="8"/>
  <c r="G31" i="8"/>
  <c r="G30" i="8"/>
  <c r="G29" i="8"/>
  <c r="W29" i="8"/>
  <c r="F6" i="8"/>
  <c r="F7" i="8"/>
  <c r="F8" i="8"/>
  <c r="F9" i="8"/>
  <c r="F10" i="8"/>
  <c r="F11" i="8"/>
  <c r="F12" i="8"/>
  <c r="F13" i="8"/>
  <c r="F15" i="8"/>
  <c r="F16" i="8"/>
  <c r="F17" i="8"/>
  <c r="F18" i="8"/>
  <c r="F19" i="8"/>
  <c r="F20" i="8"/>
  <c r="F21" i="8"/>
  <c r="F22" i="8"/>
  <c r="F24" i="8"/>
  <c r="F25" i="8"/>
  <c r="E26" i="8"/>
  <c r="I26" i="9" s="1"/>
  <c r="F27" i="8"/>
  <c r="F28" i="8"/>
  <c r="F29" i="8"/>
  <c r="F30" i="8"/>
  <c r="F31" i="8"/>
  <c r="I12" i="5"/>
  <c r="M10" i="8"/>
  <c r="G4" i="5"/>
  <c r="L2" i="8"/>
  <c r="X29" i="8"/>
  <c r="X30" i="8"/>
  <c r="W31" i="8"/>
  <c r="X31" i="8"/>
  <c r="E30" i="8"/>
  <c r="I30" i="9" s="1"/>
  <c r="E31" i="8"/>
  <c r="I31" i="9" s="1"/>
  <c r="F33" i="4"/>
  <c r="H29" i="8" s="1"/>
  <c r="K2" i="9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W26" i="8"/>
  <c r="W23" i="8"/>
  <c r="W22" i="8"/>
  <c r="W21" i="8"/>
  <c r="AC22" i="5"/>
  <c r="W20" i="8"/>
  <c r="AC21" i="5"/>
  <c r="W19" i="8"/>
  <c r="AC20" i="5"/>
  <c r="W18" i="8"/>
  <c r="AC19" i="5"/>
  <c r="W17" i="8"/>
  <c r="AC18" i="5"/>
  <c r="W16" i="8"/>
  <c r="AC17" i="5"/>
  <c r="W15" i="8"/>
  <c r="AC16" i="5"/>
  <c r="W14" i="8"/>
  <c r="AC15" i="5"/>
  <c r="W13" i="8"/>
  <c r="AC14" i="5"/>
  <c r="W12" i="8"/>
  <c r="AC13" i="5"/>
  <c r="W11" i="8"/>
  <c r="AC12" i="5"/>
  <c r="W10" i="8"/>
  <c r="AC11" i="5"/>
  <c r="W9" i="8"/>
  <c r="AC10" i="5"/>
  <c r="W8" i="8"/>
  <c r="AC9" i="5"/>
  <c r="W7" i="8"/>
  <c r="AC8" i="5"/>
  <c r="W6" i="8"/>
  <c r="AC7" i="5"/>
  <c r="W5" i="8"/>
  <c r="AC6" i="5"/>
  <c r="W4" i="8"/>
  <c r="AC5" i="5"/>
  <c r="W3" i="8"/>
  <c r="AC4" i="5"/>
  <c r="W2" i="8"/>
  <c r="V27" i="8"/>
  <c r="V26" i="8"/>
  <c r="V25" i="8"/>
  <c r="AA22" i="5"/>
  <c r="V20" i="8"/>
  <c r="AA21" i="5"/>
  <c r="V19" i="8"/>
  <c r="AA20" i="5"/>
  <c r="V18" i="8"/>
  <c r="AA19" i="5"/>
  <c r="V17" i="8"/>
  <c r="AA18" i="5"/>
  <c r="V16" i="8"/>
  <c r="AA17" i="5"/>
  <c r="V15" i="8"/>
  <c r="AA16" i="5"/>
  <c r="V14" i="8"/>
  <c r="AA15" i="5"/>
  <c r="V13" i="8"/>
  <c r="AA14" i="5"/>
  <c r="V12" i="8"/>
  <c r="AA13" i="5"/>
  <c r="V11" i="8"/>
  <c r="AA12" i="5"/>
  <c r="V10" i="8"/>
  <c r="AA11" i="5"/>
  <c r="V9" i="8"/>
  <c r="AA10" i="5"/>
  <c r="V8" i="8"/>
  <c r="AA9" i="5"/>
  <c r="V7" i="8"/>
  <c r="AA8" i="5"/>
  <c r="V6" i="8"/>
  <c r="AA7" i="5"/>
  <c r="V5" i="8"/>
  <c r="AA6" i="5"/>
  <c r="V4" i="8"/>
  <c r="AA5" i="5"/>
  <c r="V3" i="8"/>
  <c r="AA4" i="5"/>
  <c r="V2" i="8"/>
  <c r="U21" i="8"/>
  <c r="Y22" i="5"/>
  <c r="U20" i="8"/>
  <c r="Y21" i="5"/>
  <c r="U19" i="8"/>
  <c r="Y20" i="5"/>
  <c r="U18" i="8"/>
  <c r="Y19" i="5"/>
  <c r="U17" i="8"/>
  <c r="Y18" i="5"/>
  <c r="U16" i="8"/>
  <c r="Y17" i="5"/>
  <c r="U15" i="8"/>
  <c r="Y16" i="5"/>
  <c r="U14" i="8"/>
  <c r="Y15" i="5"/>
  <c r="U13" i="8"/>
  <c r="Y14" i="5"/>
  <c r="U12" i="8"/>
  <c r="Y13" i="5"/>
  <c r="U11" i="8"/>
  <c r="Y12" i="5"/>
  <c r="U10" i="8"/>
  <c r="Y11" i="5"/>
  <c r="U9" i="8"/>
  <c r="Y10" i="5"/>
  <c r="U8" i="8"/>
  <c r="Y9" i="5"/>
  <c r="U7" i="8"/>
  <c r="Y8" i="5"/>
  <c r="U6" i="8"/>
  <c r="Y7" i="5"/>
  <c r="U5" i="8"/>
  <c r="Y6" i="5"/>
  <c r="U4" i="8"/>
  <c r="Y5" i="5"/>
  <c r="U3" i="8"/>
  <c r="Y4" i="5"/>
  <c r="U2" i="8"/>
  <c r="T26" i="8"/>
  <c r="T24" i="8"/>
  <c r="W22" i="5"/>
  <c r="W21" i="5"/>
  <c r="T19" i="8"/>
  <c r="W20" i="5"/>
  <c r="T18" i="8"/>
  <c r="W19" i="5"/>
  <c r="T17" i="8"/>
  <c r="W18" i="5"/>
  <c r="T16" i="8"/>
  <c r="W17" i="5"/>
  <c r="T15" i="8"/>
  <c r="W16" i="5"/>
  <c r="T14" i="8"/>
  <c r="W15" i="5"/>
  <c r="T13" i="8"/>
  <c r="W14" i="5"/>
  <c r="T12" i="8"/>
  <c r="W13" i="5"/>
  <c r="T11" i="8"/>
  <c r="W12" i="5"/>
  <c r="W11" i="5"/>
  <c r="T9" i="8"/>
  <c r="W10" i="5"/>
  <c r="T8" i="8"/>
  <c r="W9" i="5"/>
  <c r="T7" i="8"/>
  <c r="W8" i="5"/>
  <c r="T6" i="8"/>
  <c r="W7" i="5"/>
  <c r="T5" i="8"/>
  <c r="W6" i="5"/>
  <c r="T4" i="8"/>
  <c r="W5" i="5"/>
  <c r="T3" i="8"/>
  <c r="W4" i="5"/>
  <c r="T2" i="8"/>
  <c r="S26" i="8"/>
  <c r="S21" i="8"/>
  <c r="U22" i="5"/>
  <c r="S20" i="8"/>
  <c r="U21" i="5"/>
  <c r="S19" i="8"/>
  <c r="U20" i="5"/>
  <c r="S18" i="8"/>
  <c r="U19" i="5"/>
  <c r="S17" i="8"/>
  <c r="U18" i="5"/>
  <c r="S16" i="8"/>
  <c r="U17" i="5"/>
  <c r="S15" i="8"/>
  <c r="U16" i="5"/>
  <c r="S14" i="8"/>
  <c r="U15" i="5"/>
  <c r="S13" i="8"/>
  <c r="U14" i="5"/>
  <c r="S12" i="8"/>
  <c r="U13" i="5"/>
  <c r="S11" i="8"/>
  <c r="U12" i="5"/>
  <c r="S10" i="8"/>
  <c r="U11" i="5"/>
  <c r="S9" i="8"/>
  <c r="U10" i="5"/>
  <c r="S8" i="8"/>
  <c r="U9" i="5"/>
  <c r="S7" i="8"/>
  <c r="U8" i="5"/>
  <c r="S6" i="8"/>
  <c r="U7" i="5"/>
  <c r="S5" i="8"/>
  <c r="U6" i="5"/>
  <c r="S4" i="8"/>
  <c r="U5" i="5"/>
  <c r="S3" i="8"/>
  <c r="U4" i="5"/>
  <c r="S2" i="8"/>
  <c r="R24" i="8"/>
  <c r="R22" i="8"/>
  <c r="S22" i="5"/>
  <c r="R20" i="8"/>
  <c r="S21" i="5"/>
  <c r="R19" i="8"/>
  <c r="S20" i="5"/>
  <c r="R18" i="8"/>
  <c r="S19" i="5"/>
  <c r="R17" i="8"/>
  <c r="S18" i="5"/>
  <c r="R16" i="8"/>
  <c r="S17" i="5"/>
  <c r="R15" i="8"/>
  <c r="S16" i="5"/>
  <c r="R14" i="8"/>
  <c r="S15" i="5"/>
  <c r="R13" i="8"/>
  <c r="S14" i="5"/>
  <c r="R12" i="8"/>
  <c r="S13" i="5"/>
  <c r="R11" i="8"/>
  <c r="S12" i="5"/>
  <c r="R10" i="8"/>
  <c r="S11" i="5"/>
  <c r="S10" i="5"/>
  <c r="R8" i="8"/>
  <c r="S9" i="5"/>
  <c r="R7" i="8"/>
  <c r="S8" i="5"/>
  <c r="R6" i="8"/>
  <c r="S7" i="5"/>
  <c r="R5" i="8"/>
  <c r="S6" i="5"/>
  <c r="R4" i="8"/>
  <c r="S5" i="5"/>
  <c r="R3" i="8"/>
  <c r="S4" i="5"/>
  <c r="R2" i="8"/>
  <c r="Q24" i="8"/>
  <c r="Q22" i="5"/>
  <c r="Q20" i="8"/>
  <c r="Q21" i="5"/>
  <c r="Q19" i="8"/>
  <c r="Q20" i="5"/>
  <c r="Q18" i="8"/>
  <c r="Q19" i="5"/>
  <c r="Q17" i="8"/>
  <c r="Q18" i="5"/>
  <c r="Q16" i="8"/>
  <c r="Q17" i="5"/>
  <c r="Q15" i="8"/>
  <c r="Q16" i="5"/>
  <c r="Q14" i="8"/>
  <c r="Q15" i="5"/>
  <c r="Q13" i="8"/>
  <c r="Q14" i="5"/>
  <c r="Q12" i="8"/>
  <c r="Q13" i="5"/>
  <c r="Q11" i="8"/>
  <c r="Q12" i="5"/>
  <c r="Q11" i="5"/>
  <c r="Q9" i="8"/>
  <c r="Q10" i="5"/>
  <c r="Q8" i="8"/>
  <c r="Q9" i="5"/>
  <c r="Q7" i="8"/>
  <c r="Q8" i="5"/>
  <c r="Q6" i="8"/>
  <c r="Q7" i="5"/>
  <c r="Q5" i="8"/>
  <c r="Q6" i="5"/>
  <c r="Q4" i="8"/>
  <c r="Q5" i="5"/>
  <c r="Q3" i="8"/>
  <c r="Q4" i="5"/>
  <c r="Q2" i="8"/>
  <c r="P28" i="8"/>
  <c r="P27" i="8"/>
  <c r="O22" i="5"/>
  <c r="P20" i="8"/>
  <c r="O21" i="5"/>
  <c r="P19" i="8"/>
  <c r="O20" i="5"/>
  <c r="P18" i="8"/>
  <c r="O19" i="5"/>
  <c r="P17" i="8"/>
  <c r="O18" i="5"/>
  <c r="P16" i="8"/>
  <c r="O17" i="5"/>
  <c r="P15" i="8"/>
  <c r="O16" i="5"/>
  <c r="O15" i="5"/>
  <c r="P13" i="8"/>
  <c r="O14" i="5"/>
  <c r="P12" i="8"/>
  <c r="O13" i="5"/>
  <c r="P11" i="8"/>
  <c r="O12" i="5"/>
  <c r="P10" i="8"/>
  <c r="O11" i="5"/>
  <c r="P9" i="8"/>
  <c r="O10" i="5"/>
  <c r="P8" i="8"/>
  <c r="O9" i="5"/>
  <c r="P7" i="8"/>
  <c r="O8" i="5"/>
  <c r="P6" i="8"/>
  <c r="O7" i="5"/>
  <c r="P5" i="8"/>
  <c r="O6" i="5"/>
  <c r="P4" i="8"/>
  <c r="O5" i="5"/>
  <c r="P3" i="8"/>
  <c r="O4" i="5"/>
  <c r="P2" i="8"/>
  <c r="O28" i="8"/>
  <c r="O23" i="8"/>
  <c r="M22" i="5"/>
  <c r="O20" i="8"/>
  <c r="M21" i="5"/>
  <c r="O19" i="8"/>
  <c r="M20" i="5"/>
  <c r="O18" i="8"/>
  <c r="M19" i="5"/>
  <c r="O17" i="8"/>
  <c r="M18" i="5"/>
  <c r="O16" i="8"/>
  <c r="M17" i="5"/>
  <c r="O15" i="8"/>
  <c r="M16" i="5"/>
  <c r="O14" i="8"/>
  <c r="M15" i="5"/>
  <c r="O13" i="8"/>
  <c r="M14" i="5"/>
  <c r="O12" i="8"/>
  <c r="M13" i="5"/>
  <c r="O11" i="8"/>
  <c r="M12" i="5"/>
  <c r="M11" i="5"/>
  <c r="O9" i="8"/>
  <c r="M10" i="5"/>
  <c r="O8" i="8"/>
  <c r="M9" i="5"/>
  <c r="O7" i="8"/>
  <c r="M8" i="5"/>
  <c r="O6" i="8"/>
  <c r="M7" i="5"/>
  <c r="O5" i="8"/>
  <c r="M6" i="5"/>
  <c r="O4" i="8"/>
  <c r="M5" i="5"/>
  <c r="O3" i="8"/>
  <c r="M4" i="5"/>
  <c r="O2" i="8"/>
  <c r="K22" i="5"/>
  <c r="K21" i="5"/>
  <c r="K20" i="5"/>
  <c r="N18" i="8"/>
  <c r="K19" i="5"/>
  <c r="N17" i="8"/>
  <c r="K18" i="5"/>
  <c r="N16" i="8"/>
  <c r="K17" i="5"/>
  <c r="N15" i="8"/>
  <c r="K16" i="5"/>
  <c r="K15" i="5"/>
  <c r="N13" i="8"/>
  <c r="K14" i="5"/>
  <c r="K13" i="5"/>
  <c r="N11" i="8"/>
  <c r="K12" i="5"/>
  <c r="N10" i="8"/>
  <c r="K11" i="5"/>
  <c r="N9" i="8"/>
  <c r="K10" i="5"/>
  <c r="N8" i="8"/>
  <c r="K9" i="5"/>
  <c r="N7" i="8"/>
  <c r="K8" i="5"/>
  <c r="N6" i="8"/>
  <c r="K7" i="5"/>
  <c r="N5" i="8"/>
  <c r="K6" i="5"/>
  <c r="K5" i="5"/>
  <c r="N3" i="8"/>
  <c r="K4" i="5"/>
  <c r="N2" i="8"/>
  <c r="M28" i="8"/>
  <c r="M21" i="8"/>
  <c r="I22" i="5"/>
  <c r="M20" i="8"/>
  <c r="I21" i="5"/>
  <c r="M19" i="8"/>
  <c r="I20" i="5"/>
  <c r="M18" i="8"/>
  <c r="I19" i="5"/>
  <c r="M17" i="8"/>
  <c r="I18" i="5"/>
  <c r="M16" i="8"/>
  <c r="I17" i="5"/>
  <c r="M15" i="8"/>
  <c r="I16" i="5"/>
  <c r="M14" i="8"/>
  <c r="I15" i="5"/>
  <c r="M13" i="8"/>
  <c r="I14" i="5"/>
  <c r="M12" i="8"/>
  <c r="I13" i="5"/>
  <c r="M11" i="8"/>
  <c r="I11" i="5"/>
  <c r="M9" i="8"/>
  <c r="I10" i="5"/>
  <c r="M8" i="8"/>
  <c r="I9" i="5"/>
  <c r="M7" i="8"/>
  <c r="I8" i="5"/>
  <c r="M6" i="8"/>
  <c r="I7" i="5"/>
  <c r="M5" i="8"/>
  <c r="I6" i="5"/>
  <c r="M4" i="8"/>
  <c r="I5" i="5"/>
  <c r="M3" i="8"/>
  <c r="I4" i="5"/>
  <c r="M2" i="8"/>
  <c r="L28" i="8"/>
  <c r="L27" i="8"/>
  <c r="G22" i="5"/>
  <c r="L20" i="8"/>
  <c r="G21" i="5"/>
  <c r="L19" i="8"/>
  <c r="G20" i="5"/>
  <c r="L18" i="8"/>
  <c r="G19" i="5"/>
  <c r="G18" i="5"/>
  <c r="L16" i="8"/>
  <c r="G17" i="5"/>
  <c r="L15" i="8"/>
  <c r="G16" i="5"/>
  <c r="L14" i="8"/>
  <c r="G15" i="5"/>
  <c r="L13" i="8"/>
  <c r="G14" i="5"/>
  <c r="G13" i="5"/>
  <c r="L11" i="8"/>
  <c r="G12" i="5"/>
  <c r="L10" i="8"/>
  <c r="G11" i="5"/>
  <c r="L9" i="8"/>
  <c r="G10" i="5"/>
  <c r="L8" i="8"/>
  <c r="G9" i="5"/>
  <c r="L7" i="8"/>
  <c r="G8" i="5"/>
  <c r="L6" i="8"/>
  <c r="G7" i="5"/>
  <c r="L5" i="8"/>
  <c r="G6" i="5"/>
  <c r="L4" i="8"/>
  <c r="G5" i="5"/>
  <c r="L3" i="8"/>
  <c r="E22" i="5"/>
  <c r="K20" i="8"/>
  <c r="E21" i="5"/>
  <c r="K19" i="8"/>
  <c r="E20" i="5"/>
  <c r="K18" i="8"/>
  <c r="E19" i="5"/>
  <c r="K17" i="8"/>
  <c r="E18" i="5"/>
  <c r="K16" i="8"/>
  <c r="E17" i="5"/>
  <c r="E16" i="5"/>
  <c r="K14" i="8"/>
  <c r="E15" i="5"/>
  <c r="K13" i="8"/>
  <c r="E14" i="5"/>
  <c r="K12" i="8"/>
  <c r="E13" i="5"/>
  <c r="K11" i="8"/>
  <c r="E12" i="5"/>
  <c r="K10" i="8"/>
  <c r="E11" i="5"/>
  <c r="K9" i="8"/>
  <c r="E10" i="5"/>
  <c r="K8" i="8"/>
  <c r="E9" i="5"/>
  <c r="K7" i="8"/>
  <c r="E8" i="5"/>
  <c r="E7" i="5"/>
  <c r="K5" i="8"/>
  <c r="E6" i="5"/>
  <c r="K4" i="8"/>
  <c r="E5" i="5"/>
  <c r="K3" i="8"/>
  <c r="E4" i="5"/>
  <c r="K2" i="8"/>
  <c r="J26" i="8"/>
  <c r="C22" i="5"/>
  <c r="C21" i="5"/>
  <c r="J19" i="8"/>
  <c r="C20" i="5"/>
  <c r="J18" i="8"/>
  <c r="C19" i="5"/>
  <c r="J17" i="8"/>
  <c r="C18" i="5"/>
  <c r="C17" i="5"/>
  <c r="J15" i="8"/>
  <c r="C16" i="5"/>
  <c r="J14" i="8"/>
  <c r="C15" i="5"/>
  <c r="C14" i="5"/>
  <c r="J12" i="8"/>
  <c r="C13" i="5"/>
  <c r="AD13" i="5"/>
  <c r="C12" i="5"/>
  <c r="J10" i="8"/>
  <c r="C11" i="5"/>
  <c r="J9" i="8"/>
  <c r="C10" i="5"/>
  <c r="J8" i="8"/>
  <c r="C9" i="5"/>
  <c r="C8" i="5"/>
  <c r="J6" i="8"/>
  <c r="C7" i="5"/>
  <c r="J5" i="8"/>
  <c r="C6" i="5"/>
  <c r="AD6" i="5"/>
  <c r="C5" i="5"/>
  <c r="J3" i="8"/>
  <c r="C4" i="5"/>
  <c r="J2" i="8"/>
  <c r="F6" i="4"/>
  <c r="F7" i="4"/>
  <c r="H3" i="8" s="1"/>
  <c r="G4" i="8"/>
  <c r="F8" i="4"/>
  <c r="H4" i="8" s="1"/>
  <c r="I4" i="8"/>
  <c r="G5" i="8"/>
  <c r="F9" i="4"/>
  <c r="H5" i="8" s="1"/>
  <c r="I5" i="8"/>
  <c r="G6" i="8"/>
  <c r="F10" i="4"/>
  <c r="H6" i="8" s="1"/>
  <c r="F11" i="4"/>
  <c r="H7" i="8" s="1"/>
  <c r="I7" i="8"/>
  <c r="F12" i="4"/>
  <c r="H8" i="8" s="1"/>
  <c r="I8" i="8"/>
  <c r="F13" i="4"/>
  <c r="H9" i="8" s="1"/>
  <c r="I9" i="8"/>
  <c r="G10" i="8"/>
  <c r="F14" i="4"/>
  <c r="H10" i="8" s="1"/>
  <c r="I10" i="8"/>
  <c r="F15" i="4"/>
  <c r="H11" i="8" s="1"/>
  <c r="F16" i="4"/>
  <c r="H12" i="8" s="1"/>
  <c r="I16" i="4"/>
  <c r="G13" i="8"/>
  <c r="F17" i="4"/>
  <c r="H13" i="8" s="1"/>
  <c r="I13" i="8"/>
  <c r="G14" i="8"/>
  <c r="F18" i="4"/>
  <c r="H14" i="8" s="1"/>
  <c r="F19" i="4"/>
  <c r="H15" i="8" s="1"/>
  <c r="F20" i="4"/>
  <c r="H16" i="8" s="1"/>
  <c r="I16" i="8"/>
  <c r="F21" i="4"/>
  <c r="H17" i="8" s="1"/>
  <c r="I17" i="8"/>
  <c r="G18" i="8"/>
  <c r="F22" i="4"/>
  <c r="H18" i="8" s="1"/>
  <c r="F23" i="4"/>
  <c r="H19" i="8" s="1"/>
  <c r="I23" i="4"/>
  <c r="G20" i="8"/>
  <c r="F24" i="4"/>
  <c r="H20" i="8" s="1"/>
  <c r="I20" i="8"/>
  <c r="I22" i="8"/>
  <c r="F27" i="4"/>
  <c r="H23" i="8" s="1"/>
  <c r="I23" i="8"/>
  <c r="F28" i="4"/>
  <c r="H24" i="8" s="1"/>
  <c r="I24" i="8"/>
  <c r="F29" i="4"/>
  <c r="H25" i="8" s="1"/>
  <c r="I25" i="8"/>
  <c r="F30" i="4"/>
  <c r="H26" i="8" s="1"/>
  <c r="I26" i="8"/>
  <c r="G27" i="8"/>
  <c r="F31" i="4"/>
  <c r="H27" i="8" s="1"/>
  <c r="I27" i="8"/>
  <c r="G28" i="8"/>
  <c r="F32" i="4"/>
  <c r="H28" i="8" s="1"/>
  <c r="I28" i="8"/>
  <c r="F34" i="4"/>
  <c r="H30" i="8" s="1"/>
  <c r="I34" i="4"/>
  <c r="E2" i="8"/>
  <c r="E3" i="8"/>
  <c r="I3" i="9" s="1"/>
  <c r="E4" i="8"/>
  <c r="I4" i="9" s="1"/>
  <c r="E6" i="8"/>
  <c r="I6" i="9" s="1"/>
  <c r="E8" i="8"/>
  <c r="I8" i="9" s="1"/>
  <c r="E9" i="8"/>
  <c r="I9" i="9" s="1"/>
  <c r="E10" i="8"/>
  <c r="I10" i="9" s="1"/>
  <c r="E12" i="8"/>
  <c r="I12" i="9" s="1"/>
  <c r="E13" i="8"/>
  <c r="I13" i="9" s="1"/>
  <c r="E14" i="8"/>
  <c r="I14" i="9" s="1"/>
  <c r="E15" i="8"/>
  <c r="I15" i="9" s="1"/>
  <c r="E16" i="8"/>
  <c r="I16" i="9" s="1"/>
  <c r="E17" i="8"/>
  <c r="I17" i="9" s="1"/>
  <c r="E18" i="8"/>
  <c r="I18" i="9" s="1"/>
  <c r="E19" i="8"/>
  <c r="I19" i="9" s="1"/>
  <c r="E20" i="8"/>
  <c r="I20" i="9" s="1"/>
  <c r="E21" i="8"/>
  <c r="I21" i="9" s="1"/>
  <c r="E22" i="8"/>
  <c r="I22" i="9" s="1"/>
  <c r="E23" i="8"/>
  <c r="I23" i="9" s="1"/>
  <c r="E24" i="8"/>
  <c r="I24" i="9" s="1"/>
  <c r="E25" i="8"/>
  <c r="I25" i="9" s="1"/>
  <c r="E27" i="8"/>
  <c r="I27" i="9" s="1"/>
  <c r="E28" i="8"/>
  <c r="I28" i="9" s="1"/>
  <c r="E29" i="8"/>
  <c r="I29" i="9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 s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 s="1"/>
  <c r="N20" i="8"/>
  <c r="O25" i="8"/>
  <c r="F4" i="8"/>
  <c r="J28" i="8"/>
  <c r="F5" i="8"/>
  <c r="E7" i="8"/>
  <c r="I7" i="9" s="1"/>
  <c r="T10" i="8"/>
  <c r="T20" i="8"/>
  <c r="R25" i="8"/>
  <c r="R27" i="8"/>
  <c r="I2" i="8"/>
  <c r="R9" i="8"/>
  <c r="G16" i="8"/>
  <c r="I29" i="8"/>
  <c r="G15" i="8"/>
  <c r="F14" i="8"/>
  <c r="I31" i="4"/>
  <c r="I6" i="8"/>
  <c r="L12" i="8"/>
  <c r="J16" i="8"/>
  <c r="I18" i="8"/>
  <c r="I14" i="8"/>
  <c r="G21" i="8"/>
  <c r="Q31" i="8"/>
  <c r="F23" i="8"/>
  <c r="E5" i="8"/>
  <c r="I5" i="9" s="1"/>
  <c r="N22" i="8"/>
  <c r="J7" i="8"/>
  <c r="I22" i="4"/>
  <c r="O10" i="8"/>
  <c r="N4" i="8"/>
  <c r="N12" i="8"/>
  <c r="I11" i="8"/>
  <c r="G9" i="8"/>
  <c r="I12" i="4"/>
  <c r="G8" i="8"/>
  <c r="G2" i="8"/>
  <c r="E11" i="8"/>
  <c r="I11" i="9" s="1"/>
  <c r="S24" i="8"/>
  <c r="K21" i="8"/>
  <c r="I19" i="8"/>
  <c r="P14" i="8"/>
  <c r="N19" i="8"/>
  <c r="K6" i="8"/>
  <c r="J20" i="8"/>
  <c r="I30" i="8"/>
  <c r="I29" i="4"/>
  <c r="I33" i="4"/>
  <c r="G25" i="8"/>
  <c r="I26" i="4"/>
  <c r="I28" i="4"/>
  <c r="G24" i="8"/>
  <c r="I14" i="4"/>
  <c r="AD11" i="5"/>
  <c r="K27" i="8"/>
  <c r="G26" i="8"/>
  <c r="I21" i="8"/>
  <c r="G3" i="8"/>
  <c r="I20" i="4"/>
  <c r="I25" i="4"/>
  <c r="I24" i="4"/>
  <c r="K15" i="8"/>
  <c r="I10" i="4"/>
  <c r="G19" i="8"/>
  <c r="M26" i="8"/>
  <c r="F26" i="8"/>
  <c r="AD9" i="5"/>
  <c r="AD25" i="5"/>
  <c r="AD30" i="5"/>
  <c r="AD29" i="5"/>
  <c r="R23" i="8"/>
  <c r="AD23" i="5"/>
  <c r="AD16" i="5"/>
  <c r="Q10" i="8"/>
  <c r="Q27" i="8"/>
  <c r="G27" i="9"/>
  <c r="AD19" i="5"/>
  <c r="G28" i="9"/>
  <c r="AD4" i="5"/>
  <c r="O21" i="8"/>
  <c r="G21" i="9"/>
  <c r="AD20" i="5"/>
  <c r="N14" i="8"/>
  <c r="AD18" i="5"/>
  <c r="AD21" i="5"/>
  <c r="G16" i="9"/>
  <c r="L17" i="8"/>
  <c r="G24" i="9"/>
  <c r="AD28" i="5"/>
  <c r="G26" i="9"/>
  <c r="G30" i="9"/>
  <c r="AD26" i="5"/>
  <c r="G25" i="9"/>
  <c r="AD24" i="5"/>
  <c r="G18" i="9"/>
  <c r="G20" i="9"/>
  <c r="G22" i="9"/>
  <c r="G19" i="9"/>
  <c r="G31" i="9"/>
  <c r="G29" i="9"/>
  <c r="G17" i="9"/>
  <c r="AD22" i="5"/>
  <c r="AD32" i="5"/>
  <c r="AD31" i="5"/>
  <c r="G23" i="9"/>
  <c r="AD33" i="5"/>
  <c r="AD27" i="5"/>
  <c r="I18" i="4"/>
  <c r="I27" i="4"/>
  <c r="I9" i="4"/>
  <c r="I32" i="4"/>
  <c r="I11" i="4"/>
  <c r="I21" i="4"/>
  <c r="G23" i="8"/>
  <c r="G22" i="8"/>
  <c r="G17" i="8"/>
  <c r="G11" i="8"/>
  <c r="G7" i="8"/>
  <c r="I30" i="4"/>
  <c r="G12" i="8"/>
  <c r="AD17" i="5"/>
  <c r="G3" i="9"/>
  <c r="AD5" i="5"/>
  <c r="G9" i="9"/>
  <c r="G10" i="9"/>
  <c r="G8" i="9"/>
  <c r="G7" i="9"/>
  <c r="G2" i="9"/>
  <c r="AD15" i="5"/>
  <c r="AD10" i="5"/>
  <c r="AD14" i="5"/>
  <c r="AD12" i="5"/>
  <c r="G6" i="9"/>
  <c r="G15" i="9"/>
  <c r="G12" i="9"/>
  <c r="G5" i="9"/>
  <c r="G14" i="9"/>
  <c r="AD7" i="5"/>
  <c r="AD8" i="5"/>
  <c r="J11" i="8"/>
  <c r="G11" i="9"/>
  <c r="J4" i="8"/>
  <c r="G4" i="9"/>
  <c r="J13" i="8"/>
  <c r="G13" i="9"/>
  <c r="I13" i="4"/>
  <c r="I12" i="8"/>
  <c r="I8" i="4"/>
  <c r="F36" i="4"/>
  <c r="H2" i="8"/>
  <c r="I17" i="4"/>
  <c r="I19" i="4"/>
  <c r="I15" i="8"/>
  <c r="I7" i="4"/>
  <c r="I3" i="8"/>
  <c r="I15" i="4"/>
  <c r="I6" i="4"/>
  <c r="E2" i="9"/>
  <c r="I36" i="4"/>
  <c r="F3" i="8"/>
  <c r="I2" i="9"/>
  <c r="F2" i="8"/>
  <c r="E31" i="9" l="1"/>
  <c r="E30" i="9"/>
  <c r="E29" i="9"/>
  <c r="E28" i="9"/>
  <c r="E27" i="9"/>
  <c r="E26" i="9"/>
  <c r="E25" i="9"/>
  <c r="E24" i="9"/>
  <c r="E23" i="9"/>
  <c r="E22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</calcChain>
</file>

<file path=xl/sharedStrings.xml><?xml version="1.0" encoding="utf-8"?>
<sst xmlns="http://schemas.openxmlformats.org/spreadsheetml/2006/main" count="163" uniqueCount="63">
  <si>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</si>
  <si>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</si>
  <si>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</si>
  <si>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</si>
  <si>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</si>
  <si>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</si>
  <si>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</si>
  <si>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</si>
  <si>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</si>
  <si>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</si>
  <si>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</si>
  <si>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</si>
  <si>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</si>
  <si>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</si>
  <si>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</si>
  <si>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</si>
  <si>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</si>
  <si>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</si>
  <si>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</si>
  <si>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</si>
  <si>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</si>
  <si>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</si>
  <si>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</si>
  <si>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</si>
  <si>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</si>
  <si>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</si>
  <si>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</si>
  <si>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</si>
  <si>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</si>
  <si>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</si>
  <si>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</si>
  <si>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</si>
  <si>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Feeders and transformers Electrity cons.  Sep 2020</t>
  </si>
  <si>
    <t>Hotel</t>
  </si>
  <si>
    <t>Room Sold</t>
  </si>
  <si>
    <t>Trans-1</t>
  </si>
  <si>
    <t>Cons.</t>
  </si>
  <si>
    <t>Trans-2</t>
  </si>
  <si>
    <t>Trans-3</t>
  </si>
  <si>
    <t>Total</t>
  </si>
  <si>
    <t>Readings</t>
  </si>
  <si>
    <t>Last</t>
  </si>
  <si>
    <t>Gas Con. August 2020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</si>
  <si>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</si>
  <si>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</si>
  <si>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</si>
  <si>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</si>
  <si>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</si>
  <si>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</si>
  <si>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</si>
  <si>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</si>
  <si>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</si>
  <si>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</si>
  <si>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</si>
  <si>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</si>
  <si>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</si>
  <si>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</si>
  <si>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</si>
  <si>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</si>
  <si>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</si>
  <si>
    <t>Hotel August 2020</t>
  </si>
  <si>
    <t>Main Reading</t>
  </si>
  <si>
    <t>Beach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</si>
</sst>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7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color indexed="8"/>
      <name val="Arial"/>
      <family val="2"/>
    </font>
    <font>
      <b/>
      <sz val="24"/>
      <color indexed="8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b/>
      <sz val="2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203764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0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1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2" fillId="0" borderId="1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2" fontId="21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6" fillId="8" borderId="4" xfId="0" applyNumberFormat="1" applyFont="1" applyFill="1" applyBorder="1" applyAlignment="1">
      <alignment horizontal="center" vertical="center"/>
    </xf>
    <xf numFmtId="14" fontId="26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6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0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29" fillId="10" borderId="51" xfId="0" applyFont="1" applyFill="1" applyBorder="1" applyAlignment="1">
      <alignment horizontal="center"/>
    </xf>
    <xf numFmtId="0" fontId="11" fillId="7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5" xfId="2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/>
    </xf>
    <xf numFmtId="0" fontId="17" fillId="4" borderId="37" xfId="0" applyFont="1" applyFill="1" applyBorder="1" applyAlignment="1">
      <alignment horizontal="center" vertical="center"/>
    </xf>
    <xf numFmtId="14" fontId="26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8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9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30" fillId="11" borderId="42" xfId="2" applyFont="1" applyFill="1" applyBorder="1" applyAlignment="1">
      <alignment horizontal="center" vertical="center"/>
    </xf>
    <xf numFmtId="0" fontId="30" fillId="11" borderId="43" xfId="2" applyFont="1" applyFill="1" applyBorder="1" applyAlignment="1">
      <alignment horizontal="center" vertical="center"/>
    </xf>
    <xf numFmtId="0" fontId="30" fillId="11" borderId="44" xfId="2" applyFont="1" applyFill="1" applyBorder="1" applyAlignment="1">
      <alignment horizontal="center" vertical="center"/>
    </xf>
    <xf numFmtId="0" fontId="31" fillId="11" borderId="40" xfId="2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/>
    </xf>
    <xf numFmtId="164" fontId="5" fillId="0" borderId="47" xfId="0" applyNumberFormat="1" applyFont="1" applyBorder="1" applyAlignment="1">
      <alignment horizontal="center" vertical="center"/>
    </xf>
    <xf numFmtId="164" fontId="5" fillId="0" borderId="48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46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0" fillId="12" borderId="2" xfId="0" applyFont="1" applyFill="1" applyBorder="1" applyAlignment="1">
      <alignment horizontal="center" vertical="center"/>
    </xf>
    <xf numFmtId="0" fontId="10" fillId="12" borderId="32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5" fillId="11" borderId="45" xfId="2" applyFont="1" applyFill="1" applyBorder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5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2"/>
  <sheetViews>
    <sheetView topLeftCell="A18" zoomScale="85" zoomScaleNormal="85" workbookViewId="0">
      <selection activeCell="K2" sqref="K2:K3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8" customWidth="1"/>
    <col min="7" max="7" width="11.5703125" style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1" s="5" customFormat="1" ht="60">
      <c r="A1" s="50" t="s">
        <v>0</v>
      </c>
      <c r="B1" s="47" t="s">
        <v>1</v>
      </c>
      <c r="C1" s="47" t="s">
        <v>2</v>
      </c>
      <c r="D1" s="47" t="s">
        <v>3</v>
      </c>
      <c r="E1" s="48" t="s">
        <v>4</v>
      </c>
      <c r="F1" s="49" t="s">
        <v>5</v>
      </c>
      <c r="G1" s="48" t="s">
        <v>6</v>
      </c>
      <c r="H1" s="49" t="s">
        <v>7</v>
      </c>
      <c r="I1" s="48" t="s">
        <v>8</v>
      </c>
      <c r="J1" s="49" t="s">
        <v>9</v>
      </c>
      <c r="K1" s="48" t="s">
        <v>10</v>
      </c>
    </row>
    <row r="2" spans="1:11">
      <c r="A2" s="11" t="s">
        <v>11</v>
      </c>
      <c r="B2" s="14">
        <v>1</v>
      </c>
      <c r="C2" s="14">
        <v>8</v>
      </c>
      <c r="D2" s="14">
        <v>2020</v>
      </c>
      <c r="E2" s="7">
        <f>ELECT.!D6+ELECT.!F6+ELECT.!H6</f>
        <v>17347</v>
      </c>
      <c r="F2" s="18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1304</v>
      </c>
      <c r="H2" s="19">
        <v>3.6</v>
      </c>
      <c r="I2" s="7">
        <f>Submetering!E2+Water!E5</f>
        <v>621</v>
      </c>
      <c r="J2" s="19">
        <v>9.1</v>
      </c>
      <c r="K2" s="7">
        <f>ELECT.!B6</f>
        <v>77</v>
      </c>
    </row>
    <row r="3" spans="1:11">
      <c r="A3" s="11" t="s">
        <v>11</v>
      </c>
      <c r="B3" s="14">
        <f>B2+1</f>
        <v>2</v>
      </c>
      <c r="C3" s="14">
        <v>8</v>
      </c>
      <c r="D3" s="14">
        <v>2020</v>
      </c>
      <c r="E3" s="7">
        <f>ELECT.!D7+ELECT.!F7+ELECT.!H7</f>
        <v>16163</v>
      </c>
      <c r="F3" s="18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1261</v>
      </c>
      <c r="H3" s="19">
        <v>3.6</v>
      </c>
      <c r="I3" s="7">
        <f>Submetering!E3+Water!E6</f>
        <v>650</v>
      </c>
      <c r="J3" s="19">
        <v>9.1</v>
      </c>
      <c r="K3" s="7">
        <f>ELECT.!B7</f>
        <v>65</v>
      </c>
    </row>
    <row r="4" spans="1:11">
      <c r="A4" s="11" t="s">
        <v>11</v>
      </c>
      <c r="B4" s="14">
        <f t="shared" ref="B4:B32" si="0">B3+1</f>
        <v>3</v>
      </c>
      <c r="C4" s="14">
        <v>8</v>
      </c>
      <c r="D4" s="14">
        <v>2020</v>
      </c>
      <c r="E4" s="7">
        <f>ELECT.!D8+ELECT.!F8+ELECT.!H8</f>
        <v>15767</v>
      </c>
      <c r="F4" s="18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1153</v>
      </c>
      <c r="H4" s="19">
        <v>3.6</v>
      </c>
      <c r="I4" s="7">
        <f>Submetering!E4+Water!E7</f>
        <v>620</v>
      </c>
      <c r="J4" s="19">
        <v>9.1</v>
      </c>
      <c r="K4" s="7">
        <f>ELECT.!B8</f>
        <v>66</v>
      </c>
    </row>
    <row r="5" spans="1:11">
      <c r="A5" s="11" t="s">
        <v>11</v>
      </c>
      <c r="B5" s="14">
        <f t="shared" si="0"/>
        <v>4</v>
      </c>
      <c r="C5" s="14">
        <v>8</v>
      </c>
      <c r="D5" s="14">
        <v>2020</v>
      </c>
      <c r="E5" s="7">
        <f>ELECT.!D9+ELECT.!F9+ELECT.!H9</f>
        <v>15378</v>
      </c>
      <c r="F5" s="18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1330</v>
      </c>
      <c r="H5" s="19">
        <v>3.6</v>
      </c>
      <c r="I5" s="7">
        <f>Submetering!E5+Water!E8</f>
        <v>631</v>
      </c>
      <c r="J5" s="19">
        <v>9.1</v>
      </c>
      <c r="K5" s="7">
        <f>ELECT.!B9</f>
        <v>70</v>
      </c>
    </row>
    <row r="6" spans="1:11">
      <c r="A6" s="11" t="s">
        <v>11</v>
      </c>
      <c r="B6" s="14">
        <f t="shared" si="0"/>
        <v>5</v>
      </c>
      <c r="C6" s="14">
        <v>8</v>
      </c>
      <c r="D6" s="14">
        <v>2020</v>
      </c>
      <c r="E6" s="7">
        <f>ELECT.!D10+ELECT.!F10+ELECT.!H10</f>
        <v>16213</v>
      </c>
      <c r="F6" s="18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1358</v>
      </c>
      <c r="H6" s="19">
        <v>3.6</v>
      </c>
      <c r="I6" s="7">
        <f>Submetering!E6+Water!E9</f>
        <v>610</v>
      </c>
      <c r="J6" s="19">
        <v>9.1</v>
      </c>
      <c r="K6" s="7">
        <f>ELECT.!B10</f>
        <v>75</v>
      </c>
    </row>
    <row r="7" spans="1:11">
      <c r="A7" s="11" t="s">
        <v>11</v>
      </c>
      <c r="B7" s="14">
        <f t="shared" si="0"/>
        <v>6</v>
      </c>
      <c r="C7" s="14">
        <v>8</v>
      </c>
      <c r="D7" s="14">
        <v>2020</v>
      </c>
      <c r="E7" s="7">
        <f>ELECT.!D11+ELECT.!F11+ELECT.!H11</f>
        <v>17370</v>
      </c>
      <c r="F7" s="18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1367</v>
      </c>
      <c r="H7" s="19">
        <v>3.6</v>
      </c>
      <c r="I7" s="7">
        <f>Submetering!E7+Water!E10</f>
        <v>626</v>
      </c>
      <c r="J7" s="19">
        <v>9.1</v>
      </c>
      <c r="K7" s="7">
        <f>ELECT.!B11</f>
        <v>77</v>
      </c>
    </row>
    <row r="8" spans="1:11">
      <c r="A8" s="11" t="s">
        <v>11</v>
      </c>
      <c r="B8" s="14">
        <f t="shared" si="0"/>
        <v>7</v>
      </c>
      <c r="C8" s="14">
        <v>8</v>
      </c>
      <c r="D8" s="14">
        <v>2020</v>
      </c>
      <c r="E8" s="7">
        <f>ELECT.!D12+ELECT.!F12+ELECT.!H12</f>
        <v>16915</v>
      </c>
      <c r="F8" s="18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1276</v>
      </c>
      <c r="H8" s="19">
        <v>3.6</v>
      </c>
      <c r="I8" s="7">
        <f>Submetering!E8+Water!E11</f>
        <v>690</v>
      </c>
      <c r="J8" s="19">
        <v>9.1</v>
      </c>
      <c r="K8" s="7">
        <f>ELECT.!B12</f>
        <v>60</v>
      </c>
    </row>
    <row r="9" spans="1:11">
      <c r="A9" s="11" t="s">
        <v>11</v>
      </c>
      <c r="B9" s="14">
        <f t="shared" si="0"/>
        <v>8</v>
      </c>
      <c r="C9" s="14">
        <v>8</v>
      </c>
      <c r="D9" s="14">
        <v>2020</v>
      </c>
      <c r="E9" s="7">
        <f>ELECT.!D13+ELECT.!F13+ELECT.!H13</f>
        <v>14941</v>
      </c>
      <c r="F9" s="18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1360</v>
      </c>
      <c r="H9" s="19">
        <v>3.6</v>
      </c>
      <c r="I9" s="7">
        <f>Submetering!E9+Water!E12</f>
        <v>537</v>
      </c>
      <c r="J9" s="19">
        <v>9.1</v>
      </c>
      <c r="K9" s="7">
        <f>ELECT.!B13</f>
        <v>61</v>
      </c>
    </row>
    <row r="10" spans="1:11">
      <c r="A10" s="11" t="s">
        <v>11</v>
      </c>
      <c r="B10" s="14">
        <f t="shared" si="0"/>
        <v>9</v>
      </c>
      <c r="C10" s="14">
        <v>8</v>
      </c>
      <c r="D10" s="14">
        <v>2020</v>
      </c>
      <c r="E10" s="7">
        <f>ELECT.!D14+ELECT.!F14+ELECT.!H14</f>
        <v>17412</v>
      </c>
      <c r="F10" s="18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1441</v>
      </c>
      <c r="H10" s="19">
        <v>3.6</v>
      </c>
      <c r="I10" s="7">
        <f>Submetering!E10+Water!E13</f>
        <v>636</v>
      </c>
      <c r="J10" s="19">
        <v>9.1</v>
      </c>
      <c r="K10" s="7">
        <f>ELECT.!B14</f>
        <v>52</v>
      </c>
    </row>
    <row r="11" spans="1:11">
      <c r="A11" s="11" t="s">
        <v>11</v>
      </c>
      <c r="B11" s="14">
        <f t="shared" si="0"/>
        <v>10</v>
      </c>
      <c r="C11" s="14">
        <v>8</v>
      </c>
      <c r="D11" s="14">
        <v>2020</v>
      </c>
      <c r="E11" s="7">
        <f>ELECT.!D15+ELECT.!F15+ELECT.!H15</f>
        <v>19282</v>
      </c>
      <c r="F11" s="18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1269</v>
      </c>
      <c r="H11" s="19">
        <v>3.6</v>
      </c>
      <c r="I11" s="7">
        <f>Submetering!E11+Water!E14</f>
        <v>684</v>
      </c>
      <c r="J11" s="19">
        <v>9.1</v>
      </c>
      <c r="K11" s="7">
        <f>ELECT.!B15</f>
        <v>67</v>
      </c>
    </row>
    <row r="12" spans="1:11">
      <c r="A12" s="11" t="s">
        <v>11</v>
      </c>
      <c r="B12" s="14">
        <f t="shared" si="0"/>
        <v>11</v>
      </c>
      <c r="C12" s="14">
        <v>8</v>
      </c>
      <c r="D12" s="14">
        <v>2020</v>
      </c>
      <c r="E12" s="7">
        <f>ELECT.!D16+ELECT.!F16+ELECT.!H16</f>
        <v>17452</v>
      </c>
      <c r="F12" s="18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1197</v>
      </c>
      <c r="H12" s="19">
        <v>3.6</v>
      </c>
      <c r="I12" s="7">
        <f>Submetering!E12+Water!E15</f>
        <v>640</v>
      </c>
      <c r="J12" s="19">
        <v>9.1</v>
      </c>
      <c r="K12" s="7">
        <f>ELECT.!B16</f>
        <v>75</v>
      </c>
    </row>
    <row r="13" spans="1:11">
      <c r="A13" s="11" t="s">
        <v>11</v>
      </c>
      <c r="B13" s="14">
        <f t="shared" si="0"/>
        <v>12</v>
      </c>
      <c r="C13" s="14">
        <v>8</v>
      </c>
      <c r="D13" s="14">
        <v>2020</v>
      </c>
      <c r="E13" s="7">
        <f>ELECT.!D17+ELECT.!F17+ELECT.!H17</f>
        <v>15330</v>
      </c>
      <c r="F13" s="18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1295</v>
      </c>
      <c r="H13" s="19">
        <v>3.6</v>
      </c>
      <c r="I13" s="7">
        <f>Submetering!E13+Water!E16</f>
        <v>617</v>
      </c>
      <c r="J13" s="19">
        <v>9.1</v>
      </c>
      <c r="K13" s="7">
        <f>ELECT.!B17</f>
        <v>52</v>
      </c>
    </row>
    <row r="14" spans="1:11">
      <c r="A14" s="11" t="s">
        <v>11</v>
      </c>
      <c r="B14" s="14">
        <f t="shared" si="0"/>
        <v>13</v>
      </c>
      <c r="C14" s="14">
        <v>8</v>
      </c>
      <c r="D14" s="14">
        <v>2020</v>
      </c>
      <c r="E14" s="7">
        <f>ELECT.!D18+ELECT.!F18+ELECT.!H18</f>
        <v>15144</v>
      </c>
      <c r="F14" s="18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1185</v>
      </c>
      <c r="H14" s="19">
        <v>3.6</v>
      </c>
      <c r="I14" s="7">
        <f>Submetering!E14+Water!E17</f>
        <v>786</v>
      </c>
      <c r="J14" s="19">
        <v>9.1</v>
      </c>
      <c r="K14" s="7">
        <f>ELECT.!B18</f>
        <v>56</v>
      </c>
    </row>
    <row r="15" spans="1:11">
      <c r="A15" s="11" t="s">
        <v>11</v>
      </c>
      <c r="B15" s="14">
        <f t="shared" si="0"/>
        <v>14</v>
      </c>
      <c r="C15" s="14">
        <v>8</v>
      </c>
      <c r="D15" s="14">
        <v>2020</v>
      </c>
      <c r="E15" s="7">
        <f>ELECT.!D19+ELECT.!F19+ELECT.!H19</f>
        <v>15817</v>
      </c>
      <c r="F15" s="18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1259</v>
      </c>
      <c r="H15" s="19">
        <v>3.6</v>
      </c>
      <c r="I15" s="7">
        <f>Submetering!E15+Water!E18</f>
        <v>429</v>
      </c>
      <c r="J15" s="19">
        <v>9.1</v>
      </c>
      <c r="K15" s="7">
        <f>ELECT.!B19</f>
        <v>48</v>
      </c>
    </row>
    <row r="16" spans="1:11">
      <c r="A16" s="11" t="s">
        <v>11</v>
      </c>
      <c r="B16" s="14">
        <f t="shared" si="0"/>
        <v>15</v>
      </c>
      <c r="C16" s="14">
        <v>8</v>
      </c>
      <c r="D16" s="14">
        <v>2020</v>
      </c>
      <c r="E16" s="7">
        <f>ELECT.!D20+ELECT.!F20+ELECT.!H20</f>
        <v>16743</v>
      </c>
      <c r="F16" s="18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1220</v>
      </c>
      <c r="H16" s="19">
        <v>3.6</v>
      </c>
      <c r="I16" s="7">
        <f>Submetering!E16+Water!E19</f>
        <v>573</v>
      </c>
      <c r="J16" s="19">
        <v>9.1</v>
      </c>
      <c r="K16" s="7">
        <f>ELECT.!B20</f>
        <v>60</v>
      </c>
    </row>
    <row r="17" spans="1:11">
      <c r="A17" s="11" t="s">
        <v>11</v>
      </c>
      <c r="B17" s="14">
        <f t="shared" si="0"/>
        <v>16</v>
      </c>
      <c r="C17" s="14">
        <v>8</v>
      </c>
      <c r="D17" s="14">
        <v>2020</v>
      </c>
      <c r="E17" s="7">
        <f>ELECT.!D21+ELECT.!F21+ELECT.!H21</f>
        <v>16336</v>
      </c>
      <c r="F17" s="18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1183</v>
      </c>
      <c r="H17" s="19">
        <v>3.6</v>
      </c>
      <c r="I17" s="7">
        <f>Submetering!E17+Water!E20</f>
        <v>595</v>
      </c>
      <c r="J17" s="19">
        <v>9.1</v>
      </c>
      <c r="K17" s="7">
        <f>ELECT.!B21</f>
        <v>62</v>
      </c>
    </row>
    <row r="18" spans="1:11">
      <c r="A18" s="11" t="s">
        <v>11</v>
      </c>
      <c r="B18" s="14">
        <f t="shared" si="0"/>
        <v>17</v>
      </c>
      <c r="C18" s="14">
        <v>8</v>
      </c>
      <c r="D18" s="14">
        <v>2020</v>
      </c>
      <c r="E18" s="7">
        <f>ELECT.!D22+ELECT.!F22+ELECT.!H22</f>
        <v>14944</v>
      </c>
      <c r="F18" s="18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1283</v>
      </c>
      <c r="H18" s="19">
        <v>3.6</v>
      </c>
      <c r="I18" s="7">
        <f>Submetering!E18+Water!E21</f>
        <v>583</v>
      </c>
      <c r="J18" s="19">
        <v>9.1</v>
      </c>
      <c r="K18" s="7">
        <f>ELECT.!B22</f>
        <v>58</v>
      </c>
    </row>
    <row r="19" spans="1:11">
      <c r="A19" s="11" t="s">
        <v>11</v>
      </c>
      <c r="B19" s="14">
        <f t="shared" si="0"/>
        <v>18</v>
      </c>
      <c r="C19" s="14">
        <v>8</v>
      </c>
      <c r="D19" s="14">
        <v>2020</v>
      </c>
      <c r="E19" s="7">
        <f>ELECT.!D23+ELECT.!F23+ELECT.!H23</f>
        <v>16713</v>
      </c>
      <c r="F19" s="18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1194</v>
      </c>
      <c r="H19" s="19">
        <v>3.6</v>
      </c>
      <c r="I19" s="7">
        <f>Submetering!E19+Water!E22</f>
        <v>623</v>
      </c>
      <c r="J19" s="19">
        <v>9.1</v>
      </c>
      <c r="K19" s="7">
        <f>ELECT.!B23</f>
        <v>54</v>
      </c>
    </row>
    <row r="20" spans="1:11">
      <c r="A20" s="11" t="s">
        <v>11</v>
      </c>
      <c r="B20" s="14">
        <f t="shared" si="0"/>
        <v>19</v>
      </c>
      <c r="C20" s="14">
        <v>8</v>
      </c>
      <c r="D20" s="14">
        <v>2020</v>
      </c>
      <c r="E20" s="7">
        <f>ELECT.!D24+ELECT.!F24+ELECT.!H24</f>
        <v>16395</v>
      </c>
      <c r="F20" s="18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1332</v>
      </c>
      <c r="H20" s="19">
        <v>3.6</v>
      </c>
      <c r="I20" s="7">
        <f>Submetering!E20+Water!E23</f>
        <v>792</v>
      </c>
      <c r="J20" s="19">
        <v>9.1</v>
      </c>
      <c r="K20" s="7">
        <f>ELECT.!B24</f>
        <v>52</v>
      </c>
    </row>
    <row r="21" spans="1:11">
      <c r="A21" s="11" t="s">
        <v>11</v>
      </c>
      <c r="B21" s="14">
        <f t="shared" si="0"/>
        <v>20</v>
      </c>
      <c r="C21" s="14">
        <v>8</v>
      </c>
      <c r="D21" s="14">
        <v>2020</v>
      </c>
      <c r="E21" s="7">
        <f>ELECT.!D25+ELECT.!F25+ELECT.!H25</f>
        <v>8378</v>
      </c>
      <c r="F21" s="18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1347</v>
      </c>
      <c r="H21" s="19">
        <v>3.6</v>
      </c>
      <c r="I21" s="7">
        <f>Submetering!E21+Water!E24</f>
        <v>590</v>
      </c>
      <c r="J21" s="19">
        <v>9.1</v>
      </c>
      <c r="K21" s="7">
        <f>ELECT.!B25</f>
        <v>50</v>
      </c>
    </row>
    <row r="22" spans="1:11">
      <c r="A22" s="11" t="s">
        <v>11</v>
      </c>
      <c r="B22" s="14">
        <f t="shared" si="0"/>
        <v>21</v>
      </c>
      <c r="C22" s="14">
        <v>8</v>
      </c>
      <c r="D22" s="14">
        <v>2020</v>
      </c>
      <c r="E22" s="7">
        <f>ELECT.!D26+ELECT.!F26+ELECT.!H26</f>
        <v>16199</v>
      </c>
      <c r="F22" s="18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1176</v>
      </c>
      <c r="H22" s="19">
        <v>3.6</v>
      </c>
      <c r="I22" s="7">
        <f>Submetering!E22+Water!E25</f>
        <v>551</v>
      </c>
      <c r="J22" s="19">
        <v>9.1</v>
      </c>
      <c r="K22" s="7">
        <f>ELECT.!B26</f>
        <v>46</v>
      </c>
    </row>
    <row r="23" spans="1:11">
      <c r="A23" s="11" t="s">
        <v>11</v>
      </c>
      <c r="B23" s="14">
        <f t="shared" si="0"/>
        <v>22</v>
      </c>
      <c r="C23" s="14">
        <v>8</v>
      </c>
      <c r="D23" s="14">
        <v>2020</v>
      </c>
      <c r="E23" s="7">
        <f>ELECT.!D27+ELECT.!F27+ELECT.!H27</f>
        <v>16366</v>
      </c>
      <c r="F23" s="18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1280</v>
      </c>
      <c r="H23" s="19">
        <v>3.6</v>
      </c>
      <c r="I23" s="7">
        <f>Submetering!E23+Water!E26</f>
        <v>605</v>
      </c>
      <c r="J23" s="19">
        <v>9.1</v>
      </c>
      <c r="K23" s="7">
        <f>ELECT.!B27</f>
        <v>61</v>
      </c>
    </row>
    <row r="24" spans="1:11">
      <c r="A24" s="11" t="s">
        <v>11</v>
      </c>
      <c r="B24" s="14">
        <f t="shared" si="0"/>
        <v>23</v>
      </c>
      <c r="C24" s="14">
        <v>8</v>
      </c>
      <c r="D24" s="14">
        <v>2020</v>
      </c>
      <c r="E24" s="7">
        <f>ELECT.!D28+ELECT.!F28+ELECT.!H28</f>
        <v>16169</v>
      </c>
      <c r="F24" s="18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1330</v>
      </c>
      <c r="H24" s="19">
        <v>3.6</v>
      </c>
      <c r="I24" s="7">
        <f>Submetering!E24+Water!E27</f>
        <v>608</v>
      </c>
      <c r="J24" s="19">
        <v>9.1</v>
      </c>
      <c r="K24" s="7">
        <f>ELECT.!B28</f>
        <v>60</v>
      </c>
    </row>
    <row r="25" spans="1:11">
      <c r="A25" s="11" t="s">
        <v>11</v>
      </c>
      <c r="B25" s="14">
        <f t="shared" si="0"/>
        <v>24</v>
      </c>
      <c r="C25" s="14">
        <v>8</v>
      </c>
      <c r="D25" s="14">
        <v>2020</v>
      </c>
      <c r="E25" s="7">
        <f>ELECT.!D29+ELECT.!F29+ELECT.!H29</f>
        <v>18122</v>
      </c>
      <c r="F25" s="18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1318</v>
      </c>
      <c r="H25" s="19">
        <v>3.6</v>
      </c>
      <c r="I25" s="7">
        <f>Submetering!E25+Water!E28</f>
        <v>596</v>
      </c>
      <c r="J25" s="19">
        <v>9.1</v>
      </c>
      <c r="K25" s="7">
        <f>ELECT.!B29</f>
        <v>54</v>
      </c>
    </row>
    <row r="26" spans="1:11">
      <c r="A26" s="11" t="s">
        <v>11</v>
      </c>
      <c r="B26" s="14">
        <f>B25+1</f>
        <v>25</v>
      </c>
      <c r="C26" s="14">
        <v>8</v>
      </c>
      <c r="D26" s="14">
        <v>2020</v>
      </c>
      <c r="E26" s="7">
        <f>ELECT.!D30+ELECT.!F30+ELECT.!H30</f>
        <v>20343</v>
      </c>
      <c r="F26" s="18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1305</v>
      </c>
      <c r="H26" s="19">
        <v>3.6</v>
      </c>
      <c r="I26" s="7">
        <f>Submetering!E26+Water!E29</f>
        <v>688</v>
      </c>
      <c r="J26" s="19">
        <v>9.1</v>
      </c>
      <c r="K26" s="7">
        <f>ELECT.!B30</f>
        <v>56</v>
      </c>
    </row>
    <row r="27" spans="1:11">
      <c r="A27" s="11" t="s">
        <v>11</v>
      </c>
      <c r="B27" s="14">
        <f t="shared" si="0"/>
        <v>26</v>
      </c>
      <c r="C27" s="14">
        <v>8</v>
      </c>
      <c r="D27" s="14">
        <v>2020</v>
      </c>
      <c r="E27" s="7">
        <f>ELECT.!D31+ELECT.!F31+ELECT.!H31</f>
        <v>17992</v>
      </c>
      <c r="F27" s="18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1304</v>
      </c>
      <c r="H27" s="19">
        <v>3.6</v>
      </c>
      <c r="I27" s="7">
        <f>Submetering!E27+Water!E30</f>
        <v>566</v>
      </c>
      <c r="J27" s="19">
        <v>9.1</v>
      </c>
      <c r="K27" s="7">
        <f>ELECT.!B31</f>
        <v>69</v>
      </c>
    </row>
    <row r="28" spans="1:11">
      <c r="A28" s="11" t="s">
        <v>11</v>
      </c>
      <c r="B28" s="14">
        <f t="shared" si="0"/>
        <v>27</v>
      </c>
      <c r="C28" s="14">
        <v>8</v>
      </c>
      <c r="D28" s="14">
        <v>2020</v>
      </c>
      <c r="E28" s="7">
        <f>ELECT.!D32+ELECT.!F32+ELECT.!H32</f>
        <v>14508</v>
      </c>
      <c r="F28" s="18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1192</v>
      </c>
      <c r="H28" s="19">
        <v>3.6</v>
      </c>
      <c r="I28" s="7">
        <f>Submetering!E28+Water!E31</f>
        <v>573</v>
      </c>
      <c r="J28" s="19">
        <v>9.1</v>
      </c>
      <c r="K28" s="7">
        <f>ELECT.!B32</f>
        <v>68</v>
      </c>
    </row>
    <row r="29" spans="1:11">
      <c r="A29" s="11" t="s">
        <v>11</v>
      </c>
      <c r="B29" s="14">
        <f t="shared" si="0"/>
        <v>28</v>
      </c>
      <c r="C29" s="14">
        <v>8</v>
      </c>
      <c r="D29" s="14">
        <v>2020</v>
      </c>
      <c r="E29" s="7">
        <f>ELECT.!D33+ELECT.!F33+ELECT.!H33</f>
        <v>25857</v>
      </c>
      <c r="F29" s="18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1143</v>
      </c>
      <c r="H29" s="19">
        <v>3.6</v>
      </c>
      <c r="I29" s="7">
        <f>Submetering!E29+Water!E32</f>
        <v>587</v>
      </c>
      <c r="J29" s="19">
        <v>9.1</v>
      </c>
      <c r="K29" s="7">
        <f>ELECT.!B33</f>
        <v>52</v>
      </c>
    </row>
    <row r="30" spans="1:11">
      <c r="A30" s="11" t="s">
        <v>11</v>
      </c>
      <c r="B30" s="14">
        <f t="shared" si="0"/>
        <v>29</v>
      </c>
      <c r="C30" s="14">
        <v>8</v>
      </c>
      <c r="D30" s="14">
        <v>2020</v>
      </c>
      <c r="E30" s="7">
        <f>ELECT.!D34+ELECT.!F34+ELECT.!H34</f>
        <v>23512</v>
      </c>
      <c r="F30" s="18">
        <v>1.56</v>
      </c>
      <c r="G30" s="7">
        <f>Submetering!J30+Submetering!K30+Submetering!L30+Submetering!M30+Submetering!N30+Submetering!O30+Submetering!P30+Submetering!Q30+Submetering!R30+Submetering!S30+Submetering!T30+Submetering!U30+Submetering!V30+Submetering!W30</f>
        <v>1330</v>
      </c>
      <c r="H30" s="19">
        <v>3.6</v>
      </c>
      <c r="I30" s="7">
        <f>Submetering!E30+Water!E33</f>
        <v>584</v>
      </c>
      <c r="J30" s="19">
        <v>9.1</v>
      </c>
      <c r="K30" s="7">
        <f>ELECT.!B34</f>
        <v>55</v>
      </c>
    </row>
    <row r="31" spans="1:11">
      <c r="A31" s="11" t="s">
        <v>11</v>
      </c>
      <c r="B31" s="14">
        <f t="shared" si="0"/>
        <v>30</v>
      </c>
      <c r="C31" s="14">
        <v>8</v>
      </c>
      <c r="D31" s="14">
        <v>2020</v>
      </c>
      <c r="E31" s="7">
        <f>ELECT.!D35+ELECT.!F35+ELECT.!H35</f>
        <v>41052</v>
      </c>
      <c r="F31" s="18">
        <v>1.56</v>
      </c>
      <c r="G31" s="7">
        <f>Submetering!J31+Submetering!K31+Submetering!L31+Submetering!M31+Submetering!N31+Submetering!O31+Submetering!P31+Submetering!Q31+Submetering!R31+Submetering!S31+Submetering!T31+Submetering!U31+Submetering!V31+Submetering!W31</f>
        <v>1147</v>
      </c>
      <c r="H31" s="19">
        <v>3.6</v>
      </c>
      <c r="I31" s="7" t="e">
        <f>Submetering!E31+Water!E34</f>
        <v>#REF!</v>
      </c>
      <c r="J31" s="19">
        <v>9.1</v>
      </c>
      <c r="K31" s="7">
        <f>ELECT.!B35</f>
        <v>56</v>
      </c>
    </row>
    <row r="32" spans="1:11">
      <c r="A32" s="11" t="s">
        <v>11</v>
      </c>
      <c r="B32" s="14">
        <f t="shared" si="0"/>
        <v>31</v>
      </c>
      <c r="C32" s="14">
        <v>8</v>
      </c>
      <c r="D32" s="14">
        <v>2020</v>
      </c>
      <c r="E32" s="7" t="e">
        <f>ELECT.!#REF!+ELECT.!#REF!+ELECT.!#REF!</f>
        <v>#REF!</v>
      </c>
      <c r="F32" s="18">
        <v>1.56</v>
      </c>
      <c r="G32" s="7" t="e">
        <f>Submetering!J32+Submetering!K32+Submetering!L32+Submetering!M32+Submetering!N32+Submetering!O32+Submetering!P32+Submetering!Q32+Submetering!R32+Submetering!S32+Submetering!T32+Submetering!U32+Submetering!V32+Submetering!W32</f>
        <v>#REF!</v>
      </c>
      <c r="H32" s="19">
        <v>3.6</v>
      </c>
      <c r="I32" s="7" t="e">
        <f>Submetering!E32+Water!#REF!</f>
        <v>#REF!</v>
      </c>
      <c r="J32" s="19">
        <v>9.1</v>
      </c>
      <c r="K32" s="7" t="e">
        <f>ELECT.!#REF!</f>
        <v>#REF!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32"/>
  <sheetViews>
    <sheetView zoomScale="85" zoomScaleNormal="85" workbookViewId="0">
      <selection activeCell="F38" sqref="F38"/>
    </sheetView>
  </sheetViews>
  <sheetFormatPr defaultColWidth="11.5703125" defaultRowHeight="12.75"/>
  <cols>
    <col min="1" max="1" width="21.85546875" style="11" bestFit="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9</v>
      </c>
      <c r="D2" s="14">
        <v>2020</v>
      </c>
      <c r="E2" s="7">
        <f>Water!C5</f>
        <v>200</v>
      </c>
      <c r="F2" s="7">
        <f>Water!E5</f>
        <v>421</v>
      </c>
      <c r="G2" s="7">
        <f>ELECT.!D6</f>
        <v>4522</v>
      </c>
      <c r="H2" s="7">
        <f>ELECT.!F6</f>
        <v>8198</v>
      </c>
      <c r="I2" s="7">
        <f>ELECT.!H6</f>
        <v>4627</v>
      </c>
      <c r="J2" s="8">
        <f>Gas!C4</f>
        <v>227</v>
      </c>
      <c r="K2" s="8">
        <f>Gas!E4</f>
        <v>462</v>
      </c>
      <c r="L2" s="8">
        <f>Gas!G4</f>
        <v>124</v>
      </c>
      <c r="M2" s="16">
        <f>Gas!I4</f>
        <v>10</v>
      </c>
      <c r="N2" s="16">
        <f>Gas!K4</f>
        <v>0</v>
      </c>
      <c r="O2" s="8">
        <f>Gas!M4</f>
        <v>0</v>
      </c>
      <c r="P2" s="8">
        <f>Gas!O4</f>
        <v>0</v>
      </c>
      <c r="Q2" s="8">
        <f>Gas!Q4</f>
        <v>0</v>
      </c>
      <c r="R2" s="8">
        <f>Gas!S4</f>
        <v>199</v>
      </c>
      <c r="S2" s="8">
        <f>Gas!U4</f>
        <v>34</v>
      </c>
      <c r="T2" s="8">
        <f>Gas!W4</f>
        <v>48</v>
      </c>
      <c r="U2" s="8">
        <f>Gas!Y4</f>
        <v>0</v>
      </c>
      <c r="V2" s="8">
        <f>Gas!AA4</f>
        <v>200</v>
      </c>
      <c r="W2" s="8">
        <f>Gas!AC4</f>
        <v>0</v>
      </c>
      <c r="X2" s="7">
        <f>ELECT.!B6</f>
        <v>77</v>
      </c>
    </row>
    <row r="3" spans="1:24">
      <c r="A3" s="11" t="s">
        <v>11</v>
      </c>
      <c r="B3" s="14">
        <f>B2+1</f>
        <v>2</v>
      </c>
      <c r="C3" s="14">
        <v>9</v>
      </c>
      <c r="D3" s="14">
        <v>2020</v>
      </c>
      <c r="E3" s="7">
        <f>Water!C6</f>
        <v>220</v>
      </c>
      <c r="F3" s="7">
        <f>Water!E6</f>
        <v>430</v>
      </c>
      <c r="G3" s="7">
        <f>ELECT.!D7</f>
        <v>4161</v>
      </c>
      <c r="H3" s="7">
        <f>ELECT.!F7</f>
        <v>7589</v>
      </c>
      <c r="I3" s="7">
        <f>ELECT.!H7</f>
        <v>4413</v>
      </c>
      <c r="J3" s="8">
        <f>Gas!C5</f>
        <v>240</v>
      </c>
      <c r="K3" s="8">
        <f>Gas!E5</f>
        <v>411</v>
      </c>
      <c r="L3" s="8">
        <f>Gas!G5</f>
        <v>119</v>
      </c>
      <c r="M3" s="16">
        <f>Gas!I5</f>
        <v>11</v>
      </c>
      <c r="N3" s="16">
        <f>Gas!K5</f>
        <v>0</v>
      </c>
      <c r="O3" s="8">
        <f>Gas!M5</f>
        <v>0</v>
      </c>
      <c r="P3" s="8">
        <f>Gas!O5</f>
        <v>0</v>
      </c>
      <c r="Q3" s="8">
        <f>Gas!Q5</f>
        <v>0</v>
      </c>
      <c r="R3" s="8">
        <f>Gas!S5</f>
        <v>197</v>
      </c>
      <c r="S3" s="8">
        <f>Gas!U5</f>
        <v>31</v>
      </c>
      <c r="T3" s="8">
        <f>Gas!W5</f>
        <v>50</v>
      </c>
      <c r="U3" s="8">
        <f>Gas!Y5</f>
        <v>0</v>
      </c>
      <c r="V3" s="8">
        <f>Gas!AA5</f>
        <v>202</v>
      </c>
      <c r="W3" s="8">
        <f>Gas!AC5</f>
        <v>0</v>
      </c>
      <c r="X3" s="7">
        <f>ELECT.!B7</f>
        <v>65</v>
      </c>
    </row>
    <row r="4" spans="1:24">
      <c r="A4" s="11" t="s">
        <v>11</v>
      </c>
      <c r="B4" s="14">
        <f t="shared" ref="B4:B32" si="0">B3+1</f>
        <v>3</v>
      </c>
      <c r="C4" s="14">
        <v>9</v>
      </c>
      <c r="D4" s="14">
        <v>2020</v>
      </c>
      <c r="E4" s="7">
        <f>Water!C7</f>
        <v>190</v>
      </c>
      <c r="F4" s="7">
        <f>Water!E7</f>
        <v>430</v>
      </c>
      <c r="G4" s="7">
        <f>ELECT.!D8</f>
        <v>3752</v>
      </c>
      <c r="H4" s="7">
        <f>ELECT.!F8</f>
        <v>7486</v>
      </c>
      <c r="I4" s="7">
        <f>ELECT.!H8</f>
        <v>4529</v>
      </c>
      <c r="J4" s="8">
        <f>Gas!C6</f>
        <v>210</v>
      </c>
      <c r="K4" s="8">
        <f>Gas!E6</f>
        <v>480</v>
      </c>
      <c r="L4" s="8">
        <f>Gas!G6</f>
        <v>115</v>
      </c>
      <c r="M4" s="16">
        <f>Gas!I6</f>
        <v>12</v>
      </c>
      <c r="N4" s="16">
        <f>Gas!K6</f>
        <v>0</v>
      </c>
      <c r="O4" s="8">
        <f>Gas!M6</f>
        <v>0</v>
      </c>
      <c r="P4" s="8">
        <f>Gas!O6</f>
        <v>0</v>
      </c>
      <c r="Q4" s="8">
        <f>Gas!Q6</f>
        <v>0</v>
      </c>
      <c r="R4" s="8">
        <f>Gas!S6</f>
        <v>154</v>
      </c>
      <c r="S4" s="8">
        <f>Gas!U6</f>
        <v>23</v>
      </c>
      <c r="T4" s="8">
        <f>Gas!W6</f>
        <v>40</v>
      </c>
      <c r="U4" s="8">
        <f>Gas!Y6</f>
        <v>0</v>
      </c>
      <c r="V4" s="8">
        <f>Gas!AA6</f>
        <v>119</v>
      </c>
      <c r="W4" s="8">
        <f>Gas!AC6</f>
        <v>0</v>
      </c>
      <c r="X4" s="7">
        <f>ELECT.!B8</f>
        <v>66</v>
      </c>
    </row>
    <row r="5" spans="1:24">
      <c r="A5" s="11" t="s">
        <v>11</v>
      </c>
      <c r="B5" s="14">
        <f t="shared" si="0"/>
        <v>4</v>
      </c>
      <c r="C5" s="14">
        <v>9</v>
      </c>
      <c r="D5" s="14">
        <v>2020</v>
      </c>
      <c r="E5" s="7">
        <f>Water!C8</f>
        <v>210</v>
      </c>
      <c r="F5" s="7">
        <f>Water!E8</f>
        <v>421</v>
      </c>
      <c r="G5" s="7">
        <f>ELECT.!D9</f>
        <v>3530</v>
      </c>
      <c r="H5" s="7">
        <f>ELECT.!F9</f>
        <v>7800</v>
      </c>
      <c r="I5" s="7">
        <f>ELECT.!H9</f>
        <v>4048</v>
      </c>
      <c r="J5" s="8">
        <f>Gas!C7</f>
        <v>230</v>
      </c>
      <c r="K5" s="8">
        <f>Gas!E7</f>
        <v>425</v>
      </c>
      <c r="L5" s="8">
        <f>Gas!G7</f>
        <v>122</v>
      </c>
      <c r="M5" s="16">
        <f>Gas!I7</f>
        <v>20</v>
      </c>
      <c r="N5" s="16">
        <f>Gas!K7</f>
        <v>0</v>
      </c>
      <c r="O5" s="8">
        <f>Gas!M7</f>
        <v>0</v>
      </c>
      <c r="P5" s="8">
        <f>Gas!O7</f>
        <v>0</v>
      </c>
      <c r="Q5" s="8">
        <f>Gas!Q7</f>
        <v>0</v>
      </c>
      <c r="R5" s="8">
        <f>Gas!S7</f>
        <v>272</v>
      </c>
      <c r="S5" s="8">
        <f>Gas!U7</f>
        <v>18</v>
      </c>
      <c r="T5" s="8">
        <f>Gas!W7</f>
        <v>42</v>
      </c>
      <c r="U5" s="8">
        <f>Gas!Y7</f>
        <v>0</v>
      </c>
      <c r="V5" s="8">
        <f>Gas!AA7</f>
        <v>201</v>
      </c>
      <c r="W5" s="8">
        <f>Gas!AC7</f>
        <v>0</v>
      </c>
      <c r="X5" s="7">
        <f>ELECT.!B9</f>
        <v>70</v>
      </c>
    </row>
    <row r="6" spans="1:24">
      <c r="A6" s="11" t="s">
        <v>11</v>
      </c>
      <c r="B6" s="14">
        <f t="shared" si="0"/>
        <v>5</v>
      </c>
      <c r="C6" s="14">
        <v>9</v>
      </c>
      <c r="D6" s="14">
        <v>2020</v>
      </c>
      <c r="E6" s="7">
        <f>Water!C9</f>
        <v>190</v>
      </c>
      <c r="F6" s="7">
        <f>Water!E9</f>
        <v>420</v>
      </c>
      <c r="G6" s="7">
        <f>ELECT.!D10</f>
        <v>4008</v>
      </c>
      <c r="H6" s="7">
        <f>ELECT.!F10</f>
        <v>7852</v>
      </c>
      <c r="I6" s="7">
        <f>ELECT.!H10</f>
        <v>4353</v>
      </c>
      <c r="J6" s="8">
        <f>Gas!C8</f>
        <v>235</v>
      </c>
      <c r="K6" s="8">
        <f>Gas!E8</f>
        <v>455</v>
      </c>
      <c r="L6" s="8">
        <f>Gas!G8</f>
        <v>99</v>
      </c>
      <c r="M6" s="16">
        <f>Gas!I8</f>
        <v>28</v>
      </c>
      <c r="N6" s="16">
        <f>Gas!K8</f>
        <v>0</v>
      </c>
      <c r="O6" s="8">
        <f>Gas!M8</f>
        <v>0</v>
      </c>
      <c r="P6" s="8">
        <f>Gas!O8</f>
        <v>0</v>
      </c>
      <c r="Q6" s="8">
        <f>Gas!Q8</f>
        <v>0</v>
      </c>
      <c r="R6" s="8">
        <f>Gas!S8</f>
        <v>234</v>
      </c>
      <c r="S6" s="8">
        <f>Gas!U8</f>
        <v>57</v>
      </c>
      <c r="T6" s="8">
        <f>Gas!W8</f>
        <v>50</v>
      </c>
      <c r="U6" s="8">
        <f>Gas!Y8</f>
        <v>0</v>
      </c>
      <c r="V6" s="8">
        <f>Gas!AA8</f>
        <v>200</v>
      </c>
      <c r="W6" s="8">
        <f>Gas!AC8</f>
        <v>0</v>
      </c>
      <c r="X6" s="7">
        <f>ELECT.!B10</f>
        <v>75</v>
      </c>
    </row>
    <row r="7" spans="1:24">
      <c r="A7" s="11" t="s">
        <v>11</v>
      </c>
      <c r="B7" s="14">
        <f t="shared" si="0"/>
        <v>6</v>
      </c>
      <c r="C7" s="14">
        <v>9</v>
      </c>
      <c r="D7" s="14">
        <v>2020</v>
      </c>
      <c r="E7" s="7">
        <f>Water!C10</f>
        <v>180</v>
      </c>
      <c r="F7" s="7">
        <f>Water!E10</f>
        <v>446</v>
      </c>
      <c r="G7" s="7">
        <f>ELECT.!D11</f>
        <v>3892</v>
      </c>
      <c r="H7" s="7">
        <f>ELECT.!F11</f>
        <v>8968</v>
      </c>
      <c r="I7" s="7">
        <f>ELECT.!H11</f>
        <v>4510</v>
      </c>
      <c r="J7" s="8">
        <f>Gas!C9</f>
        <v>306</v>
      </c>
      <c r="K7" s="8">
        <f>Gas!E9</f>
        <v>465</v>
      </c>
      <c r="L7" s="8">
        <f>Gas!G9</f>
        <v>135</v>
      </c>
      <c r="M7" s="16">
        <f>Gas!I9</f>
        <v>21</v>
      </c>
      <c r="N7" s="16">
        <f>Gas!K9</f>
        <v>0</v>
      </c>
      <c r="O7" s="8">
        <f>Gas!M9</f>
        <v>0</v>
      </c>
      <c r="P7" s="8">
        <f>Gas!O9</f>
        <v>0</v>
      </c>
      <c r="Q7" s="8">
        <f>Gas!Q9</f>
        <v>0</v>
      </c>
      <c r="R7" s="8">
        <f>Gas!S9</f>
        <v>163</v>
      </c>
      <c r="S7" s="8">
        <f>Gas!U9</f>
        <v>43</v>
      </c>
      <c r="T7" s="8">
        <f>Gas!W9</f>
        <v>24</v>
      </c>
      <c r="U7" s="8">
        <f>Gas!Y9</f>
        <v>0</v>
      </c>
      <c r="V7" s="8">
        <f>Gas!AA9</f>
        <v>210</v>
      </c>
      <c r="W7" s="8">
        <f>Gas!AC9</f>
        <v>0</v>
      </c>
      <c r="X7" s="7">
        <f>ELECT.!B11</f>
        <v>77</v>
      </c>
    </row>
    <row r="8" spans="1:24">
      <c r="A8" s="11" t="s">
        <v>11</v>
      </c>
      <c r="B8" s="14">
        <f t="shared" si="0"/>
        <v>7</v>
      </c>
      <c r="C8" s="14">
        <v>9</v>
      </c>
      <c r="D8" s="14">
        <v>2020</v>
      </c>
      <c r="E8" s="7">
        <f>Water!C11</f>
        <v>260</v>
      </c>
      <c r="F8" s="7">
        <f>Water!E11</f>
        <v>430</v>
      </c>
      <c r="G8" s="7">
        <f>ELECT.!D12</f>
        <v>4390</v>
      </c>
      <c r="H8" s="7">
        <f>ELECT.!F12</f>
        <v>7944</v>
      </c>
      <c r="I8" s="7">
        <f>ELECT.!H12</f>
        <v>4581</v>
      </c>
      <c r="J8" s="8">
        <f>Gas!C10</f>
        <v>206</v>
      </c>
      <c r="K8" s="8">
        <f>Gas!E10</f>
        <v>414</v>
      </c>
      <c r="L8" s="8">
        <f>Gas!G10</f>
        <v>146</v>
      </c>
      <c r="M8" s="16">
        <f>Gas!I10</f>
        <v>17</v>
      </c>
      <c r="N8" s="16">
        <f>Gas!K10</f>
        <v>0</v>
      </c>
      <c r="O8" s="8">
        <f>Gas!M10</f>
        <v>0</v>
      </c>
      <c r="P8" s="8">
        <f>Gas!O10</f>
        <v>0</v>
      </c>
      <c r="Q8" s="8">
        <f>Gas!Q10</f>
        <v>0</v>
      </c>
      <c r="R8" s="8">
        <f>Gas!S10</f>
        <v>221</v>
      </c>
      <c r="S8" s="8">
        <f>Gas!U10</f>
        <v>44</v>
      </c>
      <c r="T8" s="8">
        <f>Gas!W10</f>
        <v>39</v>
      </c>
      <c r="U8" s="8">
        <f>Gas!Y10</f>
        <v>0</v>
      </c>
      <c r="V8" s="8">
        <f>Gas!AA10</f>
        <v>189</v>
      </c>
      <c r="W8" s="8">
        <f>Gas!AC10</f>
        <v>0</v>
      </c>
      <c r="X8" s="7">
        <f>ELECT.!B12</f>
        <v>60</v>
      </c>
    </row>
    <row r="9" spans="1:24">
      <c r="A9" s="11" t="s">
        <v>11</v>
      </c>
      <c r="B9" s="14">
        <f t="shared" si="0"/>
        <v>8</v>
      </c>
      <c r="C9" s="14">
        <v>9</v>
      </c>
      <c r="D9" s="14">
        <v>2020</v>
      </c>
      <c r="E9" s="7">
        <f>Water!C12</f>
        <v>200</v>
      </c>
      <c r="F9" s="7">
        <f>Water!E12</f>
        <v>337</v>
      </c>
      <c r="G9" s="7">
        <f>ELECT.!D13</f>
        <v>3640</v>
      </c>
      <c r="H9" s="7">
        <f>ELECT.!F13</f>
        <v>7298</v>
      </c>
      <c r="I9" s="7">
        <f>ELECT.!H13</f>
        <v>4003</v>
      </c>
      <c r="J9" s="8">
        <f>Gas!C11</f>
        <v>261</v>
      </c>
      <c r="K9" s="8">
        <f>Gas!E11</f>
        <v>458</v>
      </c>
      <c r="L9" s="8">
        <f>Gas!G11</f>
        <v>145</v>
      </c>
      <c r="M9" s="16">
        <f>Gas!I11</f>
        <v>16</v>
      </c>
      <c r="N9" s="16">
        <f>Gas!K11</f>
        <v>0</v>
      </c>
      <c r="O9" s="8">
        <f>Gas!M11</f>
        <v>0</v>
      </c>
      <c r="P9" s="8">
        <f>Gas!O11</f>
        <v>0</v>
      </c>
      <c r="Q9" s="8">
        <f>Gas!Q11</f>
        <v>0</v>
      </c>
      <c r="R9" s="8">
        <f>Gas!S11</f>
        <v>220</v>
      </c>
      <c r="S9" s="8">
        <f>Gas!U11</f>
        <v>39</v>
      </c>
      <c r="T9" s="8">
        <f>Gas!W11</f>
        <v>41</v>
      </c>
      <c r="U9" s="8">
        <f>Gas!Y11</f>
        <v>0</v>
      </c>
      <c r="V9" s="8">
        <f>Gas!AA11</f>
        <v>180</v>
      </c>
      <c r="W9" s="8">
        <f>Gas!AC11</f>
        <v>0</v>
      </c>
      <c r="X9" s="7">
        <f>ELECT.!B13</f>
        <v>61</v>
      </c>
    </row>
    <row r="10" spans="1:24">
      <c r="A10" s="11" t="s">
        <v>11</v>
      </c>
      <c r="B10" s="14">
        <f t="shared" si="0"/>
        <v>9</v>
      </c>
      <c r="C10" s="14">
        <v>9</v>
      </c>
      <c r="D10" s="14">
        <v>2020</v>
      </c>
      <c r="E10" s="7">
        <f>Water!C13</f>
        <v>190</v>
      </c>
      <c r="F10" s="7">
        <f>Water!E13</f>
        <v>446</v>
      </c>
      <c r="G10" s="7">
        <f>ELECT.!D14</f>
        <v>4061</v>
      </c>
      <c r="H10" s="7">
        <f>ELECT.!F14</f>
        <v>8569</v>
      </c>
      <c r="I10" s="7">
        <f>ELECT.!H14</f>
        <v>4782</v>
      </c>
      <c r="J10" s="8">
        <f>Gas!C12</f>
        <v>281</v>
      </c>
      <c r="K10" s="8">
        <f>Gas!E12</f>
        <v>498</v>
      </c>
      <c r="L10" s="8">
        <f>Gas!G12</f>
        <v>142</v>
      </c>
      <c r="M10" s="16">
        <f>Gas!I12</f>
        <v>18</v>
      </c>
      <c r="N10" s="16">
        <f>Gas!K12</f>
        <v>0</v>
      </c>
      <c r="O10" s="8">
        <f>Gas!M12</f>
        <v>0</v>
      </c>
      <c r="P10" s="8">
        <f>Gas!O12</f>
        <v>0</v>
      </c>
      <c r="Q10" s="8">
        <f>Gas!Q12</f>
        <v>0</v>
      </c>
      <c r="R10" s="8">
        <f>Gas!S12</f>
        <v>225</v>
      </c>
      <c r="S10" s="8">
        <f>Gas!U12</f>
        <v>41</v>
      </c>
      <c r="T10" s="8">
        <f>Gas!W12</f>
        <v>50</v>
      </c>
      <c r="U10" s="8">
        <f>Gas!Y12</f>
        <v>0</v>
      </c>
      <c r="V10" s="8">
        <f>Gas!AA12</f>
        <v>186</v>
      </c>
      <c r="W10" s="8">
        <f>Gas!AC12</f>
        <v>0</v>
      </c>
      <c r="X10" s="7">
        <f>ELECT.!B14</f>
        <v>52</v>
      </c>
    </row>
    <row r="11" spans="1:24">
      <c r="A11" s="11" t="s">
        <v>11</v>
      </c>
      <c r="B11" s="14">
        <f t="shared" si="0"/>
        <v>10</v>
      </c>
      <c r="C11" s="14">
        <v>9</v>
      </c>
      <c r="D11" s="14">
        <v>2020</v>
      </c>
      <c r="E11" s="7">
        <f>Water!C14</f>
        <v>230</v>
      </c>
      <c r="F11" s="7">
        <f>Water!E14</f>
        <v>454</v>
      </c>
      <c r="G11" s="7">
        <f>ELECT.!D15</f>
        <v>4121</v>
      </c>
      <c r="H11" s="7">
        <f>ELECT.!F15</f>
        <v>9586</v>
      </c>
      <c r="I11" s="7">
        <f>ELECT.!H15</f>
        <v>5575</v>
      </c>
      <c r="J11" s="8">
        <f>Gas!C13</f>
        <v>279</v>
      </c>
      <c r="K11" s="8">
        <f>Gas!E13</f>
        <v>464</v>
      </c>
      <c r="L11" s="8">
        <f>Gas!G13</f>
        <v>113</v>
      </c>
      <c r="M11" s="16">
        <f>Gas!I13</f>
        <v>28</v>
      </c>
      <c r="N11" s="16">
        <f>Gas!K13</f>
        <v>0</v>
      </c>
      <c r="O11" s="8">
        <f>Gas!M13</f>
        <v>0</v>
      </c>
      <c r="P11" s="8">
        <f>Gas!O13</f>
        <v>0</v>
      </c>
      <c r="Q11" s="8">
        <f>Gas!Q13</f>
        <v>0</v>
      </c>
      <c r="R11" s="8">
        <f>Gas!S13</f>
        <v>158</v>
      </c>
      <c r="S11" s="8">
        <f>Gas!U13</f>
        <v>24</v>
      </c>
      <c r="T11" s="8">
        <f>Gas!W13</f>
        <v>26</v>
      </c>
      <c r="U11" s="8">
        <f>Gas!Y13</f>
        <v>0</v>
      </c>
      <c r="V11" s="8">
        <f>Gas!AA13</f>
        <v>177</v>
      </c>
      <c r="W11" s="8">
        <f>Gas!AC13</f>
        <v>0</v>
      </c>
      <c r="X11" s="7">
        <f>ELECT.!B15</f>
        <v>67</v>
      </c>
    </row>
    <row r="12" spans="1:24">
      <c r="A12" s="11" t="s">
        <v>11</v>
      </c>
      <c r="B12" s="14">
        <f t="shared" si="0"/>
        <v>11</v>
      </c>
      <c r="C12" s="14">
        <v>9</v>
      </c>
      <c r="D12" s="14">
        <v>2020</v>
      </c>
      <c r="E12" s="7">
        <f>Water!C15</f>
        <v>220</v>
      </c>
      <c r="F12" s="7">
        <f>Water!E15</f>
        <v>420</v>
      </c>
      <c r="G12" s="7">
        <f>ELECT.!D16</f>
        <v>4235</v>
      </c>
      <c r="H12" s="7">
        <f>ELECT.!F16</f>
        <v>8339</v>
      </c>
      <c r="I12" s="7">
        <f>ELECT.!H16</f>
        <v>4878</v>
      </c>
      <c r="J12" s="8">
        <f>Gas!C14</f>
        <v>143</v>
      </c>
      <c r="K12" s="8">
        <f>Gas!E14</f>
        <v>402</v>
      </c>
      <c r="L12" s="8">
        <f>Gas!G14</f>
        <v>145</v>
      </c>
      <c r="M12" s="16">
        <f>Gas!I14</f>
        <v>25</v>
      </c>
      <c r="N12" s="16">
        <f>Gas!K14</f>
        <v>0</v>
      </c>
      <c r="O12" s="8">
        <f>Gas!M14</f>
        <v>0</v>
      </c>
      <c r="P12" s="8">
        <f>Gas!O14</f>
        <v>0</v>
      </c>
      <c r="Q12" s="8">
        <f>Gas!Q14</f>
        <v>0</v>
      </c>
      <c r="R12" s="8">
        <f>Gas!S14</f>
        <v>233</v>
      </c>
      <c r="S12" s="8">
        <f>Gas!U14</f>
        <v>42</v>
      </c>
      <c r="T12" s="8">
        <f>Gas!W14</f>
        <v>36</v>
      </c>
      <c r="U12" s="8">
        <f>Gas!Y14</f>
        <v>0</v>
      </c>
      <c r="V12" s="8">
        <f>Gas!AA14</f>
        <v>171</v>
      </c>
      <c r="W12" s="8">
        <f>Gas!AC14</f>
        <v>0</v>
      </c>
      <c r="X12" s="7">
        <f>ELECT.!B16</f>
        <v>75</v>
      </c>
    </row>
    <row r="13" spans="1:24">
      <c r="A13" s="11" t="s">
        <v>11</v>
      </c>
      <c r="B13" s="14">
        <f t="shared" si="0"/>
        <v>12</v>
      </c>
      <c r="C13" s="14">
        <v>9</v>
      </c>
      <c r="D13" s="14">
        <v>2020</v>
      </c>
      <c r="E13" s="7">
        <f>Water!C16</f>
        <v>190</v>
      </c>
      <c r="F13" s="7">
        <f>Water!E16</f>
        <v>427</v>
      </c>
      <c r="G13" s="7">
        <f>ELECT.!D17</f>
        <v>3712</v>
      </c>
      <c r="H13" s="7">
        <f>ELECT.!F17</f>
        <v>7268</v>
      </c>
      <c r="I13" s="7">
        <f>ELECT.!H17</f>
        <v>4350</v>
      </c>
      <c r="J13" s="8">
        <f>Gas!C15</f>
        <v>256</v>
      </c>
      <c r="K13" s="8">
        <f>Gas!E15</f>
        <v>428</v>
      </c>
      <c r="L13" s="8">
        <f>Gas!G15</f>
        <v>151</v>
      </c>
      <c r="M13" s="16">
        <f>Gas!I15</f>
        <v>18</v>
      </c>
      <c r="N13" s="16">
        <f>Gas!K15</f>
        <v>0</v>
      </c>
      <c r="O13" s="8">
        <f>Gas!M15</f>
        <v>0</v>
      </c>
      <c r="P13" s="8">
        <f>Gas!O15</f>
        <v>0</v>
      </c>
      <c r="Q13" s="8">
        <f>Gas!Q15</f>
        <v>0</v>
      </c>
      <c r="R13" s="8">
        <f>Gas!S15</f>
        <v>221</v>
      </c>
      <c r="S13" s="8">
        <f>Gas!U15</f>
        <v>29</v>
      </c>
      <c r="T13" s="8">
        <f>Gas!W15</f>
        <v>31</v>
      </c>
      <c r="U13" s="8">
        <f>Gas!Y15</f>
        <v>0</v>
      </c>
      <c r="V13" s="8">
        <f>Gas!AA15</f>
        <v>161</v>
      </c>
      <c r="W13" s="8">
        <f>Gas!AC15</f>
        <v>0</v>
      </c>
      <c r="X13" s="7">
        <f>ELECT.!B17</f>
        <v>52</v>
      </c>
    </row>
    <row r="14" spans="1:24">
      <c r="A14" s="11" t="s">
        <v>11</v>
      </c>
      <c r="B14" s="14">
        <f t="shared" si="0"/>
        <v>13</v>
      </c>
      <c r="C14" s="14">
        <v>9</v>
      </c>
      <c r="D14" s="14">
        <v>2020</v>
      </c>
      <c r="E14" s="7">
        <f>Water!C17</f>
        <v>220</v>
      </c>
      <c r="F14" s="7">
        <f>Water!E17</f>
        <v>566</v>
      </c>
      <c r="G14" s="7">
        <f>ELECT.!D18</f>
        <v>3665</v>
      </c>
      <c r="H14" s="7">
        <f>ELECT.!F18</f>
        <v>7207</v>
      </c>
      <c r="I14" s="7">
        <f>ELECT.!H18</f>
        <v>4272</v>
      </c>
      <c r="J14" s="8">
        <f>Gas!C16</f>
        <v>264</v>
      </c>
      <c r="K14" s="8">
        <f>Gas!E16</f>
        <v>400</v>
      </c>
      <c r="L14" s="8">
        <f>Gas!G16</f>
        <v>126</v>
      </c>
      <c r="M14" s="16">
        <f>Gas!I16</f>
        <v>15</v>
      </c>
      <c r="N14" s="16">
        <f>Gas!K16</f>
        <v>0</v>
      </c>
      <c r="O14" s="8">
        <f>Gas!M16</f>
        <v>0</v>
      </c>
      <c r="P14" s="8">
        <f>Gas!O16</f>
        <v>0</v>
      </c>
      <c r="Q14" s="8">
        <f>Gas!Q16</f>
        <v>0</v>
      </c>
      <c r="R14" s="8">
        <f>Gas!S16</f>
        <v>194</v>
      </c>
      <c r="S14" s="8">
        <f>Gas!U16</f>
        <v>21</v>
      </c>
      <c r="T14" s="8">
        <f>Gas!W16</f>
        <v>32</v>
      </c>
      <c r="U14" s="8">
        <f>Gas!Y16</f>
        <v>0</v>
      </c>
      <c r="V14" s="8">
        <f>Gas!AA16</f>
        <v>133</v>
      </c>
      <c r="W14" s="8">
        <f>Gas!AC16</f>
        <v>0</v>
      </c>
      <c r="X14" s="7">
        <f>ELECT.!B18</f>
        <v>56</v>
      </c>
    </row>
    <row r="15" spans="1:24">
      <c r="A15" s="11" t="s">
        <v>11</v>
      </c>
      <c r="B15" s="14">
        <f t="shared" si="0"/>
        <v>14</v>
      </c>
      <c r="C15" s="14">
        <v>9</v>
      </c>
      <c r="D15" s="14">
        <v>2020</v>
      </c>
      <c r="E15" s="7">
        <f>Water!C18</f>
        <v>190</v>
      </c>
      <c r="F15" s="7">
        <f>Water!E18</f>
        <v>239</v>
      </c>
      <c r="G15" s="7">
        <f>ELECT.!D19</f>
        <v>3813</v>
      </c>
      <c r="H15" s="7">
        <f>ELECT.!F19</f>
        <v>7620</v>
      </c>
      <c r="I15" s="7">
        <f>ELECT.!H19</f>
        <v>4384</v>
      </c>
      <c r="J15" s="8">
        <f>Gas!C17</f>
        <v>176</v>
      </c>
      <c r="K15" s="8">
        <f>Gas!E17</f>
        <v>493</v>
      </c>
      <c r="L15" s="8">
        <f>Gas!G17</f>
        <v>161</v>
      </c>
      <c r="M15" s="16">
        <f>Gas!I17</f>
        <v>18</v>
      </c>
      <c r="N15" s="16">
        <f>Gas!K17</f>
        <v>0</v>
      </c>
      <c r="O15" s="8">
        <f>Gas!M17</f>
        <v>0</v>
      </c>
      <c r="P15" s="8">
        <f>Gas!O17</f>
        <v>0</v>
      </c>
      <c r="Q15" s="8">
        <f>Gas!Q17</f>
        <v>0</v>
      </c>
      <c r="R15" s="8">
        <f>Gas!S17</f>
        <v>189</v>
      </c>
      <c r="S15" s="8">
        <f>Gas!U17</f>
        <v>17</v>
      </c>
      <c r="T15" s="8">
        <f>Gas!W17</f>
        <v>31</v>
      </c>
      <c r="U15" s="8">
        <f>Gas!Y17</f>
        <v>0</v>
      </c>
      <c r="V15" s="8">
        <f>Gas!AA17</f>
        <v>174</v>
      </c>
      <c r="W15" s="8">
        <f>Gas!AC17</f>
        <v>0</v>
      </c>
      <c r="X15" s="7">
        <f>ELECT.!B19</f>
        <v>48</v>
      </c>
    </row>
    <row r="16" spans="1:24">
      <c r="A16" s="11" t="s">
        <v>11</v>
      </c>
      <c r="B16" s="14">
        <f t="shared" si="0"/>
        <v>15</v>
      </c>
      <c r="C16" s="14">
        <v>9</v>
      </c>
      <c r="D16" s="14">
        <v>2020</v>
      </c>
      <c r="E16" s="7">
        <f>Water!C19</f>
        <v>170</v>
      </c>
      <c r="F16" s="7">
        <f>Water!E19</f>
        <v>403</v>
      </c>
      <c r="G16" s="7">
        <f>ELECT.!D20</f>
        <v>3956</v>
      </c>
      <c r="H16" s="7">
        <f>ELECT.!F20</f>
        <v>8122</v>
      </c>
      <c r="I16" s="7">
        <f>ELECT.!H20</f>
        <v>4665</v>
      </c>
      <c r="J16" s="8">
        <f>Gas!C18</f>
        <v>301</v>
      </c>
      <c r="K16" s="8">
        <f>Gas!E18</f>
        <v>439</v>
      </c>
      <c r="L16" s="8">
        <f>Gas!G18</f>
        <v>108</v>
      </c>
      <c r="M16" s="16">
        <f>Gas!I18</f>
        <v>16</v>
      </c>
      <c r="N16" s="16">
        <f>Gas!K18</f>
        <v>0</v>
      </c>
      <c r="O16" s="8">
        <f>Gas!M18</f>
        <v>0</v>
      </c>
      <c r="P16" s="8">
        <f>Gas!O18</f>
        <v>0</v>
      </c>
      <c r="Q16" s="8">
        <f>Gas!Q18</f>
        <v>0</v>
      </c>
      <c r="R16" s="8">
        <f>Gas!S18</f>
        <v>153</v>
      </c>
      <c r="S16" s="8">
        <f>Gas!U18</f>
        <v>38</v>
      </c>
      <c r="T16" s="8">
        <f>Gas!W18</f>
        <v>28</v>
      </c>
      <c r="U16" s="8">
        <f>Gas!Y18</f>
        <v>0</v>
      </c>
      <c r="V16" s="8">
        <f>Gas!AA18</f>
        <v>137</v>
      </c>
      <c r="W16" s="8">
        <f>Gas!AC18</f>
        <v>0</v>
      </c>
      <c r="X16" s="7">
        <f>ELECT.!B20</f>
        <v>60</v>
      </c>
    </row>
    <row r="17" spans="1:24">
      <c r="A17" s="11" t="s">
        <v>11</v>
      </c>
      <c r="B17" s="14">
        <f t="shared" si="0"/>
        <v>16</v>
      </c>
      <c r="C17" s="14">
        <v>9</v>
      </c>
      <c r="D17" s="14">
        <v>2020</v>
      </c>
      <c r="E17" s="7">
        <f>Water!C20</f>
        <v>190</v>
      </c>
      <c r="F17" s="7">
        <f>Water!E20</f>
        <v>405</v>
      </c>
      <c r="G17" s="7">
        <f>ELECT.!D21</f>
        <v>3858</v>
      </c>
      <c r="H17" s="7">
        <f>ELECT.!F21</f>
        <v>7976</v>
      </c>
      <c r="I17" s="7">
        <f>ELECT.!H21</f>
        <v>4502</v>
      </c>
      <c r="J17" s="8">
        <f>Gas!C19</f>
        <v>200</v>
      </c>
      <c r="K17" s="8">
        <f>Gas!E19</f>
        <v>469</v>
      </c>
      <c r="L17" s="8">
        <f>Gas!G19</f>
        <v>115</v>
      </c>
      <c r="M17" s="16">
        <f>Gas!I19</f>
        <v>19</v>
      </c>
      <c r="N17" s="16">
        <f>Gas!K19</f>
        <v>0</v>
      </c>
      <c r="O17" s="8">
        <f>Gas!M19</f>
        <v>0</v>
      </c>
      <c r="P17" s="8">
        <f>Gas!O19</f>
        <v>0</v>
      </c>
      <c r="Q17" s="8">
        <f>Gas!Q19</f>
        <v>0</v>
      </c>
      <c r="R17" s="8">
        <f>Gas!S19</f>
        <v>176</v>
      </c>
      <c r="S17" s="8">
        <f>Gas!U19</f>
        <v>30</v>
      </c>
      <c r="T17" s="8">
        <f>Gas!W19</f>
        <v>34</v>
      </c>
      <c r="U17" s="8">
        <f>Gas!Y19</f>
        <v>0</v>
      </c>
      <c r="V17" s="8">
        <f>Gas!AA19</f>
        <v>140</v>
      </c>
      <c r="W17" s="8">
        <f>Gas!AC19</f>
        <v>0</v>
      </c>
      <c r="X17" s="7">
        <f>ELECT.!B21</f>
        <v>62</v>
      </c>
    </row>
    <row r="18" spans="1:24">
      <c r="A18" s="11" t="s">
        <v>11</v>
      </c>
      <c r="B18" s="14">
        <f t="shared" si="0"/>
        <v>17</v>
      </c>
      <c r="C18" s="14">
        <v>9</v>
      </c>
      <c r="D18" s="14">
        <v>2020</v>
      </c>
      <c r="E18" s="7">
        <f>Water!C21</f>
        <v>180</v>
      </c>
      <c r="F18" s="7">
        <f>Water!E21</f>
        <v>403</v>
      </c>
      <c r="G18" s="7">
        <f>ELECT.!D22</f>
        <v>3544</v>
      </c>
      <c r="H18" s="7">
        <f>ELECT.!F22</f>
        <v>7404</v>
      </c>
      <c r="I18" s="7">
        <f>ELECT.!H22</f>
        <v>3996</v>
      </c>
      <c r="J18" s="8">
        <f>Gas!C20</f>
        <v>257</v>
      </c>
      <c r="K18" s="8">
        <f>Gas!E20</f>
        <v>456</v>
      </c>
      <c r="L18" s="8">
        <f>Gas!G20</f>
        <v>135</v>
      </c>
      <c r="M18" s="16">
        <f>Gas!I20</f>
        <v>19</v>
      </c>
      <c r="N18" s="16">
        <f>Gas!K20</f>
        <v>0</v>
      </c>
      <c r="O18" s="8">
        <f>Gas!M20</f>
        <v>0</v>
      </c>
      <c r="P18" s="8">
        <f>Gas!O20</f>
        <v>0</v>
      </c>
      <c r="Q18" s="8">
        <f>Gas!Q20</f>
        <v>0</v>
      </c>
      <c r="R18" s="8">
        <f>Gas!S20</f>
        <v>180</v>
      </c>
      <c r="S18" s="8">
        <f>Gas!U20</f>
        <v>33</v>
      </c>
      <c r="T18" s="8">
        <f>Gas!W20</f>
        <v>32</v>
      </c>
      <c r="U18" s="8">
        <f>Gas!Y20</f>
        <v>0</v>
      </c>
      <c r="V18" s="8">
        <f>Gas!AA20</f>
        <v>171</v>
      </c>
      <c r="W18" s="8">
        <f>Gas!AC20</f>
        <v>0</v>
      </c>
      <c r="X18" s="7">
        <f>ELECT.!B22</f>
        <v>58</v>
      </c>
    </row>
    <row r="19" spans="1:24">
      <c r="A19" s="11" t="s">
        <v>11</v>
      </c>
      <c r="B19" s="14">
        <f t="shared" si="0"/>
        <v>18</v>
      </c>
      <c r="C19" s="14">
        <v>9</v>
      </c>
      <c r="D19" s="14">
        <v>2020</v>
      </c>
      <c r="E19" s="7">
        <f>Water!C22</f>
        <v>230</v>
      </c>
      <c r="F19" s="7">
        <f>Water!E22</f>
        <v>393</v>
      </c>
      <c r="G19" s="7">
        <f>ELECT.!D23</f>
        <v>3900</v>
      </c>
      <c r="H19" s="7">
        <f>ELECT.!F23</f>
        <v>8369</v>
      </c>
      <c r="I19" s="7">
        <f>ELECT.!H23</f>
        <v>4444</v>
      </c>
      <c r="J19" s="8">
        <f>Gas!C21</f>
        <v>190</v>
      </c>
      <c r="K19" s="8">
        <f>Gas!E21</f>
        <v>483</v>
      </c>
      <c r="L19" s="8">
        <f>Gas!G21</f>
        <v>107</v>
      </c>
      <c r="M19" s="16">
        <f>Gas!I21</f>
        <v>19</v>
      </c>
      <c r="N19" s="16">
        <f>Gas!K21</f>
        <v>0</v>
      </c>
      <c r="O19" s="8">
        <f>Gas!M21</f>
        <v>0</v>
      </c>
      <c r="P19" s="8">
        <f>Gas!O21</f>
        <v>0</v>
      </c>
      <c r="Q19" s="8">
        <f>Gas!Q21</f>
        <v>0</v>
      </c>
      <c r="R19" s="8">
        <f>Gas!S21</f>
        <v>190</v>
      </c>
      <c r="S19" s="8">
        <f>Gas!U21</f>
        <v>23</v>
      </c>
      <c r="T19" s="8">
        <f>Gas!W21</f>
        <v>36</v>
      </c>
      <c r="U19" s="8">
        <f>Gas!Y21</f>
        <v>0</v>
      </c>
      <c r="V19" s="8">
        <f>Gas!AA21</f>
        <v>146</v>
      </c>
      <c r="W19" s="8">
        <f>Gas!AC21</f>
        <v>0</v>
      </c>
      <c r="X19" s="7">
        <f>ELECT.!B23</f>
        <v>54</v>
      </c>
    </row>
    <row r="20" spans="1:24">
      <c r="A20" s="11" t="s">
        <v>11</v>
      </c>
      <c r="B20" s="14">
        <f t="shared" si="0"/>
        <v>19</v>
      </c>
      <c r="C20" s="14">
        <v>9</v>
      </c>
      <c r="D20" s="14">
        <v>2020</v>
      </c>
      <c r="E20" s="7">
        <f>Water!C23</f>
        <v>220</v>
      </c>
      <c r="F20" s="7">
        <f>Water!E23</f>
        <v>572</v>
      </c>
      <c r="G20" s="7">
        <f>ELECT.!D24</f>
        <v>3818</v>
      </c>
      <c r="H20" s="7">
        <f>ELECT.!F24</f>
        <v>8113</v>
      </c>
      <c r="I20" s="7">
        <f>ELECT.!H24</f>
        <v>4464</v>
      </c>
      <c r="J20" s="8">
        <f>Gas!C22</f>
        <v>216</v>
      </c>
      <c r="K20" s="8">
        <f>Gas!E22</f>
        <v>473</v>
      </c>
      <c r="L20" s="8">
        <f>Gas!G22</f>
        <v>126</v>
      </c>
      <c r="M20" s="16">
        <f>Gas!I22</f>
        <v>17</v>
      </c>
      <c r="N20" s="16">
        <f>Gas!K22</f>
        <v>8</v>
      </c>
      <c r="O20" s="8">
        <f>Gas!M22</f>
        <v>0</v>
      </c>
      <c r="P20" s="8">
        <f>Gas!O22</f>
        <v>0</v>
      </c>
      <c r="Q20" s="8">
        <f>Gas!Q22</f>
        <v>0</v>
      </c>
      <c r="R20" s="8">
        <f>Gas!S22</f>
        <v>250</v>
      </c>
      <c r="S20" s="8">
        <f>Gas!U22</f>
        <v>38</v>
      </c>
      <c r="T20" s="8">
        <f>Gas!W22</f>
        <v>31</v>
      </c>
      <c r="U20" s="8">
        <f>Gas!Y22</f>
        <v>0</v>
      </c>
      <c r="V20" s="8">
        <f>Gas!AA22</f>
        <v>173</v>
      </c>
      <c r="W20" s="8">
        <f>Gas!AC22</f>
        <v>0</v>
      </c>
      <c r="X20" s="7">
        <f>ELECT.!B24</f>
        <v>52</v>
      </c>
    </row>
    <row r="21" spans="1:24">
      <c r="A21" s="11" t="s">
        <v>11</v>
      </c>
      <c r="B21" s="14">
        <f t="shared" si="0"/>
        <v>20</v>
      </c>
      <c r="C21" s="14">
        <v>9</v>
      </c>
      <c r="D21" s="14">
        <v>2020</v>
      </c>
      <c r="E21" s="7">
        <f>Water!C24</f>
        <v>190</v>
      </c>
      <c r="F21" s="7">
        <f>Water!E24</f>
        <v>400</v>
      </c>
      <c r="G21" s="7">
        <f>ELECT.!D25</f>
        <v>3914</v>
      </c>
      <c r="H21" s="7">
        <f>ELECT.!F25</f>
        <v>0</v>
      </c>
      <c r="I21" s="7">
        <f>ELECT.!H25</f>
        <v>4464</v>
      </c>
      <c r="J21" s="8">
        <f>Gas!C23</f>
        <v>281</v>
      </c>
      <c r="K21" s="8">
        <f>Gas!E23</f>
        <v>512</v>
      </c>
      <c r="L21" s="8">
        <f>Gas!G23</f>
        <v>95</v>
      </c>
      <c r="M21" s="16">
        <f>Gas!I23</f>
        <v>18</v>
      </c>
      <c r="N21" s="16">
        <f>Gas!K23</f>
        <v>0</v>
      </c>
      <c r="O21" s="8">
        <f>Gas!M23</f>
        <v>0</v>
      </c>
      <c r="P21" s="8">
        <f>Gas!O23</f>
        <v>0</v>
      </c>
      <c r="Q21" s="8">
        <f>Gas!Q23</f>
        <v>0</v>
      </c>
      <c r="R21" s="8">
        <f>Gas!S23</f>
        <v>208</v>
      </c>
      <c r="S21" s="8">
        <f>Gas!U23</f>
        <v>33</v>
      </c>
      <c r="T21" s="8">
        <f>Gas!W23</f>
        <v>35</v>
      </c>
      <c r="U21" s="8">
        <f>Gas!Y23</f>
        <v>0</v>
      </c>
      <c r="V21" s="8">
        <f>Gas!AA23</f>
        <v>165</v>
      </c>
      <c r="W21" s="8">
        <f>Gas!AC23</f>
        <v>0</v>
      </c>
      <c r="X21" s="7">
        <f>ELECT.!B25</f>
        <v>50</v>
      </c>
    </row>
    <row r="22" spans="1:24">
      <c r="A22" s="11" t="s">
        <v>11</v>
      </c>
      <c r="B22" s="14">
        <f t="shared" si="0"/>
        <v>21</v>
      </c>
      <c r="C22" s="14">
        <v>9</v>
      </c>
      <c r="D22" s="14">
        <v>2020</v>
      </c>
      <c r="E22" s="7">
        <f>Water!C25</f>
        <v>160</v>
      </c>
      <c r="F22" s="7">
        <f>Water!E25</f>
        <v>391</v>
      </c>
      <c r="G22" s="7">
        <f>ELECT.!D26</f>
        <v>3793</v>
      </c>
      <c r="H22" s="7">
        <f>ELECT.!F26</f>
        <v>7812</v>
      </c>
      <c r="I22" s="7">
        <f>ELECT.!H26</f>
        <v>4594</v>
      </c>
      <c r="J22" s="8">
        <f>Gas!C24</f>
        <v>219</v>
      </c>
      <c r="K22" s="8">
        <f>Gas!E24</f>
        <v>430</v>
      </c>
      <c r="L22" s="8">
        <f>Gas!G24</f>
        <v>123</v>
      </c>
      <c r="M22" s="16">
        <f>Gas!I24</f>
        <v>15</v>
      </c>
      <c r="N22" s="16">
        <f>Gas!K24</f>
        <v>0</v>
      </c>
      <c r="O22" s="8">
        <f>Gas!M24</f>
        <v>0</v>
      </c>
      <c r="P22" s="8">
        <f>Gas!O24</f>
        <v>16</v>
      </c>
      <c r="Q22" s="8">
        <f>Gas!Q24</f>
        <v>0</v>
      </c>
      <c r="R22" s="8">
        <f>Gas!S24</f>
        <v>171</v>
      </c>
      <c r="S22" s="8">
        <f>Gas!U24</f>
        <v>19</v>
      </c>
      <c r="T22" s="8">
        <f>Gas!W24</f>
        <v>39</v>
      </c>
      <c r="U22" s="8">
        <f>Gas!Y24</f>
        <v>0</v>
      </c>
      <c r="V22" s="8">
        <f>Gas!AA24</f>
        <v>144</v>
      </c>
      <c r="W22" s="8">
        <f>Gas!AC24</f>
        <v>0</v>
      </c>
      <c r="X22" s="7">
        <f>ELECT.!B26</f>
        <v>46</v>
      </c>
    </row>
    <row r="23" spans="1:24">
      <c r="A23" s="11" t="s">
        <v>11</v>
      </c>
      <c r="B23" s="14">
        <f t="shared" si="0"/>
        <v>22</v>
      </c>
      <c r="C23" s="14">
        <v>9</v>
      </c>
      <c r="D23" s="14">
        <v>2020</v>
      </c>
      <c r="E23" s="7">
        <f>Water!C26</f>
        <v>160</v>
      </c>
      <c r="F23" s="7">
        <f>Water!E26</f>
        <v>445</v>
      </c>
      <c r="G23" s="7">
        <f>ELECT.!D27</f>
        <v>3727</v>
      </c>
      <c r="H23" s="7">
        <f>ELECT.!F27</f>
        <v>7843</v>
      </c>
      <c r="I23" s="7">
        <f>ELECT.!H27</f>
        <v>4796</v>
      </c>
      <c r="J23" s="8">
        <f>Gas!C25</f>
        <v>226</v>
      </c>
      <c r="K23" s="8">
        <f>Gas!E25</f>
        <v>474</v>
      </c>
      <c r="L23" s="8">
        <f>Gas!G25</f>
        <v>131</v>
      </c>
      <c r="M23" s="16">
        <f>Gas!I25</f>
        <v>11</v>
      </c>
      <c r="N23" s="16">
        <f>Gas!K25</f>
        <v>0</v>
      </c>
      <c r="O23" s="8">
        <f>Gas!M25</f>
        <v>0</v>
      </c>
      <c r="P23" s="8">
        <f>Gas!O25</f>
        <v>48</v>
      </c>
      <c r="Q23" s="8">
        <f>Gas!Q25</f>
        <v>0</v>
      </c>
      <c r="R23" s="8">
        <f>Gas!S25</f>
        <v>181</v>
      </c>
      <c r="S23" s="8">
        <f>Gas!U25</f>
        <v>29</v>
      </c>
      <c r="T23" s="8">
        <f>Gas!W25</f>
        <v>29</v>
      </c>
      <c r="U23" s="8">
        <f>Gas!Y25</f>
        <v>0</v>
      </c>
      <c r="V23" s="8">
        <f>Gas!AA25</f>
        <v>151</v>
      </c>
      <c r="W23" s="8">
        <f>Gas!AC25</f>
        <v>0</v>
      </c>
      <c r="X23" s="7">
        <f>ELECT.!B27</f>
        <v>61</v>
      </c>
    </row>
    <row r="24" spans="1:24">
      <c r="A24" s="11" t="s">
        <v>11</v>
      </c>
      <c r="B24" s="14">
        <f t="shared" si="0"/>
        <v>23</v>
      </c>
      <c r="C24" s="14">
        <v>9</v>
      </c>
      <c r="D24" s="14">
        <v>2020</v>
      </c>
      <c r="E24" s="7">
        <f>Water!C27</f>
        <v>170</v>
      </c>
      <c r="F24" s="7">
        <f>Water!E27</f>
        <v>438</v>
      </c>
      <c r="G24" s="7">
        <f>ELECT.!D28</f>
        <v>3722</v>
      </c>
      <c r="H24" s="7">
        <f>ELECT.!F28</f>
        <v>7725</v>
      </c>
      <c r="I24" s="7">
        <f>ELECT.!H28</f>
        <v>4722</v>
      </c>
      <c r="J24" s="8">
        <f>Gas!C26</f>
        <v>234</v>
      </c>
      <c r="K24" s="8">
        <f>Gas!E26</f>
        <v>497</v>
      </c>
      <c r="L24" s="8">
        <f>Gas!G26</f>
        <v>139</v>
      </c>
      <c r="M24" s="16">
        <f>Gas!I26</f>
        <v>25</v>
      </c>
      <c r="N24" s="16">
        <f>Gas!K26</f>
        <v>0</v>
      </c>
      <c r="O24" s="8">
        <f>Gas!M26</f>
        <v>0</v>
      </c>
      <c r="P24" s="8">
        <f>Gas!O26</f>
        <v>69</v>
      </c>
      <c r="Q24" s="8">
        <f>Gas!Q26</f>
        <v>0</v>
      </c>
      <c r="R24" s="8">
        <f>Gas!S26</f>
        <v>116</v>
      </c>
      <c r="S24" s="8">
        <f>Gas!U26</f>
        <v>31</v>
      </c>
      <c r="T24" s="8">
        <f>Gas!W26</f>
        <v>36</v>
      </c>
      <c r="U24" s="8">
        <f>Gas!Y26</f>
        <v>0</v>
      </c>
      <c r="V24" s="8">
        <f>Gas!AA26</f>
        <v>183</v>
      </c>
      <c r="W24" s="8">
        <f>Gas!AC26</f>
        <v>0</v>
      </c>
      <c r="X24" s="7">
        <f>ELECT.!B28</f>
        <v>60</v>
      </c>
    </row>
    <row r="25" spans="1:24">
      <c r="A25" s="11" t="s">
        <v>11</v>
      </c>
      <c r="B25" s="14">
        <f t="shared" si="0"/>
        <v>24</v>
      </c>
      <c r="C25" s="14">
        <v>9</v>
      </c>
      <c r="D25" s="14">
        <v>2020</v>
      </c>
      <c r="E25" s="7">
        <f>Water!C28</f>
        <v>210</v>
      </c>
      <c r="F25" s="7">
        <f>Water!E28</f>
        <v>386</v>
      </c>
      <c r="G25" s="7">
        <f>ELECT.!D29</f>
        <v>4100</v>
      </c>
      <c r="H25" s="7">
        <f>ELECT.!F29</f>
        <v>8758</v>
      </c>
      <c r="I25" s="7">
        <f>ELECT.!H29</f>
        <v>5264</v>
      </c>
      <c r="J25" s="8">
        <f>Gas!C27</f>
        <v>253</v>
      </c>
      <c r="K25" s="8">
        <f>Gas!E27</f>
        <v>500</v>
      </c>
      <c r="L25" s="8">
        <f>Gas!G27</f>
        <v>104</v>
      </c>
      <c r="M25" s="16">
        <f>Gas!I27</f>
        <v>16</v>
      </c>
      <c r="N25" s="16">
        <f>Gas!K27</f>
        <v>0</v>
      </c>
      <c r="O25" s="8">
        <f>Gas!M27</f>
        <v>0</v>
      </c>
      <c r="P25" s="8">
        <f>Gas!O27</f>
        <v>121</v>
      </c>
      <c r="Q25" s="8">
        <f>Gas!Q27</f>
        <v>0</v>
      </c>
      <c r="R25" s="8">
        <f>Gas!S27</f>
        <v>155</v>
      </c>
      <c r="S25" s="8">
        <f>Gas!U27</f>
        <v>22</v>
      </c>
      <c r="T25" s="8">
        <f>Gas!W27</f>
        <v>32</v>
      </c>
      <c r="U25" s="8">
        <f>Gas!Y27</f>
        <v>0</v>
      </c>
      <c r="V25" s="8">
        <f>Gas!AA27</f>
        <v>115</v>
      </c>
      <c r="W25" s="8">
        <f>Gas!AC27</f>
        <v>0</v>
      </c>
      <c r="X25" s="7">
        <f>ELECT.!B29</f>
        <v>54</v>
      </c>
    </row>
    <row r="26" spans="1:24">
      <c r="A26" s="11" t="s">
        <v>11</v>
      </c>
      <c r="B26" s="14">
        <f>B25+1</f>
        <v>25</v>
      </c>
      <c r="C26" s="14">
        <v>9</v>
      </c>
      <c r="D26" s="14">
        <v>2020</v>
      </c>
      <c r="E26" s="7">
        <f>Water!C29</f>
        <v>250</v>
      </c>
      <c r="F26" s="7">
        <f>Water!E29</f>
        <v>438</v>
      </c>
      <c r="G26" s="7">
        <f>ELECT.!D30</f>
        <v>4234</v>
      </c>
      <c r="H26" s="7">
        <f>ELECT.!F30</f>
        <v>10210</v>
      </c>
      <c r="I26" s="7">
        <f>ELECT.!H30</f>
        <v>5899</v>
      </c>
      <c r="J26" s="8">
        <f>Gas!C28</f>
        <v>231</v>
      </c>
      <c r="K26" s="8">
        <f>Gas!E28</f>
        <v>493</v>
      </c>
      <c r="L26" s="8">
        <f>Gas!G28</f>
        <v>120</v>
      </c>
      <c r="M26" s="16">
        <f>Gas!I28</f>
        <v>15</v>
      </c>
      <c r="N26" s="16">
        <f>Gas!K28</f>
        <v>0</v>
      </c>
      <c r="O26" s="8">
        <f>Gas!M28</f>
        <v>0</v>
      </c>
      <c r="P26" s="8">
        <f>Gas!O28</f>
        <v>106</v>
      </c>
      <c r="Q26" s="8">
        <f>Gas!Q28</f>
        <v>0</v>
      </c>
      <c r="R26" s="8">
        <f>Gas!S28</f>
        <v>169</v>
      </c>
      <c r="S26" s="8">
        <f>Gas!U28</f>
        <v>19</v>
      </c>
      <c r="T26" s="8">
        <f>Gas!W28</f>
        <v>36</v>
      </c>
      <c r="U26" s="8">
        <f>Gas!Y28</f>
        <v>0</v>
      </c>
      <c r="V26" s="8">
        <f>Gas!AA28</f>
        <v>116</v>
      </c>
      <c r="W26" s="8">
        <f>Gas!AC28</f>
        <v>0</v>
      </c>
      <c r="X26" s="7">
        <f>ELECT.!B30</f>
        <v>56</v>
      </c>
    </row>
    <row r="27" spans="1:24">
      <c r="A27" s="11" t="s">
        <v>11</v>
      </c>
      <c r="B27" s="14">
        <f t="shared" si="0"/>
        <v>26</v>
      </c>
      <c r="C27" s="14">
        <v>9</v>
      </c>
      <c r="D27" s="14">
        <v>2020</v>
      </c>
      <c r="E27" s="7">
        <f>Water!C30</f>
        <v>170</v>
      </c>
      <c r="F27" s="7">
        <f>Water!E30</f>
        <v>396</v>
      </c>
      <c r="G27" s="7">
        <f>ELECT.!D31</f>
        <v>5155</v>
      </c>
      <c r="H27" s="7">
        <f>ELECT.!F31</f>
        <v>8034</v>
      </c>
      <c r="I27" s="7">
        <f>ELECT.!H31</f>
        <v>4803</v>
      </c>
      <c r="J27" s="8">
        <f>Gas!C29</f>
        <v>292</v>
      </c>
      <c r="K27" s="8">
        <f>Gas!E29</f>
        <v>468</v>
      </c>
      <c r="L27" s="8">
        <f>Gas!G29</f>
        <v>88</v>
      </c>
      <c r="M27" s="16">
        <f>Gas!I29</f>
        <v>27</v>
      </c>
      <c r="N27" s="16">
        <f>Gas!K29</f>
        <v>0</v>
      </c>
      <c r="O27" s="8">
        <f>Gas!M29</f>
        <v>0</v>
      </c>
      <c r="P27" s="8">
        <f>Gas!O29</f>
        <v>37</v>
      </c>
      <c r="Q27" s="8">
        <f>Gas!Q29</f>
        <v>0</v>
      </c>
      <c r="R27" s="8">
        <f>Gas!S29</f>
        <v>217</v>
      </c>
      <c r="S27" s="8">
        <f>Gas!U29</f>
        <v>19</v>
      </c>
      <c r="T27" s="8">
        <f>Gas!W29</f>
        <v>27</v>
      </c>
      <c r="U27" s="8">
        <f>Gas!Y29</f>
        <v>0</v>
      </c>
      <c r="V27" s="8">
        <f>Gas!AA29</f>
        <v>129</v>
      </c>
      <c r="W27" s="8">
        <f>Gas!AC29</f>
        <v>0</v>
      </c>
      <c r="X27" s="7">
        <f>ELECT.!B31</f>
        <v>69</v>
      </c>
    </row>
    <row r="28" spans="1:24">
      <c r="A28" s="11" t="s">
        <v>11</v>
      </c>
      <c r="B28" s="14">
        <f t="shared" si="0"/>
        <v>27</v>
      </c>
      <c r="C28" s="14">
        <v>9</v>
      </c>
      <c r="D28" s="14">
        <v>2020</v>
      </c>
      <c r="E28" s="7">
        <f>Water!C31</f>
        <v>150</v>
      </c>
      <c r="F28" s="7">
        <f>Water!E31</f>
        <v>423</v>
      </c>
      <c r="G28" s="7">
        <f>ELECT.!D32</f>
        <v>2283</v>
      </c>
      <c r="H28" s="7">
        <f>ELECT.!F32</f>
        <v>7479</v>
      </c>
      <c r="I28" s="7">
        <f>ELECT.!H32</f>
        <v>4746</v>
      </c>
      <c r="J28" s="8">
        <f>Gas!C30</f>
        <v>226</v>
      </c>
      <c r="K28" s="8">
        <f>Gas!E30</f>
        <v>465</v>
      </c>
      <c r="L28" s="8">
        <f>Gas!G30</f>
        <v>99</v>
      </c>
      <c r="M28" s="16">
        <f>Gas!I30</f>
        <v>25</v>
      </c>
      <c r="N28" s="16">
        <f>Gas!K30</f>
        <v>0</v>
      </c>
      <c r="O28" s="8">
        <f>Gas!M30</f>
        <v>0</v>
      </c>
      <c r="P28" s="8">
        <f>Gas!O30</f>
        <v>25</v>
      </c>
      <c r="Q28" s="8">
        <f>Gas!Q30</f>
        <v>0</v>
      </c>
      <c r="R28" s="8">
        <f>Gas!S30</f>
        <v>182</v>
      </c>
      <c r="S28" s="8">
        <f>Gas!U30</f>
        <v>17</v>
      </c>
      <c r="T28" s="8">
        <f>Gas!W30</f>
        <v>30</v>
      </c>
      <c r="U28" s="8">
        <f>Gas!Y30</f>
        <v>0</v>
      </c>
      <c r="V28" s="8">
        <f>Gas!AA30</f>
        <v>123</v>
      </c>
      <c r="W28" s="8">
        <f>Gas!AC30</f>
        <v>0</v>
      </c>
      <c r="X28" s="7">
        <f>ELECT.!B32</f>
        <v>68</v>
      </c>
    </row>
    <row r="29" spans="1:24">
      <c r="A29" s="11" t="s">
        <v>11</v>
      </c>
      <c r="B29" s="14">
        <f t="shared" si="0"/>
        <v>28</v>
      </c>
      <c r="C29" s="14">
        <v>9</v>
      </c>
      <c r="D29" s="14">
        <v>2020</v>
      </c>
      <c r="E29" s="7">
        <f>Water!C32</f>
        <v>170</v>
      </c>
      <c r="F29" s="7">
        <f>Water!E32</f>
        <v>417</v>
      </c>
      <c r="G29" s="7">
        <f>ELECT.!D33</f>
        <v>4145</v>
      </c>
      <c r="H29" s="7">
        <f>ELECT.!F33</f>
        <v>16119</v>
      </c>
      <c r="I29" s="7">
        <f>ELECT.!H33</f>
        <v>5593</v>
      </c>
      <c r="J29" s="8">
        <f>Gas!C31</f>
        <v>162</v>
      </c>
      <c r="K29" s="8">
        <f>Gas!E31</f>
        <v>444</v>
      </c>
      <c r="L29" s="8">
        <f>Gas!G31</f>
        <v>93</v>
      </c>
      <c r="M29" s="16">
        <f>Gas!I31</f>
        <v>14</v>
      </c>
      <c r="N29" s="16">
        <f>Gas!K31</f>
        <v>0</v>
      </c>
      <c r="O29" s="8">
        <f>Gas!M31</f>
        <v>0</v>
      </c>
      <c r="P29" s="8">
        <f>Gas!O31</f>
        <v>67</v>
      </c>
      <c r="Q29" s="8">
        <f>Gas!Q31</f>
        <v>0</v>
      </c>
      <c r="R29" s="8">
        <f>Gas!S31</f>
        <v>168</v>
      </c>
      <c r="S29" s="8">
        <f>Gas!U31</f>
        <v>23</v>
      </c>
      <c r="T29" s="8">
        <f>Gas!W31</f>
        <v>38</v>
      </c>
      <c r="U29" s="8">
        <f>Gas!Y31</f>
        <v>0</v>
      </c>
      <c r="V29" s="8">
        <f>Gas!AA31</f>
        <v>134</v>
      </c>
      <c r="W29" s="8">
        <f>Gas!AC31</f>
        <v>0</v>
      </c>
      <c r="X29" s="7">
        <f>ELECT.!B33</f>
        <v>52</v>
      </c>
    </row>
    <row r="30" spans="1:24">
      <c r="A30" s="11" t="s">
        <v>11</v>
      </c>
      <c r="B30" s="14">
        <f t="shared" si="0"/>
        <v>29</v>
      </c>
      <c r="C30" s="14">
        <v>9</v>
      </c>
      <c r="D30" s="14">
        <v>2020</v>
      </c>
      <c r="E30" s="7">
        <f>Water!C33</f>
        <v>160</v>
      </c>
      <c r="F30" s="7">
        <f>Water!E33</f>
        <v>424</v>
      </c>
      <c r="G30" s="7">
        <f>ELECT.!D34</f>
        <v>3368</v>
      </c>
      <c r="H30" s="7">
        <f>ELECT.!F34</f>
        <v>15907</v>
      </c>
      <c r="I30" s="7">
        <f>ELECT.!H34</f>
        <v>4237</v>
      </c>
      <c r="J30" s="8">
        <f>Gas!C32</f>
        <v>298</v>
      </c>
      <c r="K30" s="8">
        <f>Gas!E32</f>
        <v>482</v>
      </c>
      <c r="L30" s="8">
        <f>Gas!G32</f>
        <v>100</v>
      </c>
      <c r="M30" s="16">
        <f>Gas!I32</f>
        <v>17</v>
      </c>
      <c r="N30" s="16">
        <f>Gas!K32</f>
        <v>0</v>
      </c>
      <c r="O30" s="8">
        <f>Gas!M32</f>
        <v>0</v>
      </c>
      <c r="P30" s="8">
        <f>Gas!O32</f>
        <v>106</v>
      </c>
      <c r="Q30" s="8">
        <f>Gas!Q32</f>
        <v>0</v>
      </c>
      <c r="R30" s="8">
        <f>Gas!S32</f>
        <v>144</v>
      </c>
      <c r="S30" s="8">
        <f>Gas!U32</f>
        <v>26</v>
      </c>
      <c r="T30" s="8">
        <f>Gas!W32</f>
        <v>34</v>
      </c>
      <c r="U30" s="8">
        <f>Gas!Y32</f>
        <v>0</v>
      </c>
      <c r="V30" s="8">
        <f>Gas!AA32</f>
        <v>123</v>
      </c>
      <c r="W30" s="8">
        <f>Gas!AC32</f>
        <v>0</v>
      </c>
      <c r="X30" s="7">
        <f>ELECT.!B34</f>
        <v>55</v>
      </c>
    </row>
    <row r="31" spans="1:24">
      <c r="A31" s="11" t="s">
        <v>11</v>
      </c>
      <c r="B31" s="14">
        <f t="shared" si="0"/>
        <v>30</v>
      </c>
      <c r="C31" s="14">
        <v>9</v>
      </c>
      <c r="D31" s="14">
        <v>2020</v>
      </c>
      <c r="E31" s="7" t="e">
        <f>Water!#REF!</f>
        <v>#REF!</v>
      </c>
      <c r="F31" s="7" t="e">
        <f>Water!#REF!</f>
        <v>#REF!</v>
      </c>
      <c r="G31" s="7" t="e">
        <f>ELECT.!#REF!</f>
        <v>#REF!</v>
      </c>
      <c r="H31" s="7">
        <f>ELECT.!F35</f>
        <v>24456</v>
      </c>
      <c r="I31" s="7" t="e">
        <f>ELECT.!#REF!</f>
        <v>#REF!</v>
      </c>
      <c r="J31" s="8">
        <f>Gas!C33</f>
        <v>210</v>
      </c>
      <c r="K31" s="8">
        <f>Gas!E33</f>
        <v>456</v>
      </c>
      <c r="L31" s="8">
        <f>Gas!G33</f>
        <v>105</v>
      </c>
      <c r="M31" s="16">
        <f>Gas!I33</f>
        <v>19</v>
      </c>
      <c r="N31" s="16">
        <f>Gas!K33</f>
        <v>0</v>
      </c>
      <c r="O31" s="8">
        <f>Gas!M33</f>
        <v>0</v>
      </c>
      <c r="P31" s="8">
        <f>Gas!O33</f>
        <v>0</v>
      </c>
      <c r="Q31" s="8">
        <f>Gas!Q33</f>
        <v>0</v>
      </c>
      <c r="R31" s="8">
        <f>Gas!S33</f>
        <v>178</v>
      </c>
      <c r="S31" s="8">
        <f>Gas!U33</f>
        <v>26</v>
      </c>
      <c r="T31" s="8">
        <f>Gas!W33</f>
        <v>34</v>
      </c>
      <c r="U31" s="8">
        <f>Gas!Y33</f>
        <v>0</v>
      </c>
      <c r="V31" s="8">
        <f>Gas!AA33</f>
        <v>119</v>
      </c>
      <c r="W31" s="8">
        <f>Gas!AC33</f>
        <v>0</v>
      </c>
      <c r="X31" s="7" t="e">
        <f>ELECT.!#REF!</f>
        <v>#REF!</v>
      </c>
    </row>
    <row r="32" spans="1:24">
      <c r="A32" s="11" t="s">
        <v>11</v>
      </c>
      <c r="B32" s="14">
        <f t="shared" si="0"/>
        <v>31</v>
      </c>
      <c r="C32" s="14">
        <v>9</v>
      </c>
      <c r="D32" s="14">
        <v>2020</v>
      </c>
      <c r="E32" s="7">
        <f>Water!C35</f>
        <v>5990</v>
      </c>
      <c r="F32" s="7">
        <f>Water!E35</f>
        <v>13003</v>
      </c>
      <c r="G32" s="7">
        <f>ELECT.!D36</f>
        <v>120426</v>
      </c>
      <c r="H32" s="7" t="e">
        <f>ELECT.!#REF!</f>
        <v>#REF!</v>
      </c>
      <c r="I32" s="7">
        <f>ELECT.!H36</f>
        <v>143683</v>
      </c>
      <c r="J32" s="8" t="e">
        <f>Gas!#REF!</f>
        <v>#REF!</v>
      </c>
      <c r="K32" s="8" t="e">
        <f>Gas!#REF!</f>
        <v>#REF!</v>
      </c>
      <c r="L32" s="8" t="e">
        <f>Gas!#REF!</f>
        <v>#REF!</v>
      </c>
      <c r="M32" s="16" t="e">
        <f>Gas!#REF!</f>
        <v>#REF!</v>
      </c>
      <c r="N32" s="16" t="e">
        <f>Gas!#REF!</f>
        <v>#REF!</v>
      </c>
      <c r="O32" s="8" t="e">
        <f>Gas!#REF!</f>
        <v>#REF!</v>
      </c>
      <c r="P32" s="8" t="e">
        <f>Gas!#REF!</f>
        <v>#REF!</v>
      </c>
      <c r="Q32" s="8" t="e">
        <f>Gas!#REF!</f>
        <v>#REF!</v>
      </c>
      <c r="R32" s="8" t="e">
        <f>Gas!#REF!</f>
        <v>#REF!</v>
      </c>
      <c r="S32" s="8" t="e">
        <f>Gas!#REF!</f>
        <v>#REF!</v>
      </c>
      <c r="T32" s="8" t="e">
        <f>Gas!#REF!</f>
        <v>#REF!</v>
      </c>
      <c r="U32" s="8" t="e">
        <f>Gas!#REF!</f>
        <v>#REF!</v>
      </c>
      <c r="V32" s="8" t="e">
        <f>Gas!#REF!</f>
        <v>#REF!</v>
      </c>
      <c r="W32" s="8" t="e">
        <f>Gas!#REF!</f>
        <v>#REF!</v>
      </c>
      <c r="X32" s="7">
        <f>ELECT.!B36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53"/>
  <sheetViews>
    <sheetView tabSelected="1" topLeftCell="A4" zoomScale="60" zoomScaleNormal="60" workbookViewId="0">
      <selection activeCell="B17" sqref="B17"/>
    </sheetView>
  </sheetViews>
  <sheetFormatPr defaultColWidth="41.85546875" defaultRowHeight="15.75"/>
  <cols>
    <col min="1" max="1" width="19" style="4" bestFit="1" customWidth="1"/>
    <col min="2" max="2" width="19" style="25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6384" width="41.85546875" style="3"/>
  </cols>
  <sheetData>
    <row r="1" spans="1:9">
      <c r="A1" s="101" t="s">
        <v>32</v>
      </c>
      <c r="B1" s="102"/>
      <c r="C1" s="102"/>
      <c r="D1" s="102"/>
      <c r="E1" s="102"/>
      <c r="F1" s="102"/>
      <c r="G1" s="102"/>
      <c r="H1" s="102"/>
      <c r="I1" s="103"/>
    </row>
    <row r="2" spans="1:9" ht="15.75" customHeight="1">
      <c r="A2" s="104" t="s">
        <v>33</v>
      </c>
      <c r="B2" s="105"/>
      <c r="C2" s="105"/>
      <c r="D2" s="105"/>
      <c r="E2" s="105"/>
      <c r="F2" s="105"/>
      <c r="G2" s="105"/>
      <c r="H2" s="105"/>
      <c r="I2" s="106"/>
    </row>
    <row r="3" spans="1:9">
      <c r="A3" s="43" t="s">
        <v>1</v>
      </c>
      <c r="B3" s="44" t="s">
        <v>34</v>
      </c>
      <c r="C3" s="99" t="s">
        <v>35</v>
      </c>
      <c r="D3" s="37" t="s">
        <v>36</v>
      </c>
      <c r="E3" s="37" t="s">
        <v>37</v>
      </c>
      <c r="F3" s="100" t="s">
        <v>36</v>
      </c>
      <c r="G3" s="37" t="s">
        <v>38</v>
      </c>
      <c r="H3" s="30" t="s">
        <v>36</v>
      </c>
      <c r="I3" s="93" t="s">
        <v>39</v>
      </c>
    </row>
    <row r="4" spans="1:9">
      <c r="A4" s="42"/>
      <c r="B4" s="35"/>
      <c r="C4" s="39" t="s">
        <v>40</v>
      </c>
      <c r="D4" s="38" t="s">
        <v>36</v>
      </c>
      <c r="E4" s="38" t="s">
        <v>40</v>
      </c>
      <c r="F4" s="39" t="s">
        <v>36</v>
      </c>
      <c r="G4" s="38" t="s">
        <v>40</v>
      </c>
      <c r="H4" s="36" t="s">
        <v>36</v>
      </c>
      <c r="I4" s="94" t="s">
        <v>40</v>
      </c>
    </row>
    <row r="5" spans="1:9" ht="26.25">
      <c r="A5" s="34" t="s">
        <v>41</v>
      </c>
      <c r="B5" s="32">
        <v>74</v>
      </c>
      <c r="C5" s="123">
        <v>47354977</v>
      </c>
      <c r="D5" s="40">
        <v>0</v>
      </c>
      <c r="E5" s="123">
        <v>44879725</v>
      </c>
      <c r="F5" s="78">
        <v>0</v>
      </c>
      <c r="G5" s="123">
        <v>34119372</v>
      </c>
      <c r="H5" s="78">
        <v>0</v>
      </c>
      <c r="I5" s="95"/>
    </row>
    <row r="6" spans="1:9" ht="26.25">
      <c r="A6" s="31">
        <v>44075</v>
      </c>
      <c r="B6" s="33">
        <v>77</v>
      </c>
      <c r="C6" s="123">
        <v>47359499</v>
      </c>
      <c r="D6" s="41">
        <f t="shared" ref="D6:D14" si="0">IF((C6-C5)&lt;0,"0",(C6-C5))</f>
        <v>4522</v>
      </c>
      <c r="E6" s="123">
        <v>44887923</v>
      </c>
      <c r="F6" s="41">
        <f>IF((E6-E5)&lt;0,"0",(E6-E5))</f>
        <v>8198</v>
      </c>
      <c r="G6" s="123">
        <v>34123999</v>
      </c>
      <c r="H6" s="41">
        <f>IF((G6-G5)&lt;0,"0",(G6-G5))</f>
        <v>4627</v>
      </c>
      <c r="I6" s="96">
        <f>D6+F6+H6</f>
        <v>17347</v>
      </c>
    </row>
    <row r="7" spans="1:9" ht="26.25">
      <c r="A7" s="31">
        <v>44076</v>
      </c>
      <c r="B7" s="33">
        <v>65</v>
      </c>
      <c r="C7" s="123">
        <v>47363660</v>
      </c>
      <c r="D7" s="41">
        <f t="shared" si="0"/>
        <v>4161</v>
      </c>
      <c r="E7" s="123">
        <v>44895512</v>
      </c>
      <c r="F7" s="41">
        <f t="shared" ref="F7:F32" si="1">IF((E7-E6)&lt;0,"0",(E7-E6))</f>
        <v>7589</v>
      </c>
      <c r="G7" s="123">
        <v>34128412</v>
      </c>
      <c r="H7" s="41">
        <f t="shared" ref="H7:H32" si="2">IF((G7-G6)&lt;0,"0",(G7-G6))</f>
        <v>4413</v>
      </c>
      <c r="I7" s="96">
        <f t="shared" ref="I7:I36" si="3">D7+F7+H7</f>
        <v>16163</v>
      </c>
    </row>
    <row r="8" spans="1:9" ht="26.25">
      <c r="A8" s="31">
        <v>44077</v>
      </c>
      <c r="B8" s="33">
        <v>66</v>
      </c>
      <c r="C8" s="123">
        <v>47367412</v>
      </c>
      <c r="D8" s="41">
        <f t="shared" si="0"/>
        <v>3752</v>
      </c>
      <c r="E8" s="123">
        <v>44902998</v>
      </c>
      <c r="F8" s="41">
        <f t="shared" si="1"/>
        <v>7486</v>
      </c>
      <c r="G8" s="123">
        <v>34132941</v>
      </c>
      <c r="H8" s="41">
        <f t="shared" si="2"/>
        <v>4529</v>
      </c>
      <c r="I8" s="96">
        <f t="shared" si="3"/>
        <v>15767</v>
      </c>
    </row>
    <row r="9" spans="1:9" ht="26.25">
      <c r="A9" s="31">
        <v>44078</v>
      </c>
      <c r="B9" s="33">
        <v>70</v>
      </c>
      <c r="C9" s="123">
        <v>47370942</v>
      </c>
      <c r="D9" s="41">
        <f t="shared" si="0"/>
        <v>3530</v>
      </c>
      <c r="E9" s="123">
        <v>44910798</v>
      </c>
      <c r="F9" s="41">
        <f t="shared" si="1"/>
        <v>7800</v>
      </c>
      <c r="G9" s="123">
        <v>34136989</v>
      </c>
      <c r="H9" s="41">
        <f t="shared" si="2"/>
        <v>4048</v>
      </c>
      <c r="I9" s="96">
        <f t="shared" si="3"/>
        <v>15378</v>
      </c>
    </row>
    <row r="10" spans="1:9" ht="26.25">
      <c r="A10" s="31">
        <v>44079</v>
      </c>
      <c r="B10" s="33">
        <v>75</v>
      </c>
      <c r="C10" s="123">
        <v>47374950</v>
      </c>
      <c r="D10" s="41">
        <f t="shared" si="0"/>
        <v>4008</v>
      </c>
      <c r="E10" s="123">
        <v>44918650</v>
      </c>
      <c r="F10" s="41">
        <f t="shared" si="1"/>
        <v>7852</v>
      </c>
      <c r="G10" s="123">
        <v>34141342</v>
      </c>
      <c r="H10" s="41">
        <f t="shared" si="2"/>
        <v>4353</v>
      </c>
      <c r="I10" s="96">
        <f t="shared" si="3"/>
        <v>16213</v>
      </c>
    </row>
    <row r="11" spans="1:9" ht="26.25">
      <c r="A11" s="31">
        <v>44080</v>
      </c>
      <c r="B11" s="33">
        <v>77</v>
      </c>
      <c r="C11" s="123">
        <v>47378842</v>
      </c>
      <c r="D11" s="41">
        <f t="shared" si="0"/>
        <v>3892</v>
      </c>
      <c r="E11" s="123">
        <v>44927618</v>
      </c>
      <c r="F11" s="41">
        <f t="shared" si="1"/>
        <v>8968</v>
      </c>
      <c r="G11" s="123">
        <v>34145852</v>
      </c>
      <c r="H11" s="41">
        <f t="shared" si="2"/>
        <v>4510</v>
      </c>
      <c r="I11" s="96">
        <f t="shared" si="3"/>
        <v>17370</v>
      </c>
    </row>
    <row r="12" spans="1:9" ht="26.25">
      <c r="A12" s="31">
        <v>44081</v>
      </c>
      <c r="B12" s="33">
        <v>60</v>
      </c>
      <c r="C12" s="123">
        <v>47383232</v>
      </c>
      <c r="D12" s="41">
        <f t="shared" si="0"/>
        <v>4390</v>
      </c>
      <c r="E12" s="123">
        <v>44935562</v>
      </c>
      <c r="F12" s="41">
        <f t="shared" si="1"/>
        <v>7944</v>
      </c>
      <c r="G12" s="123">
        <v>34150433</v>
      </c>
      <c r="H12" s="41">
        <f t="shared" si="2"/>
        <v>4581</v>
      </c>
      <c r="I12" s="96">
        <f t="shared" si="3"/>
        <v>16915</v>
      </c>
    </row>
    <row r="13" spans="1:9" ht="26.25">
      <c r="A13" s="31">
        <v>44082</v>
      </c>
      <c r="B13" s="33">
        <v>61</v>
      </c>
      <c r="C13" s="123">
        <v>47386872</v>
      </c>
      <c r="D13" s="41">
        <f t="shared" si="0"/>
        <v>3640</v>
      </c>
      <c r="E13" s="123">
        <v>44942860</v>
      </c>
      <c r="F13" s="41">
        <f t="shared" si="1"/>
        <v>7298</v>
      </c>
      <c r="G13" s="123">
        <v>34154436</v>
      </c>
      <c r="H13" s="41">
        <f t="shared" si="2"/>
        <v>4003</v>
      </c>
      <c r="I13" s="96">
        <f t="shared" si="3"/>
        <v>14941</v>
      </c>
    </row>
    <row r="14" spans="1:9" ht="17.25" customHeight="1">
      <c r="A14" s="31">
        <v>44083</v>
      </c>
      <c r="B14" s="33">
        <v>52</v>
      </c>
      <c r="C14" s="123">
        <v>47390933</v>
      </c>
      <c r="D14" s="41">
        <f t="shared" si="0"/>
        <v>4061</v>
      </c>
      <c r="E14" s="123">
        <v>44951429</v>
      </c>
      <c r="F14" s="41">
        <f t="shared" si="1"/>
        <v>8569</v>
      </c>
      <c r="G14" s="123">
        <v>34159218</v>
      </c>
      <c r="H14" s="41">
        <f t="shared" si="2"/>
        <v>4782</v>
      </c>
      <c r="I14" s="96">
        <f t="shared" si="3"/>
        <v>17412</v>
      </c>
    </row>
    <row r="15" spans="1:9" ht="26.25">
      <c r="A15" s="31">
        <v>44084</v>
      </c>
      <c r="B15" s="33">
        <v>67</v>
      </c>
      <c r="C15" s="123">
        <v>47395054</v>
      </c>
      <c r="D15" s="41">
        <f t="shared" ref="D15:D27" si="4">IF((C15-C14)&lt;0,"0",(C15-C14))</f>
        <v>4121</v>
      </c>
      <c r="E15" s="123">
        <v>44961015</v>
      </c>
      <c r="F15" s="41">
        <f t="shared" si="1"/>
        <v>9586</v>
      </c>
      <c r="G15" s="123">
        <v>34164793</v>
      </c>
      <c r="H15" s="41">
        <f t="shared" si="2"/>
        <v>5575</v>
      </c>
      <c r="I15" s="96">
        <f t="shared" si="3"/>
        <v>19282</v>
      </c>
    </row>
    <row r="16" spans="1:9" ht="26.25">
      <c r="A16" s="31">
        <v>44085</v>
      </c>
      <c r="B16" s="33">
        <v>75</v>
      </c>
      <c r="C16" s="123">
        <v>47399289</v>
      </c>
      <c r="D16" s="41">
        <f t="shared" si="4"/>
        <v>4235</v>
      </c>
      <c r="E16" s="123">
        <v>44969354</v>
      </c>
      <c r="F16" s="41">
        <f t="shared" si="1"/>
        <v>8339</v>
      </c>
      <c r="G16" s="123">
        <v>34169671</v>
      </c>
      <c r="H16" s="41">
        <f t="shared" si="2"/>
        <v>4878</v>
      </c>
      <c r="I16" s="96">
        <f t="shared" si="3"/>
        <v>17452</v>
      </c>
    </row>
    <row r="17" spans="1:9" ht="26.25">
      <c r="A17" s="31">
        <v>44086</v>
      </c>
      <c r="B17" s="33">
        <v>52</v>
      </c>
      <c r="C17" s="123">
        <v>47403001</v>
      </c>
      <c r="D17" s="41">
        <f t="shared" si="4"/>
        <v>3712</v>
      </c>
      <c r="E17" s="123">
        <v>44976622</v>
      </c>
      <c r="F17" s="41">
        <f t="shared" si="1"/>
        <v>7268</v>
      </c>
      <c r="G17" s="123">
        <v>34174021</v>
      </c>
      <c r="H17" s="41">
        <f t="shared" si="2"/>
        <v>4350</v>
      </c>
      <c r="I17" s="96">
        <f t="shared" si="3"/>
        <v>15330</v>
      </c>
    </row>
    <row r="18" spans="1:9" ht="26.25">
      <c r="A18" s="31">
        <v>44087</v>
      </c>
      <c r="B18" s="33">
        <v>56</v>
      </c>
      <c r="C18" s="123">
        <v>47406666</v>
      </c>
      <c r="D18" s="41">
        <f t="shared" si="4"/>
        <v>3665</v>
      </c>
      <c r="E18" s="123">
        <v>44983829</v>
      </c>
      <c r="F18" s="41">
        <f t="shared" si="1"/>
        <v>7207</v>
      </c>
      <c r="G18" s="123">
        <v>34178293</v>
      </c>
      <c r="H18" s="41">
        <f t="shared" si="2"/>
        <v>4272</v>
      </c>
      <c r="I18" s="96">
        <f t="shared" si="3"/>
        <v>15144</v>
      </c>
    </row>
    <row r="19" spans="1:9" ht="26.25">
      <c r="A19" s="31">
        <v>44088</v>
      </c>
      <c r="B19" s="33">
        <v>48</v>
      </c>
      <c r="C19" s="123">
        <v>47410479</v>
      </c>
      <c r="D19" s="41">
        <f t="shared" si="4"/>
        <v>3813</v>
      </c>
      <c r="E19" s="123">
        <v>44991449</v>
      </c>
      <c r="F19" s="41">
        <f t="shared" si="1"/>
        <v>7620</v>
      </c>
      <c r="G19" s="123">
        <v>34182677</v>
      </c>
      <c r="H19" s="41">
        <f t="shared" si="2"/>
        <v>4384</v>
      </c>
      <c r="I19" s="96">
        <f t="shared" si="3"/>
        <v>15817</v>
      </c>
    </row>
    <row r="20" spans="1:9" ht="26.25">
      <c r="A20" s="31">
        <v>44089</v>
      </c>
      <c r="B20" s="33">
        <v>60</v>
      </c>
      <c r="C20" s="123">
        <v>47414435</v>
      </c>
      <c r="D20" s="41">
        <f t="shared" si="4"/>
        <v>3956</v>
      </c>
      <c r="E20" s="123">
        <v>44999571</v>
      </c>
      <c r="F20" s="41">
        <f t="shared" si="1"/>
        <v>8122</v>
      </c>
      <c r="G20" s="123">
        <v>34187342</v>
      </c>
      <c r="H20" s="41">
        <f t="shared" si="2"/>
        <v>4665</v>
      </c>
      <c r="I20" s="96">
        <f t="shared" si="3"/>
        <v>16743</v>
      </c>
    </row>
    <row r="21" spans="1:9" ht="26.25">
      <c r="A21" s="31">
        <v>44090</v>
      </c>
      <c r="B21" s="33">
        <v>62</v>
      </c>
      <c r="C21" s="123">
        <v>47418293</v>
      </c>
      <c r="D21" s="41">
        <f t="shared" si="4"/>
        <v>3858</v>
      </c>
      <c r="E21" s="123">
        <v>45007547</v>
      </c>
      <c r="F21" s="41">
        <f t="shared" si="1"/>
        <v>7976</v>
      </c>
      <c r="G21" s="123">
        <v>34191844</v>
      </c>
      <c r="H21" s="41">
        <f t="shared" si="2"/>
        <v>4502</v>
      </c>
      <c r="I21" s="96">
        <f t="shared" si="3"/>
        <v>16336</v>
      </c>
    </row>
    <row r="22" spans="1:9" ht="26.25">
      <c r="A22" s="31">
        <v>44091</v>
      </c>
      <c r="B22" s="33">
        <v>58</v>
      </c>
      <c r="C22" s="123">
        <v>47421837</v>
      </c>
      <c r="D22" s="41">
        <f t="shared" si="4"/>
        <v>3544</v>
      </c>
      <c r="E22" s="123">
        <v>45014951</v>
      </c>
      <c r="F22" s="41">
        <f t="shared" si="1"/>
        <v>7404</v>
      </c>
      <c r="G22" s="123">
        <v>34195840</v>
      </c>
      <c r="H22" s="41">
        <f t="shared" si="2"/>
        <v>3996</v>
      </c>
      <c r="I22" s="96">
        <f t="shared" si="3"/>
        <v>14944</v>
      </c>
    </row>
    <row r="23" spans="1:9" ht="26.25">
      <c r="A23" s="31">
        <v>44092</v>
      </c>
      <c r="B23" s="33">
        <v>54</v>
      </c>
      <c r="C23" s="123">
        <v>47425737</v>
      </c>
      <c r="D23" s="41">
        <f t="shared" si="4"/>
        <v>3900</v>
      </c>
      <c r="E23" s="123">
        <v>45023320</v>
      </c>
      <c r="F23" s="41">
        <f t="shared" si="1"/>
        <v>8369</v>
      </c>
      <c r="G23" s="123">
        <v>34200284</v>
      </c>
      <c r="H23" s="41">
        <f t="shared" si="2"/>
        <v>4444</v>
      </c>
      <c r="I23" s="96">
        <f t="shared" si="3"/>
        <v>16713</v>
      </c>
    </row>
    <row r="24" spans="1:9" ht="26.25">
      <c r="A24" s="31">
        <v>44093</v>
      </c>
      <c r="B24" s="33">
        <v>52</v>
      </c>
      <c r="C24" s="123">
        <v>47429555</v>
      </c>
      <c r="D24" s="41">
        <f t="shared" si="4"/>
        <v>3818</v>
      </c>
      <c r="E24" s="123">
        <v>45031433</v>
      </c>
      <c r="F24" s="41">
        <f t="shared" si="1"/>
        <v>8113</v>
      </c>
      <c r="G24" s="123">
        <v>34204748</v>
      </c>
      <c r="H24" s="41">
        <f t="shared" si="2"/>
        <v>4464</v>
      </c>
      <c r="I24" s="96">
        <f t="shared" si="3"/>
        <v>16395</v>
      </c>
    </row>
    <row r="25" spans="1:9" ht="26.25">
      <c r="A25" s="31">
        <v>44094</v>
      </c>
      <c r="B25" s="33">
        <v>50</v>
      </c>
      <c r="C25" s="123">
        <v>47433469</v>
      </c>
      <c r="D25" s="41">
        <f t="shared" si="4"/>
        <v>3914</v>
      </c>
      <c r="E25" s="123">
        <v>45039322</v>
      </c>
      <c r="F25" s="41">
        <v>0</v>
      </c>
      <c r="G25" s="123">
        <v>34209212</v>
      </c>
      <c r="H25" s="41">
        <f t="shared" si="2"/>
        <v>4464</v>
      </c>
      <c r="I25" s="96">
        <f t="shared" si="3"/>
        <v>8378</v>
      </c>
    </row>
    <row r="26" spans="1:9" ht="26.25">
      <c r="A26" s="31">
        <v>44095</v>
      </c>
      <c r="B26" s="33">
        <v>46</v>
      </c>
      <c r="C26" s="123">
        <v>47437262</v>
      </c>
      <c r="D26" s="41">
        <f t="shared" si="4"/>
        <v>3793</v>
      </c>
      <c r="E26" s="123">
        <v>45047134</v>
      </c>
      <c r="F26" s="41">
        <f t="shared" si="1"/>
        <v>7812</v>
      </c>
      <c r="G26" s="123">
        <v>34213806</v>
      </c>
      <c r="H26" s="41">
        <f t="shared" si="2"/>
        <v>4594</v>
      </c>
      <c r="I26" s="96">
        <f t="shared" si="3"/>
        <v>16199</v>
      </c>
    </row>
    <row r="27" spans="1:9" ht="26.25">
      <c r="A27" s="31">
        <v>44096</v>
      </c>
      <c r="B27" s="33">
        <v>61</v>
      </c>
      <c r="C27" s="123">
        <v>47440989</v>
      </c>
      <c r="D27" s="41">
        <f t="shared" si="4"/>
        <v>3727</v>
      </c>
      <c r="E27" s="123">
        <v>45054977</v>
      </c>
      <c r="F27" s="41">
        <f t="shared" si="1"/>
        <v>7843</v>
      </c>
      <c r="G27" s="123">
        <v>34218602</v>
      </c>
      <c r="H27" s="41">
        <f t="shared" si="2"/>
        <v>4796</v>
      </c>
      <c r="I27" s="96">
        <f t="shared" si="3"/>
        <v>16366</v>
      </c>
    </row>
    <row r="28" spans="1:9" ht="26.25">
      <c r="A28" s="31">
        <v>44097</v>
      </c>
      <c r="B28" s="33">
        <v>60</v>
      </c>
      <c r="C28" s="123">
        <v>47444711</v>
      </c>
      <c r="D28" s="41">
        <f>IF((C28-C27)&lt;0,"0",(C28-C27))</f>
        <v>3722</v>
      </c>
      <c r="E28" s="123">
        <v>45062702</v>
      </c>
      <c r="F28" s="41">
        <f t="shared" si="1"/>
        <v>7725</v>
      </c>
      <c r="G28" s="123">
        <v>34223324</v>
      </c>
      <c r="H28" s="41">
        <f t="shared" si="2"/>
        <v>4722</v>
      </c>
      <c r="I28" s="96">
        <f t="shared" si="3"/>
        <v>16169</v>
      </c>
    </row>
    <row r="29" spans="1:9" ht="26.25">
      <c r="A29" s="31">
        <v>44098</v>
      </c>
      <c r="B29" s="33">
        <v>54</v>
      </c>
      <c r="C29" s="123">
        <v>47448811</v>
      </c>
      <c r="D29" s="41">
        <f>IF((C29-C28)&lt;0,"0",(C29-C28))</f>
        <v>4100</v>
      </c>
      <c r="E29" s="123">
        <v>45071460</v>
      </c>
      <c r="F29" s="41">
        <f t="shared" si="1"/>
        <v>8758</v>
      </c>
      <c r="G29" s="123">
        <v>34228588</v>
      </c>
      <c r="H29" s="41">
        <f t="shared" si="2"/>
        <v>5264</v>
      </c>
      <c r="I29" s="96">
        <f t="shared" si="3"/>
        <v>18122</v>
      </c>
    </row>
    <row r="30" spans="1:9" ht="26.25">
      <c r="A30" s="31">
        <v>44099</v>
      </c>
      <c r="B30" s="33">
        <v>56</v>
      </c>
      <c r="C30" s="123">
        <v>47453045</v>
      </c>
      <c r="D30" s="41">
        <f>IF((C30-C29)&lt;0,"0",(C30-C29))</f>
        <v>4234</v>
      </c>
      <c r="E30" s="123">
        <v>45081670</v>
      </c>
      <c r="F30" s="41">
        <f t="shared" si="1"/>
        <v>10210</v>
      </c>
      <c r="G30" s="123">
        <v>34234487</v>
      </c>
      <c r="H30" s="41">
        <f t="shared" si="2"/>
        <v>5899</v>
      </c>
      <c r="I30" s="96">
        <f t="shared" si="3"/>
        <v>20343</v>
      </c>
    </row>
    <row r="31" spans="1:9" ht="26.25">
      <c r="A31" s="31">
        <v>44100</v>
      </c>
      <c r="B31" s="33">
        <v>69</v>
      </c>
      <c r="C31" s="123">
        <v>47458200</v>
      </c>
      <c r="D31" s="41">
        <f>IF((C31-C30)&lt;0,"0",(C31-C30))</f>
        <v>5155</v>
      </c>
      <c r="E31" s="123">
        <v>45089704</v>
      </c>
      <c r="F31" s="41">
        <f t="shared" si="1"/>
        <v>8034</v>
      </c>
      <c r="G31" s="123">
        <v>34239290</v>
      </c>
      <c r="H31" s="41">
        <f t="shared" si="2"/>
        <v>4803</v>
      </c>
      <c r="I31" s="96">
        <f t="shared" si="3"/>
        <v>17992</v>
      </c>
    </row>
    <row r="32" spans="1:9" ht="26.25">
      <c r="A32" s="31">
        <v>44101</v>
      </c>
      <c r="B32" s="33">
        <v>68</v>
      </c>
      <c r="C32" s="123">
        <v>47460483</v>
      </c>
      <c r="D32" s="41">
        <f>IF((C32-C31)&lt;0,"0",(C32-C31))</f>
        <v>2283</v>
      </c>
      <c r="E32" s="123">
        <v>45097183</v>
      </c>
      <c r="F32" s="41">
        <f t="shared" si="1"/>
        <v>7479</v>
      </c>
      <c r="G32" s="123">
        <v>34244036</v>
      </c>
      <c r="H32" s="41">
        <f t="shared" si="2"/>
        <v>4746</v>
      </c>
      <c r="I32" s="96">
        <f t="shared" si="3"/>
        <v>14508</v>
      </c>
    </row>
    <row r="33" spans="1:9" ht="26.25">
      <c r="A33" s="31">
        <v>44102</v>
      </c>
      <c r="B33" s="33">
        <v>52</v>
      </c>
      <c r="C33" s="123">
        <v>47464628</v>
      </c>
      <c r="D33" s="41">
        <f>C33-C32</f>
        <v>4145</v>
      </c>
      <c r="E33" s="123">
        <v>45105823</v>
      </c>
      <c r="F33" s="41">
        <f>IF((E33-E31)&lt;0,"0",(E33-E31))</f>
        <v>16119</v>
      </c>
      <c r="G33" s="123">
        <v>34249629</v>
      </c>
      <c r="H33" s="41">
        <f>G33-G32</f>
        <v>5593</v>
      </c>
      <c r="I33" s="96">
        <f>D33+F33+H33</f>
        <v>25857</v>
      </c>
    </row>
    <row r="34" spans="1:9" ht="26.25">
      <c r="A34" s="31">
        <v>44103</v>
      </c>
      <c r="B34" s="33">
        <v>55</v>
      </c>
      <c r="C34" s="123">
        <v>47467996</v>
      </c>
      <c r="D34" s="41">
        <f>C34-C33</f>
        <v>3368</v>
      </c>
      <c r="E34" s="123">
        <v>45113090</v>
      </c>
      <c r="F34" s="41">
        <f>IF((E34-E32)&lt;0,"0",(E34-E32))</f>
        <v>15907</v>
      </c>
      <c r="G34" s="123">
        <v>34253866</v>
      </c>
      <c r="H34" s="41">
        <f>G34-G33</f>
        <v>4237</v>
      </c>
      <c r="I34" s="96">
        <f t="shared" si="3"/>
        <v>23512</v>
      </c>
    </row>
    <row r="35" spans="1:9" ht="26.25">
      <c r="A35" s="31">
        <v>44104</v>
      </c>
      <c r="B35" s="33">
        <v>56</v>
      </c>
      <c r="C35" s="123">
        <v>47472035</v>
      </c>
      <c r="D35" s="73">
        <f>C35-C33</f>
        <v>7407</v>
      </c>
      <c r="E35" s="123">
        <v>45121639</v>
      </c>
      <c r="F35" s="79">
        <f>IF((E35-E32)&lt;0,"0",(E35-E32))</f>
        <v>24456</v>
      </c>
      <c r="G35" s="123">
        <v>34258818</v>
      </c>
      <c r="H35" s="73">
        <f>G35-G33</f>
        <v>9189</v>
      </c>
      <c r="I35" s="97">
        <f>D35+F35+H35</f>
        <v>41052</v>
      </c>
    </row>
    <row r="36" spans="1:9" s="20" customFormat="1" ht="27">
      <c r="A36" s="43" t="s">
        <v>39</v>
      </c>
      <c r="B36" s="44"/>
      <c r="C36" s="81"/>
      <c r="D36" s="74">
        <f>SUM(D5:D35)</f>
        <v>120426</v>
      </c>
      <c r="E36" s="82"/>
      <c r="F36" s="74">
        <f>SUM(F5:F34)</f>
        <v>241595</v>
      </c>
      <c r="G36" s="80"/>
      <c r="H36" s="74">
        <f>SUM(H5:H35)</f>
        <v>143683</v>
      </c>
      <c r="I36" s="98">
        <f t="shared" si="3"/>
        <v>505704</v>
      </c>
    </row>
    <row r="38" spans="1:9" ht="15">
      <c r="A38" s="3"/>
      <c r="B38" s="24"/>
    </row>
    <row r="53" spans="1:2" ht="15">
      <c r="A53" s="3"/>
      <c r="B53" s="24"/>
    </row>
  </sheetData>
  <mergeCells count="2">
    <mergeCell ref="A1:I1"/>
    <mergeCell ref="A2:I2"/>
  </mergeCells>
  <phoneticPr fontId="0" type="noConversion"/>
  <conditionalFormatting sqref="A3:B6 D5:D34 H5:I34 F5:F34 A36:B36 B7:B34 A7:A35 D36:I36">
    <cfRule type="cellIs" dxfId="52" priority="240" stopIfTrue="1" operator="lessThan">
      <formula>0</formula>
    </cfRule>
  </conditionalFormatting>
  <conditionalFormatting sqref="F35 H35:I35 D35 B35">
    <cfRule type="cellIs" dxfId="51" priority="18" stopIfTrue="1" operator="lessThan">
      <formula>0</formula>
    </cfRule>
  </conditionalFormatting>
  <conditionalFormatting sqref="C7:C35">
    <cfRule type="cellIs" dxfId="50" priority="10" stopIfTrue="1" operator="lessThan">
      <formula>0</formula>
    </cfRule>
  </conditionalFormatting>
  <conditionalFormatting sqref="C5">
    <cfRule type="cellIs" dxfId="49" priority="9" stopIfTrue="1" operator="lessThan">
      <formula>0</formula>
    </cfRule>
  </conditionalFormatting>
  <conditionalFormatting sqref="C6">
    <cfRule type="cellIs" dxfId="48" priority="8" stopIfTrue="1" operator="lessThan">
      <formula>0</formula>
    </cfRule>
  </conditionalFormatting>
  <conditionalFormatting sqref="E12:E35">
    <cfRule type="cellIs" dxfId="47" priority="7" stopIfTrue="1" operator="lessThan">
      <formula>0</formula>
    </cfRule>
  </conditionalFormatting>
  <conditionalFormatting sqref="E7:E11">
    <cfRule type="cellIs" dxfId="46" priority="6" stopIfTrue="1" operator="lessThan">
      <formula>0</formula>
    </cfRule>
  </conditionalFormatting>
  <conditionalFormatting sqref="E5">
    <cfRule type="cellIs" dxfId="45" priority="5" stopIfTrue="1" operator="lessThan">
      <formula>0</formula>
    </cfRule>
  </conditionalFormatting>
  <conditionalFormatting sqref="E6">
    <cfRule type="cellIs" dxfId="44" priority="4" stopIfTrue="1" operator="lessThan">
      <formula>0</formula>
    </cfRule>
  </conditionalFormatting>
  <conditionalFormatting sqref="G7:G35">
    <cfRule type="cellIs" dxfId="43" priority="3" stopIfTrue="1" operator="lessThan">
      <formula>0</formula>
    </cfRule>
  </conditionalFormatting>
  <conditionalFormatting sqref="G5">
    <cfRule type="cellIs" dxfId="42" priority="2" stopIfTrue="1" operator="lessThan">
      <formula>0</formula>
    </cfRule>
  </conditionalFormatting>
  <conditionalFormatting sqref="G6">
    <cfRule type="cellIs" dxfId="41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4"/>
  <sheetViews>
    <sheetView view="pageBreakPreview" zoomScale="50" zoomScaleNormal="55" zoomScaleSheetLayoutView="50" workbookViewId="0">
      <selection activeCell="Z3" sqref="Z3:Z33"/>
    </sheetView>
  </sheetViews>
  <sheetFormatPr defaultRowHeight="23.25"/>
  <cols>
    <col min="1" max="1" width="37.140625" style="2" customWidth="1"/>
    <col min="2" max="2" width="14.85546875" customWidth="1"/>
    <col min="3" max="3" width="11.140625" style="9" bestFit="1" customWidth="1"/>
    <col min="4" max="4" width="27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3.8554687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4.85546875" bestFit="1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07" t="s">
        <v>42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</row>
    <row r="2" spans="1:38">
      <c r="A2" s="55" t="s">
        <v>1</v>
      </c>
      <c r="B2" s="57" t="s">
        <v>43</v>
      </c>
      <c r="C2" s="56" t="s">
        <v>36</v>
      </c>
      <c r="D2" s="56" t="s">
        <v>44</v>
      </c>
      <c r="E2" s="56" t="s">
        <v>36</v>
      </c>
      <c r="F2" s="56" t="s">
        <v>45</v>
      </c>
      <c r="G2" s="56" t="s">
        <v>36</v>
      </c>
      <c r="H2" s="56" t="s">
        <v>46</v>
      </c>
      <c r="I2" s="56" t="s">
        <v>36</v>
      </c>
      <c r="J2" s="56" t="s">
        <v>47</v>
      </c>
      <c r="K2" s="56" t="s">
        <v>36</v>
      </c>
      <c r="L2" s="56" t="s">
        <v>48</v>
      </c>
      <c r="M2" s="56" t="s">
        <v>36</v>
      </c>
      <c r="N2" s="56" t="s">
        <v>49</v>
      </c>
      <c r="O2" s="56" t="s">
        <v>36</v>
      </c>
      <c r="P2" s="56" t="s">
        <v>50</v>
      </c>
      <c r="Q2" s="56" t="s">
        <v>36</v>
      </c>
      <c r="R2" s="56" t="s">
        <v>51</v>
      </c>
      <c r="S2" s="56" t="s">
        <v>36</v>
      </c>
      <c r="T2" s="56" t="s">
        <v>52</v>
      </c>
      <c r="U2" s="56" t="s">
        <v>36</v>
      </c>
      <c r="V2" s="56" t="s">
        <v>53</v>
      </c>
      <c r="W2" s="56" t="s">
        <v>36</v>
      </c>
      <c r="X2" s="56" t="s">
        <v>54</v>
      </c>
      <c r="Y2" s="56" t="s">
        <v>36</v>
      </c>
      <c r="Z2" s="56" t="s">
        <v>55</v>
      </c>
      <c r="AA2" s="56" t="s">
        <v>36</v>
      </c>
      <c r="AB2" s="56" t="s">
        <v>56</v>
      </c>
      <c r="AC2" s="56" t="s">
        <v>36</v>
      </c>
      <c r="AD2" s="68" t="s">
        <v>57</v>
      </c>
      <c r="AE2" s="70" t="s">
        <v>58</v>
      </c>
      <c r="AF2" s="54" t="s">
        <v>36</v>
      </c>
    </row>
    <row r="3" spans="1:38">
      <c r="A3" s="53" t="s">
        <v>41</v>
      </c>
      <c r="B3" s="17">
        <v>1419553</v>
      </c>
      <c r="C3" s="61"/>
      <c r="D3" s="17">
        <v>33115957</v>
      </c>
      <c r="E3" s="59"/>
      <c r="F3" s="75">
        <v>747632</v>
      </c>
      <c r="G3" s="59"/>
      <c r="H3" s="75">
        <v>82639</v>
      </c>
      <c r="I3" s="58"/>
      <c r="J3" s="76">
        <v>176873</v>
      </c>
      <c r="K3" s="61"/>
      <c r="L3" s="75">
        <v>78153</v>
      </c>
      <c r="M3" s="59"/>
      <c r="N3" s="75">
        <v>598494</v>
      </c>
      <c r="O3" s="61"/>
      <c r="P3" s="75">
        <v>155790</v>
      </c>
      <c r="Q3" s="59"/>
      <c r="R3" s="75">
        <v>851802</v>
      </c>
      <c r="S3" s="61"/>
      <c r="T3" s="75">
        <v>63697</v>
      </c>
      <c r="U3" s="59"/>
      <c r="V3" s="75">
        <v>275390</v>
      </c>
      <c r="W3" s="61"/>
      <c r="X3" s="76">
        <v>21007</v>
      </c>
      <c r="Y3" s="59"/>
      <c r="Z3" s="76">
        <v>668700</v>
      </c>
      <c r="AA3" s="61"/>
      <c r="AB3" s="77">
        <v>1410</v>
      </c>
      <c r="AC3" s="59"/>
      <c r="AD3" s="66"/>
      <c r="AE3" s="71"/>
      <c r="AF3" s="52"/>
    </row>
    <row r="4" spans="1:38">
      <c r="A4" s="51">
        <v>44075</v>
      </c>
      <c r="B4" s="17">
        <v>1419780</v>
      </c>
      <c r="C4" s="62">
        <f>IF((B4-B3)&lt;0,"0",(B4-B3))</f>
        <v>227</v>
      </c>
      <c r="D4" s="17">
        <v>33116419</v>
      </c>
      <c r="E4" s="59">
        <f>IF((D4-D3)&lt;0,"0",(D4-D3))</f>
        <v>462</v>
      </c>
      <c r="F4" s="75">
        <v>747756</v>
      </c>
      <c r="G4" s="59">
        <f>IF((F4-F3)&lt;0,"0",(F4-F3))</f>
        <v>124</v>
      </c>
      <c r="H4" s="75">
        <v>82649</v>
      </c>
      <c r="I4" s="59">
        <f>IF((H4-H3)&lt;0,"0",(H4-H3))</f>
        <v>10</v>
      </c>
      <c r="J4" s="76">
        <v>176873</v>
      </c>
      <c r="K4" s="62">
        <f>IF((J4-J3)&lt;0,"0",(J4-J3))</f>
        <v>0</v>
      </c>
      <c r="L4" s="75">
        <v>78153</v>
      </c>
      <c r="M4" s="59">
        <f>IF((L4-L3)&lt;0,"0",(L4-L3))</f>
        <v>0</v>
      </c>
      <c r="N4" s="75">
        <v>598494</v>
      </c>
      <c r="O4" s="62">
        <f>IF((N4-N3)&lt;0,"0",(N4-N3))</f>
        <v>0</v>
      </c>
      <c r="P4" s="75">
        <v>155790</v>
      </c>
      <c r="Q4" s="59">
        <f>IF((P4-P3)&lt;0,"0",(P4-P3))</f>
        <v>0</v>
      </c>
      <c r="R4" s="75">
        <v>852001</v>
      </c>
      <c r="S4" s="62">
        <f>IF((R4-R3)&lt;0,"0",(R4-R3))</f>
        <v>199</v>
      </c>
      <c r="T4" s="75">
        <v>63731</v>
      </c>
      <c r="U4" s="59">
        <f>IF((T4-T3)&lt;0,"0",(T4-T3))</f>
        <v>34</v>
      </c>
      <c r="V4" s="75">
        <v>275438</v>
      </c>
      <c r="W4" s="62">
        <f>IF((V4-V3)&lt;0,"0",(V4-V3))</f>
        <v>48</v>
      </c>
      <c r="X4" s="76">
        <v>21007</v>
      </c>
      <c r="Y4" s="59">
        <f>IF((X4-X3)&lt;0,"0",(X4-X3))</f>
        <v>0</v>
      </c>
      <c r="Z4" s="76">
        <v>668900</v>
      </c>
      <c r="AA4" s="62">
        <f>IF((Z4-Z3)&lt;0,"0",(Z4-Z3))</f>
        <v>200</v>
      </c>
      <c r="AB4" s="77">
        <v>1410</v>
      </c>
      <c r="AC4" s="59">
        <f>IF((AB4-AB3)&lt;0,"0",(AB4-AB3))</f>
        <v>0</v>
      </c>
      <c r="AD4" s="67">
        <f>C4+E4+G4+I4+K4+M4+O4+Q4+S4+U4+W4+Y4+AA4+AC4</f>
        <v>1304</v>
      </c>
      <c r="AE4" s="17">
        <v>0</v>
      </c>
      <c r="AF4" s="52">
        <f>IF((AE4-AE3)&lt;0,"0",(AE4-AE3))</f>
        <v>0</v>
      </c>
    </row>
    <row r="5" spans="1:38">
      <c r="A5" s="51">
        <v>44076</v>
      </c>
      <c r="B5" s="17">
        <v>1420020</v>
      </c>
      <c r="C5" s="62">
        <f t="shared" ref="C5:C33" si="0">IF((B5-B4)&lt;0,"0",(B5-B4))</f>
        <v>240</v>
      </c>
      <c r="D5" s="17">
        <v>33116830</v>
      </c>
      <c r="E5" s="59">
        <f t="shared" ref="E5:E33" si="1">IF((D5-D4)&lt;0,"0",(D5-D4))</f>
        <v>411</v>
      </c>
      <c r="F5" s="75">
        <v>747875</v>
      </c>
      <c r="G5" s="59">
        <f t="shared" ref="G5:G33" si="2">IF((F5-F4)&lt;0,"0",(F5-F4))</f>
        <v>119</v>
      </c>
      <c r="H5" s="75">
        <v>82660</v>
      </c>
      <c r="I5" s="59">
        <f t="shared" ref="I5:I33" si="3">IF((H5-H4)&lt;0,"0",(H5-H4))</f>
        <v>11</v>
      </c>
      <c r="J5" s="76">
        <v>176873</v>
      </c>
      <c r="K5" s="62">
        <f t="shared" ref="K5:K33" si="4">IF((J5-J4)&lt;0,"0",(J5-J4))</f>
        <v>0</v>
      </c>
      <c r="L5" s="75">
        <v>78153</v>
      </c>
      <c r="M5" s="59">
        <f t="shared" ref="M5:M33" si="5">IF((L5-L4)&lt;0,"0",(L5-L4))</f>
        <v>0</v>
      </c>
      <c r="N5" s="75">
        <v>598494</v>
      </c>
      <c r="O5" s="62">
        <f t="shared" ref="O5:O33" si="6">IF((N5-N4)&lt;0,"0",(N5-N4))</f>
        <v>0</v>
      </c>
      <c r="P5" s="75">
        <v>155790</v>
      </c>
      <c r="Q5" s="59">
        <f t="shared" ref="Q5:Q33" si="7">IF((P5-P4)&lt;0,"0",(P5-P4))</f>
        <v>0</v>
      </c>
      <c r="R5" s="75">
        <v>852198</v>
      </c>
      <c r="S5" s="62">
        <f t="shared" ref="S5:S33" si="8">IF((R5-R4)&lt;0,"0",(R5-R4))</f>
        <v>197</v>
      </c>
      <c r="T5" s="75">
        <v>63762</v>
      </c>
      <c r="U5" s="59">
        <f t="shared" ref="U5:U33" si="9">IF((T5-T4)&lt;0,"0",(T5-T4))</f>
        <v>31</v>
      </c>
      <c r="V5" s="75">
        <v>275488</v>
      </c>
      <c r="W5" s="62">
        <f t="shared" ref="W5:W33" si="10">IF((V5-V4)&lt;0,"0",(V5-V4))</f>
        <v>50</v>
      </c>
      <c r="X5" s="76">
        <v>21007</v>
      </c>
      <c r="Y5" s="59">
        <f t="shared" ref="Y5:Y33" si="11">IF((X5-X4)&lt;0,"0",(X5-X4))</f>
        <v>0</v>
      </c>
      <c r="Z5" s="76">
        <v>669102</v>
      </c>
      <c r="AA5" s="62">
        <f t="shared" ref="AA5:AA33" si="12">IF((Z5-Z4)&lt;0,"0",(Z5-Z4))</f>
        <v>202</v>
      </c>
      <c r="AB5" s="77">
        <v>1410</v>
      </c>
      <c r="AC5" s="59">
        <f t="shared" ref="AC5:AC33" si="13">IF((AB5-AB4)&lt;0,"0",(AB5-AB4))</f>
        <v>0</v>
      </c>
      <c r="AD5" s="69">
        <f t="shared" ref="AD5:AD30" si="14">C5+E5+G5+I5+K5+M5+O5+Q5+S5+U5+W5+Y5+AA5+AC5</f>
        <v>1261</v>
      </c>
      <c r="AE5" s="17">
        <v>0</v>
      </c>
      <c r="AF5" s="52">
        <f t="shared" ref="AF5:AF33" si="15">IF((AE5-AE4)&lt;0,"0",(AE5-AE4))</f>
        <v>0</v>
      </c>
    </row>
    <row r="6" spans="1:38">
      <c r="A6" s="51">
        <v>44077</v>
      </c>
      <c r="B6" s="17">
        <v>1420230</v>
      </c>
      <c r="C6" s="62">
        <f t="shared" si="0"/>
        <v>210</v>
      </c>
      <c r="D6" s="17">
        <v>33117310</v>
      </c>
      <c r="E6" s="59">
        <f t="shared" si="1"/>
        <v>480</v>
      </c>
      <c r="F6" s="75">
        <v>747990</v>
      </c>
      <c r="G6" s="59">
        <f t="shared" si="2"/>
        <v>115</v>
      </c>
      <c r="H6" s="75">
        <v>82672</v>
      </c>
      <c r="I6" s="59">
        <f t="shared" si="3"/>
        <v>12</v>
      </c>
      <c r="J6" s="76">
        <v>176873</v>
      </c>
      <c r="K6" s="62">
        <f t="shared" si="4"/>
        <v>0</v>
      </c>
      <c r="L6" s="75">
        <v>78153</v>
      </c>
      <c r="M6" s="59">
        <f t="shared" si="5"/>
        <v>0</v>
      </c>
      <c r="N6" s="75">
        <v>598494</v>
      </c>
      <c r="O6" s="62">
        <f t="shared" si="6"/>
        <v>0</v>
      </c>
      <c r="P6" s="75">
        <v>155790</v>
      </c>
      <c r="Q6" s="59">
        <f t="shared" si="7"/>
        <v>0</v>
      </c>
      <c r="R6" s="75">
        <v>852352</v>
      </c>
      <c r="S6" s="62">
        <f t="shared" si="8"/>
        <v>154</v>
      </c>
      <c r="T6" s="75">
        <v>63785</v>
      </c>
      <c r="U6" s="59">
        <f t="shared" si="9"/>
        <v>23</v>
      </c>
      <c r="V6" s="116">
        <v>275528</v>
      </c>
      <c r="W6" s="62">
        <f t="shared" si="10"/>
        <v>40</v>
      </c>
      <c r="X6" s="76">
        <v>21007</v>
      </c>
      <c r="Y6" s="59">
        <f t="shared" si="11"/>
        <v>0</v>
      </c>
      <c r="Z6" s="76">
        <v>669221</v>
      </c>
      <c r="AA6" s="62">
        <f t="shared" si="12"/>
        <v>119</v>
      </c>
      <c r="AB6" s="77">
        <v>1410</v>
      </c>
      <c r="AC6" s="59">
        <f t="shared" si="13"/>
        <v>0</v>
      </c>
      <c r="AD6" s="69">
        <f t="shared" si="14"/>
        <v>1153</v>
      </c>
      <c r="AE6" s="17">
        <v>0</v>
      </c>
      <c r="AF6" s="52">
        <f t="shared" si="15"/>
        <v>0</v>
      </c>
    </row>
    <row r="7" spans="1:38">
      <c r="A7" s="51">
        <v>44078</v>
      </c>
      <c r="B7" s="17">
        <v>1420460</v>
      </c>
      <c r="C7" s="62">
        <f t="shared" si="0"/>
        <v>230</v>
      </c>
      <c r="D7" s="17">
        <v>33117735</v>
      </c>
      <c r="E7" s="59">
        <f t="shared" si="1"/>
        <v>425</v>
      </c>
      <c r="F7" s="75">
        <v>748112</v>
      </c>
      <c r="G7" s="59">
        <f t="shared" si="2"/>
        <v>122</v>
      </c>
      <c r="H7" s="75">
        <v>82692</v>
      </c>
      <c r="I7" s="59">
        <f t="shared" si="3"/>
        <v>20</v>
      </c>
      <c r="J7" s="76">
        <v>176873</v>
      </c>
      <c r="K7" s="62">
        <f t="shared" si="4"/>
        <v>0</v>
      </c>
      <c r="L7" s="75">
        <v>78153</v>
      </c>
      <c r="M7" s="59">
        <f t="shared" si="5"/>
        <v>0</v>
      </c>
      <c r="N7" s="75">
        <v>598494</v>
      </c>
      <c r="O7" s="62">
        <f t="shared" si="6"/>
        <v>0</v>
      </c>
      <c r="P7" s="75">
        <v>155790</v>
      </c>
      <c r="Q7" s="59">
        <f t="shared" si="7"/>
        <v>0</v>
      </c>
      <c r="R7" s="75">
        <v>852624</v>
      </c>
      <c r="S7" s="62">
        <f t="shared" si="8"/>
        <v>272</v>
      </c>
      <c r="T7" s="75">
        <v>63803</v>
      </c>
      <c r="U7" s="59">
        <f t="shared" si="9"/>
        <v>18</v>
      </c>
      <c r="V7" s="75">
        <v>275570</v>
      </c>
      <c r="W7" s="62">
        <f t="shared" si="10"/>
        <v>42</v>
      </c>
      <c r="X7" s="76">
        <v>21007</v>
      </c>
      <c r="Y7" s="59">
        <f t="shared" si="11"/>
        <v>0</v>
      </c>
      <c r="Z7" s="76">
        <v>669422</v>
      </c>
      <c r="AA7" s="62">
        <f t="shared" si="12"/>
        <v>201</v>
      </c>
      <c r="AB7" s="77">
        <v>1410</v>
      </c>
      <c r="AC7" s="59">
        <f t="shared" si="13"/>
        <v>0</v>
      </c>
      <c r="AD7" s="69">
        <f t="shared" si="14"/>
        <v>1330</v>
      </c>
      <c r="AE7" s="17">
        <v>0</v>
      </c>
      <c r="AF7" s="52">
        <f t="shared" si="15"/>
        <v>0</v>
      </c>
    </row>
    <row r="8" spans="1:38">
      <c r="A8" s="51">
        <v>44079</v>
      </c>
      <c r="B8" s="17">
        <v>1420695</v>
      </c>
      <c r="C8" s="62">
        <f t="shared" si="0"/>
        <v>235</v>
      </c>
      <c r="D8" s="17">
        <v>33118190</v>
      </c>
      <c r="E8" s="59">
        <f t="shared" si="1"/>
        <v>455</v>
      </c>
      <c r="F8" s="75">
        <v>748211</v>
      </c>
      <c r="G8" s="59">
        <f t="shared" si="2"/>
        <v>99</v>
      </c>
      <c r="H8" s="75">
        <v>82720</v>
      </c>
      <c r="I8" s="59">
        <f t="shared" si="3"/>
        <v>28</v>
      </c>
      <c r="J8" s="76">
        <v>176873</v>
      </c>
      <c r="K8" s="62">
        <f t="shared" si="4"/>
        <v>0</v>
      </c>
      <c r="L8" s="75">
        <v>78153</v>
      </c>
      <c r="M8" s="59">
        <f t="shared" si="5"/>
        <v>0</v>
      </c>
      <c r="N8" s="75">
        <v>598494</v>
      </c>
      <c r="O8" s="62">
        <f t="shared" si="6"/>
        <v>0</v>
      </c>
      <c r="P8" s="75">
        <v>155790</v>
      </c>
      <c r="Q8" s="59">
        <f t="shared" si="7"/>
        <v>0</v>
      </c>
      <c r="R8" s="75">
        <v>852858</v>
      </c>
      <c r="S8" s="62">
        <f t="shared" si="8"/>
        <v>234</v>
      </c>
      <c r="T8" s="75">
        <v>63860</v>
      </c>
      <c r="U8" s="59">
        <f t="shared" si="9"/>
        <v>57</v>
      </c>
      <c r="V8" s="75">
        <v>275620</v>
      </c>
      <c r="W8" s="62">
        <f t="shared" si="10"/>
        <v>50</v>
      </c>
      <c r="X8" s="76">
        <v>21007</v>
      </c>
      <c r="Y8" s="59">
        <f t="shared" si="11"/>
        <v>0</v>
      </c>
      <c r="Z8" s="76">
        <v>669622</v>
      </c>
      <c r="AA8" s="62">
        <f t="shared" si="12"/>
        <v>200</v>
      </c>
      <c r="AB8" s="77">
        <v>1410</v>
      </c>
      <c r="AC8" s="59">
        <f t="shared" si="13"/>
        <v>0</v>
      </c>
      <c r="AD8" s="69">
        <f t="shared" si="14"/>
        <v>1358</v>
      </c>
      <c r="AE8" s="17">
        <v>0</v>
      </c>
      <c r="AF8" s="52">
        <f t="shared" si="15"/>
        <v>0</v>
      </c>
    </row>
    <row r="9" spans="1:38">
      <c r="A9" s="51">
        <v>44080</v>
      </c>
      <c r="B9" s="17">
        <v>1421001</v>
      </c>
      <c r="C9" s="62">
        <f t="shared" si="0"/>
        <v>306</v>
      </c>
      <c r="D9" s="17">
        <v>33118655</v>
      </c>
      <c r="E9" s="59">
        <f t="shared" si="1"/>
        <v>465</v>
      </c>
      <c r="F9" s="75">
        <v>748346</v>
      </c>
      <c r="G9" s="59">
        <f t="shared" si="2"/>
        <v>135</v>
      </c>
      <c r="H9" s="75">
        <v>82741</v>
      </c>
      <c r="I9" s="59">
        <f t="shared" si="3"/>
        <v>21</v>
      </c>
      <c r="J9" s="76">
        <v>176873</v>
      </c>
      <c r="K9" s="62">
        <f t="shared" si="4"/>
        <v>0</v>
      </c>
      <c r="L9" s="75">
        <v>78153</v>
      </c>
      <c r="M9" s="59">
        <f t="shared" si="5"/>
        <v>0</v>
      </c>
      <c r="N9" s="75">
        <v>598494</v>
      </c>
      <c r="O9" s="62">
        <f t="shared" si="6"/>
        <v>0</v>
      </c>
      <c r="P9" s="75">
        <v>155790</v>
      </c>
      <c r="Q9" s="59">
        <f t="shared" si="7"/>
        <v>0</v>
      </c>
      <c r="R9" s="75">
        <v>853021</v>
      </c>
      <c r="S9" s="62">
        <f t="shared" si="8"/>
        <v>163</v>
      </c>
      <c r="T9" s="75">
        <v>63903</v>
      </c>
      <c r="U9" s="59">
        <f t="shared" si="9"/>
        <v>43</v>
      </c>
      <c r="V9" s="75">
        <v>275644</v>
      </c>
      <c r="W9" s="62">
        <f t="shared" si="10"/>
        <v>24</v>
      </c>
      <c r="X9" s="76">
        <v>21007</v>
      </c>
      <c r="Y9" s="59">
        <f t="shared" si="11"/>
        <v>0</v>
      </c>
      <c r="Z9" s="76">
        <v>669832</v>
      </c>
      <c r="AA9" s="62">
        <f t="shared" si="12"/>
        <v>210</v>
      </c>
      <c r="AB9" s="77">
        <v>1410</v>
      </c>
      <c r="AC9" s="59">
        <f t="shared" si="13"/>
        <v>0</v>
      </c>
      <c r="AD9" s="69">
        <f t="shared" si="14"/>
        <v>1367</v>
      </c>
      <c r="AE9" s="17">
        <v>0</v>
      </c>
      <c r="AF9" s="52">
        <f t="shared" si="15"/>
        <v>0</v>
      </c>
    </row>
    <row r="10" spans="1:38">
      <c r="A10" s="51">
        <v>44081</v>
      </c>
      <c r="B10" s="17">
        <v>1421207</v>
      </c>
      <c r="C10" s="62">
        <f t="shared" si="0"/>
        <v>206</v>
      </c>
      <c r="D10" s="17">
        <v>33119069</v>
      </c>
      <c r="E10" s="59">
        <f t="shared" si="1"/>
        <v>414</v>
      </c>
      <c r="F10" s="75">
        <v>748492</v>
      </c>
      <c r="G10" s="59">
        <f t="shared" si="2"/>
        <v>146</v>
      </c>
      <c r="H10" s="75">
        <v>82758</v>
      </c>
      <c r="I10" s="59">
        <f t="shared" si="3"/>
        <v>17</v>
      </c>
      <c r="J10" s="76">
        <v>176873</v>
      </c>
      <c r="K10" s="62">
        <f t="shared" si="4"/>
        <v>0</v>
      </c>
      <c r="L10" s="75">
        <v>78153</v>
      </c>
      <c r="M10" s="59">
        <f t="shared" si="5"/>
        <v>0</v>
      </c>
      <c r="N10" s="75">
        <v>598494</v>
      </c>
      <c r="O10" s="62">
        <f t="shared" si="6"/>
        <v>0</v>
      </c>
      <c r="P10" s="75">
        <v>155790</v>
      </c>
      <c r="Q10" s="59">
        <f t="shared" si="7"/>
        <v>0</v>
      </c>
      <c r="R10" s="75">
        <v>853242</v>
      </c>
      <c r="S10" s="62">
        <f t="shared" si="8"/>
        <v>221</v>
      </c>
      <c r="T10" s="75">
        <v>63947</v>
      </c>
      <c r="U10" s="59">
        <f t="shared" si="9"/>
        <v>44</v>
      </c>
      <c r="V10" s="75">
        <v>275683</v>
      </c>
      <c r="W10" s="62">
        <f t="shared" si="10"/>
        <v>39</v>
      </c>
      <c r="X10" s="76">
        <v>21007</v>
      </c>
      <c r="Y10" s="59">
        <f t="shared" si="11"/>
        <v>0</v>
      </c>
      <c r="Z10" s="76">
        <v>670021</v>
      </c>
      <c r="AA10" s="62">
        <f t="shared" si="12"/>
        <v>189</v>
      </c>
      <c r="AB10" s="77">
        <v>1410</v>
      </c>
      <c r="AC10" s="59">
        <f t="shared" si="13"/>
        <v>0</v>
      </c>
      <c r="AD10" s="69">
        <f t="shared" si="14"/>
        <v>1276</v>
      </c>
      <c r="AE10" s="17">
        <v>0</v>
      </c>
      <c r="AF10" s="52">
        <f t="shared" si="15"/>
        <v>0</v>
      </c>
    </row>
    <row r="11" spans="1:38">
      <c r="A11" s="51">
        <v>44082</v>
      </c>
      <c r="B11" s="17">
        <v>1421468</v>
      </c>
      <c r="C11" s="62">
        <f t="shared" si="0"/>
        <v>261</v>
      </c>
      <c r="D11" s="17">
        <v>33119527</v>
      </c>
      <c r="E11" s="59">
        <f>IF((D11-D10)&lt;0,"0",(D11-D10))</f>
        <v>458</v>
      </c>
      <c r="F11" s="75">
        <v>748637</v>
      </c>
      <c r="G11" s="59">
        <f t="shared" si="2"/>
        <v>145</v>
      </c>
      <c r="H11" s="75">
        <v>82774</v>
      </c>
      <c r="I11" s="59">
        <f t="shared" si="3"/>
        <v>16</v>
      </c>
      <c r="J11" s="76">
        <v>176873</v>
      </c>
      <c r="K11" s="62">
        <f t="shared" si="4"/>
        <v>0</v>
      </c>
      <c r="L11" s="75">
        <v>78153</v>
      </c>
      <c r="M11" s="59">
        <f t="shared" si="5"/>
        <v>0</v>
      </c>
      <c r="N11" s="75">
        <v>598494</v>
      </c>
      <c r="O11" s="62">
        <f t="shared" si="6"/>
        <v>0</v>
      </c>
      <c r="P11" s="75">
        <v>155790</v>
      </c>
      <c r="Q11" s="59">
        <f t="shared" si="7"/>
        <v>0</v>
      </c>
      <c r="R11" s="75">
        <v>853462</v>
      </c>
      <c r="S11" s="62">
        <f t="shared" si="8"/>
        <v>220</v>
      </c>
      <c r="T11" s="75">
        <v>63986</v>
      </c>
      <c r="U11" s="59">
        <f t="shared" si="9"/>
        <v>39</v>
      </c>
      <c r="V11" s="75">
        <v>275724</v>
      </c>
      <c r="W11" s="62">
        <f t="shared" si="10"/>
        <v>41</v>
      </c>
      <c r="X11" s="76">
        <v>21007</v>
      </c>
      <c r="Y11" s="59">
        <f t="shared" si="11"/>
        <v>0</v>
      </c>
      <c r="Z11" s="76">
        <v>670201</v>
      </c>
      <c r="AA11" s="62">
        <f t="shared" si="12"/>
        <v>180</v>
      </c>
      <c r="AB11" s="77">
        <v>1410</v>
      </c>
      <c r="AC11" s="59">
        <f t="shared" si="13"/>
        <v>0</v>
      </c>
      <c r="AD11" s="69">
        <f t="shared" si="14"/>
        <v>1360</v>
      </c>
      <c r="AE11" s="17">
        <v>0</v>
      </c>
      <c r="AF11" s="52">
        <f t="shared" si="15"/>
        <v>0</v>
      </c>
    </row>
    <row r="12" spans="1:38">
      <c r="A12" s="51">
        <v>44083</v>
      </c>
      <c r="B12" s="17">
        <v>1421749</v>
      </c>
      <c r="C12" s="62">
        <f t="shared" si="0"/>
        <v>281</v>
      </c>
      <c r="D12" s="17">
        <v>33120025</v>
      </c>
      <c r="E12" s="59">
        <f>IF((D12-D11)&lt;0,"0",(D12-D11))</f>
        <v>498</v>
      </c>
      <c r="F12" s="75">
        <v>748779</v>
      </c>
      <c r="G12" s="59">
        <f t="shared" si="2"/>
        <v>142</v>
      </c>
      <c r="H12" s="75">
        <v>82792</v>
      </c>
      <c r="I12" s="59">
        <f t="shared" si="3"/>
        <v>18</v>
      </c>
      <c r="J12" s="76">
        <v>176873</v>
      </c>
      <c r="K12" s="62">
        <f t="shared" si="4"/>
        <v>0</v>
      </c>
      <c r="L12" s="75">
        <v>78153</v>
      </c>
      <c r="M12" s="59">
        <f t="shared" si="5"/>
        <v>0</v>
      </c>
      <c r="N12" s="75">
        <v>598494</v>
      </c>
      <c r="O12" s="62">
        <f t="shared" si="6"/>
        <v>0</v>
      </c>
      <c r="P12" s="75">
        <v>155790</v>
      </c>
      <c r="Q12" s="59">
        <f t="shared" si="7"/>
        <v>0</v>
      </c>
      <c r="R12" s="75">
        <v>853687</v>
      </c>
      <c r="S12" s="62">
        <f t="shared" si="8"/>
        <v>225</v>
      </c>
      <c r="T12" s="75">
        <v>64027</v>
      </c>
      <c r="U12" s="59">
        <f t="shared" si="9"/>
        <v>41</v>
      </c>
      <c r="V12" s="75">
        <v>275774</v>
      </c>
      <c r="W12" s="62">
        <f t="shared" si="10"/>
        <v>50</v>
      </c>
      <c r="X12" s="76">
        <v>21007</v>
      </c>
      <c r="Y12" s="59">
        <f t="shared" si="11"/>
        <v>0</v>
      </c>
      <c r="Z12" s="76">
        <v>670387</v>
      </c>
      <c r="AA12" s="62">
        <f t="shared" si="12"/>
        <v>186</v>
      </c>
      <c r="AB12" s="77">
        <v>1410</v>
      </c>
      <c r="AC12" s="59">
        <f t="shared" si="13"/>
        <v>0</v>
      </c>
      <c r="AD12" s="69">
        <f t="shared" si="14"/>
        <v>1441</v>
      </c>
      <c r="AE12" s="17">
        <v>0</v>
      </c>
      <c r="AF12" s="52">
        <f t="shared" si="15"/>
        <v>0</v>
      </c>
    </row>
    <row r="13" spans="1:38">
      <c r="A13" s="51">
        <v>44084</v>
      </c>
      <c r="B13" s="17">
        <v>1422028</v>
      </c>
      <c r="C13" s="62">
        <f t="shared" si="0"/>
        <v>279</v>
      </c>
      <c r="D13" s="17">
        <v>33120489</v>
      </c>
      <c r="E13" s="59">
        <f>IF((D13-D12)&lt;0,"0",(D13-D12))</f>
        <v>464</v>
      </c>
      <c r="F13" s="75">
        <v>748892</v>
      </c>
      <c r="G13" s="59">
        <f t="shared" si="2"/>
        <v>113</v>
      </c>
      <c r="H13" s="75">
        <v>82820</v>
      </c>
      <c r="I13" s="59">
        <f t="shared" si="3"/>
        <v>28</v>
      </c>
      <c r="J13" s="76">
        <v>176873</v>
      </c>
      <c r="K13" s="62">
        <f t="shared" si="4"/>
        <v>0</v>
      </c>
      <c r="L13" s="75">
        <v>78153</v>
      </c>
      <c r="M13" s="59">
        <f t="shared" si="5"/>
        <v>0</v>
      </c>
      <c r="N13" s="75">
        <v>598494</v>
      </c>
      <c r="O13" s="62">
        <f t="shared" si="6"/>
        <v>0</v>
      </c>
      <c r="P13" s="75">
        <v>155790</v>
      </c>
      <c r="Q13" s="59">
        <f t="shared" si="7"/>
        <v>0</v>
      </c>
      <c r="R13" s="75">
        <v>853845</v>
      </c>
      <c r="S13" s="62">
        <f t="shared" si="8"/>
        <v>158</v>
      </c>
      <c r="T13" s="75">
        <v>64051</v>
      </c>
      <c r="U13" s="59">
        <f t="shared" si="9"/>
        <v>24</v>
      </c>
      <c r="V13" s="75">
        <v>275800</v>
      </c>
      <c r="W13" s="62">
        <f t="shared" si="10"/>
        <v>26</v>
      </c>
      <c r="X13" s="76">
        <v>21007</v>
      </c>
      <c r="Y13" s="59">
        <f t="shared" si="11"/>
        <v>0</v>
      </c>
      <c r="Z13" s="76">
        <v>670564</v>
      </c>
      <c r="AA13" s="62">
        <f t="shared" si="12"/>
        <v>177</v>
      </c>
      <c r="AB13" s="77">
        <v>1410</v>
      </c>
      <c r="AC13" s="59">
        <f t="shared" si="13"/>
        <v>0</v>
      </c>
      <c r="AD13" s="69">
        <f t="shared" si="14"/>
        <v>1269</v>
      </c>
      <c r="AE13" s="17">
        <v>0</v>
      </c>
      <c r="AF13" s="52">
        <f t="shared" si="15"/>
        <v>0</v>
      </c>
    </row>
    <row r="14" spans="1:38">
      <c r="A14" s="51">
        <v>44085</v>
      </c>
      <c r="B14" s="17">
        <v>1422171</v>
      </c>
      <c r="C14" s="62">
        <f t="shared" si="0"/>
        <v>143</v>
      </c>
      <c r="D14" s="17">
        <v>33120891</v>
      </c>
      <c r="E14" s="59">
        <f t="shared" si="1"/>
        <v>402</v>
      </c>
      <c r="F14" s="75">
        <v>749037</v>
      </c>
      <c r="G14" s="59">
        <f t="shared" si="2"/>
        <v>145</v>
      </c>
      <c r="H14" s="75">
        <v>82845</v>
      </c>
      <c r="I14" s="59">
        <f t="shared" si="3"/>
        <v>25</v>
      </c>
      <c r="J14" s="76">
        <v>176873</v>
      </c>
      <c r="K14" s="62">
        <f t="shared" si="4"/>
        <v>0</v>
      </c>
      <c r="L14" s="75">
        <v>78153</v>
      </c>
      <c r="M14" s="59">
        <f t="shared" si="5"/>
        <v>0</v>
      </c>
      <c r="N14" s="75">
        <v>598494</v>
      </c>
      <c r="O14" s="62">
        <f t="shared" si="6"/>
        <v>0</v>
      </c>
      <c r="P14" s="75">
        <v>155790</v>
      </c>
      <c r="Q14" s="59">
        <f t="shared" si="7"/>
        <v>0</v>
      </c>
      <c r="R14" s="75">
        <v>854078</v>
      </c>
      <c r="S14" s="62">
        <f t="shared" si="8"/>
        <v>233</v>
      </c>
      <c r="T14" s="75">
        <v>64093</v>
      </c>
      <c r="U14" s="59">
        <f t="shared" si="9"/>
        <v>42</v>
      </c>
      <c r="V14" s="75">
        <v>275836</v>
      </c>
      <c r="W14" s="62">
        <f t="shared" si="10"/>
        <v>36</v>
      </c>
      <c r="X14" s="76">
        <v>21007</v>
      </c>
      <c r="Y14" s="59">
        <f t="shared" si="11"/>
        <v>0</v>
      </c>
      <c r="Z14" s="76">
        <v>670735</v>
      </c>
      <c r="AA14" s="62">
        <f t="shared" si="12"/>
        <v>171</v>
      </c>
      <c r="AB14" s="77">
        <v>1410</v>
      </c>
      <c r="AC14" s="59">
        <f t="shared" si="13"/>
        <v>0</v>
      </c>
      <c r="AD14" s="69">
        <f t="shared" si="14"/>
        <v>1197</v>
      </c>
      <c r="AE14" s="17">
        <v>0</v>
      </c>
      <c r="AF14" s="52">
        <f t="shared" si="15"/>
        <v>0</v>
      </c>
    </row>
    <row r="15" spans="1:38">
      <c r="A15" s="51">
        <v>44086</v>
      </c>
      <c r="B15" s="17">
        <v>1422427</v>
      </c>
      <c r="C15" s="62">
        <f t="shared" si="0"/>
        <v>256</v>
      </c>
      <c r="D15" s="17">
        <v>33121319</v>
      </c>
      <c r="E15" s="59">
        <f t="shared" si="1"/>
        <v>428</v>
      </c>
      <c r="F15" s="75">
        <v>749188</v>
      </c>
      <c r="G15" s="59">
        <f t="shared" si="2"/>
        <v>151</v>
      </c>
      <c r="H15" s="75">
        <v>82863</v>
      </c>
      <c r="I15" s="59">
        <f t="shared" si="3"/>
        <v>18</v>
      </c>
      <c r="J15" s="76">
        <v>176873</v>
      </c>
      <c r="K15" s="62">
        <f t="shared" si="4"/>
        <v>0</v>
      </c>
      <c r="L15" s="75">
        <v>78153</v>
      </c>
      <c r="M15" s="59">
        <f t="shared" si="5"/>
        <v>0</v>
      </c>
      <c r="N15" s="75">
        <v>598494</v>
      </c>
      <c r="O15" s="62">
        <f t="shared" si="6"/>
        <v>0</v>
      </c>
      <c r="P15" s="75">
        <v>155790</v>
      </c>
      <c r="Q15" s="59">
        <f t="shared" si="7"/>
        <v>0</v>
      </c>
      <c r="R15" s="75">
        <v>854299</v>
      </c>
      <c r="S15" s="62">
        <f t="shared" si="8"/>
        <v>221</v>
      </c>
      <c r="T15" s="75">
        <v>64122</v>
      </c>
      <c r="U15" s="59">
        <f t="shared" si="9"/>
        <v>29</v>
      </c>
      <c r="V15" s="75">
        <v>275867</v>
      </c>
      <c r="W15" s="62">
        <f t="shared" si="10"/>
        <v>31</v>
      </c>
      <c r="X15" s="76">
        <v>21007</v>
      </c>
      <c r="Y15" s="59">
        <f t="shared" si="11"/>
        <v>0</v>
      </c>
      <c r="Z15" s="76">
        <v>670896</v>
      </c>
      <c r="AA15" s="62">
        <f t="shared" si="12"/>
        <v>161</v>
      </c>
      <c r="AB15" s="77">
        <v>1410</v>
      </c>
      <c r="AC15" s="59">
        <f t="shared" si="13"/>
        <v>0</v>
      </c>
      <c r="AD15" s="69">
        <f t="shared" si="14"/>
        <v>1295</v>
      </c>
      <c r="AE15" s="17">
        <v>0</v>
      </c>
      <c r="AF15" s="52">
        <f t="shared" si="15"/>
        <v>0</v>
      </c>
    </row>
    <row r="16" spans="1:38">
      <c r="A16" s="51">
        <v>44087</v>
      </c>
      <c r="B16" s="17">
        <v>1422691</v>
      </c>
      <c r="C16" s="62">
        <f t="shared" si="0"/>
        <v>264</v>
      </c>
      <c r="D16" s="17">
        <v>33121719</v>
      </c>
      <c r="E16" s="59">
        <f t="shared" si="1"/>
        <v>400</v>
      </c>
      <c r="F16" s="75">
        <v>749314</v>
      </c>
      <c r="G16" s="59">
        <f t="shared" si="2"/>
        <v>126</v>
      </c>
      <c r="H16" s="75">
        <v>82878</v>
      </c>
      <c r="I16" s="59">
        <f t="shared" si="3"/>
        <v>15</v>
      </c>
      <c r="J16" s="76">
        <v>176873</v>
      </c>
      <c r="K16" s="62">
        <f t="shared" si="4"/>
        <v>0</v>
      </c>
      <c r="L16" s="75">
        <v>78153</v>
      </c>
      <c r="M16" s="59">
        <f t="shared" si="5"/>
        <v>0</v>
      </c>
      <c r="N16" s="75">
        <v>598494</v>
      </c>
      <c r="O16" s="62">
        <f t="shared" si="6"/>
        <v>0</v>
      </c>
      <c r="P16" s="75">
        <v>155790</v>
      </c>
      <c r="Q16" s="59">
        <f t="shared" si="7"/>
        <v>0</v>
      </c>
      <c r="R16" s="75">
        <v>854493</v>
      </c>
      <c r="S16" s="62">
        <f t="shared" si="8"/>
        <v>194</v>
      </c>
      <c r="T16" s="75">
        <v>64143</v>
      </c>
      <c r="U16" s="59">
        <f t="shared" si="9"/>
        <v>21</v>
      </c>
      <c r="V16" s="75">
        <v>275899</v>
      </c>
      <c r="W16" s="62">
        <f t="shared" si="10"/>
        <v>32</v>
      </c>
      <c r="X16" s="76">
        <v>21007</v>
      </c>
      <c r="Y16" s="59">
        <f t="shared" si="11"/>
        <v>0</v>
      </c>
      <c r="Z16" s="76">
        <v>671029</v>
      </c>
      <c r="AA16" s="62">
        <f t="shared" si="12"/>
        <v>133</v>
      </c>
      <c r="AB16" s="77">
        <v>1410</v>
      </c>
      <c r="AC16" s="59">
        <f t="shared" si="13"/>
        <v>0</v>
      </c>
      <c r="AD16" s="69">
        <f t="shared" si="14"/>
        <v>1185</v>
      </c>
      <c r="AE16" s="17">
        <v>0</v>
      </c>
      <c r="AF16" s="52">
        <f t="shared" si="15"/>
        <v>0</v>
      </c>
      <c r="AL16" t="s">
        <v>59</v>
      </c>
    </row>
    <row r="17" spans="1:38">
      <c r="A17" s="51">
        <v>44088</v>
      </c>
      <c r="B17" s="17">
        <v>1422867</v>
      </c>
      <c r="C17" s="62">
        <f t="shared" si="0"/>
        <v>176</v>
      </c>
      <c r="D17" s="17">
        <v>33122212</v>
      </c>
      <c r="E17" s="59">
        <f t="shared" si="1"/>
        <v>493</v>
      </c>
      <c r="F17" s="75">
        <v>749475</v>
      </c>
      <c r="G17" s="59">
        <f t="shared" si="2"/>
        <v>161</v>
      </c>
      <c r="H17" s="75">
        <v>82896</v>
      </c>
      <c r="I17" s="59">
        <f t="shared" si="3"/>
        <v>18</v>
      </c>
      <c r="J17" s="76">
        <v>176873</v>
      </c>
      <c r="K17" s="62">
        <f t="shared" si="4"/>
        <v>0</v>
      </c>
      <c r="L17" s="75">
        <v>78153</v>
      </c>
      <c r="M17" s="59">
        <f t="shared" si="5"/>
        <v>0</v>
      </c>
      <c r="N17" s="75">
        <v>598494</v>
      </c>
      <c r="O17" s="62">
        <f t="shared" si="6"/>
        <v>0</v>
      </c>
      <c r="P17" s="75">
        <v>155790</v>
      </c>
      <c r="Q17" s="59">
        <f t="shared" si="7"/>
        <v>0</v>
      </c>
      <c r="R17" s="75">
        <v>854682</v>
      </c>
      <c r="S17" s="62">
        <f t="shared" si="8"/>
        <v>189</v>
      </c>
      <c r="T17" s="75">
        <v>64160</v>
      </c>
      <c r="U17" s="59">
        <f t="shared" si="9"/>
        <v>17</v>
      </c>
      <c r="V17" s="75">
        <v>275930</v>
      </c>
      <c r="W17" s="62">
        <f t="shared" si="10"/>
        <v>31</v>
      </c>
      <c r="X17" s="76">
        <v>21007</v>
      </c>
      <c r="Y17" s="59">
        <f t="shared" si="11"/>
        <v>0</v>
      </c>
      <c r="Z17" s="76">
        <v>671203</v>
      </c>
      <c r="AA17" s="62">
        <f t="shared" si="12"/>
        <v>174</v>
      </c>
      <c r="AB17" s="77">
        <v>1410</v>
      </c>
      <c r="AC17" s="59">
        <f t="shared" si="13"/>
        <v>0</v>
      </c>
      <c r="AD17" s="69">
        <f t="shared" si="14"/>
        <v>1259</v>
      </c>
      <c r="AE17" s="17">
        <v>0</v>
      </c>
      <c r="AF17" s="52">
        <f t="shared" si="15"/>
        <v>0</v>
      </c>
    </row>
    <row r="18" spans="1:38">
      <c r="A18" s="51">
        <v>44089</v>
      </c>
      <c r="B18" s="17">
        <v>1423168</v>
      </c>
      <c r="C18" s="62">
        <f t="shared" si="0"/>
        <v>301</v>
      </c>
      <c r="D18" s="17">
        <v>33122651</v>
      </c>
      <c r="E18" s="59">
        <f t="shared" si="1"/>
        <v>439</v>
      </c>
      <c r="F18" s="75">
        <v>749583</v>
      </c>
      <c r="G18" s="59">
        <f t="shared" si="2"/>
        <v>108</v>
      </c>
      <c r="H18" s="75">
        <v>82912</v>
      </c>
      <c r="I18" s="59">
        <f t="shared" si="3"/>
        <v>16</v>
      </c>
      <c r="J18" s="76">
        <v>176873</v>
      </c>
      <c r="K18" s="62">
        <f t="shared" si="4"/>
        <v>0</v>
      </c>
      <c r="L18" s="75">
        <v>78153</v>
      </c>
      <c r="M18" s="59">
        <f t="shared" si="5"/>
        <v>0</v>
      </c>
      <c r="N18" s="75">
        <v>598494</v>
      </c>
      <c r="O18" s="62">
        <f t="shared" si="6"/>
        <v>0</v>
      </c>
      <c r="P18" s="75">
        <v>155790</v>
      </c>
      <c r="Q18" s="59">
        <f t="shared" si="7"/>
        <v>0</v>
      </c>
      <c r="R18" s="75">
        <v>854835</v>
      </c>
      <c r="S18" s="62">
        <f t="shared" si="8"/>
        <v>153</v>
      </c>
      <c r="T18" s="75">
        <v>64198</v>
      </c>
      <c r="U18" s="59">
        <f t="shared" si="9"/>
        <v>38</v>
      </c>
      <c r="V18" s="75">
        <v>275958</v>
      </c>
      <c r="W18" s="62">
        <f t="shared" si="10"/>
        <v>28</v>
      </c>
      <c r="X18" s="76">
        <v>21007</v>
      </c>
      <c r="Y18" s="59">
        <f t="shared" si="11"/>
        <v>0</v>
      </c>
      <c r="Z18" s="76">
        <v>671340</v>
      </c>
      <c r="AA18" s="62">
        <f t="shared" si="12"/>
        <v>137</v>
      </c>
      <c r="AB18" s="77">
        <v>1410</v>
      </c>
      <c r="AC18" s="59">
        <f t="shared" si="13"/>
        <v>0</v>
      </c>
      <c r="AD18" s="69">
        <f t="shared" si="14"/>
        <v>1220</v>
      </c>
      <c r="AE18" s="17">
        <v>0</v>
      </c>
      <c r="AF18" s="52">
        <f t="shared" si="15"/>
        <v>0</v>
      </c>
    </row>
    <row r="19" spans="1:38">
      <c r="A19" s="51">
        <v>44090</v>
      </c>
      <c r="B19" s="17">
        <v>1423368</v>
      </c>
      <c r="C19" s="62">
        <f t="shared" si="0"/>
        <v>200</v>
      </c>
      <c r="D19" s="17">
        <v>33123120</v>
      </c>
      <c r="E19" s="59">
        <f t="shared" si="1"/>
        <v>469</v>
      </c>
      <c r="F19" s="75">
        <v>749698</v>
      </c>
      <c r="G19" s="59">
        <f t="shared" si="2"/>
        <v>115</v>
      </c>
      <c r="H19" s="75">
        <v>82931</v>
      </c>
      <c r="I19" s="59">
        <f t="shared" si="3"/>
        <v>19</v>
      </c>
      <c r="J19" s="76">
        <v>176873</v>
      </c>
      <c r="K19" s="62">
        <f t="shared" si="4"/>
        <v>0</v>
      </c>
      <c r="L19" s="75">
        <v>78153</v>
      </c>
      <c r="M19" s="59">
        <f t="shared" si="5"/>
        <v>0</v>
      </c>
      <c r="N19" s="75">
        <v>598494</v>
      </c>
      <c r="O19" s="62">
        <f t="shared" si="6"/>
        <v>0</v>
      </c>
      <c r="P19" s="75">
        <v>155790</v>
      </c>
      <c r="Q19" s="59">
        <f t="shared" si="7"/>
        <v>0</v>
      </c>
      <c r="R19" s="75">
        <v>855011</v>
      </c>
      <c r="S19" s="62">
        <f t="shared" si="8"/>
        <v>176</v>
      </c>
      <c r="T19" s="75">
        <v>64228</v>
      </c>
      <c r="U19" s="59">
        <f t="shared" si="9"/>
        <v>30</v>
      </c>
      <c r="V19" s="75">
        <v>275992</v>
      </c>
      <c r="W19" s="62">
        <f t="shared" si="10"/>
        <v>34</v>
      </c>
      <c r="X19" s="76">
        <v>21007</v>
      </c>
      <c r="Y19" s="59">
        <f t="shared" si="11"/>
        <v>0</v>
      </c>
      <c r="Z19" s="76">
        <v>671480</v>
      </c>
      <c r="AA19" s="62">
        <f t="shared" si="12"/>
        <v>140</v>
      </c>
      <c r="AB19" s="77">
        <v>1410</v>
      </c>
      <c r="AC19" s="59">
        <f t="shared" si="13"/>
        <v>0</v>
      </c>
      <c r="AD19" s="69">
        <f t="shared" si="14"/>
        <v>1183</v>
      </c>
      <c r="AE19" s="17">
        <v>0</v>
      </c>
      <c r="AF19" s="52">
        <f t="shared" si="15"/>
        <v>0</v>
      </c>
    </row>
    <row r="20" spans="1:38">
      <c r="A20" s="51">
        <v>44091</v>
      </c>
      <c r="B20" s="17">
        <v>1423625</v>
      </c>
      <c r="C20" s="62">
        <f t="shared" si="0"/>
        <v>257</v>
      </c>
      <c r="D20" s="17">
        <v>33123576</v>
      </c>
      <c r="E20" s="59">
        <f t="shared" si="1"/>
        <v>456</v>
      </c>
      <c r="F20" s="75">
        <v>749833</v>
      </c>
      <c r="G20" s="59">
        <f t="shared" si="2"/>
        <v>135</v>
      </c>
      <c r="H20" s="75">
        <v>82950</v>
      </c>
      <c r="I20" s="59">
        <f t="shared" si="3"/>
        <v>19</v>
      </c>
      <c r="J20" s="76">
        <v>176873</v>
      </c>
      <c r="K20" s="62">
        <f t="shared" si="4"/>
        <v>0</v>
      </c>
      <c r="L20" s="75">
        <v>78153</v>
      </c>
      <c r="M20" s="59">
        <f t="shared" si="5"/>
        <v>0</v>
      </c>
      <c r="N20" s="75">
        <v>598494</v>
      </c>
      <c r="O20" s="62">
        <f t="shared" si="6"/>
        <v>0</v>
      </c>
      <c r="P20" s="75">
        <v>155790</v>
      </c>
      <c r="Q20" s="59">
        <f t="shared" si="7"/>
        <v>0</v>
      </c>
      <c r="R20" s="75">
        <v>855191</v>
      </c>
      <c r="S20" s="62">
        <f t="shared" si="8"/>
        <v>180</v>
      </c>
      <c r="T20" s="75">
        <v>64261</v>
      </c>
      <c r="U20" s="59">
        <f t="shared" si="9"/>
        <v>33</v>
      </c>
      <c r="V20" s="75">
        <v>276024</v>
      </c>
      <c r="W20" s="62">
        <f t="shared" si="10"/>
        <v>32</v>
      </c>
      <c r="X20" s="76">
        <v>21007</v>
      </c>
      <c r="Y20" s="59">
        <f t="shared" si="11"/>
        <v>0</v>
      </c>
      <c r="Z20" s="76">
        <v>671651</v>
      </c>
      <c r="AA20" s="62">
        <f t="shared" si="12"/>
        <v>171</v>
      </c>
      <c r="AB20" s="77">
        <v>1410</v>
      </c>
      <c r="AC20" s="59">
        <f t="shared" si="13"/>
        <v>0</v>
      </c>
      <c r="AD20" s="69">
        <f t="shared" si="14"/>
        <v>1283</v>
      </c>
      <c r="AE20" s="17">
        <v>0</v>
      </c>
      <c r="AF20" s="52">
        <f t="shared" si="15"/>
        <v>0</v>
      </c>
    </row>
    <row r="21" spans="1:38">
      <c r="A21" s="51">
        <v>44092</v>
      </c>
      <c r="B21" s="17">
        <v>1423815</v>
      </c>
      <c r="C21" s="62">
        <f t="shared" si="0"/>
        <v>190</v>
      </c>
      <c r="D21" s="17">
        <v>33124059</v>
      </c>
      <c r="E21" s="59">
        <f t="shared" si="1"/>
        <v>483</v>
      </c>
      <c r="F21" s="75">
        <v>749940</v>
      </c>
      <c r="G21" s="59">
        <f t="shared" si="2"/>
        <v>107</v>
      </c>
      <c r="H21" s="75">
        <v>82969</v>
      </c>
      <c r="I21" s="59">
        <f t="shared" si="3"/>
        <v>19</v>
      </c>
      <c r="J21" s="76">
        <v>176873</v>
      </c>
      <c r="K21" s="62">
        <f t="shared" si="4"/>
        <v>0</v>
      </c>
      <c r="L21" s="75">
        <v>78153</v>
      </c>
      <c r="M21" s="59">
        <f t="shared" si="5"/>
        <v>0</v>
      </c>
      <c r="N21" s="75">
        <v>598494</v>
      </c>
      <c r="O21" s="62">
        <f t="shared" si="6"/>
        <v>0</v>
      </c>
      <c r="P21" s="75">
        <v>155790</v>
      </c>
      <c r="Q21" s="59">
        <f t="shared" si="7"/>
        <v>0</v>
      </c>
      <c r="R21" s="75">
        <v>855381</v>
      </c>
      <c r="S21" s="62">
        <f t="shared" si="8"/>
        <v>190</v>
      </c>
      <c r="T21" s="75">
        <v>64284</v>
      </c>
      <c r="U21" s="59">
        <f t="shared" si="9"/>
        <v>23</v>
      </c>
      <c r="V21" s="75">
        <v>276060</v>
      </c>
      <c r="W21" s="62">
        <f t="shared" si="10"/>
        <v>36</v>
      </c>
      <c r="X21" s="76">
        <v>21007</v>
      </c>
      <c r="Y21" s="59">
        <f t="shared" si="11"/>
        <v>0</v>
      </c>
      <c r="Z21" s="76">
        <v>671797</v>
      </c>
      <c r="AA21" s="62">
        <f t="shared" si="12"/>
        <v>146</v>
      </c>
      <c r="AB21" s="77">
        <v>1410</v>
      </c>
      <c r="AC21" s="59">
        <f t="shared" si="13"/>
        <v>0</v>
      </c>
      <c r="AD21" s="69">
        <f t="shared" si="14"/>
        <v>1194</v>
      </c>
      <c r="AE21" s="17">
        <v>0</v>
      </c>
      <c r="AF21" s="52">
        <f t="shared" si="15"/>
        <v>0</v>
      </c>
    </row>
    <row r="22" spans="1:38">
      <c r="A22" s="51">
        <v>44093</v>
      </c>
      <c r="B22" s="17">
        <v>1424031</v>
      </c>
      <c r="C22" s="62">
        <f t="shared" si="0"/>
        <v>216</v>
      </c>
      <c r="D22" s="17">
        <v>33124532</v>
      </c>
      <c r="E22" s="59">
        <f t="shared" si="1"/>
        <v>473</v>
      </c>
      <c r="F22" s="75">
        <v>750066</v>
      </c>
      <c r="G22" s="59">
        <f t="shared" si="2"/>
        <v>126</v>
      </c>
      <c r="H22" s="75">
        <v>82986</v>
      </c>
      <c r="I22" s="59">
        <f t="shared" si="3"/>
        <v>17</v>
      </c>
      <c r="J22" s="76">
        <v>176881</v>
      </c>
      <c r="K22" s="62">
        <f t="shared" si="4"/>
        <v>8</v>
      </c>
      <c r="L22" s="75">
        <v>78153</v>
      </c>
      <c r="M22" s="59">
        <f t="shared" si="5"/>
        <v>0</v>
      </c>
      <c r="N22" s="75">
        <v>598494</v>
      </c>
      <c r="O22" s="62">
        <f t="shared" si="6"/>
        <v>0</v>
      </c>
      <c r="P22" s="75">
        <v>155790</v>
      </c>
      <c r="Q22" s="59">
        <f t="shared" si="7"/>
        <v>0</v>
      </c>
      <c r="R22" s="75">
        <v>855631</v>
      </c>
      <c r="S22" s="62">
        <f t="shared" si="8"/>
        <v>250</v>
      </c>
      <c r="T22" s="75">
        <v>64322</v>
      </c>
      <c r="U22" s="59">
        <f t="shared" si="9"/>
        <v>38</v>
      </c>
      <c r="V22" s="75">
        <v>276091</v>
      </c>
      <c r="W22" s="62">
        <f t="shared" si="10"/>
        <v>31</v>
      </c>
      <c r="X22" s="76">
        <v>21007</v>
      </c>
      <c r="Y22" s="59">
        <f t="shared" si="11"/>
        <v>0</v>
      </c>
      <c r="Z22" s="76">
        <v>671970</v>
      </c>
      <c r="AA22" s="62">
        <f t="shared" si="12"/>
        <v>173</v>
      </c>
      <c r="AB22" s="77">
        <v>1410</v>
      </c>
      <c r="AC22" s="59">
        <f t="shared" si="13"/>
        <v>0</v>
      </c>
      <c r="AD22" s="69">
        <f t="shared" si="14"/>
        <v>1332</v>
      </c>
      <c r="AE22" s="17">
        <v>0</v>
      </c>
      <c r="AF22" s="52">
        <f t="shared" si="15"/>
        <v>0</v>
      </c>
    </row>
    <row r="23" spans="1:38">
      <c r="A23" s="51">
        <v>44094</v>
      </c>
      <c r="B23" s="17">
        <v>1424312</v>
      </c>
      <c r="C23" s="62">
        <f t="shared" si="0"/>
        <v>281</v>
      </c>
      <c r="D23" s="17">
        <v>33125044</v>
      </c>
      <c r="E23" s="59">
        <f t="shared" si="1"/>
        <v>512</v>
      </c>
      <c r="F23" s="75">
        <v>750161</v>
      </c>
      <c r="G23" s="59">
        <f t="shared" si="2"/>
        <v>95</v>
      </c>
      <c r="H23" s="75">
        <v>83004</v>
      </c>
      <c r="I23" s="59">
        <f t="shared" si="3"/>
        <v>18</v>
      </c>
      <c r="J23" s="75">
        <v>176881</v>
      </c>
      <c r="K23" s="62">
        <f t="shared" si="4"/>
        <v>0</v>
      </c>
      <c r="L23" s="75">
        <v>78153</v>
      </c>
      <c r="M23" s="59">
        <f t="shared" si="5"/>
        <v>0</v>
      </c>
      <c r="N23" s="75">
        <v>598494</v>
      </c>
      <c r="O23" s="62">
        <f t="shared" si="6"/>
        <v>0</v>
      </c>
      <c r="P23" s="75">
        <v>155790</v>
      </c>
      <c r="Q23" s="59">
        <f t="shared" si="7"/>
        <v>0</v>
      </c>
      <c r="R23" s="75">
        <v>855839</v>
      </c>
      <c r="S23" s="62">
        <f t="shared" si="8"/>
        <v>208</v>
      </c>
      <c r="T23" s="75">
        <v>64355</v>
      </c>
      <c r="U23" s="59">
        <f t="shared" si="9"/>
        <v>33</v>
      </c>
      <c r="V23" s="75">
        <v>276126</v>
      </c>
      <c r="W23" s="62">
        <f t="shared" si="10"/>
        <v>35</v>
      </c>
      <c r="X23" s="76">
        <v>21007</v>
      </c>
      <c r="Y23" s="59">
        <f t="shared" si="11"/>
        <v>0</v>
      </c>
      <c r="Z23" s="76">
        <v>672135</v>
      </c>
      <c r="AA23" s="62">
        <f t="shared" si="12"/>
        <v>165</v>
      </c>
      <c r="AB23" s="77">
        <v>1410</v>
      </c>
      <c r="AC23" s="59">
        <f t="shared" si="13"/>
        <v>0</v>
      </c>
      <c r="AD23" s="69">
        <f t="shared" si="14"/>
        <v>1347</v>
      </c>
      <c r="AE23" s="17">
        <v>0</v>
      </c>
      <c r="AF23" s="52">
        <f t="shared" si="15"/>
        <v>0</v>
      </c>
    </row>
    <row r="24" spans="1:38">
      <c r="A24" s="51">
        <v>44095</v>
      </c>
      <c r="B24" s="17">
        <v>1424531</v>
      </c>
      <c r="C24" s="62">
        <f t="shared" si="0"/>
        <v>219</v>
      </c>
      <c r="D24" s="17">
        <v>33125474</v>
      </c>
      <c r="E24" s="59">
        <f t="shared" si="1"/>
        <v>430</v>
      </c>
      <c r="F24" s="75">
        <v>750284</v>
      </c>
      <c r="G24" s="59">
        <f t="shared" si="2"/>
        <v>123</v>
      </c>
      <c r="H24" s="75">
        <v>83019</v>
      </c>
      <c r="I24" s="59">
        <f t="shared" si="3"/>
        <v>15</v>
      </c>
      <c r="J24" s="75">
        <v>176881</v>
      </c>
      <c r="K24" s="62">
        <f t="shared" si="4"/>
        <v>0</v>
      </c>
      <c r="L24" s="75">
        <v>78153</v>
      </c>
      <c r="M24" s="59">
        <f t="shared" si="5"/>
        <v>0</v>
      </c>
      <c r="N24" s="75">
        <v>598510</v>
      </c>
      <c r="O24" s="62">
        <f t="shared" si="6"/>
        <v>16</v>
      </c>
      <c r="P24" s="75">
        <v>155790</v>
      </c>
      <c r="Q24" s="59">
        <f t="shared" si="7"/>
        <v>0</v>
      </c>
      <c r="R24" s="75">
        <v>856010</v>
      </c>
      <c r="S24" s="62">
        <f t="shared" si="8"/>
        <v>171</v>
      </c>
      <c r="T24" s="75">
        <v>64374</v>
      </c>
      <c r="U24" s="59">
        <f t="shared" si="9"/>
        <v>19</v>
      </c>
      <c r="V24" s="75">
        <v>276165</v>
      </c>
      <c r="W24" s="62">
        <f t="shared" si="10"/>
        <v>39</v>
      </c>
      <c r="X24" s="76">
        <v>21007</v>
      </c>
      <c r="Y24" s="59">
        <f t="shared" si="11"/>
        <v>0</v>
      </c>
      <c r="Z24" s="76">
        <v>672279</v>
      </c>
      <c r="AA24" s="62">
        <f t="shared" si="12"/>
        <v>144</v>
      </c>
      <c r="AB24" s="77">
        <v>1410</v>
      </c>
      <c r="AC24" s="59">
        <f t="shared" si="13"/>
        <v>0</v>
      </c>
      <c r="AD24" s="69">
        <f t="shared" si="14"/>
        <v>1176</v>
      </c>
      <c r="AE24" s="17">
        <v>0</v>
      </c>
      <c r="AF24" s="52">
        <f t="shared" si="15"/>
        <v>0</v>
      </c>
      <c r="AI24" t="s">
        <v>59</v>
      </c>
    </row>
    <row r="25" spans="1:38">
      <c r="A25" s="51">
        <v>44096</v>
      </c>
      <c r="B25" s="17">
        <v>1424757</v>
      </c>
      <c r="C25" s="62">
        <f t="shared" si="0"/>
        <v>226</v>
      </c>
      <c r="D25" s="17">
        <v>33125948</v>
      </c>
      <c r="E25" s="59">
        <f t="shared" si="1"/>
        <v>474</v>
      </c>
      <c r="F25" s="75">
        <v>750415</v>
      </c>
      <c r="G25" s="59">
        <f t="shared" si="2"/>
        <v>131</v>
      </c>
      <c r="H25" s="75">
        <v>83030</v>
      </c>
      <c r="I25" s="59">
        <f t="shared" si="3"/>
        <v>11</v>
      </c>
      <c r="J25" s="75">
        <v>176881</v>
      </c>
      <c r="K25" s="62">
        <f t="shared" si="4"/>
        <v>0</v>
      </c>
      <c r="L25" s="75">
        <v>78153</v>
      </c>
      <c r="M25" s="59">
        <f t="shared" si="5"/>
        <v>0</v>
      </c>
      <c r="N25" s="75">
        <v>598558</v>
      </c>
      <c r="O25" s="62">
        <f t="shared" si="6"/>
        <v>48</v>
      </c>
      <c r="P25" s="75">
        <v>155790</v>
      </c>
      <c r="Q25" s="59">
        <f t="shared" si="7"/>
        <v>0</v>
      </c>
      <c r="R25" s="75">
        <v>856191</v>
      </c>
      <c r="S25" s="62">
        <f t="shared" si="8"/>
        <v>181</v>
      </c>
      <c r="T25" s="75">
        <v>64403</v>
      </c>
      <c r="U25" s="59">
        <f t="shared" si="9"/>
        <v>29</v>
      </c>
      <c r="V25" s="75">
        <v>276194</v>
      </c>
      <c r="W25" s="62">
        <f t="shared" si="10"/>
        <v>29</v>
      </c>
      <c r="X25" s="76">
        <v>21007</v>
      </c>
      <c r="Y25" s="59">
        <f t="shared" si="11"/>
        <v>0</v>
      </c>
      <c r="Z25" s="76">
        <v>672430</v>
      </c>
      <c r="AA25" s="62">
        <f t="shared" si="12"/>
        <v>151</v>
      </c>
      <c r="AB25" s="77">
        <v>1410</v>
      </c>
      <c r="AC25" s="59">
        <f t="shared" si="13"/>
        <v>0</v>
      </c>
      <c r="AD25" s="69">
        <f t="shared" si="14"/>
        <v>1280</v>
      </c>
      <c r="AE25" s="17">
        <v>0</v>
      </c>
      <c r="AF25" s="52">
        <f t="shared" si="15"/>
        <v>0</v>
      </c>
      <c r="AH25" t="s">
        <v>59</v>
      </c>
    </row>
    <row r="26" spans="1:38">
      <c r="A26" s="51">
        <v>44097</v>
      </c>
      <c r="B26" s="17">
        <v>1424991</v>
      </c>
      <c r="C26" s="62">
        <f t="shared" si="0"/>
        <v>234</v>
      </c>
      <c r="D26" s="17">
        <v>33126445</v>
      </c>
      <c r="E26" s="59">
        <f t="shared" si="1"/>
        <v>497</v>
      </c>
      <c r="F26" s="75">
        <v>750554</v>
      </c>
      <c r="G26" s="59">
        <f t="shared" si="2"/>
        <v>139</v>
      </c>
      <c r="H26" s="75">
        <v>83055</v>
      </c>
      <c r="I26" s="59">
        <f t="shared" si="3"/>
        <v>25</v>
      </c>
      <c r="J26" s="75">
        <v>176881</v>
      </c>
      <c r="K26" s="62">
        <f t="shared" si="4"/>
        <v>0</v>
      </c>
      <c r="L26" s="75">
        <v>78153</v>
      </c>
      <c r="M26" s="59">
        <f t="shared" si="5"/>
        <v>0</v>
      </c>
      <c r="N26" s="75">
        <v>598627</v>
      </c>
      <c r="O26" s="62">
        <f t="shared" si="6"/>
        <v>69</v>
      </c>
      <c r="P26" s="75">
        <v>155790</v>
      </c>
      <c r="Q26" s="59">
        <f t="shared" si="7"/>
        <v>0</v>
      </c>
      <c r="R26" s="75">
        <v>856307</v>
      </c>
      <c r="S26" s="62">
        <f t="shared" si="8"/>
        <v>116</v>
      </c>
      <c r="T26" s="75">
        <v>64434</v>
      </c>
      <c r="U26" s="59">
        <f t="shared" si="9"/>
        <v>31</v>
      </c>
      <c r="V26" s="75">
        <v>276230</v>
      </c>
      <c r="W26" s="62">
        <f t="shared" si="10"/>
        <v>36</v>
      </c>
      <c r="X26" s="76">
        <v>21007</v>
      </c>
      <c r="Y26" s="59">
        <f t="shared" si="11"/>
        <v>0</v>
      </c>
      <c r="Z26" s="76">
        <v>672613</v>
      </c>
      <c r="AA26" s="62">
        <f t="shared" si="12"/>
        <v>183</v>
      </c>
      <c r="AB26" s="77">
        <v>1410</v>
      </c>
      <c r="AC26" s="59">
        <f t="shared" si="13"/>
        <v>0</v>
      </c>
      <c r="AD26" s="69">
        <f t="shared" si="14"/>
        <v>1330</v>
      </c>
      <c r="AE26" s="17">
        <v>0</v>
      </c>
      <c r="AF26" s="52">
        <f t="shared" si="15"/>
        <v>0</v>
      </c>
    </row>
    <row r="27" spans="1:38">
      <c r="A27" s="51">
        <v>44098</v>
      </c>
      <c r="B27" s="17">
        <v>1425244</v>
      </c>
      <c r="C27" s="62">
        <f t="shared" si="0"/>
        <v>253</v>
      </c>
      <c r="D27" s="17">
        <v>33126945</v>
      </c>
      <c r="E27" s="59">
        <f t="shared" si="1"/>
        <v>500</v>
      </c>
      <c r="F27" s="75">
        <v>750658</v>
      </c>
      <c r="G27" s="59">
        <f t="shared" si="2"/>
        <v>104</v>
      </c>
      <c r="H27" s="75">
        <v>83071</v>
      </c>
      <c r="I27" s="59">
        <f t="shared" si="3"/>
        <v>16</v>
      </c>
      <c r="J27" s="75">
        <v>176881</v>
      </c>
      <c r="K27" s="62">
        <f t="shared" si="4"/>
        <v>0</v>
      </c>
      <c r="L27" s="75">
        <v>78153</v>
      </c>
      <c r="M27" s="59">
        <f t="shared" si="5"/>
        <v>0</v>
      </c>
      <c r="N27" s="75">
        <v>598748</v>
      </c>
      <c r="O27" s="62">
        <f t="shared" si="6"/>
        <v>121</v>
      </c>
      <c r="P27" s="75">
        <v>155790</v>
      </c>
      <c r="Q27" s="59">
        <f t="shared" si="7"/>
        <v>0</v>
      </c>
      <c r="R27" s="75">
        <v>856462</v>
      </c>
      <c r="S27" s="62">
        <f t="shared" si="8"/>
        <v>155</v>
      </c>
      <c r="T27" s="75">
        <v>64456</v>
      </c>
      <c r="U27" s="59">
        <f t="shared" si="9"/>
        <v>22</v>
      </c>
      <c r="V27" s="75">
        <v>276262</v>
      </c>
      <c r="W27" s="62">
        <f t="shared" si="10"/>
        <v>32</v>
      </c>
      <c r="X27" s="76">
        <v>21007</v>
      </c>
      <c r="Y27" s="59">
        <f t="shared" si="11"/>
        <v>0</v>
      </c>
      <c r="Z27" s="76">
        <v>672728</v>
      </c>
      <c r="AA27" s="62">
        <f t="shared" si="12"/>
        <v>115</v>
      </c>
      <c r="AB27" s="77">
        <v>1410</v>
      </c>
      <c r="AC27" s="59">
        <f t="shared" si="13"/>
        <v>0</v>
      </c>
      <c r="AD27" s="69">
        <f t="shared" si="14"/>
        <v>1318</v>
      </c>
      <c r="AE27" s="17">
        <v>0</v>
      </c>
      <c r="AF27" s="52">
        <f t="shared" si="15"/>
        <v>0</v>
      </c>
    </row>
    <row r="28" spans="1:38">
      <c r="A28" s="51">
        <v>44099</v>
      </c>
      <c r="B28" s="17">
        <v>1425475</v>
      </c>
      <c r="C28" s="62">
        <f t="shared" si="0"/>
        <v>231</v>
      </c>
      <c r="D28" s="17">
        <v>33127438</v>
      </c>
      <c r="E28" s="59">
        <f t="shared" si="1"/>
        <v>493</v>
      </c>
      <c r="F28" s="75">
        <v>750778</v>
      </c>
      <c r="G28" s="59">
        <f t="shared" si="2"/>
        <v>120</v>
      </c>
      <c r="H28" s="75">
        <v>83086</v>
      </c>
      <c r="I28" s="59">
        <f t="shared" si="3"/>
        <v>15</v>
      </c>
      <c r="J28" s="75">
        <v>176881</v>
      </c>
      <c r="K28" s="62">
        <f t="shared" si="4"/>
        <v>0</v>
      </c>
      <c r="L28" s="75">
        <v>78153</v>
      </c>
      <c r="M28" s="59">
        <f t="shared" si="5"/>
        <v>0</v>
      </c>
      <c r="N28" s="75">
        <v>598854</v>
      </c>
      <c r="O28" s="62">
        <f t="shared" si="6"/>
        <v>106</v>
      </c>
      <c r="P28" s="75">
        <v>155790</v>
      </c>
      <c r="Q28" s="59">
        <f t="shared" si="7"/>
        <v>0</v>
      </c>
      <c r="R28" s="75">
        <v>856631</v>
      </c>
      <c r="S28" s="62">
        <f t="shared" si="8"/>
        <v>169</v>
      </c>
      <c r="T28" s="75">
        <v>64475</v>
      </c>
      <c r="U28" s="59">
        <f t="shared" si="9"/>
        <v>19</v>
      </c>
      <c r="V28" s="75">
        <v>276298</v>
      </c>
      <c r="W28" s="62">
        <f t="shared" si="10"/>
        <v>36</v>
      </c>
      <c r="X28" s="76">
        <v>21007</v>
      </c>
      <c r="Y28" s="59">
        <f t="shared" si="11"/>
        <v>0</v>
      </c>
      <c r="Z28" s="76">
        <v>672844</v>
      </c>
      <c r="AA28" s="62">
        <f t="shared" si="12"/>
        <v>116</v>
      </c>
      <c r="AB28" s="77">
        <v>1410</v>
      </c>
      <c r="AC28" s="59">
        <f t="shared" si="13"/>
        <v>0</v>
      </c>
      <c r="AD28" s="69">
        <f t="shared" si="14"/>
        <v>1305</v>
      </c>
      <c r="AE28" s="17">
        <v>0</v>
      </c>
      <c r="AF28" s="52">
        <f t="shared" si="15"/>
        <v>0</v>
      </c>
    </row>
    <row r="29" spans="1:38">
      <c r="A29" s="51">
        <v>44100</v>
      </c>
      <c r="B29" s="17">
        <v>1425767</v>
      </c>
      <c r="C29" s="62">
        <f t="shared" si="0"/>
        <v>292</v>
      </c>
      <c r="D29" s="17">
        <v>33127906</v>
      </c>
      <c r="E29" s="59">
        <f t="shared" si="1"/>
        <v>468</v>
      </c>
      <c r="F29" s="75">
        <v>750866</v>
      </c>
      <c r="G29" s="59">
        <f t="shared" si="2"/>
        <v>88</v>
      </c>
      <c r="H29" s="75">
        <v>83113</v>
      </c>
      <c r="I29" s="59">
        <f t="shared" si="3"/>
        <v>27</v>
      </c>
      <c r="J29" s="75">
        <v>176881</v>
      </c>
      <c r="K29" s="62">
        <f t="shared" si="4"/>
        <v>0</v>
      </c>
      <c r="L29" s="75">
        <v>78153</v>
      </c>
      <c r="M29" s="59">
        <f t="shared" si="5"/>
        <v>0</v>
      </c>
      <c r="N29" s="75">
        <v>598891</v>
      </c>
      <c r="O29" s="62">
        <f t="shared" si="6"/>
        <v>37</v>
      </c>
      <c r="P29" s="75">
        <v>155790</v>
      </c>
      <c r="Q29" s="59">
        <f t="shared" si="7"/>
        <v>0</v>
      </c>
      <c r="R29" s="75">
        <v>856848</v>
      </c>
      <c r="S29" s="62">
        <f t="shared" si="8"/>
        <v>217</v>
      </c>
      <c r="T29" s="75">
        <v>64494</v>
      </c>
      <c r="U29" s="59">
        <f t="shared" si="9"/>
        <v>19</v>
      </c>
      <c r="V29" s="75">
        <v>276325</v>
      </c>
      <c r="W29" s="62">
        <f t="shared" si="10"/>
        <v>27</v>
      </c>
      <c r="X29" s="76">
        <v>21007</v>
      </c>
      <c r="Y29" s="59">
        <f t="shared" si="11"/>
        <v>0</v>
      </c>
      <c r="Z29" s="76">
        <v>672973</v>
      </c>
      <c r="AA29" s="62">
        <f t="shared" si="12"/>
        <v>129</v>
      </c>
      <c r="AB29" s="77">
        <v>1410</v>
      </c>
      <c r="AC29" s="59">
        <f t="shared" si="13"/>
        <v>0</v>
      </c>
      <c r="AD29" s="69">
        <f t="shared" si="14"/>
        <v>1304</v>
      </c>
      <c r="AE29" s="17">
        <v>0</v>
      </c>
      <c r="AF29" s="52">
        <f t="shared" si="15"/>
        <v>0</v>
      </c>
      <c r="AL29" t="s">
        <v>59</v>
      </c>
    </row>
    <row r="30" spans="1:38">
      <c r="A30" s="51">
        <v>44101</v>
      </c>
      <c r="B30" s="17">
        <v>1425993</v>
      </c>
      <c r="C30" s="62">
        <f t="shared" si="0"/>
        <v>226</v>
      </c>
      <c r="D30" s="17">
        <v>33128371</v>
      </c>
      <c r="E30" s="59">
        <f t="shared" si="1"/>
        <v>465</v>
      </c>
      <c r="F30" s="75">
        <v>750965</v>
      </c>
      <c r="G30" s="59">
        <f t="shared" si="2"/>
        <v>99</v>
      </c>
      <c r="H30" s="75">
        <v>83138</v>
      </c>
      <c r="I30" s="59">
        <f t="shared" si="3"/>
        <v>25</v>
      </c>
      <c r="J30" s="75">
        <v>176881</v>
      </c>
      <c r="K30" s="62">
        <f t="shared" si="4"/>
        <v>0</v>
      </c>
      <c r="L30" s="75">
        <v>78153</v>
      </c>
      <c r="M30" s="59">
        <f t="shared" si="5"/>
        <v>0</v>
      </c>
      <c r="N30" s="75">
        <v>598916</v>
      </c>
      <c r="O30" s="62">
        <f t="shared" si="6"/>
        <v>25</v>
      </c>
      <c r="P30" s="75">
        <v>155790</v>
      </c>
      <c r="Q30" s="59">
        <f t="shared" si="7"/>
        <v>0</v>
      </c>
      <c r="R30" s="75">
        <v>857030</v>
      </c>
      <c r="S30" s="62">
        <f t="shared" si="8"/>
        <v>182</v>
      </c>
      <c r="T30" s="75">
        <v>64511</v>
      </c>
      <c r="U30" s="59">
        <f t="shared" si="9"/>
        <v>17</v>
      </c>
      <c r="V30" s="75">
        <v>276355</v>
      </c>
      <c r="W30" s="62">
        <f t="shared" si="10"/>
        <v>30</v>
      </c>
      <c r="X30" s="76">
        <v>21007</v>
      </c>
      <c r="Y30" s="59">
        <f t="shared" si="11"/>
        <v>0</v>
      </c>
      <c r="Z30" s="76">
        <v>673096</v>
      </c>
      <c r="AA30" s="62">
        <f t="shared" si="12"/>
        <v>123</v>
      </c>
      <c r="AB30" s="77">
        <v>1410</v>
      </c>
      <c r="AC30" s="59">
        <f t="shared" si="13"/>
        <v>0</v>
      </c>
      <c r="AD30" s="69">
        <f t="shared" si="14"/>
        <v>1192</v>
      </c>
      <c r="AE30" s="17">
        <v>0</v>
      </c>
      <c r="AF30" s="52">
        <f t="shared" si="15"/>
        <v>0</v>
      </c>
    </row>
    <row r="31" spans="1:38">
      <c r="A31" s="51">
        <v>44102</v>
      </c>
      <c r="B31" s="17">
        <v>1426155</v>
      </c>
      <c r="C31" s="62">
        <f t="shared" si="0"/>
        <v>162</v>
      </c>
      <c r="D31" s="17">
        <v>33128815</v>
      </c>
      <c r="E31" s="59">
        <f t="shared" si="1"/>
        <v>444</v>
      </c>
      <c r="F31" s="75">
        <v>751058</v>
      </c>
      <c r="G31" s="59">
        <f t="shared" si="2"/>
        <v>93</v>
      </c>
      <c r="H31" s="75">
        <v>83152</v>
      </c>
      <c r="I31" s="59">
        <f t="shared" si="3"/>
        <v>14</v>
      </c>
      <c r="J31" s="76">
        <v>176881</v>
      </c>
      <c r="K31" s="62">
        <f t="shared" si="4"/>
        <v>0</v>
      </c>
      <c r="L31" s="75">
        <v>78153</v>
      </c>
      <c r="M31" s="59">
        <f t="shared" si="5"/>
        <v>0</v>
      </c>
      <c r="N31" s="75">
        <v>598983</v>
      </c>
      <c r="O31" s="62">
        <f t="shared" si="6"/>
        <v>67</v>
      </c>
      <c r="P31" s="75">
        <v>155790</v>
      </c>
      <c r="Q31" s="59">
        <f t="shared" si="7"/>
        <v>0</v>
      </c>
      <c r="R31" s="75">
        <v>857198</v>
      </c>
      <c r="S31" s="62">
        <f t="shared" si="8"/>
        <v>168</v>
      </c>
      <c r="T31" s="75">
        <v>64534</v>
      </c>
      <c r="U31" s="59">
        <f t="shared" si="9"/>
        <v>23</v>
      </c>
      <c r="V31" s="75">
        <v>276393</v>
      </c>
      <c r="W31" s="62">
        <f t="shared" si="10"/>
        <v>38</v>
      </c>
      <c r="X31" s="76">
        <v>21007</v>
      </c>
      <c r="Y31" s="59">
        <f t="shared" si="11"/>
        <v>0</v>
      </c>
      <c r="Z31" s="76">
        <v>673230</v>
      </c>
      <c r="AA31" s="62">
        <f t="shared" si="12"/>
        <v>134</v>
      </c>
      <c r="AB31" s="77">
        <v>1410</v>
      </c>
      <c r="AC31" s="59">
        <f t="shared" si="13"/>
        <v>0</v>
      </c>
      <c r="AD31" s="69">
        <f>AC31+AA31+Y31+W31+U31+S31+Q31+O31+M31+K31+I31+G31+E31+C31</f>
        <v>1143</v>
      </c>
      <c r="AE31" s="17">
        <v>0</v>
      </c>
      <c r="AF31" s="52">
        <f t="shared" si="15"/>
        <v>0</v>
      </c>
    </row>
    <row r="32" spans="1:38">
      <c r="A32" s="51">
        <v>44103</v>
      </c>
      <c r="B32" s="17">
        <v>1426453</v>
      </c>
      <c r="C32" s="63">
        <f t="shared" si="0"/>
        <v>298</v>
      </c>
      <c r="D32" s="17">
        <v>33129297</v>
      </c>
      <c r="E32" s="59">
        <f t="shared" si="1"/>
        <v>482</v>
      </c>
      <c r="F32" s="75">
        <v>751158</v>
      </c>
      <c r="G32" s="59">
        <f t="shared" si="2"/>
        <v>100</v>
      </c>
      <c r="H32" s="75">
        <v>83169</v>
      </c>
      <c r="I32" s="59">
        <f t="shared" si="3"/>
        <v>17</v>
      </c>
      <c r="J32" s="76">
        <v>176881</v>
      </c>
      <c r="K32" s="62">
        <f t="shared" si="4"/>
        <v>0</v>
      </c>
      <c r="L32" s="75">
        <v>78153</v>
      </c>
      <c r="M32" s="59">
        <f t="shared" si="5"/>
        <v>0</v>
      </c>
      <c r="N32" s="75">
        <v>599089</v>
      </c>
      <c r="O32" s="62">
        <f t="shared" si="6"/>
        <v>106</v>
      </c>
      <c r="P32" s="75">
        <v>155790</v>
      </c>
      <c r="Q32" s="59">
        <f t="shared" si="7"/>
        <v>0</v>
      </c>
      <c r="R32" s="75">
        <v>857342</v>
      </c>
      <c r="S32" s="62">
        <f t="shared" si="8"/>
        <v>144</v>
      </c>
      <c r="T32" s="75">
        <v>64560</v>
      </c>
      <c r="U32" s="59">
        <f t="shared" si="9"/>
        <v>26</v>
      </c>
      <c r="V32" s="75">
        <v>276427</v>
      </c>
      <c r="W32" s="62">
        <f t="shared" si="10"/>
        <v>34</v>
      </c>
      <c r="X32" s="76">
        <v>21007</v>
      </c>
      <c r="Y32" s="59">
        <f t="shared" si="11"/>
        <v>0</v>
      </c>
      <c r="Z32" s="76">
        <v>673353</v>
      </c>
      <c r="AA32" s="62">
        <f t="shared" si="12"/>
        <v>123</v>
      </c>
      <c r="AB32" s="77">
        <v>1410</v>
      </c>
      <c r="AC32" s="59">
        <f t="shared" si="13"/>
        <v>0</v>
      </c>
      <c r="AD32" s="69">
        <f>AC32+AA32+Y32+W32+U32+S32+Q32+O32+M32+K32+I32+G32+E32+C32</f>
        <v>1330</v>
      </c>
      <c r="AE32" s="17">
        <v>0</v>
      </c>
      <c r="AF32" s="52">
        <f t="shared" si="15"/>
        <v>0</v>
      </c>
    </row>
    <row r="33" spans="1:32">
      <c r="A33" s="51">
        <v>44104</v>
      </c>
      <c r="B33" s="17">
        <v>1426663</v>
      </c>
      <c r="C33" s="64">
        <f t="shared" si="0"/>
        <v>210</v>
      </c>
      <c r="D33" s="114">
        <v>33129753</v>
      </c>
      <c r="E33" s="60">
        <f t="shared" si="1"/>
        <v>456</v>
      </c>
      <c r="F33" s="75">
        <v>751263</v>
      </c>
      <c r="G33" s="60">
        <f t="shared" si="2"/>
        <v>105</v>
      </c>
      <c r="H33" s="115">
        <v>83188</v>
      </c>
      <c r="I33" s="60">
        <f t="shared" si="3"/>
        <v>19</v>
      </c>
      <c r="J33" s="115">
        <v>176881</v>
      </c>
      <c r="K33" s="63">
        <f t="shared" si="4"/>
        <v>0</v>
      </c>
      <c r="L33" s="75">
        <v>78153</v>
      </c>
      <c r="M33" s="60">
        <f t="shared" si="5"/>
        <v>0</v>
      </c>
      <c r="N33" s="75">
        <v>599089</v>
      </c>
      <c r="O33" s="63">
        <f t="shared" si="6"/>
        <v>0</v>
      </c>
      <c r="P33" s="115">
        <v>155790</v>
      </c>
      <c r="Q33" s="60">
        <f t="shared" si="7"/>
        <v>0</v>
      </c>
      <c r="R33" s="115">
        <v>857520</v>
      </c>
      <c r="S33" s="62">
        <f t="shared" si="8"/>
        <v>178</v>
      </c>
      <c r="T33" s="115">
        <v>64586</v>
      </c>
      <c r="U33" s="59">
        <f t="shared" si="9"/>
        <v>26</v>
      </c>
      <c r="V33" s="115">
        <v>276461</v>
      </c>
      <c r="W33" s="62">
        <f t="shared" si="10"/>
        <v>34</v>
      </c>
      <c r="X33" s="76">
        <v>21007</v>
      </c>
      <c r="Y33" s="59">
        <f t="shared" si="11"/>
        <v>0</v>
      </c>
      <c r="Z33" s="115">
        <v>673472</v>
      </c>
      <c r="AA33" s="62">
        <f t="shared" si="12"/>
        <v>119</v>
      </c>
      <c r="AB33" s="77">
        <v>1410</v>
      </c>
      <c r="AC33" s="59">
        <f t="shared" si="13"/>
        <v>0</v>
      </c>
      <c r="AD33" s="72">
        <f>AC33+AA33+Y33+W33+U33+S33+Q33+O33+M33+K33+I33+G33+E33+C33</f>
        <v>1147</v>
      </c>
      <c r="AE33" s="65">
        <v>0</v>
      </c>
      <c r="AF33" s="52">
        <f t="shared" si="15"/>
        <v>0</v>
      </c>
    </row>
    <row r="34" spans="1:32">
      <c r="B34" s="114"/>
      <c r="L34" s="115">
        <v>78153</v>
      </c>
    </row>
  </sheetData>
  <mergeCells count="1">
    <mergeCell ref="A1:AF1"/>
  </mergeCells>
  <phoneticPr fontId="0" type="noConversion"/>
  <conditionalFormatting sqref="AD3 AD4:AE33 C3:C33 E3:E33 G3:G33 I3:I33 K3:K33 M3:M33 O3:O33 Q3:Q33 S3:S33 U3:U33 W3:W33 Y3:Y33 AA3:AC33 A2:A33">
    <cfRule type="cellIs" dxfId="40" priority="413" stopIfTrue="1" operator="lessThan">
      <formula>0</formula>
    </cfRule>
  </conditionalFormatting>
  <conditionalFormatting sqref="AB3:AB33">
    <cfRule type="cellIs" dxfId="39" priority="105" stopIfTrue="1" operator="lessThan">
      <formula>0</formula>
    </cfRule>
  </conditionalFormatting>
  <conditionalFormatting sqref="X3:X33">
    <cfRule type="cellIs" dxfId="38" priority="65" stopIfTrue="1" operator="lessThan">
      <formula>0</formula>
    </cfRule>
  </conditionalFormatting>
  <conditionalFormatting sqref="B5:B34">
    <cfRule type="cellIs" dxfId="37" priority="26" stopIfTrue="1" operator="lessThan">
      <formula>0</formula>
    </cfRule>
  </conditionalFormatting>
  <conditionalFormatting sqref="B4">
    <cfRule type="cellIs" dxfId="36" priority="25" stopIfTrue="1" operator="lessThan">
      <formula>0</formula>
    </cfRule>
  </conditionalFormatting>
  <conditionalFormatting sqref="B3">
    <cfRule type="cellIs" dxfId="35" priority="24" stopIfTrue="1" operator="lessThan">
      <formula>0</formula>
    </cfRule>
  </conditionalFormatting>
  <conditionalFormatting sqref="D4:D7 D9:D33">
    <cfRule type="cellIs" dxfId="34" priority="23" stopIfTrue="1" operator="lessThan">
      <formula>0</formula>
    </cfRule>
  </conditionalFormatting>
  <conditionalFormatting sqref="D8">
    <cfRule type="cellIs" dxfId="33" priority="22" stopIfTrue="1" operator="lessThan">
      <formula>0</formula>
    </cfRule>
  </conditionalFormatting>
  <conditionalFormatting sqref="D3">
    <cfRule type="cellIs" dxfId="32" priority="21" stopIfTrue="1" operator="lessThan">
      <formula>0</formula>
    </cfRule>
  </conditionalFormatting>
  <conditionalFormatting sqref="F4:F33">
    <cfRule type="cellIs" dxfId="31" priority="20" stopIfTrue="1" operator="lessThan">
      <formula>0</formula>
    </cfRule>
  </conditionalFormatting>
  <conditionalFormatting sqref="F3">
    <cfRule type="cellIs" dxfId="30" priority="19" stopIfTrue="1" operator="lessThan">
      <formula>0</formula>
    </cfRule>
  </conditionalFormatting>
  <conditionalFormatting sqref="H4:H33">
    <cfRule type="cellIs" dxfId="29" priority="18" stopIfTrue="1" operator="lessThan">
      <formula>0</formula>
    </cfRule>
  </conditionalFormatting>
  <conditionalFormatting sqref="H3">
    <cfRule type="cellIs" dxfId="28" priority="17" stopIfTrue="1" operator="lessThan">
      <formula>0</formula>
    </cfRule>
  </conditionalFormatting>
  <conditionalFormatting sqref="J23:J33">
    <cfRule type="cellIs" dxfId="27" priority="16" stopIfTrue="1" operator="lessThan">
      <formula>0</formula>
    </cfRule>
  </conditionalFormatting>
  <conditionalFormatting sqref="J3:J22">
    <cfRule type="cellIs" dxfId="26" priority="15" stopIfTrue="1" operator="lessThan">
      <formula>0</formula>
    </cfRule>
  </conditionalFormatting>
  <conditionalFormatting sqref="L33:L34">
    <cfRule type="cellIs" dxfId="25" priority="14" stopIfTrue="1" operator="lessThan">
      <formula>0</formula>
    </cfRule>
  </conditionalFormatting>
  <conditionalFormatting sqref="L3">
    <cfRule type="cellIs" dxfId="24" priority="13" stopIfTrue="1" operator="lessThan">
      <formula>0</formula>
    </cfRule>
  </conditionalFormatting>
  <conditionalFormatting sqref="L4:L32">
    <cfRule type="cellIs" dxfId="23" priority="12" stopIfTrue="1" operator="lessThan">
      <formula>0</formula>
    </cfRule>
  </conditionalFormatting>
  <conditionalFormatting sqref="N3:N33">
    <cfRule type="cellIs" dxfId="22" priority="11" stopIfTrue="1" operator="lessThan">
      <formula>0</formula>
    </cfRule>
  </conditionalFormatting>
  <conditionalFormatting sqref="P31:P33">
    <cfRule type="cellIs" dxfId="21" priority="10" stopIfTrue="1" operator="lessThan">
      <formula>0</formula>
    </cfRule>
  </conditionalFormatting>
  <conditionalFormatting sqref="P3:P30">
    <cfRule type="cellIs" dxfId="20" priority="9" stopIfTrue="1" operator="lessThan">
      <formula>0</formula>
    </cfRule>
  </conditionalFormatting>
  <conditionalFormatting sqref="R4:R33">
    <cfRule type="cellIs" dxfId="19" priority="8" stopIfTrue="1" operator="lessThan">
      <formula>0</formula>
    </cfRule>
  </conditionalFormatting>
  <conditionalFormatting sqref="R3">
    <cfRule type="cellIs" dxfId="18" priority="7" stopIfTrue="1" operator="lessThan">
      <formula>0</formula>
    </cfRule>
  </conditionalFormatting>
  <conditionalFormatting sqref="T4:T33">
    <cfRule type="cellIs" dxfId="17" priority="6" stopIfTrue="1" operator="lessThan">
      <formula>0</formula>
    </cfRule>
  </conditionalFormatting>
  <conditionalFormatting sqref="T3">
    <cfRule type="cellIs" dxfId="16" priority="5" stopIfTrue="1" operator="lessThan">
      <formula>0</formula>
    </cfRule>
  </conditionalFormatting>
  <conditionalFormatting sqref="V4:V5 V7:V33">
    <cfRule type="cellIs" dxfId="15" priority="4" stopIfTrue="1" operator="lessThan">
      <formula>0</formula>
    </cfRule>
  </conditionalFormatting>
  <conditionalFormatting sqref="V3 V6">
    <cfRule type="cellIs" dxfId="14" priority="3" stopIfTrue="1" operator="lessThan">
      <formula>0</formula>
    </cfRule>
  </conditionalFormatting>
  <conditionalFormatting sqref="Z4:Z33">
    <cfRule type="cellIs" dxfId="13" priority="2" stopIfTrue="1" operator="lessThan">
      <formula>0</formula>
    </cfRule>
  </conditionalFormatting>
  <conditionalFormatting sqref="Z3">
    <cfRule type="cellIs" dxfId="12" priority="1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5"/>
  <sheetViews>
    <sheetView topLeftCell="A21" zoomScale="60" zoomScaleNormal="60" workbookViewId="0">
      <selection activeCell="E39" sqref="E39"/>
    </sheetView>
  </sheetViews>
  <sheetFormatPr defaultColWidth="8.7109375" defaultRowHeight="18"/>
  <cols>
    <col min="1" max="1" width="15.42578125" style="23" bestFit="1" customWidth="1"/>
    <col min="2" max="2" width="21.5703125" style="21" bestFit="1" customWidth="1"/>
    <col min="3" max="3" width="12.42578125" style="21" bestFit="1" customWidth="1"/>
    <col min="4" max="4" width="21.5703125" style="21" bestFit="1" customWidth="1"/>
    <col min="5" max="5" width="11.140625" style="21" bestFit="1" customWidth="1"/>
    <col min="6" max="10" width="8.7109375" style="21"/>
    <col min="11" max="11" width="18.28515625" style="21" bestFit="1" customWidth="1"/>
    <col min="12" max="16384" width="8.7109375" style="21"/>
  </cols>
  <sheetData>
    <row r="1" spans="1:5" ht="28.5" customHeight="1" thickBot="1">
      <c r="A1" s="108" t="s">
        <v>60</v>
      </c>
      <c r="B1" s="109"/>
      <c r="C1" s="109"/>
      <c r="D1" s="109"/>
      <c r="E1" s="110"/>
    </row>
    <row r="2" spans="1:5" ht="19.5" thickBot="1">
      <c r="A2" s="26" t="s">
        <v>1</v>
      </c>
      <c r="B2" s="111"/>
      <c r="C2" s="112"/>
      <c r="D2" s="112"/>
      <c r="E2" s="113"/>
    </row>
    <row r="3" spans="1:5" ht="18.75">
      <c r="A3" s="27"/>
      <c r="B3" s="28" t="s">
        <v>61</v>
      </c>
      <c r="C3" s="28" t="s">
        <v>36</v>
      </c>
      <c r="D3" s="92" t="s">
        <v>62</v>
      </c>
      <c r="E3" s="29" t="s">
        <v>36</v>
      </c>
    </row>
    <row r="4" spans="1:5" ht="30">
      <c r="A4" s="45" t="s">
        <v>41</v>
      </c>
      <c r="B4" s="118">
        <v>53462</v>
      </c>
      <c r="C4" s="83">
        <v>0</v>
      </c>
      <c r="D4" s="119">
        <v>492556</v>
      </c>
      <c r="E4" s="88">
        <v>0</v>
      </c>
    </row>
    <row r="5" spans="1:5" ht="30">
      <c r="A5" s="45">
        <v>44075</v>
      </c>
      <c r="B5" s="118">
        <v>53482</v>
      </c>
      <c r="C5" s="84">
        <f>(IF((B5-B4)&lt;0,"0",(B5-B4)))*10</f>
        <v>200</v>
      </c>
      <c r="D5" s="119">
        <v>493004</v>
      </c>
      <c r="E5" s="88">
        <f>E8</f>
        <v>421</v>
      </c>
    </row>
    <row r="6" spans="1:5" ht="26.25">
      <c r="A6" s="45">
        <v>44076</v>
      </c>
      <c r="B6" s="117">
        <v>53504</v>
      </c>
      <c r="C6" s="84">
        <f t="shared" ref="C6:C33" si="0">(IF((B6-B5)&lt;0,"0",(B6-B5)))*10</f>
        <v>220</v>
      </c>
      <c r="D6" s="120">
        <v>493459</v>
      </c>
      <c r="E6" s="88">
        <f>E7</f>
        <v>430</v>
      </c>
    </row>
    <row r="7" spans="1:5" ht="26.25">
      <c r="A7" s="45">
        <v>44077</v>
      </c>
      <c r="B7" s="117">
        <v>53523</v>
      </c>
      <c r="C7" s="84">
        <f t="shared" si="0"/>
        <v>190</v>
      </c>
      <c r="D7" s="120">
        <v>493889</v>
      </c>
      <c r="E7" s="88">
        <f t="shared" ref="E7:E33" si="1">(IF((D7-D6)&lt;0,"0",(D7-D6)))</f>
        <v>430</v>
      </c>
    </row>
    <row r="8" spans="1:5" ht="26.25">
      <c r="A8" s="45">
        <v>44078</v>
      </c>
      <c r="B8" s="117">
        <v>53544</v>
      </c>
      <c r="C8" s="84">
        <f t="shared" si="0"/>
        <v>210</v>
      </c>
      <c r="D8" s="120">
        <v>494310</v>
      </c>
      <c r="E8" s="88">
        <f t="shared" si="1"/>
        <v>421</v>
      </c>
    </row>
    <row r="9" spans="1:5" ht="26.25">
      <c r="A9" s="45">
        <v>44079</v>
      </c>
      <c r="B9" s="117">
        <v>53563</v>
      </c>
      <c r="C9" s="84">
        <f t="shared" si="0"/>
        <v>190</v>
      </c>
      <c r="D9" s="120">
        <v>494730</v>
      </c>
      <c r="E9" s="88">
        <f t="shared" si="1"/>
        <v>420</v>
      </c>
    </row>
    <row r="10" spans="1:5" ht="26.25">
      <c r="A10" s="45">
        <v>44080</v>
      </c>
      <c r="B10" s="117">
        <v>53581</v>
      </c>
      <c r="C10" s="84">
        <f t="shared" si="0"/>
        <v>180</v>
      </c>
      <c r="D10" s="120">
        <v>495176</v>
      </c>
      <c r="E10" s="88">
        <f t="shared" si="1"/>
        <v>446</v>
      </c>
    </row>
    <row r="11" spans="1:5" ht="26.25">
      <c r="A11" s="45">
        <v>44081</v>
      </c>
      <c r="B11" s="117">
        <v>53607</v>
      </c>
      <c r="C11" s="84">
        <f t="shared" si="0"/>
        <v>260</v>
      </c>
      <c r="D11" s="120">
        <v>495606</v>
      </c>
      <c r="E11" s="88">
        <f t="shared" si="1"/>
        <v>430</v>
      </c>
    </row>
    <row r="12" spans="1:5" ht="26.25">
      <c r="A12" s="45">
        <v>44082</v>
      </c>
      <c r="B12" s="117">
        <v>53627</v>
      </c>
      <c r="C12" s="84">
        <f t="shared" si="0"/>
        <v>200</v>
      </c>
      <c r="D12" s="120">
        <v>495943</v>
      </c>
      <c r="E12" s="88">
        <f t="shared" si="1"/>
        <v>337</v>
      </c>
    </row>
    <row r="13" spans="1:5" ht="26.25">
      <c r="A13" s="45">
        <v>44083</v>
      </c>
      <c r="B13" s="117">
        <v>53646</v>
      </c>
      <c r="C13" s="84">
        <f t="shared" si="0"/>
        <v>190</v>
      </c>
      <c r="D13" s="120">
        <v>496389</v>
      </c>
      <c r="E13" s="88">
        <f t="shared" si="1"/>
        <v>446</v>
      </c>
    </row>
    <row r="14" spans="1:5" ht="26.25">
      <c r="A14" s="45">
        <v>44084</v>
      </c>
      <c r="B14" s="117">
        <v>53669</v>
      </c>
      <c r="C14" s="84">
        <f t="shared" si="0"/>
        <v>230</v>
      </c>
      <c r="D14" s="120">
        <v>496843</v>
      </c>
      <c r="E14" s="88">
        <f t="shared" si="1"/>
        <v>454</v>
      </c>
    </row>
    <row r="15" spans="1:5" ht="26.25">
      <c r="A15" s="45">
        <v>44085</v>
      </c>
      <c r="B15" s="117">
        <v>53691</v>
      </c>
      <c r="C15" s="84">
        <f t="shared" si="0"/>
        <v>220</v>
      </c>
      <c r="D15" s="120">
        <v>497263</v>
      </c>
      <c r="E15" s="88">
        <f t="shared" si="1"/>
        <v>420</v>
      </c>
    </row>
    <row r="16" spans="1:5" ht="26.25">
      <c r="A16" s="45">
        <v>44086</v>
      </c>
      <c r="B16" s="117">
        <v>53710</v>
      </c>
      <c r="C16" s="84">
        <f t="shared" si="0"/>
        <v>190</v>
      </c>
      <c r="D16" s="120">
        <v>497690</v>
      </c>
      <c r="E16" s="89">
        <f t="shared" si="1"/>
        <v>427</v>
      </c>
    </row>
    <row r="17" spans="1:11" ht="26.25">
      <c r="A17" s="45">
        <v>44087</v>
      </c>
      <c r="B17" s="117">
        <v>53732</v>
      </c>
      <c r="C17" s="84">
        <f t="shared" si="0"/>
        <v>220</v>
      </c>
      <c r="D17" s="120">
        <v>498256</v>
      </c>
      <c r="E17" s="91">
        <f t="shared" si="1"/>
        <v>566</v>
      </c>
    </row>
    <row r="18" spans="1:11" ht="26.25">
      <c r="A18" s="45">
        <v>44088</v>
      </c>
      <c r="B18" s="117">
        <v>53751</v>
      </c>
      <c r="C18" s="84">
        <f t="shared" si="0"/>
        <v>190</v>
      </c>
      <c r="D18" s="120">
        <v>498495</v>
      </c>
      <c r="E18" s="88">
        <f t="shared" si="1"/>
        <v>239</v>
      </c>
    </row>
    <row r="19" spans="1:11" ht="26.25">
      <c r="A19" s="45">
        <v>44089</v>
      </c>
      <c r="B19" s="117">
        <v>53768</v>
      </c>
      <c r="C19" s="84">
        <f t="shared" si="0"/>
        <v>170</v>
      </c>
      <c r="D19" s="120">
        <v>498898</v>
      </c>
      <c r="E19" s="88">
        <f t="shared" si="1"/>
        <v>403</v>
      </c>
    </row>
    <row r="20" spans="1:11" ht="26.25">
      <c r="A20" s="45">
        <v>44090</v>
      </c>
      <c r="B20" s="117">
        <v>53787</v>
      </c>
      <c r="C20" s="84">
        <f t="shared" si="0"/>
        <v>190</v>
      </c>
      <c r="D20" s="120">
        <v>499303</v>
      </c>
      <c r="E20" s="88">
        <f t="shared" si="1"/>
        <v>405</v>
      </c>
    </row>
    <row r="21" spans="1:11" ht="26.25">
      <c r="A21" s="45">
        <v>44091</v>
      </c>
      <c r="B21" s="117">
        <v>53805</v>
      </c>
      <c r="C21" s="84">
        <f t="shared" si="0"/>
        <v>180</v>
      </c>
      <c r="D21" s="120">
        <v>499706</v>
      </c>
      <c r="E21" s="88">
        <f t="shared" si="1"/>
        <v>403</v>
      </c>
    </row>
    <row r="22" spans="1:11" ht="26.25">
      <c r="A22" s="45">
        <v>44092</v>
      </c>
      <c r="B22" s="117">
        <v>53828</v>
      </c>
      <c r="C22" s="84">
        <f t="shared" si="0"/>
        <v>230</v>
      </c>
      <c r="D22" s="120">
        <v>500099</v>
      </c>
      <c r="E22" s="88">
        <f t="shared" si="1"/>
        <v>393</v>
      </c>
    </row>
    <row r="23" spans="1:11" ht="26.25">
      <c r="A23" s="45">
        <v>44093</v>
      </c>
      <c r="B23" s="117">
        <v>53850</v>
      </c>
      <c r="C23" s="84">
        <f t="shared" si="0"/>
        <v>220</v>
      </c>
      <c r="D23" s="120">
        <v>500671</v>
      </c>
      <c r="E23" s="88">
        <f t="shared" si="1"/>
        <v>572</v>
      </c>
    </row>
    <row r="24" spans="1:11" ht="26.25">
      <c r="A24" s="45">
        <v>44094</v>
      </c>
      <c r="B24" s="117">
        <v>53869</v>
      </c>
      <c r="C24" s="84">
        <f t="shared" si="0"/>
        <v>190</v>
      </c>
      <c r="D24" s="120">
        <v>501071</v>
      </c>
      <c r="E24" s="88">
        <f t="shared" si="1"/>
        <v>400</v>
      </c>
    </row>
    <row r="25" spans="1:11" ht="26.25">
      <c r="A25" s="45">
        <v>44095</v>
      </c>
      <c r="B25" s="117">
        <v>53885</v>
      </c>
      <c r="C25" s="84">
        <f t="shared" si="0"/>
        <v>160</v>
      </c>
      <c r="D25" s="120">
        <v>501462</v>
      </c>
      <c r="E25" s="88">
        <f t="shared" si="1"/>
        <v>391</v>
      </c>
    </row>
    <row r="26" spans="1:11" ht="27.75">
      <c r="A26" s="45">
        <v>44096</v>
      </c>
      <c r="B26" s="117">
        <v>53901</v>
      </c>
      <c r="C26" s="84">
        <f t="shared" si="0"/>
        <v>160</v>
      </c>
      <c r="D26" s="121">
        <v>501907</v>
      </c>
      <c r="E26" s="88">
        <f t="shared" si="1"/>
        <v>445</v>
      </c>
    </row>
    <row r="27" spans="1:11" ht="26.25">
      <c r="A27" s="45">
        <v>44097</v>
      </c>
      <c r="B27" s="117">
        <v>53918</v>
      </c>
      <c r="C27" s="84">
        <f t="shared" si="0"/>
        <v>170</v>
      </c>
      <c r="D27" s="120">
        <v>502345</v>
      </c>
      <c r="E27" s="88">
        <f t="shared" si="1"/>
        <v>438</v>
      </c>
      <c r="K27" s="22"/>
    </row>
    <row r="28" spans="1:11" ht="26.25">
      <c r="A28" s="45">
        <v>44098</v>
      </c>
      <c r="B28" s="117">
        <v>53939</v>
      </c>
      <c r="C28" s="84">
        <f t="shared" si="0"/>
        <v>210</v>
      </c>
      <c r="D28" s="120">
        <v>502731</v>
      </c>
      <c r="E28" s="88">
        <f t="shared" si="1"/>
        <v>386</v>
      </c>
    </row>
    <row r="29" spans="1:11" ht="26.25">
      <c r="A29" s="45">
        <v>44099</v>
      </c>
      <c r="B29" s="117">
        <v>53964</v>
      </c>
      <c r="C29" s="84">
        <f t="shared" si="0"/>
        <v>250</v>
      </c>
      <c r="D29" s="120">
        <v>503169</v>
      </c>
      <c r="E29" s="88">
        <f t="shared" si="1"/>
        <v>438</v>
      </c>
    </row>
    <row r="30" spans="1:11" ht="26.25">
      <c r="A30" s="45">
        <v>44100</v>
      </c>
      <c r="B30" s="117">
        <v>53981</v>
      </c>
      <c r="C30" s="84">
        <f t="shared" si="0"/>
        <v>170</v>
      </c>
      <c r="D30" s="120">
        <v>503565</v>
      </c>
      <c r="E30" s="88">
        <f t="shared" si="1"/>
        <v>396</v>
      </c>
    </row>
    <row r="31" spans="1:11" ht="27">
      <c r="A31" s="45">
        <v>44101</v>
      </c>
      <c r="B31" s="117">
        <v>53996</v>
      </c>
      <c r="C31" s="84">
        <f t="shared" si="0"/>
        <v>150</v>
      </c>
      <c r="D31" s="122">
        <v>503988</v>
      </c>
      <c r="E31" s="88">
        <f t="shared" si="1"/>
        <v>423</v>
      </c>
    </row>
    <row r="32" spans="1:11" ht="27">
      <c r="A32" s="45">
        <v>44102</v>
      </c>
      <c r="B32" s="117">
        <v>54013</v>
      </c>
      <c r="C32" s="84">
        <f t="shared" si="0"/>
        <v>170</v>
      </c>
      <c r="D32" s="122">
        <v>504405</v>
      </c>
      <c r="E32" s="88">
        <f t="shared" si="1"/>
        <v>417</v>
      </c>
    </row>
    <row r="33" spans="1:5" ht="27">
      <c r="A33" s="45">
        <v>44103</v>
      </c>
      <c r="B33" s="117">
        <v>54029</v>
      </c>
      <c r="C33" s="84">
        <f t="shared" si="0"/>
        <v>160</v>
      </c>
      <c r="D33" s="122">
        <v>504829</v>
      </c>
      <c r="E33" s="88">
        <f t="shared" si="1"/>
        <v>424</v>
      </c>
    </row>
    <row r="34" spans="1:5" ht="27">
      <c r="A34" s="45">
        <v>44104</v>
      </c>
      <c r="B34" s="117">
        <v>54045</v>
      </c>
      <c r="C34" s="84">
        <f>(IF((B34-B32)&lt;0,"0",(B34-B32)))*10</f>
        <v>320</v>
      </c>
      <c r="D34" s="122">
        <v>505187</v>
      </c>
      <c r="E34" s="89">
        <f>(IF((D34-D32)&lt;0,"0",(D34-D32)))</f>
        <v>782</v>
      </c>
    </row>
    <row r="35" spans="1:5" ht="27">
      <c r="A35" s="85" t="s">
        <v>39</v>
      </c>
      <c r="B35" s="86"/>
      <c r="C35" s="46">
        <f>SUM(C5:C34)</f>
        <v>5990</v>
      </c>
      <c r="D35" s="87"/>
      <c r="E35" s="90">
        <f>SUM(E5:E34)</f>
        <v>13003</v>
      </c>
    </row>
  </sheetData>
  <mergeCells count="2">
    <mergeCell ref="A1:E1"/>
    <mergeCell ref="B2:E2"/>
  </mergeCells>
  <phoneticPr fontId="0" type="noConversion"/>
  <conditionalFormatting sqref="B35 E4:E33 D35 C4:C33">
    <cfRule type="cellIs" dxfId="11" priority="126" stopIfTrue="1" operator="lessThan">
      <formula>0</formula>
    </cfRule>
  </conditionalFormatting>
  <conditionalFormatting sqref="D35">
    <cfRule type="cellIs" dxfId="10" priority="124" stopIfTrue="1" operator="lessThan">
      <formula>0</formula>
    </cfRule>
  </conditionalFormatting>
  <conditionalFormatting sqref="C34 E34">
    <cfRule type="cellIs" dxfId="9" priority="18" stopIfTrue="1" operator="lessThan">
      <formula>0</formula>
    </cfRule>
  </conditionalFormatting>
  <conditionalFormatting sqref="B7 B9 B11:B34">
    <cfRule type="cellIs" dxfId="8" priority="9" stopIfTrue="1" operator="lessThan">
      <formula>0</formula>
    </cfRule>
  </conditionalFormatting>
  <conditionalFormatting sqref="B6 B8 B10">
    <cfRule type="cellIs" dxfId="7" priority="8" stopIfTrue="1" operator="lessThan">
      <formula>0</formula>
    </cfRule>
  </conditionalFormatting>
  <conditionalFormatting sqref="B4">
    <cfRule type="cellIs" dxfId="6" priority="7" stopIfTrue="1" operator="lessThan">
      <formula>0</formula>
    </cfRule>
  </conditionalFormatting>
  <conditionalFormatting sqref="B5">
    <cfRule type="cellIs" dxfId="5" priority="6" stopIfTrue="1" operator="lessThan">
      <formula>0</formula>
    </cfRule>
  </conditionalFormatting>
  <conditionalFormatting sqref="D31:D34">
    <cfRule type="cellIs" dxfId="4" priority="5" stopIfTrue="1" operator="lessThan">
      <formula>0</formula>
    </cfRule>
  </conditionalFormatting>
  <conditionalFormatting sqref="D12:D30">
    <cfRule type="cellIs" dxfId="3" priority="4" stopIfTrue="1" operator="lessThan">
      <formula>0</formula>
    </cfRule>
  </conditionalFormatting>
  <conditionalFormatting sqref="D6:D11">
    <cfRule type="cellIs" dxfId="2" priority="3" stopIfTrue="1" operator="lessThan">
      <formula>0</formula>
    </cfRule>
  </conditionalFormatting>
  <conditionalFormatting sqref="D4">
    <cfRule type="cellIs" dxfId="1" priority="2" stopIfTrue="1" operator="lessThan">
      <formula>0</formula>
    </cfRule>
  </conditionalFormatting>
  <conditionalFormatting sqref="D5">
    <cfRule type="cellIs" dxfId="0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E8F16D-5C42-4180-9B0B-83F2994007E9}"/>
</file>

<file path=customXml/itemProps2.xml><?xml version="1.0" encoding="utf-8"?>
<ds:datastoreItem xmlns:ds="http://schemas.openxmlformats.org/officeDocument/2006/customXml" ds:itemID="{138878A3-2814-458C-B89B-16D1CB8AEAAC}"/>
</file>

<file path=customXml/itemProps3.xml><?xml version="1.0" encoding="utf-8"?>
<ds:datastoreItem xmlns:ds="http://schemas.openxmlformats.org/officeDocument/2006/customXml" ds:itemID="{C83214AD-AA7B-424D-ABB1-1630124B74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2020-11-18T13:51:45Z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0x0101009B6F3ED90E2271449ABAC186C6BA6802</vt:lpwstr>
  </property>
</Properties>
</file>