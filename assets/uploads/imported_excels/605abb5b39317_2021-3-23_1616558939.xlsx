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19" i="2"/>
  <c r="I27" i="2"/>
  <c r="I31" i="2"/>
  <c r="G8" i="2"/>
  <c r="G28" i="2"/>
  <c r="G32" i="2"/>
  <c r="E9" i="2"/>
  <c r="E2" i="2"/>
  <c r="K5" i="3"/>
  <c r="K6" i="3"/>
  <c r="I4" i="2" s="1"/>
  <c r="K7" i="3"/>
  <c r="I5" i="2" s="1"/>
  <c r="K8" i="3"/>
  <c r="I6" i="2" s="1"/>
  <c r="K9" i="3"/>
  <c r="I7" i="2" s="1"/>
  <c r="K10" i="3"/>
  <c r="I8" i="2" s="1"/>
  <c r="K11" i="3"/>
  <c r="I9" i="2" s="1"/>
  <c r="K12" i="3"/>
  <c r="I10" i="2" s="1"/>
  <c r="K13" i="3"/>
  <c r="I11" i="2" s="1"/>
  <c r="K14" i="3"/>
  <c r="I12" i="2" s="1"/>
  <c r="K15" i="3"/>
  <c r="I13" i="2" s="1"/>
  <c r="K16" i="3"/>
  <c r="I14" i="2" s="1"/>
  <c r="K17" i="3"/>
  <c r="I15" i="2" s="1"/>
  <c r="K18" i="3"/>
  <c r="I16" i="2" s="1"/>
  <c r="K19" i="3"/>
  <c r="I17" i="2" s="1"/>
  <c r="K20" i="3"/>
  <c r="I18" i="2" s="1"/>
  <c r="K21" i="3"/>
  <c r="K22" i="3"/>
  <c r="I20" i="2" s="1"/>
  <c r="K23" i="3"/>
  <c r="I21" i="2" s="1"/>
  <c r="K24" i="3"/>
  <c r="I22" i="2" s="1"/>
  <c r="K25" i="3"/>
  <c r="I23" i="2" s="1"/>
  <c r="K26" i="3"/>
  <c r="I24" i="2" s="1"/>
  <c r="K27" i="3"/>
  <c r="I25" i="2" s="1"/>
  <c r="K28" i="3"/>
  <c r="I26" i="2" s="1"/>
  <c r="K29" i="3"/>
  <c r="K30" i="3"/>
  <c r="I28" i="2" s="1"/>
  <c r="K31" i="3"/>
  <c r="I29" i="2" s="1"/>
  <c r="K32" i="3"/>
  <c r="I30" i="2" s="1"/>
  <c r="K33" i="3"/>
  <c r="K34" i="3"/>
  <c r="I32" i="2" s="1"/>
  <c r="K4" i="3"/>
  <c r="I2" i="2" s="1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H12" i="3"/>
  <c r="I12" i="3" s="1"/>
  <c r="E10" i="2" s="1"/>
  <c r="H13" i="3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H32" i="3"/>
  <c r="I32" i="3" s="1"/>
  <c r="E30" i="2" s="1"/>
  <c r="H33" i="3"/>
  <c r="I33" i="3" s="1"/>
  <c r="E31" i="2" s="1"/>
  <c r="H34" i="3"/>
  <c r="I34" i="3" s="1"/>
  <c r="E32" i="2" s="1"/>
  <c r="I11" i="3"/>
  <c r="I13" i="3"/>
  <c r="E11" i="2" s="1"/>
  <c r="I19" i="3"/>
  <c r="E17" i="2" s="1"/>
  <c r="I31" i="3"/>
  <c r="E29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<sst xmlns="http://schemas.openxmlformats.org/spreadsheetml/2006/main" count="62" uniqueCount="27">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</sst>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8" xfId="0" applyNumberFormat="1" applyFont="1" applyBorder="1" applyAlignment="1">
      <alignment horizontal="center"/>
    </xf>
    <xf numFmtId="1" fontId="0" fillId="0" borderId="19" xfId="0" applyNumberFormat="1" applyFont="1" applyBorder="1" applyAlignment="1">
      <alignment horizontal="center"/>
    </xf>
    <xf numFmtId="166" fontId="2" fillId="2" borderId="17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4" xfId="0" applyNumberFormat="1" applyFont="1" applyBorder="1" applyAlignment="1">
      <alignment horizontal="center" vertical="center"/>
    </xf>
    <xf numFmtId="164" fontId="0" fillId="4" borderId="13" xfId="0" applyNumberFormat="1" applyFont="1" applyFill="1" applyBorder="1" applyAlignment="1">
      <alignment horizontal="center" vertical="center"/>
    </xf>
    <xf numFmtId="164" fontId="0" fillId="4" borderId="2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2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C24" sqref="C24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1</v>
      </c>
      <c r="D2" s="6">
        <v>2021</v>
      </c>
      <c r="E2" s="8">
        <f>'FSRW Meter Readings'!I4</f>
        <v>14400</v>
      </c>
      <c r="F2" s="9">
        <v>0.06</v>
      </c>
      <c r="G2" s="8">
        <f>'FSRW Meter Readings'!F4</f>
        <v>3139.1099999999997</v>
      </c>
      <c r="H2" s="9">
        <v>0.4</v>
      </c>
      <c r="I2" s="8">
        <f>'FSRW Meter Readings'!K4</f>
        <v>0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1</v>
      </c>
      <c r="D3" s="6">
        <v>2021</v>
      </c>
      <c r="E3" s="8">
        <f>'FSRW Meter Readings'!I5</f>
        <v>14400</v>
      </c>
      <c r="F3" s="9">
        <v>0.06</v>
      </c>
      <c r="G3" s="8">
        <f>'FSRW Meter Readings'!F5</f>
        <v>2495.19</v>
      </c>
      <c r="H3" s="9">
        <v>0.4</v>
      </c>
      <c r="I3" s="8">
        <f>'FSRW Meter Readings'!K5</f>
        <v>0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1</v>
      </c>
      <c r="D4" s="6">
        <v>2021</v>
      </c>
      <c r="E4" s="8">
        <f>'FSRW Meter Readings'!I6</f>
        <v>18000</v>
      </c>
      <c r="F4" s="9">
        <v>0.06</v>
      </c>
      <c r="G4" s="8">
        <f>'FSRW Meter Readings'!F6</f>
        <v>3380.58</v>
      </c>
      <c r="H4" s="9">
        <v>0.4</v>
      </c>
      <c r="I4" s="8">
        <f>'FSRW Meter Readings'!K6</f>
        <v>0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1</v>
      </c>
      <c r="D5" s="6">
        <v>2021</v>
      </c>
      <c r="E5" s="8">
        <f>'FSRW Meter Readings'!I7</f>
        <v>14400</v>
      </c>
      <c r="F5" s="9">
        <v>0.06</v>
      </c>
      <c r="G5" s="8">
        <f>'FSRW Meter Readings'!F7</f>
        <v>2575.6799999999998</v>
      </c>
      <c r="H5" s="9">
        <v>0.4</v>
      </c>
      <c r="I5" s="8">
        <f>'FSRW Meter Readings'!K7</f>
        <v>0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1</v>
      </c>
      <c r="D6" s="6">
        <v>2021</v>
      </c>
      <c r="E6" s="8">
        <f>'FSRW Meter Readings'!I8</f>
        <v>14400</v>
      </c>
      <c r="F6" s="9">
        <v>0.06</v>
      </c>
      <c r="G6" s="8">
        <f>'FSRW Meter Readings'!F8</f>
        <v>3004.96</v>
      </c>
      <c r="H6" s="9">
        <v>0.4</v>
      </c>
      <c r="I6" s="8">
        <f>'FSRW Meter Readings'!K8</f>
        <v>0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1</v>
      </c>
      <c r="D7" s="6">
        <v>2021</v>
      </c>
      <c r="E7" s="8">
        <f>'FSRW Meter Readings'!I9</f>
        <v>16800</v>
      </c>
      <c r="F7" s="9">
        <v>0.06</v>
      </c>
      <c r="G7" s="8">
        <f>'FSRW Meter Readings'!F9</f>
        <v>3139.1099999999997</v>
      </c>
      <c r="H7" s="9">
        <v>0.4</v>
      </c>
      <c r="I7" s="8">
        <f>'FSRW Meter Readings'!K9</f>
        <v>0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1</v>
      </c>
      <c r="D8" s="6">
        <v>2021</v>
      </c>
      <c r="E8" s="8">
        <f>'FSRW Meter Readings'!I10</f>
        <v>16800</v>
      </c>
      <c r="F8" s="9">
        <v>0.06</v>
      </c>
      <c r="G8" s="8">
        <f>'FSRW Meter Readings'!F10</f>
        <v>3058.62</v>
      </c>
      <c r="H8" s="9">
        <v>0.4</v>
      </c>
      <c r="I8" s="8">
        <f>'FSRW Meter Readings'!K10</f>
        <v>0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1</v>
      </c>
      <c r="D9" s="6">
        <v>2021</v>
      </c>
      <c r="E9" s="8">
        <f>'FSRW Meter Readings'!I11</f>
        <v>22800</v>
      </c>
      <c r="F9" s="9">
        <v>0.06</v>
      </c>
      <c r="G9" s="8">
        <f>'FSRW Meter Readings'!F11</f>
        <v>4641.59</v>
      </c>
      <c r="H9" s="9">
        <v>0.4</v>
      </c>
      <c r="I9" s="8">
        <f>'FSRW Meter Readings'!K11</f>
        <v>0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1</v>
      </c>
      <c r="D10" s="6">
        <v>2021</v>
      </c>
      <c r="E10" s="8">
        <f>'FSRW Meter Readings'!I12</f>
        <v>10800</v>
      </c>
      <c r="F10" s="9">
        <v>0.06</v>
      </c>
      <c r="G10" s="8">
        <f>'FSRW Meter Readings'!F12</f>
        <v>2039.08</v>
      </c>
      <c r="H10" s="9">
        <v>0.4</v>
      </c>
      <c r="I10" s="8">
        <f>'FSRW Meter Readings'!K12</f>
        <v>0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1</v>
      </c>
      <c r="D11" s="6">
        <v>2021</v>
      </c>
      <c r="E11" s="8">
        <f>'FSRW Meter Readings'!I13</f>
        <v>16800</v>
      </c>
      <c r="F11" s="9">
        <v>0.06</v>
      </c>
      <c r="G11" s="8">
        <f>'FSRW Meter Readings'!F13</f>
        <v>3165.9399999999996</v>
      </c>
      <c r="H11" s="9">
        <v>0.4</v>
      </c>
      <c r="I11" s="8">
        <f>'FSRW Meter Readings'!K13</f>
        <v>0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1</v>
      </c>
      <c r="D12" s="6">
        <v>2021</v>
      </c>
      <c r="E12" s="8">
        <f>'FSRW Meter Readings'!I14</f>
        <v>15600</v>
      </c>
      <c r="F12" s="9">
        <v>0.06</v>
      </c>
      <c r="G12" s="8">
        <f>'FSRW Meter Readings'!F14</f>
        <v>2683</v>
      </c>
      <c r="H12" s="9">
        <v>0.4</v>
      </c>
      <c r="I12" s="8">
        <f>'FSRW Meter Readings'!K14</f>
        <v>0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1</v>
      </c>
      <c r="D13" s="6">
        <v>2021</v>
      </c>
      <c r="E13" s="8">
        <f>'FSRW Meter Readings'!I15</f>
        <v>13200</v>
      </c>
      <c r="F13" s="9">
        <v>0.06</v>
      </c>
      <c r="G13" s="8">
        <f>'FSRW Meter Readings'!F15</f>
        <v>2226.89</v>
      </c>
      <c r="H13" s="9">
        <v>0.4</v>
      </c>
      <c r="I13" s="8">
        <f>'FSRW Meter Readings'!K15</f>
        <v>0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1</v>
      </c>
      <c r="D14" s="6">
        <v>2021</v>
      </c>
      <c r="E14" s="8">
        <f>'FSRW Meter Readings'!I16</f>
        <v>15600</v>
      </c>
      <c r="F14" s="9">
        <v>0.06</v>
      </c>
      <c r="G14" s="8">
        <f>'FSRW Meter Readings'!F16</f>
        <v>2683</v>
      </c>
      <c r="H14" s="9">
        <v>0.4</v>
      </c>
      <c r="I14" s="8">
        <f>'FSRW Meter Readings'!K16</f>
        <v>0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1</v>
      </c>
      <c r="D15" s="6">
        <v>2021</v>
      </c>
      <c r="E15" s="8">
        <f>'FSRW Meter Readings'!I17</f>
        <v>15600</v>
      </c>
      <c r="F15" s="9">
        <v>0.06</v>
      </c>
      <c r="G15" s="8">
        <f>'FSRW Meter Readings'!F17</f>
        <v>2897.64</v>
      </c>
      <c r="H15" s="9">
        <v>0.4</v>
      </c>
      <c r="I15" s="8">
        <f>'FSRW Meter Readings'!K17</f>
        <v>0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1</v>
      </c>
      <c r="D16" s="6">
        <v>2021</v>
      </c>
      <c r="E16" s="8">
        <f>'FSRW Meter Readings'!I18</f>
        <v>20400</v>
      </c>
      <c r="F16" s="9">
        <v>0.06</v>
      </c>
      <c r="G16" s="8">
        <f>'FSRW Meter Readings'!F18</f>
        <v>3756.2</v>
      </c>
      <c r="H16" s="9">
        <v>0.4</v>
      </c>
      <c r="I16" s="8">
        <f>'FSRW Meter Readings'!K18</f>
        <v>0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1</v>
      </c>
      <c r="D17" s="6">
        <v>2021</v>
      </c>
      <c r="E17" s="8">
        <f>'FSRW Meter Readings'!I19</f>
        <v>13200</v>
      </c>
      <c r="F17" s="9">
        <v>0.06</v>
      </c>
      <c r="G17" s="8">
        <f>'FSRW Meter Readings'!F19</f>
        <v>2065.91</v>
      </c>
      <c r="H17" s="9">
        <v>0.4</v>
      </c>
      <c r="I17" s="8">
        <f>'FSRW Meter Readings'!K19</f>
        <v>0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1</v>
      </c>
      <c r="D18" s="6">
        <v>2021</v>
      </c>
      <c r="E18" s="8">
        <f>'FSRW Meter Readings'!I20</f>
        <v>15600</v>
      </c>
      <c r="F18" s="9">
        <v>0.06</v>
      </c>
      <c r="G18" s="8">
        <f>'FSRW Meter Readings'!F20</f>
        <v>2790.3199999999997</v>
      </c>
      <c r="H18" s="9">
        <v>0.4</v>
      </c>
      <c r="I18" s="8">
        <f>'FSRW Meter Readings'!K20</f>
        <v>0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1</v>
      </c>
      <c r="D19" s="6">
        <v>2021</v>
      </c>
      <c r="E19" s="8">
        <f>'FSRW Meter Readings'!I21</f>
        <v>15600</v>
      </c>
      <c r="F19" s="9">
        <v>0.06</v>
      </c>
      <c r="G19" s="8">
        <f>'FSRW Meter Readings'!F21</f>
        <v>2629.3399999999997</v>
      </c>
      <c r="H19" s="9">
        <v>0.4</v>
      </c>
      <c r="I19" s="8">
        <f>'FSRW Meter Readings'!K21</f>
        <v>0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1</v>
      </c>
      <c r="D20" s="6">
        <v>2021</v>
      </c>
      <c r="E20" s="8">
        <f>'FSRW Meter Readings'!I22</f>
        <v>13200</v>
      </c>
      <c r="F20" s="9">
        <v>0.06</v>
      </c>
      <c r="G20" s="8">
        <f>'FSRW Meter Readings'!F22</f>
        <v>2253.7199999999998</v>
      </c>
      <c r="H20" s="9">
        <v>0.4</v>
      </c>
      <c r="I20" s="8">
        <f>'FSRW Meter Readings'!K22</f>
        <v>0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1</v>
      </c>
      <c r="D21" s="6">
        <v>2021</v>
      </c>
      <c r="E21" s="8">
        <f>'FSRW Meter Readings'!I23</f>
        <v>19200</v>
      </c>
      <c r="F21" s="9">
        <v>0.06</v>
      </c>
      <c r="G21" s="8">
        <f>'FSRW Meter Readings'!F23</f>
        <v>2763.49</v>
      </c>
      <c r="H21" s="9">
        <v>0.4</v>
      </c>
      <c r="I21" s="8">
        <f>'FSRW Meter Readings'!K23</f>
        <v>0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1</v>
      </c>
      <c r="D22" s="6">
        <v>2021</v>
      </c>
      <c r="E22" s="8">
        <f>'FSRW Meter Readings'!I24</f>
        <v>12000</v>
      </c>
      <c r="F22" s="9">
        <v>0.06</v>
      </c>
      <c r="G22" s="8">
        <f>'FSRW Meter Readings'!F24</f>
        <v>2736.66</v>
      </c>
      <c r="H22" s="9">
        <v>0.4</v>
      </c>
      <c r="I22" s="8">
        <f>'FSRW Meter Readings'!K24</f>
        <v>0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1</v>
      </c>
      <c r="D23" s="6">
        <v>2021</v>
      </c>
      <c r="E23" s="8">
        <f>'FSRW Meter Readings'!I25</f>
        <v>16800</v>
      </c>
      <c r="F23" s="9">
        <v>0.06</v>
      </c>
      <c r="G23" s="8">
        <f>'FSRW Meter Readings'!F25</f>
        <v>3461.0699999999997</v>
      </c>
      <c r="H23" s="9">
        <v>0.4</v>
      </c>
      <c r="I23" s="8">
        <f>'FSRW Meter Readings'!K25</f>
        <v>0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1</v>
      </c>
      <c r="D24" s="6">
        <v>2021</v>
      </c>
      <c r="E24" s="8">
        <f>'FSRW Meter Readings'!I26</f>
        <v>16800</v>
      </c>
      <c r="F24" s="9">
        <v>0.06</v>
      </c>
      <c r="G24" s="8">
        <f>'FSRW Meter Readings'!F26</f>
        <v>3461.0699999999997</v>
      </c>
      <c r="H24" s="9">
        <v>0.4</v>
      </c>
      <c r="I24" s="8">
        <f>'FSRW Meter Readings'!K26</f>
        <v>0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1</v>
      </c>
      <c r="D25" s="6">
        <v>2021</v>
      </c>
      <c r="E25" s="8">
        <f>'FSRW Meter Readings'!I27</f>
        <v>16800</v>
      </c>
      <c r="F25" s="9">
        <v>0.06</v>
      </c>
      <c r="G25" s="8">
        <f>'FSRW Meter Readings'!F27</f>
        <v>3595.22</v>
      </c>
      <c r="H25" s="9">
        <v>0.4</v>
      </c>
      <c r="I25" s="8">
        <f>'FSRW Meter Readings'!K27</f>
        <v>0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1</v>
      </c>
      <c r="D26" s="6">
        <v>2021</v>
      </c>
      <c r="E26" s="8">
        <f>'FSRW Meter Readings'!I28</f>
        <v>14400</v>
      </c>
      <c r="F26" s="9">
        <v>0.06</v>
      </c>
      <c r="G26" s="8">
        <f>'FSRW Meter Readings'!F28</f>
        <v>2790.3199999999997</v>
      </c>
      <c r="H26" s="9">
        <v>0.4</v>
      </c>
      <c r="I26" s="8">
        <f>'FSRW Meter Readings'!K28</f>
        <v>0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1</v>
      </c>
      <c r="D27" s="6">
        <v>2021</v>
      </c>
      <c r="E27" s="8">
        <f>'FSRW Meter Readings'!I29</f>
        <v>13200</v>
      </c>
      <c r="F27" s="9">
        <v>0.06</v>
      </c>
      <c r="G27" s="8">
        <f>'FSRW Meter Readings'!F29</f>
        <v>2387.87</v>
      </c>
      <c r="H27" s="9">
        <v>0.4</v>
      </c>
      <c r="I27" s="8">
        <f>'FSRW Meter Readings'!K29</f>
        <v>0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1</v>
      </c>
      <c r="D28" s="6">
        <v>2021</v>
      </c>
      <c r="E28" s="8">
        <f>'FSRW Meter Readings'!I30</f>
        <v>15600</v>
      </c>
      <c r="F28" s="9">
        <v>0.06</v>
      </c>
      <c r="G28" s="8">
        <f>'FSRW Meter Readings'!F30</f>
        <v>3139.1099999999997</v>
      </c>
      <c r="H28" s="9">
        <v>0.4</v>
      </c>
      <c r="I28" s="8">
        <f>'FSRW Meter Readings'!K30</f>
        <v>0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1</v>
      </c>
      <c r="D29" s="6">
        <v>2021</v>
      </c>
      <c r="E29" s="8">
        <f>'FSRW Meter Readings'!I31</f>
        <v>14400</v>
      </c>
      <c r="F29" s="9">
        <v>0.06</v>
      </c>
      <c r="G29" s="8">
        <f>'FSRW Meter Readings'!F31</f>
        <v>2763.49</v>
      </c>
      <c r="H29" s="9">
        <v>0.4</v>
      </c>
      <c r="I29" s="8">
        <f>'FSRW Meter Readings'!K31</f>
        <v>0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1</v>
      </c>
      <c r="D30" s="6">
        <v>2021</v>
      </c>
      <c r="E30" s="8">
        <f>'FSRW Meter Readings'!I32</f>
        <v>18000</v>
      </c>
      <c r="F30" s="9">
        <v>0.06</v>
      </c>
      <c r="G30" s="8">
        <f>'FSRW Meter Readings'!F32</f>
        <v>3514.7299999999996</v>
      </c>
      <c r="H30" s="9">
        <v>0.4</v>
      </c>
      <c r="I30" s="8">
        <f>'FSRW Meter Readings'!K32</f>
        <v>0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1</v>
      </c>
      <c r="D31" s="6">
        <v>2021</v>
      </c>
      <c r="E31" s="8">
        <f>'FSRW Meter Readings'!I33</f>
        <v>15600</v>
      </c>
      <c r="F31" s="9">
        <v>0.06</v>
      </c>
      <c r="G31" s="8">
        <f>'FSRW Meter Readings'!F33</f>
        <v>3139.1099999999997</v>
      </c>
      <c r="H31" s="9">
        <v>0.4</v>
      </c>
      <c r="I31" s="8">
        <f>'FSRW Meter Readings'!K33</f>
        <v>0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1</v>
      </c>
      <c r="D32" s="6">
        <v>2021</v>
      </c>
      <c r="E32" s="8">
        <f>'FSRW Meter Readings'!I34</f>
        <v>16800</v>
      </c>
      <c r="F32" s="9">
        <v>0.06</v>
      </c>
      <c r="G32" s="8">
        <f>'FSRW Meter Readings'!F34</f>
        <v>3058.62</v>
      </c>
      <c r="H32" s="9">
        <v>0.4</v>
      </c>
      <c r="I32" s="8">
        <f>'FSRW Meter Readings'!K34</f>
        <v>0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activeCell="G3" sqref="G3"/>
    </sheetView>
  </sheetViews>
  <sheetFormatPr defaultColWidth="8.85546875" defaultRowHeight="15" x14ac:dyDescent="0.25"/>
  <cols>
    <col min="1" max="1" width="16.85546875" style="31" bestFit="1" customWidth="1"/>
    <col min="2" max="3" width="15.140625" style="37" customWidth="1"/>
    <col min="4" max="4" width="13.7109375" style="18" bestFit="1" customWidth="1"/>
    <col min="5" max="5" width="12.85546875" style="15" customWidth="1"/>
    <col min="6" max="6" width="12.85546875" style="18" customWidth="1"/>
    <col min="7" max="7" width="10.5703125" style="17" bestFit="1" customWidth="1"/>
    <col min="8" max="8" width="12.85546875" style="14" customWidth="1"/>
    <col min="9" max="9" width="12.85546875" style="18" customWidth="1"/>
    <col min="10" max="10" width="11" style="17" customWidth="1"/>
    <col min="11" max="11" width="12.85546875" style="14" customWidth="1"/>
    <col min="12" max="16384" width="8.85546875" style="17"/>
  </cols>
  <sheetData>
    <row r="1" spans="1:11" ht="45" customHeight="1" thickBot="1" x14ac:dyDescent="0.3">
      <c r="A1" s="50" t="s">
        <v>16</v>
      </c>
      <c r="B1" s="52" t="s">
        <v>19</v>
      </c>
      <c r="C1" s="52" t="s">
        <v>13</v>
      </c>
      <c r="D1" s="54" t="s">
        <v>23</v>
      </c>
      <c r="E1" s="55"/>
      <c r="F1" s="56"/>
      <c r="G1" s="54" t="s">
        <v>24</v>
      </c>
      <c r="H1" s="55"/>
      <c r="I1" s="57"/>
      <c r="J1" s="58" t="s">
        <v>26</v>
      </c>
      <c r="K1" s="58"/>
    </row>
    <row r="2" spans="1:11" s="13" customFormat="1" ht="64.900000000000006" customHeight="1" thickBot="1" x14ac:dyDescent="0.3">
      <c r="A2" s="51"/>
      <c r="B2" s="53"/>
      <c r="C2" s="53"/>
      <c r="D2" s="41" t="s">
        <v>3</v>
      </c>
      <c r="E2" s="42" t="s">
        <v>21</v>
      </c>
      <c r="F2" s="42" t="s">
        <v>22</v>
      </c>
      <c r="G2" s="41" t="s">
        <v>25</v>
      </c>
      <c r="H2" s="43" t="s">
        <v>4</v>
      </c>
      <c r="I2" s="47" t="s">
        <v>5</v>
      </c>
      <c r="J2" s="41" t="s">
        <v>17</v>
      </c>
      <c r="K2" s="43" t="s">
        <v>18</v>
      </c>
    </row>
    <row r="3" spans="1:11" ht="30" customHeight="1" x14ac:dyDescent="0.25">
      <c r="A3" s="40">
        <v>44196</v>
      </c>
      <c r="B3" s="34" t="s">
        <v>20</v>
      </c>
      <c r="C3" s="34" t="s">
        <v>20</v>
      </c>
      <c r="D3" s="38">
        <v>144065</v>
      </c>
      <c r="E3" s="32"/>
      <c r="F3" s="45" t="s">
        <v>20</v>
      </c>
      <c r="G3" s="39">
        <v>44413</v>
      </c>
      <c r="H3" s="32"/>
      <c r="I3" s="48" t="s">
        <v>20</v>
      </c>
      <c r="J3" s="19"/>
      <c r="K3" s="44" t="s">
        <v>20</v>
      </c>
    </row>
    <row r="4" spans="1:11" ht="30" customHeight="1" x14ac:dyDescent="0.25">
      <c r="A4" s="40">
        <v>44197</v>
      </c>
      <c r="B4" s="34">
        <v>0</v>
      </c>
      <c r="C4" s="34">
        <v>0</v>
      </c>
      <c r="D4" s="39">
        <v>144182</v>
      </c>
      <c r="E4" s="33">
        <f>IF(D4-D3&lt;0,"0",D4-D3)</f>
        <v>117</v>
      </c>
      <c r="F4" s="46">
        <f>E4*26.83</f>
        <v>3139.1099999999997</v>
      </c>
      <c r="G4" s="39">
        <v>44425</v>
      </c>
      <c r="H4" s="33">
        <f>IF(G4-G3&lt;0,"0",G4-G3)</f>
        <v>12</v>
      </c>
      <c r="I4" s="49">
        <f>H4*1200</f>
        <v>14400</v>
      </c>
      <c r="J4" s="20"/>
      <c r="K4" s="33">
        <f>IF(J4-J3&lt;0,"0",J4-J3)</f>
        <v>0</v>
      </c>
    </row>
    <row r="5" spans="1:11" ht="30" customHeight="1" x14ac:dyDescent="0.25">
      <c r="A5" s="40">
        <v>44198</v>
      </c>
      <c r="B5" s="34">
        <v>0</v>
      </c>
      <c r="C5" s="34">
        <v>0</v>
      </c>
      <c r="D5" s="39">
        <v>144275</v>
      </c>
      <c r="E5" s="33">
        <f t="shared" ref="E5:E34" si="0">IF(D5-D4&lt;0,"0",D5-D4)</f>
        <v>93</v>
      </c>
      <c r="F5" s="46">
        <f t="shared" ref="F5:F34" si="1">E5*26.83</f>
        <v>2495.19</v>
      </c>
      <c r="G5" s="39">
        <v>44437</v>
      </c>
      <c r="H5" s="33">
        <f t="shared" ref="H5:H34" si="2">IF(G5-G4&lt;0,"0",G5-G4)</f>
        <v>12</v>
      </c>
      <c r="I5" s="49">
        <f t="shared" ref="I5:I34" si="3">H5*1200</f>
        <v>14400</v>
      </c>
      <c r="J5" s="20"/>
      <c r="K5" s="33">
        <f t="shared" ref="K5:K34" si="4">IF(J5-J4&lt;0,"0",J5-J4)</f>
        <v>0</v>
      </c>
    </row>
    <row r="6" spans="1:11" ht="30" customHeight="1" x14ac:dyDescent="0.25">
      <c r="A6" s="40">
        <v>44199</v>
      </c>
      <c r="B6" s="34">
        <v>0</v>
      </c>
      <c r="C6" s="34">
        <v>0</v>
      </c>
      <c r="D6" s="39">
        <v>144401</v>
      </c>
      <c r="E6" s="33">
        <f t="shared" si="0"/>
        <v>126</v>
      </c>
      <c r="F6" s="46">
        <f t="shared" si="1"/>
        <v>3380.58</v>
      </c>
      <c r="G6" s="39">
        <v>44452</v>
      </c>
      <c r="H6" s="33">
        <f t="shared" si="2"/>
        <v>15</v>
      </c>
      <c r="I6" s="49">
        <f t="shared" si="3"/>
        <v>18000</v>
      </c>
      <c r="J6" s="20"/>
      <c r="K6" s="33">
        <f t="shared" si="4"/>
        <v>0</v>
      </c>
    </row>
    <row r="7" spans="1:11" ht="30" customHeight="1" x14ac:dyDescent="0.25">
      <c r="A7" s="40">
        <v>44200</v>
      </c>
      <c r="B7" s="34">
        <v>0</v>
      </c>
      <c r="C7" s="34">
        <v>0</v>
      </c>
      <c r="D7" s="39">
        <v>144497</v>
      </c>
      <c r="E7" s="33">
        <f t="shared" si="0"/>
        <v>96</v>
      </c>
      <c r="F7" s="46">
        <f t="shared" si="1"/>
        <v>2575.6799999999998</v>
      </c>
      <c r="G7" s="39">
        <v>44464</v>
      </c>
      <c r="H7" s="33">
        <f t="shared" si="2"/>
        <v>12</v>
      </c>
      <c r="I7" s="49">
        <f t="shared" si="3"/>
        <v>14400</v>
      </c>
      <c r="J7" s="20"/>
      <c r="K7" s="33">
        <f t="shared" si="4"/>
        <v>0</v>
      </c>
    </row>
    <row r="8" spans="1:11" ht="30" customHeight="1" x14ac:dyDescent="0.25">
      <c r="A8" s="40">
        <v>44201</v>
      </c>
      <c r="B8" s="34">
        <v>0</v>
      </c>
      <c r="C8" s="34">
        <v>0</v>
      </c>
      <c r="D8" s="39">
        <v>144609</v>
      </c>
      <c r="E8" s="33">
        <f t="shared" si="0"/>
        <v>112</v>
      </c>
      <c r="F8" s="46">
        <f t="shared" si="1"/>
        <v>3004.96</v>
      </c>
      <c r="G8" s="39">
        <v>44476</v>
      </c>
      <c r="H8" s="33">
        <f t="shared" si="2"/>
        <v>12</v>
      </c>
      <c r="I8" s="49">
        <f t="shared" si="3"/>
        <v>14400</v>
      </c>
      <c r="J8" s="20"/>
      <c r="K8" s="33">
        <f t="shared" si="4"/>
        <v>0</v>
      </c>
    </row>
    <row r="9" spans="1:11" ht="30" customHeight="1" x14ac:dyDescent="0.25">
      <c r="A9" s="40">
        <v>44202</v>
      </c>
      <c r="B9" s="34">
        <v>0</v>
      </c>
      <c r="C9" s="34">
        <v>0</v>
      </c>
      <c r="D9" s="39">
        <v>144726</v>
      </c>
      <c r="E9" s="33">
        <f t="shared" si="0"/>
        <v>117</v>
      </c>
      <c r="F9" s="46">
        <f t="shared" si="1"/>
        <v>3139.1099999999997</v>
      </c>
      <c r="G9" s="39">
        <v>44490</v>
      </c>
      <c r="H9" s="33">
        <f t="shared" si="2"/>
        <v>14</v>
      </c>
      <c r="I9" s="49">
        <f t="shared" si="3"/>
        <v>16800</v>
      </c>
      <c r="J9" s="20"/>
      <c r="K9" s="33">
        <f t="shared" si="4"/>
        <v>0</v>
      </c>
    </row>
    <row r="10" spans="1:11" ht="30" customHeight="1" x14ac:dyDescent="0.25">
      <c r="A10" s="40">
        <v>44203</v>
      </c>
      <c r="B10" s="34">
        <v>0</v>
      </c>
      <c r="C10" s="34">
        <v>0</v>
      </c>
      <c r="D10" s="39">
        <v>144840</v>
      </c>
      <c r="E10" s="33">
        <f t="shared" si="0"/>
        <v>114</v>
      </c>
      <c r="F10" s="46">
        <f t="shared" si="1"/>
        <v>3058.62</v>
      </c>
      <c r="G10" s="39">
        <v>44504</v>
      </c>
      <c r="H10" s="33">
        <f t="shared" si="2"/>
        <v>14</v>
      </c>
      <c r="I10" s="49">
        <f t="shared" si="3"/>
        <v>16800</v>
      </c>
      <c r="J10" s="20"/>
      <c r="K10" s="33">
        <f t="shared" si="4"/>
        <v>0</v>
      </c>
    </row>
    <row r="11" spans="1:11" ht="30" customHeight="1" x14ac:dyDescent="0.25">
      <c r="A11" s="40">
        <v>44204</v>
      </c>
      <c r="B11" s="34">
        <v>0</v>
      </c>
      <c r="C11" s="34">
        <v>0</v>
      </c>
      <c r="D11" s="39">
        <v>145013</v>
      </c>
      <c r="E11" s="33">
        <f t="shared" si="0"/>
        <v>173</v>
      </c>
      <c r="F11" s="46">
        <f t="shared" si="1"/>
        <v>4641.59</v>
      </c>
      <c r="G11" s="39">
        <v>44523</v>
      </c>
      <c r="H11" s="33">
        <f t="shared" si="2"/>
        <v>19</v>
      </c>
      <c r="I11" s="49">
        <f t="shared" si="3"/>
        <v>22800</v>
      </c>
      <c r="J11" s="20"/>
      <c r="K11" s="33">
        <f t="shared" si="4"/>
        <v>0</v>
      </c>
    </row>
    <row r="12" spans="1:11" ht="30" customHeight="1" x14ac:dyDescent="0.25">
      <c r="A12" s="40">
        <v>44205</v>
      </c>
      <c r="B12" s="34">
        <v>0</v>
      </c>
      <c r="C12" s="34">
        <v>0</v>
      </c>
      <c r="D12" s="39">
        <v>145089</v>
      </c>
      <c r="E12" s="33">
        <f t="shared" si="0"/>
        <v>76</v>
      </c>
      <c r="F12" s="46">
        <f t="shared" si="1"/>
        <v>2039.08</v>
      </c>
      <c r="G12" s="39">
        <v>44532</v>
      </c>
      <c r="H12" s="33">
        <f t="shared" si="2"/>
        <v>9</v>
      </c>
      <c r="I12" s="49">
        <f t="shared" si="3"/>
        <v>10800</v>
      </c>
      <c r="J12" s="20"/>
      <c r="K12" s="33">
        <f t="shared" si="4"/>
        <v>0</v>
      </c>
    </row>
    <row r="13" spans="1:11" ht="30" customHeight="1" x14ac:dyDescent="0.25">
      <c r="A13" s="40">
        <v>44206</v>
      </c>
      <c r="B13" s="34">
        <v>0</v>
      </c>
      <c r="C13" s="34">
        <v>0</v>
      </c>
      <c r="D13" s="39">
        <v>145207</v>
      </c>
      <c r="E13" s="33">
        <f t="shared" si="0"/>
        <v>118</v>
      </c>
      <c r="F13" s="46">
        <f t="shared" si="1"/>
        <v>3165.9399999999996</v>
      </c>
      <c r="G13" s="39">
        <v>44546</v>
      </c>
      <c r="H13" s="33">
        <f t="shared" si="2"/>
        <v>14</v>
      </c>
      <c r="I13" s="49">
        <f t="shared" si="3"/>
        <v>16800</v>
      </c>
      <c r="J13" s="20"/>
      <c r="K13" s="33">
        <f t="shared" si="4"/>
        <v>0</v>
      </c>
    </row>
    <row r="14" spans="1:11" ht="30" customHeight="1" x14ac:dyDescent="0.25">
      <c r="A14" s="40">
        <v>44207</v>
      </c>
      <c r="B14" s="34">
        <v>0</v>
      </c>
      <c r="C14" s="34">
        <v>0</v>
      </c>
      <c r="D14" s="39">
        <v>145307</v>
      </c>
      <c r="E14" s="33">
        <f t="shared" si="0"/>
        <v>100</v>
      </c>
      <c r="F14" s="46">
        <f t="shared" si="1"/>
        <v>2683</v>
      </c>
      <c r="G14" s="39">
        <v>44559</v>
      </c>
      <c r="H14" s="33">
        <f t="shared" si="2"/>
        <v>13</v>
      </c>
      <c r="I14" s="49">
        <f t="shared" si="3"/>
        <v>15600</v>
      </c>
      <c r="J14" s="20"/>
      <c r="K14" s="33">
        <f t="shared" si="4"/>
        <v>0</v>
      </c>
    </row>
    <row r="15" spans="1:11" ht="30" customHeight="1" x14ac:dyDescent="0.25">
      <c r="A15" s="40">
        <v>44208</v>
      </c>
      <c r="B15" s="34">
        <v>0</v>
      </c>
      <c r="C15" s="34">
        <v>0</v>
      </c>
      <c r="D15" s="39">
        <v>145390</v>
      </c>
      <c r="E15" s="33">
        <f t="shared" si="0"/>
        <v>83</v>
      </c>
      <c r="F15" s="46">
        <f t="shared" si="1"/>
        <v>2226.89</v>
      </c>
      <c r="G15" s="39">
        <v>44570</v>
      </c>
      <c r="H15" s="33">
        <f t="shared" si="2"/>
        <v>11</v>
      </c>
      <c r="I15" s="49">
        <f t="shared" si="3"/>
        <v>13200</v>
      </c>
      <c r="J15" s="20"/>
      <c r="K15" s="33">
        <f t="shared" si="4"/>
        <v>0</v>
      </c>
    </row>
    <row r="16" spans="1:11" ht="30" customHeight="1" x14ac:dyDescent="0.25">
      <c r="A16" s="40">
        <v>44209</v>
      </c>
      <c r="B16" s="34">
        <v>0</v>
      </c>
      <c r="C16" s="34">
        <v>0</v>
      </c>
      <c r="D16" s="39">
        <v>145490</v>
      </c>
      <c r="E16" s="33">
        <f t="shared" si="0"/>
        <v>100</v>
      </c>
      <c r="F16" s="46">
        <f t="shared" si="1"/>
        <v>2683</v>
      </c>
      <c r="G16" s="39">
        <v>44583</v>
      </c>
      <c r="H16" s="33">
        <f t="shared" si="2"/>
        <v>13</v>
      </c>
      <c r="I16" s="49">
        <f t="shared" si="3"/>
        <v>15600</v>
      </c>
      <c r="J16" s="20"/>
      <c r="K16" s="33">
        <f t="shared" si="4"/>
        <v>0</v>
      </c>
    </row>
    <row r="17" spans="1:11" ht="30" customHeight="1" x14ac:dyDescent="0.25">
      <c r="A17" s="40">
        <v>44210</v>
      </c>
      <c r="B17" s="34">
        <v>0</v>
      </c>
      <c r="C17" s="34">
        <v>0</v>
      </c>
      <c r="D17" s="39">
        <v>145598</v>
      </c>
      <c r="E17" s="33">
        <f t="shared" si="0"/>
        <v>108</v>
      </c>
      <c r="F17" s="46">
        <f t="shared" si="1"/>
        <v>2897.64</v>
      </c>
      <c r="G17" s="39">
        <v>44596</v>
      </c>
      <c r="H17" s="33">
        <f t="shared" si="2"/>
        <v>13</v>
      </c>
      <c r="I17" s="49">
        <f t="shared" si="3"/>
        <v>15600</v>
      </c>
      <c r="J17" s="20"/>
      <c r="K17" s="33">
        <f t="shared" si="4"/>
        <v>0</v>
      </c>
    </row>
    <row r="18" spans="1:11" ht="30" customHeight="1" x14ac:dyDescent="0.25">
      <c r="A18" s="40">
        <v>44211</v>
      </c>
      <c r="B18" s="34">
        <v>0</v>
      </c>
      <c r="C18" s="34">
        <v>0</v>
      </c>
      <c r="D18" s="39">
        <v>145738</v>
      </c>
      <c r="E18" s="33">
        <f t="shared" si="0"/>
        <v>140</v>
      </c>
      <c r="F18" s="46">
        <f t="shared" si="1"/>
        <v>3756.2</v>
      </c>
      <c r="G18" s="39">
        <v>44613</v>
      </c>
      <c r="H18" s="33">
        <f t="shared" si="2"/>
        <v>17</v>
      </c>
      <c r="I18" s="49">
        <f t="shared" si="3"/>
        <v>20400</v>
      </c>
      <c r="J18" s="20"/>
      <c r="K18" s="33">
        <f t="shared" si="4"/>
        <v>0</v>
      </c>
    </row>
    <row r="19" spans="1:11" ht="30" customHeight="1" x14ac:dyDescent="0.25">
      <c r="A19" s="40">
        <v>44212</v>
      </c>
      <c r="B19" s="34">
        <v>0</v>
      </c>
      <c r="C19" s="34">
        <v>0</v>
      </c>
      <c r="D19" s="39">
        <v>145815</v>
      </c>
      <c r="E19" s="33">
        <f t="shared" si="0"/>
        <v>77</v>
      </c>
      <c r="F19" s="46">
        <f t="shared" si="1"/>
        <v>2065.91</v>
      </c>
      <c r="G19" s="39">
        <v>44624</v>
      </c>
      <c r="H19" s="33">
        <f t="shared" si="2"/>
        <v>11</v>
      </c>
      <c r="I19" s="49">
        <f t="shared" si="3"/>
        <v>13200</v>
      </c>
      <c r="J19" s="20"/>
      <c r="K19" s="33">
        <f t="shared" si="4"/>
        <v>0</v>
      </c>
    </row>
    <row r="20" spans="1:11" ht="30" customHeight="1" x14ac:dyDescent="0.25">
      <c r="A20" s="40">
        <v>44213</v>
      </c>
      <c r="B20" s="34">
        <v>0</v>
      </c>
      <c r="C20" s="34">
        <v>0</v>
      </c>
      <c r="D20" s="39">
        <v>145919</v>
      </c>
      <c r="E20" s="33">
        <f t="shared" si="0"/>
        <v>104</v>
      </c>
      <c r="F20" s="46">
        <f t="shared" si="1"/>
        <v>2790.3199999999997</v>
      </c>
      <c r="G20" s="39">
        <v>44637</v>
      </c>
      <c r="H20" s="33">
        <f t="shared" si="2"/>
        <v>13</v>
      </c>
      <c r="I20" s="49">
        <f t="shared" si="3"/>
        <v>15600</v>
      </c>
      <c r="J20" s="20"/>
      <c r="K20" s="33">
        <f t="shared" si="4"/>
        <v>0</v>
      </c>
    </row>
    <row r="21" spans="1:11" ht="30" customHeight="1" x14ac:dyDescent="0.25">
      <c r="A21" s="40">
        <v>44214</v>
      </c>
      <c r="B21" s="34">
        <v>0</v>
      </c>
      <c r="C21" s="34">
        <v>0</v>
      </c>
      <c r="D21" s="39">
        <v>146017</v>
      </c>
      <c r="E21" s="33">
        <f t="shared" si="0"/>
        <v>98</v>
      </c>
      <c r="F21" s="46">
        <f t="shared" si="1"/>
        <v>2629.3399999999997</v>
      </c>
      <c r="G21" s="39">
        <v>44650</v>
      </c>
      <c r="H21" s="33">
        <f t="shared" si="2"/>
        <v>13</v>
      </c>
      <c r="I21" s="49">
        <f t="shared" si="3"/>
        <v>15600</v>
      </c>
      <c r="J21" s="20"/>
      <c r="K21" s="33">
        <f t="shared" si="4"/>
        <v>0</v>
      </c>
    </row>
    <row r="22" spans="1:11" ht="30" customHeight="1" x14ac:dyDescent="0.25">
      <c r="A22" s="40">
        <v>44215</v>
      </c>
      <c r="B22" s="34">
        <v>0</v>
      </c>
      <c r="C22" s="34">
        <v>0</v>
      </c>
      <c r="D22" s="39">
        <v>146101</v>
      </c>
      <c r="E22" s="33">
        <f t="shared" si="0"/>
        <v>84</v>
      </c>
      <c r="F22" s="46">
        <f t="shared" si="1"/>
        <v>2253.7199999999998</v>
      </c>
      <c r="G22" s="39">
        <v>44661</v>
      </c>
      <c r="H22" s="33">
        <f t="shared" si="2"/>
        <v>11</v>
      </c>
      <c r="I22" s="49">
        <f t="shared" si="3"/>
        <v>13200</v>
      </c>
      <c r="J22" s="20"/>
      <c r="K22" s="33">
        <f t="shared" si="4"/>
        <v>0</v>
      </c>
    </row>
    <row r="23" spans="1:11" ht="30" customHeight="1" x14ac:dyDescent="0.25">
      <c r="A23" s="40">
        <v>44216</v>
      </c>
      <c r="B23" s="34">
        <v>0</v>
      </c>
      <c r="C23" s="34">
        <v>0</v>
      </c>
      <c r="D23" s="39">
        <v>146204</v>
      </c>
      <c r="E23" s="33">
        <f t="shared" si="0"/>
        <v>103</v>
      </c>
      <c r="F23" s="46">
        <f t="shared" si="1"/>
        <v>2763.49</v>
      </c>
      <c r="G23" s="39">
        <v>44677</v>
      </c>
      <c r="H23" s="33">
        <f t="shared" si="2"/>
        <v>16</v>
      </c>
      <c r="I23" s="49">
        <f t="shared" si="3"/>
        <v>19200</v>
      </c>
      <c r="J23" s="20"/>
      <c r="K23" s="33">
        <f t="shared" si="4"/>
        <v>0</v>
      </c>
    </row>
    <row r="24" spans="1:11" ht="30" customHeight="1" x14ac:dyDescent="0.25">
      <c r="A24" s="40">
        <v>44217</v>
      </c>
      <c r="B24" s="34">
        <v>0</v>
      </c>
      <c r="C24" s="34">
        <v>0</v>
      </c>
      <c r="D24" s="39">
        <v>146306</v>
      </c>
      <c r="E24" s="33">
        <f t="shared" si="0"/>
        <v>102</v>
      </c>
      <c r="F24" s="46">
        <f t="shared" si="1"/>
        <v>2736.66</v>
      </c>
      <c r="G24" s="39">
        <v>44687</v>
      </c>
      <c r="H24" s="33">
        <f t="shared" si="2"/>
        <v>10</v>
      </c>
      <c r="I24" s="49">
        <f t="shared" si="3"/>
        <v>12000</v>
      </c>
      <c r="J24" s="20"/>
      <c r="K24" s="33">
        <f t="shared" si="4"/>
        <v>0</v>
      </c>
    </row>
    <row r="25" spans="1:11" ht="30" customHeight="1" x14ac:dyDescent="0.25">
      <c r="A25" s="40">
        <v>44218</v>
      </c>
      <c r="B25" s="34">
        <v>0</v>
      </c>
      <c r="C25" s="34">
        <v>0</v>
      </c>
      <c r="D25" s="39">
        <v>146435</v>
      </c>
      <c r="E25" s="33">
        <f t="shared" si="0"/>
        <v>129</v>
      </c>
      <c r="F25" s="46">
        <f t="shared" si="1"/>
        <v>3461.0699999999997</v>
      </c>
      <c r="G25" s="39">
        <v>44701</v>
      </c>
      <c r="H25" s="33">
        <f t="shared" si="2"/>
        <v>14</v>
      </c>
      <c r="I25" s="49">
        <f t="shared" si="3"/>
        <v>16800</v>
      </c>
      <c r="J25" s="20"/>
      <c r="K25" s="33">
        <f t="shared" si="4"/>
        <v>0</v>
      </c>
    </row>
    <row r="26" spans="1:11" ht="30" customHeight="1" x14ac:dyDescent="0.25">
      <c r="A26" s="40">
        <v>44219</v>
      </c>
      <c r="B26" s="34">
        <v>0</v>
      </c>
      <c r="C26" s="34">
        <v>0</v>
      </c>
      <c r="D26" s="20">
        <v>146564</v>
      </c>
      <c r="E26" s="33">
        <f t="shared" si="0"/>
        <v>129</v>
      </c>
      <c r="F26" s="46">
        <f t="shared" si="1"/>
        <v>3461.0699999999997</v>
      </c>
      <c r="G26" s="20">
        <v>44715</v>
      </c>
      <c r="H26" s="33">
        <f t="shared" si="2"/>
        <v>14</v>
      </c>
      <c r="I26" s="49">
        <f t="shared" si="3"/>
        <v>16800</v>
      </c>
      <c r="J26" s="20"/>
      <c r="K26" s="33">
        <f t="shared" si="4"/>
        <v>0</v>
      </c>
    </row>
    <row r="27" spans="1:11" ht="30" customHeight="1" x14ac:dyDescent="0.25">
      <c r="A27" s="40">
        <v>44220</v>
      </c>
      <c r="B27" s="34">
        <v>0</v>
      </c>
      <c r="C27" s="34">
        <v>0</v>
      </c>
      <c r="D27" s="20">
        <v>146698</v>
      </c>
      <c r="E27" s="33">
        <f t="shared" si="0"/>
        <v>134</v>
      </c>
      <c r="F27" s="46">
        <f t="shared" si="1"/>
        <v>3595.22</v>
      </c>
      <c r="G27" s="20">
        <v>44729</v>
      </c>
      <c r="H27" s="33">
        <f t="shared" si="2"/>
        <v>14</v>
      </c>
      <c r="I27" s="49">
        <f t="shared" si="3"/>
        <v>16800</v>
      </c>
      <c r="J27" s="20"/>
      <c r="K27" s="33">
        <f t="shared" si="4"/>
        <v>0</v>
      </c>
    </row>
    <row r="28" spans="1:11" ht="30" customHeight="1" x14ac:dyDescent="0.25">
      <c r="A28" s="40">
        <v>44221</v>
      </c>
      <c r="B28" s="34">
        <v>0</v>
      </c>
      <c r="C28" s="34">
        <v>0</v>
      </c>
      <c r="D28" s="20">
        <v>146802</v>
      </c>
      <c r="E28" s="33">
        <f t="shared" si="0"/>
        <v>104</v>
      </c>
      <c r="F28" s="46">
        <f t="shared" si="1"/>
        <v>2790.3199999999997</v>
      </c>
      <c r="G28" s="20">
        <v>44741</v>
      </c>
      <c r="H28" s="33">
        <f t="shared" si="2"/>
        <v>12</v>
      </c>
      <c r="I28" s="49">
        <f t="shared" si="3"/>
        <v>14400</v>
      </c>
      <c r="J28" s="20"/>
      <c r="K28" s="33">
        <f t="shared" si="4"/>
        <v>0</v>
      </c>
    </row>
    <row r="29" spans="1:11" ht="30" customHeight="1" x14ac:dyDescent="0.25">
      <c r="A29" s="40">
        <v>44222</v>
      </c>
      <c r="B29" s="34">
        <v>0</v>
      </c>
      <c r="C29" s="34">
        <v>0</v>
      </c>
      <c r="D29" s="20">
        <v>146891</v>
      </c>
      <c r="E29" s="33">
        <f t="shared" si="0"/>
        <v>89</v>
      </c>
      <c r="F29" s="46">
        <f t="shared" si="1"/>
        <v>2387.87</v>
      </c>
      <c r="G29" s="20">
        <v>44752</v>
      </c>
      <c r="H29" s="33">
        <f t="shared" si="2"/>
        <v>11</v>
      </c>
      <c r="I29" s="49">
        <f t="shared" si="3"/>
        <v>13200</v>
      </c>
      <c r="J29" s="20"/>
      <c r="K29" s="33">
        <f t="shared" si="4"/>
        <v>0</v>
      </c>
    </row>
    <row r="30" spans="1:11" ht="30" customHeight="1" x14ac:dyDescent="0.25">
      <c r="A30" s="40">
        <v>44223</v>
      </c>
      <c r="B30" s="34">
        <v>0</v>
      </c>
      <c r="C30" s="34">
        <v>0</v>
      </c>
      <c r="D30" s="20">
        <v>147008</v>
      </c>
      <c r="E30" s="33">
        <f t="shared" si="0"/>
        <v>117</v>
      </c>
      <c r="F30" s="46">
        <f t="shared" si="1"/>
        <v>3139.1099999999997</v>
      </c>
      <c r="G30" s="20">
        <v>44765</v>
      </c>
      <c r="H30" s="33">
        <f t="shared" si="2"/>
        <v>13</v>
      </c>
      <c r="I30" s="49">
        <f t="shared" si="3"/>
        <v>15600</v>
      </c>
      <c r="J30" s="20"/>
      <c r="K30" s="33">
        <f t="shared" si="4"/>
        <v>0</v>
      </c>
    </row>
    <row r="31" spans="1:11" ht="30" customHeight="1" x14ac:dyDescent="0.25">
      <c r="A31" s="40">
        <v>44224</v>
      </c>
      <c r="B31" s="34">
        <v>0</v>
      </c>
      <c r="C31" s="34">
        <v>0</v>
      </c>
      <c r="D31" s="20">
        <v>147111</v>
      </c>
      <c r="E31" s="33">
        <f t="shared" si="0"/>
        <v>103</v>
      </c>
      <c r="F31" s="46">
        <f t="shared" si="1"/>
        <v>2763.49</v>
      </c>
      <c r="G31" s="20">
        <v>44777</v>
      </c>
      <c r="H31" s="33">
        <f t="shared" si="2"/>
        <v>12</v>
      </c>
      <c r="I31" s="49">
        <f t="shared" si="3"/>
        <v>14400</v>
      </c>
      <c r="J31" s="20"/>
      <c r="K31" s="33">
        <f t="shared" si="4"/>
        <v>0</v>
      </c>
    </row>
    <row r="32" spans="1:11" ht="30" customHeight="1" x14ac:dyDescent="0.25">
      <c r="A32" s="40">
        <v>44225</v>
      </c>
      <c r="B32" s="34">
        <v>0</v>
      </c>
      <c r="C32" s="34">
        <v>0</v>
      </c>
      <c r="D32" s="20">
        <v>147242</v>
      </c>
      <c r="E32" s="33">
        <f t="shared" si="0"/>
        <v>131</v>
      </c>
      <c r="F32" s="46">
        <f t="shared" si="1"/>
        <v>3514.7299999999996</v>
      </c>
      <c r="G32" s="20">
        <v>44792</v>
      </c>
      <c r="H32" s="33">
        <f t="shared" si="2"/>
        <v>15</v>
      </c>
      <c r="I32" s="49">
        <f t="shared" si="3"/>
        <v>18000</v>
      </c>
      <c r="J32" s="20"/>
      <c r="K32" s="33">
        <f t="shared" si="4"/>
        <v>0</v>
      </c>
    </row>
    <row r="33" spans="1:11" ht="30" customHeight="1" x14ac:dyDescent="0.25">
      <c r="A33" s="40">
        <v>44226</v>
      </c>
      <c r="B33" s="34">
        <v>0</v>
      </c>
      <c r="C33" s="34">
        <v>0</v>
      </c>
      <c r="D33" s="20">
        <v>147359</v>
      </c>
      <c r="E33" s="33">
        <f t="shared" si="0"/>
        <v>117</v>
      </c>
      <c r="F33" s="46">
        <f t="shared" si="1"/>
        <v>3139.1099999999997</v>
      </c>
      <c r="G33" s="20">
        <v>44805</v>
      </c>
      <c r="H33" s="33">
        <f t="shared" si="2"/>
        <v>13</v>
      </c>
      <c r="I33" s="49">
        <f t="shared" si="3"/>
        <v>15600</v>
      </c>
      <c r="J33" s="20"/>
      <c r="K33" s="33">
        <f t="shared" si="4"/>
        <v>0</v>
      </c>
    </row>
    <row r="34" spans="1:11" ht="30" customHeight="1" x14ac:dyDescent="0.25">
      <c r="A34" s="40">
        <v>44227</v>
      </c>
      <c r="B34" s="34">
        <v>0</v>
      </c>
      <c r="C34" s="34">
        <v>0</v>
      </c>
      <c r="D34" s="20">
        <v>147473</v>
      </c>
      <c r="E34" s="33">
        <f t="shared" si="0"/>
        <v>114</v>
      </c>
      <c r="F34" s="46">
        <f t="shared" si="1"/>
        <v>3058.62</v>
      </c>
      <c r="G34" s="20">
        <v>44819</v>
      </c>
      <c r="H34" s="33">
        <f t="shared" si="2"/>
        <v>14</v>
      </c>
      <c r="I34" s="49">
        <f t="shared" si="3"/>
        <v>16800</v>
      </c>
      <c r="J34" s="20"/>
      <c r="K34" s="33">
        <f t="shared" si="4"/>
        <v>0</v>
      </c>
    </row>
    <row r="35" spans="1:11" x14ac:dyDescent="0.25">
      <c r="A35" s="22"/>
      <c r="B35" s="35"/>
      <c r="C35" s="35"/>
      <c r="F35" s="23"/>
      <c r="G35" s="18"/>
      <c r="H35" s="26"/>
      <c r="I35" s="16"/>
      <c r="J35" s="27"/>
    </row>
    <row r="36" spans="1:11" x14ac:dyDescent="0.25">
      <c r="A36" s="28"/>
      <c r="B36" s="36"/>
      <c r="C36" s="36"/>
      <c r="D36" s="24"/>
      <c r="E36" s="29"/>
      <c r="F36" s="25"/>
      <c r="G36" s="24"/>
      <c r="H36" s="25"/>
      <c r="I36" s="25"/>
      <c r="J36" s="24"/>
      <c r="K36" s="25"/>
    </row>
    <row r="37" spans="1:11" x14ac:dyDescent="0.25">
      <c r="A37" s="21"/>
      <c r="B37" s="35"/>
      <c r="C37" s="35"/>
      <c r="G37" s="18"/>
      <c r="J37" s="18"/>
    </row>
    <row r="38" spans="1:11" x14ac:dyDescent="0.25">
      <c r="A38" s="28"/>
      <c r="B38" s="35"/>
      <c r="C38" s="35"/>
      <c r="G38" s="18"/>
      <c r="J38" s="18"/>
    </row>
    <row r="39" spans="1:11" x14ac:dyDescent="0.25">
      <c r="A39" s="28"/>
      <c r="B39" s="35"/>
      <c r="C39" s="35"/>
      <c r="G39" s="18"/>
      <c r="J39" s="18"/>
    </row>
    <row r="40" spans="1:11" x14ac:dyDescent="0.25">
      <c r="A40" s="30"/>
      <c r="B40" s="35"/>
      <c r="C40" s="35"/>
      <c r="J40" s="18"/>
      <c r="K40" s="13"/>
    </row>
  </sheetData>
  <mergeCells count="6">
    <mergeCell ref="A1:A2"/>
    <mergeCell ref="C1:C2"/>
    <mergeCell ref="D1:F1"/>
    <mergeCell ref="G1:I1"/>
    <mergeCell ref="J1:K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2021-03-24T04:07:31Z</dcterms:modified>
</cp:coreProperties>
</file>