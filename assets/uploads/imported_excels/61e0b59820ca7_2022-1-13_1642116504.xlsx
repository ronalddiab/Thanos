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stafa.elmetwally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6" i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6" i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6" i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6" i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6" i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6" i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6" i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6" i="5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6" i="3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6" i="3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6" i="3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6" i="2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6" i="2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6" i="2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6" i="2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6" i="2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6" i="2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6" i="4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6" i="4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6" i="4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6" i="4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B10" i="4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B16" i="3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<sst xmlns="http://schemas.openxmlformats.org/spreadsheetml/2006/main" count="443" uniqueCount="149">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</sst>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I18" sqref="I18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52085.013879999999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218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218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218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218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218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218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218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218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218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218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218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218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218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218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218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218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218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13" sqref="E13:S13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-198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 t="str">
        <f>ELECT.!F16</f>
        <v>0</v>
      </c>
      <c r="J15" s="41" t="str">
        <f>ELECT.!H16</f>
        <v>0</v>
      </c>
      <c r="K15" s="41">
        <f>ELECT.!K16</f>
        <v>0</v>
      </c>
      <c r="L15" s="41" t="str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218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218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218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218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218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218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218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218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218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218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218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218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218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218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218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218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218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218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T15" sqref="T15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137279</v>
      </c>
      <c r="Q14" s="16">
        <f t="shared" si="7"/>
        <v>-198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137279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ref="B15:B33" si="19">B15</f>
        <v>46480</v>
      </c>
      <c r="C16" s="16">
        <f t="shared" si="1"/>
        <v>0</v>
      </c>
      <c r="D16" s="36">
        <f t="shared" ref="D15:D33" si="20">D15</f>
        <v>40204</v>
      </c>
      <c r="E16" s="16">
        <f t="shared" si="2"/>
        <v>0</v>
      </c>
      <c r="F16" s="36">
        <f t="shared" ref="F15:F33" si="21">F15</f>
        <v>21210</v>
      </c>
      <c r="G16" s="16">
        <f t="shared" si="3"/>
        <v>0</v>
      </c>
      <c r="H16" s="36">
        <f t="shared" ref="H15:H33" si="22">H15</f>
        <v>253313</v>
      </c>
      <c r="I16" s="16">
        <f t="shared" si="4"/>
        <v>0</v>
      </c>
      <c r="J16" s="36">
        <f t="shared" si="12"/>
        <v>303517</v>
      </c>
      <c r="K16" s="16">
        <v>0</v>
      </c>
      <c r="L16" s="36">
        <f t="shared" ref="L15:L33" si="23">L15</f>
        <v>25766</v>
      </c>
      <c r="M16" s="16">
        <f t="shared" si="5"/>
        <v>0</v>
      </c>
      <c r="N16" s="36">
        <f t="shared" ref="N15:N33" si="24">N15</f>
        <v>220221</v>
      </c>
      <c r="O16" s="16">
        <f t="shared" si="6"/>
        <v>0</v>
      </c>
      <c r="P16" s="36">
        <f t="shared" si="11"/>
        <v>137279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ref="T15:T33" si="25">T15</f>
        <v>3902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9"/>
        <v>46480</v>
      </c>
      <c r="C17" s="16">
        <f t="shared" si="1"/>
        <v>0</v>
      </c>
      <c r="D17" s="36">
        <f t="shared" si="20"/>
        <v>40204</v>
      </c>
      <c r="E17" s="16">
        <f t="shared" si="2"/>
        <v>0</v>
      </c>
      <c r="F17" s="36">
        <f t="shared" si="21"/>
        <v>21210</v>
      </c>
      <c r="G17" s="16">
        <f t="shared" si="3"/>
        <v>0</v>
      </c>
      <c r="H17" s="36">
        <f t="shared" si="22"/>
        <v>253313</v>
      </c>
      <c r="I17" s="16">
        <f t="shared" si="4"/>
        <v>0</v>
      </c>
      <c r="J17" s="36">
        <f t="shared" si="12"/>
        <v>303517</v>
      </c>
      <c r="K17" s="16">
        <v>0</v>
      </c>
      <c r="L17" s="36">
        <f t="shared" si="23"/>
        <v>25766</v>
      </c>
      <c r="M17" s="16">
        <f t="shared" si="5"/>
        <v>0</v>
      </c>
      <c r="N17" s="36">
        <f t="shared" si="24"/>
        <v>220221</v>
      </c>
      <c r="O17" s="16">
        <f t="shared" si="6"/>
        <v>0</v>
      </c>
      <c r="P17" s="36">
        <f t="shared" si="11"/>
        <v>137279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25"/>
        <v>3902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9"/>
        <v>46480</v>
      </c>
      <c r="C18" s="16">
        <f t="shared" si="1"/>
        <v>0</v>
      </c>
      <c r="D18" s="36">
        <f t="shared" si="20"/>
        <v>40204</v>
      </c>
      <c r="E18" s="16">
        <f t="shared" si="2"/>
        <v>0</v>
      </c>
      <c r="F18" s="36">
        <f t="shared" si="21"/>
        <v>21210</v>
      </c>
      <c r="G18" s="16">
        <f t="shared" si="3"/>
        <v>0</v>
      </c>
      <c r="H18" s="36">
        <f t="shared" si="22"/>
        <v>253313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si="23"/>
        <v>25766</v>
      </c>
      <c r="M18" s="16">
        <f t="shared" si="5"/>
        <v>0</v>
      </c>
      <c r="N18" s="36">
        <f t="shared" si="24"/>
        <v>220221</v>
      </c>
      <c r="O18" s="16">
        <f t="shared" si="6"/>
        <v>0</v>
      </c>
      <c r="P18" s="36">
        <f t="shared" si="11"/>
        <v>137279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25"/>
        <v>3902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9"/>
        <v>46480</v>
      </c>
      <c r="C19" s="16">
        <f t="shared" si="1"/>
        <v>0</v>
      </c>
      <c r="D19" s="36">
        <f t="shared" si="20"/>
        <v>40204</v>
      </c>
      <c r="E19" s="16">
        <f t="shared" si="2"/>
        <v>0</v>
      </c>
      <c r="F19" s="36">
        <f t="shared" si="21"/>
        <v>21210</v>
      </c>
      <c r="G19" s="16">
        <f t="shared" si="3"/>
        <v>0</v>
      </c>
      <c r="H19" s="36">
        <f t="shared" si="22"/>
        <v>253313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23"/>
        <v>25766</v>
      </c>
      <c r="M19" s="16">
        <f t="shared" si="5"/>
        <v>0</v>
      </c>
      <c r="N19" s="36">
        <f t="shared" si="24"/>
        <v>220221</v>
      </c>
      <c r="O19" s="16">
        <f t="shared" si="6"/>
        <v>0</v>
      </c>
      <c r="P19" s="36">
        <f t="shared" si="11"/>
        <v>137279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25"/>
        <v>3902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9"/>
        <v>46480</v>
      </c>
      <c r="C20" s="16">
        <f t="shared" si="1"/>
        <v>0</v>
      </c>
      <c r="D20" s="36">
        <f t="shared" si="20"/>
        <v>40204</v>
      </c>
      <c r="E20" s="16">
        <f t="shared" si="2"/>
        <v>0</v>
      </c>
      <c r="F20" s="36">
        <f t="shared" si="21"/>
        <v>21210</v>
      </c>
      <c r="G20" s="16">
        <f t="shared" si="3"/>
        <v>0</v>
      </c>
      <c r="H20" s="36">
        <f t="shared" si="22"/>
        <v>253313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23"/>
        <v>25766</v>
      </c>
      <c r="M20" s="16">
        <f t="shared" si="5"/>
        <v>0</v>
      </c>
      <c r="N20" s="36">
        <f t="shared" si="24"/>
        <v>220221</v>
      </c>
      <c r="O20" s="16">
        <f t="shared" si="6"/>
        <v>0</v>
      </c>
      <c r="P20" s="36">
        <f t="shared" si="11"/>
        <v>137279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25"/>
        <v>3902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9"/>
        <v>46480</v>
      </c>
      <c r="C21" s="16">
        <f t="shared" si="1"/>
        <v>0</v>
      </c>
      <c r="D21" s="36">
        <f t="shared" si="20"/>
        <v>40204</v>
      </c>
      <c r="E21" s="16">
        <f t="shared" si="2"/>
        <v>0</v>
      </c>
      <c r="F21" s="36">
        <f t="shared" si="21"/>
        <v>21210</v>
      </c>
      <c r="G21" s="16">
        <f t="shared" si="3"/>
        <v>0</v>
      </c>
      <c r="H21" s="36">
        <f t="shared" si="22"/>
        <v>253313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23"/>
        <v>25766</v>
      </c>
      <c r="M21" s="16">
        <f t="shared" si="5"/>
        <v>0</v>
      </c>
      <c r="N21" s="36">
        <f t="shared" si="24"/>
        <v>220221</v>
      </c>
      <c r="O21" s="16">
        <f t="shared" si="6"/>
        <v>0</v>
      </c>
      <c r="P21" s="36">
        <f t="shared" si="11"/>
        <v>137279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25"/>
        <v>3902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9"/>
        <v>46480</v>
      </c>
      <c r="C22" s="16">
        <f t="shared" si="1"/>
        <v>0</v>
      </c>
      <c r="D22" s="36">
        <f t="shared" si="20"/>
        <v>40204</v>
      </c>
      <c r="E22" s="16">
        <f t="shared" si="2"/>
        <v>0</v>
      </c>
      <c r="F22" s="36">
        <f t="shared" si="21"/>
        <v>21210</v>
      </c>
      <c r="G22" s="16">
        <f t="shared" si="3"/>
        <v>0</v>
      </c>
      <c r="H22" s="36">
        <f t="shared" si="22"/>
        <v>253313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23"/>
        <v>25766</v>
      </c>
      <c r="M22" s="16">
        <f t="shared" si="5"/>
        <v>0</v>
      </c>
      <c r="N22" s="36">
        <f t="shared" si="24"/>
        <v>220221</v>
      </c>
      <c r="O22" s="16">
        <f t="shared" si="6"/>
        <v>0</v>
      </c>
      <c r="P22" s="36">
        <f t="shared" si="11"/>
        <v>137279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25"/>
        <v>3902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9"/>
        <v>46480</v>
      </c>
      <c r="C23" s="16">
        <f t="shared" si="1"/>
        <v>0</v>
      </c>
      <c r="D23" s="36">
        <f t="shared" si="20"/>
        <v>40204</v>
      </c>
      <c r="E23" s="16">
        <f t="shared" si="2"/>
        <v>0</v>
      </c>
      <c r="F23" s="36">
        <f t="shared" si="21"/>
        <v>21210</v>
      </c>
      <c r="G23" s="16">
        <f t="shared" si="3"/>
        <v>0</v>
      </c>
      <c r="H23" s="36">
        <f t="shared" si="22"/>
        <v>253313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23"/>
        <v>25766</v>
      </c>
      <c r="M23" s="16">
        <f t="shared" si="5"/>
        <v>0</v>
      </c>
      <c r="N23" s="36">
        <f t="shared" si="24"/>
        <v>220221</v>
      </c>
      <c r="O23" s="16">
        <f t="shared" si="6"/>
        <v>0</v>
      </c>
      <c r="P23" s="36">
        <f t="shared" si="11"/>
        <v>137279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25"/>
        <v>3902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9"/>
        <v>46480</v>
      </c>
      <c r="C24" s="16">
        <f t="shared" si="1"/>
        <v>0</v>
      </c>
      <c r="D24" s="36">
        <f t="shared" si="20"/>
        <v>40204</v>
      </c>
      <c r="E24" s="16">
        <f t="shared" si="2"/>
        <v>0</v>
      </c>
      <c r="F24" s="36">
        <f t="shared" si="21"/>
        <v>21210</v>
      </c>
      <c r="G24" s="16">
        <f t="shared" si="3"/>
        <v>0</v>
      </c>
      <c r="H24" s="36">
        <f t="shared" si="22"/>
        <v>253313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23"/>
        <v>25766</v>
      </c>
      <c r="M24" s="16">
        <f t="shared" si="5"/>
        <v>0</v>
      </c>
      <c r="N24" s="36">
        <f t="shared" si="24"/>
        <v>220221</v>
      </c>
      <c r="O24" s="16">
        <f t="shared" si="6"/>
        <v>0</v>
      </c>
      <c r="P24" s="36">
        <f t="shared" si="11"/>
        <v>137279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25"/>
        <v>3902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9"/>
        <v>46480</v>
      </c>
      <c r="C25" s="16">
        <f t="shared" si="1"/>
        <v>0</v>
      </c>
      <c r="D25" s="36">
        <f t="shared" si="20"/>
        <v>40204</v>
      </c>
      <c r="E25" s="16">
        <f t="shared" si="2"/>
        <v>0</v>
      </c>
      <c r="F25" s="36">
        <f t="shared" si="21"/>
        <v>21210</v>
      </c>
      <c r="G25" s="16">
        <f t="shared" si="3"/>
        <v>0</v>
      </c>
      <c r="H25" s="36">
        <f t="shared" si="22"/>
        <v>253313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23"/>
        <v>25766</v>
      </c>
      <c r="M25" s="16">
        <f t="shared" si="5"/>
        <v>0</v>
      </c>
      <c r="N25" s="36">
        <f t="shared" si="24"/>
        <v>220221</v>
      </c>
      <c r="O25" s="16">
        <f t="shared" si="6"/>
        <v>0</v>
      </c>
      <c r="P25" s="36">
        <f t="shared" si="11"/>
        <v>137279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25"/>
        <v>3902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9"/>
        <v>46480</v>
      </c>
      <c r="C26" s="16">
        <f t="shared" si="1"/>
        <v>0</v>
      </c>
      <c r="D26" s="36">
        <f t="shared" si="20"/>
        <v>40204</v>
      </c>
      <c r="E26" s="16">
        <f t="shared" si="2"/>
        <v>0</v>
      </c>
      <c r="F26" s="36">
        <f t="shared" si="21"/>
        <v>21210</v>
      </c>
      <c r="G26" s="16">
        <f t="shared" si="3"/>
        <v>0</v>
      </c>
      <c r="H26" s="36">
        <f t="shared" si="22"/>
        <v>253313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23"/>
        <v>25766</v>
      </c>
      <c r="M26" s="16">
        <f t="shared" si="5"/>
        <v>0</v>
      </c>
      <c r="N26" s="36">
        <f t="shared" si="24"/>
        <v>220221</v>
      </c>
      <c r="O26" s="16">
        <f t="shared" si="6"/>
        <v>0</v>
      </c>
      <c r="P26" s="36">
        <f t="shared" si="11"/>
        <v>137279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25"/>
        <v>3902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46480</v>
      </c>
      <c r="C27" s="16">
        <f t="shared" si="1"/>
        <v>0</v>
      </c>
      <c r="D27" s="36">
        <f t="shared" si="20"/>
        <v>40204</v>
      </c>
      <c r="E27" s="16">
        <f t="shared" si="2"/>
        <v>0</v>
      </c>
      <c r="F27" s="36">
        <f t="shared" si="21"/>
        <v>21210</v>
      </c>
      <c r="G27" s="16">
        <f t="shared" si="3"/>
        <v>0</v>
      </c>
      <c r="H27" s="36">
        <f t="shared" si="22"/>
        <v>253313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25766</v>
      </c>
      <c r="M27" s="16">
        <f t="shared" si="5"/>
        <v>0</v>
      </c>
      <c r="N27" s="36">
        <f t="shared" si="24"/>
        <v>220221</v>
      </c>
      <c r="O27" s="16">
        <f t="shared" si="6"/>
        <v>0</v>
      </c>
      <c r="P27" s="36">
        <f t="shared" si="11"/>
        <v>137279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3902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46480</v>
      </c>
      <c r="C28" s="16">
        <f t="shared" si="1"/>
        <v>0</v>
      </c>
      <c r="D28" s="36">
        <f t="shared" si="20"/>
        <v>40204</v>
      </c>
      <c r="E28" s="16">
        <f t="shared" si="2"/>
        <v>0</v>
      </c>
      <c r="F28" s="36">
        <f t="shared" si="21"/>
        <v>21210</v>
      </c>
      <c r="G28" s="16">
        <f t="shared" si="3"/>
        <v>0</v>
      </c>
      <c r="H28" s="36">
        <f t="shared" si="22"/>
        <v>253313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25766</v>
      </c>
      <c r="M28" s="16">
        <f t="shared" si="5"/>
        <v>0</v>
      </c>
      <c r="N28" s="36">
        <f t="shared" si="24"/>
        <v>220221</v>
      </c>
      <c r="O28" s="16">
        <f t="shared" si="6"/>
        <v>0</v>
      </c>
      <c r="P28" s="36">
        <f t="shared" si="11"/>
        <v>137279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3902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46480</v>
      </c>
      <c r="C29" s="16">
        <f t="shared" si="1"/>
        <v>0</v>
      </c>
      <c r="D29" s="36">
        <f t="shared" si="20"/>
        <v>40204</v>
      </c>
      <c r="E29" s="16">
        <f t="shared" si="2"/>
        <v>0</v>
      </c>
      <c r="F29" s="36">
        <f t="shared" si="21"/>
        <v>21210</v>
      </c>
      <c r="G29" s="16">
        <f t="shared" si="3"/>
        <v>0</v>
      </c>
      <c r="H29" s="36">
        <f t="shared" si="22"/>
        <v>253313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25766</v>
      </c>
      <c r="M29" s="16">
        <f t="shared" si="5"/>
        <v>0</v>
      </c>
      <c r="N29" s="36">
        <f t="shared" si="24"/>
        <v>220221</v>
      </c>
      <c r="O29" s="16">
        <f t="shared" si="6"/>
        <v>0</v>
      </c>
      <c r="P29" s="36">
        <f t="shared" si="11"/>
        <v>137279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3902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46480</v>
      </c>
      <c r="C30" s="16">
        <f t="shared" si="1"/>
        <v>0</v>
      </c>
      <c r="D30" s="36">
        <f t="shared" si="20"/>
        <v>40204</v>
      </c>
      <c r="E30" s="16">
        <f t="shared" si="2"/>
        <v>0</v>
      </c>
      <c r="F30" s="36">
        <f t="shared" si="21"/>
        <v>21210</v>
      </c>
      <c r="G30" s="16">
        <f t="shared" si="3"/>
        <v>0</v>
      </c>
      <c r="H30" s="36">
        <f t="shared" si="22"/>
        <v>253313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25766</v>
      </c>
      <c r="M30" s="16">
        <f t="shared" si="5"/>
        <v>0</v>
      </c>
      <c r="N30" s="36">
        <f t="shared" si="24"/>
        <v>220221</v>
      </c>
      <c r="O30" s="16">
        <f t="shared" si="6"/>
        <v>0</v>
      </c>
      <c r="P30" s="36">
        <f t="shared" si="11"/>
        <v>137279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3902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46480</v>
      </c>
      <c r="C31" s="16">
        <f t="shared" si="1"/>
        <v>0</v>
      </c>
      <c r="D31" s="36">
        <f t="shared" si="20"/>
        <v>40204</v>
      </c>
      <c r="E31" s="16">
        <f t="shared" si="2"/>
        <v>0</v>
      </c>
      <c r="F31" s="36">
        <f t="shared" si="21"/>
        <v>21210</v>
      </c>
      <c r="G31" s="16">
        <f t="shared" si="3"/>
        <v>0</v>
      </c>
      <c r="H31" s="36">
        <f t="shared" si="22"/>
        <v>253313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25766</v>
      </c>
      <c r="M31" s="16">
        <f t="shared" si="5"/>
        <v>0</v>
      </c>
      <c r="N31" s="36">
        <f t="shared" si="24"/>
        <v>220221</v>
      </c>
      <c r="O31" s="16">
        <f t="shared" si="6"/>
        <v>0</v>
      </c>
      <c r="P31" s="36">
        <f t="shared" si="11"/>
        <v>137279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3902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46480</v>
      </c>
      <c r="C32" s="16">
        <f t="shared" si="1"/>
        <v>0</v>
      </c>
      <c r="D32" s="36">
        <f t="shared" si="20"/>
        <v>40204</v>
      </c>
      <c r="E32" s="16">
        <f t="shared" si="2"/>
        <v>0</v>
      </c>
      <c r="F32" s="36">
        <f t="shared" si="21"/>
        <v>21210</v>
      </c>
      <c r="G32" s="16">
        <f t="shared" si="3"/>
        <v>0</v>
      </c>
      <c r="H32" s="36">
        <f t="shared" si="22"/>
        <v>253313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25766</v>
      </c>
      <c r="M32" s="16">
        <f t="shared" si="5"/>
        <v>0</v>
      </c>
      <c r="N32" s="36">
        <f t="shared" si="24"/>
        <v>220221</v>
      </c>
      <c r="O32" s="16">
        <f t="shared" si="6"/>
        <v>0</v>
      </c>
      <c r="P32" s="36">
        <f t="shared" si="11"/>
        <v>137279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3902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46480</v>
      </c>
      <c r="C33" s="16">
        <f t="shared" si="1"/>
        <v>0</v>
      </c>
      <c r="D33" s="36">
        <f t="shared" si="20"/>
        <v>40204</v>
      </c>
      <c r="E33" s="16">
        <f t="shared" si="2"/>
        <v>0</v>
      </c>
      <c r="F33" s="36">
        <f t="shared" si="21"/>
        <v>21210</v>
      </c>
      <c r="G33" s="16">
        <f t="shared" si="3"/>
        <v>0</v>
      </c>
      <c r="H33" s="36">
        <f t="shared" si="22"/>
        <v>253313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25766</v>
      </c>
      <c r="M33" s="16">
        <f t="shared" si="5"/>
        <v>0</v>
      </c>
      <c r="N33" s="36">
        <f t="shared" si="24"/>
        <v>220221</v>
      </c>
      <c r="O33" s="16">
        <f t="shared" si="6"/>
        <v>0</v>
      </c>
      <c r="P33" s="36">
        <f t="shared" si="11"/>
        <v>137279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3902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8960</v>
      </c>
      <c r="D34" s="13"/>
      <c r="E34" s="11">
        <f>SUM(E4:E33)</f>
        <v>5280</v>
      </c>
      <c r="F34" s="13"/>
      <c r="G34" s="11">
        <f>SUM(G4:G33)</f>
        <v>840</v>
      </c>
      <c r="H34" s="13"/>
      <c r="I34" s="11">
        <f>SUM(I4:I33)</f>
        <v>197</v>
      </c>
      <c r="J34" s="13"/>
      <c r="K34" s="11">
        <f>SUM(K4:K33)</f>
        <v>0</v>
      </c>
      <c r="L34" s="13"/>
      <c r="M34" s="11">
        <f>SUM(M4:M33)</f>
        <v>5760</v>
      </c>
      <c r="N34" s="37"/>
      <c r="O34" s="11">
        <f>SUM(O4:O33)</f>
        <v>1331</v>
      </c>
      <c r="P34" s="13"/>
      <c r="Q34" s="11">
        <f>SUM(Q4:Q33)</f>
        <v>897</v>
      </c>
      <c r="R34" s="1"/>
      <c r="S34" s="11">
        <f>SUM(S4:S33)</f>
        <v>0</v>
      </c>
      <c r="T34" s="1"/>
      <c r="U34" s="11">
        <f>SUM(U4:U33)</f>
        <v>1920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D27" sqref="D27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f t="shared" si="16"/>
        <v>218</v>
      </c>
      <c r="C16" s="150"/>
      <c r="D16" s="43">
        <f t="shared" si="2"/>
        <v>0</v>
      </c>
      <c r="E16" s="151"/>
      <c r="F16" s="43" t="str">
        <f t="shared" si="3"/>
        <v>0</v>
      </c>
      <c r="G16" s="152"/>
      <c r="H16" s="43" t="str">
        <f t="shared" si="4"/>
        <v>0</v>
      </c>
      <c r="I16" s="153">
        <f t="shared" si="5"/>
        <v>0</v>
      </c>
      <c r="J16" s="151"/>
      <c r="K16" s="43">
        <f t="shared" si="13"/>
        <v>0</v>
      </c>
      <c r="L16" s="154"/>
      <c r="M16" s="43" t="str">
        <f t="shared" si="6"/>
        <v>0</v>
      </c>
      <c r="N16" s="151">
        <f t="shared" ref="N15:N33" si="30">N15</f>
        <v>6262384</v>
      </c>
      <c r="O16" s="43">
        <f t="shared" si="14"/>
        <v>0</v>
      </c>
      <c r="P16" s="154">
        <f t="shared" ref="P15:P33" si="31">P15</f>
        <v>5778862</v>
      </c>
      <c r="Q16" s="43">
        <f t="shared" si="7"/>
        <v>0</v>
      </c>
      <c r="R16" s="151">
        <f t="shared" ref="R15:R33" si="32">R15</f>
        <v>19868795</v>
      </c>
      <c r="S16" s="43">
        <f t="shared" si="8"/>
        <v>0</v>
      </c>
      <c r="T16" s="151">
        <v>0</v>
      </c>
      <c r="U16" s="155"/>
      <c r="V16" s="151">
        <f t="shared" ref="V15:V33" si="33">V15</f>
        <v>7760761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16350.9626384</v>
      </c>
    </row>
    <row r="17" spans="1:27" s="135" customFormat="1" ht="16.5" thickBot="1" x14ac:dyDescent="0.3">
      <c r="A17" s="10">
        <v>44576</v>
      </c>
      <c r="B17" s="43">
        <f t="shared" si="16"/>
        <v>218</v>
      </c>
      <c r="C17" s="150"/>
      <c r="D17" s="43">
        <f t="shared" si="2"/>
        <v>0</v>
      </c>
      <c r="E17" s="151"/>
      <c r="F17" s="43">
        <f t="shared" si="3"/>
        <v>0</v>
      </c>
      <c r="G17" s="152"/>
      <c r="H17" s="43">
        <f t="shared" si="4"/>
        <v>0</v>
      </c>
      <c r="I17" s="157">
        <f t="shared" si="5"/>
        <v>0</v>
      </c>
      <c r="J17" s="151"/>
      <c r="K17" s="134">
        <f t="shared" si="13"/>
        <v>0</v>
      </c>
      <c r="L17" s="154"/>
      <c r="M17" s="134">
        <f t="shared" si="6"/>
        <v>0</v>
      </c>
      <c r="N17" s="151">
        <f t="shared" si="30"/>
        <v>6262384</v>
      </c>
      <c r="O17" s="134">
        <f t="shared" si="14"/>
        <v>0</v>
      </c>
      <c r="P17" s="154">
        <f t="shared" si="31"/>
        <v>5778862</v>
      </c>
      <c r="Q17" s="134">
        <f t="shared" si="7"/>
        <v>0</v>
      </c>
      <c r="R17" s="151">
        <f t="shared" si="32"/>
        <v>19868795</v>
      </c>
      <c r="S17" s="134">
        <f t="shared" si="8"/>
        <v>0</v>
      </c>
      <c r="T17" s="158">
        <v>0</v>
      </c>
      <c r="U17" s="155"/>
      <c r="V17" s="151">
        <f t="shared" si="33"/>
        <v>7760761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3">
        <f t="shared" si="15"/>
        <v>12125.364992000001</v>
      </c>
    </row>
    <row r="18" spans="1:27" s="135" customFormat="1" ht="16.5" thickBot="1" x14ac:dyDescent="0.3">
      <c r="A18" s="10">
        <v>44577</v>
      </c>
      <c r="B18" s="43">
        <f t="shared" si="16"/>
        <v>218</v>
      </c>
      <c r="C18" s="150"/>
      <c r="D18" s="43">
        <f t="shared" si="2"/>
        <v>0</v>
      </c>
      <c r="E18" s="151"/>
      <c r="F18" s="43">
        <f t="shared" si="3"/>
        <v>0</v>
      </c>
      <c r="G18" s="152"/>
      <c r="H18" s="43">
        <f t="shared" si="4"/>
        <v>0</v>
      </c>
      <c r="I18" s="157">
        <f t="shared" si="5"/>
        <v>0</v>
      </c>
      <c r="J18" s="151"/>
      <c r="K18" s="134">
        <f t="shared" si="13"/>
        <v>0</v>
      </c>
      <c r="L18" s="154"/>
      <c r="M18" s="134">
        <f t="shared" si="6"/>
        <v>0</v>
      </c>
      <c r="N18" s="151">
        <f t="shared" si="30"/>
        <v>6262384</v>
      </c>
      <c r="O18" s="134">
        <f t="shared" si="14"/>
        <v>0</v>
      </c>
      <c r="P18" s="154">
        <f t="shared" si="31"/>
        <v>5778862</v>
      </c>
      <c r="Q18" s="134">
        <f t="shared" si="7"/>
        <v>0</v>
      </c>
      <c r="R18" s="151">
        <f t="shared" si="32"/>
        <v>19868795</v>
      </c>
      <c r="S18" s="134">
        <f t="shared" si="8"/>
        <v>0</v>
      </c>
      <c r="T18" s="158">
        <v>0</v>
      </c>
      <c r="U18" s="155"/>
      <c r="V18" s="151">
        <f t="shared" si="33"/>
        <v>7760761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3">
        <f t="shared" si="15"/>
        <v>5504.1598767999994</v>
      </c>
    </row>
    <row r="19" spans="1:27" s="135" customFormat="1" ht="16.5" thickBot="1" x14ac:dyDescent="0.3">
      <c r="A19" s="10">
        <v>44578</v>
      </c>
      <c r="B19" s="43">
        <f t="shared" si="16"/>
        <v>218</v>
      </c>
      <c r="C19" s="150"/>
      <c r="D19" s="43">
        <f t="shared" si="2"/>
        <v>0</v>
      </c>
      <c r="E19" s="151"/>
      <c r="F19" s="43">
        <f t="shared" si="3"/>
        <v>0</v>
      </c>
      <c r="G19" s="152"/>
      <c r="H19" s="43">
        <f t="shared" si="4"/>
        <v>0</v>
      </c>
      <c r="I19" s="157">
        <f t="shared" si="5"/>
        <v>0</v>
      </c>
      <c r="J19" s="151"/>
      <c r="K19" s="134">
        <f t="shared" si="13"/>
        <v>0</v>
      </c>
      <c r="L19" s="154"/>
      <c r="M19" s="134">
        <f t="shared" si="6"/>
        <v>0</v>
      </c>
      <c r="N19" s="151">
        <f t="shared" si="30"/>
        <v>6262384</v>
      </c>
      <c r="O19" s="134">
        <f t="shared" si="14"/>
        <v>0</v>
      </c>
      <c r="P19" s="154">
        <f t="shared" si="31"/>
        <v>5778862</v>
      </c>
      <c r="Q19" s="134">
        <f t="shared" si="7"/>
        <v>0</v>
      </c>
      <c r="R19" s="151">
        <f t="shared" si="32"/>
        <v>19868795</v>
      </c>
      <c r="S19" s="134">
        <f t="shared" si="8"/>
        <v>0</v>
      </c>
      <c r="T19" s="158">
        <v>0</v>
      </c>
      <c r="U19" s="155"/>
      <c r="V19" s="151">
        <f t="shared" si="33"/>
        <v>7760761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3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218</v>
      </c>
      <c r="C20" s="150"/>
      <c r="D20" s="43">
        <f t="shared" si="2"/>
        <v>0</v>
      </c>
      <c r="E20" s="151"/>
      <c r="F20" s="43">
        <f t="shared" si="3"/>
        <v>0</v>
      </c>
      <c r="G20" s="152"/>
      <c r="H20" s="43">
        <f t="shared" si="4"/>
        <v>0</v>
      </c>
      <c r="I20" s="157">
        <f t="shared" si="5"/>
        <v>0</v>
      </c>
      <c r="J20" s="151"/>
      <c r="K20" s="134">
        <f t="shared" si="13"/>
        <v>0</v>
      </c>
      <c r="L20" s="154"/>
      <c r="M20" s="134">
        <f t="shared" si="6"/>
        <v>0</v>
      </c>
      <c r="N20" s="151">
        <f t="shared" si="30"/>
        <v>6262384</v>
      </c>
      <c r="O20" s="134">
        <f t="shared" si="14"/>
        <v>0</v>
      </c>
      <c r="P20" s="154">
        <f t="shared" si="31"/>
        <v>5778862</v>
      </c>
      <c r="Q20" s="134">
        <f t="shared" si="7"/>
        <v>0</v>
      </c>
      <c r="R20" s="151">
        <f t="shared" si="32"/>
        <v>19868795</v>
      </c>
      <c r="S20" s="134">
        <f t="shared" si="8"/>
        <v>0</v>
      </c>
      <c r="T20" s="158">
        <v>0</v>
      </c>
      <c r="U20" s="155"/>
      <c r="V20" s="151">
        <f t="shared" si="33"/>
        <v>7760761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3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218</v>
      </c>
      <c r="C21" s="150"/>
      <c r="D21" s="43">
        <f t="shared" si="2"/>
        <v>0</v>
      </c>
      <c r="E21" s="151"/>
      <c r="F21" s="43">
        <f t="shared" si="3"/>
        <v>0</v>
      </c>
      <c r="G21" s="152"/>
      <c r="H21" s="43">
        <f t="shared" si="4"/>
        <v>0</v>
      </c>
      <c r="I21" s="157">
        <f t="shared" si="5"/>
        <v>0</v>
      </c>
      <c r="J21" s="151"/>
      <c r="K21" s="134">
        <f t="shared" si="13"/>
        <v>0</v>
      </c>
      <c r="L21" s="154"/>
      <c r="M21" s="134">
        <f t="shared" si="6"/>
        <v>0</v>
      </c>
      <c r="N21" s="151">
        <f t="shared" si="30"/>
        <v>6262384</v>
      </c>
      <c r="O21" s="134">
        <f t="shared" si="14"/>
        <v>0</v>
      </c>
      <c r="P21" s="154">
        <f t="shared" si="31"/>
        <v>5778862</v>
      </c>
      <c r="Q21" s="134">
        <f t="shared" si="7"/>
        <v>0</v>
      </c>
      <c r="R21" s="151">
        <f t="shared" si="32"/>
        <v>19868795</v>
      </c>
      <c r="S21" s="134">
        <f t="shared" si="8"/>
        <v>0</v>
      </c>
      <c r="T21" s="158">
        <v>0</v>
      </c>
      <c r="U21" s="155"/>
      <c r="V21" s="151">
        <f t="shared" si="33"/>
        <v>7760761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3">
        <f t="shared" si="15"/>
        <v>0</v>
      </c>
    </row>
    <row r="22" spans="1:27" ht="16.5" thickBot="1" x14ac:dyDescent="0.3">
      <c r="A22" s="10">
        <v>44581</v>
      </c>
      <c r="B22" s="43">
        <f t="shared" si="16"/>
        <v>218</v>
      </c>
      <c r="C22" s="150"/>
      <c r="D22" s="43">
        <f t="shared" si="2"/>
        <v>0</v>
      </c>
      <c r="E22" s="151"/>
      <c r="F22" s="43">
        <f t="shared" si="3"/>
        <v>0</v>
      </c>
      <c r="G22" s="152"/>
      <c r="H22" s="43">
        <f t="shared" si="4"/>
        <v>0</v>
      </c>
      <c r="I22" s="153">
        <f t="shared" si="5"/>
        <v>0</v>
      </c>
      <c r="J22" s="151"/>
      <c r="K22" s="43">
        <f t="shared" si="13"/>
        <v>0</v>
      </c>
      <c r="L22" s="154"/>
      <c r="M22" s="43">
        <f t="shared" si="6"/>
        <v>0</v>
      </c>
      <c r="N22" s="151">
        <f t="shared" si="30"/>
        <v>6262384</v>
      </c>
      <c r="O22" s="43">
        <f t="shared" si="14"/>
        <v>0</v>
      </c>
      <c r="P22" s="154">
        <f t="shared" si="31"/>
        <v>5778862</v>
      </c>
      <c r="Q22" s="43">
        <f t="shared" si="7"/>
        <v>0</v>
      </c>
      <c r="R22" s="151">
        <f t="shared" si="32"/>
        <v>19868795</v>
      </c>
      <c r="S22" s="43">
        <f t="shared" si="8"/>
        <v>0</v>
      </c>
      <c r="T22" s="151">
        <v>0</v>
      </c>
      <c r="U22" s="155"/>
      <c r="V22" s="151">
        <f t="shared" si="33"/>
        <v>7760761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218</v>
      </c>
      <c r="C23" s="150"/>
      <c r="D23" s="43">
        <f t="shared" si="2"/>
        <v>0</v>
      </c>
      <c r="E23" s="151"/>
      <c r="F23" s="43">
        <f t="shared" si="3"/>
        <v>0</v>
      </c>
      <c r="G23" s="152"/>
      <c r="H23" s="43">
        <f t="shared" si="4"/>
        <v>0</v>
      </c>
      <c r="I23" s="153">
        <f t="shared" si="5"/>
        <v>0</v>
      </c>
      <c r="J23" s="151"/>
      <c r="K23" s="43">
        <f t="shared" si="13"/>
        <v>0</v>
      </c>
      <c r="L23" s="154"/>
      <c r="M23" s="43">
        <f t="shared" si="6"/>
        <v>0</v>
      </c>
      <c r="N23" s="151">
        <f t="shared" si="30"/>
        <v>6262384</v>
      </c>
      <c r="O23" s="43">
        <f t="shared" si="14"/>
        <v>0</v>
      </c>
      <c r="P23" s="154">
        <f t="shared" si="31"/>
        <v>5778862</v>
      </c>
      <c r="Q23" s="43">
        <f t="shared" si="7"/>
        <v>0</v>
      </c>
      <c r="R23" s="151">
        <f t="shared" si="32"/>
        <v>19868795</v>
      </c>
      <c r="S23" s="43">
        <f t="shared" si="8"/>
        <v>0</v>
      </c>
      <c r="T23" s="151">
        <v>0</v>
      </c>
      <c r="U23" s="155"/>
      <c r="V23" s="151">
        <f t="shared" si="33"/>
        <v>7760761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218</v>
      </c>
      <c r="C24" s="150"/>
      <c r="D24" s="43">
        <f t="shared" si="2"/>
        <v>0</v>
      </c>
      <c r="E24" s="151"/>
      <c r="F24" s="43">
        <f t="shared" si="3"/>
        <v>0</v>
      </c>
      <c r="G24" s="152"/>
      <c r="H24" s="43">
        <f t="shared" si="4"/>
        <v>0</v>
      </c>
      <c r="I24" s="153">
        <f t="shared" si="5"/>
        <v>0</v>
      </c>
      <c r="J24" s="151"/>
      <c r="K24" s="43">
        <f t="shared" si="13"/>
        <v>0</v>
      </c>
      <c r="L24" s="154"/>
      <c r="M24" s="43">
        <f t="shared" si="6"/>
        <v>0</v>
      </c>
      <c r="N24" s="151">
        <f t="shared" si="30"/>
        <v>6262384</v>
      </c>
      <c r="O24" s="43">
        <f t="shared" si="14"/>
        <v>0</v>
      </c>
      <c r="P24" s="154">
        <f t="shared" si="31"/>
        <v>5778862</v>
      </c>
      <c r="Q24" s="43">
        <f t="shared" si="7"/>
        <v>0</v>
      </c>
      <c r="R24" s="151">
        <f t="shared" si="32"/>
        <v>19868795</v>
      </c>
      <c r="S24" s="43">
        <f t="shared" si="8"/>
        <v>0</v>
      </c>
      <c r="T24" s="151">
        <v>0</v>
      </c>
      <c r="U24" s="155"/>
      <c r="V24" s="151">
        <f t="shared" si="33"/>
        <v>7760761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218</v>
      </c>
      <c r="C25" s="150"/>
      <c r="D25" s="43">
        <f t="shared" si="2"/>
        <v>0</v>
      </c>
      <c r="E25" s="151"/>
      <c r="F25" s="43">
        <f t="shared" si="3"/>
        <v>0</v>
      </c>
      <c r="G25" s="152"/>
      <c r="H25" s="43">
        <f t="shared" si="4"/>
        <v>0</v>
      </c>
      <c r="I25" s="153">
        <f t="shared" si="5"/>
        <v>0</v>
      </c>
      <c r="J25" s="151"/>
      <c r="K25" s="43">
        <f t="shared" si="13"/>
        <v>0</v>
      </c>
      <c r="L25" s="154"/>
      <c r="M25" s="43">
        <f t="shared" si="6"/>
        <v>0</v>
      </c>
      <c r="N25" s="151">
        <f t="shared" si="30"/>
        <v>6262384</v>
      </c>
      <c r="O25" s="43">
        <f t="shared" si="14"/>
        <v>0</v>
      </c>
      <c r="P25" s="154">
        <f t="shared" si="31"/>
        <v>5778862</v>
      </c>
      <c r="Q25" s="43">
        <f t="shared" si="7"/>
        <v>0</v>
      </c>
      <c r="R25" s="151">
        <f t="shared" si="32"/>
        <v>19868795</v>
      </c>
      <c r="S25" s="43">
        <f t="shared" si="8"/>
        <v>0</v>
      </c>
      <c r="T25" s="151">
        <v>0</v>
      </c>
      <c r="U25" s="155"/>
      <c r="V25" s="151">
        <f t="shared" si="33"/>
        <v>7760761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218</v>
      </c>
      <c r="C26" s="150"/>
      <c r="D26" s="43">
        <f t="shared" si="2"/>
        <v>0</v>
      </c>
      <c r="E26" s="151"/>
      <c r="F26" s="43">
        <f t="shared" si="3"/>
        <v>0</v>
      </c>
      <c r="G26" s="152"/>
      <c r="H26" s="43">
        <f t="shared" si="4"/>
        <v>0</v>
      </c>
      <c r="I26" s="153">
        <f t="shared" si="5"/>
        <v>0</v>
      </c>
      <c r="J26" s="151"/>
      <c r="K26" s="43">
        <f t="shared" si="13"/>
        <v>0</v>
      </c>
      <c r="L26" s="154"/>
      <c r="M26" s="43">
        <f t="shared" si="6"/>
        <v>0</v>
      </c>
      <c r="N26" s="151">
        <f t="shared" si="30"/>
        <v>6262384</v>
      </c>
      <c r="O26" s="43">
        <f t="shared" si="14"/>
        <v>0</v>
      </c>
      <c r="P26" s="154">
        <f t="shared" si="31"/>
        <v>5778862</v>
      </c>
      <c r="Q26" s="43">
        <f t="shared" si="7"/>
        <v>0</v>
      </c>
      <c r="R26" s="151">
        <f t="shared" si="32"/>
        <v>19868795</v>
      </c>
      <c r="S26" s="43">
        <f t="shared" si="8"/>
        <v>0</v>
      </c>
      <c r="T26" s="151">
        <v>0</v>
      </c>
      <c r="U26" s="155"/>
      <c r="V26" s="151">
        <f t="shared" si="33"/>
        <v>7760761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218</v>
      </c>
      <c r="C27" s="150"/>
      <c r="D27" s="43">
        <f t="shared" si="2"/>
        <v>0</v>
      </c>
      <c r="E27" s="151"/>
      <c r="F27" s="43">
        <f t="shared" si="3"/>
        <v>0</v>
      </c>
      <c r="G27" s="152"/>
      <c r="H27" s="43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>
        <f t="shared" si="6"/>
        <v>0</v>
      </c>
      <c r="N27" s="151">
        <f t="shared" si="30"/>
        <v>6262384</v>
      </c>
      <c r="O27" s="43">
        <f t="shared" si="14"/>
        <v>0</v>
      </c>
      <c r="P27" s="154">
        <f t="shared" si="31"/>
        <v>5778862</v>
      </c>
      <c r="Q27" s="43">
        <f t="shared" si="7"/>
        <v>0</v>
      </c>
      <c r="R27" s="151">
        <f t="shared" si="32"/>
        <v>19868795</v>
      </c>
      <c r="S27" s="43">
        <f t="shared" si="8"/>
        <v>0</v>
      </c>
      <c r="T27" s="151">
        <v>0</v>
      </c>
      <c r="U27" s="155"/>
      <c r="V27" s="151">
        <f t="shared" si="33"/>
        <v>7760761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218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6262384</v>
      </c>
      <c r="O28" s="43">
        <f t="shared" si="14"/>
        <v>0</v>
      </c>
      <c r="P28" s="154">
        <f t="shared" si="31"/>
        <v>5778862</v>
      </c>
      <c r="Q28" s="43">
        <f t="shared" si="7"/>
        <v>0</v>
      </c>
      <c r="R28" s="151">
        <f t="shared" si="32"/>
        <v>19868795</v>
      </c>
      <c r="S28" s="43">
        <f t="shared" si="8"/>
        <v>0</v>
      </c>
      <c r="T28" s="151">
        <v>0</v>
      </c>
      <c r="U28" s="155"/>
      <c r="V28" s="151">
        <f t="shared" si="33"/>
        <v>7760761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218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6262384</v>
      </c>
      <c r="O29" s="43">
        <f t="shared" si="14"/>
        <v>0</v>
      </c>
      <c r="P29" s="154">
        <f t="shared" si="31"/>
        <v>5778862</v>
      </c>
      <c r="Q29" s="43">
        <f t="shared" si="7"/>
        <v>0</v>
      </c>
      <c r="R29" s="151">
        <f t="shared" si="32"/>
        <v>19868795</v>
      </c>
      <c r="S29" s="43">
        <f t="shared" si="8"/>
        <v>0</v>
      </c>
      <c r="T29" s="151">
        <v>0</v>
      </c>
      <c r="U29" s="155"/>
      <c r="V29" s="151">
        <f t="shared" si="33"/>
        <v>7760761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218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6262384</v>
      </c>
      <c r="O30" s="43">
        <f t="shared" si="14"/>
        <v>0</v>
      </c>
      <c r="P30" s="154">
        <f t="shared" si="31"/>
        <v>5778862</v>
      </c>
      <c r="Q30" s="43">
        <f t="shared" si="7"/>
        <v>0</v>
      </c>
      <c r="R30" s="151">
        <f t="shared" si="32"/>
        <v>19868795</v>
      </c>
      <c r="S30" s="43">
        <f t="shared" si="8"/>
        <v>0</v>
      </c>
      <c r="T30" s="151">
        <v>0</v>
      </c>
      <c r="U30" s="155"/>
      <c r="V30" s="151">
        <f t="shared" si="33"/>
        <v>7760761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218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6262384</v>
      </c>
      <c r="O31" s="43">
        <f t="shared" si="14"/>
        <v>0</v>
      </c>
      <c r="P31" s="154">
        <f t="shared" si="31"/>
        <v>5778862</v>
      </c>
      <c r="Q31" s="43">
        <f t="shared" si="7"/>
        <v>0</v>
      </c>
      <c r="R31" s="151">
        <f t="shared" si="32"/>
        <v>19868795</v>
      </c>
      <c r="S31" s="43">
        <f t="shared" si="8"/>
        <v>0</v>
      </c>
      <c r="T31" s="151">
        <v>0</v>
      </c>
      <c r="U31" s="11"/>
      <c r="V31" s="151">
        <f t="shared" si="33"/>
        <v>7760761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218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6262384</v>
      </c>
      <c r="O32" s="43">
        <f t="shared" si="14"/>
        <v>0</v>
      </c>
      <c r="P32" s="154">
        <f t="shared" si="31"/>
        <v>5778862</v>
      </c>
      <c r="Q32" s="43">
        <f t="shared" si="7"/>
        <v>0</v>
      </c>
      <c r="R32" s="151">
        <f t="shared" si="32"/>
        <v>19868795</v>
      </c>
      <c r="S32" s="43">
        <f t="shared" si="8"/>
        <v>0</v>
      </c>
      <c r="T32" s="151">
        <v>0</v>
      </c>
      <c r="U32" s="11"/>
      <c r="V32" s="151">
        <f t="shared" si="33"/>
        <v>7760761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218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6262384</v>
      </c>
      <c r="O33" s="43">
        <f t="shared" si="14"/>
        <v>0</v>
      </c>
      <c r="P33" s="154">
        <f t="shared" si="31"/>
        <v>5778862</v>
      </c>
      <c r="Q33" s="43">
        <f t="shared" si="7"/>
        <v>0</v>
      </c>
      <c r="R33" s="151">
        <f t="shared" si="32"/>
        <v>19868795</v>
      </c>
      <c r="S33" s="43">
        <f t="shared" si="8"/>
        <v>0</v>
      </c>
      <c r="T33" s="151">
        <v>0</v>
      </c>
      <c r="U33" s="11"/>
      <c r="V33" s="151">
        <f t="shared" si="33"/>
        <v>7760761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6396</v>
      </c>
      <c r="C34" s="142"/>
      <c r="D34" s="142">
        <f>SUM(D3:D33)</f>
        <v>5120</v>
      </c>
      <c r="E34" s="60">
        <v>0</v>
      </c>
      <c r="F34" s="60">
        <f>SUM(F3:F33)</f>
        <v>129035</v>
      </c>
      <c r="G34" s="60">
        <v>0</v>
      </c>
      <c r="H34" s="60">
        <f>SUM(H3:H33)</f>
        <v>491875</v>
      </c>
      <c r="I34" s="60">
        <f>SUM(I6:I33)</f>
        <v>470806</v>
      </c>
      <c r="J34" s="60">
        <v>0</v>
      </c>
      <c r="K34" s="60">
        <f>SUM(K3:K33)</f>
        <v>112032</v>
      </c>
      <c r="L34" s="60">
        <v>0</v>
      </c>
      <c r="M34" s="60">
        <f>SUM(M3:M33)</f>
        <v>68641</v>
      </c>
      <c r="N34" s="60">
        <v>0</v>
      </c>
      <c r="O34" s="60">
        <f>SUM(O3:O33)</f>
        <v>58620</v>
      </c>
      <c r="P34" s="60">
        <v>0</v>
      </c>
      <c r="Q34" s="60">
        <f>SUM(Q3:Q33)</f>
        <v>45711</v>
      </c>
      <c r="R34" s="60">
        <v>0</v>
      </c>
      <c r="S34" s="60">
        <f>SUM(S3:S33)</f>
        <v>122403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126684</v>
      </c>
      <c r="X34" s="60">
        <f>SUM(X6:X33)</f>
        <v>405034</v>
      </c>
      <c r="Y34" s="60">
        <f>SUM(Y3:Y33)</f>
        <v>86819</v>
      </c>
      <c r="Z34" s="60">
        <f>SUM(Z3:Z33)</f>
        <v>75560.991230400003</v>
      </c>
      <c r="AA34" s="60">
        <f>SUM(AA3:AA33)</f>
        <v>296312.96753760002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5" sqref="I1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f t="shared" ref="B15:B33" si="9">B15</f>
        <v>436867</v>
      </c>
      <c r="C16" s="43">
        <f t="shared" si="8"/>
        <v>0</v>
      </c>
      <c r="D16" s="3">
        <f t="shared" ref="D15:D33" si="10">D15</f>
        <v>1950</v>
      </c>
      <c r="E16" s="43">
        <f t="shared" si="3"/>
        <v>0</v>
      </c>
      <c r="F16" s="3">
        <f t="shared" ref="F15:F33" si="11">F15</f>
        <v>7513900</v>
      </c>
      <c r="G16" s="43">
        <f t="shared" si="6"/>
        <v>0</v>
      </c>
      <c r="H16" s="3">
        <f t="shared" ref="H15:H33" si="12">H15</f>
        <v>768486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436867</v>
      </c>
      <c r="C17" s="43">
        <f t="shared" si="8"/>
        <v>0</v>
      </c>
      <c r="D17" s="3">
        <f t="shared" si="10"/>
        <v>1950</v>
      </c>
      <c r="E17" s="43">
        <f t="shared" si="3"/>
        <v>0</v>
      </c>
      <c r="F17" s="3">
        <f t="shared" si="11"/>
        <v>7513900</v>
      </c>
      <c r="G17" s="43">
        <f t="shared" si="6"/>
        <v>0</v>
      </c>
      <c r="H17" s="3">
        <f t="shared" si="12"/>
        <v>768486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436867</v>
      </c>
      <c r="C18" s="43">
        <f t="shared" si="8"/>
        <v>0</v>
      </c>
      <c r="D18" s="3">
        <f t="shared" si="10"/>
        <v>1950</v>
      </c>
      <c r="E18" s="43">
        <f t="shared" si="3"/>
        <v>0</v>
      </c>
      <c r="F18" s="3">
        <f t="shared" si="11"/>
        <v>7513900</v>
      </c>
      <c r="G18" s="43">
        <f t="shared" si="6"/>
        <v>0</v>
      </c>
      <c r="H18" s="3">
        <f t="shared" si="12"/>
        <v>768486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436867</v>
      </c>
      <c r="C19" s="43">
        <f t="shared" si="8"/>
        <v>0</v>
      </c>
      <c r="D19" s="3">
        <f t="shared" si="10"/>
        <v>1950</v>
      </c>
      <c r="E19" s="43">
        <f t="shared" si="3"/>
        <v>0</v>
      </c>
      <c r="F19" s="3">
        <f t="shared" si="11"/>
        <v>7513900</v>
      </c>
      <c r="G19" s="43">
        <f t="shared" si="6"/>
        <v>0</v>
      </c>
      <c r="H19" s="3">
        <f t="shared" si="12"/>
        <v>768486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436867</v>
      </c>
      <c r="C20" s="43">
        <f t="shared" si="8"/>
        <v>0</v>
      </c>
      <c r="D20" s="3">
        <f t="shared" si="10"/>
        <v>1950</v>
      </c>
      <c r="E20" s="43">
        <f t="shared" si="3"/>
        <v>0</v>
      </c>
      <c r="F20" s="3">
        <f t="shared" si="11"/>
        <v>7513900</v>
      </c>
      <c r="G20" s="43">
        <f t="shared" si="6"/>
        <v>0</v>
      </c>
      <c r="H20" s="3">
        <f t="shared" si="12"/>
        <v>768486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436867</v>
      </c>
      <c r="C21" s="43">
        <f t="shared" si="8"/>
        <v>0</v>
      </c>
      <c r="D21" s="3">
        <f t="shared" si="10"/>
        <v>1950</v>
      </c>
      <c r="E21" s="43">
        <f t="shared" si="3"/>
        <v>0</v>
      </c>
      <c r="F21" s="3">
        <f t="shared" si="11"/>
        <v>7513900</v>
      </c>
      <c r="G21" s="43">
        <f t="shared" si="6"/>
        <v>0</v>
      </c>
      <c r="H21" s="3">
        <f t="shared" si="12"/>
        <v>768486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436867</v>
      </c>
      <c r="C22" s="43">
        <f t="shared" si="8"/>
        <v>0</v>
      </c>
      <c r="D22" s="3">
        <f t="shared" si="10"/>
        <v>1950</v>
      </c>
      <c r="E22" s="43">
        <f t="shared" si="3"/>
        <v>0</v>
      </c>
      <c r="F22" s="3">
        <f t="shared" si="11"/>
        <v>7513900</v>
      </c>
      <c r="G22" s="43">
        <f t="shared" si="6"/>
        <v>0</v>
      </c>
      <c r="H22" s="3">
        <f t="shared" si="12"/>
        <v>768486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436867</v>
      </c>
      <c r="C23" s="43">
        <f t="shared" si="8"/>
        <v>0</v>
      </c>
      <c r="D23" s="3">
        <f t="shared" si="10"/>
        <v>1950</v>
      </c>
      <c r="E23" s="43">
        <f t="shared" si="3"/>
        <v>0</v>
      </c>
      <c r="F23" s="3">
        <f t="shared" si="11"/>
        <v>7513900</v>
      </c>
      <c r="G23" s="43">
        <f t="shared" si="6"/>
        <v>0</v>
      </c>
      <c r="H23" s="3">
        <f t="shared" si="12"/>
        <v>768486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436867</v>
      </c>
      <c r="C24" s="43">
        <f t="shared" si="8"/>
        <v>0</v>
      </c>
      <c r="D24" s="3">
        <f t="shared" si="10"/>
        <v>1950</v>
      </c>
      <c r="E24" s="43">
        <f t="shared" si="3"/>
        <v>0</v>
      </c>
      <c r="F24" s="3">
        <f t="shared" si="11"/>
        <v>7513900</v>
      </c>
      <c r="G24" s="43">
        <f t="shared" si="6"/>
        <v>0</v>
      </c>
      <c r="H24" s="3">
        <f t="shared" si="12"/>
        <v>768486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436867</v>
      </c>
      <c r="C25" s="43">
        <f t="shared" si="8"/>
        <v>0</v>
      </c>
      <c r="D25" s="3">
        <f t="shared" si="10"/>
        <v>1950</v>
      </c>
      <c r="E25" s="43">
        <f t="shared" si="3"/>
        <v>0</v>
      </c>
      <c r="F25" s="3">
        <f t="shared" si="11"/>
        <v>7513900</v>
      </c>
      <c r="G25" s="43">
        <f t="shared" si="6"/>
        <v>0</v>
      </c>
      <c r="H25" s="3">
        <f t="shared" si="12"/>
        <v>768486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436867</v>
      </c>
      <c r="C26" s="43">
        <f t="shared" si="8"/>
        <v>0</v>
      </c>
      <c r="D26" s="3">
        <f t="shared" si="10"/>
        <v>1950</v>
      </c>
      <c r="E26" s="43">
        <f t="shared" si="3"/>
        <v>0</v>
      </c>
      <c r="F26" s="3">
        <f t="shared" si="11"/>
        <v>7513900</v>
      </c>
      <c r="G26" s="43">
        <f t="shared" si="6"/>
        <v>0</v>
      </c>
      <c r="H26" s="3">
        <f t="shared" si="12"/>
        <v>768486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436867</v>
      </c>
      <c r="C27" s="43">
        <f t="shared" si="8"/>
        <v>0</v>
      </c>
      <c r="D27" s="3">
        <f t="shared" si="10"/>
        <v>1950</v>
      </c>
      <c r="E27" s="43">
        <f t="shared" si="3"/>
        <v>0</v>
      </c>
      <c r="F27" s="3">
        <f t="shared" si="11"/>
        <v>7513900</v>
      </c>
      <c r="G27" s="43">
        <f t="shared" si="6"/>
        <v>0</v>
      </c>
      <c r="H27" s="3">
        <f t="shared" si="12"/>
        <v>768486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436867</v>
      </c>
      <c r="C28" s="43">
        <f t="shared" si="8"/>
        <v>0</v>
      </c>
      <c r="D28" s="3">
        <f t="shared" si="10"/>
        <v>1950</v>
      </c>
      <c r="E28" s="43">
        <f t="shared" si="3"/>
        <v>0</v>
      </c>
      <c r="F28" s="3">
        <f t="shared" si="11"/>
        <v>7513900</v>
      </c>
      <c r="G28" s="43">
        <f t="shared" si="6"/>
        <v>0</v>
      </c>
      <c r="H28" s="3">
        <f t="shared" si="12"/>
        <v>768486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436867</v>
      </c>
      <c r="C29" s="43">
        <f t="shared" si="8"/>
        <v>0</v>
      </c>
      <c r="D29" s="3">
        <f t="shared" si="10"/>
        <v>1950</v>
      </c>
      <c r="E29" s="43">
        <f t="shared" si="3"/>
        <v>0</v>
      </c>
      <c r="F29" s="3">
        <f t="shared" si="11"/>
        <v>7513900</v>
      </c>
      <c r="G29" s="43">
        <f t="shared" si="6"/>
        <v>0</v>
      </c>
      <c r="H29" s="3">
        <f t="shared" si="12"/>
        <v>768486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436867</v>
      </c>
      <c r="C30" s="43">
        <f t="shared" si="8"/>
        <v>0</v>
      </c>
      <c r="D30" s="3">
        <f t="shared" si="10"/>
        <v>1950</v>
      </c>
      <c r="E30" s="43">
        <f t="shared" si="3"/>
        <v>0</v>
      </c>
      <c r="F30" s="3">
        <f t="shared" si="11"/>
        <v>7513900</v>
      </c>
      <c r="G30" s="43">
        <f t="shared" si="6"/>
        <v>0</v>
      </c>
      <c r="H30" s="3">
        <f t="shared" si="12"/>
        <v>768486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436867</v>
      </c>
      <c r="C31" s="43">
        <f t="shared" si="8"/>
        <v>0</v>
      </c>
      <c r="D31" s="3">
        <f t="shared" si="10"/>
        <v>1950</v>
      </c>
      <c r="E31" s="43">
        <f t="shared" si="3"/>
        <v>0</v>
      </c>
      <c r="F31" s="3">
        <f t="shared" si="11"/>
        <v>7513900</v>
      </c>
      <c r="G31" s="43">
        <f t="shared" si="6"/>
        <v>0</v>
      </c>
      <c r="H31" s="3">
        <f t="shared" si="12"/>
        <v>768486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436867</v>
      </c>
      <c r="C32" s="43">
        <f t="shared" si="8"/>
        <v>0</v>
      </c>
      <c r="D32" s="3">
        <f t="shared" si="10"/>
        <v>1950</v>
      </c>
      <c r="E32" s="43">
        <f t="shared" si="3"/>
        <v>0</v>
      </c>
      <c r="F32" s="3">
        <f t="shared" si="11"/>
        <v>7513900</v>
      </c>
      <c r="G32" s="43">
        <f t="shared" si="6"/>
        <v>0</v>
      </c>
      <c r="H32" s="3">
        <f t="shared" si="12"/>
        <v>768486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436867</v>
      </c>
      <c r="C33" s="43">
        <f t="shared" si="8"/>
        <v>0</v>
      </c>
      <c r="D33" s="3">
        <f t="shared" si="10"/>
        <v>1950</v>
      </c>
      <c r="E33" s="43">
        <f t="shared" si="3"/>
        <v>0</v>
      </c>
      <c r="F33" s="3">
        <f t="shared" si="11"/>
        <v>7513900</v>
      </c>
      <c r="G33" s="43">
        <f t="shared" si="6"/>
        <v>0</v>
      </c>
      <c r="H33" s="3">
        <f t="shared" si="12"/>
        <v>768486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9950</v>
      </c>
      <c r="D34" s="3"/>
      <c r="E34" s="60">
        <f>SUM(E4:E33)</f>
        <v>6060</v>
      </c>
      <c r="F34" s="3"/>
      <c r="G34" s="60">
        <f>SUM(G4:G33)</f>
        <v>3275.1000000000004</v>
      </c>
      <c r="H34" s="3"/>
      <c r="I34" s="60">
        <f>SUM(I4:I33)</f>
        <v>58.40100000000001</v>
      </c>
      <c r="J34" s="60">
        <f>SUM(J4:J33)</f>
        <v>19343.501</v>
      </c>
      <c r="K34" s="60">
        <f>SUM(K4:K33)</f>
        <v>113352.91586000001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I18" sqref="I18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f t="shared" ref="B15:B33" si="1">B15</f>
        <v>17909075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17909075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17909075</v>
      </c>
      <c r="C18" s="49">
        <f t="shared" si="0"/>
        <v>0</v>
      </c>
      <c r="I18" s="39"/>
    </row>
    <row r="19" spans="1:9" ht="24" thickBot="1" x14ac:dyDescent="0.4">
      <c r="A19" s="10">
        <v>44578</v>
      </c>
      <c r="B19" s="137">
        <f t="shared" si="1"/>
        <v>17909075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17909075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17909075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17909075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17909075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17909075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17909075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17909075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17909075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17909075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17909075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17909075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17909075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17909075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17909075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35553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opLeftCell="J1" zoomScale="90" zoomScaleNormal="90" workbookViewId="0">
      <pane ySplit="1" topLeftCell="A2" activePane="bottomLeft" state="frozen"/>
      <selection pane="bottomLeft" activeCell="AD18" sqref="AD18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f t="shared" ref="B15:B33" si="63">B15</f>
        <v>22814.670999999998</v>
      </c>
      <c r="C16" s="48">
        <f t="shared" si="23"/>
        <v>0</v>
      </c>
      <c r="D16" s="32">
        <f t="shared" si="24"/>
        <v>0</v>
      </c>
      <c r="E16" s="1">
        <f t="shared" ref="E15:E33" si="64">E15</f>
        <v>4091.3719999999998</v>
      </c>
      <c r="F16" s="48">
        <f t="shared" si="25"/>
        <v>0</v>
      </c>
      <c r="G16" s="32">
        <f t="shared" si="26"/>
        <v>0</v>
      </c>
      <c r="H16" s="1">
        <f t="shared" ref="H15:H33" si="65">H15</f>
        <v>4609</v>
      </c>
      <c r="I16" s="48">
        <f t="shared" si="27"/>
        <v>0</v>
      </c>
      <c r="J16" s="32">
        <f t="shared" si="28"/>
        <v>0</v>
      </c>
      <c r="K16" s="7">
        <f t="shared" ref="K15:K33" si="66">K15</f>
        <v>13889.7</v>
      </c>
      <c r="L16" s="48">
        <f t="shared" si="29"/>
        <v>0</v>
      </c>
      <c r="M16" s="32">
        <f t="shared" si="30"/>
        <v>0</v>
      </c>
      <c r="N16" s="7">
        <f t="shared" ref="N15:N33" si="67">N15</f>
        <v>3383.694</v>
      </c>
      <c r="O16" s="48">
        <f t="shared" si="31"/>
        <v>0</v>
      </c>
      <c r="P16" s="32">
        <f t="shared" si="32"/>
        <v>0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ref="X15:X33" si="68">X15</f>
        <v>163727</v>
      </c>
      <c r="Y16" s="169">
        <f t="shared" si="39"/>
        <v>0</v>
      </c>
      <c r="Z16" s="163">
        <f t="shared" ref="Z15:Z33" si="69">Z15</f>
        <v>8297</v>
      </c>
      <c r="AA16" s="169">
        <f t="shared" si="44"/>
        <v>0</v>
      </c>
      <c r="AB16" s="163">
        <f t="shared" si="43"/>
        <v>19.420000000000002</v>
      </c>
      <c r="AC16" s="169">
        <f t="shared" si="46"/>
        <v>0</v>
      </c>
      <c r="AD16" s="163">
        <f t="shared" si="45"/>
        <v>120</v>
      </c>
      <c r="AE16" s="169">
        <f t="shared" si="37"/>
        <v>0</v>
      </c>
      <c r="AF16" s="163">
        <f t="shared" ref="AF15:AF33" si="70">AF15</f>
        <v>5391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63"/>
        <v>22814.670999999998</v>
      </c>
      <c r="C17" s="48">
        <f t="shared" si="23"/>
        <v>0</v>
      </c>
      <c r="D17" s="32">
        <f t="shared" si="24"/>
        <v>0</v>
      </c>
      <c r="E17" s="1">
        <f t="shared" si="64"/>
        <v>4091.3719999999998</v>
      </c>
      <c r="F17" s="48">
        <f t="shared" si="25"/>
        <v>0</v>
      </c>
      <c r="G17" s="32">
        <f t="shared" si="26"/>
        <v>0</v>
      </c>
      <c r="H17" s="1">
        <f t="shared" si="65"/>
        <v>4609</v>
      </c>
      <c r="I17" s="48">
        <f t="shared" si="27"/>
        <v>0</v>
      </c>
      <c r="J17" s="32">
        <f t="shared" si="28"/>
        <v>0</v>
      </c>
      <c r="K17" s="7">
        <f t="shared" si="66"/>
        <v>13889.7</v>
      </c>
      <c r="L17" s="48">
        <f t="shared" si="29"/>
        <v>0</v>
      </c>
      <c r="M17" s="32">
        <f t="shared" si="30"/>
        <v>0</v>
      </c>
      <c r="N17" s="7">
        <f t="shared" si="67"/>
        <v>3383.694</v>
      </c>
      <c r="O17" s="48">
        <f t="shared" si="31"/>
        <v>0</v>
      </c>
      <c r="P17" s="32">
        <f t="shared" si="32"/>
        <v>0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68"/>
        <v>163727</v>
      </c>
      <c r="Y17" s="169">
        <f t="shared" si="39"/>
        <v>0</v>
      </c>
      <c r="Z17" s="163">
        <f t="shared" si="69"/>
        <v>8297</v>
      </c>
      <c r="AA17" s="169">
        <f t="shared" si="44"/>
        <v>0</v>
      </c>
      <c r="AB17" s="163">
        <f t="shared" si="43"/>
        <v>19.420000000000002</v>
      </c>
      <c r="AC17" s="169">
        <f t="shared" si="46"/>
        <v>0</v>
      </c>
      <c r="AD17" s="163">
        <f t="shared" si="45"/>
        <v>120</v>
      </c>
      <c r="AE17" s="169">
        <f t="shared" si="37"/>
        <v>0</v>
      </c>
      <c r="AF17" s="163">
        <f t="shared" si="70"/>
        <v>5391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63"/>
        <v>22814.670999999998</v>
      </c>
      <c r="C18" s="48">
        <f t="shared" si="23"/>
        <v>0</v>
      </c>
      <c r="D18" s="32">
        <f t="shared" si="24"/>
        <v>0</v>
      </c>
      <c r="E18" s="1">
        <f t="shared" si="64"/>
        <v>4091.3719999999998</v>
      </c>
      <c r="F18" s="48">
        <f t="shared" si="25"/>
        <v>0</v>
      </c>
      <c r="G18" s="32">
        <f t="shared" si="26"/>
        <v>0</v>
      </c>
      <c r="H18" s="1">
        <f t="shared" si="65"/>
        <v>4609</v>
      </c>
      <c r="I18" s="48">
        <f t="shared" si="27"/>
        <v>0</v>
      </c>
      <c r="J18" s="32">
        <f t="shared" si="28"/>
        <v>0</v>
      </c>
      <c r="K18" s="7">
        <f t="shared" si="66"/>
        <v>13889.7</v>
      </c>
      <c r="L18" s="48">
        <f t="shared" si="29"/>
        <v>0</v>
      </c>
      <c r="M18" s="32">
        <f t="shared" si="30"/>
        <v>0</v>
      </c>
      <c r="N18" s="7">
        <f t="shared" si="67"/>
        <v>3383.694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68"/>
        <v>163727</v>
      </c>
      <c r="Y18" s="169">
        <f t="shared" si="39"/>
        <v>0</v>
      </c>
      <c r="Z18" s="163">
        <f t="shared" si="69"/>
        <v>8297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120</v>
      </c>
      <c r="AE18" s="169">
        <f t="shared" si="37"/>
        <v>0</v>
      </c>
      <c r="AF18" s="163">
        <f t="shared" si="70"/>
        <v>5391</v>
      </c>
      <c r="AG18" s="169">
        <v>18</v>
      </c>
    </row>
    <row r="19" spans="1:33" ht="16.5" thickBot="1" x14ac:dyDescent="0.25">
      <c r="A19" s="10">
        <v>44578</v>
      </c>
      <c r="B19" s="165">
        <f t="shared" si="63"/>
        <v>22814.670999999998</v>
      </c>
      <c r="C19" s="48">
        <f t="shared" si="23"/>
        <v>0</v>
      </c>
      <c r="D19" s="32">
        <f t="shared" si="24"/>
        <v>0</v>
      </c>
      <c r="E19" s="1">
        <f t="shared" si="64"/>
        <v>4091.3719999999998</v>
      </c>
      <c r="F19" s="48">
        <f t="shared" si="25"/>
        <v>0</v>
      </c>
      <c r="G19" s="32">
        <f t="shared" si="26"/>
        <v>0</v>
      </c>
      <c r="H19" s="1">
        <f t="shared" si="65"/>
        <v>4609</v>
      </c>
      <c r="I19" s="48">
        <f t="shared" si="27"/>
        <v>0</v>
      </c>
      <c r="J19" s="32">
        <f t="shared" si="28"/>
        <v>0</v>
      </c>
      <c r="K19" s="7">
        <f t="shared" si="66"/>
        <v>13889.7</v>
      </c>
      <c r="L19" s="48">
        <f t="shared" si="29"/>
        <v>0</v>
      </c>
      <c r="M19" s="32">
        <f t="shared" si="30"/>
        <v>0</v>
      </c>
      <c r="N19" s="7">
        <f t="shared" si="67"/>
        <v>3383.694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68"/>
        <v>163727</v>
      </c>
      <c r="Y19" s="169">
        <f t="shared" si="39"/>
        <v>0</v>
      </c>
      <c r="Z19" s="163">
        <f t="shared" si="69"/>
        <v>8297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120</v>
      </c>
      <c r="AE19" s="169">
        <f t="shared" si="37"/>
        <v>0</v>
      </c>
      <c r="AF19" s="163">
        <f t="shared" si="70"/>
        <v>5391</v>
      </c>
      <c r="AG19" s="169">
        <v>17</v>
      </c>
    </row>
    <row r="20" spans="1:33" ht="16.5" thickBot="1" x14ac:dyDescent="0.25">
      <c r="A20" s="10">
        <v>44579</v>
      </c>
      <c r="B20" s="165">
        <f t="shared" si="63"/>
        <v>22814.670999999998</v>
      </c>
      <c r="C20" s="48">
        <f t="shared" si="23"/>
        <v>0</v>
      </c>
      <c r="D20" s="32">
        <f t="shared" si="24"/>
        <v>0</v>
      </c>
      <c r="E20" s="1">
        <f t="shared" si="64"/>
        <v>4091.3719999999998</v>
      </c>
      <c r="F20" s="48">
        <f t="shared" si="25"/>
        <v>0</v>
      </c>
      <c r="G20" s="32">
        <f t="shared" si="26"/>
        <v>0</v>
      </c>
      <c r="H20" s="1">
        <f t="shared" si="65"/>
        <v>4609</v>
      </c>
      <c r="I20" s="48">
        <f t="shared" si="27"/>
        <v>0</v>
      </c>
      <c r="J20" s="32">
        <f t="shared" si="28"/>
        <v>0</v>
      </c>
      <c r="K20" s="7">
        <f t="shared" si="66"/>
        <v>13889.7</v>
      </c>
      <c r="L20" s="48">
        <f t="shared" si="29"/>
        <v>0</v>
      </c>
      <c r="M20" s="32">
        <f t="shared" si="30"/>
        <v>0</v>
      </c>
      <c r="N20" s="7">
        <f t="shared" si="67"/>
        <v>3383.694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68"/>
        <v>163727</v>
      </c>
      <c r="Y20" s="169">
        <f t="shared" si="39"/>
        <v>0</v>
      </c>
      <c r="Z20" s="163">
        <f t="shared" si="69"/>
        <v>8297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120</v>
      </c>
      <c r="AE20" s="169">
        <v>2</v>
      </c>
      <c r="AF20" s="163">
        <f t="shared" si="70"/>
        <v>5391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63"/>
        <v>22814.670999999998</v>
      </c>
      <c r="C21" s="48">
        <f t="shared" si="23"/>
        <v>0</v>
      </c>
      <c r="D21" s="32">
        <f t="shared" si="24"/>
        <v>0</v>
      </c>
      <c r="E21" s="1">
        <f t="shared" si="64"/>
        <v>4091.3719999999998</v>
      </c>
      <c r="F21" s="48">
        <f t="shared" si="25"/>
        <v>0</v>
      </c>
      <c r="G21" s="32">
        <f t="shared" si="26"/>
        <v>0</v>
      </c>
      <c r="H21" s="1">
        <f t="shared" si="65"/>
        <v>4609</v>
      </c>
      <c r="I21" s="48">
        <f t="shared" si="27"/>
        <v>0</v>
      </c>
      <c r="J21" s="32">
        <f t="shared" si="28"/>
        <v>0</v>
      </c>
      <c r="K21" s="7">
        <f t="shared" si="66"/>
        <v>13889.7</v>
      </c>
      <c r="L21" s="48">
        <f t="shared" si="29"/>
        <v>0</v>
      </c>
      <c r="M21" s="32">
        <f t="shared" si="30"/>
        <v>0</v>
      </c>
      <c r="N21" s="7">
        <f t="shared" si="67"/>
        <v>3383.694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68"/>
        <v>163727</v>
      </c>
      <c r="Y21" s="169">
        <f t="shared" si="39"/>
        <v>0</v>
      </c>
      <c r="Z21" s="163">
        <f t="shared" si="69"/>
        <v>8297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120</v>
      </c>
      <c r="AE21" s="169">
        <f t="shared" si="37"/>
        <v>0</v>
      </c>
      <c r="AF21" s="163">
        <f t="shared" si="70"/>
        <v>5391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63"/>
        <v>22814.670999999998</v>
      </c>
      <c r="C22" s="48">
        <f t="shared" si="23"/>
        <v>0</v>
      </c>
      <c r="D22" s="32">
        <f t="shared" si="24"/>
        <v>0</v>
      </c>
      <c r="E22" s="1">
        <f t="shared" si="64"/>
        <v>4091.3719999999998</v>
      </c>
      <c r="F22" s="48">
        <f t="shared" si="25"/>
        <v>0</v>
      </c>
      <c r="G22" s="32">
        <f t="shared" si="26"/>
        <v>0</v>
      </c>
      <c r="H22" s="1">
        <f t="shared" si="65"/>
        <v>4609</v>
      </c>
      <c r="I22" s="48">
        <f t="shared" si="27"/>
        <v>0</v>
      </c>
      <c r="J22" s="32">
        <f t="shared" si="28"/>
        <v>0</v>
      </c>
      <c r="K22" s="7">
        <f t="shared" si="66"/>
        <v>13889.7</v>
      </c>
      <c r="L22" s="48">
        <f t="shared" si="29"/>
        <v>0</v>
      </c>
      <c r="M22" s="32">
        <f t="shared" si="30"/>
        <v>0</v>
      </c>
      <c r="N22" s="7">
        <f t="shared" si="67"/>
        <v>3383.694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68"/>
        <v>163727</v>
      </c>
      <c r="Y22" s="169">
        <f t="shared" si="39"/>
        <v>0</v>
      </c>
      <c r="Z22" s="163">
        <f t="shared" si="69"/>
        <v>8297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120</v>
      </c>
      <c r="AE22" s="169">
        <f t="shared" si="37"/>
        <v>0</v>
      </c>
      <c r="AF22" s="163">
        <f t="shared" si="70"/>
        <v>5391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63"/>
        <v>22814.670999999998</v>
      </c>
      <c r="C23" s="48">
        <f t="shared" si="23"/>
        <v>0</v>
      </c>
      <c r="D23" s="32">
        <f t="shared" si="24"/>
        <v>0</v>
      </c>
      <c r="E23" s="1">
        <f t="shared" si="64"/>
        <v>4091.3719999999998</v>
      </c>
      <c r="F23" s="48">
        <f t="shared" si="25"/>
        <v>0</v>
      </c>
      <c r="G23" s="32">
        <f t="shared" si="26"/>
        <v>0</v>
      </c>
      <c r="H23" s="1">
        <f t="shared" si="65"/>
        <v>4609</v>
      </c>
      <c r="I23" s="48">
        <f t="shared" si="27"/>
        <v>0</v>
      </c>
      <c r="J23" s="32">
        <f t="shared" si="28"/>
        <v>0</v>
      </c>
      <c r="K23" s="7">
        <f t="shared" si="66"/>
        <v>13889.7</v>
      </c>
      <c r="L23" s="48">
        <f t="shared" si="29"/>
        <v>0</v>
      </c>
      <c r="M23" s="32">
        <f t="shared" si="30"/>
        <v>0</v>
      </c>
      <c r="N23" s="7">
        <f t="shared" si="67"/>
        <v>3383.694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68"/>
        <v>163727</v>
      </c>
      <c r="Y23" s="169">
        <f t="shared" si="39"/>
        <v>0</v>
      </c>
      <c r="Z23" s="163">
        <f t="shared" si="69"/>
        <v>8297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120</v>
      </c>
      <c r="AE23" s="169">
        <f t="shared" si="37"/>
        <v>0</v>
      </c>
      <c r="AF23" s="163">
        <f t="shared" si="70"/>
        <v>5391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63"/>
        <v>22814.670999999998</v>
      </c>
      <c r="C24" s="48">
        <f t="shared" si="23"/>
        <v>0</v>
      </c>
      <c r="D24" s="32">
        <f t="shared" si="24"/>
        <v>0</v>
      </c>
      <c r="E24" s="1">
        <f t="shared" si="64"/>
        <v>4091.3719999999998</v>
      </c>
      <c r="F24" s="48">
        <f t="shared" si="25"/>
        <v>0</v>
      </c>
      <c r="G24" s="32">
        <f t="shared" si="26"/>
        <v>0</v>
      </c>
      <c r="H24" s="1">
        <f t="shared" si="65"/>
        <v>4609</v>
      </c>
      <c r="I24" s="48">
        <f t="shared" si="27"/>
        <v>0</v>
      </c>
      <c r="J24" s="32">
        <f t="shared" si="28"/>
        <v>0</v>
      </c>
      <c r="K24" s="7">
        <f t="shared" si="66"/>
        <v>13889.7</v>
      </c>
      <c r="L24" s="48">
        <f t="shared" si="29"/>
        <v>0</v>
      </c>
      <c r="M24" s="32">
        <f t="shared" si="30"/>
        <v>0</v>
      </c>
      <c r="N24" s="7">
        <f t="shared" si="67"/>
        <v>3383.694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68"/>
        <v>163727</v>
      </c>
      <c r="Y24" s="169">
        <f t="shared" si="39"/>
        <v>0</v>
      </c>
      <c r="Z24" s="163">
        <f t="shared" si="69"/>
        <v>8297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120</v>
      </c>
      <c r="AE24" s="169">
        <f t="shared" si="37"/>
        <v>0</v>
      </c>
      <c r="AF24" s="163">
        <f t="shared" si="70"/>
        <v>5391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63"/>
        <v>22814.670999999998</v>
      </c>
      <c r="C25" s="48">
        <f t="shared" si="23"/>
        <v>0</v>
      </c>
      <c r="D25" s="32">
        <f t="shared" si="24"/>
        <v>0</v>
      </c>
      <c r="E25" s="1">
        <f t="shared" si="64"/>
        <v>4091.3719999999998</v>
      </c>
      <c r="F25" s="48">
        <f t="shared" si="25"/>
        <v>0</v>
      </c>
      <c r="G25" s="32">
        <f t="shared" si="26"/>
        <v>0</v>
      </c>
      <c r="H25" s="1">
        <f t="shared" si="65"/>
        <v>4609</v>
      </c>
      <c r="I25" s="48">
        <f t="shared" si="27"/>
        <v>0</v>
      </c>
      <c r="J25" s="32">
        <f t="shared" si="28"/>
        <v>0</v>
      </c>
      <c r="K25" s="7">
        <f t="shared" si="66"/>
        <v>13889.7</v>
      </c>
      <c r="L25" s="48">
        <f t="shared" si="29"/>
        <v>0</v>
      </c>
      <c r="M25" s="32">
        <f t="shared" si="30"/>
        <v>0</v>
      </c>
      <c r="N25" s="7">
        <f t="shared" si="67"/>
        <v>3383.694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68"/>
        <v>163727</v>
      </c>
      <c r="Y25" s="169">
        <f t="shared" si="39"/>
        <v>0</v>
      </c>
      <c r="Z25" s="163">
        <f t="shared" si="69"/>
        <v>8297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120</v>
      </c>
      <c r="AE25" s="169">
        <f t="shared" si="37"/>
        <v>0</v>
      </c>
      <c r="AF25" s="163">
        <f t="shared" si="70"/>
        <v>5391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63"/>
        <v>22814.670999999998</v>
      </c>
      <c r="C26" s="48">
        <f t="shared" si="23"/>
        <v>0</v>
      </c>
      <c r="D26" s="32">
        <f t="shared" si="24"/>
        <v>0</v>
      </c>
      <c r="E26" s="1">
        <f t="shared" si="64"/>
        <v>4091.3719999999998</v>
      </c>
      <c r="F26" s="48">
        <f t="shared" si="25"/>
        <v>0</v>
      </c>
      <c r="G26" s="32">
        <f t="shared" si="26"/>
        <v>0</v>
      </c>
      <c r="H26" s="1">
        <f t="shared" si="65"/>
        <v>4609</v>
      </c>
      <c r="I26" s="48">
        <f t="shared" si="27"/>
        <v>0</v>
      </c>
      <c r="J26" s="32">
        <f t="shared" si="28"/>
        <v>0</v>
      </c>
      <c r="K26" s="7">
        <f t="shared" si="66"/>
        <v>13889.7</v>
      </c>
      <c r="L26" s="48">
        <f>IF((K26-K25)&lt;0,"0",(K26-K25))</f>
        <v>0</v>
      </c>
      <c r="M26" s="32">
        <f t="shared" si="30"/>
        <v>0</v>
      </c>
      <c r="N26" s="7">
        <f t="shared" si="67"/>
        <v>3383.694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68"/>
        <v>163727</v>
      </c>
      <c r="Y26" s="169">
        <f t="shared" si="39"/>
        <v>0</v>
      </c>
      <c r="Z26" s="163">
        <f t="shared" si="69"/>
        <v>8297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120</v>
      </c>
      <c r="AE26" s="169">
        <f t="shared" si="37"/>
        <v>0</v>
      </c>
      <c r="AF26" s="163">
        <f t="shared" si="70"/>
        <v>5391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63"/>
        <v>22814.670999999998</v>
      </c>
      <c r="C27" s="48">
        <f t="shared" si="23"/>
        <v>0</v>
      </c>
      <c r="D27" s="32">
        <f t="shared" si="24"/>
        <v>0</v>
      </c>
      <c r="E27" s="1">
        <f t="shared" si="64"/>
        <v>4091.3719999999998</v>
      </c>
      <c r="F27" s="48">
        <f t="shared" si="25"/>
        <v>0</v>
      </c>
      <c r="G27" s="32">
        <f t="shared" si="26"/>
        <v>0</v>
      </c>
      <c r="H27" s="1">
        <f t="shared" si="65"/>
        <v>4609</v>
      </c>
      <c r="I27" s="48">
        <f t="shared" si="27"/>
        <v>0</v>
      </c>
      <c r="J27" s="32">
        <f t="shared" si="28"/>
        <v>0</v>
      </c>
      <c r="K27" s="7">
        <f t="shared" si="66"/>
        <v>13889.7</v>
      </c>
      <c r="L27" s="48">
        <f t="shared" si="29"/>
        <v>0</v>
      </c>
      <c r="M27" s="32">
        <f t="shared" si="30"/>
        <v>0</v>
      </c>
      <c r="N27" s="7">
        <f t="shared" si="67"/>
        <v>3383.694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68"/>
        <v>163727</v>
      </c>
      <c r="Y27" s="169">
        <f t="shared" si="39"/>
        <v>0</v>
      </c>
      <c r="Z27" s="163">
        <f t="shared" si="69"/>
        <v>8297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120</v>
      </c>
      <c r="AE27" s="169">
        <f t="shared" si="37"/>
        <v>0</v>
      </c>
      <c r="AF27" s="163">
        <f t="shared" si="70"/>
        <v>5391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3"/>
        <v>22814.670999999998</v>
      </c>
      <c r="C28" s="48">
        <f t="shared" si="23"/>
        <v>0</v>
      </c>
      <c r="D28" s="32">
        <f t="shared" si="24"/>
        <v>0</v>
      </c>
      <c r="E28" s="1">
        <f t="shared" si="64"/>
        <v>4091.3719999999998</v>
      </c>
      <c r="F28" s="48">
        <f t="shared" si="25"/>
        <v>0</v>
      </c>
      <c r="G28" s="32">
        <f t="shared" si="26"/>
        <v>0</v>
      </c>
      <c r="H28" s="1">
        <f t="shared" si="65"/>
        <v>4609</v>
      </c>
      <c r="I28" s="48">
        <f t="shared" si="27"/>
        <v>0</v>
      </c>
      <c r="J28" s="32">
        <f t="shared" si="28"/>
        <v>0</v>
      </c>
      <c r="K28" s="7">
        <f t="shared" si="66"/>
        <v>13889.7</v>
      </c>
      <c r="L28" s="48">
        <f t="shared" si="29"/>
        <v>0</v>
      </c>
      <c r="M28" s="32">
        <f t="shared" si="30"/>
        <v>0</v>
      </c>
      <c r="N28" s="7">
        <f t="shared" si="67"/>
        <v>3383.694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8"/>
        <v>163727</v>
      </c>
      <c r="Y28" s="169">
        <f t="shared" si="39"/>
        <v>0</v>
      </c>
      <c r="Z28" s="163">
        <f t="shared" si="69"/>
        <v>8297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120</v>
      </c>
      <c r="AE28" s="169">
        <f t="shared" si="37"/>
        <v>0</v>
      </c>
      <c r="AF28" s="163">
        <f t="shared" si="70"/>
        <v>5391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3"/>
        <v>22814.670999999998</v>
      </c>
      <c r="C29" s="48">
        <f t="shared" si="23"/>
        <v>0</v>
      </c>
      <c r="D29" s="32">
        <f t="shared" si="24"/>
        <v>0</v>
      </c>
      <c r="E29" s="1">
        <f t="shared" si="64"/>
        <v>4091.3719999999998</v>
      </c>
      <c r="F29" s="48">
        <f t="shared" si="25"/>
        <v>0</v>
      </c>
      <c r="G29" s="32">
        <f t="shared" si="26"/>
        <v>0</v>
      </c>
      <c r="H29" s="1">
        <f t="shared" si="65"/>
        <v>4609</v>
      </c>
      <c r="I29" s="48">
        <f t="shared" si="27"/>
        <v>0</v>
      </c>
      <c r="J29" s="32">
        <f t="shared" si="28"/>
        <v>0</v>
      </c>
      <c r="K29" s="7">
        <f t="shared" si="66"/>
        <v>13889.7</v>
      </c>
      <c r="L29" s="48">
        <f t="shared" si="29"/>
        <v>0</v>
      </c>
      <c r="M29" s="32">
        <f t="shared" si="30"/>
        <v>0</v>
      </c>
      <c r="N29" s="7">
        <f t="shared" si="67"/>
        <v>3383.694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8"/>
        <v>163727</v>
      </c>
      <c r="Y29" s="169">
        <f t="shared" si="39"/>
        <v>0</v>
      </c>
      <c r="Z29" s="163">
        <f t="shared" si="69"/>
        <v>8297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120</v>
      </c>
      <c r="AE29" s="169">
        <f t="shared" si="37"/>
        <v>0</v>
      </c>
      <c r="AF29" s="163">
        <f t="shared" si="70"/>
        <v>5391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3"/>
        <v>22814.670999999998</v>
      </c>
      <c r="C30" s="48">
        <f t="shared" si="23"/>
        <v>0</v>
      </c>
      <c r="D30" s="32">
        <f t="shared" si="24"/>
        <v>0</v>
      </c>
      <c r="E30" s="1">
        <f t="shared" si="64"/>
        <v>4091.3719999999998</v>
      </c>
      <c r="F30" s="48">
        <f t="shared" si="25"/>
        <v>0</v>
      </c>
      <c r="G30" s="32">
        <f t="shared" si="26"/>
        <v>0</v>
      </c>
      <c r="H30" s="1">
        <f t="shared" si="65"/>
        <v>4609</v>
      </c>
      <c r="I30" s="48">
        <f t="shared" si="27"/>
        <v>0</v>
      </c>
      <c r="J30" s="32">
        <f t="shared" si="28"/>
        <v>0</v>
      </c>
      <c r="K30" s="7">
        <f t="shared" si="66"/>
        <v>13889.7</v>
      </c>
      <c r="L30" s="48">
        <f t="shared" si="29"/>
        <v>0</v>
      </c>
      <c r="M30" s="32">
        <f t="shared" si="30"/>
        <v>0</v>
      </c>
      <c r="N30" s="7">
        <f t="shared" si="67"/>
        <v>3383.694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8"/>
        <v>163727</v>
      </c>
      <c r="Y30" s="169">
        <f t="shared" si="39"/>
        <v>0</v>
      </c>
      <c r="Z30" s="163">
        <f t="shared" si="69"/>
        <v>8297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120</v>
      </c>
      <c r="AE30" s="169">
        <f t="shared" si="37"/>
        <v>0</v>
      </c>
      <c r="AF30" s="163">
        <f t="shared" si="70"/>
        <v>5391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3"/>
        <v>22814.670999999998</v>
      </c>
      <c r="C31" s="48">
        <f t="shared" si="23"/>
        <v>0</v>
      </c>
      <c r="D31" s="32">
        <f t="shared" si="24"/>
        <v>0</v>
      </c>
      <c r="E31" s="1">
        <f t="shared" si="64"/>
        <v>4091.3719999999998</v>
      </c>
      <c r="F31" s="48">
        <f t="shared" si="25"/>
        <v>0</v>
      </c>
      <c r="G31" s="32">
        <f t="shared" si="26"/>
        <v>0</v>
      </c>
      <c r="H31" s="1">
        <f t="shared" si="65"/>
        <v>4609</v>
      </c>
      <c r="I31" s="48">
        <f t="shared" si="27"/>
        <v>0</v>
      </c>
      <c r="J31" s="32">
        <f t="shared" si="28"/>
        <v>0</v>
      </c>
      <c r="K31" s="7">
        <f t="shared" si="66"/>
        <v>13889.7</v>
      </c>
      <c r="L31" s="48">
        <f t="shared" si="29"/>
        <v>0</v>
      </c>
      <c r="M31" s="32">
        <f t="shared" si="30"/>
        <v>0</v>
      </c>
      <c r="N31" s="7">
        <f t="shared" si="67"/>
        <v>3383.694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8"/>
        <v>163727</v>
      </c>
      <c r="Y31" s="169">
        <f t="shared" si="39"/>
        <v>0</v>
      </c>
      <c r="Z31" s="163">
        <f t="shared" si="69"/>
        <v>8297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120</v>
      </c>
      <c r="AE31" s="169">
        <f t="shared" si="37"/>
        <v>0</v>
      </c>
      <c r="AF31" s="163">
        <f t="shared" si="70"/>
        <v>5391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3"/>
        <v>22814.670999999998</v>
      </c>
      <c r="C32" s="48">
        <f t="shared" si="23"/>
        <v>0</v>
      </c>
      <c r="D32" s="32">
        <f t="shared" si="24"/>
        <v>0</v>
      </c>
      <c r="E32" s="1">
        <f t="shared" si="64"/>
        <v>4091.3719999999998</v>
      </c>
      <c r="F32" s="48">
        <f t="shared" si="25"/>
        <v>0</v>
      </c>
      <c r="G32" s="32">
        <f t="shared" si="26"/>
        <v>0</v>
      </c>
      <c r="H32" s="1">
        <f t="shared" si="65"/>
        <v>4609</v>
      </c>
      <c r="I32" s="48">
        <f t="shared" si="27"/>
        <v>0</v>
      </c>
      <c r="J32" s="32">
        <f t="shared" si="28"/>
        <v>0</v>
      </c>
      <c r="K32" s="7">
        <f t="shared" si="66"/>
        <v>13889.7</v>
      </c>
      <c r="L32" s="48">
        <f t="shared" si="29"/>
        <v>0</v>
      </c>
      <c r="M32" s="32">
        <f t="shared" si="30"/>
        <v>0</v>
      </c>
      <c r="N32" s="7">
        <f t="shared" si="67"/>
        <v>3383.694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8"/>
        <v>163727</v>
      </c>
      <c r="Y32" s="169">
        <f t="shared" si="39"/>
        <v>0</v>
      </c>
      <c r="Z32" s="163">
        <f t="shared" si="69"/>
        <v>8297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120</v>
      </c>
      <c r="AE32" s="169">
        <f t="shared" si="37"/>
        <v>0</v>
      </c>
      <c r="AF32" s="163">
        <f t="shared" si="70"/>
        <v>5391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3"/>
        <v>22814.670999999998</v>
      </c>
      <c r="C33" s="48">
        <f t="shared" si="23"/>
        <v>0</v>
      </c>
      <c r="D33" s="32">
        <f t="shared" si="24"/>
        <v>0</v>
      </c>
      <c r="E33" s="1">
        <f t="shared" si="64"/>
        <v>4091.3719999999998</v>
      </c>
      <c r="F33" s="48">
        <f t="shared" si="25"/>
        <v>0</v>
      </c>
      <c r="G33" s="32">
        <f t="shared" si="26"/>
        <v>0</v>
      </c>
      <c r="H33" s="1">
        <f t="shared" si="65"/>
        <v>4609</v>
      </c>
      <c r="I33" s="48">
        <f t="shared" si="27"/>
        <v>0</v>
      </c>
      <c r="J33" s="32">
        <f t="shared" si="28"/>
        <v>0</v>
      </c>
      <c r="K33" s="7">
        <f t="shared" si="66"/>
        <v>13889.7</v>
      </c>
      <c r="L33" s="48">
        <f t="shared" si="29"/>
        <v>0</v>
      </c>
      <c r="M33" s="32">
        <f t="shared" si="30"/>
        <v>0</v>
      </c>
      <c r="N33" s="7">
        <f t="shared" si="67"/>
        <v>3383.694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8"/>
        <v>163727</v>
      </c>
      <c r="Y33" s="169">
        <f t="shared" si="39"/>
        <v>0</v>
      </c>
      <c r="Z33" s="163">
        <f t="shared" si="69"/>
        <v>8297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120</v>
      </c>
      <c r="AE33" s="169">
        <f t="shared" si="37"/>
        <v>0</v>
      </c>
      <c r="AF33" s="163">
        <f t="shared" si="70"/>
        <v>5391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26.580999999998312</v>
      </c>
      <c r="D34" s="142">
        <f>SUM(D3:D33)</f>
        <v>54613.599999997678</v>
      </c>
      <c r="E34" s="142">
        <v>0</v>
      </c>
      <c r="F34" s="142">
        <f>SUM(F3:F33)</f>
        <v>7.4719999999997526</v>
      </c>
      <c r="G34" s="142">
        <f>SUM(G3:G33)</f>
        <v>14196.79999999953</v>
      </c>
      <c r="H34" s="142"/>
      <c r="I34" s="142">
        <f>SUM(I3:I33)</f>
        <v>56</v>
      </c>
      <c r="J34" s="142">
        <f>SUM(J3:J33)</f>
        <v>106400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27918.599999999926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115.07999999999947</v>
      </c>
      <c r="U34" s="142">
        <f>SUM(U3:U33)</f>
        <v>218651.99999999898</v>
      </c>
      <c r="V34"/>
      <c r="W34" s="142" t="s">
        <v>143</v>
      </c>
      <c r="X34" s="142"/>
      <c r="Y34" s="142">
        <f>SUM(Y5:Y33)</f>
        <v>306</v>
      </c>
      <c r="Z34" s="142"/>
      <c r="AA34" s="142">
        <f>SUM(AA5:AA33)</f>
        <v>46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8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8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93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93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9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9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8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8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93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93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9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9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8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8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93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93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9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9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8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8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93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93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9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9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8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8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93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93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9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9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8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8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93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93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9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9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8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8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93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93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9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9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8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8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93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93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9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9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8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8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93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93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9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9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8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8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93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93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9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9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8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8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93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93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9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9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8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8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93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93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9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9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8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8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93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93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9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9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8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8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93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93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9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9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8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8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93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93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8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8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93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93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8">
        <v>23</v>
      </c>
      <c r="D49" s="65" t="s">
        <v>83</v>
      </c>
      <c r="E49" s="80"/>
      <c r="F49" s="80"/>
      <c r="G49" s="67">
        <f t="shared" si="2"/>
        <v>0</v>
      </c>
      <c r="H49" s="68"/>
      <c r="J49" s="188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93"/>
      <c r="D50" s="65" t="s">
        <v>82</v>
      </c>
      <c r="E50" s="80"/>
      <c r="F50" s="80"/>
      <c r="G50" s="67">
        <f t="shared" si="2"/>
        <v>0</v>
      </c>
      <c r="H50" s="68"/>
      <c r="J50" s="193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94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94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95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95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96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96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8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8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9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9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8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8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9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9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8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8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9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9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8">
        <v>28</v>
      </c>
      <c r="D62" s="183" t="s">
        <v>86</v>
      </c>
      <c r="E62" s="66"/>
      <c r="F62" s="66"/>
      <c r="G62" s="67"/>
      <c r="H62" s="185" t="s">
        <v>87</v>
      </c>
      <c r="I62" s="71"/>
      <c r="J62" s="188">
        <v>28</v>
      </c>
      <c r="K62" s="183" t="s">
        <v>86</v>
      </c>
      <c r="L62" s="66"/>
      <c r="M62" s="66"/>
      <c r="N62" s="67"/>
      <c r="O62" s="185" t="s">
        <v>87</v>
      </c>
    </row>
    <row r="63" spans="1:15" ht="15" x14ac:dyDescent="0.2">
      <c r="A63" s="71"/>
      <c r="B63" s="61"/>
      <c r="C63" s="189"/>
      <c r="D63" s="184"/>
      <c r="E63" s="66"/>
      <c r="F63" s="66"/>
      <c r="G63" s="67"/>
      <c r="H63" s="186"/>
      <c r="I63" s="71"/>
      <c r="J63" s="189"/>
      <c r="K63" s="184"/>
      <c r="L63" s="66"/>
      <c r="M63" s="66"/>
      <c r="N63" s="67"/>
      <c r="O63" s="186"/>
    </row>
    <row r="64" spans="1:15" x14ac:dyDescent="0.2">
      <c r="A64" s="71"/>
      <c r="B64" s="61"/>
      <c r="C64" s="187" t="s">
        <v>88</v>
      </c>
      <c r="D64" s="187"/>
      <c r="E64" s="187"/>
      <c r="F64" s="187"/>
      <c r="G64" s="85">
        <f>SUM(G2:G63)</f>
        <v>28925</v>
      </c>
      <c r="H64" s="86"/>
      <c r="I64" s="71"/>
      <c r="J64" s="187" t="s">
        <v>88</v>
      </c>
      <c r="K64" s="187"/>
      <c r="L64" s="187"/>
      <c r="M64" s="187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0">
        <v>44409</v>
      </c>
      <c r="C69" s="191"/>
      <c r="D69" s="191"/>
      <c r="E69" s="192"/>
      <c r="F69" s="89"/>
      <c r="G69" s="190">
        <v>44470</v>
      </c>
      <c r="H69" s="191"/>
      <c r="I69" s="191"/>
      <c r="J69" s="192"/>
      <c r="K69" s="89"/>
      <c r="L69" s="180" t="s">
        <v>25</v>
      </c>
      <c r="M69" s="181"/>
      <c r="N69" s="181"/>
      <c r="O69" s="182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Mostafa Elmetwally</cp:lastModifiedBy>
  <cp:lastPrinted>2021-04-30T22:39:54Z</cp:lastPrinted>
  <dcterms:created xsi:type="dcterms:W3CDTF">2017-07-31T14:40:49Z</dcterms:created>
  <dcterms:modified xsi:type="dcterms:W3CDTF">2022-01-13T23:26:28Z</dcterms:modified>
</cp:coreProperties>
</file>